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imelineCaches/timelineCache1.xml" ContentType="application/vnd.ms-excel.timelineCache+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pivotTables/pivotTable9.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1" hidePivotFieldList="1"/>
  <mc:AlternateContent xmlns:mc="http://schemas.openxmlformats.org/markup-compatibility/2006">
    <mc:Choice Requires="x15">
      <x15ac:absPath xmlns:x15ac="http://schemas.microsoft.com/office/spreadsheetml/2010/11/ac" url="D:\Drive - mdshafathossain\Sample\"/>
    </mc:Choice>
  </mc:AlternateContent>
  <xr:revisionPtr revIDLastSave="0" documentId="13_ncr:1_{9F6F2B8C-1B29-4530-8102-004298221F93}" xr6:coauthVersionLast="47" xr6:coauthVersionMax="47" xr10:uidLastSave="{00000000-0000-0000-0000-000000000000}"/>
  <bookViews>
    <workbookView xWindow="12" yWindow="12" windowWidth="23016" windowHeight="12216" firstSheet="2" activeTab="13" xr2:uid="{00000000-000D-0000-FFFF-FFFF00000000}"/>
  </bookViews>
  <sheets>
    <sheet name="Raw Data" sheetId="1" r:id="rId1"/>
    <sheet name="Temp_Sheet" sheetId="24" r:id="rId2"/>
    <sheet name="Meeting Details" sheetId="19" r:id="rId3"/>
    <sheet name="Yearly Meeting" sheetId="17" state="hidden" r:id="rId4"/>
    <sheet name="Summary" sheetId="3" r:id="rId5"/>
    <sheet name="Meeting Attdnc" sheetId="16" state="hidden" r:id="rId6"/>
    <sheet name="Meeting Attdnc (Mail)" sheetId="18" state="hidden" r:id="rId7"/>
    <sheet name="Meeting Attdnc - Rough" sheetId="12" state="hidden" r:id="rId8"/>
    <sheet name="Meeting Attdnc all time" sheetId="13" state="hidden" r:id="rId9"/>
    <sheet name="Previous Director Till 2012" sheetId="10" state="hidden" r:id="rId10"/>
    <sheet name="Directors List 2015-2018" sheetId="27" state="hidden" r:id="rId11"/>
    <sheet name="Name &amp; Designation" sheetId="8" r:id="rId12"/>
    <sheet name="Tax Certificate D (2)" sheetId="26" r:id="rId13"/>
    <sheet name="Tax Certificate D" sheetId="7" r:id="rId14"/>
    <sheet name="Tax Certificate ID" sheetId="25" state="hidden" r:id="rId15"/>
    <sheet name="Tax Certificate (SSC Member)" sheetId="9" state="hidden" r:id="rId16"/>
    <sheet name="Sheet2" sheetId="5" state="hidden" r:id="rId17"/>
  </sheets>
  <functionGroups builtInGroupCount="19"/>
  <definedNames>
    <definedName name="_xlnm._FilterDatabase" localSheetId="1" hidden="1">Temp_Sheet!#REF!</definedName>
    <definedName name="_xlnm.Criteria" localSheetId="2">'Meeting Details'!$A$2:$E$3</definedName>
    <definedName name="_xlnm.Extract" localSheetId="2">'Meeting Details'!$B$5:$C$5</definedName>
    <definedName name="NativeTimeline_Date">#N/A</definedName>
    <definedName name="_xlnm.Print_Area" localSheetId="15">'Tax Certificate (SSC Member)'!$A$6:$H$34</definedName>
    <definedName name="_xlnm.Print_Area" localSheetId="13">'Tax Certificate D'!$A$6:$H$37</definedName>
    <definedName name="_xlnm.Print_Area" localSheetId="12">'Tax Certificate D (2)'!$A$6:$H$37</definedName>
    <definedName name="_xlnm.Print_Area" localSheetId="14">'Tax Certificate ID'!$A$6:$H$37</definedName>
    <definedName name="Slicer_Meeting">#N/A</definedName>
  </definedNames>
  <calcPr calcId="191029"/>
  <pivotCaches>
    <pivotCache cacheId="0" r:id="rId18"/>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s>
    </ext>
    <ext xmlns:x15="http://schemas.microsoft.com/office/spreadsheetml/2010/11/main" uri="{46BE6895-7355-4a93-B00E-2C351335B9C9}">
      <x15:slicerCaches xmlns:x14="http://schemas.microsoft.com/office/spreadsheetml/2009/9/main">
        <x14:slicerCache r:id="rId2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21" i="1" l="1"/>
  <c r="B1722" i="1"/>
  <c r="B1723" i="1"/>
  <c r="B1724" i="1"/>
  <c r="B1725" i="1"/>
  <c r="B1726" i="1"/>
  <c r="B1727" i="1"/>
  <c r="B1728" i="1"/>
  <c r="B1729" i="1"/>
  <c r="F1721" i="1"/>
  <c r="F1722" i="1"/>
  <c r="F1723" i="1"/>
  <c r="F1724" i="1"/>
  <c r="F1725" i="1"/>
  <c r="F1726" i="1"/>
  <c r="F1727" i="1"/>
  <c r="F1728" i="1"/>
  <c r="F1729" i="1"/>
  <c r="G1721" i="1"/>
  <c r="G1722" i="1"/>
  <c r="G1723" i="1"/>
  <c r="G1724" i="1"/>
  <c r="G1725" i="1"/>
  <c r="G1726" i="1"/>
  <c r="G1727" i="1"/>
  <c r="G1728" i="1"/>
  <c r="G1729" i="1"/>
  <c r="H1721" i="1"/>
  <c r="H1722" i="1"/>
  <c r="H1723" i="1"/>
  <c r="H1724" i="1"/>
  <c r="H1725" i="1"/>
  <c r="H1726" i="1"/>
  <c r="H1727" i="1"/>
  <c r="H1728" i="1"/>
  <c r="H1729" i="1"/>
  <c r="K1721" i="1"/>
  <c r="L1721" i="1" s="1"/>
  <c r="K1722" i="1"/>
  <c r="L1722" i="1" s="1"/>
  <c r="K1723" i="1"/>
  <c r="L1723" i="1" s="1"/>
  <c r="K1724" i="1"/>
  <c r="L1724" i="1" s="1"/>
  <c r="K1725" i="1"/>
  <c r="K1726" i="1"/>
  <c r="L1726" i="1" s="1"/>
  <c r="K1727" i="1"/>
  <c r="L1727" i="1" s="1"/>
  <c r="K1728" i="1"/>
  <c r="L1728" i="1" s="1"/>
  <c r="K1729" i="1"/>
  <c r="L1725" i="1"/>
  <c r="L1729" i="1"/>
  <c r="B1720" i="1"/>
  <c r="F1720" i="1"/>
  <c r="G1720" i="1"/>
  <c r="H1720" i="1"/>
  <c r="K1720" i="1"/>
  <c r="L1720" i="1" s="1"/>
  <c r="B1717" i="1"/>
  <c r="B1718" i="1"/>
  <c r="B1719" i="1"/>
  <c r="F1717" i="1"/>
  <c r="F1718" i="1"/>
  <c r="F1719" i="1"/>
  <c r="G1717" i="1"/>
  <c r="G1718" i="1"/>
  <c r="G1719" i="1"/>
  <c r="H1717" i="1"/>
  <c r="H1718" i="1"/>
  <c r="H1719" i="1"/>
  <c r="K1717" i="1"/>
  <c r="L1717" i="1" s="1"/>
  <c r="K1718" i="1"/>
  <c r="L1718" i="1" s="1"/>
  <c r="K1719" i="1"/>
  <c r="L1719" i="1" s="1"/>
  <c r="B1716" i="1"/>
  <c r="F1716" i="1"/>
  <c r="G1716" i="1"/>
  <c r="H1716" i="1"/>
  <c r="K1716" i="1"/>
  <c r="L1716" i="1"/>
  <c r="B1714" i="1" l="1"/>
  <c r="B1715" i="1"/>
  <c r="F1714" i="1"/>
  <c r="F1715" i="1"/>
  <c r="G1714" i="1"/>
  <c r="G1715" i="1"/>
  <c r="H1714" i="1"/>
  <c r="H1715" i="1"/>
  <c r="K1714" i="1"/>
  <c r="K1715" i="1"/>
  <c r="L1715" i="1" s="1"/>
  <c r="L1714" i="1"/>
  <c r="A14" i="10" l="1"/>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3" i="10"/>
  <c r="A4" i="10"/>
  <c r="A5" i="10"/>
  <c r="A6" i="10"/>
  <c r="A7" i="10"/>
  <c r="A8" i="10"/>
  <c r="A9" i="10"/>
  <c r="A10" i="10"/>
  <c r="A11" i="10"/>
  <c r="A12" i="10"/>
  <c r="A13" i="10"/>
  <c r="A2" i="10"/>
  <c r="B1704" i="1" l="1"/>
  <c r="B1705" i="1"/>
  <c r="B1706" i="1"/>
  <c r="B1707" i="1"/>
  <c r="B1708" i="1"/>
  <c r="B1709" i="1"/>
  <c r="B1710" i="1"/>
  <c r="B1711" i="1"/>
  <c r="B1712" i="1"/>
  <c r="B1713" i="1"/>
  <c r="F1704" i="1"/>
  <c r="F1705" i="1"/>
  <c r="F1706" i="1"/>
  <c r="F1707" i="1"/>
  <c r="F1708" i="1"/>
  <c r="F1709" i="1"/>
  <c r="F1710" i="1"/>
  <c r="F1711" i="1"/>
  <c r="F1712" i="1"/>
  <c r="F1713" i="1"/>
  <c r="G1704" i="1"/>
  <c r="G1705" i="1"/>
  <c r="G1706" i="1"/>
  <c r="G1707" i="1"/>
  <c r="G1708" i="1"/>
  <c r="G1709" i="1"/>
  <c r="G1710" i="1"/>
  <c r="G1711" i="1"/>
  <c r="G1712" i="1"/>
  <c r="G1713" i="1"/>
  <c r="H1704" i="1"/>
  <c r="H1705" i="1"/>
  <c r="H1706" i="1"/>
  <c r="H1707" i="1"/>
  <c r="H1708" i="1"/>
  <c r="H1709" i="1"/>
  <c r="H1710" i="1"/>
  <c r="H1711" i="1"/>
  <c r="H1712" i="1"/>
  <c r="H1713" i="1"/>
  <c r="K1704" i="1"/>
  <c r="L1704" i="1" s="1"/>
  <c r="K1705" i="1"/>
  <c r="L1705" i="1" s="1"/>
  <c r="K1706" i="1"/>
  <c r="L1706" i="1" s="1"/>
  <c r="K1707" i="1"/>
  <c r="L1707" i="1" s="1"/>
  <c r="K1708" i="1"/>
  <c r="L1708" i="1" s="1"/>
  <c r="K1709" i="1"/>
  <c r="K1710" i="1"/>
  <c r="L1710" i="1" s="1"/>
  <c r="K1711" i="1"/>
  <c r="L1711" i="1" s="1"/>
  <c r="K1712" i="1"/>
  <c r="L1712" i="1" s="1"/>
  <c r="K1713" i="1"/>
  <c r="L1709" i="1"/>
  <c r="L1713" i="1"/>
  <c r="B1700" i="1" l="1"/>
  <c r="B1701" i="1"/>
  <c r="B1702" i="1"/>
  <c r="B1703" i="1"/>
  <c r="F1700" i="1"/>
  <c r="F1701" i="1"/>
  <c r="F1702" i="1"/>
  <c r="F1703" i="1"/>
  <c r="G1700" i="1"/>
  <c r="G1701" i="1"/>
  <c r="G1702" i="1"/>
  <c r="G1703" i="1"/>
  <c r="H1700" i="1"/>
  <c r="H1701" i="1"/>
  <c r="H1702" i="1"/>
  <c r="H1703" i="1"/>
  <c r="K1700" i="1"/>
  <c r="L1700" i="1" s="1"/>
  <c r="K1701" i="1"/>
  <c r="L1701" i="1" s="1"/>
  <c r="K1702" i="1"/>
  <c r="L1702" i="1" s="1"/>
  <c r="K1703" i="1"/>
  <c r="L1703" i="1" s="1"/>
  <c r="B1692" i="1" l="1"/>
  <c r="F1692" i="1"/>
  <c r="G1692" i="1"/>
  <c r="H1692" i="1"/>
  <c r="K1692" i="1"/>
  <c r="L1692" i="1"/>
  <c r="B1693" i="1"/>
  <c r="F1693" i="1"/>
  <c r="G1693" i="1"/>
  <c r="H1693" i="1"/>
  <c r="K1693" i="1"/>
  <c r="L1693" i="1"/>
  <c r="F1695" i="1"/>
  <c r="G1695" i="1"/>
  <c r="H1695" i="1"/>
  <c r="F1696" i="1"/>
  <c r="G1696" i="1"/>
  <c r="H1696" i="1"/>
  <c r="F1697" i="1"/>
  <c r="G1697" i="1"/>
  <c r="H1697" i="1"/>
  <c r="F1698" i="1"/>
  <c r="G1698" i="1"/>
  <c r="H1698" i="1"/>
  <c r="F1699" i="1"/>
  <c r="G1699" i="1"/>
  <c r="H1699" i="1"/>
  <c r="B1694" i="1"/>
  <c r="B1695" i="1"/>
  <c r="B1696" i="1"/>
  <c r="B1697" i="1"/>
  <c r="B1698" i="1"/>
  <c r="B1699" i="1"/>
  <c r="F1694" i="1"/>
  <c r="G1694" i="1"/>
  <c r="H1694" i="1"/>
  <c r="K1694" i="1"/>
  <c r="L1694" i="1" s="1"/>
  <c r="K1695" i="1"/>
  <c r="L1695" i="1" s="1"/>
  <c r="K1696" i="1"/>
  <c r="L1696" i="1" s="1"/>
  <c r="K1697" i="1"/>
  <c r="L1697" i="1" s="1"/>
  <c r="K1698" i="1"/>
  <c r="L1698" i="1" s="1"/>
  <c r="K1699" i="1"/>
  <c r="L1699" i="1" s="1"/>
  <c r="B1684" i="1"/>
  <c r="F1684" i="1"/>
  <c r="G1684" i="1"/>
  <c r="H1684" i="1"/>
  <c r="K1684" i="1"/>
  <c r="L1684" i="1" s="1"/>
  <c r="B1685" i="1"/>
  <c r="F1685" i="1"/>
  <c r="G1685" i="1"/>
  <c r="H1685" i="1"/>
  <c r="K1685" i="1"/>
  <c r="L1685" i="1" s="1"/>
  <c r="B1686" i="1" l="1"/>
  <c r="B1687" i="1"/>
  <c r="B1688" i="1"/>
  <c r="B1689" i="1"/>
  <c r="B1690" i="1"/>
  <c r="B1691" i="1"/>
  <c r="F1686" i="1"/>
  <c r="F1687" i="1"/>
  <c r="F1688" i="1"/>
  <c r="F1689" i="1"/>
  <c r="F1690" i="1"/>
  <c r="F1691" i="1"/>
  <c r="G1686" i="1"/>
  <c r="G1687" i="1"/>
  <c r="G1688" i="1"/>
  <c r="G1689" i="1"/>
  <c r="G1690" i="1"/>
  <c r="G1691" i="1"/>
  <c r="H1686" i="1"/>
  <c r="H1687" i="1"/>
  <c r="H1688" i="1"/>
  <c r="H1689" i="1"/>
  <c r="H1690" i="1"/>
  <c r="H1691" i="1"/>
  <c r="K1686" i="1"/>
  <c r="L1686" i="1" s="1"/>
  <c r="K1687" i="1"/>
  <c r="L1687" i="1" s="1"/>
  <c r="K1688" i="1"/>
  <c r="L1688" i="1" s="1"/>
  <c r="K1689" i="1"/>
  <c r="L1689" i="1" s="1"/>
  <c r="K1690" i="1"/>
  <c r="L1690" i="1" s="1"/>
  <c r="K1691" i="1"/>
  <c r="L1691" i="1" s="1"/>
  <c r="L1662" i="1" l="1"/>
  <c r="L1674" i="1"/>
  <c r="L1675" i="1"/>
  <c r="L1676" i="1"/>
  <c r="L1677" i="1"/>
  <c r="L1678" i="1"/>
  <c r="L1679" i="1"/>
  <c r="L1683" i="1"/>
  <c r="B1675" i="1" l="1"/>
  <c r="B1676" i="1"/>
  <c r="B1677" i="1"/>
  <c r="B1678" i="1"/>
  <c r="B1679" i="1"/>
  <c r="B1680" i="1"/>
  <c r="B1681" i="1"/>
  <c r="B1682" i="1"/>
  <c r="B1683" i="1"/>
  <c r="F1675" i="1"/>
  <c r="F1676" i="1"/>
  <c r="F1677" i="1"/>
  <c r="F1678" i="1"/>
  <c r="F1679" i="1"/>
  <c r="F1680" i="1"/>
  <c r="F1681" i="1"/>
  <c r="F1682" i="1"/>
  <c r="F1683" i="1"/>
  <c r="G1675" i="1"/>
  <c r="G1676" i="1"/>
  <c r="G1677" i="1"/>
  <c r="G1678" i="1"/>
  <c r="G1679" i="1"/>
  <c r="G1680" i="1"/>
  <c r="G1681" i="1"/>
  <c r="G1682" i="1"/>
  <c r="G1683" i="1"/>
  <c r="H1675" i="1"/>
  <c r="H1676" i="1"/>
  <c r="H1677" i="1"/>
  <c r="H1678" i="1"/>
  <c r="H1679" i="1"/>
  <c r="H1680" i="1"/>
  <c r="H1681" i="1"/>
  <c r="H1682" i="1"/>
  <c r="H1683" i="1"/>
  <c r="K1675" i="1"/>
  <c r="K1676" i="1"/>
  <c r="K1677" i="1"/>
  <c r="K1678" i="1"/>
  <c r="K1679" i="1"/>
  <c r="K1680" i="1"/>
  <c r="L1680" i="1" s="1"/>
  <c r="K1681" i="1"/>
  <c r="L1681" i="1" s="1"/>
  <c r="K1682" i="1"/>
  <c r="L1682" i="1" s="1"/>
  <c r="K1683" i="1"/>
  <c r="B1674" i="1"/>
  <c r="F1674" i="1"/>
  <c r="G1674" i="1"/>
  <c r="H1674" i="1"/>
  <c r="K1674" i="1"/>
  <c r="B1598" i="1"/>
  <c r="B1599" i="1"/>
  <c r="B1600" i="1"/>
  <c r="B1601" i="1"/>
  <c r="F1598" i="1"/>
  <c r="F1599" i="1"/>
  <c r="F1600" i="1"/>
  <c r="F1601" i="1"/>
  <c r="G1598" i="1"/>
  <c r="G1599" i="1"/>
  <c r="G1600" i="1"/>
  <c r="G1601" i="1"/>
  <c r="H1598" i="1"/>
  <c r="H1599" i="1"/>
  <c r="H1600" i="1"/>
  <c r="H1601" i="1"/>
  <c r="K1598" i="1"/>
  <c r="L1598" i="1" s="1"/>
  <c r="K1599" i="1"/>
  <c r="L1599" i="1" s="1"/>
  <c r="K1600" i="1"/>
  <c r="L1600" i="1" s="1"/>
  <c r="K1601" i="1"/>
  <c r="L1601" i="1" s="1"/>
  <c r="B1597" i="1"/>
  <c r="F1597" i="1"/>
  <c r="G1597" i="1"/>
  <c r="H1597" i="1"/>
  <c r="K1597" i="1"/>
  <c r="L1597" i="1" s="1"/>
  <c r="B1473" i="1"/>
  <c r="B1474" i="1"/>
  <c r="B1475" i="1"/>
  <c r="F1473" i="1"/>
  <c r="F1474" i="1"/>
  <c r="F1475" i="1"/>
  <c r="G1473" i="1"/>
  <c r="G1474" i="1"/>
  <c r="G1475" i="1"/>
  <c r="H1473" i="1"/>
  <c r="H1474" i="1"/>
  <c r="H1475" i="1"/>
  <c r="K1473" i="1"/>
  <c r="L1473" i="1" s="1"/>
  <c r="K1474" i="1"/>
  <c r="L1474" i="1" s="1"/>
  <c r="K1475" i="1"/>
  <c r="L1475" i="1" s="1"/>
  <c r="B1472" i="1"/>
  <c r="F1472" i="1"/>
  <c r="G1472" i="1"/>
  <c r="H1472" i="1"/>
  <c r="K1472" i="1"/>
  <c r="L1472" i="1" s="1"/>
  <c r="B1661" i="1"/>
  <c r="F1661" i="1"/>
  <c r="G1661" i="1"/>
  <c r="H1661" i="1"/>
  <c r="K1661" i="1"/>
  <c r="L1661" i="1" s="1"/>
  <c r="B1471" i="1"/>
  <c r="F1471" i="1"/>
  <c r="G1471" i="1"/>
  <c r="H1471" i="1"/>
  <c r="K1471" i="1"/>
  <c r="L1471" i="1" s="1"/>
  <c r="B1673" i="1"/>
  <c r="F1673" i="1"/>
  <c r="G1673" i="1"/>
  <c r="H1673" i="1"/>
  <c r="K1673" i="1"/>
  <c r="L1673" i="1" s="1"/>
  <c r="B1672" i="1"/>
  <c r="F1672" i="1"/>
  <c r="G1672" i="1"/>
  <c r="H1672" i="1"/>
  <c r="K1672" i="1"/>
  <c r="L1672" i="1" s="1"/>
  <c r="B1671" i="1"/>
  <c r="F1671" i="1"/>
  <c r="G1671" i="1"/>
  <c r="H1671" i="1"/>
  <c r="K1671" i="1"/>
  <c r="L1671" i="1" s="1"/>
  <c r="B1670" i="1"/>
  <c r="F1670" i="1"/>
  <c r="G1670" i="1"/>
  <c r="H1670" i="1"/>
  <c r="K1670" i="1"/>
  <c r="L1670" i="1" s="1"/>
  <c r="B1663" i="1"/>
  <c r="F1663" i="1"/>
  <c r="G1663" i="1"/>
  <c r="H1663" i="1"/>
  <c r="K1663" i="1"/>
  <c r="L1663" i="1" s="1"/>
  <c r="B1662" i="1"/>
  <c r="F1662" i="1"/>
  <c r="G1662" i="1"/>
  <c r="H1662" i="1"/>
  <c r="K1662" i="1"/>
  <c r="B1651" i="1"/>
  <c r="F1651" i="1"/>
  <c r="G1651" i="1"/>
  <c r="H1651" i="1"/>
  <c r="K1651" i="1"/>
  <c r="L1651" i="1" s="1"/>
  <c r="B1659" i="1"/>
  <c r="B1658" i="1"/>
  <c r="B1660" i="1"/>
  <c r="F1659" i="1"/>
  <c r="F1658" i="1"/>
  <c r="F1660" i="1"/>
  <c r="G1659" i="1"/>
  <c r="G1658" i="1"/>
  <c r="G1660" i="1"/>
  <c r="H1659" i="1"/>
  <c r="H1658" i="1"/>
  <c r="H1660" i="1"/>
  <c r="K1659" i="1"/>
  <c r="L1659" i="1" s="1"/>
  <c r="K1658" i="1"/>
  <c r="L1658" i="1" s="1"/>
  <c r="K1660" i="1"/>
  <c r="L1660" i="1" s="1"/>
  <c r="B1665" i="1"/>
  <c r="B1666" i="1"/>
  <c r="B1667" i="1"/>
  <c r="B1668" i="1"/>
  <c r="B1669" i="1"/>
  <c r="F1665" i="1"/>
  <c r="F1666" i="1"/>
  <c r="F1667" i="1"/>
  <c r="F1668" i="1"/>
  <c r="F1669" i="1"/>
  <c r="G1665" i="1"/>
  <c r="G1666" i="1"/>
  <c r="G1667" i="1"/>
  <c r="G1668" i="1"/>
  <c r="G1669" i="1"/>
  <c r="H1665" i="1"/>
  <c r="H1666" i="1"/>
  <c r="H1667" i="1"/>
  <c r="H1668" i="1"/>
  <c r="H1669" i="1"/>
  <c r="K1665" i="1"/>
  <c r="L1665" i="1" s="1"/>
  <c r="K1666" i="1"/>
  <c r="L1666" i="1" s="1"/>
  <c r="K1667" i="1"/>
  <c r="L1667" i="1" s="1"/>
  <c r="K1668" i="1"/>
  <c r="L1668" i="1" s="1"/>
  <c r="K1669" i="1"/>
  <c r="L1669" i="1" s="1"/>
  <c r="B1664" i="1"/>
  <c r="F1664" i="1"/>
  <c r="G1664" i="1"/>
  <c r="H1664" i="1"/>
  <c r="K1664" i="1"/>
  <c r="L1664" i="1" s="1"/>
  <c r="B1654" i="1"/>
  <c r="B1655" i="1"/>
  <c r="B1656" i="1"/>
  <c r="B1657" i="1"/>
  <c r="F1654" i="1"/>
  <c r="F1655" i="1"/>
  <c r="F1656" i="1"/>
  <c r="F1657" i="1"/>
  <c r="G1654" i="1"/>
  <c r="G1655" i="1"/>
  <c r="G1656" i="1"/>
  <c r="G1657" i="1"/>
  <c r="H1654" i="1"/>
  <c r="H1655" i="1"/>
  <c r="H1656" i="1"/>
  <c r="H1657" i="1"/>
  <c r="K1654" i="1"/>
  <c r="L1654" i="1" s="1"/>
  <c r="K1655" i="1"/>
  <c r="L1655" i="1" s="1"/>
  <c r="K1656" i="1"/>
  <c r="L1656" i="1" s="1"/>
  <c r="K1657" i="1"/>
  <c r="L1657" i="1" s="1"/>
  <c r="B1653" i="1"/>
  <c r="F1653" i="1"/>
  <c r="G1653" i="1"/>
  <c r="H1653" i="1"/>
  <c r="K1653" i="1"/>
  <c r="L1653" i="1" s="1"/>
  <c r="B1652" i="1"/>
  <c r="F1652" i="1"/>
  <c r="G1652" i="1"/>
  <c r="H1652" i="1"/>
  <c r="K1652" i="1"/>
  <c r="L1652" i="1" s="1"/>
  <c r="B1650" i="1"/>
  <c r="F1650" i="1"/>
  <c r="G1650" i="1"/>
  <c r="H1650" i="1"/>
  <c r="K1650" i="1"/>
  <c r="L1650" i="1" s="1"/>
  <c r="B1649" i="1"/>
  <c r="F1649" i="1"/>
  <c r="G1649" i="1"/>
  <c r="H1649" i="1"/>
  <c r="K1649" i="1"/>
  <c r="L1649" i="1" s="1"/>
  <c r="B1648" i="1"/>
  <c r="F1648" i="1"/>
  <c r="G1648" i="1"/>
  <c r="H1648" i="1"/>
  <c r="K1648" i="1"/>
  <c r="L1648" i="1" s="1"/>
  <c r="B1647" i="1"/>
  <c r="F1647" i="1"/>
  <c r="G1647" i="1"/>
  <c r="H1647" i="1"/>
  <c r="K1647" i="1"/>
  <c r="L1647" i="1" s="1"/>
  <c r="B1646" i="1"/>
  <c r="F1646" i="1"/>
  <c r="G1646" i="1"/>
  <c r="H1646" i="1"/>
  <c r="K1646" i="1"/>
  <c r="L1646" i="1" s="1"/>
  <c r="C2" i="26"/>
  <c r="C2" i="25"/>
  <c r="C2" i="9"/>
  <c r="C2" i="7"/>
  <c r="B1645" i="1"/>
  <c r="F1645" i="1"/>
  <c r="G1645" i="1"/>
  <c r="H1645" i="1"/>
  <c r="K1645" i="1"/>
  <c r="L1645" i="1" s="1"/>
  <c r="K1627" i="1"/>
  <c r="L1627" i="1" s="1"/>
  <c r="H1627" i="1"/>
  <c r="G1627" i="1"/>
  <c r="F1627" i="1"/>
  <c r="B1627" i="1"/>
  <c r="B1628" i="1"/>
  <c r="B1629" i="1"/>
  <c r="B1630" i="1"/>
  <c r="B1631" i="1"/>
  <c r="B1632" i="1"/>
  <c r="B1633" i="1"/>
  <c r="B1634" i="1"/>
  <c r="B1635" i="1"/>
  <c r="B1636" i="1"/>
  <c r="B1637" i="1"/>
  <c r="B1638" i="1"/>
  <c r="B1639" i="1"/>
  <c r="B1640" i="1"/>
  <c r="B1641" i="1"/>
  <c r="B1642" i="1"/>
  <c r="B1643" i="1"/>
  <c r="B1644" i="1"/>
  <c r="F1628" i="1"/>
  <c r="F1629" i="1"/>
  <c r="F1630" i="1"/>
  <c r="F1631" i="1"/>
  <c r="F1632" i="1"/>
  <c r="F1633" i="1"/>
  <c r="F1634" i="1"/>
  <c r="F1635" i="1"/>
  <c r="F1636" i="1"/>
  <c r="F1637" i="1"/>
  <c r="F1638" i="1"/>
  <c r="F1639" i="1"/>
  <c r="F1640" i="1"/>
  <c r="F1641" i="1"/>
  <c r="F1642" i="1"/>
  <c r="F1643" i="1"/>
  <c r="F1644" i="1"/>
  <c r="G1628" i="1"/>
  <c r="G1629" i="1"/>
  <c r="G1630" i="1"/>
  <c r="G1631" i="1"/>
  <c r="G1632" i="1"/>
  <c r="G1633" i="1"/>
  <c r="G1634" i="1"/>
  <c r="G1635" i="1"/>
  <c r="G1636" i="1"/>
  <c r="G1637" i="1"/>
  <c r="G1638" i="1"/>
  <c r="G1639" i="1"/>
  <c r="G1640" i="1"/>
  <c r="G1641" i="1"/>
  <c r="G1642" i="1"/>
  <c r="G1643" i="1"/>
  <c r="G1644" i="1"/>
  <c r="H1628" i="1"/>
  <c r="H1629" i="1"/>
  <c r="H1630" i="1"/>
  <c r="H1631" i="1"/>
  <c r="H1632" i="1"/>
  <c r="H1633" i="1"/>
  <c r="H1634" i="1"/>
  <c r="H1635" i="1"/>
  <c r="H1636" i="1"/>
  <c r="H1637" i="1"/>
  <c r="H1638" i="1"/>
  <c r="H1639" i="1"/>
  <c r="H1640" i="1"/>
  <c r="H1641" i="1"/>
  <c r="H1642" i="1"/>
  <c r="H1643" i="1"/>
  <c r="H1644" i="1"/>
  <c r="K1628" i="1"/>
  <c r="L1628" i="1" s="1"/>
  <c r="K1629" i="1"/>
  <c r="L1629" i="1" s="1"/>
  <c r="K1630" i="1"/>
  <c r="L1630" i="1" s="1"/>
  <c r="K1631" i="1"/>
  <c r="L1631" i="1" s="1"/>
  <c r="K1632" i="1"/>
  <c r="L1632" i="1" s="1"/>
  <c r="K1633" i="1"/>
  <c r="L1633" i="1" s="1"/>
  <c r="K1634" i="1"/>
  <c r="L1634" i="1" s="1"/>
  <c r="K1635" i="1"/>
  <c r="L1635" i="1" s="1"/>
  <c r="K1636" i="1"/>
  <c r="L1636" i="1" s="1"/>
  <c r="K1637" i="1"/>
  <c r="L1637" i="1" s="1"/>
  <c r="K1638" i="1"/>
  <c r="L1638" i="1" s="1"/>
  <c r="K1639" i="1"/>
  <c r="L1639" i="1" s="1"/>
  <c r="K1640" i="1"/>
  <c r="L1640" i="1" s="1"/>
  <c r="K1641" i="1"/>
  <c r="L1641" i="1" s="1"/>
  <c r="K1642" i="1"/>
  <c r="L1642" i="1" s="1"/>
  <c r="K1643" i="1"/>
  <c r="L1643" i="1" s="1"/>
  <c r="K1644" i="1"/>
  <c r="L1644" i="1" s="1"/>
  <c r="G12" i="7" l="1"/>
  <c r="G12" i="26"/>
  <c r="A12" i="26" s="1"/>
  <c r="G2" i="26"/>
  <c r="F2" i="26"/>
  <c r="I2" i="26" s="1"/>
  <c r="J2" i="26" s="1"/>
  <c r="A26" i="26"/>
  <c r="G12" i="25" l="1"/>
  <c r="G2" i="25"/>
  <c r="F2" i="25"/>
  <c r="J2" i="25" s="1"/>
  <c r="K2" i="25" s="1"/>
  <c r="A23" i="26"/>
  <c r="A26" i="25"/>
  <c r="A12" i="25" l="1"/>
  <c r="B1622" i="1"/>
  <c r="B1623" i="1"/>
  <c r="B1624" i="1"/>
  <c r="B1625" i="1"/>
  <c r="B1626" i="1"/>
  <c r="F1622" i="1"/>
  <c r="F1623" i="1"/>
  <c r="F1624" i="1"/>
  <c r="F1625" i="1"/>
  <c r="F1626" i="1"/>
  <c r="G1622" i="1"/>
  <c r="G1623" i="1"/>
  <c r="G1624" i="1"/>
  <c r="G1625" i="1"/>
  <c r="G1626" i="1"/>
  <c r="H1622" i="1"/>
  <c r="H1623" i="1"/>
  <c r="H1624" i="1"/>
  <c r="H1625" i="1"/>
  <c r="H1626" i="1"/>
  <c r="K1622" i="1"/>
  <c r="L1622" i="1" s="1"/>
  <c r="K1623" i="1"/>
  <c r="L1623" i="1" s="1"/>
  <c r="K1624" i="1"/>
  <c r="L1624" i="1" s="1"/>
  <c r="K1625" i="1"/>
  <c r="L1625" i="1" s="1"/>
  <c r="K1626" i="1"/>
  <c r="L1626" i="1" s="1"/>
  <c r="B1602" i="1"/>
  <c r="B1603" i="1"/>
  <c r="B1604" i="1"/>
  <c r="B1605" i="1"/>
  <c r="B1606" i="1"/>
  <c r="B1607" i="1"/>
  <c r="B1608" i="1"/>
  <c r="B1609" i="1"/>
  <c r="B1610" i="1"/>
  <c r="B1611" i="1"/>
  <c r="B1612" i="1"/>
  <c r="B1613" i="1"/>
  <c r="B1614" i="1"/>
  <c r="B1615" i="1"/>
  <c r="B1616" i="1"/>
  <c r="B1617" i="1"/>
  <c r="B1618" i="1"/>
  <c r="B1619" i="1"/>
  <c r="B1620" i="1"/>
  <c r="B1621" i="1"/>
  <c r="F1602" i="1"/>
  <c r="F1603" i="1"/>
  <c r="F1604" i="1"/>
  <c r="F1605" i="1"/>
  <c r="F1606" i="1"/>
  <c r="F1607" i="1"/>
  <c r="F1608" i="1"/>
  <c r="F1609" i="1"/>
  <c r="F1610" i="1"/>
  <c r="F1611" i="1"/>
  <c r="F1612" i="1"/>
  <c r="F1613" i="1"/>
  <c r="F1614" i="1"/>
  <c r="F1615" i="1"/>
  <c r="F1616" i="1"/>
  <c r="F1617" i="1"/>
  <c r="F1618" i="1"/>
  <c r="F1619" i="1"/>
  <c r="F1620" i="1"/>
  <c r="F1621" i="1"/>
  <c r="G1602" i="1"/>
  <c r="G1603" i="1"/>
  <c r="G1604" i="1"/>
  <c r="G1605" i="1"/>
  <c r="G1606" i="1"/>
  <c r="G1607" i="1"/>
  <c r="G1608" i="1"/>
  <c r="G1609" i="1"/>
  <c r="G1610" i="1"/>
  <c r="G1611" i="1"/>
  <c r="G1612" i="1"/>
  <c r="G1613" i="1"/>
  <c r="G1614" i="1"/>
  <c r="G1615" i="1"/>
  <c r="G1616" i="1"/>
  <c r="G1617" i="1"/>
  <c r="G1618" i="1"/>
  <c r="G1619" i="1"/>
  <c r="G1620" i="1"/>
  <c r="G1621" i="1"/>
  <c r="H1602" i="1"/>
  <c r="H1603" i="1"/>
  <c r="H1604" i="1"/>
  <c r="H1605" i="1"/>
  <c r="H1606" i="1"/>
  <c r="H1607" i="1"/>
  <c r="H1608" i="1"/>
  <c r="H1609" i="1"/>
  <c r="H1610" i="1"/>
  <c r="H1611" i="1"/>
  <c r="H1612" i="1"/>
  <c r="H1613" i="1"/>
  <c r="H1614" i="1"/>
  <c r="H1615" i="1"/>
  <c r="H1616" i="1"/>
  <c r="H1617" i="1"/>
  <c r="H1618" i="1"/>
  <c r="H1619" i="1"/>
  <c r="H1620" i="1"/>
  <c r="H1621" i="1"/>
  <c r="K1602" i="1"/>
  <c r="L1602" i="1" s="1"/>
  <c r="K1603" i="1"/>
  <c r="L1603" i="1" s="1"/>
  <c r="K1604" i="1"/>
  <c r="L1604" i="1" s="1"/>
  <c r="K1605" i="1"/>
  <c r="L1605" i="1" s="1"/>
  <c r="K1606" i="1"/>
  <c r="L1606" i="1" s="1"/>
  <c r="K1607" i="1"/>
  <c r="L1607" i="1" s="1"/>
  <c r="K1608" i="1"/>
  <c r="L1608" i="1" s="1"/>
  <c r="K1609" i="1"/>
  <c r="L1609" i="1" s="1"/>
  <c r="K1610" i="1"/>
  <c r="L1610" i="1" s="1"/>
  <c r="K1611" i="1"/>
  <c r="L1611" i="1" s="1"/>
  <c r="K1612" i="1"/>
  <c r="L1612" i="1" s="1"/>
  <c r="K1613" i="1"/>
  <c r="L1613" i="1" s="1"/>
  <c r="K1614" i="1"/>
  <c r="L1614" i="1" s="1"/>
  <c r="K1615" i="1"/>
  <c r="L1615" i="1" s="1"/>
  <c r="K1616" i="1"/>
  <c r="L1616" i="1" s="1"/>
  <c r="K1617" i="1"/>
  <c r="L1617" i="1" s="1"/>
  <c r="K1618" i="1"/>
  <c r="L1618" i="1" s="1"/>
  <c r="K1619" i="1"/>
  <c r="L1619" i="1" s="1"/>
  <c r="K1620" i="1"/>
  <c r="L1620" i="1" s="1"/>
  <c r="K1621" i="1"/>
  <c r="L1621" i="1" s="1"/>
  <c r="A23" i="25"/>
  <c r="B1394" i="1" l="1"/>
  <c r="F1394" i="1"/>
  <c r="G1394" i="1"/>
  <c r="H1394" i="1"/>
  <c r="K1394" i="1"/>
  <c r="L1394" i="1" s="1"/>
  <c r="B1508" i="1"/>
  <c r="F1508" i="1"/>
  <c r="G1508" i="1"/>
  <c r="H1508" i="1"/>
  <c r="K1508" i="1"/>
  <c r="L1508" i="1" s="1"/>
  <c r="B1596" i="1"/>
  <c r="F1596" i="1"/>
  <c r="G1596" i="1"/>
  <c r="H1596" i="1"/>
  <c r="K1596" i="1"/>
  <c r="L1596" i="1" s="1"/>
  <c r="B1589" i="1" l="1"/>
  <c r="B1590" i="1"/>
  <c r="B1591" i="1"/>
  <c r="B1592" i="1"/>
  <c r="B1593" i="1"/>
  <c r="B1594" i="1"/>
  <c r="B1595" i="1"/>
  <c r="F1589" i="1"/>
  <c r="F1590" i="1"/>
  <c r="F1591" i="1"/>
  <c r="F1592" i="1"/>
  <c r="F1593" i="1"/>
  <c r="F1594" i="1"/>
  <c r="F1595" i="1"/>
  <c r="G1589" i="1"/>
  <c r="G1590" i="1"/>
  <c r="G1591" i="1"/>
  <c r="G1592" i="1"/>
  <c r="G1593" i="1"/>
  <c r="G1594" i="1"/>
  <c r="G1595" i="1"/>
  <c r="H1589" i="1"/>
  <c r="H1590" i="1"/>
  <c r="H1591" i="1"/>
  <c r="H1592" i="1"/>
  <c r="H1593" i="1"/>
  <c r="H1594" i="1"/>
  <c r="H1595" i="1"/>
  <c r="K1589" i="1"/>
  <c r="L1589" i="1" s="1"/>
  <c r="K1590" i="1"/>
  <c r="L1590" i="1" s="1"/>
  <c r="K1591" i="1"/>
  <c r="L1591" i="1" s="1"/>
  <c r="K1592" i="1"/>
  <c r="L1592" i="1" s="1"/>
  <c r="K1593" i="1"/>
  <c r="L1593" i="1" s="1"/>
  <c r="K1594" i="1"/>
  <c r="L1594" i="1" s="1"/>
  <c r="K1595" i="1"/>
  <c r="L1595" i="1" s="1"/>
  <c r="B1569" i="1"/>
  <c r="B1570" i="1"/>
  <c r="B1571" i="1"/>
  <c r="B1572" i="1"/>
  <c r="B1573" i="1"/>
  <c r="B1574" i="1"/>
  <c r="B1575" i="1"/>
  <c r="B1576" i="1"/>
  <c r="B1577" i="1"/>
  <c r="B1578" i="1"/>
  <c r="B1579" i="1"/>
  <c r="B1580" i="1"/>
  <c r="B1581" i="1"/>
  <c r="B1582" i="1"/>
  <c r="B1583" i="1"/>
  <c r="B1584" i="1"/>
  <c r="B1585" i="1"/>
  <c r="B1586" i="1"/>
  <c r="B1587" i="1"/>
  <c r="B1588" i="1"/>
  <c r="F1569" i="1"/>
  <c r="F1570" i="1"/>
  <c r="F1571" i="1"/>
  <c r="F1572" i="1"/>
  <c r="F1573" i="1"/>
  <c r="F1574" i="1"/>
  <c r="F1575" i="1"/>
  <c r="F1576" i="1"/>
  <c r="F1577" i="1"/>
  <c r="F1578" i="1"/>
  <c r="F1579" i="1"/>
  <c r="F1580" i="1"/>
  <c r="F1581" i="1"/>
  <c r="F1582" i="1"/>
  <c r="F1583" i="1"/>
  <c r="F1584" i="1"/>
  <c r="F1585" i="1"/>
  <c r="F1586" i="1"/>
  <c r="F1587" i="1"/>
  <c r="F1588" i="1"/>
  <c r="G1569" i="1"/>
  <c r="G1570" i="1"/>
  <c r="G1571" i="1"/>
  <c r="G1572" i="1"/>
  <c r="G1573" i="1"/>
  <c r="G1574" i="1"/>
  <c r="G1575" i="1"/>
  <c r="G1576" i="1"/>
  <c r="G1577" i="1"/>
  <c r="G1578" i="1"/>
  <c r="G1579" i="1"/>
  <c r="G1580" i="1"/>
  <c r="G1581" i="1"/>
  <c r="G1582" i="1"/>
  <c r="G1583" i="1"/>
  <c r="G1584" i="1"/>
  <c r="G1585" i="1"/>
  <c r="G1586" i="1"/>
  <c r="G1587" i="1"/>
  <c r="G1588" i="1"/>
  <c r="H1569" i="1"/>
  <c r="H1570" i="1"/>
  <c r="H1571" i="1"/>
  <c r="H1572" i="1"/>
  <c r="H1573" i="1"/>
  <c r="H1574" i="1"/>
  <c r="H1575" i="1"/>
  <c r="H1576" i="1"/>
  <c r="H1577" i="1"/>
  <c r="H1578" i="1"/>
  <c r="H1579" i="1"/>
  <c r="H1580" i="1"/>
  <c r="H1581" i="1"/>
  <c r="H1582" i="1"/>
  <c r="H1583" i="1"/>
  <c r="H1584" i="1"/>
  <c r="H1585" i="1"/>
  <c r="H1586" i="1"/>
  <c r="H1587" i="1"/>
  <c r="H1588" i="1"/>
  <c r="K1569" i="1"/>
  <c r="L1569" i="1" s="1"/>
  <c r="K1570" i="1"/>
  <c r="L1570" i="1" s="1"/>
  <c r="K1571" i="1"/>
  <c r="L1571" i="1" s="1"/>
  <c r="K1572" i="1"/>
  <c r="L1572" i="1" s="1"/>
  <c r="K1573" i="1"/>
  <c r="L1573" i="1" s="1"/>
  <c r="K1574" i="1"/>
  <c r="L1574" i="1" s="1"/>
  <c r="K1575" i="1"/>
  <c r="L1575" i="1" s="1"/>
  <c r="K1576" i="1"/>
  <c r="L1576" i="1" s="1"/>
  <c r="K1577" i="1"/>
  <c r="L1577" i="1" s="1"/>
  <c r="K1578" i="1"/>
  <c r="L1578" i="1" s="1"/>
  <c r="K1579" i="1"/>
  <c r="L1579" i="1" s="1"/>
  <c r="K1580" i="1"/>
  <c r="L1580" i="1" s="1"/>
  <c r="K1581" i="1"/>
  <c r="L1581" i="1" s="1"/>
  <c r="K1582" i="1"/>
  <c r="L1582" i="1" s="1"/>
  <c r="K1583" i="1"/>
  <c r="L1583" i="1" s="1"/>
  <c r="K1584" i="1"/>
  <c r="L1584" i="1" s="1"/>
  <c r="K1585" i="1"/>
  <c r="L1585" i="1" s="1"/>
  <c r="K1586" i="1"/>
  <c r="L1586" i="1" s="1"/>
  <c r="K1587" i="1"/>
  <c r="L1587" i="1" s="1"/>
  <c r="K1588" i="1"/>
  <c r="L1588" i="1" s="1"/>
  <c r="B1564" i="1"/>
  <c r="B1565" i="1"/>
  <c r="B1566" i="1"/>
  <c r="B1567" i="1"/>
  <c r="B1568" i="1"/>
  <c r="F1564" i="1"/>
  <c r="F1565" i="1"/>
  <c r="F1566" i="1"/>
  <c r="F1567" i="1"/>
  <c r="F1568" i="1"/>
  <c r="G1564" i="1"/>
  <c r="G1565" i="1"/>
  <c r="G1566" i="1"/>
  <c r="G1567" i="1"/>
  <c r="G1568" i="1"/>
  <c r="H1564" i="1"/>
  <c r="H1565" i="1"/>
  <c r="H1566" i="1"/>
  <c r="H1567" i="1"/>
  <c r="H1568" i="1"/>
  <c r="K1564" i="1"/>
  <c r="L1564" i="1" s="1"/>
  <c r="K1565" i="1"/>
  <c r="L1565" i="1" s="1"/>
  <c r="K1566" i="1"/>
  <c r="L1566" i="1" s="1"/>
  <c r="K1567" i="1"/>
  <c r="L1567" i="1" s="1"/>
  <c r="K1568" i="1"/>
  <c r="L1568" i="1" s="1"/>
  <c r="B1544" i="1" l="1"/>
  <c r="B1545" i="1"/>
  <c r="B1546" i="1"/>
  <c r="B1547" i="1"/>
  <c r="B1548" i="1"/>
  <c r="B1549" i="1"/>
  <c r="B1550" i="1"/>
  <c r="B1551" i="1"/>
  <c r="B1552" i="1"/>
  <c r="B1553" i="1"/>
  <c r="B1554" i="1"/>
  <c r="B1555" i="1"/>
  <c r="B1556" i="1"/>
  <c r="B1557" i="1"/>
  <c r="B1558" i="1"/>
  <c r="B1559" i="1"/>
  <c r="B1560" i="1"/>
  <c r="B1561" i="1"/>
  <c r="B1562" i="1"/>
  <c r="B1563" i="1"/>
  <c r="F1544" i="1"/>
  <c r="F1545" i="1"/>
  <c r="F1546" i="1"/>
  <c r="F1547" i="1"/>
  <c r="F1548" i="1"/>
  <c r="F1549" i="1"/>
  <c r="F1550" i="1"/>
  <c r="F1551" i="1"/>
  <c r="F1552" i="1"/>
  <c r="F1553" i="1"/>
  <c r="F1554" i="1"/>
  <c r="F1555" i="1"/>
  <c r="F1556" i="1"/>
  <c r="F1557" i="1"/>
  <c r="F1558" i="1"/>
  <c r="F1559" i="1"/>
  <c r="F1560" i="1"/>
  <c r="F1561" i="1"/>
  <c r="F1562" i="1"/>
  <c r="F1563" i="1"/>
  <c r="G1544" i="1"/>
  <c r="G1545" i="1"/>
  <c r="G1546" i="1"/>
  <c r="G1547" i="1"/>
  <c r="G1548" i="1"/>
  <c r="G1549" i="1"/>
  <c r="G1550" i="1"/>
  <c r="G1551" i="1"/>
  <c r="G1552" i="1"/>
  <c r="G1553" i="1"/>
  <c r="G1554" i="1"/>
  <c r="G1555" i="1"/>
  <c r="G1556" i="1"/>
  <c r="G1557" i="1"/>
  <c r="G1558" i="1"/>
  <c r="G1559" i="1"/>
  <c r="G1560" i="1"/>
  <c r="G1561" i="1"/>
  <c r="G1562" i="1"/>
  <c r="G1563" i="1"/>
  <c r="H1544" i="1"/>
  <c r="H1545" i="1"/>
  <c r="H1546" i="1"/>
  <c r="H1547" i="1"/>
  <c r="H1548" i="1"/>
  <c r="H1549" i="1"/>
  <c r="H1550" i="1"/>
  <c r="H1551" i="1"/>
  <c r="H1552" i="1"/>
  <c r="H1553" i="1"/>
  <c r="H1554" i="1"/>
  <c r="H1555" i="1"/>
  <c r="H1556" i="1"/>
  <c r="H1557" i="1"/>
  <c r="H1558" i="1"/>
  <c r="H1559" i="1"/>
  <c r="H1560" i="1"/>
  <c r="H1561" i="1"/>
  <c r="H1562" i="1"/>
  <c r="H1563" i="1"/>
  <c r="K1544" i="1"/>
  <c r="L1544" i="1" s="1"/>
  <c r="K1545" i="1"/>
  <c r="L1545" i="1" s="1"/>
  <c r="K1546" i="1"/>
  <c r="L1546" i="1" s="1"/>
  <c r="K1547" i="1"/>
  <c r="L1547" i="1" s="1"/>
  <c r="K1548" i="1"/>
  <c r="L1548" i="1" s="1"/>
  <c r="K1549" i="1"/>
  <c r="L1549" i="1" s="1"/>
  <c r="K1550" i="1"/>
  <c r="L1550" i="1" s="1"/>
  <c r="K1551" i="1"/>
  <c r="L1551" i="1" s="1"/>
  <c r="K1552" i="1"/>
  <c r="L1552" i="1" s="1"/>
  <c r="K1553" i="1"/>
  <c r="L1553" i="1" s="1"/>
  <c r="K1554" i="1"/>
  <c r="L1554" i="1" s="1"/>
  <c r="K1555" i="1"/>
  <c r="L1555" i="1" s="1"/>
  <c r="K1556" i="1"/>
  <c r="L1556" i="1" s="1"/>
  <c r="K1557" i="1"/>
  <c r="L1557" i="1" s="1"/>
  <c r="K1558" i="1"/>
  <c r="L1558" i="1" s="1"/>
  <c r="K1559" i="1"/>
  <c r="L1559" i="1" s="1"/>
  <c r="K1560" i="1"/>
  <c r="L1560" i="1" s="1"/>
  <c r="K1561" i="1"/>
  <c r="L1561" i="1" s="1"/>
  <c r="K1562" i="1"/>
  <c r="L1562" i="1" s="1"/>
  <c r="K1563" i="1"/>
  <c r="L1563" i="1" s="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3" i="1"/>
  <c r="H1064" i="1"/>
  <c r="H1065" i="1"/>
  <c r="H1066" i="1"/>
  <c r="H1067" i="1"/>
  <c r="H1068" i="1"/>
  <c r="H1069" i="1"/>
  <c r="H1070" i="1"/>
  <c r="H1071" i="1"/>
  <c r="H1072" i="1"/>
  <c r="H1073" i="1"/>
  <c r="H1074" i="1"/>
  <c r="H1075" i="1"/>
  <c r="H1076" i="1"/>
  <c r="H1077" i="1"/>
  <c r="H1078" i="1"/>
  <c r="H1062"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G2" i="7" l="1"/>
  <c r="F2" i="7"/>
  <c r="A26" i="7"/>
  <c r="I2" i="7" l="1"/>
  <c r="J2" i="7" s="1"/>
  <c r="B1539" i="1"/>
  <c r="B1540" i="1"/>
  <c r="B1541" i="1"/>
  <c r="B1542" i="1"/>
  <c r="B1543" i="1"/>
  <c r="F1539" i="1"/>
  <c r="F1540" i="1"/>
  <c r="F1541" i="1"/>
  <c r="F1542" i="1"/>
  <c r="F1543" i="1"/>
  <c r="G1539" i="1"/>
  <c r="G1540" i="1"/>
  <c r="G1541" i="1"/>
  <c r="G1542" i="1"/>
  <c r="G1543" i="1"/>
  <c r="K1539" i="1"/>
  <c r="L1539" i="1" s="1"/>
  <c r="K1540" i="1"/>
  <c r="L1540" i="1" s="1"/>
  <c r="K1541" i="1"/>
  <c r="L1541" i="1" s="1"/>
  <c r="K1542" i="1"/>
  <c r="L1542" i="1" s="1"/>
  <c r="K1543" i="1"/>
  <c r="L1543" i="1" s="1"/>
  <c r="B1535" i="1" l="1"/>
  <c r="B1536" i="1"/>
  <c r="B1537" i="1"/>
  <c r="B1538" i="1"/>
  <c r="F1535" i="1"/>
  <c r="F1536" i="1"/>
  <c r="F1537" i="1"/>
  <c r="F1538" i="1"/>
  <c r="G1535" i="1"/>
  <c r="G1536" i="1"/>
  <c r="G1537" i="1"/>
  <c r="G1538" i="1"/>
  <c r="K1535" i="1"/>
  <c r="L1535" i="1" s="1"/>
  <c r="K1536" i="1"/>
  <c r="L1536" i="1" s="1"/>
  <c r="K1537" i="1"/>
  <c r="L1537" i="1" s="1"/>
  <c r="K1538" i="1"/>
  <c r="L1538" i="1" s="1"/>
  <c r="B1534" i="1"/>
  <c r="F1534" i="1"/>
  <c r="G1534" i="1"/>
  <c r="K1534" i="1"/>
  <c r="L1534" i="1" s="1"/>
  <c r="B1514" i="1"/>
  <c r="B1515" i="1"/>
  <c r="B1516" i="1"/>
  <c r="B1517" i="1"/>
  <c r="B1518" i="1"/>
  <c r="B1519" i="1"/>
  <c r="B1520" i="1"/>
  <c r="B1521" i="1"/>
  <c r="B1522" i="1"/>
  <c r="B1523" i="1"/>
  <c r="B1524" i="1"/>
  <c r="B1525" i="1"/>
  <c r="B1526" i="1"/>
  <c r="B1527" i="1"/>
  <c r="B1528" i="1"/>
  <c r="B1529" i="1"/>
  <c r="B1530" i="1"/>
  <c r="B1531" i="1"/>
  <c r="B1532" i="1"/>
  <c r="B1533" i="1"/>
  <c r="F1514" i="1"/>
  <c r="F1515" i="1"/>
  <c r="F1516" i="1"/>
  <c r="F1517" i="1"/>
  <c r="F1518" i="1"/>
  <c r="F1519" i="1"/>
  <c r="F1520" i="1"/>
  <c r="F1521" i="1"/>
  <c r="F1522" i="1"/>
  <c r="F1523" i="1"/>
  <c r="F1524" i="1"/>
  <c r="F1525" i="1"/>
  <c r="F1526" i="1"/>
  <c r="F1527" i="1"/>
  <c r="F1528" i="1"/>
  <c r="F1529" i="1"/>
  <c r="F1530" i="1"/>
  <c r="F1531" i="1"/>
  <c r="F1532" i="1"/>
  <c r="F1533" i="1"/>
  <c r="G1514" i="1"/>
  <c r="G1515" i="1"/>
  <c r="G1516" i="1"/>
  <c r="G1517" i="1"/>
  <c r="G1518" i="1"/>
  <c r="G1519" i="1"/>
  <c r="G1520" i="1"/>
  <c r="G1521" i="1"/>
  <c r="G1522" i="1"/>
  <c r="G1523" i="1"/>
  <c r="G1524" i="1"/>
  <c r="G1525" i="1"/>
  <c r="G1526" i="1"/>
  <c r="G1527" i="1"/>
  <c r="G1528" i="1"/>
  <c r="G1529" i="1"/>
  <c r="G1530" i="1"/>
  <c r="G1531" i="1"/>
  <c r="G1532" i="1"/>
  <c r="G1533" i="1"/>
  <c r="K1514" i="1"/>
  <c r="L1514" i="1" s="1"/>
  <c r="K1515" i="1"/>
  <c r="L1515" i="1" s="1"/>
  <c r="K1516" i="1"/>
  <c r="L1516" i="1" s="1"/>
  <c r="K1517" i="1"/>
  <c r="L1517" i="1" s="1"/>
  <c r="K1518" i="1"/>
  <c r="L1518" i="1" s="1"/>
  <c r="K1519" i="1"/>
  <c r="L1519" i="1" s="1"/>
  <c r="K1520" i="1"/>
  <c r="L1520" i="1" s="1"/>
  <c r="K1521" i="1"/>
  <c r="L1521" i="1" s="1"/>
  <c r="K1522" i="1"/>
  <c r="L1522" i="1" s="1"/>
  <c r="K1523" i="1"/>
  <c r="L1523" i="1" s="1"/>
  <c r="K1524" i="1"/>
  <c r="L1524" i="1" s="1"/>
  <c r="K1525" i="1"/>
  <c r="L1525" i="1" s="1"/>
  <c r="K1526" i="1"/>
  <c r="L1526" i="1" s="1"/>
  <c r="K1527" i="1"/>
  <c r="L1527" i="1" s="1"/>
  <c r="K1528" i="1"/>
  <c r="L1528" i="1" s="1"/>
  <c r="K1529" i="1"/>
  <c r="L1529" i="1" s="1"/>
  <c r="K1530" i="1"/>
  <c r="L1530" i="1" s="1"/>
  <c r="K1531" i="1"/>
  <c r="L1531" i="1" s="1"/>
  <c r="K1532" i="1"/>
  <c r="L1532" i="1" s="1"/>
  <c r="K1533" i="1"/>
  <c r="L1533" i="1" s="1"/>
  <c r="B1509" i="1" l="1"/>
  <c r="B1510" i="1"/>
  <c r="B1511" i="1"/>
  <c r="B1512" i="1"/>
  <c r="B1513" i="1"/>
  <c r="F1509" i="1"/>
  <c r="F1510" i="1"/>
  <c r="F1511" i="1"/>
  <c r="F1512" i="1"/>
  <c r="F1513" i="1"/>
  <c r="G1509" i="1"/>
  <c r="G1510" i="1"/>
  <c r="G1511" i="1"/>
  <c r="G1512" i="1"/>
  <c r="G1513" i="1"/>
  <c r="K1509" i="1"/>
  <c r="L1509" i="1" s="1"/>
  <c r="K1510" i="1"/>
  <c r="L1510" i="1" s="1"/>
  <c r="K1511" i="1"/>
  <c r="L1511" i="1" s="1"/>
  <c r="K1512" i="1"/>
  <c r="L1512" i="1" s="1"/>
  <c r="K1513" i="1"/>
  <c r="L1513" i="1" s="1"/>
  <c r="C2" i="17" l="1"/>
  <c r="H12" i="9"/>
  <c r="G2" i="9"/>
  <c r="F2" i="9"/>
  <c r="B22" i="18"/>
  <c r="B23" i="18"/>
  <c r="B5" i="18"/>
  <c r="B16" i="18"/>
  <c r="B3" i="18"/>
  <c r="B4" i="18"/>
  <c r="B25" i="18"/>
  <c r="B26" i="18"/>
  <c r="B15" i="18"/>
  <c r="B6" i="18"/>
  <c r="B7" i="18"/>
  <c r="B8" i="18"/>
  <c r="B9" i="18"/>
  <c r="B10" i="18"/>
  <c r="B11" i="18"/>
  <c r="B19" i="18"/>
  <c r="B12" i="18"/>
  <c r="B14" i="18"/>
  <c r="B2" i="18"/>
  <c r="B13" i="18"/>
  <c r="B21" i="18"/>
  <c r="B17" i="18"/>
  <c r="B24" i="18"/>
  <c r="B20" i="18"/>
  <c r="B28" i="18"/>
  <c r="B27" i="18"/>
  <c r="B29" i="18"/>
  <c r="B30" i="18"/>
  <c r="B31" i="18"/>
  <c r="B32" i="18"/>
  <c r="B33" i="18"/>
  <c r="B34" i="18"/>
  <c r="B18" i="18"/>
  <c r="A26" i="9"/>
  <c r="A23" i="9"/>
  <c r="B5" i="16" l="1"/>
  <c r="C22" i="18" s="1"/>
  <c r="B6" i="16"/>
  <c r="C23" i="18" s="1"/>
  <c r="B7" i="16"/>
  <c r="C5" i="18" s="1"/>
  <c r="B8" i="16"/>
  <c r="C16" i="18" s="1"/>
  <c r="B9" i="16"/>
  <c r="C3" i="18" s="1"/>
  <c r="B10" i="16"/>
  <c r="C4" i="18" s="1"/>
  <c r="B11" i="16"/>
  <c r="C25" i="18" s="1"/>
  <c r="B12" i="16"/>
  <c r="C26" i="18" s="1"/>
  <c r="B13" i="16"/>
  <c r="C15" i="18" s="1"/>
  <c r="B14" i="16"/>
  <c r="C6" i="18" s="1"/>
  <c r="B15" i="16"/>
  <c r="C7" i="18" s="1"/>
  <c r="B16" i="16"/>
  <c r="C8" i="18" s="1"/>
  <c r="B17" i="16"/>
  <c r="C9" i="18" s="1"/>
  <c r="B18" i="16"/>
  <c r="C10" i="18" s="1"/>
  <c r="B19" i="16"/>
  <c r="C11" i="18" s="1"/>
  <c r="B20" i="16"/>
  <c r="C19" i="18" s="1"/>
  <c r="B21" i="16"/>
  <c r="C12" i="18" s="1"/>
  <c r="B22" i="16"/>
  <c r="C14" i="18" s="1"/>
  <c r="B23" i="16"/>
  <c r="C2" i="18" s="1"/>
  <c r="B24" i="16"/>
  <c r="C13" i="18" s="1"/>
  <c r="B25" i="16"/>
  <c r="C21" i="18" s="1"/>
  <c r="B26" i="16"/>
  <c r="C17" i="18" s="1"/>
  <c r="B27" i="16"/>
  <c r="C24" i="18" s="1"/>
  <c r="B28" i="16"/>
  <c r="C20" i="18" s="1"/>
  <c r="B29" i="16"/>
  <c r="C28" i="18" s="1"/>
  <c r="B30" i="16"/>
  <c r="C27" i="18" s="1"/>
  <c r="B31" i="16"/>
  <c r="C29" i="18" s="1"/>
  <c r="B32" i="16"/>
  <c r="C30" i="18" s="1"/>
  <c r="B33" i="16"/>
  <c r="C31" i="18" s="1"/>
  <c r="B34" i="16"/>
  <c r="C32" i="18" s="1"/>
  <c r="B35" i="16"/>
  <c r="C33" i="18" s="1"/>
  <c r="B36" i="16"/>
  <c r="C34" i="18" s="1"/>
  <c r="B37" i="16"/>
  <c r="B38" i="16"/>
  <c r="B39" i="16"/>
  <c r="B4" i="16"/>
  <c r="C18" i="18" s="1"/>
  <c r="J39" i="16"/>
  <c r="J38" i="16"/>
  <c r="J37" i="16"/>
  <c r="J36" i="16"/>
  <c r="K34" i="18" s="1"/>
  <c r="J35" i="16"/>
  <c r="K33" i="18" s="1"/>
  <c r="J34" i="16"/>
  <c r="K32" i="18" s="1"/>
  <c r="J33" i="16"/>
  <c r="K31" i="18" s="1"/>
  <c r="J32" i="16"/>
  <c r="K30" i="18" s="1"/>
  <c r="J31" i="16"/>
  <c r="K29" i="18" s="1"/>
  <c r="J30" i="16"/>
  <c r="K27" i="18" s="1"/>
  <c r="J29" i="16"/>
  <c r="K28" i="18" s="1"/>
  <c r="J28" i="16"/>
  <c r="K20" i="18" s="1"/>
  <c r="J27" i="16"/>
  <c r="K24" i="18" s="1"/>
  <c r="J26" i="16"/>
  <c r="K17" i="18" s="1"/>
  <c r="J25" i="16"/>
  <c r="K21" i="18" s="1"/>
  <c r="J24" i="16"/>
  <c r="K13" i="18" s="1"/>
  <c r="J23" i="16"/>
  <c r="K2" i="18" s="1"/>
  <c r="J22" i="16"/>
  <c r="K14" i="18" s="1"/>
  <c r="J21" i="16"/>
  <c r="K12" i="18" s="1"/>
  <c r="J20" i="16"/>
  <c r="K19" i="18" s="1"/>
  <c r="J19" i="16"/>
  <c r="K11" i="18" s="1"/>
  <c r="J18" i="16"/>
  <c r="K10" i="18" s="1"/>
  <c r="J17" i="16"/>
  <c r="K9" i="18" s="1"/>
  <c r="J16" i="16"/>
  <c r="K8" i="18" s="1"/>
  <c r="J15" i="16"/>
  <c r="K7" i="18" s="1"/>
  <c r="J14" i="16"/>
  <c r="K6" i="18" s="1"/>
  <c r="J13" i="16"/>
  <c r="K15" i="18" s="1"/>
  <c r="J12" i="16"/>
  <c r="K26" i="18" s="1"/>
  <c r="J11" i="16"/>
  <c r="K25" i="18" s="1"/>
  <c r="J10" i="16"/>
  <c r="K4" i="18" s="1"/>
  <c r="J9" i="16"/>
  <c r="K3" i="18" s="1"/>
  <c r="J8" i="16"/>
  <c r="K16" i="18" s="1"/>
  <c r="J7" i="16"/>
  <c r="K5" i="18" s="1"/>
  <c r="J6" i="16"/>
  <c r="K23" i="18" s="1"/>
  <c r="J5" i="16"/>
  <c r="K22" i="18" s="1"/>
  <c r="J4" i="16"/>
  <c r="K18" i="18" s="1"/>
  <c r="K7" i="1" l="1"/>
  <c r="L7" i="1" s="1"/>
  <c r="K8" i="1"/>
  <c r="L8" i="1" s="1"/>
  <c r="K9" i="1"/>
  <c r="L9" i="1" s="1"/>
  <c r="K10" i="1"/>
  <c r="L10" i="1" s="1"/>
  <c r="K11" i="1"/>
  <c r="L11" i="1" s="1"/>
  <c r="K12" i="1"/>
  <c r="L12" i="1" s="1"/>
  <c r="K13" i="1"/>
  <c r="L13" i="1" s="1"/>
  <c r="K14" i="1"/>
  <c r="L14" i="1" s="1"/>
  <c r="K15" i="1"/>
  <c r="L15" i="1" s="1"/>
  <c r="K16" i="1"/>
  <c r="L16" i="1" s="1"/>
  <c r="K17" i="1"/>
  <c r="L17" i="1" s="1"/>
  <c r="K18" i="1"/>
  <c r="L18" i="1" s="1"/>
  <c r="K19" i="1"/>
  <c r="L19" i="1" s="1"/>
  <c r="K20" i="1"/>
  <c r="L20" i="1" s="1"/>
  <c r="K21" i="1"/>
  <c r="L21" i="1" s="1"/>
  <c r="K22" i="1"/>
  <c r="L22" i="1" s="1"/>
  <c r="K23" i="1"/>
  <c r="L23" i="1" s="1"/>
  <c r="K24" i="1"/>
  <c r="L24" i="1" s="1"/>
  <c r="K25" i="1"/>
  <c r="L25" i="1" s="1"/>
  <c r="K26" i="1"/>
  <c r="L26" i="1" s="1"/>
  <c r="K27" i="1"/>
  <c r="L27" i="1" s="1"/>
  <c r="K28" i="1"/>
  <c r="L28" i="1" s="1"/>
  <c r="K29" i="1"/>
  <c r="L29" i="1" s="1"/>
  <c r="K30" i="1"/>
  <c r="L30" i="1" s="1"/>
  <c r="K31" i="1"/>
  <c r="L31" i="1" s="1"/>
  <c r="K32" i="1"/>
  <c r="L32" i="1" s="1"/>
  <c r="K33" i="1"/>
  <c r="L33" i="1" s="1"/>
  <c r="K34" i="1"/>
  <c r="L34" i="1" s="1"/>
  <c r="K35" i="1"/>
  <c r="L35" i="1" s="1"/>
  <c r="K36" i="1"/>
  <c r="L36" i="1" s="1"/>
  <c r="K37" i="1"/>
  <c r="L37" i="1" s="1"/>
  <c r="K38" i="1"/>
  <c r="L38" i="1" s="1"/>
  <c r="K39" i="1"/>
  <c r="L39" i="1" s="1"/>
  <c r="K40" i="1"/>
  <c r="L40" i="1" s="1"/>
  <c r="K41" i="1"/>
  <c r="L41" i="1" s="1"/>
  <c r="K42" i="1"/>
  <c r="L42" i="1" s="1"/>
  <c r="K43" i="1"/>
  <c r="L43" i="1" s="1"/>
  <c r="K44" i="1"/>
  <c r="L44" i="1" s="1"/>
  <c r="K45" i="1"/>
  <c r="L45" i="1" s="1"/>
  <c r="K46" i="1"/>
  <c r="L46" i="1" s="1"/>
  <c r="K47" i="1"/>
  <c r="L47" i="1" s="1"/>
  <c r="K48" i="1"/>
  <c r="L48" i="1" s="1"/>
  <c r="K49" i="1"/>
  <c r="L49" i="1" s="1"/>
  <c r="K50" i="1"/>
  <c r="L50" i="1" s="1"/>
  <c r="K51" i="1"/>
  <c r="L51" i="1" s="1"/>
  <c r="K52" i="1"/>
  <c r="L52" i="1" s="1"/>
  <c r="K53" i="1"/>
  <c r="L53" i="1" s="1"/>
  <c r="K54" i="1"/>
  <c r="L54" i="1" s="1"/>
  <c r="K55" i="1"/>
  <c r="L55" i="1" s="1"/>
  <c r="K56" i="1"/>
  <c r="L56" i="1" s="1"/>
  <c r="K57" i="1"/>
  <c r="L57" i="1" s="1"/>
  <c r="K58" i="1"/>
  <c r="L58" i="1" s="1"/>
  <c r="K59" i="1"/>
  <c r="L59" i="1" s="1"/>
  <c r="K60" i="1"/>
  <c r="L60" i="1" s="1"/>
  <c r="K61" i="1"/>
  <c r="L61" i="1" s="1"/>
  <c r="K62" i="1"/>
  <c r="L62" i="1" s="1"/>
  <c r="K63" i="1"/>
  <c r="L63" i="1" s="1"/>
  <c r="K64" i="1"/>
  <c r="L64" i="1" s="1"/>
  <c r="K65" i="1"/>
  <c r="L65" i="1" s="1"/>
  <c r="K66" i="1"/>
  <c r="L66" i="1" s="1"/>
  <c r="K67" i="1"/>
  <c r="L67" i="1" s="1"/>
  <c r="K68" i="1"/>
  <c r="L68" i="1" s="1"/>
  <c r="K69" i="1"/>
  <c r="L69" i="1" s="1"/>
  <c r="K70" i="1"/>
  <c r="L70" i="1" s="1"/>
  <c r="K71" i="1"/>
  <c r="L71" i="1" s="1"/>
  <c r="K72" i="1"/>
  <c r="L72" i="1" s="1"/>
  <c r="K73" i="1"/>
  <c r="L73" i="1" s="1"/>
  <c r="K74" i="1"/>
  <c r="L74" i="1" s="1"/>
  <c r="K75" i="1"/>
  <c r="L75" i="1" s="1"/>
  <c r="K76" i="1"/>
  <c r="L76" i="1" s="1"/>
  <c r="K77" i="1"/>
  <c r="L77" i="1" s="1"/>
  <c r="K78" i="1"/>
  <c r="L78" i="1" s="1"/>
  <c r="K79" i="1"/>
  <c r="L79" i="1" s="1"/>
  <c r="K80" i="1"/>
  <c r="L80" i="1" s="1"/>
  <c r="K81" i="1"/>
  <c r="L81" i="1" s="1"/>
  <c r="K82" i="1"/>
  <c r="L82" i="1" s="1"/>
  <c r="K83" i="1"/>
  <c r="L83" i="1" s="1"/>
  <c r="K84" i="1"/>
  <c r="L84" i="1" s="1"/>
  <c r="K85" i="1"/>
  <c r="L85" i="1" s="1"/>
  <c r="K86" i="1"/>
  <c r="L86" i="1" s="1"/>
  <c r="K87" i="1"/>
  <c r="L87" i="1" s="1"/>
  <c r="K88" i="1"/>
  <c r="L88" i="1" s="1"/>
  <c r="K89" i="1"/>
  <c r="L89" i="1" s="1"/>
  <c r="K90" i="1"/>
  <c r="L90" i="1" s="1"/>
  <c r="K91" i="1"/>
  <c r="L91" i="1" s="1"/>
  <c r="K92" i="1"/>
  <c r="L92" i="1" s="1"/>
  <c r="K93" i="1"/>
  <c r="L93" i="1" s="1"/>
  <c r="K94" i="1"/>
  <c r="L94" i="1" s="1"/>
  <c r="K95" i="1"/>
  <c r="L95" i="1" s="1"/>
  <c r="K96" i="1"/>
  <c r="L96" i="1" s="1"/>
  <c r="K97" i="1"/>
  <c r="L97" i="1" s="1"/>
  <c r="K98" i="1"/>
  <c r="L98" i="1" s="1"/>
  <c r="K99" i="1"/>
  <c r="L99" i="1" s="1"/>
  <c r="K100" i="1"/>
  <c r="L100" i="1" s="1"/>
  <c r="K101" i="1"/>
  <c r="L101" i="1" s="1"/>
  <c r="K102" i="1"/>
  <c r="L102" i="1" s="1"/>
  <c r="K103" i="1"/>
  <c r="L103" i="1" s="1"/>
  <c r="K104" i="1"/>
  <c r="L104" i="1" s="1"/>
  <c r="K105" i="1"/>
  <c r="L105" i="1" s="1"/>
  <c r="K106" i="1"/>
  <c r="L106" i="1" s="1"/>
  <c r="K107" i="1"/>
  <c r="L107" i="1" s="1"/>
  <c r="K108" i="1"/>
  <c r="L108" i="1" s="1"/>
  <c r="K109" i="1"/>
  <c r="L109" i="1" s="1"/>
  <c r="K110" i="1"/>
  <c r="L110" i="1" s="1"/>
  <c r="K111" i="1"/>
  <c r="L111" i="1" s="1"/>
  <c r="K112" i="1"/>
  <c r="L112" i="1" s="1"/>
  <c r="K113" i="1"/>
  <c r="L113" i="1" s="1"/>
  <c r="K114" i="1"/>
  <c r="L114" i="1" s="1"/>
  <c r="K115" i="1"/>
  <c r="L115" i="1" s="1"/>
  <c r="K116" i="1"/>
  <c r="L116" i="1" s="1"/>
  <c r="K117" i="1"/>
  <c r="L117" i="1" s="1"/>
  <c r="K118" i="1"/>
  <c r="L118" i="1" s="1"/>
  <c r="K119" i="1"/>
  <c r="L119" i="1" s="1"/>
  <c r="K120" i="1"/>
  <c r="L120" i="1" s="1"/>
  <c r="K121" i="1"/>
  <c r="L121" i="1" s="1"/>
  <c r="K122" i="1"/>
  <c r="L122" i="1" s="1"/>
  <c r="K123" i="1"/>
  <c r="L123" i="1" s="1"/>
  <c r="K124" i="1"/>
  <c r="L124" i="1" s="1"/>
  <c r="K125" i="1"/>
  <c r="L125" i="1" s="1"/>
  <c r="K126" i="1"/>
  <c r="L126" i="1" s="1"/>
  <c r="K127" i="1"/>
  <c r="L127" i="1" s="1"/>
  <c r="K128" i="1"/>
  <c r="L128" i="1" s="1"/>
  <c r="K129" i="1"/>
  <c r="L129" i="1" s="1"/>
  <c r="K130" i="1"/>
  <c r="L130" i="1" s="1"/>
  <c r="K131" i="1"/>
  <c r="L131" i="1" s="1"/>
  <c r="K132" i="1"/>
  <c r="L132" i="1" s="1"/>
  <c r="K133" i="1"/>
  <c r="L133" i="1" s="1"/>
  <c r="K134" i="1"/>
  <c r="L134" i="1" s="1"/>
  <c r="K135" i="1"/>
  <c r="L135" i="1" s="1"/>
  <c r="K136" i="1"/>
  <c r="L136" i="1" s="1"/>
  <c r="K137" i="1"/>
  <c r="L137" i="1" s="1"/>
  <c r="K138" i="1"/>
  <c r="L138" i="1" s="1"/>
  <c r="K139" i="1"/>
  <c r="L139" i="1" s="1"/>
  <c r="K140" i="1"/>
  <c r="L140" i="1" s="1"/>
  <c r="K141" i="1"/>
  <c r="L141" i="1" s="1"/>
  <c r="K142" i="1"/>
  <c r="L142" i="1" s="1"/>
  <c r="K143" i="1"/>
  <c r="L143" i="1" s="1"/>
  <c r="K144" i="1"/>
  <c r="L144" i="1" s="1"/>
  <c r="K145" i="1"/>
  <c r="L145" i="1" s="1"/>
  <c r="K146" i="1"/>
  <c r="L146" i="1" s="1"/>
  <c r="K147" i="1"/>
  <c r="L147" i="1" s="1"/>
  <c r="K148" i="1"/>
  <c r="L148" i="1" s="1"/>
  <c r="K149" i="1"/>
  <c r="L149" i="1" s="1"/>
  <c r="K150" i="1"/>
  <c r="L150" i="1" s="1"/>
  <c r="K151" i="1"/>
  <c r="L151" i="1" s="1"/>
  <c r="K152" i="1"/>
  <c r="L152" i="1" s="1"/>
  <c r="K153" i="1"/>
  <c r="L153" i="1" s="1"/>
  <c r="K154" i="1"/>
  <c r="L154" i="1" s="1"/>
  <c r="K155" i="1"/>
  <c r="L155" i="1" s="1"/>
  <c r="K156" i="1"/>
  <c r="L156" i="1" s="1"/>
  <c r="K157" i="1"/>
  <c r="L157" i="1" s="1"/>
  <c r="K158" i="1"/>
  <c r="L158" i="1" s="1"/>
  <c r="K159" i="1"/>
  <c r="L159" i="1" s="1"/>
  <c r="K160" i="1"/>
  <c r="L160" i="1" s="1"/>
  <c r="K161" i="1"/>
  <c r="L161" i="1" s="1"/>
  <c r="K162" i="1"/>
  <c r="L162" i="1" s="1"/>
  <c r="K163" i="1"/>
  <c r="L163" i="1" s="1"/>
  <c r="K164" i="1"/>
  <c r="L164" i="1" s="1"/>
  <c r="K165" i="1"/>
  <c r="L165" i="1" s="1"/>
  <c r="K166" i="1"/>
  <c r="L166" i="1" s="1"/>
  <c r="K167" i="1"/>
  <c r="L167" i="1" s="1"/>
  <c r="K168" i="1"/>
  <c r="L168" i="1" s="1"/>
  <c r="K169" i="1"/>
  <c r="L169" i="1" s="1"/>
  <c r="K170" i="1"/>
  <c r="L170" i="1" s="1"/>
  <c r="K171" i="1"/>
  <c r="L171" i="1" s="1"/>
  <c r="K172" i="1"/>
  <c r="L172" i="1" s="1"/>
  <c r="K173" i="1"/>
  <c r="L173" i="1" s="1"/>
  <c r="K174" i="1"/>
  <c r="L174" i="1" s="1"/>
  <c r="K175" i="1"/>
  <c r="L175" i="1" s="1"/>
  <c r="K176" i="1"/>
  <c r="L176" i="1" s="1"/>
  <c r="K177" i="1"/>
  <c r="L177" i="1" s="1"/>
  <c r="K178" i="1"/>
  <c r="L178" i="1" s="1"/>
  <c r="K179" i="1"/>
  <c r="L179" i="1" s="1"/>
  <c r="K180" i="1"/>
  <c r="L180" i="1" s="1"/>
  <c r="K181" i="1"/>
  <c r="L181" i="1" s="1"/>
  <c r="K182" i="1"/>
  <c r="L182" i="1" s="1"/>
  <c r="K183" i="1"/>
  <c r="L183" i="1" s="1"/>
  <c r="K184" i="1"/>
  <c r="L184" i="1" s="1"/>
  <c r="K185" i="1"/>
  <c r="L185" i="1" s="1"/>
  <c r="K186" i="1"/>
  <c r="L186" i="1" s="1"/>
  <c r="K187" i="1"/>
  <c r="L187" i="1" s="1"/>
  <c r="K188" i="1"/>
  <c r="L188" i="1" s="1"/>
  <c r="K189" i="1"/>
  <c r="L189" i="1" s="1"/>
  <c r="K190" i="1"/>
  <c r="L190" i="1" s="1"/>
  <c r="K191" i="1"/>
  <c r="L191" i="1" s="1"/>
  <c r="K192" i="1"/>
  <c r="L192" i="1" s="1"/>
  <c r="K193" i="1"/>
  <c r="L193" i="1" s="1"/>
  <c r="K194" i="1"/>
  <c r="L194" i="1" s="1"/>
  <c r="K195" i="1"/>
  <c r="L195" i="1" s="1"/>
  <c r="K196" i="1"/>
  <c r="L196" i="1" s="1"/>
  <c r="K197" i="1"/>
  <c r="L197" i="1" s="1"/>
  <c r="K198" i="1"/>
  <c r="L198" i="1" s="1"/>
  <c r="K199" i="1"/>
  <c r="L199" i="1" s="1"/>
  <c r="K200" i="1"/>
  <c r="L200" i="1" s="1"/>
  <c r="K201" i="1"/>
  <c r="L201" i="1" s="1"/>
  <c r="K202" i="1"/>
  <c r="L202" i="1" s="1"/>
  <c r="K203" i="1"/>
  <c r="L203" i="1" s="1"/>
  <c r="K204" i="1"/>
  <c r="L204" i="1" s="1"/>
  <c r="K205" i="1"/>
  <c r="L205" i="1" s="1"/>
  <c r="K206" i="1"/>
  <c r="L206" i="1" s="1"/>
  <c r="K207" i="1"/>
  <c r="L207" i="1" s="1"/>
  <c r="K208" i="1"/>
  <c r="L208" i="1" s="1"/>
  <c r="K209" i="1"/>
  <c r="L209" i="1" s="1"/>
  <c r="K210" i="1"/>
  <c r="L210" i="1" s="1"/>
  <c r="K211" i="1"/>
  <c r="L211" i="1" s="1"/>
  <c r="K212" i="1"/>
  <c r="L212" i="1" s="1"/>
  <c r="K213" i="1"/>
  <c r="L213" i="1" s="1"/>
  <c r="K214" i="1"/>
  <c r="L214" i="1" s="1"/>
  <c r="K215" i="1"/>
  <c r="L215" i="1" s="1"/>
  <c r="K216" i="1"/>
  <c r="L216" i="1" s="1"/>
  <c r="K217" i="1"/>
  <c r="L217" i="1" s="1"/>
  <c r="K218" i="1"/>
  <c r="L218" i="1" s="1"/>
  <c r="K219" i="1"/>
  <c r="L219" i="1" s="1"/>
  <c r="K220" i="1"/>
  <c r="L220" i="1" s="1"/>
  <c r="K221" i="1"/>
  <c r="L221" i="1" s="1"/>
  <c r="K222" i="1"/>
  <c r="L222" i="1" s="1"/>
  <c r="K223" i="1"/>
  <c r="L223" i="1" s="1"/>
  <c r="K224" i="1"/>
  <c r="L224" i="1" s="1"/>
  <c r="K225" i="1"/>
  <c r="L225" i="1" s="1"/>
  <c r="K226" i="1"/>
  <c r="L226" i="1" s="1"/>
  <c r="K227" i="1"/>
  <c r="L227" i="1" s="1"/>
  <c r="K228" i="1"/>
  <c r="L228" i="1" s="1"/>
  <c r="K229" i="1"/>
  <c r="L229" i="1" s="1"/>
  <c r="K230" i="1"/>
  <c r="L230" i="1" s="1"/>
  <c r="K231" i="1"/>
  <c r="L231" i="1" s="1"/>
  <c r="K232" i="1"/>
  <c r="L232" i="1" s="1"/>
  <c r="K233" i="1"/>
  <c r="L233" i="1" s="1"/>
  <c r="K234" i="1"/>
  <c r="L234" i="1" s="1"/>
  <c r="K235" i="1"/>
  <c r="L235" i="1" s="1"/>
  <c r="K236" i="1"/>
  <c r="L236" i="1" s="1"/>
  <c r="K237" i="1"/>
  <c r="L237" i="1" s="1"/>
  <c r="K238" i="1"/>
  <c r="L238" i="1" s="1"/>
  <c r="K239" i="1"/>
  <c r="L239" i="1" s="1"/>
  <c r="K240" i="1"/>
  <c r="L240" i="1" s="1"/>
  <c r="K241" i="1"/>
  <c r="L241" i="1" s="1"/>
  <c r="K242" i="1"/>
  <c r="L242" i="1" s="1"/>
  <c r="K243" i="1"/>
  <c r="L243" i="1" s="1"/>
  <c r="K244" i="1"/>
  <c r="L244" i="1" s="1"/>
  <c r="K245" i="1"/>
  <c r="L245" i="1" s="1"/>
  <c r="K246" i="1"/>
  <c r="L246" i="1" s="1"/>
  <c r="K247" i="1"/>
  <c r="L247" i="1" s="1"/>
  <c r="K248" i="1"/>
  <c r="L248" i="1" s="1"/>
  <c r="K249" i="1"/>
  <c r="L249" i="1" s="1"/>
  <c r="K250" i="1"/>
  <c r="L250" i="1" s="1"/>
  <c r="K251" i="1"/>
  <c r="L251" i="1" s="1"/>
  <c r="K252" i="1"/>
  <c r="L252" i="1" s="1"/>
  <c r="K253" i="1"/>
  <c r="L253" i="1" s="1"/>
  <c r="K254" i="1"/>
  <c r="L254" i="1" s="1"/>
  <c r="K255" i="1"/>
  <c r="L255" i="1" s="1"/>
  <c r="K256" i="1"/>
  <c r="L256" i="1" s="1"/>
  <c r="K257" i="1"/>
  <c r="L257" i="1" s="1"/>
  <c r="K258" i="1"/>
  <c r="L258" i="1" s="1"/>
  <c r="K259" i="1"/>
  <c r="L259" i="1" s="1"/>
  <c r="K260" i="1"/>
  <c r="L260" i="1" s="1"/>
  <c r="K261" i="1"/>
  <c r="L261" i="1" s="1"/>
  <c r="K262" i="1"/>
  <c r="L262" i="1" s="1"/>
  <c r="K263" i="1"/>
  <c r="L263" i="1" s="1"/>
  <c r="K264" i="1"/>
  <c r="L264" i="1" s="1"/>
  <c r="K265" i="1"/>
  <c r="L265" i="1" s="1"/>
  <c r="K266" i="1"/>
  <c r="L266" i="1" s="1"/>
  <c r="K267" i="1"/>
  <c r="L267" i="1" s="1"/>
  <c r="K268" i="1"/>
  <c r="L268" i="1" s="1"/>
  <c r="K269" i="1"/>
  <c r="L269" i="1" s="1"/>
  <c r="K270" i="1"/>
  <c r="L270" i="1" s="1"/>
  <c r="K271" i="1"/>
  <c r="L271" i="1" s="1"/>
  <c r="K272" i="1"/>
  <c r="L272" i="1" s="1"/>
  <c r="K273" i="1"/>
  <c r="L273" i="1" s="1"/>
  <c r="K274" i="1"/>
  <c r="L274" i="1" s="1"/>
  <c r="K275" i="1"/>
  <c r="L275" i="1" s="1"/>
  <c r="K276" i="1"/>
  <c r="L276" i="1" s="1"/>
  <c r="K277" i="1"/>
  <c r="L277" i="1" s="1"/>
  <c r="K278" i="1"/>
  <c r="L278" i="1" s="1"/>
  <c r="K279" i="1"/>
  <c r="L279" i="1" s="1"/>
  <c r="K280" i="1"/>
  <c r="L280" i="1" s="1"/>
  <c r="K281" i="1"/>
  <c r="L281" i="1" s="1"/>
  <c r="K282" i="1"/>
  <c r="L282" i="1" s="1"/>
  <c r="K283" i="1"/>
  <c r="L283" i="1" s="1"/>
  <c r="K284" i="1"/>
  <c r="L284" i="1" s="1"/>
  <c r="K285" i="1"/>
  <c r="L285" i="1" s="1"/>
  <c r="K286" i="1"/>
  <c r="L286" i="1" s="1"/>
  <c r="K287" i="1"/>
  <c r="L287" i="1" s="1"/>
  <c r="K288" i="1"/>
  <c r="L288" i="1" s="1"/>
  <c r="K289" i="1"/>
  <c r="L289" i="1" s="1"/>
  <c r="K290" i="1"/>
  <c r="L290" i="1" s="1"/>
  <c r="K291" i="1"/>
  <c r="L291" i="1" s="1"/>
  <c r="K292" i="1"/>
  <c r="L292" i="1" s="1"/>
  <c r="K293" i="1"/>
  <c r="L293" i="1" s="1"/>
  <c r="K294" i="1"/>
  <c r="L294" i="1" s="1"/>
  <c r="K295" i="1"/>
  <c r="L295" i="1" s="1"/>
  <c r="K296" i="1"/>
  <c r="L296" i="1" s="1"/>
  <c r="K297" i="1"/>
  <c r="L297" i="1" s="1"/>
  <c r="K298" i="1"/>
  <c r="L298" i="1" s="1"/>
  <c r="K299" i="1"/>
  <c r="L299" i="1" s="1"/>
  <c r="K300" i="1"/>
  <c r="L300" i="1" s="1"/>
  <c r="K301" i="1"/>
  <c r="L301" i="1" s="1"/>
  <c r="K302" i="1"/>
  <c r="L302" i="1" s="1"/>
  <c r="K303" i="1"/>
  <c r="L303" i="1" s="1"/>
  <c r="K304" i="1"/>
  <c r="L304" i="1" s="1"/>
  <c r="K305" i="1"/>
  <c r="L305" i="1" s="1"/>
  <c r="K306" i="1"/>
  <c r="L306" i="1" s="1"/>
  <c r="K307" i="1"/>
  <c r="L307" i="1" s="1"/>
  <c r="K308" i="1"/>
  <c r="L308" i="1" s="1"/>
  <c r="K309" i="1"/>
  <c r="L309" i="1" s="1"/>
  <c r="K310" i="1"/>
  <c r="L310" i="1" s="1"/>
  <c r="K311" i="1"/>
  <c r="L311" i="1" s="1"/>
  <c r="K312" i="1"/>
  <c r="L312" i="1" s="1"/>
  <c r="K313" i="1"/>
  <c r="L313" i="1" s="1"/>
  <c r="K314" i="1"/>
  <c r="L314" i="1" s="1"/>
  <c r="K315" i="1"/>
  <c r="L315" i="1" s="1"/>
  <c r="K316" i="1"/>
  <c r="L316" i="1" s="1"/>
  <c r="K317" i="1"/>
  <c r="L317" i="1" s="1"/>
  <c r="K318" i="1"/>
  <c r="L318" i="1" s="1"/>
  <c r="K319" i="1"/>
  <c r="L319" i="1" s="1"/>
  <c r="K320" i="1"/>
  <c r="L320" i="1" s="1"/>
  <c r="K321" i="1"/>
  <c r="L321" i="1" s="1"/>
  <c r="K322" i="1"/>
  <c r="L322" i="1" s="1"/>
  <c r="K323" i="1"/>
  <c r="L323" i="1" s="1"/>
  <c r="K324" i="1"/>
  <c r="L324" i="1" s="1"/>
  <c r="K325" i="1"/>
  <c r="L325" i="1" s="1"/>
  <c r="K326" i="1"/>
  <c r="L326" i="1" s="1"/>
  <c r="K327" i="1"/>
  <c r="L327" i="1" s="1"/>
  <c r="K328" i="1"/>
  <c r="L328" i="1" s="1"/>
  <c r="K329" i="1"/>
  <c r="L329" i="1" s="1"/>
  <c r="K330" i="1"/>
  <c r="L330" i="1" s="1"/>
  <c r="K331" i="1"/>
  <c r="L331" i="1" s="1"/>
  <c r="K332" i="1"/>
  <c r="L332" i="1" s="1"/>
  <c r="K333" i="1"/>
  <c r="L333" i="1" s="1"/>
  <c r="K334" i="1"/>
  <c r="L334" i="1" s="1"/>
  <c r="K335" i="1"/>
  <c r="L335" i="1" s="1"/>
  <c r="K336" i="1"/>
  <c r="L336" i="1" s="1"/>
  <c r="K337" i="1"/>
  <c r="L337" i="1" s="1"/>
  <c r="K338" i="1"/>
  <c r="L338" i="1" s="1"/>
  <c r="K339" i="1"/>
  <c r="L339" i="1" s="1"/>
  <c r="K340" i="1"/>
  <c r="L340" i="1" s="1"/>
  <c r="K341" i="1"/>
  <c r="L341" i="1" s="1"/>
  <c r="K342" i="1"/>
  <c r="L342" i="1" s="1"/>
  <c r="K343" i="1"/>
  <c r="L343" i="1" s="1"/>
  <c r="K344" i="1"/>
  <c r="L344" i="1" s="1"/>
  <c r="K345" i="1"/>
  <c r="L345" i="1" s="1"/>
  <c r="K346" i="1"/>
  <c r="L346" i="1" s="1"/>
  <c r="K347" i="1"/>
  <c r="L347" i="1" s="1"/>
  <c r="K348" i="1"/>
  <c r="L348" i="1" s="1"/>
  <c r="K349" i="1"/>
  <c r="L349" i="1" s="1"/>
  <c r="K350" i="1"/>
  <c r="L350" i="1" s="1"/>
  <c r="K351" i="1"/>
  <c r="L351" i="1" s="1"/>
  <c r="K352" i="1"/>
  <c r="L352" i="1" s="1"/>
  <c r="K353" i="1"/>
  <c r="L353" i="1" s="1"/>
  <c r="K354" i="1"/>
  <c r="L354" i="1" s="1"/>
  <c r="K355" i="1"/>
  <c r="L355" i="1" s="1"/>
  <c r="K356" i="1"/>
  <c r="L356" i="1" s="1"/>
  <c r="K357" i="1"/>
  <c r="L357" i="1" s="1"/>
  <c r="K358" i="1"/>
  <c r="L358" i="1" s="1"/>
  <c r="K359" i="1"/>
  <c r="L359" i="1" s="1"/>
  <c r="K360" i="1"/>
  <c r="L360" i="1" s="1"/>
  <c r="K361" i="1"/>
  <c r="L361" i="1" s="1"/>
  <c r="K362" i="1"/>
  <c r="L362" i="1" s="1"/>
  <c r="K363" i="1"/>
  <c r="L363" i="1" s="1"/>
  <c r="K364" i="1"/>
  <c r="L364" i="1" s="1"/>
  <c r="K365" i="1"/>
  <c r="L365" i="1" s="1"/>
  <c r="K366" i="1"/>
  <c r="L366" i="1" s="1"/>
  <c r="K367" i="1"/>
  <c r="L367" i="1" s="1"/>
  <c r="K368" i="1"/>
  <c r="L368" i="1" s="1"/>
  <c r="K369" i="1"/>
  <c r="L369" i="1" s="1"/>
  <c r="K370" i="1"/>
  <c r="L370" i="1" s="1"/>
  <c r="K371" i="1"/>
  <c r="L371" i="1" s="1"/>
  <c r="K372" i="1"/>
  <c r="L372" i="1" s="1"/>
  <c r="K373" i="1"/>
  <c r="L373" i="1" s="1"/>
  <c r="K374" i="1"/>
  <c r="L374" i="1" s="1"/>
  <c r="K375" i="1"/>
  <c r="L375" i="1" s="1"/>
  <c r="K376" i="1"/>
  <c r="L376" i="1" s="1"/>
  <c r="K377" i="1"/>
  <c r="L377" i="1" s="1"/>
  <c r="K378" i="1"/>
  <c r="L378" i="1" s="1"/>
  <c r="K379" i="1"/>
  <c r="L379" i="1" s="1"/>
  <c r="K380" i="1"/>
  <c r="L380" i="1" s="1"/>
  <c r="K381" i="1"/>
  <c r="L381" i="1" s="1"/>
  <c r="K382" i="1"/>
  <c r="L382" i="1" s="1"/>
  <c r="K383" i="1"/>
  <c r="L383" i="1" s="1"/>
  <c r="K384" i="1"/>
  <c r="L384" i="1" s="1"/>
  <c r="K385" i="1"/>
  <c r="L385" i="1" s="1"/>
  <c r="K386" i="1"/>
  <c r="L386" i="1" s="1"/>
  <c r="K387" i="1"/>
  <c r="L387" i="1" s="1"/>
  <c r="K388" i="1"/>
  <c r="L388" i="1" s="1"/>
  <c r="K389" i="1"/>
  <c r="L389" i="1" s="1"/>
  <c r="K390" i="1"/>
  <c r="L390" i="1" s="1"/>
  <c r="K391" i="1"/>
  <c r="L391" i="1" s="1"/>
  <c r="K392" i="1"/>
  <c r="L392" i="1" s="1"/>
  <c r="K393" i="1"/>
  <c r="L393" i="1" s="1"/>
  <c r="K394" i="1"/>
  <c r="L394" i="1" s="1"/>
  <c r="K395" i="1"/>
  <c r="L395" i="1" s="1"/>
  <c r="K396" i="1"/>
  <c r="L396" i="1" s="1"/>
  <c r="K397" i="1"/>
  <c r="L397" i="1" s="1"/>
  <c r="K398" i="1"/>
  <c r="L398" i="1" s="1"/>
  <c r="K399" i="1"/>
  <c r="L399" i="1" s="1"/>
  <c r="K400" i="1"/>
  <c r="L400" i="1" s="1"/>
  <c r="K401" i="1"/>
  <c r="L401" i="1" s="1"/>
  <c r="K402" i="1"/>
  <c r="L402" i="1" s="1"/>
  <c r="K403" i="1"/>
  <c r="L403" i="1" s="1"/>
  <c r="K404" i="1"/>
  <c r="L404" i="1" s="1"/>
  <c r="K405" i="1"/>
  <c r="L405" i="1" s="1"/>
  <c r="K406" i="1"/>
  <c r="L406" i="1" s="1"/>
  <c r="K407" i="1"/>
  <c r="L407" i="1" s="1"/>
  <c r="K408" i="1"/>
  <c r="L408" i="1" s="1"/>
  <c r="K409" i="1"/>
  <c r="L409" i="1" s="1"/>
  <c r="K410" i="1"/>
  <c r="L410" i="1" s="1"/>
  <c r="K411" i="1"/>
  <c r="L411" i="1" s="1"/>
  <c r="K412" i="1"/>
  <c r="L412" i="1" s="1"/>
  <c r="K413" i="1"/>
  <c r="L413" i="1" s="1"/>
  <c r="K414" i="1"/>
  <c r="L414" i="1" s="1"/>
  <c r="K415" i="1"/>
  <c r="L415" i="1" s="1"/>
  <c r="K416" i="1"/>
  <c r="L416" i="1" s="1"/>
  <c r="K417" i="1"/>
  <c r="L417" i="1" s="1"/>
  <c r="K418" i="1"/>
  <c r="L418" i="1" s="1"/>
  <c r="K419" i="1"/>
  <c r="L419" i="1" s="1"/>
  <c r="K420" i="1"/>
  <c r="L420" i="1" s="1"/>
  <c r="K421" i="1"/>
  <c r="L421" i="1" s="1"/>
  <c r="K422" i="1"/>
  <c r="L422" i="1" s="1"/>
  <c r="K423" i="1"/>
  <c r="L423" i="1" s="1"/>
  <c r="K424" i="1"/>
  <c r="L424" i="1" s="1"/>
  <c r="K425" i="1"/>
  <c r="L425" i="1" s="1"/>
  <c r="K426" i="1"/>
  <c r="L426" i="1" s="1"/>
  <c r="K427" i="1"/>
  <c r="L427" i="1" s="1"/>
  <c r="K428" i="1"/>
  <c r="L428" i="1" s="1"/>
  <c r="K429" i="1"/>
  <c r="L429" i="1" s="1"/>
  <c r="K430" i="1"/>
  <c r="L430" i="1" s="1"/>
  <c r="K431" i="1"/>
  <c r="L431" i="1" s="1"/>
  <c r="K432" i="1"/>
  <c r="L432" i="1" s="1"/>
  <c r="K433" i="1"/>
  <c r="L433" i="1" s="1"/>
  <c r="K434" i="1"/>
  <c r="L434" i="1" s="1"/>
  <c r="K435" i="1"/>
  <c r="L435" i="1" s="1"/>
  <c r="K436" i="1"/>
  <c r="L436" i="1" s="1"/>
  <c r="K437" i="1"/>
  <c r="L437" i="1" s="1"/>
  <c r="K438" i="1"/>
  <c r="L438" i="1" s="1"/>
  <c r="K439" i="1"/>
  <c r="L439" i="1" s="1"/>
  <c r="K440" i="1"/>
  <c r="L440" i="1" s="1"/>
  <c r="K441" i="1"/>
  <c r="L441" i="1" s="1"/>
  <c r="K442" i="1"/>
  <c r="L442" i="1" s="1"/>
  <c r="K443" i="1"/>
  <c r="L443" i="1" s="1"/>
  <c r="K444" i="1"/>
  <c r="L444" i="1" s="1"/>
  <c r="K445" i="1"/>
  <c r="L445" i="1" s="1"/>
  <c r="K446" i="1"/>
  <c r="L446" i="1" s="1"/>
  <c r="K447" i="1"/>
  <c r="L447" i="1" s="1"/>
  <c r="K448" i="1"/>
  <c r="L448" i="1" s="1"/>
  <c r="K449" i="1"/>
  <c r="L449" i="1" s="1"/>
  <c r="K450" i="1"/>
  <c r="L450" i="1" s="1"/>
  <c r="K451" i="1"/>
  <c r="L451" i="1" s="1"/>
  <c r="K452" i="1"/>
  <c r="L452" i="1" s="1"/>
  <c r="K453" i="1"/>
  <c r="L453" i="1" s="1"/>
  <c r="K454" i="1"/>
  <c r="L454" i="1" s="1"/>
  <c r="K455" i="1"/>
  <c r="L455" i="1" s="1"/>
  <c r="K456" i="1"/>
  <c r="L456" i="1" s="1"/>
  <c r="K457" i="1"/>
  <c r="L457" i="1" s="1"/>
  <c r="K458" i="1"/>
  <c r="L458" i="1" s="1"/>
  <c r="K459" i="1"/>
  <c r="L459" i="1" s="1"/>
  <c r="K460" i="1"/>
  <c r="L460" i="1" s="1"/>
  <c r="K461" i="1"/>
  <c r="L461" i="1" s="1"/>
  <c r="K462" i="1"/>
  <c r="L462" i="1" s="1"/>
  <c r="K463" i="1"/>
  <c r="L463" i="1" s="1"/>
  <c r="K464" i="1"/>
  <c r="L464" i="1" s="1"/>
  <c r="K465" i="1"/>
  <c r="L465" i="1" s="1"/>
  <c r="K466" i="1"/>
  <c r="L466" i="1" s="1"/>
  <c r="K467" i="1"/>
  <c r="L467" i="1" s="1"/>
  <c r="K468" i="1"/>
  <c r="L468" i="1" s="1"/>
  <c r="K469" i="1"/>
  <c r="L469" i="1" s="1"/>
  <c r="K470" i="1"/>
  <c r="L470" i="1" s="1"/>
  <c r="K471" i="1"/>
  <c r="L471" i="1" s="1"/>
  <c r="K472" i="1"/>
  <c r="L472" i="1" s="1"/>
  <c r="K473" i="1"/>
  <c r="L473" i="1" s="1"/>
  <c r="K474" i="1"/>
  <c r="L474" i="1" s="1"/>
  <c r="K475" i="1"/>
  <c r="L475" i="1" s="1"/>
  <c r="K476" i="1"/>
  <c r="L476" i="1" s="1"/>
  <c r="K477" i="1"/>
  <c r="L477" i="1" s="1"/>
  <c r="K478" i="1"/>
  <c r="L478" i="1" s="1"/>
  <c r="K479" i="1"/>
  <c r="L479" i="1" s="1"/>
  <c r="K480" i="1"/>
  <c r="L480" i="1" s="1"/>
  <c r="K481" i="1"/>
  <c r="L481" i="1" s="1"/>
  <c r="K482" i="1"/>
  <c r="L482" i="1" s="1"/>
  <c r="K483" i="1"/>
  <c r="L483" i="1" s="1"/>
  <c r="K484" i="1"/>
  <c r="L484" i="1" s="1"/>
  <c r="K485" i="1"/>
  <c r="L485" i="1" s="1"/>
  <c r="K486" i="1"/>
  <c r="L486" i="1" s="1"/>
  <c r="K487" i="1"/>
  <c r="L487" i="1" s="1"/>
  <c r="K488" i="1"/>
  <c r="L488" i="1" s="1"/>
  <c r="K489" i="1"/>
  <c r="L489" i="1" s="1"/>
  <c r="K490" i="1"/>
  <c r="L490" i="1" s="1"/>
  <c r="K491" i="1"/>
  <c r="L491" i="1" s="1"/>
  <c r="K492" i="1"/>
  <c r="L492" i="1" s="1"/>
  <c r="K493" i="1"/>
  <c r="L493" i="1" s="1"/>
  <c r="K494" i="1"/>
  <c r="L494" i="1" s="1"/>
  <c r="K495" i="1"/>
  <c r="L495" i="1" s="1"/>
  <c r="K496" i="1"/>
  <c r="L496" i="1" s="1"/>
  <c r="K497" i="1"/>
  <c r="L497" i="1" s="1"/>
  <c r="K498" i="1"/>
  <c r="L498" i="1" s="1"/>
  <c r="K499" i="1"/>
  <c r="L499" i="1" s="1"/>
  <c r="K500" i="1"/>
  <c r="L500" i="1" s="1"/>
  <c r="K501" i="1"/>
  <c r="L501" i="1" s="1"/>
  <c r="K502" i="1"/>
  <c r="L502" i="1" s="1"/>
  <c r="K503" i="1"/>
  <c r="L503" i="1" s="1"/>
  <c r="K504" i="1"/>
  <c r="L504" i="1" s="1"/>
  <c r="K505" i="1"/>
  <c r="L505" i="1" s="1"/>
  <c r="K506" i="1"/>
  <c r="L506" i="1" s="1"/>
  <c r="K507" i="1"/>
  <c r="L507" i="1" s="1"/>
  <c r="K508" i="1"/>
  <c r="L508" i="1" s="1"/>
  <c r="K509" i="1"/>
  <c r="L509" i="1" s="1"/>
  <c r="K510" i="1"/>
  <c r="L510" i="1" s="1"/>
  <c r="K511" i="1"/>
  <c r="L511" i="1" s="1"/>
  <c r="K512" i="1"/>
  <c r="L512" i="1" s="1"/>
  <c r="K513" i="1"/>
  <c r="L513" i="1" s="1"/>
  <c r="K514" i="1"/>
  <c r="L514" i="1" s="1"/>
  <c r="K515" i="1"/>
  <c r="L515" i="1" s="1"/>
  <c r="K516" i="1"/>
  <c r="L516" i="1" s="1"/>
  <c r="K517" i="1"/>
  <c r="L517" i="1" s="1"/>
  <c r="K518" i="1"/>
  <c r="L518" i="1" s="1"/>
  <c r="K519" i="1"/>
  <c r="L519" i="1" s="1"/>
  <c r="K520" i="1"/>
  <c r="L520" i="1" s="1"/>
  <c r="K521" i="1"/>
  <c r="L521" i="1" s="1"/>
  <c r="K522" i="1"/>
  <c r="L522" i="1" s="1"/>
  <c r="K523" i="1"/>
  <c r="L523" i="1" s="1"/>
  <c r="K524" i="1"/>
  <c r="L524" i="1" s="1"/>
  <c r="K525" i="1"/>
  <c r="L525" i="1" s="1"/>
  <c r="K526" i="1"/>
  <c r="L526" i="1" s="1"/>
  <c r="K527" i="1"/>
  <c r="L527" i="1" s="1"/>
  <c r="K528" i="1"/>
  <c r="L528" i="1" s="1"/>
  <c r="K529" i="1"/>
  <c r="L529" i="1" s="1"/>
  <c r="K530" i="1"/>
  <c r="L530" i="1" s="1"/>
  <c r="K531" i="1"/>
  <c r="L531" i="1" s="1"/>
  <c r="K532" i="1"/>
  <c r="L532" i="1" s="1"/>
  <c r="K533" i="1"/>
  <c r="L533" i="1" s="1"/>
  <c r="K534" i="1"/>
  <c r="L534" i="1" s="1"/>
  <c r="K535" i="1"/>
  <c r="L535" i="1" s="1"/>
  <c r="K536" i="1"/>
  <c r="L536" i="1" s="1"/>
  <c r="K537" i="1"/>
  <c r="L537" i="1" s="1"/>
  <c r="K538" i="1"/>
  <c r="L538" i="1" s="1"/>
  <c r="K539" i="1"/>
  <c r="L539" i="1" s="1"/>
  <c r="K540" i="1"/>
  <c r="L540" i="1" s="1"/>
  <c r="K541" i="1"/>
  <c r="L541" i="1" s="1"/>
  <c r="K542" i="1"/>
  <c r="L542" i="1" s="1"/>
  <c r="K543" i="1"/>
  <c r="L543" i="1" s="1"/>
  <c r="K544" i="1"/>
  <c r="L544" i="1" s="1"/>
  <c r="K545" i="1"/>
  <c r="L545" i="1" s="1"/>
  <c r="K546" i="1"/>
  <c r="L546" i="1" s="1"/>
  <c r="K547" i="1"/>
  <c r="L547" i="1" s="1"/>
  <c r="K548" i="1"/>
  <c r="L548" i="1" s="1"/>
  <c r="K549" i="1"/>
  <c r="L549" i="1" s="1"/>
  <c r="K550" i="1"/>
  <c r="L550" i="1" s="1"/>
  <c r="K551" i="1"/>
  <c r="L551" i="1" s="1"/>
  <c r="K552" i="1"/>
  <c r="L552" i="1" s="1"/>
  <c r="K553" i="1"/>
  <c r="L553" i="1" s="1"/>
  <c r="K554" i="1"/>
  <c r="L554" i="1" s="1"/>
  <c r="K555" i="1"/>
  <c r="L555" i="1" s="1"/>
  <c r="K556" i="1"/>
  <c r="L556" i="1" s="1"/>
  <c r="K557" i="1"/>
  <c r="L557" i="1" s="1"/>
  <c r="K558" i="1"/>
  <c r="L558" i="1" s="1"/>
  <c r="K559" i="1"/>
  <c r="L559" i="1" s="1"/>
  <c r="K560" i="1"/>
  <c r="L560" i="1" s="1"/>
  <c r="K561" i="1"/>
  <c r="L561" i="1" s="1"/>
  <c r="K562" i="1"/>
  <c r="L562" i="1" s="1"/>
  <c r="K563" i="1"/>
  <c r="L563" i="1" s="1"/>
  <c r="K564" i="1"/>
  <c r="L564" i="1" s="1"/>
  <c r="K565" i="1"/>
  <c r="L565" i="1" s="1"/>
  <c r="K566" i="1"/>
  <c r="L566" i="1" s="1"/>
  <c r="K567" i="1"/>
  <c r="L567" i="1" s="1"/>
  <c r="K568" i="1"/>
  <c r="L568" i="1" s="1"/>
  <c r="K569" i="1"/>
  <c r="L569" i="1" s="1"/>
  <c r="K570" i="1"/>
  <c r="L570" i="1" s="1"/>
  <c r="K571" i="1"/>
  <c r="L571" i="1" s="1"/>
  <c r="K572" i="1"/>
  <c r="L572" i="1" s="1"/>
  <c r="K573" i="1"/>
  <c r="L573" i="1" s="1"/>
  <c r="K574" i="1"/>
  <c r="L574" i="1" s="1"/>
  <c r="K575" i="1"/>
  <c r="L575" i="1" s="1"/>
  <c r="K576" i="1"/>
  <c r="L576" i="1" s="1"/>
  <c r="K577" i="1"/>
  <c r="L577" i="1" s="1"/>
  <c r="K578" i="1"/>
  <c r="L578" i="1" s="1"/>
  <c r="K579" i="1"/>
  <c r="L579" i="1" s="1"/>
  <c r="K580" i="1"/>
  <c r="L580" i="1" s="1"/>
  <c r="K581" i="1"/>
  <c r="L581" i="1" s="1"/>
  <c r="K582" i="1"/>
  <c r="L582" i="1" s="1"/>
  <c r="K583" i="1"/>
  <c r="L583" i="1" s="1"/>
  <c r="K584" i="1"/>
  <c r="L584" i="1" s="1"/>
  <c r="K585" i="1"/>
  <c r="L585" i="1" s="1"/>
  <c r="K586" i="1"/>
  <c r="L586" i="1" s="1"/>
  <c r="K587" i="1"/>
  <c r="L587" i="1" s="1"/>
  <c r="K588" i="1"/>
  <c r="L588" i="1" s="1"/>
  <c r="K589" i="1"/>
  <c r="L589" i="1" s="1"/>
  <c r="K590" i="1"/>
  <c r="L590" i="1" s="1"/>
  <c r="K591" i="1"/>
  <c r="L591" i="1" s="1"/>
  <c r="K592" i="1"/>
  <c r="L592" i="1" s="1"/>
  <c r="K593" i="1"/>
  <c r="L593" i="1" s="1"/>
  <c r="K594" i="1"/>
  <c r="L594" i="1" s="1"/>
  <c r="K595" i="1"/>
  <c r="L595" i="1" s="1"/>
  <c r="K596" i="1"/>
  <c r="L596" i="1" s="1"/>
  <c r="K597" i="1"/>
  <c r="L597" i="1" s="1"/>
  <c r="K598" i="1"/>
  <c r="L598" i="1" s="1"/>
  <c r="K599" i="1"/>
  <c r="L599" i="1" s="1"/>
  <c r="K600" i="1"/>
  <c r="L600" i="1" s="1"/>
  <c r="K601" i="1"/>
  <c r="L601" i="1" s="1"/>
  <c r="K602" i="1"/>
  <c r="L602" i="1" s="1"/>
  <c r="K603" i="1"/>
  <c r="L603" i="1" s="1"/>
  <c r="K604" i="1"/>
  <c r="L604" i="1" s="1"/>
  <c r="K605" i="1"/>
  <c r="L605" i="1" s="1"/>
  <c r="K606" i="1"/>
  <c r="L606" i="1" s="1"/>
  <c r="K607" i="1"/>
  <c r="L607" i="1" s="1"/>
  <c r="K608" i="1"/>
  <c r="L608" i="1" s="1"/>
  <c r="K609" i="1"/>
  <c r="L609" i="1" s="1"/>
  <c r="K610" i="1"/>
  <c r="L610" i="1" s="1"/>
  <c r="K611" i="1"/>
  <c r="L611" i="1" s="1"/>
  <c r="K612" i="1"/>
  <c r="L612" i="1" s="1"/>
  <c r="K613" i="1"/>
  <c r="L613" i="1" s="1"/>
  <c r="K614" i="1"/>
  <c r="L614" i="1" s="1"/>
  <c r="K615" i="1"/>
  <c r="L615" i="1" s="1"/>
  <c r="K616" i="1"/>
  <c r="L616" i="1" s="1"/>
  <c r="K617" i="1"/>
  <c r="L617" i="1" s="1"/>
  <c r="K618" i="1"/>
  <c r="L618" i="1" s="1"/>
  <c r="K619" i="1"/>
  <c r="L619" i="1" s="1"/>
  <c r="K620" i="1"/>
  <c r="L620" i="1" s="1"/>
  <c r="K621" i="1"/>
  <c r="L621" i="1" s="1"/>
  <c r="K622" i="1"/>
  <c r="L622" i="1" s="1"/>
  <c r="K623" i="1"/>
  <c r="L623" i="1" s="1"/>
  <c r="K624" i="1"/>
  <c r="L624" i="1" s="1"/>
  <c r="K625" i="1"/>
  <c r="L625" i="1" s="1"/>
  <c r="K626" i="1"/>
  <c r="L626" i="1" s="1"/>
  <c r="K627" i="1"/>
  <c r="L627" i="1" s="1"/>
  <c r="K628" i="1"/>
  <c r="L628" i="1" s="1"/>
  <c r="K629" i="1"/>
  <c r="L629" i="1" s="1"/>
  <c r="K630" i="1"/>
  <c r="L630" i="1" s="1"/>
  <c r="K631" i="1"/>
  <c r="L631" i="1" s="1"/>
  <c r="K632" i="1"/>
  <c r="L632" i="1" s="1"/>
  <c r="K633" i="1"/>
  <c r="L633" i="1" s="1"/>
  <c r="K634" i="1"/>
  <c r="L634" i="1" s="1"/>
  <c r="K635" i="1"/>
  <c r="L635" i="1" s="1"/>
  <c r="K636" i="1"/>
  <c r="L636" i="1" s="1"/>
  <c r="K637" i="1"/>
  <c r="L637" i="1" s="1"/>
  <c r="K638" i="1"/>
  <c r="L638" i="1" s="1"/>
  <c r="K639" i="1"/>
  <c r="L639" i="1" s="1"/>
  <c r="K640" i="1"/>
  <c r="L640" i="1" s="1"/>
  <c r="K641" i="1"/>
  <c r="L641" i="1" s="1"/>
  <c r="K642" i="1"/>
  <c r="L642" i="1" s="1"/>
  <c r="K643" i="1"/>
  <c r="L643" i="1" s="1"/>
  <c r="K644" i="1"/>
  <c r="L644" i="1" s="1"/>
  <c r="K645" i="1"/>
  <c r="L645" i="1" s="1"/>
  <c r="K646" i="1"/>
  <c r="L646" i="1" s="1"/>
  <c r="K647" i="1"/>
  <c r="L647" i="1" s="1"/>
  <c r="K648" i="1"/>
  <c r="L648" i="1" s="1"/>
  <c r="K649" i="1"/>
  <c r="L649" i="1" s="1"/>
  <c r="K650" i="1"/>
  <c r="L650" i="1" s="1"/>
  <c r="K651" i="1"/>
  <c r="L651" i="1" s="1"/>
  <c r="K652" i="1"/>
  <c r="L652" i="1" s="1"/>
  <c r="K653" i="1"/>
  <c r="L653" i="1" s="1"/>
  <c r="K654" i="1"/>
  <c r="L654" i="1" s="1"/>
  <c r="K655" i="1"/>
  <c r="L655" i="1" s="1"/>
  <c r="K656" i="1"/>
  <c r="L656" i="1" s="1"/>
  <c r="K657" i="1"/>
  <c r="L657" i="1" s="1"/>
  <c r="K658" i="1"/>
  <c r="L658" i="1" s="1"/>
  <c r="K659" i="1"/>
  <c r="L659" i="1" s="1"/>
  <c r="K660" i="1"/>
  <c r="L660" i="1" s="1"/>
  <c r="K661" i="1"/>
  <c r="L661" i="1" s="1"/>
  <c r="K662" i="1"/>
  <c r="L662" i="1" s="1"/>
  <c r="K663" i="1"/>
  <c r="L663" i="1" s="1"/>
  <c r="K664" i="1"/>
  <c r="L664" i="1" s="1"/>
  <c r="K665" i="1"/>
  <c r="L665" i="1" s="1"/>
  <c r="K666" i="1"/>
  <c r="L666" i="1" s="1"/>
  <c r="K667" i="1"/>
  <c r="L667" i="1" s="1"/>
  <c r="K668" i="1"/>
  <c r="L668" i="1" s="1"/>
  <c r="K669" i="1"/>
  <c r="L669" i="1" s="1"/>
  <c r="K670" i="1"/>
  <c r="L670" i="1" s="1"/>
  <c r="K671" i="1"/>
  <c r="L671" i="1" s="1"/>
  <c r="K672" i="1"/>
  <c r="L672" i="1" s="1"/>
  <c r="K673" i="1"/>
  <c r="L673" i="1" s="1"/>
  <c r="K674" i="1"/>
  <c r="L674" i="1" s="1"/>
  <c r="K675" i="1"/>
  <c r="L675" i="1" s="1"/>
  <c r="K676" i="1"/>
  <c r="L676" i="1" s="1"/>
  <c r="K677" i="1"/>
  <c r="L677" i="1" s="1"/>
  <c r="K678" i="1"/>
  <c r="L678" i="1" s="1"/>
  <c r="K679" i="1"/>
  <c r="L679" i="1" s="1"/>
  <c r="K680" i="1"/>
  <c r="L680" i="1" s="1"/>
  <c r="K681" i="1"/>
  <c r="L681" i="1" s="1"/>
  <c r="K682" i="1"/>
  <c r="L682" i="1" s="1"/>
  <c r="K683" i="1"/>
  <c r="L683" i="1" s="1"/>
  <c r="K684" i="1"/>
  <c r="L684" i="1" s="1"/>
  <c r="K685" i="1"/>
  <c r="L685" i="1" s="1"/>
  <c r="K686" i="1"/>
  <c r="L686" i="1" s="1"/>
  <c r="K687" i="1"/>
  <c r="L687" i="1" s="1"/>
  <c r="K688" i="1"/>
  <c r="L688" i="1" s="1"/>
  <c r="K689" i="1"/>
  <c r="L689" i="1" s="1"/>
  <c r="K690" i="1"/>
  <c r="L690" i="1" s="1"/>
  <c r="K691" i="1"/>
  <c r="L691" i="1" s="1"/>
  <c r="K692" i="1"/>
  <c r="L692" i="1" s="1"/>
  <c r="K693" i="1"/>
  <c r="L693" i="1" s="1"/>
  <c r="K694" i="1"/>
  <c r="L694" i="1" s="1"/>
  <c r="K695" i="1"/>
  <c r="L695" i="1" s="1"/>
  <c r="K696" i="1"/>
  <c r="L696" i="1" s="1"/>
  <c r="K697" i="1"/>
  <c r="L697" i="1" s="1"/>
  <c r="K698" i="1"/>
  <c r="L698" i="1" s="1"/>
  <c r="K699" i="1"/>
  <c r="L699" i="1" s="1"/>
  <c r="K700" i="1"/>
  <c r="L700" i="1" s="1"/>
  <c r="K701" i="1"/>
  <c r="L701" i="1" s="1"/>
  <c r="K702" i="1"/>
  <c r="L702" i="1" s="1"/>
  <c r="K703" i="1"/>
  <c r="L703" i="1" s="1"/>
  <c r="K704" i="1"/>
  <c r="L704" i="1" s="1"/>
  <c r="K705" i="1"/>
  <c r="L705" i="1" s="1"/>
  <c r="K706" i="1"/>
  <c r="L706" i="1" s="1"/>
  <c r="K707" i="1"/>
  <c r="L707" i="1" s="1"/>
  <c r="K708" i="1"/>
  <c r="L708" i="1" s="1"/>
  <c r="K709" i="1"/>
  <c r="L709" i="1" s="1"/>
  <c r="K710" i="1"/>
  <c r="L710" i="1" s="1"/>
  <c r="K711" i="1"/>
  <c r="L711" i="1" s="1"/>
  <c r="K712" i="1"/>
  <c r="L712" i="1" s="1"/>
  <c r="K713" i="1"/>
  <c r="L713" i="1" s="1"/>
  <c r="K714" i="1"/>
  <c r="L714" i="1" s="1"/>
  <c r="K715" i="1"/>
  <c r="L715" i="1" s="1"/>
  <c r="K716" i="1"/>
  <c r="L716" i="1" s="1"/>
  <c r="K717" i="1"/>
  <c r="L717" i="1" s="1"/>
  <c r="K718" i="1"/>
  <c r="L718" i="1" s="1"/>
  <c r="K719" i="1"/>
  <c r="L719" i="1" s="1"/>
  <c r="K720" i="1"/>
  <c r="L720" i="1" s="1"/>
  <c r="K721" i="1"/>
  <c r="L721" i="1" s="1"/>
  <c r="K722" i="1"/>
  <c r="L722" i="1" s="1"/>
  <c r="K723" i="1"/>
  <c r="L723" i="1" s="1"/>
  <c r="K724" i="1"/>
  <c r="L724" i="1" s="1"/>
  <c r="K725" i="1"/>
  <c r="L725" i="1" s="1"/>
  <c r="K726" i="1"/>
  <c r="L726" i="1" s="1"/>
  <c r="K727" i="1"/>
  <c r="L727" i="1" s="1"/>
  <c r="K728" i="1"/>
  <c r="L728" i="1" s="1"/>
  <c r="K729" i="1"/>
  <c r="L729" i="1" s="1"/>
  <c r="K730" i="1"/>
  <c r="L730" i="1" s="1"/>
  <c r="K731" i="1"/>
  <c r="L731" i="1" s="1"/>
  <c r="K732" i="1"/>
  <c r="L732" i="1" s="1"/>
  <c r="K733" i="1"/>
  <c r="L733" i="1" s="1"/>
  <c r="K734" i="1"/>
  <c r="L734" i="1" s="1"/>
  <c r="K735" i="1"/>
  <c r="L735" i="1" s="1"/>
  <c r="K736" i="1"/>
  <c r="L736" i="1" s="1"/>
  <c r="K737" i="1"/>
  <c r="L737" i="1" s="1"/>
  <c r="K738" i="1"/>
  <c r="L738" i="1" s="1"/>
  <c r="K739" i="1"/>
  <c r="L739" i="1" s="1"/>
  <c r="K740" i="1"/>
  <c r="L740" i="1" s="1"/>
  <c r="K741" i="1"/>
  <c r="L741" i="1" s="1"/>
  <c r="K742" i="1"/>
  <c r="L742" i="1" s="1"/>
  <c r="K743" i="1"/>
  <c r="L743" i="1" s="1"/>
  <c r="K744" i="1"/>
  <c r="L744" i="1" s="1"/>
  <c r="K745" i="1"/>
  <c r="L745" i="1" s="1"/>
  <c r="K746" i="1"/>
  <c r="L746" i="1" s="1"/>
  <c r="K747" i="1"/>
  <c r="L747" i="1" s="1"/>
  <c r="K748" i="1"/>
  <c r="L748" i="1" s="1"/>
  <c r="K749" i="1"/>
  <c r="L749" i="1" s="1"/>
  <c r="K750" i="1"/>
  <c r="L750" i="1" s="1"/>
  <c r="K751" i="1"/>
  <c r="L751" i="1" s="1"/>
  <c r="K752" i="1"/>
  <c r="L752" i="1" s="1"/>
  <c r="K753" i="1"/>
  <c r="L753" i="1" s="1"/>
  <c r="K754" i="1"/>
  <c r="L754" i="1" s="1"/>
  <c r="K755" i="1"/>
  <c r="L755" i="1" s="1"/>
  <c r="K756" i="1"/>
  <c r="L756" i="1" s="1"/>
  <c r="K757" i="1"/>
  <c r="L757" i="1" s="1"/>
  <c r="K758" i="1"/>
  <c r="L758" i="1" s="1"/>
  <c r="K759" i="1"/>
  <c r="L759" i="1" s="1"/>
  <c r="K760" i="1"/>
  <c r="L760" i="1" s="1"/>
  <c r="K761" i="1"/>
  <c r="L761" i="1" s="1"/>
  <c r="K762" i="1"/>
  <c r="L762" i="1" s="1"/>
  <c r="K763" i="1"/>
  <c r="L763" i="1" s="1"/>
  <c r="K764" i="1"/>
  <c r="L764" i="1" s="1"/>
  <c r="K765" i="1"/>
  <c r="L765" i="1" s="1"/>
  <c r="K766" i="1"/>
  <c r="L766" i="1" s="1"/>
  <c r="K767" i="1"/>
  <c r="L767" i="1" s="1"/>
  <c r="K768" i="1"/>
  <c r="L768" i="1" s="1"/>
  <c r="K769" i="1"/>
  <c r="L769" i="1" s="1"/>
  <c r="K770" i="1"/>
  <c r="L770" i="1" s="1"/>
  <c r="K771" i="1"/>
  <c r="L771" i="1" s="1"/>
  <c r="K772" i="1"/>
  <c r="L772" i="1" s="1"/>
  <c r="K773" i="1"/>
  <c r="L773" i="1" s="1"/>
  <c r="K774" i="1"/>
  <c r="L774" i="1" s="1"/>
  <c r="K775" i="1"/>
  <c r="L775" i="1" s="1"/>
  <c r="K776" i="1"/>
  <c r="L776" i="1" s="1"/>
  <c r="K777" i="1"/>
  <c r="L777" i="1" s="1"/>
  <c r="K778" i="1"/>
  <c r="L778" i="1" s="1"/>
  <c r="K779" i="1"/>
  <c r="L779" i="1" s="1"/>
  <c r="K780" i="1"/>
  <c r="L780" i="1" s="1"/>
  <c r="K781" i="1"/>
  <c r="L781" i="1" s="1"/>
  <c r="K782" i="1"/>
  <c r="L782" i="1" s="1"/>
  <c r="K783" i="1"/>
  <c r="L783" i="1" s="1"/>
  <c r="K784" i="1"/>
  <c r="L784" i="1" s="1"/>
  <c r="K785" i="1"/>
  <c r="L785" i="1" s="1"/>
  <c r="K786" i="1"/>
  <c r="L786" i="1" s="1"/>
  <c r="K787" i="1"/>
  <c r="L787" i="1" s="1"/>
  <c r="K788" i="1"/>
  <c r="L788" i="1" s="1"/>
  <c r="K789" i="1"/>
  <c r="L789" i="1" s="1"/>
  <c r="K790" i="1"/>
  <c r="L790" i="1" s="1"/>
  <c r="K791" i="1"/>
  <c r="L791" i="1" s="1"/>
  <c r="K792" i="1"/>
  <c r="L792" i="1" s="1"/>
  <c r="K793" i="1"/>
  <c r="L793" i="1" s="1"/>
  <c r="K794" i="1"/>
  <c r="L794" i="1" s="1"/>
  <c r="K795" i="1"/>
  <c r="L795" i="1" s="1"/>
  <c r="K796" i="1"/>
  <c r="L796" i="1" s="1"/>
  <c r="K797" i="1"/>
  <c r="L797" i="1" s="1"/>
  <c r="K798" i="1"/>
  <c r="L798" i="1" s="1"/>
  <c r="K799" i="1"/>
  <c r="L799" i="1" s="1"/>
  <c r="K800" i="1"/>
  <c r="L800" i="1" s="1"/>
  <c r="K801" i="1"/>
  <c r="L801" i="1" s="1"/>
  <c r="K802" i="1"/>
  <c r="L802" i="1" s="1"/>
  <c r="K803" i="1"/>
  <c r="L803" i="1" s="1"/>
  <c r="K804" i="1"/>
  <c r="L804" i="1" s="1"/>
  <c r="K805" i="1"/>
  <c r="L805" i="1" s="1"/>
  <c r="K806" i="1"/>
  <c r="L806" i="1" s="1"/>
  <c r="K807" i="1"/>
  <c r="L807" i="1" s="1"/>
  <c r="K808" i="1"/>
  <c r="L808" i="1" s="1"/>
  <c r="K809" i="1"/>
  <c r="L809" i="1" s="1"/>
  <c r="K810" i="1"/>
  <c r="L810" i="1" s="1"/>
  <c r="K811" i="1"/>
  <c r="L811" i="1" s="1"/>
  <c r="K812" i="1"/>
  <c r="L812" i="1" s="1"/>
  <c r="K813" i="1"/>
  <c r="L813" i="1" s="1"/>
  <c r="K814" i="1"/>
  <c r="L814" i="1" s="1"/>
  <c r="K815" i="1"/>
  <c r="L815" i="1" s="1"/>
  <c r="K816" i="1"/>
  <c r="L816" i="1" s="1"/>
  <c r="K817" i="1"/>
  <c r="L817" i="1" s="1"/>
  <c r="K818" i="1"/>
  <c r="L818" i="1" s="1"/>
  <c r="K819" i="1"/>
  <c r="L819" i="1" s="1"/>
  <c r="K820" i="1"/>
  <c r="L820" i="1" s="1"/>
  <c r="K821" i="1"/>
  <c r="L821" i="1" s="1"/>
  <c r="K822" i="1"/>
  <c r="L822" i="1" s="1"/>
  <c r="K823" i="1"/>
  <c r="L823" i="1" s="1"/>
  <c r="K824" i="1"/>
  <c r="L824" i="1" s="1"/>
  <c r="K825" i="1"/>
  <c r="L825" i="1" s="1"/>
  <c r="K826" i="1"/>
  <c r="L826" i="1" s="1"/>
  <c r="K827" i="1"/>
  <c r="L827" i="1" s="1"/>
  <c r="K828" i="1"/>
  <c r="L828" i="1" s="1"/>
  <c r="K829" i="1"/>
  <c r="L829" i="1" s="1"/>
  <c r="K830" i="1"/>
  <c r="L830" i="1" s="1"/>
  <c r="K831" i="1"/>
  <c r="L831" i="1" s="1"/>
  <c r="K832" i="1"/>
  <c r="L832" i="1" s="1"/>
  <c r="K833" i="1"/>
  <c r="L833" i="1" s="1"/>
  <c r="K834" i="1"/>
  <c r="L834" i="1" s="1"/>
  <c r="K835" i="1"/>
  <c r="L835" i="1" s="1"/>
  <c r="K836" i="1"/>
  <c r="L836" i="1" s="1"/>
  <c r="K837" i="1"/>
  <c r="L837" i="1" s="1"/>
  <c r="K838" i="1"/>
  <c r="L838" i="1" s="1"/>
  <c r="K839" i="1"/>
  <c r="L839" i="1" s="1"/>
  <c r="K840" i="1"/>
  <c r="L840" i="1" s="1"/>
  <c r="K841" i="1"/>
  <c r="L841" i="1" s="1"/>
  <c r="K842" i="1"/>
  <c r="L842" i="1" s="1"/>
  <c r="K843" i="1"/>
  <c r="L843" i="1" s="1"/>
  <c r="K844" i="1"/>
  <c r="L844" i="1" s="1"/>
  <c r="K845" i="1"/>
  <c r="L845" i="1" s="1"/>
  <c r="K846" i="1"/>
  <c r="L846" i="1" s="1"/>
  <c r="K847" i="1"/>
  <c r="L847" i="1" s="1"/>
  <c r="K848" i="1"/>
  <c r="L848" i="1" s="1"/>
  <c r="K849" i="1"/>
  <c r="L849" i="1" s="1"/>
  <c r="K850" i="1"/>
  <c r="L850" i="1" s="1"/>
  <c r="K851" i="1"/>
  <c r="L851" i="1" s="1"/>
  <c r="K852" i="1"/>
  <c r="L852" i="1" s="1"/>
  <c r="K853" i="1"/>
  <c r="L853" i="1" s="1"/>
  <c r="K854" i="1"/>
  <c r="L854" i="1" s="1"/>
  <c r="K855" i="1"/>
  <c r="L855" i="1" s="1"/>
  <c r="K856" i="1"/>
  <c r="L856" i="1" s="1"/>
  <c r="K857" i="1"/>
  <c r="L857" i="1" s="1"/>
  <c r="K858" i="1"/>
  <c r="L858" i="1" s="1"/>
  <c r="K859" i="1"/>
  <c r="L859" i="1" s="1"/>
  <c r="K860" i="1"/>
  <c r="L860" i="1" s="1"/>
  <c r="K861" i="1"/>
  <c r="L861" i="1" s="1"/>
  <c r="K862" i="1"/>
  <c r="L862" i="1" s="1"/>
  <c r="K863" i="1"/>
  <c r="L863" i="1" s="1"/>
  <c r="K864" i="1"/>
  <c r="L864" i="1" s="1"/>
  <c r="K865" i="1"/>
  <c r="L865" i="1" s="1"/>
  <c r="K866" i="1"/>
  <c r="L866" i="1" s="1"/>
  <c r="K867" i="1"/>
  <c r="L867" i="1" s="1"/>
  <c r="K868" i="1"/>
  <c r="L868" i="1" s="1"/>
  <c r="K869" i="1"/>
  <c r="L869" i="1" s="1"/>
  <c r="K870" i="1"/>
  <c r="L870" i="1" s="1"/>
  <c r="K871" i="1"/>
  <c r="L871" i="1" s="1"/>
  <c r="K872" i="1"/>
  <c r="L872" i="1" s="1"/>
  <c r="K873" i="1"/>
  <c r="L873" i="1" s="1"/>
  <c r="K874" i="1"/>
  <c r="L874" i="1" s="1"/>
  <c r="K875" i="1"/>
  <c r="L875" i="1" s="1"/>
  <c r="K876" i="1"/>
  <c r="L876" i="1" s="1"/>
  <c r="K877" i="1"/>
  <c r="L877" i="1" s="1"/>
  <c r="K878" i="1"/>
  <c r="L878" i="1" s="1"/>
  <c r="K879" i="1"/>
  <c r="L879" i="1" s="1"/>
  <c r="K880" i="1"/>
  <c r="L880" i="1" s="1"/>
  <c r="K881" i="1"/>
  <c r="L881" i="1" s="1"/>
  <c r="K882" i="1"/>
  <c r="L882" i="1" s="1"/>
  <c r="K883" i="1"/>
  <c r="L883" i="1" s="1"/>
  <c r="K884" i="1"/>
  <c r="L884" i="1" s="1"/>
  <c r="K885" i="1"/>
  <c r="L885" i="1" s="1"/>
  <c r="K886" i="1"/>
  <c r="L886" i="1" s="1"/>
  <c r="K887" i="1"/>
  <c r="L887" i="1" s="1"/>
  <c r="K888" i="1"/>
  <c r="L888" i="1" s="1"/>
  <c r="K889" i="1"/>
  <c r="L889" i="1" s="1"/>
  <c r="K890" i="1"/>
  <c r="L890" i="1" s="1"/>
  <c r="K891" i="1"/>
  <c r="L891" i="1" s="1"/>
  <c r="K892" i="1"/>
  <c r="L892" i="1" s="1"/>
  <c r="K893" i="1"/>
  <c r="L893" i="1" s="1"/>
  <c r="K894" i="1"/>
  <c r="L894" i="1" s="1"/>
  <c r="K895" i="1"/>
  <c r="L895" i="1" s="1"/>
  <c r="K896" i="1"/>
  <c r="L896" i="1" s="1"/>
  <c r="K897" i="1"/>
  <c r="L897" i="1" s="1"/>
  <c r="K898" i="1"/>
  <c r="L898" i="1" s="1"/>
  <c r="K899" i="1"/>
  <c r="L899" i="1" s="1"/>
  <c r="K900" i="1"/>
  <c r="L900" i="1" s="1"/>
  <c r="K901" i="1"/>
  <c r="L901" i="1" s="1"/>
  <c r="K902" i="1"/>
  <c r="L902" i="1" s="1"/>
  <c r="K903" i="1"/>
  <c r="L903" i="1" s="1"/>
  <c r="K904" i="1"/>
  <c r="L904" i="1" s="1"/>
  <c r="K905" i="1"/>
  <c r="L905" i="1" s="1"/>
  <c r="K906" i="1"/>
  <c r="L906" i="1" s="1"/>
  <c r="K907" i="1"/>
  <c r="L907" i="1" s="1"/>
  <c r="K908" i="1"/>
  <c r="L908" i="1" s="1"/>
  <c r="K909" i="1"/>
  <c r="L909" i="1" s="1"/>
  <c r="K910" i="1"/>
  <c r="L910" i="1" s="1"/>
  <c r="K911" i="1"/>
  <c r="L911" i="1" s="1"/>
  <c r="K912" i="1"/>
  <c r="L912" i="1" s="1"/>
  <c r="K913" i="1"/>
  <c r="L913" i="1" s="1"/>
  <c r="K914" i="1"/>
  <c r="L914" i="1" s="1"/>
  <c r="K915" i="1"/>
  <c r="L915" i="1" s="1"/>
  <c r="K916" i="1"/>
  <c r="L916" i="1" s="1"/>
  <c r="K917" i="1"/>
  <c r="L917" i="1" s="1"/>
  <c r="K918" i="1"/>
  <c r="L918" i="1" s="1"/>
  <c r="K919" i="1"/>
  <c r="L919" i="1" s="1"/>
  <c r="K920" i="1"/>
  <c r="L920" i="1" s="1"/>
  <c r="K921" i="1"/>
  <c r="L921" i="1" s="1"/>
  <c r="K922" i="1"/>
  <c r="L922" i="1" s="1"/>
  <c r="K923" i="1"/>
  <c r="L923" i="1" s="1"/>
  <c r="K924" i="1"/>
  <c r="L924" i="1" s="1"/>
  <c r="K925" i="1"/>
  <c r="L925" i="1" s="1"/>
  <c r="K926" i="1"/>
  <c r="L926" i="1" s="1"/>
  <c r="K927" i="1"/>
  <c r="L927" i="1" s="1"/>
  <c r="K928" i="1"/>
  <c r="L928" i="1" s="1"/>
  <c r="K929" i="1"/>
  <c r="L929" i="1" s="1"/>
  <c r="K930" i="1"/>
  <c r="L930" i="1" s="1"/>
  <c r="K931" i="1"/>
  <c r="L931" i="1" s="1"/>
  <c r="K932" i="1"/>
  <c r="L932" i="1" s="1"/>
  <c r="K933" i="1"/>
  <c r="L933" i="1" s="1"/>
  <c r="K934" i="1"/>
  <c r="L934" i="1" s="1"/>
  <c r="K935" i="1"/>
  <c r="L935" i="1" s="1"/>
  <c r="K936" i="1"/>
  <c r="L936" i="1" s="1"/>
  <c r="K937" i="1"/>
  <c r="L937" i="1" s="1"/>
  <c r="K938" i="1"/>
  <c r="L938" i="1" s="1"/>
  <c r="K939" i="1"/>
  <c r="L939" i="1" s="1"/>
  <c r="K940" i="1"/>
  <c r="L940" i="1" s="1"/>
  <c r="K941" i="1"/>
  <c r="L941" i="1" s="1"/>
  <c r="K942" i="1"/>
  <c r="L942" i="1" s="1"/>
  <c r="K943" i="1"/>
  <c r="L943" i="1" s="1"/>
  <c r="K944" i="1"/>
  <c r="L944" i="1" s="1"/>
  <c r="K945" i="1"/>
  <c r="L945" i="1" s="1"/>
  <c r="K946" i="1"/>
  <c r="L946" i="1" s="1"/>
  <c r="K947" i="1"/>
  <c r="L947" i="1" s="1"/>
  <c r="K948" i="1"/>
  <c r="L948" i="1" s="1"/>
  <c r="K949" i="1"/>
  <c r="L949" i="1" s="1"/>
  <c r="K950" i="1"/>
  <c r="L950" i="1" s="1"/>
  <c r="K951" i="1"/>
  <c r="L951" i="1" s="1"/>
  <c r="K952" i="1"/>
  <c r="L952" i="1" s="1"/>
  <c r="K953" i="1"/>
  <c r="L953" i="1" s="1"/>
  <c r="K954" i="1"/>
  <c r="L954" i="1" s="1"/>
  <c r="K955" i="1"/>
  <c r="L955" i="1" s="1"/>
  <c r="K956" i="1"/>
  <c r="L956" i="1" s="1"/>
  <c r="K957" i="1"/>
  <c r="L957" i="1" s="1"/>
  <c r="K958" i="1"/>
  <c r="L958" i="1" s="1"/>
  <c r="K959" i="1"/>
  <c r="L959" i="1" s="1"/>
  <c r="K960" i="1"/>
  <c r="L960" i="1" s="1"/>
  <c r="K961" i="1"/>
  <c r="L961" i="1" s="1"/>
  <c r="K962" i="1"/>
  <c r="L962" i="1" s="1"/>
  <c r="K963" i="1"/>
  <c r="L963" i="1" s="1"/>
  <c r="K964" i="1"/>
  <c r="L964" i="1" s="1"/>
  <c r="K965" i="1"/>
  <c r="L965" i="1" s="1"/>
  <c r="K966" i="1"/>
  <c r="L966" i="1" s="1"/>
  <c r="K967" i="1"/>
  <c r="L967" i="1" s="1"/>
  <c r="K968" i="1"/>
  <c r="L968" i="1" s="1"/>
  <c r="K969" i="1"/>
  <c r="L969" i="1" s="1"/>
  <c r="K970" i="1"/>
  <c r="L970" i="1" s="1"/>
  <c r="K971" i="1"/>
  <c r="L971" i="1" s="1"/>
  <c r="K972" i="1"/>
  <c r="L972" i="1" s="1"/>
  <c r="K973" i="1"/>
  <c r="L973" i="1" s="1"/>
  <c r="K974" i="1"/>
  <c r="L974" i="1" s="1"/>
  <c r="K975" i="1"/>
  <c r="L975" i="1" s="1"/>
  <c r="K976" i="1"/>
  <c r="L976" i="1" s="1"/>
  <c r="K977" i="1"/>
  <c r="L977" i="1" s="1"/>
  <c r="K978" i="1"/>
  <c r="L978" i="1" s="1"/>
  <c r="K979" i="1"/>
  <c r="L979" i="1" s="1"/>
  <c r="K980" i="1"/>
  <c r="L980" i="1" s="1"/>
  <c r="K981" i="1"/>
  <c r="L981" i="1" s="1"/>
  <c r="K982" i="1"/>
  <c r="L982" i="1" s="1"/>
  <c r="K983" i="1"/>
  <c r="L983" i="1" s="1"/>
  <c r="K984" i="1"/>
  <c r="L984" i="1" s="1"/>
  <c r="K985" i="1"/>
  <c r="L985" i="1" s="1"/>
  <c r="K986" i="1"/>
  <c r="L986" i="1" s="1"/>
  <c r="K987" i="1"/>
  <c r="L987" i="1" s="1"/>
  <c r="K988" i="1"/>
  <c r="L988" i="1" s="1"/>
  <c r="K989" i="1"/>
  <c r="L989" i="1" s="1"/>
  <c r="K990" i="1"/>
  <c r="L990" i="1" s="1"/>
  <c r="K991" i="1"/>
  <c r="L991" i="1" s="1"/>
  <c r="K992" i="1"/>
  <c r="L992" i="1" s="1"/>
  <c r="K993" i="1"/>
  <c r="L993" i="1" s="1"/>
  <c r="K994" i="1"/>
  <c r="L994" i="1" s="1"/>
  <c r="K995" i="1"/>
  <c r="L995" i="1" s="1"/>
  <c r="K996" i="1"/>
  <c r="L996" i="1" s="1"/>
  <c r="K997" i="1"/>
  <c r="L997" i="1" s="1"/>
  <c r="K998" i="1"/>
  <c r="L998" i="1" s="1"/>
  <c r="K999" i="1"/>
  <c r="L999" i="1" s="1"/>
  <c r="K1000" i="1"/>
  <c r="L1000" i="1" s="1"/>
  <c r="K1001" i="1"/>
  <c r="L1001" i="1" s="1"/>
  <c r="K1002" i="1"/>
  <c r="L1002" i="1" s="1"/>
  <c r="K1003" i="1"/>
  <c r="L1003" i="1" s="1"/>
  <c r="K1004" i="1"/>
  <c r="L1004" i="1" s="1"/>
  <c r="K1005" i="1"/>
  <c r="L1005" i="1" s="1"/>
  <c r="K1006" i="1"/>
  <c r="L1006" i="1" s="1"/>
  <c r="K1007" i="1"/>
  <c r="L1007" i="1" s="1"/>
  <c r="K1008" i="1"/>
  <c r="L1008" i="1" s="1"/>
  <c r="K1009" i="1"/>
  <c r="L1009" i="1" s="1"/>
  <c r="K1010" i="1"/>
  <c r="L1010" i="1" s="1"/>
  <c r="K1011" i="1"/>
  <c r="L1011" i="1" s="1"/>
  <c r="K1012" i="1"/>
  <c r="L1012" i="1" s="1"/>
  <c r="K1013" i="1"/>
  <c r="L1013" i="1" s="1"/>
  <c r="K1014" i="1"/>
  <c r="L1014" i="1" s="1"/>
  <c r="K1015" i="1"/>
  <c r="L1015" i="1" s="1"/>
  <c r="K1016" i="1"/>
  <c r="L1016" i="1" s="1"/>
  <c r="K1017" i="1"/>
  <c r="L1017" i="1" s="1"/>
  <c r="K1018" i="1"/>
  <c r="L1018" i="1" s="1"/>
  <c r="K1019" i="1"/>
  <c r="L1019" i="1" s="1"/>
  <c r="K1020" i="1"/>
  <c r="L1020" i="1" s="1"/>
  <c r="K1021" i="1"/>
  <c r="L1021" i="1" s="1"/>
  <c r="K1022" i="1"/>
  <c r="L1022" i="1" s="1"/>
  <c r="K1023" i="1"/>
  <c r="L1023" i="1" s="1"/>
  <c r="K1024" i="1"/>
  <c r="L1024" i="1" s="1"/>
  <c r="K1025" i="1"/>
  <c r="L1025" i="1" s="1"/>
  <c r="K1026" i="1"/>
  <c r="L1026" i="1" s="1"/>
  <c r="K1027" i="1"/>
  <c r="L1027" i="1" s="1"/>
  <c r="K1028" i="1"/>
  <c r="L1028" i="1" s="1"/>
  <c r="K1029" i="1"/>
  <c r="L1029" i="1" s="1"/>
  <c r="K1030" i="1"/>
  <c r="L1030" i="1" s="1"/>
  <c r="K1031" i="1"/>
  <c r="L1031" i="1" s="1"/>
  <c r="K1032" i="1"/>
  <c r="L1032" i="1" s="1"/>
  <c r="K1033" i="1"/>
  <c r="L1033" i="1" s="1"/>
  <c r="K1034" i="1"/>
  <c r="L1034" i="1" s="1"/>
  <c r="K1035" i="1"/>
  <c r="L1035" i="1" s="1"/>
  <c r="K1036" i="1"/>
  <c r="L1036" i="1" s="1"/>
  <c r="K1037" i="1"/>
  <c r="L1037" i="1" s="1"/>
  <c r="K1038" i="1"/>
  <c r="L1038" i="1" s="1"/>
  <c r="K1039" i="1"/>
  <c r="L1039" i="1" s="1"/>
  <c r="K1040" i="1"/>
  <c r="L1040" i="1" s="1"/>
  <c r="K1041" i="1"/>
  <c r="L1041" i="1" s="1"/>
  <c r="K1042" i="1"/>
  <c r="L1042" i="1" s="1"/>
  <c r="K1043" i="1"/>
  <c r="L1043" i="1" s="1"/>
  <c r="K1044" i="1"/>
  <c r="L1044" i="1" s="1"/>
  <c r="K1045" i="1"/>
  <c r="L1045" i="1" s="1"/>
  <c r="K1046" i="1"/>
  <c r="L1046" i="1" s="1"/>
  <c r="K1047" i="1"/>
  <c r="L1047" i="1" s="1"/>
  <c r="K1048" i="1"/>
  <c r="L1048" i="1" s="1"/>
  <c r="K1049" i="1"/>
  <c r="L1049" i="1" s="1"/>
  <c r="K1050" i="1"/>
  <c r="L1050" i="1" s="1"/>
  <c r="K1051" i="1"/>
  <c r="L1051" i="1" s="1"/>
  <c r="K1052" i="1"/>
  <c r="L1052" i="1" s="1"/>
  <c r="K1053" i="1"/>
  <c r="L1053" i="1" s="1"/>
  <c r="K1054" i="1"/>
  <c r="L1054" i="1" s="1"/>
  <c r="K1055" i="1"/>
  <c r="L1055" i="1" s="1"/>
  <c r="K1056" i="1"/>
  <c r="L1056" i="1" s="1"/>
  <c r="K1057" i="1"/>
  <c r="L1057" i="1" s="1"/>
  <c r="K1058" i="1"/>
  <c r="L1058" i="1" s="1"/>
  <c r="K1059" i="1"/>
  <c r="L1059" i="1" s="1"/>
  <c r="K1060" i="1"/>
  <c r="L1060" i="1" s="1"/>
  <c r="K1061" i="1"/>
  <c r="L1061" i="1" s="1"/>
  <c r="K1063" i="1"/>
  <c r="L1063" i="1" s="1"/>
  <c r="K1064" i="1"/>
  <c r="L1064" i="1" s="1"/>
  <c r="K1065" i="1"/>
  <c r="L1065" i="1" s="1"/>
  <c r="K1066" i="1"/>
  <c r="L1066" i="1" s="1"/>
  <c r="K1067" i="1"/>
  <c r="L1067" i="1" s="1"/>
  <c r="K1068" i="1"/>
  <c r="L1068" i="1" s="1"/>
  <c r="K1069" i="1"/>
  <c r="L1069" i="1" s="1"/>
  <c r="K1070" i="1"/>
  <c r="L1070" i="1" s="1"/>
  <c r="K1071" i="1"/>
  <c r="L1071" i="1" s="1"/>
  <c r="K1072" i="1"/>
  <c r="L1072" i="1" s="1"/>
  <c r="K1073" i="1"/>
  <c r="L1073" i="1" s="1"/>
  <c r="K1074" i="1"/>
  <c r="L1074" i="1" s="1"/>
  <c r="K1075" i="1"/>
  <c r="L1075" i="1" s="1"/>
  <c r="K1076" i="1"/>
  <c r="L1076" i="1" s="1"/>
  <c r="K1077" i="1"/>
  <c r="L1077" i="1" s="1"/>
  <c r="K1078" i="1"/>
  <c r="L1078" i="1" s="1"/>
  <c r="K1062" i="1"/>
  <c r="L1062" i="1" s="1"/>
  <c r="K1079" i="1"/>
  <c r="L1079" i="1" s="1"/>
  <c r="K1080" i="1"/>
  <c r="L1080" i="1" s="1"/>
  <c r="K1081" i="1"/>
  <c r="L1081" i="1" s="1"/>
  <c r="K1082" i="1"/>
  <c r="L1082" i="1" s="1"/>
  <c r="K1083" i="1"/>
  <c r="L1083" i="1" s="1"/>
  <c r="K1084" i="1"/>
  <c r="L1084" i="1" s="1"/>
  <c r="K1085" i="1"/>
  <c r="L1085" i="1" s="1"/>
  <c r="K1086" i="1"/>
  <c r="L1086" i="1" s="1"/>
  <c r="K1087" i="1"/>
  <c r="L1087" i="1" s="1"/>
  <c r="K1088" i="1"/>
  <c r="L1088" i="1" s="1"/>
  <c r="K1089" i="1"/>
  <c r="L1089" i="1" s="1"/>
  <c r="K1090" i="1"/>
  <c r="L1090" i="1" s="1"/>
  <c r="K1091" i="1"/>
  <c r="L1091" i="1" s="1"/>
  <c r="K1092" i="1"/>
  <c r="L1092" i="1" s="1"/>
  <c r="K1093" i="1"/>
  <c r="L1093" i="1" s="1"/>
  <c r="K1094" i="1"/>
  <c r="L1094" i="1" s="1"/>
  <c r="K1095" i="1"/>
  <c r="L1095" i="1" s="1"/>
  <c r="K1096" i="1"/>
  <c r="L1096" i="1" s="1"/>
  <c r="K1097" i="1"/>
  <c r="L1097" i="1" s="1"/>
  <c r="K1098" i="1"/>
  <c r="L1098" i="1" s="1"/>
  <c r="K1099" i="1"/>
  <c r="L1099" i="1" s="1"/>
  <c r="K1100" i="1"/>
  <c r="L1100" i="1" s="1"/>
  <c r="K1101" i="1"/>
  <c r="L1101" i="1" s="1"/>
  <c r="K1102" i="1"/>
  <c r="L1102" i="1" s="1"/>
  <c r="K1103" i="1"/>
  <c r="L1103" i="1" s="1"/>
  <c r="K1104" i="1"/>
  <c r="L1104" i="1" s="1"/>
  <c r="K1105" i="1"/>
  <c r="L1105" i="1" s="1"/>
  <c r="K1106" i="1"/>
  <c r="L1106" i="1" s="1"/>
  <c r="K1107" i="1"/>
  <c r="L1107" i="1" s="1"/>
  <c r="K1108" i="1"/>
  <c r="L1108" i="1" s="1"/>
  <c r="K1109" i="1"/>
  <c r="L1109" i="1" s="1"/>
  <c r="K1110" i="1"/>
  <c r="L1110" i="1" s="1"/>
  <c r="K1111" i="1"/>
  <c r="L1111" i="1" s="1"/>
  <c r="K1112" i="1"/>
  <c r="L1112" i="1" s="1"/>
  <c r="K1113" i="1"/>
  <c r="L1113" i="1" s="1"/>
  <c r="K1114" i="1"/>
  <c r="L1114" i="1" s="1"/>
  <c r="K1115" i="1"/>
  <c r="L1115" i="1" s="1"/>
  <c r="K1116" i="1"/>
  <c r="L1116" i="1" s="1"/>
  <c r="K1117" i="1"/>
  <c r="L1117" i="1" s="1"/>
  <c r="K1118" i="1"/>
  <c r="L1118" i="1" s="1"/>
  <c r="K1119" i="1"/>
  <c r="L1119" i="1" s="1"/>
  <c r="K1120" i="1"/>
  <c r="L1120" i="1" s="1"/>
  <c r="K1121" i="1"/>
  <c r="L1121" i="1" s="1"/>
  <c r="K1122" i="1"/>
  <c r="L1122" i="1" s="1"/>
  <c r="K1123" i="1"/>
  <c r="L1123" i="1" s="1"/>
  <c r="K1124" i="1"/>
  <c r="L1124" i="1" s="1"/>
  <c r="K1125" i="1"/>
  <c r="L1125" i="1" s="1"/>
  <c r="K1126" i="1"/>
  <c r="L1126" i="1" s="1"/>
  <c r="K1127" i="1"/>
  <c r="L1127" i="1" s="1"/>
  <c r="K1128" i="1"/>
  <c r="L1128" i="1" s="1"/>
  <c r="K1129" i="1"/>
  <c r="L1129" i="1" s="1"/>
  <c r="K1130" i="1"/>
  <c r="L1130" i="1" s="1"/>
  <c r="K1131" i="1"/>
  <c r="L1131" i="1" s="1"/>
  <c r="K1132" i="1"/>
  <c r="L1132" i="1" s="1"/>
  <c r="K1133" i="1"/>
  <c r="L1133" i="1" s="1"/>
  <c r="K1134" i="1"/>
  <c r="L1134" i="1" s="1"/>
  <c r="K1135" i="1"/>
  <c r="L1135" i="1" s="1"/>
  <c r="K1136" i="1"/>
  <c r="L1136" i="1" s="1"/>
  <c r="K1137" i="1"/>
  <c r="L1137" i="1" s="1"/>
  <c r="K1138" i="1"/>
  <c r="L1138" i="1" s="1"/>
  <c r="K1139" i="1"/>
  <c r="L1139" i="1" s="1"/>
  <c r="K1140" i="1"/>
  <c r="L1140" i="1" s="1"/>
  <c r="K1141" i="1"/>
  <c r="L1141" i="1" s="1"/>
  <c r="K1142" i="1"/>
  <c r="L1142" i="1" s="1"/>
  <c r="K1143" i="1"/>
  <c r="L1143" i="1" s="1"/>
  <c r="K1144" i="1"/>
  <c r="L1144" i="1" s="1"/>
  <c r="K1145" i="1"/>
  <c r="L1145" i="1" s="1"/>
  <c r="K1146" i="1"/>
  <c r="L1146" i="1" s="1"/>
  <c r="K1147" i="1"/>
  <c r="L1147" i="1" s="1"/>
  <c r="K1148" i="1"/>
  <c r="L1148" i="1" s="1"/>
  <c r="K1149" i="1"/>
  <c r="L1149" i="1" s="1"/>
  <c r="K1150" i="1"/>
  <c r="L1150" i="1" s="1"/>
  <c r="K1151" i="1"/>
  <c r="L1151" i="1" s="1"/>
  <c r="K1152" i="1"/>
  <c r="L1152" i="1" s="1"/>
  <c r="K1153" i="1"/>
  <c r="L1153" i="1" s="1"/>
  <c r="K1154" i="1"/>
  <c r="L1154" i="1" s="1"/>
  <c r="K1155" i="1"/>
  <c r="L1155" i="1" s="1"/>
  <c r="K1156" i="1"/>
  <c r="L1156" i="1" s="1"/>
  <c r="K1157" i="1"/>
  <c r="L1157" i="1" s="1"/>
  <c r="K1158" i="1"/>
  <c r="L1158" i="1" s="1"/>
  <c r="K1159" i="1"/>
  <c r="L1159" i="1" s="1"/>
  <c r="K1160" i="1"/>
  <c r="L1160" i="1" s="1"/>
  <c r="K1161" i="1"/>
  <c r="L1161" i="1" s="1"/>
  <c r="K1162" i="1"/>
  <c r="L1162" i="1" s="1"/>
  <c r="K1163" i="1"/>
  <c r="L1163" i="1" s="1"/>
  <c r="K1164" i="1"/>
  <c r="L1164" i="1" s="1"/>
  <c r="K1165" i="1"/>
  <c r="L1165" i="1" s="1"/>
  <c r="K1166" i="1"/>
  <c r="L1166" i="1" s="1"/>
  <c r="K1167" i="1"/>
  <c r="L1167" i="1" s="1"/>
  <c r="K1168" i="1"/>
  <c r="L1168" i="1" s="1"/>
  <c r="K1169" i="1"/>
  <c r="L1169" i="1" s="1"/>
  <c r="K1170" i="1"/>
  <c r="L1170" i="1" s="1"/>
  <c r="K1171" i="1"/>
  <c r="L1171" i="1" s="1"/>
  <c r="K1172" i="1"/>
  <c r="L1172" i="1" s="1"/>
  <c r="K1173" i="1"/>
  <c r="L1173" i="1" s="1"/>
  <c r="K1174" i="1"/>
  <c r="L1174" i="1" s="1"/>
  <c r="K1175" i="1"/>
  <c r="L1175" i="1" s="1"/>
  <c r="K1176" i="1"/>
  <c r="L1176" i="1" s="1"/>
  <c r="K1177" i="1"/>
  <c r="L1177" i="1" s="1"/>
  <c r="K1178" i="1"/>
  <c r="L1178" i="1" s="1"/>
  <c r="K1179" i="1"/>
  <c r="L1179" i="1" s="1"/>
  <c r="K1180" i="1"/>
  <c r="L1180" i="1" s="1"/>
  <c r="K1181" i="1"/>
  <c r="L1181" i="1" s="1"/>
  <c r="K1182" i="1"/>
  <c r="L1182" i="1" s="1"/>
  <c r="K1183" i="1"/>
  <c r="L1183" i="1" s="1"/>
  <c r="K1184" i="1"/>
  <c r="L1184" i="1" s="1"/>
  <c r="K1185" i="1"/>
  <c r="L1185" i="1" s="1"/>
  <c r="K1186" i="1"/>
  <c r="L1186" i="1" s="1"/>
  <c r="K1187" i="1"/>
  <c r="L1187" i="1" s="1"/>
  <c r="K1188" i="1"/>
  <c r="L1188" i="1" s="1"/>
  <c r="K1189" i="1"/>
  <c r="L1189" i="1" s="1"/>
  <c r="K1190" i="1"/>
  <c r="L1190" i="1" s="1"/>
  <c r="K1191" i="1"/>
  <c r="L1191" i="1" s="1"/>
  <c r="K1192" i="1"/>
  <c r="L1192" i="1" s="1"/>
  <c r="K1193" i="1"/>
  <c r="L1193" i="1" s="1"/>
  <c r="K1194" i="1"/>
  <c r="L1194" i="1" s="1"/>
  <c r="K1195" i="1"/>
  <c r="L1195" i="1" s="1"/>
  <c r="K1196" i="1"/>
  <c r="L1196" i="1" s="1"/>
  <c r="K1197" i="1"/>
  <c r="L1197" i="1" s="1"/>
  <c r="K1198" i="1"/>
  <c r="L1198" i="1" s="1"/>
  <c r="K1199" i="1"/>
  <c r="L1199" i="1" s="1"/>
  <c r="K1200" i="1"/>
  <c r="L1200" i="1" s="1"/>
  <c r="K1201" i="1"/>
  <c r="L1201" i="1" s="1"/>
  <c r="K1202" i="1"/>
  <c r="L1202" i="1" s="1"/>
  <c r="K1203" i="1"/>
  <c r="L1203" i="1" s="1"/>
  <c r="K1204" i="1"/>
  <c r="L1204" i="1" s="1"/>
  <c r="K1205" i="1"/>
  <c r="L1205" i="1" s="1"/>
  <c r="K1206" i="1"/>
  <c r="L1206" i="1" s="1"/>
  <c r="K1207" i="1"/>
  <c r="L1207" i="1" s="1"/>
  <c r="K1208" i="1"/>
  <c r="L1208" i="1" s="1"/>
  <c r="K1209" i="1"/>
  <c r="L1209" i="1" s="1"/>
  <c r="K1210" i="1"/>
  <c r="L1210" i="1" s="1"/>
  <c r="K1211" i="1"/>
  <c r="L1211" i="1" s="1"/>
  <c r="K1212" i="1"/>
  <c r="L1212" i="1" s="1"/>
  <c r="K1213" i="1"/>
  <c r="L1213" i="1" s="1"/>
  <c r="K1214" i="1"/>
  <c r="L1214" i="1" s="1"/>
  <c r="K1215" i="1"/>
  <c r="L1215" i="1" s="1"/>
  <c r="K1216" i="1"/>
  <c r="L1216" i="1" s="1"/>
  <c r="K1217" i="1"/>
  <c r="L1217" i="1" s="1"/>
  <c r="K1218" i="1"/>
  <c r="L1218" i="1" s="1"/>
  <c r="K1219" i="1"/>
  <c r="L1219" i="1" s="1"/>
  <c r="K1220" i="1"/>
  <c r="L1220" i="1" s="1"/>
  <c r="K1221" i="1"/>
  <c r="L1221" i="1" s="1"/>
  <c r="K1222" i="1"/>
  <c r="L1222" i="1" s="1"/>
  <c r="K1223" i="1"/>
  <c r="L1223" i="1" s="1"/>
  <c r="K1224" i="1"/>
  <c r="L1224" i="1" s="1"/>
  <c r="K1225" i="1"/>
  <c r="L1225" i="1" s="1"/>
  <c r="K1226" i="1"/>
  <c r="L1226" i="1" s="1"/>
  <c r="K1227" i="1"/>
  <c r="L1227" i="1" s="1"/>
  <c r="K1228" i="1"/>
  <c r="L1228" i="1" s="1"/>
  <c r="K1229" i="1"/>
  <c r="L1229" i="1" s="1"/>
  <c r="K1230" i="1"/>
  <c r="L1230" i="1" s="1"/>
  <c r="K1231" i="1"/>
  <c r="L1231" i="1" s="1"/>
  <c r="K1232" i="1"/>
  <c r="L1232" i="1" s="1"/>
  <c r="K1233" i="1"/>
  <c r="L1233" i="1" s="1"/>
  <c r="K1234" i="1"/>
  <c r="L1234" i="1" s="1"/>
  <c r="K1235" i="1"/>
  <c r="L1235" i="1" s="1"/>
  <c r="K1236" i="1"/>
  <c r="L1236" i="1" s="1"/>
  <c r="K1237" i="1"/>
  <c r="L1237" i="1" s="1"/>
  <c r="K1238" i="1"/>
  <c r="L1238" i="1" s="1"/>
  <c r="K1239" i="1"/>
  <c r="L1239" i="1" s="1"/>
  <c r="K1240" i="1"/>
  <c r="L1240" i="1" s="1"/>
  <c r="K1241" i="1"/>
  <c r="L1241" i="1" s="1"/>
  <c r="K1242" i="1"/>
  <c r="L1242" i="1" s="1"/>
  <c r="K1243" i="1"/>
  <c r="L1243" i="1" s="1"/>
  <c r="K1244" i="1"/>
  <c r="L1244" i="1" s="1"/>
  <c r="K1245" i="1"/>
  <c r="L1245" i="1" s="1"/>
  <c r="K1246" i="1"/>
  <c r="L1246" i="1" s="1"/>
  <c r="K1247" i="1"/>
  <c r="L1247" i="1" s="1"/>
  <c r="K1248" i="1"/>
  <c r="L1248" i="1" s="1"/>
  <c r="K1249" i="1"/>
  <c r="L1249" i="1" s="1"/>
  <c r="K1250" i="1"/>
  <c r="L1250" i="1" s="1"/>
  <c r="K1251" i="1"/>
  <c r="L1251" i="1" s="1"/>
  <c r="K1252" i="1"/>
  <c r="L1252" i="1" s="1"/>
  <c r="K1253" i="1"/>
  <c r="L1253" i="1" s="1"/>
  <c r="K1254" i="1"/>
  <c r="L1254" i="1" s="1"/>
  <c r="K1255" i="1"/>
  <c r="L1255" i="1" s="1"/>
  <c r="K1256" i="1"/>
  <c r="L1256" i="1" s="1"/>
  <c r="K1257" i="1"/>
  <c r="L1257" i="1" s="1"/>
  <c r="K1258" i="1"/>
  <c r="L1258" i="1" s="1"/>
  <c r="K1259" i="1"/>
  <c r="L1259" i="1" s="1"/>
  <c r="K1260" i="1"/>
  <c r="L1260" i="1" s="1"/>
  <c r="K1261" i="1"/>
  <c r="L1261" i="1" s="1"/>
  <c r="K1262" i="1"/>
  <c r="L1262" i="1" s="1"/>
  <c r="K1263" i="1"/>
  <c r="L1263" i="1" s="1"/>
  <c r="K1264" i="1"/>
  <c r="L1264" i="1" s="1"/>
  <c r="K1265" i="1"/>
  <c r="L1265" i="1" s="1"/>
  <c r="K1266" i="1"/>
  <c r="L1266" i="1" s="1"/>
  <c r="K1267" i="1"/>
  <c r="L1267" i="1" s="1"/>
  <c r="K1268" i="1"/>
  <c r="L1268" i="1" s="1"/>
  <c r="K1269" i="1"/>
  <c r="L1269" i="1" s="1"/>
  <c r="K1270" i="1"/>
  <c r="L1270" i="1" s="1"/>
  <c r="K1271" i="1"/>
  <c r="L1271" i="1" s="1"/>
  <c r="K1272" i="1"/>
  <c r="L1272" i="1" s="1"/>
  <c r="K1273" i="1"/>
  <c r="L1273" i="1" s="1"/>
  <c r="K1274" i="1"/>
  <c r="L1274" i="1" s="1"/>
  <c r="K1275" i="1"/>
  <c r="L1275" i="1" s="1"/>
  <c r="K1276" i="1"/>
  <c r="L1276" i="1" s="1"/>
  <c r="K1277" i="1"/>
  <c r="L1277" i="1" s="1"/>
  <c r="K1278" i="1"/>
  <c r="L1278" i="1" s="1"/>
  <c r="K1279" i="1"/>
  <c r="L1279" i="1" s="1"/>
  <c r="K1280" i="1"/>
  <c r="L1280" i="1" s="1"/>
  <c r="K1281" i="1"/>
  <c r="L1281" i="1" s="1"/>
  <c r="K1282" i="1"/>
  <c r="L1282" i="1" s="1"/>
  <c r="K1283" i="1"/>
  <c r="L1283" i="1" s="1"/>
  <c r="K1284" i="1"/>
  <c r="L1284" i="1" s="1"/>
  <c r="K1285" i="1"/>
  <c r="L1285" i="1" s="1"/>
  <c r="K1286" i="1"/>
  <c r="L1286" i="1" s="1"/>
  <c r="K1287" i="1"/>
  <c r="L1287" i="1" s="1"/>
  <c r="K1288" i="1"/>
  <c r="L1288" i="1" s="1"/>
  <c r="K1289" i="1"/>
  <c r="L1289" i="1" s="1"/>
  <c r="K1290" i="1"/>
  <c r="L1290" i="1" s="1"/>
  <c r="K1291" i="1"/>
  <c r="L1291" i="1" s="1"/>
  <c r="K1292" i="1"/>
  <c r="L1292" i="1" s="1"/>
  <c r="K1293" i="1"/>
  <c r="L1293" i="1" s="1"/>
  <c r="K1294" i="1"/>
  <c r="L1294" i="1" s="1"/>
  <c r="K1295" i="1"/>
  <c r="L1295" i="1" s="1"/>
  <c r="K1296" i="1"/>
  <c r="L1296" i="1" s="1"/>
  <c r="K1297" i="1"/>
  <c r="L1297" i="1" s="1"/>
  <c r="K1298" i="1"/>
  <c r="L1298" i="1" s="1"/>
  <c r="K1299" i="1"/>
  <c r="L1299" i="1" s="1"/>
  <c r="K1300" i="1"/>
  <c r="L1300" i="1" s="1"/>
  <c r="K1301" i="1"/>
  <c r="L1301" i="1" s="1"/>
  <c r="K1302" i="1"/>
  <c r="L1302" i="1" s="1"/>
  <c r="K1303" i="1"/>
  <c r="L1303" i="1" s="1"/>
  <c r="K1304" i="1"/>
  <c r="L1304" i="1" s="1"/>
  <c r="K1305" i="1"/>
  <c r="L1305" i="1" s="1"/>
  <c r="K1306" i="1"/>
  <c r="L1306" i="1" s="1"/>
  <c r="K1307" i="1"/>
  <c r="L1307" i="1" s="1"/>
  <c r="K1308" i="1"/>
  <c r="L1308" i="1" s="1"/>
  <c r="K1309" i="1"/>
  <c r="L1309" i="1" s="1"/>
  <c r="K1310" i="1"/>
  <c r="L1310" i="1" s="1"/>
  <c r="K1311" i="1"/>
  <c r="L1311" i="1" s="1"/>
  <c r="K1312" i="1"/>
  <c r="L1312" i="1" s="1"/>
  <c r="K1313" i="1"/>
  <c r="L1313" i="1" s="1"/>
  <c r="K1314" i="1"/>
  <c r="L1314" i="1" s="1"/>
  <c r="K1315" i="1"/>
  <c r="L1315" i="1" s="1"/>
  <c r="K1316" i="1"/>
  <c r="L1316" i="1" s="1"/>
  <c r="K1317" i="1"/>
  <c r="L1317" i="1" s="1"/>
  <c r="K1318" i="1"/>
  <c r="L1318" i="1" s="1"/>
  <c r="K1319" i="1"/>
  <c r="L1319" i="1" s="1"/>
  <c r="K1320" i="1"/>
  <c r="L1320" i="1" s="1"/>
  <c r="K1321" i="1"/>
  <c r="L1321" i="1" s="1"/>
  <c r="K1322" i="1"/>
  <c r="L1322" i="1" s="1"/>
  <c r="K1323" i="1"/>
  <c r="L1323" i="1" s="1"/>
  <c r="K1324" i="1"/>
  <c r="L1324" i="1" s="1"/>
  <c r="K1325" i="1"/>
  <c r="L1325" i="1" s="1"/>
  <c r="K1326" i="1"/>
  <c r="L1326" i="1" s="1"/>
  <c r="K1327" i="1"/>
  <c r="L1327" i="1" s="1"/>
  <c r="K1328" i="1"/>
  <c r="L1328" i="1" s="1"/>
  <c r="K1329" i="1"/>
  <c r="L1329" i="1" s="1"/>
  <c r="K1330" i="1"/>
  <c r="L1330" i="1" s="1"/>
  <c r="K1331" i="1"/>
  <c r="L1331" i="1" s="1"/>
  <c r="K1332" i="1"/>
  <c r="L1332" i="1" s="1"/>
  <c r="K1333" i="1"/>
  <c r="L1333" i="1" s="1"/>
  <c r="K1334" i="1"/>
  <c r="L1334" i="1" s="1"/>
  <c r="K1335" i="1"/>
  <c r="L1335" i="1" s="1"/>
  <c r="K1336" i="1"/>
  <c r="L1336" i="1" s="1"/>
  <c r="K1337" i="1"/>
  <c r="L1337" i="1" s="1"/>
  <c r="K1338" i="1"/>
  <c r="L1338" i="1" s="1"/>
  <c r="K1339" i="1"/>
  <c r="L1339" i="1" s="1"/>
  <c r="K1340" i="1"/>
  <c r="L1340" i="1" s="1"/>
  <c r="K1341" i="1"/>
  <c r="L1341" i="1" s="1"/>
  <c r="K1342" i="1"/>
  <c r="L1342" i="1" s="1"/>
  <c r="K1343" i="1"/>
  <c r="L1343" i="1" s="1"/>
  <c r="K1344" i="1"/>
  <c r="L1344" i="1" s="1"/>
  <c r="K1345" i="1"/>
  <c r="L1345" i="1" s="1"/>
  <c r="K1346" i="1"/>
  <c r="L1346" i="1" s="1"/>
  <c r="K1347" i="1"/>
  <c r="L1347" i="1" s="1"/>
  <c r="K1348" i="1"/>
  <c r="L1348" i="1" s="1"/>
  <c r="K1349" i="1"/>
  <c r="L1349" i="1" s="1"/>
  <c r="K1350" i="1"/>
  <c r="L1350" i="1" s="1"/>
  <c r="K1351" i="1"/>
  <c r="L1351" i="1" s="1"/>
  <c r="K1352" i="1"/>
  <c r="L1352" i="1" s="1"/>
  <c r="K1353" i="1"/>
  <c r="L1353" i="1" s="1"/>
  <c r="K1354" i="1"/>
  <c r="L1354" i="1" s="1"/>
  <c r="K1355" i="1"/>
  <c r="L1355" i="1" s="1"/>
  <c r="K1356" i="1"/>
  <c r="L1356" i="1" s="1"/>
  <c r="K1357" i="1"/>
  <c r="L1357" i="1" s="1"/>
  <c r="K1358" i="1"/>
  <c r="L1358" i="1" s="1"/>
  <c r="K1359" i="1"/>
  <c r="L1359" i="1" s="1"/>
  <c r="K1360" i="1"/>
  <c r="L1360" i="1" s="1"/>
  <c r="K1361" i="1"/>
  <c r="L1361" i="1" s="1"/>
  <c r="K1362" i="1"/>
  <c r="L1362" i="1" s="1"/>
  <c r="K1363" i="1"/>
  <c r="L1363" i="1" s="1"/>
  <c r="K1364" i="1"/>
  <c r="L1364" i="1" s="1"/>
  <c r="K1365" i="1"/>
  <c r="L1365" i="1" s="1"/>
  <c r="K1366" i="1"/>
  <c r="L1366" i="1" s="1"/>
  <c r="K1367" i="1"/>
  <c r="L1367" i="1" s="1"/>
  <c r="K1368" i="1"/>
  <c r="L1368" i="1" s="1"/>
  <c r="K1369" i="1"/>
  <c r="L1369" i="1" s="1"/>
  <c r="K1370" i="1"/>
  <c r="L1370" i="1" s="1"/>
  <c r="K1371" i="1"/>
  <c r="L1371" i="1" s="1"/>
  <c r="K1372" i="1"/>
  <c r="L1372" i="1" s="1"/>
  <c r="K1373" i="1"/>
  <c r="L1373" i="1" s="1"/>
  <c r="K1374" i="1"/>
  <c r="L1374" i="1" s="1"/>
  <c r="K1375" i="1"/>
  <c r="L1375" i="1" s="1"/>
  <c r="K1376" i="1"/>
  <c r="L1376" i="1" s="1"/>
  <c r="K1377" i="1"/>
  <c r="L1377" i="1" s="1"/>
  <c r="K1378" i="1"/>
  <c r="L1378" i="1" s="1"/>
  <c r="K1379" i="1"/>
  <c r="L1379" i="1" s="1"/>
  <c r="K1380" i="1"/>
  <c r="L1380" i="1" s="1"/>
  <c r="K1381" i="1"/>
  <c r="L1381" i="1" s="1"/>
  <c r="K1382" i="1"/>
  <c r="L1382" i="1" s="1"/>
  <c r="K1383" i="1"/>
  <c r="L1383" i="1" s="1"/>
  <c r="K1384" i="1"/>
  <c r="L1384" i="1" s="1"/>
  <c r="K1385" i="1"/>
  <c r="L1385" i="1" s="1"/>
  <c r="K1386" i="1"/>
  <c r="L1386" i="1" s="1"/>
  <c r="K1387" i="1"/>
  <c r="L1387" i="1" s="1"/>
  <c r="K1388" i="1"/>
  <c r="L1388" i="1" s="1"/>
  <c r="K1389" i="1"/>
  <c r="L1389" i="1" s="1"/>
  <c r="K1390" i="1"/>
  <c r="L1390" i="1" s="1"/>
  <c r="K1391" i="1"/>
  <c r="L1391" i="1" s="1"/>
  <c r="K1392" i="1"/>
  <c r="L1392" i="1" s="1"/>
  <c r="K1393" i="1"/>
  <c r="L1393" i="1" s="1"/>
  <c r="K1395" i="1"/>
  <c r="L1395" i="1" s="1"/>
  <c r="K1396" i="1"/>
  <c r="L1396" i="1" s="1"/>
  <c r="K1397" i="1"/>
  <c r="L1397" i="1" s="1"/>
  <c r="K1398" i="1"/>
  <c r="L1398" i="1" s="1"/>
  <c r="K1399" i="1"/>
  <c r="L1399" i="1" s="1"/>
  <c r="K1400" i="1"/>
  <c r="L1400" i="1" s="1"/>
  <c r="K1401" i="1"/>
  <c r="L1401" i="1" s="1"/>
  <c r="K1402" i="1"/>
  <c r="L1402" i="1" s="1"/>
  <c r="K1403" i="1"/>
  <c r="L1403" i="1" s="1"/>
  <c r="K1404" i="1"/>
  <c r="L1404" i="1" s="1"/>
  <c r="K1405" i="1"/>
  <c r="L1405" i="1" s="1"/>
  <c r="K1406" i="1"/>
  <c r="L1406" i="1" s="1"/>
  <c r="K1407" i="1"/>
  <c r="L1407" i="1" s="1"/>
  <c r="K1408" i="1"/>
  <c r="L1408" i="1" s="1"/>
  <c r="K1409" i="1"/>
  <c r="L1409" i="1" s="1"/>
  <c r="K1410" i="1"/>
  <c r="L1410" i="1" s="1"/>
  <c r="K1411" i="1"/>
  <c r="L1411" i="1" s="1"/>
  <c r="K1412" i="1"/>
  <c r="L1412" i="1" s="1"/>
  <c r="K1413" i="1"/>
  <c r="L1413" i="1" s="1"/>
  <c r="K1414" i="1"/>
  <c r="L1414" i="1" s="1"/>
  <c r="K1415" i="1"/>
  <c r="L1415" i="1" s="1"/>
  <c r="K1416" i="1"/>
  <c r="L1416" i="1" s="1"/>
  <c r="K1417" i="1"/>
  <c r="L1417" i="1" s="1"/>
  <c r="K1418" i="1"/>
  <c r="L1418" i="1" s="1"/>
  <c r="K1419" i="1"/>
  <c r="L1419" i="1" s="1"/>
  <c r="K1420" i="1"/>
  <c r="L1420" i="1" s="1"/>
  <c r="K1421" i="1"/>
  <c r="L1421" i="1" s="1"/>
  <c r="K1422" i="1"/>
  <c r="L1422" i="1" s="1"/>
  <c r="K1423" i="1"/>
  <c r="L1423" i="1" s="1"/>
  <c r="K1424" i="1"/>
  <c r="L1424" i="1" s="1"/>
  <c r="K1425" i="1"/>
  <c r="L1425" i="1" s="1"/>
  <c r="K1426" i="1"/>
  <c r="L1426" i="1" s="1"/>
  <c r="K1427" i="1"/>
  <c r="L1427" i="1" s="1"/>
  <c r="K1428" i="1"/>
  <c r="L1428" i="1" s="1"/>
  <c r="K1429" i="1"/>
  <c r="L1429" i="1" s="1"/>
  <c r="K1430" i="1"/>
  <c r="L1430" i="1" s="1"/>
  <c r="K1431" i="1"/>
  <c r="L1431" i="1" s="1"/>
  <c r="K1432" i="1"/>
  <c r="L1432" i="1" s="1"/>
  <c r="K1433" i="1"/>
  <c r="L1433" i="1" s="1"/>
  <c r="K1434" i="1"/>
  <c r="L1434" i="1" s="1"/>
  <c r="K1435" i="1"/>
  <c r="L1435" i="1" s="1"/>
  <c r="K1436" i="1"/>
  <c r="L1436" i="1" s="1"/>
  <c r="K1437" i="1"/>
  <c r="L1437" i="1" s="1"/>
  <c r="K1438" i="1"/>
  <c r="L1438" i="1" s="1"/>
  <c r="K1439" i="1"/>
  <c r="L1439" i="1" s="1"/>
  <c r="K1440" i="1"/>
  <c r="L1440" i="1" s="1"/>
  <c r="K1441" i="1"/>
  <c r="L1441" i="1" s="1"/>
  <c r="K1442" i="1"/>
  <c r="L1442" i="1" s="1"/>
  <c r="K1443" i="1"/>
  <c r="L1443" i="1" s="1"/>
  <c r="K1444" i="1"/>
  <c r="L1444" i="1" s="1"/>
  <c r="K1445" i="1"/>
  <c r="L1445" i="1" s="1"/>
  <c r="K1446" i="1"/>
  <c r="L1446" i="1" s="1"/>
  <c r="K1447" i="1"/>
  <c r="L1447" i="1" s="1"/>
  <c r="K1448" i="1"/>
  <c r="L1448" i="1" s="1"/>
  <c r="K1449" i="1"/>
  <c r="L1449" i="1" s="1"/>
  <c r="K1450" i="1"/>
  <c r="L1450" i="1" s="1"/>
  <c r="K1451" i="1"/>
  <c r="L1451" i="1" s="1"/>
  <c r="K1452" i="1"/>
  <c r="L1452" i="1" s="1"/>
  <c r="K1453" i="1"/>
  <c r="L1453" i="1" s="1"/>
  <c r="K1454" i="1"/>
  <c r="L1454" i="1" s="1"/>
  <c r="K1455" i="1"/>
  <c r="L1455" i="1" s="1"/>
  <c r="K1456" i="1"/>
  <c r="L1456" i="1" s="1"/>
  <c r="K1457" i="1"/>
  <c r="L1457" i="1" s="1"/>
  <c r="K1458" i="1"/>
  <c r="L1458" i="1" s="1"/>
  <c r="K1459" i="1"/>
  <c r="L1459" i="1" s="1"/>
  <c r="K1460" i="1"/>
  <c r="L1460" i="1" s="1"/>
  <c r="K1461" i="1"/>
  <c r="L1461" i="1" s="1"/>
  <c r="K1462" i="1"/>
  <c r="L1462" i="1" s="1"/>
  <c r="K1463" i="1"/>
  <c r="L1463" i="1" s="1"/>
  <c r="K1464" i="1"/>
  <c r="L1464" i="1" s="1"/>
  <c r="K1465" i="1"/>
  <c r="L1465" i="1" s="1"/>
  <c r="K1466" i="1"/>
  <c r="L1466" i="1" s="1"/>
  <c r="K1467" i="1"/>
  <c r="L1467" i="1" s="1"/>
  <c r="K1468" i="1"/>
  <c r="L1468" i="1" s="1"/>
  <c r="K1469" i="1"/>
  <c r="L1469" i="1" s="1"/>
  <c r="K1470" i="1"/>
  <c r="L1470" i="1" s="1"/>
  <c r="K1476" i="1"/>
  <c r="L1476" i="1" s="1"/>
  <c r="K1477" i="1"/>
  <c r="L1477" i="1" s="1"/>
  <c r="K1478" i="1"/>
  <c r="L1478" i="1" s="1"/>
  <c r="K1479" i="1"/>
  <c r="L1479" i="1" s="1"/>
  <c r="K1480" i="1"/>
  <c r="L1480" i="1" s="1"/>
  <c r="K1481" i="1"/>
  <c r="L1481" i="1" s="1"/>
  <c r="K1482" i="1"/>
  <c r="L1482" i="1" s="1"/>
  <c r="K1483" i="1"/>
  <c r="L1483" i="1" s="1"/>
  <c r="K1484" i="1"/>
  <c r="L1484" i="1" s="1"/>
  <c r="K1485" i="1"/>
  <c r="L1485" i="1" s="1"/>
  <c r="K1486" i="1"/>
  <c r="L1486" i="1" s="1"/>
  <c r="K1487" i="1"/>
  <c r="L1487" i="1" s="1"/>
  <c r="K1488" i="1"/>
  <c r="L1488" i="1" s="1"/>
  <c r="K1489" i="1"/>
  <c r="L1489" i="1" s="1"/>
  <c r="K1490" i="1"/>
  <c r="L1490" i="1" s="1"/>
  <c r="K1491" i="1"/>
  <c r="L1491" i="1" s="1"/>
  <c r="K1492" i="1"/>
  <c r="L1492" i="1" s="1"/>
  <c r="K1493" i="1"/>
  <c r="L1493" i="1" s="1"/>
  <c r="K1494" i="1"/>
  <c r="L1494" i="1" s="1"/>
  <c r="K1495" i="1"/>
  <c r="L1495" i="1" s="1"/>
  <c r="K1496" i="1"/>
  <c r="L1496" i="1" s="1"/>
  <c r="K1497" i="1"/>
  <c r="L1497" i="1" s="1"/>
  <c r="K1498" i="1"/>
  <c r="L1498" i="1" s="1"/>
  <c r="K1499" i="1"/>
  <c r="L1499" i="1" s="1"/>
  <c r="K1500" i="1"/>
  <c r="L1500" i="1" s="1"/>
  <c r="K1501" i="1"/>
  <c r="L1501" i="1" s="1"/>
  <c r="K1502" i="1"/>
  <c r="L1502" i="1" s="1"/>
  <c r="K1503" i="1"/>
  <c r="L1503" i="1" s="1"/>
  <c r="K1504" i="1"/>
  <c r="L1504" i="1" s="1"/>
  <c r="K1505" i="1"/>
  <c r="L1505" i="1" s="1"/>
  <c r="K1506" i="1"/>
  <c r="L1506" i="1" s="1"/>
  <c r="K1507" i="1"/>
  <c r="L1507" i="1" s="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3" i="1"/>
  <c r="G1064" i="1"/>
  <c r="G1065" i="1"/>
  <c r="G1066" i="1"/>
  <c r="G1067" i="1"/>
  <c r="G1068" i="1"/>
  <c r="G1069" i="1"/>
  <c r="G1070" i="1"/>
  <c r="G1071" i="1"/>
  <c r="G1072" i="1"/>
  <c r="G1073" i="1"/>
  <c r="G1074" i="1"/>
  <c r="G1075" i="1"/>
  <c r="G1076" i="1"/>
  <c r="G1077" i="1"/>
  <c r="G1078" i="1"/>
  <c r="G1062"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3" i="1"/>
  <c r="F1064" i="1"/>
  <c r="F1065" i="1"/>
  <c r="F1066" i="1"/>
  <c r="F1067" i="1"/>
  <c r="F1068" i="1"/>
  <c r="F1069" i="1"/>
  <c r="F1070" i="1"/>
  <c r="F1071" i="1"/>
  <c r="F1072" i="1"/>
  <c r="F1073" i="1"/>
  <c r="F1074" i="1"/>
  <c r="F1075" i="1"/>
  <c r="F1076" i="1"/>
  <c r="F1077" i="1"/>
  <c r="F1078" i="1"/>
  <c r="F1062"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3" i="1"/>
  <c r="B1064" i="1"/>
  <c r="B1065" i="1"/>
  <c r="B1066" i="1"/>
  <c r="B1067" i="1"/>
  <c r="B1068" i="1"/>
  <c r="B1069" i="1"/>
  <c r="B1070" i="1"/>
  <c r="B1071" i="1"/>
  <c r="B1072" i="1"/>
  <c r="B1073" i="1"/>
  <c r="B1074" i="1"/>
  <c r="B1075" i="1"/>
  <c r="B1076" i="1"/>
  <c r="B1077" i="1"/>
  <c r="B1078" i="1"/>
  <c r="B1062"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K6" i="1"/>
  <c r="L6" i="1" s="1"/>
  <c r="G6" i="1"/>
  <c r="F6" i="1"/>
  <c r="B6" i="1"/>
  <c r="C5" i="16" l="1" a="1"/>
  <c r="C5" i="16" s="1"/>
  <c r="E6" i="16" a="1"/>
  <c r="E6" i="16" s="1"/>
  <c r="G7" i="16" a="1"/>
  <c r="G7" i="16" s="1"/>
  <c r="C9" i="16" a="1"/>
  <c r="C9" i="16" s="1"/>
  <c r="E10" i="16" a="1"/>
  <c r="E10" i="16" s="1"/>
  <c r="G11" i="16" a="1"/>
  <c r="G11" i="16" s="1"/>
  <c r="C13" i="16" a="1"/>
  <c r="C13" i="16" s="1"/>
  <c r="E14" i="16" a="1"/>
  <c r="E14" i="16" s="1"/>
  <c r="F6" i="18" s="1"/>
  <c r="H16" i="16" a="1"/>
  <c r="H16" i="16" s="1"/>
  <c r="D18" i="16" a="1"/>
  <c r="D18" i="16" s="1"/>
  <c r="F19" i="16" a="1"/>
  <c r="F19" i="16" s="1"/>
  <c r="H20" i="16" a="1"/>
  <c r="H20" i="16" s="1"/>
  <c r="D22" i="16" a="1"/>
  <c r="D22" i="16" s="1"/>
  <c r="F23" i="16" a="1"/>
  <c r="F23" i="16" s="1"/>
  <c r="H24" i="16" a="1"/>
  <c r="H24" i="16" s="1"/>
  <c r="I13" i="18" s="1"/>
  <c r="D26" i="16" a="1"/>
  <c r="D26" i="16" s="1"/>
  <c r="E17" i="18" s="1"/>
  <c r="F27" i="16" a="1"/>
  <c r="F27" i="16" s="1"/>
  <c r="G24" i="18" s="1"/>
  <c r="H28" i="16" a="1"/>
  <c r="H28" i="16" s="1"/>
  <c r="D30" i="16" a="1"/>
  <c r="D30" i="16" s="1"/>
  <c r="F31" i="16" a="1"/>
  <c r="F31" i="16" s="1"/>
  <c r="H32" i="16" a="1"/>
  <c r="H32" i="16" s="1"/>
  <c r="D34" i="16" a="1"/>
  <c r="D34" i="16" s="1"/>
  <c r="F35" i="16" a="1"/>
  <c r="F35" i="16" s="1"/>
  <c r="H36" i="16" a="1"/>
  <c r="H36" i="16" s="1"/>
  <c r="I34" i="18" s="1"/>
  <c r="D38" i="16" a="1"/>
  <c r="D38" i="16" s="1"/>
  <c r="F39" i="16" a="1"/>
  <c r="F39" i="16" s="1"/>
  <c r="C4" i="16" a="1"/>
  <c r="C4" i="16" s="1"/>
  <c r="G39" i="16" a="1"/>
  <c r="G39" i="16" s="1"/>
  <c r="F38" i="16" a="1"/>
  <c r="F38" i="16" s="1"/>
  <c r="D5" i="16" a="1"/>
  <c r="D5" i="16" s="1"/>
  <c r="F6" i="16" a="1"/>
  <c r="F6" i="16" s="1"/>
  <c r="H7" i="16" a="1"/>
  <c r="H7" i="16" s="1"/>
  <c r="I5" i="18" s="1"/>
  <c r="D9" i="16" a="1"/>
  <c r="D9" i="16" s="1"/>
  <c r="F10" i="16" a="1"/>
  <c r="F10" i="16" s="1"/>
  <c r="H11" i="16" a="1"/>
  <c r="H11" i="16" s="1"/>
  <c r="D13" i="16" a="1"/>
  <c r="D13" i="16" s="1"/>
  <c r="F14" i="16" a="1"/>
  <c r="F14" i="16" s="1"/>
  <c r="G15" i="16" a="1"/>
  <c r="G15" i="16" s="1"/>
  <c r="C17" i="16" a="1"/>
  <c r="C17" i="16" s="1"/>
  <c r="E18" i="16" a="1"/>
  <c r="E18" i="16" s="1"/>
  <c r="F10" i="18" s="1"/>
  <c r="G19" i="16" a="1"/>
  <c r="G19" i="16" s="1"/>
  <c r="C21" i="16" a="1"/>
  <c r="C21" i="16" s="1"/>
  <c r="E22" i="16" a="1"/>
  <c r="E22" i="16" s="1"/>
  <c r="G23" i="16" a="1"/>
  <c r="G23" i="16" s="1"/>
  <c r="C25" i="16" a="1"/>
  <c r="C25" i="16" s="1"/>
  <c r="E26" i="16" a="1"/>
  <c r="E26" i="16" s="1"/>
  <c r="G27" i="16" a="1"/>
  <c r="G27" i="16" s="1"/>
  <c r="H24" i="18" s="1"/>
  <c r="C29" i="16" a="1"/>
  <c r="C29" i="16" s="1"/>
  <c r="E30" i="16" a="1"/>
  <c r="E30" i="16" s="1"/>
  <c r="F27" i="18" s="1"/>
  <c r="G31" i="16" a="1"/>
  <c r="G31" i="16" s="1"/>
  <c r="C33" i="16" a="1"/>
  <c r="C33" i="16" s="1"/>
  <c r="E34" i="16" a="1"/>
  <c r="E34" i="16" s="1"/>
  <c r="G35" i="16" a="1"/>
  <c r="G35" i="16" s="1"/>
  <c r="C37" i="16" a="1"/>
  <c r="C37" i="16" s="1"/>
  <c r="E38" i="16" a="1"/>
  <c r="E38" i="16" s="1"/>
  <c r="H35" i="16" a="1"/>
  <c r="H35" i="16" s="1"/>
  <c r="I33" i="18" s="1"/>
  <c r="H39" i="16" a="1"/>
  <c r="H39" i="16" s="1"/>
  <c r="E5" i="16" a="1"/>
  <c r="E5" i="16" s="1"/>
  <c r="G6" i="16" a="1"/>
  <c r="G6" i="16" s="1"/>
  <c r="C8" i="16" a="1"/>
  <c r="C8" i="16" s="1"/>
  <c r="E9" i="16" a="1"/>
  <c r="E9" i="16" s="1"/>
  <c r="G10" i="16" a="1"/>
  <c r="G10" i="16" s="1"/>
  <c r="C12" i="16" a="1"/>
  <c r="C12" i="16" s="1"/>
  <c r="E13" i="16" a="1"/>
  <c r="E13" i="16" s="1"/>
  <c r="F15" i="18" s="1"/>
  <c r="G14" i="16" a="1"/>
  <c r="G14" i="16" s="1"/>
  <c r="H15" i="16" a="1"/>
  <c r="H15" i="16" s="1"/>
  <c r="D17" i="16" a="1"/>
  <c r="D17" i="16" s="1"/>
  <c r="F18" i="16" a="1"/>
  <c r="F18" i="16" s="1"/>
  <c r="H19" i="16" a="1"/>
  <c r="H19" i="16" s="1"/>
  <c r="D21" i="16" a="1"/>
  <c r="D21" i="16" s="1"/>
  <c r="F22" i="16" a="1"/>
  <c r="F22" i="16" s="1"/>
  <c r="G14" i="18" s="1"/>
  <c r="H23" i="16" a="1"/>
  <c r="H23" i="16" s="1"/>
  <c r="I2" i="18" s="1"/>
  <c r="D25" i="16" a="1"/>
  <c r="D25" i="16" s="1"/>
  <c r="E21" i="18" s="1"/>
  <c r="F26" i="16" a="1"/>
  <c r="F26" i="16" s="1"/>
  <c r="G17" i="18" s="1"/>
  <c r="H27" i="16" a="1"/>
  <c r="H27" i="16" s="1"/>
  <c r="I24" i="18" s="1"/>
  <c r="D29" i="16" a="1"/>
  <c r="D29" i="16" s="1"/>
  <c r="F30" i="16" a="1"/>
  <c r="F30" i="16" s="1"/>
  <c r="H31" i="16" a="1"/>
  <c r="H31" i="16" s="1"/>
  <c r="I29" i="18" s="1"/>
  <c r="D33" i="16" a="1"/>
  <c r="D33" i="16" s="1"/>
  <c r="F34" i="16" a="1"/>
  <c r="F34" i="16" s="1"/>
  <c r="G32" i="18" s="1"/>
  <c r="D37" i="16" a="1"/>
  <c r="D37" i="16" s="1"/>
  <c r="F5" i="16" a="1"/>
  <c r="F5" i="16" s="1"/>
  <c r="H6" i="16" a="1"/>
  <c r="H6" i="16" s="1"/>
  <c r="I23" i="18" s="1"/>
  <c r="D8" i="16" a="1"/>
  <c r="D8" i="16" s="1"/>
  <c r="F9" i="16" a="1"/>
  <c r="F9" i="16" s="1"/>
  <c r="H10" i="16" a="1"/>
  <c r="H10" i="16" s="1"/>
  <c r="I4" i="18" s="1"/>
  <c r="D12" i="16" a="1"/>
  <c r="D12" i="16" s="1"/>
  <c r="E26" i="18" s="1"/>
  <c r="F13" i="16" a="1"/>
  <c r="F13" i="16" s="1"/>
  <c r="G15" i="18" s="1"/>
  <c r="H14" i="16" a="1"/>
  <c r="H14" i="16" s="1"/>
  <c r="I6" i="18" s="1"/>
  <c r="C16" i="16" a="1"/>
  <c r="C16" i="16" s="1"/>
  <c r="E17" i="16" a="1"/>
  <c r="E17" i="16" s="1"/>
  <c r="F9" i="18" s="1"/>
  <c r="G18" i="16" a="1"/>
  <c r="G18" i="16" s="1"/>
  <c r="C20" i="16" a="1"/>
  <c r="C20" i="16" s="1"/>
  <c r="E21" i="16" a="1"/>
  <c r="E21" i="16" s="1"/>
  <c r="F12" i="18" s="1"/>
  <c r="G22" i="16" a="1"/>
  <c r="G22" i="16" s="1"/>
  <c r="H14" i="18" s="1"/>
  <c r="C24" i="16" a="1"/>
  <c r="C24" i="16" s="1"/>
  <c r="E25" i="16" a="1"/>
  <c r="E25" i="16" s="1"/>
  <c r="F21" i="18" s="1"/>
  <c r="G26" i="16" a="1"/>
  <c r="G26" i="16" s="1"/>
  <c r="H17" i="18" s="1"/>
  <c r="C28" i="16" a="1"/>
  <c r="C28" i="16" s="1"/>
  <c r="E29" i="16" a="1"/>
  <c r="E29" i="16" s="1"/>
  <c r="G30" i="16" a="1"/>
  <c r="G30" i="16" s="1"/>
  <c r="H27" i="18" s="1"/>
  <c r="C32" i="16" a="1"/>
  <c r="C32" i="16" s="1"/>
  <c r="E33" i="16" a="1"/>
  <c r="E33" i="16" s="1"/>
  <c r="F31" i="18" s="1"/>
  <c r="G34" i="16" a="1"/>
  <c r="G34" i="16" s="1"/>
  <c r="H32" i="18" s="1"/>
  <c r="C36" i="16" a="1"/>
  <c r="C36" i="16" s="1"/>
  <c r="E37" i="16" a="1"/>
  <c r="E37" i="16" s="1"/>
  <c r="G38" i="16" a="1"/>
  <c r="G38" i="16" s="1"/>
  <c r="D4" i="16" a="1"/>
  <c r="D4" i="16" s="1"/>
  <c r="E18" i="18" s="1"/>
  <c r="D36" i="16" a="1"/>
  <c r="D36" i="16" s="1"/>
  <c r="E34" i="18" s="1"/>
  <c r="H38" i="16" a="1"/>
  <c r="H38" i="16" s="1"/>
  <c r="G5" i="16" a="1"/>
  <c r="G5" i="16" s="1"/>
  <c r="H22" i="18" s="1"/>
  <c r="C7" i="16" a="1"/>
  <c r="C7" i="16" s="1"/>
  <c r="E8" i="16" a="1"/>
  <c r="E8" i="16" s="1"/>
  <c r="F16" i="18" s="1"/>
  <c r="G9" i="16" a="1"/>
  <c r="G9" i="16" s="1"/>
  <c r="H3" i="18" s="1"/>
  <c r="C11" i="16" a="1"/>
  <c r="C11" i="16" s="1"/>
  <c r="E12" i="16" a="1"/>
  <c r="E12" i="16" s="1"/>
  <c r="F26" i="18" s="1"/>
  <c r="G13" i="16" a="1"/>
  <c r="G13" i="16" s="1"/>
  <c r="H15" i="18" s="1"/>
  <c r="C15" i="16" a="1"/>
  <c r="C15" i="16" s="1"/>
  <c r="D16" i="16" a="1"/>
  <c r="D16" i="16" s="1"/>
  <c r="E8" i="18" s="1"/>
  <c r="F17" i="16" a="1"/>
  <c r="F17" i="16" s="1"/>
  <c r="G9" i="18" s="1"/>
  <c r="H18" i="16" a="1"/>
  <c r="H18" i="16" s="1"/>
  <c r="I10" i="18" s="1"/>
  <c r="D20" i="16" a="1"/>
  <c r="D20" i="16" s="1"/>
  <c r="E19" i="18" s="1"/>
  <c r="F21" i="16" a="1"/>
  <c r="F21" i="16" s="1"/>
  <c r="G12" i="18" s="1"/>
  <c r="H22" i="16" a="1"/>
  <c r="H22" i="16" s="1"/>
  <c r="I14" i="18" s="1"/>
  <c r="D24" i="16" a="1"/>
  <c r="D24" i="16" s="1"/>
  <c r="E13" i="18" s="1"/>
  <c r="F25" i="16" a="1"/>
  <c r="F25" i="16" s="1"/>
  <c r="G21" i="18" s="1"/>
  <c r="H26" i="16" a="1"/>
  <c r="H26" i="16" s="1"/>
  <c r="I17" i="18" s="1"/>
  <c r="D28" i="16" a="1"/>
  <c r="D28" i="16" s="1"/>
  <c r="E20" i="18" s="1"/>
  <c r="F29" i="16" a="1"/>
  <c r="F29" i="16" s="1"/>
  <c r="G28" i="18" s="1"/>
  <c r="H30" i="16" a="1"/>
  <c r="H30" i="16" s="1"/>
  <c r="I27" i="18" s="1"/>
  <c r="D32" i="16" a="1"/>
  <c r="D32" i="16" s="1"/>
  <c r="E30" i="18" s="1"/>
  <c r="F33" i="16" a="1"/>
  <c r="F33" i="16" s="1"/>
  <c r="G31" i="18" s="1"/>
  <c r="H34" i="16" a="1"/>
  <c r="H34" i="16" s="1"/>
  <c r="I32" i="18" s="1"/>
  <c r="F37" i="16" a="1"/>
  <c r="F37" i="16" s="1"/>
  <c r="E4" i="16" a="1"/>
  <c r="E4" i="16" s="1"/>
  <c r="F18" i="18" s="1"/>
  <c r="H5" i="16" a="1"/>
  <c r="H5" i="16" s="1"/>
  <c r="I22" i="18" s="1"/>
  <c r="D7" i="16" a="1"/>
  <c r="D7" i="16" s="1"/>
  <c r="E5" i="18" s="1"/>
  <c r="F8" i="16" a="1"/>
  <c r="F8" i="16" s="1"/>
  <c r="G16" i="18" s="1"/>
  <c r="H9" i="16" a="1"/>
  <c r="H9" i="16" s="1"/>
  <c r="I3" i="18" s="1"/>
  <c r="D11" i="16" a="1"/>
  <c r="D11" i="16" s="1"/>
  <c r="E25" i="18" s="1"/>
  <c r="F12" i="16" a="1"/>
  <c r="F12" i="16" s="1"/>
  <c r="G26" i="18" s="1"/>
  <c r="H13" i="16" a="1"/>
  <c r="H13" i="16" s="1"/>
  <c r="I15" i="18" s="1"/>
  <c r="D15" i="16" a="1"/>
  <c r="D15" i="16" s="1"/>
  <c r="E7" i="18" s="1"/>
  <c r="E16" i="16" a="1"/>
  <c r="E16" i="16" s="1"/>
  <c r="F8" i="18" s="1"/>
  <c r="G17" i="16" a="1"/>
  <c r="G17" i="16" s="1"/>
  <c r="H9" i="18" s="1"/>
  <c r="C19" i="16" a="1"/>
  <c r="C19" i="16" s="1"/>
  <c r="E20" i="16" a="1"/>
  <c r="E20" i="16" s="1"/>
  <c r="F19" i="18" s="1"/>
  <c r="G21" i="16" a="1"/>
  <c r="G21" i="16" s="1"/>
  <c r="H12" i="18" s="1"/>
  <c r="C23" i="16" a="1"/>
  <c r="C23" i="16" s="1"/>
  <c r="E24" i="16" a="1"/>
  <c r="E24" i="16" s="1"/>
  <c r="F13" i="18" s="1"/>
  <c r="G25" i="16" a="1"/>
  <c r="G25" i="16" s="1"/>
  <c r="H21" i="18" s="1"/>
  <c r="C27" i="16" a="1"/>
  <c r="C27" i="16" s="1"/>
  <c r="E28" i="16" a="1"/>
  <c r="E28" i="16" s="1"/>
  <c r="F20" i="18" s="1"/>
  <c r="G29" i="16" a="1"/>
  <c r="G29" i="16" s="1"/>
  <c r="H28" i="18" s="1"/>
  <c r="C31" i="16" a="1"/>
  <c r="C31" i="16" s="1"/>
  <c r="E32" i="16" a="1"/>
  <c r="E32" i="16" s="1"/>
  <c r="F30" i="18" s="1"/>
  <c r="G33" i="16" a="1"/>
  <c r="G33" i="16" s="1"/>
  <c r="H31" i="18" s="1"/>
  <c r="C35" i="16" a="1"/>
  <c r="C35" i="16" s="1"/>
  <c r="E36" i="16" a="1"/>
  <c r="E36" i="16" s="1"/>
  <c r="F34" i="18" s="1"/>
  <c r="G37" i="16" a="1"/>
  <c r="G37" i="16" s="1"/>
  <c r="C39" i="16" a="1"/>
  <c r="C39" i="16" s="1"/>
  <c r="F4" i="16" a="1"/>
  <c r="F4" i="16" s="1"/>
  <c r="G18" i="18" s="1"/>
  <c r="E35" i="16" a="1"/>
  <c r="E35" i="16" s="1"/>
  <c r="F33" i="18" s="1"/>
  <c r="E39" i="16" a="1"/>
  <c r="E39" i="16" s="1"/>
  <c r="C6" i="16" a="1"/>
  <c r="C6" i="16" s="1"/>
  <c r="E7" i="16" a="1"/>
  <c r="E7" i="16" s="1"/>
  <c r="F5" i="18" s="1"/>
  <c r="G8" i="16" a="1"/>
  <c r="G8" i="16" s="1"/>
  <c r="H16" i="18" s="1"/>
  <c r="C10" i="16" a="1"/>
  <c r="C10" i="16" s="1"/>
  <c r="E11" i="16" a="1"/>
  <c r="E11" i="16" s="1"/>
  <c r="F25" i="18" s="1"/>
  <c r="G12" i="16" a="1"/>
  <c r="G12" i="16" s="1"/>
  <c r="H26" i="18" s="1"/>
  <c r="C14" i="16" a="1"/>
  <c r="C14" i="16" s="1"/>
  <c r="E15" i="16" a="1"/>
  <c r="E15" i="16" s="1"/>
  <c r="F7" i="18" s="1"/>
  <c r="F16" i="16" a="1"/>
  <c r="F16" i="16" s="1"/>
  <c r="G8" i="18" s="1"/>
  <c r="H17" i="16" a="1"/>
  <c r="H17" i="16" s="1"/>
  <c r="I9" i="18" s="1"/>
  <c r="D19" i="16" a="1"/>
  <c r="D19" i="16" s="1"/>
  <c r="E11" i="18" s="1"/>
  <c r="F20" i="16" a="1"/>
  <c r="F20" i="16" s="1"/>
  <c r="G19" i="18" s="1"/>
  <c r="H21" i="16" a="1"/>
  <c r="H21" i="16" s="1"/>
  <c r="I12" i="18" s="1"/>
  <c r="D23" i="16" a="1"/>
  <c r="D23" i="16" s="1"/>
  <c r="E2" i="18" s="1"/>
  <c r="F24" i="16" a="1"/>
  <c r="F24" i="16" s="1"/>
  <c r="G13" i="18" s="1"/>
  <c r="H25" i="16" a="1"/>
  <c r="H25" i="16" s="1"/>
  <c r="I21" i="18" s="1"/>
  <c r="D27" i="16" a="1"/>
  <c r="D27" i="16" s="1"/>
  <c r="E24" i="18" s="1"/>
  <c r="F28" i="16" a="1"/>
  <c r="F28" i="16" s="1"/>
  <c r="G20" i="18" s="1"/>
  <c r="H29" i="16" a="1"/>
  <c r="H29" i="16" s="1"/>
  <c r="I28" i="18" s="1"/>
  <c r="D31" i="16" a="1"/>
  <c r="D31" i="16" s="1"/>
  <c r="E29" i="18" s="1"/>
  <c r="F32" i="16" a="1"/>
  <c r="F32" i="16" s="1"/>
  <c r="G30" i="18" s="1"/>
  <c r="H33" i="16" a="1"/>
  <c r="H33" i="16" s="1"/>
  <c r="I31" i="18" s="1"/>
  <c r="D35" i="16" a="1"/>
  <c r="D35" i="16" s="1"/>
  <c r="E33" i="18" s="1"/>
  <c r="F36" i="16" a="1"/>
  <c r="F36" i="16" s="1"/>
  <c r="G34" i="18" s="1"/>
  <c r="H37" i="16" a="1"/>
  <c r="H37" i="16" s="1"/>
  <c r="D39" i="16" a="1"/>
  <c r="D39" i="16" s="1"/>
  <c r="G4" i="16" a="1"/>
  <c r="G4" i="16" s="1"/>
  <c r="H18" i="18" s="1"/>
  <c r="G36" i="16" a="1"/>
  <c r="G36" i="16" s="1"/>
  <c r="H34" i="18" s="1"/>
  <c r="H4" i="16" a="1"/>
  <c r="H4" i="16" s="1"/>
  <c r="I18" i="18" s="1"/>
  <c r="D6" i="16" a="1"/>
  <c r="D6" i="16" s="1"/>
  <c r="E23" i="18" s="1"/>
  <c r="F7" i="16" a="1"/>
  <c r="F7" i="16" s="1"/>
  <c r="G5" i="18" s="1"/>
  <c r="H8" i="16" a="1"/>
  <c r="H8" i="16" s="1"/>
  <c r="I16" i="18" s="1"/>
  <c r="D10" i="16" a="1"/>
  <c r="D10" i="16" s="1"/>
  <c r="E4" i="18" s="1"/>
  <c r="F11" i="16" a="1"/>
  <c r="F11" i="16" s="1"/>
  <c r="G25" i="18" s="1"/>
  <c r="H12" i="16" a="1"/>
  <c r="H12" i="16" s="1"/>
  <c r="I26" i="18" s="1"/>
  <c r="D14" i="16" a="1"/>
  <c r="D14" i="16" s="1"/>
  <c r="E6" i="18" s="1"/>
  <c r="F15" i="16" a="1"/>
  <c r="F15" i="16" s="1"/>
  <c r="G7" i="18" s="1"/>
  <c r="G16" i="16" a="1"/>
  <c r="G16" i="16" s="1"/>
  <c r="H8" i="18" s="1"/>
  <c r="C18" i="16" a="1"/>
  <c r="C18" i="16" s="1"/>
  <c r="E19" i="16" a="1"/>
  <c r="E19" i="16" s="1"/>
  <c r="F11" i="18" s="1"/>
  <c r="G20" i="16" a="1"/>
  <c r="G20" i="16" s="1"/>
  <c r="H19" i="18" s="1"/>
  <c r="C22" i="16" a="1"/>
  <c r="C22" i="16" s="1"/>
  <c r="E23" i="16" a="1"/>
  <c r="E23" i="16" s="1"/>
  <c r="F2" i="18" s="1"/>
  <c r="G24" i="16" a="1"/>
  <c r="G24" i="16" s="1"/>
  <c r="H13" i="18" s="1"/>
  <c r="C26" i="16" a="1"/>
  <c r="C26" i="16" s="1"/>
  <c r="E27" i="16" a="1"/>
  <c r="E27" i="16" s="1"/>
  <c r="F24" i="18" s="1"/>
  <c r="G28" i="16" a="1"/>
  <c r="G28" i="16" s="1"/>
  <c r="H20" i="18" s="1"/>
  <c r="C30" i="16" a="1"/>
  <c r="C30" i="16" s="1"/>
  <c r="E31" i="16" a="1"/>
  <c r="E31" i="16" s="1"/>
  <c r="F29" i="18" s="1"/>
  <c r="G32" i="16" a="1"/>
  <c r="G32" i="16" s="1"/>
  <c r="H30" i="18" s="1"/>
  <c r="C34" i="16" a="1"/>
  <c r="C34" i="16" s="1"/>
  <c r="C38" i="16" a="1"/>
  <c r="C38" i="16" s="1"/>
  <c r="H6" i="18"/>
  <c r="H4" i="18"/>
  <c r="G6" i="18"/>
  <c r="E9" i="18"/>
  <c r="E12" i="18"/>
  <c r="F14" i="18"/>
  <c r="F22" i="18"/>
  <c r="H23" i="18"/>
  <c r="E3" i="18"/>
  <c r="F4" i="18"/>
  <c r="F17" i="18"/>
  <c r="I7" i="18"/>
  <c r="I20" i="18"/>
  <c r="I19" i="18"/>
  <c r="I11" i="18"/>
  <c r="I25" i="18"/>
  <c r="G11" i="18"/>
  <c r="E14" i="18"/>
  <c r="I30" i="18"/>
  <c r="F32" i="18"/>
  <c r="H25" i="18"/>
  <c r="H7" i="18"/>
  <c r="H11" i="18"/>
  <c r="E22" i="18"/>
  <c r="G23" i="18"/>
  <c r="G4" i="18"/>
  <c r="E15" i="18"/>
  <c r="G27" i="18"/>
  <c r="F3" i="18"/>
  <c r="H10" i="18"/>
  <c r="F28" i="18"/>
  <c r="G22" i="18"/>
  <c r="E16" i="18"/>
  <c r="G3" i="18"/>
  <c r="H33" i="18"/>
  <c r="H2" i="18"/>
  <c r="E27" i="18"/>
  <c r="H29" i="18"/>
  <c r="E28" i="18"/>
  <c r="G33" i="18"/>
  <c r="F23" i="18"/>
  <c r="E10" i="18"/>
  <c r="E32" i="18"/>
  <c r="H5" i="18"/>
  <c r="I8" i="18"/>
  <c r="G10" i="18"/>
  <c r="G2" i="18"/>
  <c r="G29" i="18"/>
  <c r="E31" i="18"/>
  <c r="L12" i="5"/>
  <c r="L11" i="5"/>
  <c r="L10" i="5"/>
  <c r="L9" i="5"/>
  <c r="L8" i="5"/>
  <c r="L7" i="5"/>
  <c r="L6" i="5"/>
  <c r="L5" i="5"/>
  <c r="J5" i="5"/>
  <c r="A12" i="7"/>
  <c r="J25" i="13"/>
  <c r="I25" i="13"/>
  <c r="H25" i="13" a="1"/>
  <c r="H25" i="13" s="1"/>
  <c r="G25" i="13" a="1"/>
  <c r="G25" i="13" s="1"/>
  <c r="F25" i="13" a="1"/>
  <c r="F25" i="13" s="1"/>
  <c r="E25" i="13" a="1"/>
  <c r="E25" i="13" s="1"/>
  <c r="D25" i="13" a="1"/>
  <c r="D25" i="13" s="1"/>
  <c r="C25" i="13" a="1"/>
  <c r="C25" i="13" s="1"/>
  <c r="A25" i="13"/>
  <c r="J24" i="13"/>
  <c r="I24" i="13"/>
  <c r="H24" i="13" a="1"/>
  <c r="H24" i="13" s="1"/>
  <c r="G24" i="13" a="1"/>
  <c r="G24" i="13" s="1"/>
  <c r="F24" i="13" a="1"/>
  <c r="F24" i="13" s="1"/>
  <c r="E24" i="13" a="1"/>
  <c r="E24" i="13" s="1"/>
  <c r="D24" i="13" a="1"/>
  <c r="D24" i="13" s="1"/>
  <c r="C24" i="13" a="1"/>
  <c r="C24" i="13" s="1"/>
  <c r="A24" i="13"/>
  <c r="J23" i="13"/>
  <c r="I23" i="13"/>
  <c r="H23" i="13" a="1"/>
  <c r="H23" i="13" s="1"/>
  <c r="G23" i="13" a="1"/>
  <c r="G23" i="13" s="1"/>
  <c r="F23" i="13" a="1"/>
  <c r="F23" i="13" s="1"/>
  <c r="E23" i="13" a="1"/>
  <c r="E23" i="13" s="1"/>
  <c r="D23" i="13" a="1"/>
  <c r="D23" i="13" s="1"/>
  <c r="C23" i="13" a="1"/>
  <c r="C23" i="13" s="1"/>
  <c r="A23" i="13"/>
  <c r="J22" i="13"/>
  <c r="I22" i="13"/>
  <c r="H22" i="13" a="1"/>
  <c r="H22" i="13" s="1"/>
  <c r="G22" i="13" a="1"/>
  <c r="G22" i="13" s="1"/>
  <c r="F22" i="13" a="1"/>
  <c r="F22" i="13" s="1"/>
  <c r="E22" i="13" a="1"/>
  <c r="E22" i="13" s="1"/>
  <c r="D22" i="13" a="1"/>
  <c r="D22" i="13" s="1"/>
  <c r="C22" i="13" a="1"/>
  <c r="C22" i="13" s="1"/>
  <c r="A22" i="13"/>
  <c r="J21" i="13"/>
  <c r="I21" i="13"/>
  <c r="H21" i="13" a="1"/>
  <c r="H21" i="13" s="1"/>
  <c r="G21" i="13" a="1"/>
  <c r="G21" i="13" s="1"/>
  <c r="F21" i="13" a="1"/>
  <c r="F21" i="13" s="1"/>
  <c r="E21" i="13" a="1"/>
  <c r="E21" i="13" s="1"/>
  <c r="D21" i="13" a="1"/>
  <c r="D21" i="13" s="1"/>
  <c r="C21" i="13" a="1"/>
  <c r="C21" i="13" s="1"/>
  <c r="A21" i="13"/>
  <c r="J20" i="13"/>
  <c r="I20" i="13"/>
  <c r="H20" i="13" a="1"/>
  <c r="H20" i="13" s="1"/>
  <c r="G20" i="13" a="1"/>
  <c r="G20" i="13" s="1"/>
  <c r="F20" i="13" a="1"/>
  <c r="F20" i="13" s="1"/>
  <c r="E20" i="13" a="1"/>
  <c r="E20" i="13" s="1"/>
  <c r="D20" i="13" a="1"/>
  <c r="D20" i="13" s="1"/>
  <c r="C20" i="13" a="1"/>
  <c r="C20" i="13" s="1"/>
  <c r="A20" i="13"/>
  <c r="J19" i="13"/>
  <c r="I19" i="13"/>
  <c r="H19" i="13" a="1"/>
  <c r="H19" i="13" s="1"/>
  <c r="G19" i="13" a="1"/>
  <c r="G19" i="13" s="1"/>
  <c r="F19" i="13" a="1"/>
  <c r="F19" i="13" s="1"/>
  <c r="E19" i="13" a="1"/>
  <c r="E19" i="13" s="1"/>
  <c r="D19" i="13" a="1"/>
  <c r="D19" i="13" s="1"/>
  <c r="C19" i="13" a="1"/>
  <c r="C19" i="13" s="1"/>
  <c r="A19" i="13"/>
  <c r="J18" i="13"/>
  <c r="I18" i="13"/>
  <c r="H18" i="13" a="1"/>
  <c r="H18" i="13" s="1"/>
  <c r="G18" i="13" a="1"/>
  <c r="G18" i="13" s="1"/>
  <c r="F18" i="13" a="1"/>
  <c r="F18" i="13" s="1"/>
  <c r="E18" i="13" a="1"/>
  <c r="E18" i="13" s="1"/>
  <c r="D18" i="13" a="1"/>
  <c r="D18" i="13" s="1"/>
  <c r="C18" i="13" a="1"/>
  <c r="C18" i="13" s="1"/>
  <c r="A18" i="13"/>
  <c r="J17" i="13"/>
  <c r="I17" i="13"/>
  <c r="H17" i="13" a="1"/>
  <c r="H17" i="13" s="1"/>
  <c r="G17" i="13" a="1"/>
  <c r="G17" i="13" s="1"/>
  <c r="F17" i="13" a="1"/>
  <c r="F17" i="13" s="1"/>
  <c r="E17" i="13" a="1"/>
  <c r="E17" i="13" s="1"/>
  <c r="D17" i="13" a="1"/>
  <c r="D17" i="13" s="1"/>
  <c r="C17" i="13" a="1"/>
  <c r="C17" i="13" s="1"/>
  <c r="A17" i="13"/>
  <c r="J16" i="13"/>
  <c r="I16" i="13"/>
  <c r="H16" i="13" a="1"/>
  <c r="H16" i="13" s="1"/>
  <c r="G16" i="13" a="1"/>
  <c r="G16" i="13" s="1"/>
  <c r="F16" i="13" a="1"/>
  <c r="F16" i="13" s="1"/>
  <c r="E16" i="13" a="1"/>
  <c r="E16" i="13" s="1"/>
  <c r="D16" i="13" a="1"/>
  <c r="D16" i="13" s="1"/>
  <c r="C16" i="13" a="1"/>
  <c r="C16" i="13" s="1"/>
  <c r="A16" i="13"/>
  <c r="J15" i="13"/>
  <c r="I15" i="13"/>
  <c r="H15" i="13" a="1"/>
  <c r="H15" i="13" s="1"/>
  <c r="G15" i="13" a="1"/>
  <c r="G15" i="13" s="1"/>
  <c r="F15" i="13" a="1"/>
  <c r="F15" i="13" s="1"/>
  <c r="E15" i="13" a="1"/>
  <c r="E15" i="13" s="1"/>
  <c r="D15" i="13" a="1"/>
  <c r="D15" i="13" s="1"/>
  <c r="C15" i="13" a="1"/>
  <c r="C15" i="13" s="1"/>
  <c r="A15" i="13"/>
  <c r="J14" i="13"/>
  <c r="I14" i="13"/>
  <c r="H14" i="13" a="1"/>
  <c r="H14" i="13" s="1"/>
  <c r="G14" i="13" a="1"/>
  <c r="G14" i="13" s="1"/>
  <c r="F14" i="13" a="1"/>
  <c r="F14" i="13" s="1"/>
  <c r="E14" i="13" a="1"/>
  <c r="E14" i="13" s="1"/>
  <c r="D14" i="13" a="1"/>
  <c r="D14" i="13" s="1"/>
  <c r="C14" i="13" a="1"/>
  <c r="C14" i="13" s="1"/>
  <c r="A14" i="13"/>
  <c r="J13" i="13"/>
  <c r="I13" i="13"/>
  <c r="H13" i="13" a="1"/>
  <c r="H13" i="13" s="1"/>
  <c r="G13" i="13" a="1"/>
  <c r="G13" i="13" s="1"/>
  <c r="F13" i="13" a="1"/>
  <c r="F13" i="13" s="1"/>
  <c r="E13" i="13" a="1"/>
  <c r="E13" i="13" s="1"/>
  <c r="D13" i="13" a="1"/>
  <c r="D13" i="13" s="1"/>
  <c r="C13" i="13" a="1"/>
  <c r="C13" i="13" s="1"/>
  <c r="A13" i="13"/>
  <c r="J12" i="13"/>
  <c r="I12" i="13"/>
  <c r="H12" i="13" a="1"/>
  <c r="H12" i="13" s="1"/>
  <c r="G12" i="13" a="1"/>
  <c r="G12" i="13" s="1"/>
  <c r="F12" i="13" a="1"/>
  <c r="F12" i="13" s="1"/>
  <c r="E12" i="13" a="1"/>
  <c r="E12" i="13" s="1"/>
  <c r="D12" i="13" a="1"/>
  <c r="D12" i="13" s="1"/>
  <c r="C12" i="13" a="1"/>
  <c r="C12" i="13" s="1"/>
  <c r="A12" i="13"/>
  <c r="J11" i="13"/>
  <c r="I11" i="13"/>
  <c r="H11" i="13" a="1"/>
  <c r="H11" i="13" s="1"/>
  <c r="G11" i="13" a="1"/>
  <c r="G11" i="13" s="1"/>
  <c r="F11" i="13" a="1"/>
  <c r="F11" i="13" s="1"/>
  <c r="E11" i="13" a="1"/>
  <c r="E11" i="13" s="1"/>
  <c r="D11" i="13" a="1"/>
  <c r="D11" i="13" s="1"/>
  <c r="C11" i="13" a="1"/>
  <c r="C11" i="13" s="1"/>
  <c r="A11" i="13"/>
  <c r="J10" i="13"/>
  <c r="I10" i="13"/>
  <c r="H10" i="13" a="1"/>
  <c r="H10" i="13" s="1"/>
  <c r="G10" i="13" a="1"/>
  <c r="G10" i="13" s="1"/>
  <c r="F10" i="13" a="1"/>
  <c r="F10" i="13" s="1"/>
  <c r="E10" i="13" a="1"/>
  <c r="E10" i="13" s="1"/>
  <c r="D10" i="13" a="1"/>
  <c r="D10" i="13" s="1"/>
  <c r="C10" i="13" a="1"/>
  <c r="C10" i="13" s="1"/>
  <c r="A10" i="13"/>
  <c r="J9" i="13"/>
  <c r="I9" i="13"/>
  <c r="H9" i="13" a="1"/>
  <c r="H9" i="13" s="1"/>
  <c r="G9" i="13" a="1"/>
  <c r="G9" i="13" s="1"/>
  <c r="F9" i="13" a="1"/>
  <c r="F9" i="13" s="1"/>
  <c r="E9" i="13" a="1"/>
  <c r="E9" i="13" s="1"/>
  <c r="D9" i="13" a="1"/>
  <c r="D9" i="13" s="1"/>
  <c r="C9" i="13" a="1"/>
  <c r="C9" i="13" s="1"/>
  <c r="A9" i="13"/>
  <c r="J8" i="13"/>
  <c r="I8" i="13"/>
  <c r="H8" i="13" a="1"/>
  <c r="H8" i="13" s="1"/>
  <c r="G8" i="13" a="1"/>
  <c r="G8" i="13" s="1"/>
  <c r="F8" i="13" a="1"/>
  <c r="F8" i="13" s="1"/>
  <c r="E8" i="13" a="1"/>
  <c r="E8" i="13" s="1"/>
  <c r="D8" i="13" a="1"/>
  <c r="D8" i="13" s="1"/>
  <c r="C8" i="13" a="1"/>
  <c r="C8" i="13" s="1"/>
  <c r="A8" i="13"/>
  <c r="J7" i="13"/>
  <c r="I7" i="13"/>
  <c r="H7" i="13" a="1"/>
  <c r="H7" i="13" s="1"/>
  <c r="G7" i="13" a="1"/>
  <c r="G7" i="13" s="1"/>
  <c r="F7" i="13" a="1"/>
  <c r="F7" i="13" s="1"/>
  <c r="E7" i="13" a="1"/>
  <c r="E7" i="13" s="1"/>
  <c r="D7" i="13" a="1"/>
  <c r="D7" i="13" s="1"/>
  <c r="C7" i="13" a="1"/>
  <c r="C7" i="13" s="1"/>
  <c r="A7" i="13"/>
  <c r="J6" i="13"/>
  <c r="I6" i="13"/>
  <c r="H6" i="13" a="1"/>
  <c r="H6" i="13" s="1"/>
  <c r="G6" i="13" a="1"/>
  <c r="G6" i="13" s="1"/>
  <c r="F6" i="13" a="1"/>
  <c r="F6" i="13" s="1"/>
  <c r="E6" i="13" a="1"/>
  <c r="E6" i="13" s="1"/>
  <c r="D6" i="13" a="1"/>
  <c r="D6" i="13" s="1"/>
  <c r="C6" i="13" a="1"/>
  <c r="C6" i="13" s="1"/>
  <c r="A6" i="13"/>
  <c r="J5" i="13"/>
  <c r="I5" i="13"/>
  <c r="H5" i="13" a="1"/>
  <c r="H5" i="13" s="1"/>
  <c r="G5" i="13" a="1"/>
  <c r="G5" i="13" s="1"/>
  <c r="F5" i="13" a="1"/>
  <c r="F5" i="13" s="1"/>
  <c r="E5" i="13" a="1"/>
  <c r="E5" i="13" s="1"/>
  <c r="D5" i="13" a="1"/>
  <c r="D5" i="13" s="1"/>
  <c r="C5" i="13" a="1"/>
  <c r="C5" i="13" s="1"/>
  <c r="A5" i="13"/>
  <c r="J4" i="13"/>
  <c r="I4" i="13"/>
  <c r="H4" i="13" a="1"/>
  <c r="H4" i="13" s="1"/>
  <c r="G4" i="13" a="1"/>
  <c r="G4" i="13" s="1"/>
  <c r="F4" i="13" a="1"/>
  <c r="F4" i="13" s="1"/>
  <c r="E4" i="13" a="1"/>
  <c r="E4" i="13" s="1"/>
  <c r="D4" i="13" a="1"/>
  <c r="D4" i="13" s="1"/>
  <c r="C4" i="13" a="1"/>
  <c r="C4" i="13" s="1"/>
  <c r="A4" i="13"/>
  <c r="J3" i="13"/>
  <c r="I3" i="13"/>
  <c r="H3" i="13" a="1"/>
  <c r="H3" i="13" s="1"/>
  <c r="G3" i="13" a="1"/>
  <c r="G3" i="13" s="1"/>
  <c r="F3" i="13" a="1"/>
  <c r="F3" i="13" s="1"/>
  <c r="E3" i="13" a="1"/>
  <c r="E3" i="13" s="1"/>
  <c r="D3" i="13" a="1"/>
  <c r="D3" i="13" s="1"/>
  <c r="C3" i="13" a="1"/>
  <c r="C3" i="13" s="1"/>
  <c r="A3" i="13"/>
  <c r="J28" i="12"/>
  <c r="I28" i="12"/>
  <c r="H28" i="12" a="1"/>
  <c r="H28" i="12" s="1"/>
  <c r="G28" i="12" a="1"/>
  <c r="G28" i="12" s="1"/>
  <c r="F28" i="12" a="1"/>
  <c r="F28" i="12" s="1"/>
  <c r="E28" i="12" a="1"/>
  <c r="E28" i="12" s="1"/>
  <c r="D28" i="12" a="1"/>
  <c r="D28" i="12" s="1"/>
  <c r="C28" i="12" a="1"/>
  <c r="C28" i="12" s="1"/>
  <c r="A28" i="12"/>
  <c r="J27" i="12"/>
  <c r="I27" i="12"/>
  <c r="H27" i="12" a="1"/>
  <c r="H27" i="12" s="1"/>
  <c r="G27" i="12" a="1"/>
  <c r="G27" i="12" s="1"/>
  <c r="F27" i="12" a="1"/>
  <c r="F27" i="12" s="1"/>
  <c r="E27" i="12" a="1"/>
  <c r="E27" i="12" s="1"/>
  <c r="D27" i="12" a="1"/>
  <c r="D27" i="12" s="1"/>
  <c r="C27" i="12" a="1"/>
  <c r="C27" i="12" s="1"/>
  <c r="A27" i="12"/>
  <c r="U26" i="12"/>
  <c r="T26" i="12"/>
  <c r="S26" i="12" a="1"/>
  <c r="S26" i="12" s="1"/>
  <c r="R26" i="12" a="1"/>
  <c r="R26" i="12" s="1"/>
  <c r="Q26" i="12" a="1"/>
  <c r="Q26" i="12" s="1"/>
  <c r="P26" i="12" a="1"/>
  <c r="P26" i="12" s="1"/>
  <c r="O26" i="12" a="1"/>
  <c r="O26" i="12" s="1"/>
  <c r="N26" i="12" a="1"/>
  <c r="N26" i="12" s="1"/>
  <c r="L26" i="12"/>
  <c r="J26" i="12"/>
  <c r="I26" i="12"/>
  <c r="H26" i="12" a="1"/>
  <c r="H26" i="12" s="1"/>
  <c r="G26" i="12" a="1"/>
  <c r="G26" i="12" s="1"/>
  <c r="F26" i="12" a="1"/>
  <c r="F26" i="12" s="1"/>
  <c r="E26" i="12" a="1"/>
  <c r="E26" i="12" s="1"/>
  <c r="D26" i="12" a="1"/>
  <c r="D26" i="12" s="1"/>
  <c r="C26" i="12" a="1"/>
  <c r="C26" i="12" s="1"/>
  <c r="A26" i="12"/>
  <c r="U25" i="12"/>
  <c r="T25" i="12"/>
  <c r="S25" i="12" a="1"/>
  <c r="S25" i="12" s="1"/>
  <c r="R25" i="12" a="1"/>
  <c r="R25" i="12" s="1"/>
  <c r="Q25" i="12" a="1"/>
  <c r="Q25" i="12" s="1"/>
  <c r="P25" i="12" a="1"/>
  <c r="P25" i="12" s="1"/>
  <c r="O25" i="12" a="1"/>
  <c r="O25" i="12" s="1"/>
  <c r="N25" i="12" a="1"/>
  <c r="N25" i="12" s="1"/>
  <c r="L25" i="12"/>
  <c r="J25" i="12"/>
  <c r="I25" i="12"/>
  <c r="H25" i="12" a="1"/>
  <c r="H25" i="12" s="1"/>
  <c r="G25" i="12" a="1"/>
  <c r="G25" i="12" s="1"/>
  <c r="F25" i="12" a="1"/>
  <c r="F25" i="12" s="1"/>
  <c r="E25" i="12" a="1"/>
  <c r="E25" i="12" s="1"/>
  <c r="D25" i="12" a="1"/>
  <c r="D25" i="12" s="1"/>
  <c r="C25" i="12" a="1"/>
  <c r="C25" i="12" s="1"/>
  <c r="A25" i="12"/>
  <c r="AF24" i="12"/>
  <c r="AE24" i="12"/>
  <c r="AD24" i="12" a="1"/>
  <c r="AD24" i="12" s="1"/>
  <c r="AC24" i="12" a="1"/>
  <c r="AC24" i="12" s="1"/>
  <c r="AB24" i="12" a="1"/>
  <c r="AB24" i="12" s="1"/>
  <c r="AA24" i="12" a="1"/>
  <c r="AA24" i="12" s="1"/>
  <c r="Z24" i="12" a="1"/>
  <c r="Z24" i="12" s="1"/>
  <c r="Y24" i="12" a="1"/>
  <c r="Y24" i="12" s="1"/>
  <c r="W24" i="12"/>
  <c r="U24" i="12"/>
  <c r="T24" i="12"/>
  <c r="S24" i="12" a="1"/>
  <c r="S24" i="12" s="1"/>
  <c r="R24" i="12" a="1"/>
  <c r="R24" i="12" s="1"/>
  <c r="Q24" i="12" a="1"/>
  <c r="Q24" i="12" s="1"/>
  <c r="P24" i="12" a="1"/>
  <c r="P24" i="12" s="1"/>
  <c r="O24" i="12" a="1"/>
  <c r="O24" i="12" s="1"/>
  <c r="N24" i="12" a="1"/>
  <c r="N24" i="12" s="1"/>
  <c r="L24" i="12"/>
  <c r="J24" i="12"/>
  <c r="I24" i="12"/>
  <c r="H24" i="12" a="1"/>
  <c r="H24" i="12" s="1"/>
  <c r="G24" i="12" a="1"/>
  <c r="G24" i="12" s="1"/>
  <c r="F24" i="12" a="1"/>
  <c r="F24" i="12" s="1"/>
  <c r="E24" i="12" a="1"/>
  <c r="E24" i="12" s="1"/>
  <c r="D24" i="12" a="1"/>
  <c r="D24" i="12" s="1"/>
  <c r="C24" i="12" a="1"/>
  <c r="C24" i="12" s="1"/>
  <c r="A24" i="12"/>
  <c r="AF23" i="12"/>
  <c r="AE23" i="12"/>
  <c r="AD23" i="12" a="1"/>
  <c r="AD23" i="12" s="1"/>
  <c r="AC23" i="12" a="1"/>
  <c r="AC23" i="12" s="1"/>
  <c r="AB23" i="12" a="1"/>
  <c r="AB23" i="12" s="1"/>
  <c r="AA23" i="12" a="1"/>
  <c r="AA23" i="12" s="1"/>
  <c r="Z23" i="12" a="1"/>
  <c r="Z23" i="12" s="1"/>
  <c r="Y23" i="12" a="1"/>
  <c r="Y23" i="12" s="1"/>
  <c r="W23" i="12"/>
  <c r="U23" i="12"/>
  <c r="T23" i="12"/>
  <c r="S23" i="12" a="1"/>
  <c r="S23" i="12" s="1"/>
  <c r="R23" i="12" a="1"/>
  <c r="R23" i="12" s="1"/>
  <c r="Q23" i="12" a="1"/>
  <c r="Q23" i="12" s="1"/>
  <c r="P23" i="12" a="1"/>
  <c r="P23" i="12" s="1"/>
  <c r="O23" i="12" a="1"/>
  <c r="O23" i="12" s="1"/>
  <c r="N23" i="12" a="1"/>
  <c r="N23" i="12" s="1"/>
  <c r="L23" i="12"/>
  <c r="J23" i="12"/>
  <c r="I23" i="12"/>
  <c r="H23" i="12" a="1"/>
  <c r="H23" i="12" s="1"/>
  <c r="G23" i="12" a="1"/>
  <c r="G23" i="12" s="1"/>
  <c r="F23" i="12" a="1"/>
  <c r="F23" i="12" s="1"/>
  <c r="E23" i="12" a="1"/>
  <c r="E23" i="12" s="1"/>
  <c r="D23" i="12" a="1"/>
  <c r="D23" i="12" s="1"/>
  <c r="C23" i="12" a="1"/>
  <c r="C23" i="12" s="1"/>
  <c r="A23" i="12"/>
  <c r="AF22" i="12"/>
  <c r="AE22" i="12"/>
  <c r="AD22" i="12" a="1"/>
  <c r="AD22" i="12" s="1"/>
  <c r="AC22" i="12" a="1"/>
  <c r="AC22" i="12" s="1"/>
  <c r="AB22" i="12" a="1"/>
  <c r="AB22" i="12" s="1"/>
  <c r="AA22" i="12" a="1"/>
  <c r="AA22" i="12" s="1"/>
  <c r="Z22" i="12" a="1"/>
  <c r="Z22" i="12" s="1"/>
  <c r="Y22" i="12" a="1"/>
  <c r="Y22" i="12" s="1"/>
  <c r="W22" i="12"/>
  <c r="U22" i="12"/>
  <c r="T22" i="12"/>
  <c r="S22" i="12" a="1"/>
  <c r="S22" i="12" s="1"/>
  <c r="R22" i="12" a="1"/>
  <c r="R22" i="12" s="1"/>
  <c r="Q22" i="12" a="1"/>
  <c r="Q22" i="12" s="1"/>
  <c r="P22" i="12" a="1"/>
  <c r="P22" i="12" s="1"/>
  <c r="O22" i="12" a="1"/>
  <c r="O22" i="12" s="1"/>
  <c r="N22" i="12" a="1"/>
  <c r="N22" i="12" s="1"/>
  <c r="L22" i="12"/>
  <c r="J22" i="12"/>
  <c r="I22" i="12"/>
  <c r="H22" i="12" a="1"/>
  <c r="H22" i="12" s="1"/>
  <c r="G22" i="12" a="1"/>
  <c r="G22" i="12" s="1"/>
  <c r="F22" i="12" a="1"/>
  <c r="F22" i="12" s="1"/>
  <c r="E22" i="12" a="1"/>
  <c r="E22" i="12" s="1"/>
  <c r="D22" i="12" a="1"/>
  <c r="D22" i="12" s="1"/>
  <c r="C22" i="12" a="1"/>
  <c r="C22" i="12" s="1"/>
  <c r="A22" i="12"/>
  <c r="AF21" i="12"/>
  <c r="AE21" i="12"/>
  <c r="AD21" i="12" a="1"/>
  <c r="AD21" i="12" s="1"/>
  <c r="AC21" i="12" a="1"/>
  <c r="AC21" i="12" s="1"/>
  <c r="AB21" i="12" a="1"/>
  <c r="AB21" i="12" s="1"/>
  <c r="AA21" i="12" a="1"/>
  <c r="AA21" i="12" s="1"/>
  <c r="Z21" i="12" a="1"/>
  <c r="Z21" i="12" s="1"/>
  <c r="Y21" i="12" a="1"/>
  <c r="Y21" i="12" s="1"/>
  <c r="W21" i="12"/>
  <c r="U21" i="12"/>
  <c r="T21" i="12"/>
  <c r="S21" i="12" a="1"/>
  <c r="S21" i="12" s="1"/>
  <c r="R21" i="12" a="1"/>
  <c r="R21" i="12" s="1"/>
  <c r="Q21" i="12" a="1"/>
  <c r="Q21" i="12" s="1"/>
  <c r="P21" i="12" a="1"/>
  <c r="P21" i="12" s="1"/>
  <c r="O21" i="12" a="1"/>
  <c r="O21" i="12" s="1"/>
  <c r="N21" i="12" a="1"/>
  <c r="N21" i="12" s="1"/>
  <c r="L21" i="12"/>
  <c r="J21" i="12"/>
  <c r="I21" i="12"/>
  <c r="H21" i="12" a="1"/>
  <c r="H21" i="12" s="1"/>
  <c r="G21" i="12" a="1"/>
  <c r="G21" i="12" s="1"/>
  <c r="F21" i="12" a="1"/>
  <c r="F21" i="12" s="1"/>
  <c r="E21" i="12" a="1"/>
  <c r="E21" i="12" s="1"/>
  <c r="D21" i="12" a="1"/>
  <c r="D21" i="12" s="1"/>
  <c r="C21" i="12" a="1"/>
  <c r="C21" i="12" s="1"/>
  <c r="A21" i="12"/>
  <c r="AF20" i="12"/>
  <c r="AE20" i="12"/>
  <c r="AD20" i="12" a="1"/>
  <c r="AD20" i="12" s="1"/>
  <c r="AC20" i="12" a="1"/>
  <c r="AC20" i="12" s="1"/>
  <c r="AB20" i="12" a="1"/>
  <c r="AB20" i="12" s="1"/>
  <c r="AA20" i="12" a="1"/>
  <c r="AA20" i="12" s="1"/>
  <c r="Z20" i="12" a="1"/>
  <c r="Z20" i="12" s="1"/>
  <c r="Y20" i="12" a="1"/>
  <c r="Y20" i="12" s="1"/>
  <c r="W20" i="12"/>
  <c r="U20" i="12"/>
  <c r="T20" i="12"/>
  <c r="S20" i="12" a="1"/>
  <c r="S20" i="12" s="1"/>
  <c r="R20" i="12" a="1"/>
  <c r="R20" i="12" s="1"/>
  <c r="Q20" i="12" a="1"/>
  <c r="Q20" i="12" s="1"/>
  <c r="P20" i="12" a="1"/>
  <c r="P20" i="12" s="1"/>
  <c r="O20" i="12" a="1"/>
  <c r="O20" i="12" s="1"/>
  <c r="N20" i="12" a="1"/>
  <c r="N20" i="12" s="1"/>
  <c r="L20" i="12"/>
  <c r="J20" i="12"/>
  <c r="I20" i="12"/>
  <c r="H20" i="12" a="1"/>
  <c r="H20" i="12" s="1"/>
  <c r="G20" i="12" a="1"/>
  <c r="G20" i="12" s="1"/>
  <c r="F20" i="12" a="1"/>
  <c r="F20" i="12" s="1"/>
  <c r="E20" i="12" a="1"/>
  <c r="E20" i="12" s="1"/>
  <c r="D20" i="12" a="1"/>
  <c r="D20" i="12" s="1"/>
  <c r="C20" i="12" a="1"/>
  <c r="C20" i="12" s="1"/>
  <c r="A20" i="12"/>
  <c r="AF19" i="12"/>
  <c r="AE19" i="12"/>
  <c r="AD19" i="12" a="1"/>
  <c r="AD19" i="12" s="1"/>
  <c r="AC19" i="12" a="1"/>
  <c r="AC19" i="12" s="1"/>
  <c r="AB19" i="12" a="1"/>
  <c r="AB19" i="12" s="1"/>
  <c r="AA19" i="12" a="1"/>
  <c r="AA19" i="12" s="1"/>
  <c r="Z19" i="12" a="1"/>
  <c r="Z19" i="12" s="1"/>
  <c r="Y19" i="12" a="1"/>
  <c r="Y19" i="12" s="1"/>
  <c r="W19" i="12"/>
  <c r="U19" i="12"/>
  <c r="T19" i="12"/>
  <c r="S19" i="12" a="1"/>
  <c r="S19" i="12" s="1"/>
  <c r="R19" i="12" a="1"/>
  <c r="R19" i="12" s="1"/>
  <c r="Q19" i="12" a="1"/>
  <c r="Q19" i="12" s="1"/>
  <c r="P19" i="12" a="1"/>
  <c r="P19" i="12" s="1"/>
  <c r="O19" i="12" a="1"/>
  <c r="O19" i="12" s="1"/>
  <c r="N19" i="12" a="1"/>
  <c r="N19" i="12" s="1"/>
  <c r="L19" i="12"/>
  <c r="J19" i="12"/>
  <c r="I19" i="12"/>
  <c r="H19" i="12" a="1"/>
  <c r="H19" i="12" s="1"/>
  <c r="G19" i="12" a="1"/>
  <c r="G19" i="12" s="1"/>
  <c r="F19" i="12" a="1"/>
  <c r="F19" i="12" s="1"/>
  <c r="E19" i="12" a="1"/>
  <c r="E19" i="12" s="1"/>
  <c r="D19" i="12" a="1"/>
  <c r="D19" i="12" s="1"/>
  <c r="C19" i="12" a="1"/>
  <c r="C19" i="12" s="1"/>
  <c r="A19" i="12"/>
  <c r="AF18" i="12"/>
  <c r="AE18" i="12"/>
  <c r="AD18" i="12" a="1"/>
  <c r="AD18" i="12" s="1"/>
  <c r="AC18" i="12" a="1"/>
  <c r="AC18" i="12" s="1"/>
  <c r="AB18" i="12" a="1"/>
  <c r="AB18" i="12" s="1"/>
  <c r="AA18" i="12" a="1"/>
  <c r="AA18" i="12" s="1"/>
  <c r="Z18" i="12" a="1"/>
  <c r="Z18" i="12" s="1"/>
  <c r="Y18" i="12" a="1"/>
  <c r="Y18" i="12" s="1"/>
  <c r="W18" i="12"/>
  <c r="U18" i="12"/>
  <c r="T18" i="12"/>
  <c r="S18" i="12" a="1"/>
  <c r="S18" i="12" s="1"/>
  <c r="R18" i="12" a="1"/>
  <c r="R18" i="12" s="1"/>
  <c r="Q18" i="12" a="1"/>
  <c r="Q18" i="12" s="1"/>
  <c r="P18" i="12" a="1"/>
  <c r="P18" i="12" s="1"/>
  <c r="O18" i="12" a="1"/>
  <c r="O18" i="12" s="1"/>
  <c r="N18" i="12" a="1"/>
  <c r="N18" i="12" s="1"/>
  <c r="L18" i="12"/>
  <c r="J18" i="12"/>
  <c r="I18" i="12"/>
  <c r="H18" i="12" a="1"/>
  <c r="H18" i="12" s="1"/>
  <c r="G18" i="12" a="1"/>
  <c r="G18" i="12" s="1"/>
  <c r="F18" i="12" a="1"/>
  <c r="F18" i="12" s="1"/>
  <c r="E18" i="12" a="1"/>
  <c r="E18" i="12" s="1"/>
  <c r="D18" i="12" a="1"/>
  <c r="D18" i="12" s="1"/>
  <c r="C18" i="12" a="1"/>
  <c r="C18" i="12" s="1"/>
  <c r="A18" i="12"/>
  <c r="AF17" i="12"/>
  <c r="AE17" i="12"/>
  <c r="AD17" i="12" a="1"/>
  <c r="AD17" i="12" s="1"/>
  <c r="AC17" i="12" a="1"/>
  <c r="AC17" i="12" s="1"/>
  <c r="AB17" i="12" a="1"/>
  <c r="AB17" i="12" s="1"/>
  <c r="AA17" i="12" a="1"/>
  <c r="AA17" i="12" s="1"/>
  <c r="Z17" i="12" a="1"/>
  <c r="Z17" i="12" s="1"/>
  <c r="Y17" i="12" a="1"/>
  <c r="Y17" i="12" s="1"/>
  <c r="W17" i="12"/>
  <c r="U17" i="12"/>
  <c r="T17" i="12"/>
  <c r="S17" i="12" a="1"/>
  <c r="S17" i="12" s="1"/>
  <c r="R17" i="12" a="1"/>
  <c r="R17" i="12" s="1"/>
  <c r="Q17" i="12" a="1"/>
  <c r="Q17" i="12" s="1"/>
  <c r="P17" i="12" a="1"/>
  <c r="P17" i="12" s="1"/>
  <c r="O17" i="12" a="1"/>
  <c r="O17" i="12" s="1"/>
  <c r="N17" i="12" a="1"/>
  <c r="N17" i="12" s="1"/>
  <c r="L17" i="12"/>
  <c r="J17" i="12"/>
  <c r="I17" i="12"/>
  <c r="H17" i="12" a="1"/>
  <c r="H17" i="12" s="1"/>
  <c r="G17" i="12" a="1"/>
  <c r="G17" i="12" s="1"/>
  <c r="F17" i="12" a="1"/>
  <c r="F17" i="12" s="1"/>
  <c r="E17" i="12" a="1"/>
  <c r="E17" i="12" s="1"/>
  <c r="D17" i="12" a="1"/>
  <c r="D17" i="12" s="1"/>
  <c r="C17" i="12" a="1"/>
  <c r="C17" i="12" s="1"/>
  <c r="A17" i="12"/>
  <c r="AF16" i="12"/>
  <c r="AE16" i="12"/>
  <c r="AD16" i="12" a="1"/>
  <c r="AD16" i="12" s="1"/>
  <c r="AC16" i="12" a="1"/>
  <c r="AC16" i="12" s="1"/>
  <c r="AB16" i="12" a="1"/>
  <c r="AB16" i="12" s="1"/>
  <c r="AA16" i="12" a="1"/>
  <c r="AA16" i="12" s="1"/>
  <c r="Z16" i="12" a="1"/>
  <c r="Z16" i="12" s="1"/>
  <c r="Y16" i="12" a="1"/>
  <c r="Y16" i="12" s="1"/>
  <c r="W16" i="12"/>
  <c r="U16" i="12"/>
  <c r="T16" i="12"/>
  <c r="S16" i="12" a="1"/>
  <c r="S16" i="12" s="1"/>
  <c r="R16" i="12" a="1"/>
  <c r="R16" i="12" s="1"/>
  <c r="Q16" i="12" a="1"/>
  <c r="Q16" i="12" s="1"/>
  <c r="P16" i="12" a="1"/>
  <c r="P16" i="12" s="1"/>
  <c r="O16" i="12" a="1"/>
  <c r="O16" i="12" s="1"/>
  <c r="N16" i="12" a="1"/>
  <c r="N16" i="12" s="1"/>
  <c r="L16" i="12"/>
  <c r="J16" i="12"/>
  <c r="I16" i="12"/>
  <c r="H16" i="12" a="1"/>
  <c r="H16" i="12" s="1"/>
  <c r="G16" i="12" a="1"/>
  <c r="G16" i="12" s="1"/>
  <c r="F16" i="12" a="1"/>
  <c r="F16" i="12" s="1"/>
  <c r="E16" i="12" a="1"/>
  <c r="E16" i="12" s="1"/>
  <c r="D16" i="12" a="1"/>
  <c r="D16" i="12" s="1"/>
  <c r="C16" i="12" a="1"/>
  <c r="C16" i="12" s="1"/>
  <c r="A16" i="12"/>
  <c r="AF15" i="12"/>
  <c r="AE15" i="12"/>
  <c r="AD15" i="12" a="1"/>
  <c r="AD15" i="12" s="1"/>
  <c r="AC15" i="12" a="1"/>
  <c r="AC15" i="12" s="1"/>
  <c r="AB15" i="12" a="1"/>
  <c r="AB15" i="12" s="1"/>
  <c r="AA15" i="12" a="1"/>
  <c r="AA15" i="12" s="1"/>
  <c r="Z15" i="12" a="1"/>
  <c r="Z15" i="12" s="1"/>
  <c r="Y15" i="12" a="1"/>
  <c r="Y15" i="12" s="1"/>
  <c r="W15" i="12"/>
  <c r="U15" i="12"/>
  <c r="T15" i="12"/>
  <c r="S15" i="12" a="1"/>
  <c r="S15" i="12" s="1"/>
  <c r="R15" i="12" a="1"/>
  <c r="R15" i="12" s="1"/>
  <c r="Q15" i="12" a="1"/>
  <c r="Q15" i="12" s="1"/>
  <c r="P15" i="12" a="1"/>
  <c r="P15" i="12" s="1"/>
  <c r="O15" i="12" a="1"/>
  <c r="O15" i="12" s="1"/>
  <c r="N15" i="12" a="1"/>
  <c r="N15" i="12" s="1"/>
  <c r="L15" i="12"/>
  <c r="J15" i="12"/>
  <c r="I15" i="12"/>
  <c r="H15" i="12" a="1"/>
  <c r="H15" i="12" s="1"/>
  <c r="G15" i="12" a="1"/>
  <c r="G15" i="12" s="1"/>
  <c r="F15" i="12" a="1"/>
  <c r="F15" i="12" s="1"/>
  <c r="E15" i="12" a="1"/>
  <c r="E15" i="12" s="1"/>
  <c r="D15" i="12" a="1"/>
  <c r="D15" i="12" s="1"/>
  <c r="C15" i="12" a="1"/>
  <c r="C15" i="12" s="1"/>
  <c r="A15" i="12"/>
  <c r="AF14" i="12"/>
  <c r="AE14" i="12"/>
  <c r="AD14" i="12" a="1"/>
  <c r="AD14" i="12" s="1"/>
  <c r="AC14" i="12" a="1"/>
  <c r="AC14" i="12" s="1"/>
  <c r="AB14" i="12" a="1"/>
  <c r="AB14" i="12" s="1"/>
  <c r="AA14" i="12" a="1"/>
  <c r="AA14" i="12" s="1"/>
  <c r="Z14" i="12" a="1"/>
  <c r="Z14" i="12" s="1"/>
  <c r="Y14" i="12" a="1"/>
  <c r="Y14" i="12" s="1"/>
  <c r="W14" i="12"/>
  <c r="U14" i="12"/>
  <c r="T14" i="12"/>
  <c r="S14" i="12" a="1"/>
  <c r="S14" i="12" s="1"/>
  <c r="R14" i="12" a="1"/>
  <c r="R14" i="12" s="1"/>
  <c r="Q14" i="12" a="1"/>
  <c r="Q14" i="12" s="1"/>
  <c r="P14" i="12" a="1"/>
  <c r="P14" i="12" s="1"/>
  <c r="O14" i="12" a="1"/>
  <c r="O14" i="12" s="1"/>
  <c r="N14" i="12" a="1"/>
  <c r="N14" i="12" s="1"/>
  <c r="L14" i="12"/>
  <c r="J14" i="12"/>
  <c r="I14" i="12"/>
  <c r="H14" i="12" a="1"/>
  <c r="H14" i="12" s="1"/>
  <c r="G14" i="12" a="1"/>
  <c r="G14" i="12" s="1"/>
  <c r="F14" i="12" a="1"/>
  <c r="F14" i="12" s="1"/>
  <c r="E14" i="12" a="1"/>
  <c r="E14" i="12" s="1"/>
  <c r="D14" i="12" a="1"/>
  <c r="D14" i="12" s="1"/>
  <c r="C14" i="12" a="1"/>
  <c r="C14" i="12" s="1"/>
  <c r="A14" i="12"/>
  <c r="AF13" i="12"/>
  <c r="AE13" i="12"/>
  <c r="AD13" i="12" a="1"/>
  <c r="AD13" i="12" s="1"/>
  <c r="AC13" i="12" a="1"/>
  <c r="AC13" i="12" s="1"/>
  <c r="AB13" i="12" a="1"/>
  <c r="AB13" i="12" s="1"/>
  <c r="AA13" i="12" a="1"/>
  <c r="AA13" i="12" s="1"/>
  <c r="Z13" i="12" a="1"/>
  <c r="Z13" i="12" s="1"/>
  <c r="Y13" i="12" a="1"/>
  <c r="Y13" i="12" s="1"/>
  <c r="W13" i="12"/>
  <c r="U13" i="12"/>
  <c r="T13" i="12"/>
  <c r="S13" i="12" a="1"/>
  <c r="S13" i="12" s="1"/>
  <c r="R13" i="12" a="1"/>
  <c r="R13" i="12" s="1"/>
  <c r="Q13" i="12" a="1"/>
  <c r="Q13" i="12" s="1"/>
  <c r="P13" i="12" a="1"/>
  <c r="P13" i="12" s="1"/>
  <c r="O13" i="12" a="1"/>
  <c r="O13" i="12" s="1"/>
  <c r="N13" i="12" a="1"/>
  <c r="N13" i="12" s="1"/>
  <c r="L13" i="12"/>
  <c r="J13" i="12"/>
  <c r="I13" i="12"/>
  <c r="H13" i="12" a="1"/>
  <c r="H13" i="12" s="1"/>
  <c r="G13" i="12" a="1"/>
  <c r="G13" i="12" s="1"/>
  <c r="F13" i="12" a="1"/>
  <c r="F13" i="12" s="1"/>
  <c r="E13" i="12" a="1"/>
  <c r="E13" i="12" s="1"/>
  <c r="D13" i="12" a="1"/>
  <c r="D13" i="12" s="1"/>
  <c r="C13" i="12" a="1"/>
  <c r="C13" i="12" s="1"/>
  <c r="A13" i="12"/>
  <c r="AF12" i="12"/>
  <c r="AE12" i="12"/>
  <c r="AD12" i="12" a="1"/>
  <c r="AD12" i="12" s="1"/>
  <c r="AC12" i="12" a="1"/>
  <c r="AC12" i="12" s="1"/>
  <c r="AB12" i="12" a="1"/>
  <c r="AB12" i="12" s="1"/>
  <c r="AA12" i="12" a="1"/>
  <c r="AA12" i="12" s="1"/>
  <c r="Z12" i="12" a="1"/>
  <c r="Z12" i="12" s="1"/>
  <c r="Y12" i="12" a="1"/>
  <c r="Y12" i="12" s="1"/>
  <c r="W12" i="12"/>
  <c r="U12" i="12"/>
  <c r="T12" i="12"/>
  <c r="S12" i="12" a="1"/>
  <c r="S12" i="12" s="1"/>
  <c r="R12" i="12" a="1"/>
  <c r="R12" i="12" s="1"/>
  <c r="Q12" i="12" a="1"/>
  <c r="Q12" i="12" s="1"/>
  <c r="P12" i="12" a="1"/>
  <c r="P12" i="12" s="1"/>
  <c r="O12" i="12" a="1"/>
  <c r="O12" i="12" s="1"/>
  <c r="N12" i="12" a="1"/>
  <c r="N12" i="12" s="1"/>
  <c r="L12" i="12"/>
  <c r="J12" i="12"/>
  <c r="I12" i="12"/>
  <c r="H12" i="12" a="1"/>
  <c r="H12" i="12" s="1"/>
  <c r="G12" i="12" a="1"/>
  <c r="G12" i="12" s="1"/>
  <c r="F12" i="12" a="1"/>
  <c r="F12" i="12" s="1"/>
  <c r="E12" i="12" a="1"/>
  <c r="E12" i="12" s="1"/>
  <c r="D12" i="12" a="1"/>
  <c r="D12" i="12" s="1"/>
  <c r="C12" i="12" a="1"/>
  <c r="C12" i="12" s="1"/>
  <c r="A12" i="12"/>
  <c r="AF11" i="12"/>
  <c r="AE11" i="12"/>
  <c r="AD11" i="12" a="1"/>
  <c r="AD11" i="12" s="1"/>
  <c r="AC11" i="12" a="1"/>
  <c r="AC11" i="12" s="1"/>
  <c r="AB11" i="12" a="1"/>
  <c r="AB11" i="12" s="1"/>
  <c r="AA11" i="12" a="1"/>
  <c r="AA11" i="12" s="1"/>
  <c r="Z11" i="12" a="1"/>
  <c r="Z11" i="12" s="1"/>
  <c r="Y11" i="12" a="1"/>
  <c r="Y11" i="12" s="1"/>
  <c r="W11" i="12"/>
  <c r="U11" i="12"/>
  <c r="T11" i="12"/>
  <c r="S11" i="12" a="1"/>
  <c r="S11" i="12" s="1"/>
  <c r="R11" i="12" a="1"/>
  <c r="R11" i="12" s="1"/>
  <c r="Q11" i="12" a="1"/>
  <c r="Q11" i="12" s="1"/>
  <c r="P11" i="12" a="1"/>
  <c r="P11" i="12" s="1"/>
  <c r="O11" i="12" a="1"/>
  <c r="O11" i="12" s="1"/>
  <c r="N11" i="12" a="1"/>
  <c r="N11" i="12" s="1"/>
  <c r="L11" i="12"/>
  <c r="J11" i="12"/>
  <c r="I11" i="12"/>
  <c r="H11" i="12" a="1"/>
  <c r="H11" i="12" s="1"/>
  <c r="G11" i="12" a="1"/>
  <c r="G11" i="12" s="1"/>
  <c r="F11" i="12" a="1"/>
  <c r="F11" i="12" s="1"/>
  <c r="E11" i="12" a="1"/>
  <c r="E11" i="12" s="1"/>
  <c r="D11" i="12" a="1"/>
  <c r="D11" i="12" s="1"/>
  <c r="C11" i="12" a="1"/>
  <c r="C11" i="12" s="1"/>
  <c r="A11" i="12"/>
  <c r="AF10" i="12"/>
  <c r="AE10" i="12"/>
  <c r="AD10" i="12" a="1"/>
  <c r="AD10" i="12" s="1"/>
  <c r="AC10" i="12" a="1"/>
  <c r="AC10" i="12" s="1"/>
  <c r="AB10" i="12" a="1"/>
  <c r="AB10" i="12" s="1"/>
  <c r="AA10" i="12" a="1"/>
  <c r="AA10" i="12" s="1"/>
  <c r="Z10" i="12" a="1"/>
  <c r="Z10" i="12" s="1"/>
  <c r="Y10" i="12" a="1"/>
  <c r="Y10" i="12" s="1"/>
  <c r="W10" i="12"/>
  <c r="U10" i="12"/>
  <c r="T10" i="12"/>
  <c r="S10" i="12" a="1"/>
  <c r="S10" i="12" s="1"/>
  <c r="R10" i="12" a="1"/>
  <c r="R10" i="12" s="1"/>
  <c r="Q10" i="12" a="1"/>
  <c r="Q10" i="12" s="1"/>
  <c r="P10" i="12" a="1"/>
  <c r="P10" i="12" s="1"/>
  <c r="O10" i="12" a="1"/>
  <c r="O10" i="12" s="1"/>
  <c r="N10" i="12" a="1"/>
  <c r="N10" i="12" s="1"/>
  <c r="L10" i="12"/>
  <c r="J10" i="12"/>
  <c r="I10" i="12"/>
  <c r="H10" i="12" a="1"/>
  <c r="H10" i="12" s="1"/>
  <c r="G10" i="12" a="1"/>
  <c r="G10" i="12" s="1"/>
  <c r="F10" i="12" a="1"/>
  <c r="F10" i="12" s="1"/>
  <c r="E10" i="12" a="1"/>
  <c r="E10" i="12" s="1"/>
  <c r="D10" i="12" a="1"/>
  <c r="D10" i="12" s="1"/>
  <c r="C10" i="12" a="1"/>
  <c r="C10" i="12" s="1"/>
  <c r="A10" i="12"/>
  <c r="AF9" i="12"/>
  <c r="AE9" i="12"/>
  <c r="AD9" i="12" a="1"/>
  <c r="AD9" i="12" s="1"/>
  <c r="AC9" i="12" a="1"/>
  <c r="AC9" i="12" s="1"/>
  <c r="AB9" i="12" a="1"/>
  <c r="AB9" i="12" s="1"/>
  <c r="AA9" i="12" a="1"/>
  <c r="AA9" i="12" s="1"/>
  <c r="Z9" i="12" a="1"/>
  <c r="Z9" i="12" s="1"/>
  <c r="Y9" i="12" a="1"/>
  <c r="Y9" i="12" s="1"/>
  <c r="W9" i="12"/>
  <c r="U9" i="12"/>
  <c r="T9" i="12"/>
  <c r="S9" i="12" a="1"/>
  <c r="S9" i="12" s="1"/>
  <c r="R9" i="12" a="1"/>
  <c r="R9" i="12" s="1"/>
  <c r="Q9" i="12" a="1"/>
  <c r="Q9" i="12" s="1"/>
  <c r="P9" i="12" a="1"/>
  <c r="P9" i="12" s="1"/>
  <c r="O9" i="12" a="1"/>
  <c r="O9" i="12" s="1"/>
  <c r="N9" i="12" a="1"/>
  <c r="N9" i="12" s="1"/>
  <c r="L9" i="12"/>
  <c r="J9" i="12"/>
  <c r="I9" i="12"/>
  <c r="H9" i="12" a="1"/>
  <c r="H9" i="12" s="1"/>
  <c r="G9" i="12" a="1"/>
  <c r="G9" i="12" s="1"/>
  <c r="F9" i="12" a="1"/>
  <c r="F9" i="12" s="1"/>
  <c r="E9" i="12" a="1"/>
  <c r="E9" i="12" s="1"/>
  <c r="D9" i="12" a="1"/>
  <c r="D9" i="12" s="1"/>
  <c r="C9" i="12" a="1"/>
  <c r="C9" i="12" s="1"/>
  <c r="A9" i="12"/>
  <c r="AF8" i="12"/>
  <c r="AE8" i="12"/>
  <c r="AD8" i="12" a="1"/>
  <c r="AD8" i="12" s="1"/>
  <c r="AC8" i="12" a="1"/>
  <c r="AC8" i="12" s="1"/>
  <c r="AB8" i="12" a="1"/>
  <c r="AB8" i="12" s="1"/>
  <c r="AA8" i="12" a="1"/>
  <c r="AA8" i="12" s="1"/>
  <c r="Z8" i="12" a="1"/>
  <c r="Z8" i="12" s="1"/>
  <c r="Y8" i="12" a="1"/>
  <c r="Y8" i="12" s="1"/>
  <c r="W8" i="12"/>
  <c r="U8" i="12"/>
  <c r="T8" i="12"/>
  <c r="S8" i="12" a="1"/>
  <c r="S8" i="12" s="1"/>
  <c r="R8" i="12" a="1"/>
  <c r="R8" i="12" s="1"/>
  <c r="Q8" i="12" a="1"/>
  <c r="Q8" i="12" s="1"/>
  <c r="P8" i="12" a="1"/>
  <c r="P8" i="12" s="1"/>
  <c r="O8" i="12" a="1"/>
  <c r="O8" i="12" s="1"/>
  <c r="N8" i="12" a="1"/>
  <c r="N8" i="12" s="1"/>
  <c r="L8" i="12"/>
  <c r="J8" i="12"/>
  <c r="I8" i="12"/>
  <c r="H8" i="12" a="1"/>
  <c r="H8" i="12" s="1"/>
  <c r="G8" i="12" a="1"/>
  <c r="G8" i="12" s="1"/>
  <c r="F8" i="12" a="1"/>
  <c r="F8" i="12" s="1"/>
  <c r="E8" i="12" a="1"/>
  <c r="E8" i="12" s="1"/>
  <c r="D8" i="12" a="1"/>
  <c r="D8" i="12" s="1"/>
  <c r="C8" i="12" a="1"/>
  <c r="C8" i="12" s="1"/>
  <c r="A8" i="12"/>
  <c r="AF7" i="12"/>
  <c r="AE7" i="12"/>
  <c r="AD7" i="12" a="1"/>
  <c r="AD7" i="12" s="1"/>
  <c r="AC7" i="12" a="1"/>
  <c r="AC7" i="12" s="1"/>
  <c r="AB7" i="12" a="1"/>
  <c r="AB7" i="12" s="1"/>
  <c r="AA7" i="12" a="1"/>
  <c r="AA7" i="12" s="1"/>
  <c r="Z7" i="12" a="1"/>
  <c r="Z7" i="12" s="1"/>
  <c r="Y7" i="12" a="1"/>
  <c r="Y7" i="12" s="1"/>
  <c r="W7" i="12"/>
  <c r="U7" i="12"/>
  <c r="T7" i="12"/>
  <c r="S7" i="12" a="1"/>
  <c r="S7" i="12" s="1"/>
  <c r="R7" i="12" a="1"/>
  <c r="R7" i="12" s="1"/>
  <c r="Q7" i="12" a="1"/>
  <c r="Q7" i="12" s="1"/>
  <c r="P7" i="12" a="1"/>
  <c r="P7" i="12" s="1"/>
  <c r="O7" i="12" a="1"/>
  <c r="O7" i="12" s="1"/>
  <c r="N7" i="12" a="1"/>
  <c r="N7" i="12" s="1"/>
  <c r="L7" i="12"/>
  <c r="J7" i="12"/>
  <c r="I7" i="12"/>
  <c r="H7" i="12" a="1"/>
  <c r="H7" i="12" s="1"/>
  <c r="G7" i="12" a="1"/>
  <c r="G7" i="12" s="1"/>
  <c r="F7" i="12" a="1"/>
  <c r="F7" i="12" s="1"/>
  <c r="E7" i="12" a="1"/>
  <c r="E7" i="12" s="1"/>
  <c r="D7" i="12" a="1"/>
  <c r="D7" i="12" s="1"/>
  <c r="C7" i="12" a="1"/>
  <c r="C7" i="12" s="1"/>
  <c r="A7" i="12"/>
  <c r="AF6" i="12"/>
  <c r="AE6" i="12"/>
  <c r="AD6" i="12" a="1"/>
  <c r="AD6" i="12" s="1"/>
  <c r="AC6" i="12" a="1"/>
  <c r="AC6" i="12" s="1"/>
  <c r="AB6" i="12" a="1"/>
  <c r="AB6" i="12" s="1"/>
  <c r="AA6" i="12" a="1"/>
  <c r="AA6" i="12" s="1"/>
  <c r="Z6" i="12" a="1"/>
  <c r="Z6" i="12" s="1"/>
  <c r="Y6" i="12" a="1"/>
  <c r="Y6" i="12" s="1"/>
  <c r="W6" i="12"/>
  <c r="U6" i="12"/>
  <c r="T6" i="12"/>
  <c r="S6" i="12" a="1"/>
  <c r="S6" i="12" s="1"/>
  <c r="R6" i="12" a="1"/>
  <c r="R6" i="12" s="1"/>
  <c r="Q6" i="12" a="1"/>
  <c r="Q6" i="12" s="1"/>
  <c r="P6" i="12" a="1"/>
  <c r="P6" i="12" s="1"/>
  <c r="O6" i="12" a="1"/>
  <c r="O6" i="12" s="1"/>
  <c r="N6" i="12" a="1"/>
  <c r="N6" i="12" s="1"/>
  <c r="L6" i="12"/>
  <c r="J6" i="12"/>
  <c r="I6" i="12"/>
  <c r="H6" i="12" a="1"/>
  <c r="H6" i="12" s="1"/>
  <c r="G6" i="12" a="1"/>
  <c r="G6" i="12" s="1"/>
  <c r="F6" i="12" a="1"/>
  <c r="F6" i="12" s="1"/>
  <c r="E6" i="12" a="1"/>
  <c r="E6" i="12" s="1"/>
  <c r="D6" i="12" a="1"/>
  <c r="D6" i="12" s="1"/>
  <c r="C6" i="12" a="1"/>
  <c r="C6" i="12" s="1"/>
  <c r="A6" i="12"/>
  <c r="AF5" i="12"/>
  <c r="AE5" i="12"/>
  <c r="AD5" i="12" a="1"/>
  <c r="AD5" i="12" s="1"/>
  <c r="AC5" i="12" a="1"/>
  <c r="AC5" i="12" s="1"/>
  <c r="AB5" i="12" a="1"/>
  <c r="AB5" i="12" s="1"/>
  <c r="AA5" i="12" a="1"/>
  <c r="AA5" i="12" s="1"/>
  <c r="Z5" i="12" a="1"/>
  <c r="Z5" i="12" s="1"/>
  <c r="Y5" i="12" a="1"/>
  <c r="Y5" i="12" s="1"/>
  <c r="W5" i="12"/>
  <c r="U5" i="12"/>
  <c r="T5" i="12"/>
  <c r="S5" i="12" a="1"/>
  <c r="S5" i="12" s="1"/>
  <c r="R5" i="12" a="1"/>
  <c r="R5" i="12" s="1"/>
  <c r="Q5" i="12" a="1"/>
  <c r="Q5" i="12" s="1"/>
  <c r="P5" i="12" a="1"/>
  <c r="P5" i="12" s="1"/>
  <c r="O5" i="12" a="1"/>
  <c r="O5" i="12" s="1"/>
  <c r="N5" i="12" a="1"/>
  <c r="N5" i="12" s="1"/>
  <c r="L5" i="12"/>
  <c r="J5" i="12"/>
  <c r="I5" i="12"/>
  <c r="H5" i="12" a="1"/>
  <c r="H5" i="12" s="1"/>
  <c r="G5" i="12" a="1"/>
  <c r="G5" i="12" s="1"/>
  <c r="F5" i="12" a="1"/>
  <c r="F5" i="12" s="1"/>
  <c r="E5" i="12" a="1"/>
  <c r="E5" i="12" s="1"/>
  <c r="D5" i="12" a="1"/>
  <c r="D5" i="12" s="1"/>
  <c r="C5" i="12" a="1"/>
  <c r="C5" i="12" s="1"/>
  <c r="A5" i="12"/>
  <c r="AF4" i="12"/>
  <c r="AE4" i="12"/>
  <c r="AD4" i="12" a="1"/>
  <c r="AD4" i="12" s="1"/>
  <c r="AC4" i="12" a="1"/>
  <c r="AC4" i="12" s="1"/>
  <c r="AB4" i="12" a="1"/>
  <c r="AB4" i="12" s="1"/>
  <c r="AA4" i="12" a="1"/>
  <c r="AA4" i="12" s="1"/>
  <c r="Z4" i="12" a="1"/>
  <c r="Z4" i="12" s="1"/>
  <c r="Y4" i="12" a="1"/>
  <c r="Y4" i="12" s="1"/>
  <c r="W4" i="12"/>
  <c r="U4" i="12"/>
  <c r="T4" i="12"/>
  <c r="S4" i="12" a="1"/>
  <c r="S4" i="12" s="1"/>
  <c r="R4" i="12" a="1"/>
  <c r="R4" i="12" s="1"/>
  <c r="Q4" i="12" a="1"/>
  <c r="Q4" i="12" s="1"/>
  <c r="P4" i="12" a="1"/>
  <c r="P4" i="12" s="1"/>
  <c r="O4" i="12" a="1"/>
  <c r="O4" i="12" s="1"/>
  <c r="N4" i="12" a="1"/>
  <c r="N4" i="12" s="1"/>
  <c r="L4" i="12"/>
  <c r="J4" i="12"/>
  <c r="I4" i="12"/>
  <c r="H4" i="12" a="1"/>
  <c r="H4" i="12" s="1"/>
  <c r="G4" i="12" a="1"/>
  <c r="G4" i="12" s="1"/>
  <c r="F4" i="12" a="1"/>
  <c r="F4" i="12" s="1"/>
  <c r="E4" i="12" a="1"/>
  <c r="E4" i="12" s="1"/>
  <c r="D4" i="12" a="1"/>
  <c r="D4" i="12" s="1"/>
  <c r="C4" i="12" a="1"/>
  <c r="C4" i="12" s="1"/>
  <c r="A4" i="12"/>
  <c r="AF3" i="12"/>
  <c r="AE3" i="12"/>
  <c r="AD3" i="12" a="1"/>
  <c r="AD3" i="12" s="1"/>
  <c r="AC3" i="12" a="1"/>
  <c r="AC3" i="12" s="1"/>
  <c r="AB3" i="12" a="1"/>
  <c r="AB3" i="12" s="1"/>
  <c r="AA3" i="12" a="1"/>
  <c r="AA3" i="12" s="1"/>
  <c r="Z3" i="12" a="1"/>
  <c r="Z3" i="12" s="1"/>
  <c r="Y3" i="12" a="1"/>
  <c r="Y3" i="12" s="1"/>
  <c r="W3" i="12"/>
  <c r="U3" i="12"/>
  <c r="T3" i="12"/>
  <c r="S3" i="12" a="1"/>
  <c r="S3" i="12" s="1"/>
  <c r="R3" i="12" a="1"/>
  <c r="R3" i="12" s="1"/>
  <c r="Q3" i="12" a="1"/>
  <c r="Q3" i="12" s="1"/>
  <c r="P3" i="12" a="1"/>
  <c r="P3" i="12" s="1"/>
  <c r="O3" i="12" a="1"/>
  <c r="O3" i="12" s="1"/>
  <c r="N3" i="12" a="1"/>
  <c r="N3" i="12" s="1"/>
  <c r="L3" i="12"/>
  <c r="J3" i="12"/>
  <c r="I3" i="12"/>
  <c r="H3" i="12" a="1"/>
  <c r="H3" i="12" s="1"/>
  <c r="G3" i="12" a="1"/>
  <c r="G3" i="12" s="1"/>
  <c r="F3" i="12" a="1"/>
  <c r="F3" i="12" s="1"/>
  <c r="E3" i="12" a="1"/>
  <c r="E3" i="12" s="1"/>
  <c r="D3" i="12" a="1"/>
  <c r="D3" i="12" s="1"/>
  <c r="C3" i="12" a="1"/>
  <c r="C3" i="12" s="1"/>
  <c r="A3" i="12"/>
  <c r="J100" i="16"/>
  <c r="I100" i="16" a="1"/>
  <c r="I100" i="16" s="1"/>
  <c r="H100" i="16" a="1"/>
  <c r="H100" i="16" s="1"/>
  <c r="G100" i="16" a="1"/>
  <c r="G100" i="16" s="1"/>
  <c r="F100" i="16" a="1"/>
  <c r="F100" i="16" s="1"/>
  <c r="E100" i="16" a="1"/>
  <c r="E100" i="16" s="1"/>
  <c r="D100" i="16" a="1"/>
  <c r="D100" i="16" s="1"/>
  <c r="C100" i="16" a="1"/>
  <c r="C100" i="16" s="1"/>
  <c r="B100" i="16"/>
  <c r="J99" i="16"/>
  <c r="I99" i="16" a="1"/>
  <c r="I99" i="16" s="1"/>
  <c r="H99" i="16" a="1"/>
  <c r="H99" i="16" s="1"/>
  <c r="G99" i="16" a="1"/>
  <c r="G99" i="16" s="1"/>
  <c r="F99" i="16" a="1"/>
  <c r="F99" i="16" s="1"/>
  <c r="E99" i="16" a="1"/>
  <c r="E99" i="16" s="1"/>
  <c r="D99" i="16" a="1"/>
  <c r="D99" i="16" s="1"/>
  <c r="C99" i="16" a="1"/>
  <c r="C99" i="16" s="1"/>
  <c r="B99" i="16"/>
  <c r="J98" i="16"/>
  <c r="I98" i="16" a="1"/>
  <c r="I98" i="16" s="1"/>
  <c r="H98" i="16" a="1"/>
  <c r="H98" i="16" s="1"/>
  <c r="G98" i="16" a="1"/>
  <c r="G98" i="16" s="1"/>
  <c r="F98" i="16" a="1"/>
  <c r="F98" i="16" s="1"/>
  <c r="E98" i="16" a="1"/>
  <c r="E98" i="16" s="1"/>
  <c r="D98" i="16" a="1"/>
  <c r="D98" i="16" s="1"/>
  <c r="C98" i="16" a="1"/>
  <c r="C98" i="16" s="1"/>
  <c r="B98" i="16"/>
  <c r="J97" i="16"/>
  <c r="I97" i="16" a="1"/>
  <c r="I97" i="16" s="1"/>
  <c r="H97" i="16" a="1"/>
  <c r="H97" i="16" s="1"/>
  <c r="G97" i="16" a="1"/>
  <c r="G97" i="16" s="1"/>
  <c r="F97" i="16" a="1"/>
  <c r="F97" i="16" s="1"/>
  <c r="E97" i="16" a="1"/>
  <c r="E97" i="16" s="1"/>
  <c r="D97" i="16" a="1"/>
  <c r="D97" i="16" s="1"/>
  <c r="C97" i="16" a="1"/>
  <c r="C97" i="16" s="1"/>
  <c r="B97" i="16"/>
  <c r="A34" i="18" s="1"/>
  <c r="J96" i="16"/>
  <c r="I96" i="16" a="1"/>
  <c r="I96" i="16" s="1"/>
  <c r="H96" i="16" a="1"/>
  <c r="H96" i="16" s="1"/>
  <c r="G96" i="16" a="1"/>
  <c r="G96" i="16" s="1"/>
  <c r="F96" i="16" a="1"/>
  <c r="F96" i="16" s="1"/>
  <c r="E96" i="16" a="1"/>
  <c r="E96" i="16" s="1"/>
  <c r="D96" i="16" a="1"/>
  <c r="D96" i="16" s="1"/>
  <c r="C96" i="16" a="1"/>
  <c r="C96" i="16" s="1"/>
  <c r="B96" i="16"/>
  <c r="A33" i="18" s="1"/>
  <c r="J95" i="16"/>
  <c r="I95" i="16" a="1"/>
  <c r="I95" i="16" s="1"/>
  <c r="H95" i="16" a="1"/>
  <c r="H95" i="16" s="1"/>
  <c r="G95" i="16" a="1"/>
  <c r="G95" i="16" s="1"/>
  <c r="F95" i="16" a="1"/>
  <c r="F95" i="16" s="1"/>
  <c r="E95" i="16" a="1"/>
  <c r="E95" i="16" s="1"/>
  <c r="D95" i="16" a="1"/>
  <c r="D95" i="16" s="1"/>
  <c r="C95" i="16" a="1"/>
  <c r="C95" i="16" s="1"/>
  <c r="B95" i="16"/>
  <c r="A32" i="18" s="1"/>
  <c r="J94" i="16"/>
  <c r="I94" i="16" a="1"/>
  <c r="I94" i="16" s="1"/>
  <c r="H94" i="16" a="1"/>
  <c r="H94" i="16" s="1"/>
  <c r="G94" i="16" a="1"/>
  <c r="G94" i="16" s="1"/>
  <c r="F94" i="16" a="1"/>
  <c r="F94" i="16" s="1"/>
  <c r="E94" i="16" a="1"/>
  <c r="E94" i="16" s="1"/>
  <c r="D94" i="16" a="1"/>
  <c r="D94" i="16" s="1"/>
  <c r="C94" i="16" a="1"/>
  <c r="C94" i="16" s="1"/>
  <c r="B94" i="16"/>
  <c r="A31" i="18" s="1"/>
  <c r="J93" i="16"/>
  <c r="I93" i="16" a="1"/>
  <c r="I93" i="16" s="1"/>
  <c r="H93" i="16" a="1"/>
  <c r="H93" i="16" s="1"/>
  <c r="G93" i="16" a="1"/>
  <c r="G93" i="16" s="1"/>
  <c r="F93" i="16" a="1"/>
  <c r="F93" i="16" s="1"/>
  <c r="E93" i="16" a="1"/>
  <c r="E93" i="16" s="1"/>
  <c r="D93" i="16" a="1"/>
  <c r="D93" i="16" s="1"/>
  <c r="C93" i="16" a="1"/>
  <c r="C93" i="16" s="1"/>
  <c r="B93" i="16"/>
  <c r="A30" i="18" s="1"/>
  <c r="J92" i="16"/>
  <c r="I92" i="16" a="1"/>
  <c r="I92" i="16" s="1"/>
  <c r="H92" i="16" a="1"/>
  <c r="H92" i="16" s="1"/>
  <c r="G92" i="16" a="1"/>
  <c r="G92" i="16" s="1"/>
  <c r="F92" i="16" a="1"/>
  <c r="F92" i="16" s="1"/>
  <c r="E92" i="16" a="1"/>
  <c r="E92" i="16" s="1"/>
  <c r="D92" i="16" a="1"/>
  <c r="D92" i="16" s="1"/>
  <c r="C92" i="16" a="1"/>
  <c r="C92" i="16" s="1"/>
  <c r="B92" i="16"/>
  <c r="A29" i="18" s="1"/>
  <c r="J91" i="16"/>
  <c r="I91" i="16" a="1"/>
  <c r="I91" i="16" s="1"/>
  <c r="H91" i="16" a="1"/>
  <c r="H91" i="16" s="1"/>
  <c r="G91" i="16" a="1"/>
  <c r="G91" i="16" s="1"/>
  <c r="F91" i="16" a="1"/>
  <c r="F91" i="16" s="1"/>
  <c r="E91" i="16" a="1"/>
  <c r="E91" i="16" s="1"/>
  <c r="D91" i="16" a="1"/>
  <c r="D91" i="16" s="1"/>
  <c r="C91" i="16" a="1"/>
  <c r="C91" i="16" s="1"/>
  <c r="B91" i="16"/>
  <c r="A28" i="18" s="1"/>
  <c r="J90" i="16"/>
  <c r="I90" i="16" a="1"/>
  <c r="I90" i="16" s="1"/>
  <c r="H90" i="16" a="1"/>
  <c r="H90" i="16" s="1"/>
  <c r="G90" i="16" a="1"/>
  <c r="G90" i="16" s="1"/>
  <c r="F90" i="16" a="1"/>
  <c r="F90" i="16" s="1"/>
  <c r="E90" i="16" a="1"/>
  <c r="E90" i="16" s="1"/>
  <c r="D90" i="16" a="1"/>
  <c r="D90" i="16" s="1"/>
  <c r="C90" i="16" a="1"/>
  <c r="C90" i="16" s="1"/>
  <c r="B90" i="16"/>
  <c r="A27" i="18" s="1"/>
  <c r="J89" i="16"/>
  <c r="I89" i="16" a="1"/>
  <c r="I89" i="16" s="1"/>
  <c r="H89" i="16" a="1"/>
  <c r="H89" i="16" s="1"/>
  <c r="G89" i="16" a="1"/>
  <c r="G89" i="16" s="1"/>
  <c r="F89" i="16" a="1"/>
  <c r="F89" i="16" s="1"/>
  <c r="E89" i="16" a="1"/>
  <c r="E89" i="16" s="1"/>
  <c r="D89" i="16" a="1"/>
  <c r="D89" i="16" s="1"/>
  <c r="C89" i="16" a="1"/>
  <c r="C89" i="16" s="1"/>
  <c r="B89" i="16"/>
  <c r="A17" i="18" s="1"/>
  <c r="J88" i="16"/>
  <c r="I88" i="16" a="1"/>
  <c r="I88" i="16" s="1"/>
  <c r="H88" i="16" a="1"/>
  <c r="H88" i="16" s="1"/>
  <c r="G88" i="16" a="1"/>
  <c r="G88" i="16" s="1"/>
  <c r="F88" i="16" a="1"/>
  <c r="F88" i="16" s="1"/>
  <c r="E88" i="16" a="1"/>
  <c r="E88" i="16" s="1"/>
  <c r="D88" i="16" a="1"/>
  <c r="D88" i="16" s="1"/>
  <c r="C88" i="16" a="1"/>
  <c r="C88" i="16" s="1"/>
  <c r="B88" i="16"/>
  <c r="A2" i="18" s="1"/>
  <c r="J87" i="16"/>
  <c r="I87" i="16" a="1"/>
  <c r="I87" i="16" s="1"/>
  <c r="H87" i="16" a="1"/>
  <c r="H87" i="16" s="1"/>
  <c r="G87" i="16" a="1"/>
  <c r="G87" i="16" s="1"/>
  <c r="F87" i="16" a="1"/>
  <c r="F87" i="16" s="1"/>
  <c r="E87" i="16" a="1"/>
  <c r="E87" i="16" s="1"/>
  <c r="D87" i="16" a="1"/>
  <c r="D87" i="16" s="1"/>
  <c r="C87" i="16" a="1"/>
  <c r="C87" i="16" s="1"/>
  <c r="B87" i="16"/>
  <c r="A21" i="18" s="1"/>
  <c r="J86" i="16"/>
  <c r="I86" i="16" a="1"/>
  <c r="I86" i="16" s="1"/>
  <c r="H86" i="16" a="1"/>
  <c r="H86" i="16" s="1"/>
  <c r="G86" i="16" a="1"/>
  <c r="G86" i="16" s="1"/>
  <c r="F86" i="16" a="1"/>
  <c r="F86" i="16" s="1"/>
  <c r="E86" i="16" a="1"/>
  <c r="E86" i="16" s="1"/>
  <c r="D86" i="16" a="1"/>
  <c r="D86" i="16" s="1"/>
  <c r="C86" i="16" a="1"/>
  <c r="C86" i="16" s="1"/>
  <c r="B86" i="16"/>
  <c r="A14" i="18" s="1"/>
  <c r="J85" i="16"/>
  <c r="I85" i="16" a="1"/>
  <c r="I85" i="16" s="1"/>
  <c r="H85" i="16" a="1"/>
  <c r="H85" i="16" s="1"/>
  <c r="G85" i="16" a="1"/>
  <c r="G85" i="16" s="1"/>
  <c r="F85" i="16" a="1"/>
  <c r="F85" i="16" s="1"/>
  <c r="E85" i="16" a="1"/>
  <c r="E85" i="16" s="1"/>
  <c r="D85" i="16" a="1"/>
  <c r="D85" i="16" s="1"/>
  <c r="C85" i="16" a="1"/>
  <c r="C85" i="16" s="1"/>
  <c r="B85" i="16"/>
  <c r="A13" i="18" s="1"/>
  <c r="J84" i="16"/>
  <c r="I84" i="16" a="1"/>
  <c r="I84" i="16" s="1"/>
  <c r="H84" i="16" a="1"/>
  <c r="H84" i="16" s="1"/>
  <c r="G84" i="16" a="1"/>
  <c r="G84" i="16" s="1"/>
  <c r="F84" i="16" a="1"/>
  <c r="F84" i="16" s="1"/>
  <c r="E84" i="16" a="1"/>
  <c r="E84" i="16" s="1"/>
  <c r="D84" i="16" a="1"/>
  <c r="D84" i="16" s="1"/>
  <c r="C84" i="16" a="1"/>
  <c r="C84" i="16" s="1"/>
  <c r="B84" i="16"/>
  <c r="A8" i="18" s="1"/>
  <c r="J83" i="16"/>
  <c r="I83" i="16" a="1"/>
  <c r="I83" i="16" s="1"/>
  <c r="H83" i="16" a="1"/>
  <c r="H83" i="16" s="1"/>
  <c r="G83" i="16" a="1"/>
  <c r="G83" i="16" s="1"/>
  <c r="F83" i="16" a="1"/>
  <c r="F83" i="16" s="1"/>
  <c r="E83" i="16" a="1"/>
  <c r="E83" i="16" s="1"/>
  <c r="D83" i="16" a="1"/>
  <c r="D83" i="16" s="1"/>
  <c r="C83" i="16" a="1"/>
  <c r="C83" i="16" s="1"/>
  <c r="B83" i="16"/>
  <c r="A18" i="18" s="1"/>
  <c r="J82" i="16"/>
  <c r="I82" i="16" a="1"/>
  <c r="I82" i="16" s="1"/>
  <c r="H82" i="16" a="1"/>
  <c r="H82" i="16" s="1"/>
  <c r="G82" i="16" a="1"/>
  <c r="G82" i="16" s="1"/>
  <c r="F82" i="16" a="1"/>
  <c r="F82" i="16" s="1"/>
  <c r="E82" i="16" a="1"/>
  <c r="E82" i="16" s="1"/>
  <c r="D82" i="16" a="1"/>
  <c r="D82" i="16" s="1"/>
  <c r="C82" i="16" a="1"/>
  <c r="C82" i="16" s="1"/>
  <c r="B82" i="16"/>
  <c r="A23" i="18" s="1"/>
  <c r="J81" i="16"/>
  <c r="I81" i="16" a="1"/>
  <c r="I81" i="16" s="1"/>
  <c r="H81" i="16" a="1"/>
  <c r="H81" i="16" s="1"/>
  <c r="G81" i="16" a="1"/>
  <c r="G81" i="16" s="1"/>
  <c r="F81" i="16" a="1"/>
  <c r="F81" i="16" s="1"/>
  <c r="E81" i="16" a="1"/>
  <c r="E81" i="16" s="1"/>
  <c r="D81" i="16" a="1"/>
  <c r="D81" i="16" s="1"/>
  <c r="C81" i="16" a="1"/>
  <c r="C81" i="16" s="1"/>
  <c r="B81" i="16"/>
  <c r="A10" i="18" s="1"/>
  <c r="J80" i="16"/>
  <c r="I80" i="16" a="1"/>
  <c r="I80" i="16" s="1"/>
  <c r="H80" i="16" a="1"/>
  <c r="H80" i="16" s="1"/>
  <c r="G80" i="16" a="1"/>
  <c r="G80" i="16" s="1"/>
  <c r="F80" i="16" a="1"/>
  <c r="F80" i="16" s="1"/>
  <c r="E80" i="16" a="1"/>
  <c r="E80" i="16" s="1"/>
  <c r="D80" i="16" a="1"/>
  <c r="D80" i="16" s="1"/>
  <c r="C80" i="16" a="1"/>
  <c r="C80" i="16" s="1"/>
  <c r="B80" i="16"/>
  <c r="A19" i="18" s="1"/>
  <c r="J79" i="16"/>
  <c r="I79" i="16" a="1"/>
  <c r="I79" i="16" s="1"/>
  <c r="H79" i="16" a="1"/>
  <c r="H79" i="16" s="1"/>
  <c r="G79" i="16" a="1"/>
  <c r="G79" i="16" s="1"/>
  <c r="F79" i="16" a="1"/>
  <c r="F79" i="16" s="1"/>
  <c r="E79" i="16" a="1"/>
  <c r="E79" i="16" s="1"/>
  <c r="D79" i="16" a="1"/>
  <c r="D79" i="16" s="1"/>
  <c r="C79" i="16" a="1"/>
  <c r="C79" i="16" s="1"/>
  <c r="B79" i="16"/>
  <c r="A7" i="18" s="1"/>
  <c r="J78" i="16"/>
  <c r="I78" i="16" a="1"/>
  <c r="I78" i="16" s="1"/>
  <c r="H78" i="16" a="1"/>
  <c r="H78" i="16" s="1"/>
  <c r="G78" i="16" a="1"/>
  <c r="G78" i="16" s="1"/>
  <c r="F78" i="16" a="1"/>
  <c r="F78" i="16" s="1"/>
  <c r="E78" i="16" a="1"/>
  <c r="E78" i="16" s="1"/>
  <c r="D78" i="16" a="1"/>
  <c r="D78" i="16" s="1"/>
  <c r="C78" i="16" a="1"/>
  <c r="C78" i="16" s="1"/>
  <c r="B78" i="16"/>
  <c r="A4" i="18" s="1"/>
  <c r="J77" i="16"/>
  <c r="I77" i="16" a="1"/>
  <c r="I77" i="16" s="1"/>
  <c r="H77" i="16" a="1"/>
  <c r="H77" i="16" s="1"/>
  <c r="G77" i="16" a="1"/>
  <c r="G77" i="16" s="1"/>
  <c r="F77" i="16" a="1"/>
  <c r="F77" i="16" s="1"/>
  <c r="E77" i="16" a="1"/>
  <c r="E77" i="16" s="1"/>
  <c r="D77" i="16" a="1"/>
  <c r="D77" i="16" s="1"/>
  <c r="C77" i="16" a="1"/>
  <c r="C77" i="16" s="1"/>
  <c r="B77" i="16"/>
  <c r="A3" i="18" s="1"/>
  <c r="J76" i="16"/>
  <c r="I76" i="16" a="1"/>
  <c r="I76" i="16" s="1"/>
  <c r="H76" i="16" a="1"/>
  <c r="H76" i="16" s="1"/>
  <c r="G76" i="16" a="1"/>
  <c r="G76" i="16" s="1"/>
  <c r="F76" i="16" a="1"/>
  <c r="F76" i="16" s="1"/>
  <c r="E76" i="16" a="1"/>
  <c r="E76" i="16" s="1"/>
  <c r="D76" i="16" a="1"/>
  <c r="D76" i="16" s="1"/>
  <c r="C76" i="16" a="1"/>
  <c r="C76" i="16" s="1"/>
  <c r="B76" i="16"/>
  <c r="A16" i="18" s="1"/>
  <c r="J75" i="16"/>
  <c r="I75" i="16" a="1"/>
  <c r="I75" i="16" s="1"/>
  <c r="H75" i="16" a="1"/>
  <c r="H75" i="16" s="1"/>
  <c r="G75" i="16" a="1"/>
  <c r="G75" i="16" s="1"/>
  <c r="F75" i="16" a="1"/>
  <c r="F75" i="16" s="1"/>
  <c r="E75" i="16" a="1"/>
  <c r="E75" i="16" s="1"/>
  <c r="D75" i="16" a="1"/>
  <c r="D75" i="16" s="1"/>
  <c r="C75" i="16" a="1"/>
  <c r="C75" i="16" s="1"/>
  <c r="B75" i="16"/>
  <c r="A25" i="18" s="1"/>
  <c r="J74" i="16"/>
  <c r="I74" i="16" a="1"/>
  <c r="I74" i="16" s="1"/>
  <c r="H74" i="16" a="1"/>
  <c r="H74" i="16" s="1"/>
  <c r="G74" i="16" a="1"/>
  <c r="G74" i="16" s="1"/>
  <c r="F74" i="16" a="1"/>
  <c r="F74" i="16" s="1"/>
  <c r="E74" i="16" a="1"/>
  <c r="E74" i="16" s="1"/>
  <c r="D74" i="16" a="1"/>
  <c r="D74" i="16" s="1"/>
  <c r="C74" i="16" a="1"/>
  <c r="C74" i="16" s="1"/>
  <c r="B74" i="16"/>
  <c r="A15" i="18" s="1"/>
  <c r="J73" i="16"/>
  <c r="I73" i="16" a="1"/>
  <c r="I73" i="16" s="1"/>
  <c r="H73" i="16" a="1"/>
  <c r="H73" i="16" s="1"/>
  <c r="G73" i="16" a="1"/>
  <c r="G73" i="16" s="1"/>
  <c r="F73" i="16" a="1"/>
  <c r="F73" i="16" s="1"/>
  <c r="E73" i="16" a="1"/>
  <c r="E73" i="16" s="1"/>
  <c r="D73" i="16" a="1"/>
  <c r="D73" i="16" s="1"/>
  <c r="C73" i="16" a="1"/>
  <c r="C73" i="16" s="1"/>
  <c r="B73" i="16"/>
  <c r="A6" i="18" s="1"/>
  <c r="J72" i="16"/>
  <c r="I72" i="16" a="1"/>
  <c r="I72" i="16" s="1"/>
  <c r="H72" i="16" a="1"/>
  <c r="H72" i="16" s="1"/>
  <c r="G72" i="16" a="1"/>
  <c r="G72" i="16" s="1"/>
  <c r="F72" i="16" a="1"/>
  <c r="F72" i="16" s="1"/>
  <c r="E72" i="16" a="1"/>
  <c r="E72" i="16" s="1"/>
  <c r="D72" i="16" a="1"/>
  <c r="D72" i="16" s="1"/>
  <c r="C72" i="16" a="1"/>
  <c r="C72" i="16" s="1"/>
  <c r="B72" i="16"/>
  <c r="A26" i="18" s="1"/>
  <c r="J71" i="16"/>
  <c r="I71" i="16" a="1"/>
  <c r="I71" i="16" s="1"/>
  <c r="H71" i="16" a="1"/>
  <c r="H71" i="16" s="1"/>
  <c r="G71" i="16" a="1"/>
  <c r="G71" i="16" s="1"/>
  <c r="F71" i="16" a="1"/>
  <c r="F71" i="16" s="1"/>
  <c r="E71" i="16" a="1"/>
  <c r="E71" i="16" s="1"/>
  <c r="D71" i="16" a="1"/>
  <c r="D71" i="16" s="1"/>
  <c r="C71" i="16" a="1"/>
  <c r="C71" i="16" s="1"/>
  <c r="B71" i="16"/>
  <c r="A22" i="18" s="1"/>
  <c r="J70" i="16"/>
  <c r="I70" i="16" a="1"/>
  <c r="I70" i="16" s="1"/>
  <c r="H70" i="16" a="1"/>
  <c r="H70" i="16" s="1"/>
  <c r="G70" i="16" a="1"/>
  <c r="G70" i="16" s="1"/>
  <c r="F70" i="16" a="1"/>
  <c r="F70" i="16" s="1"/>
  <c r="E70" i="16" a="1"/>
  <c r="E70" i="16" s="1"/>
  <c r="D70" i="16" a="1"/>
  <c r="D70" i="16" s="1"/>
  <c r="C70" i="16" a="1"/>
  <c r="C70" i="16" s="1"/>
  <c r="B70" i="16"/>
  <c r="A5" i="18" s="1"/>
  <c r="J69" i="16"/>
  <c r="I69" i="16" a="1"/>
  <c r="I69" i="16" s="1"/>
  <c r="H69" i="16" a="1"/>
  <c r="H69" i="16" s="1"/>
  <c r="G69" i="16" a="1"/>
  <c r="G69" i="16" s="1"/>
  <c r="F69" i="16" a="1"/>
  <c r="F69" i="16" s="1"/>
  <c r="E69" i="16" a="1"/>
  <c r="E69" i="16" s="1"/>
  <c r="D69" i="16" a="1"/>
  <c r="D69" i="16" s="1"/>
  <c r="C69" i="16" a="1"/>
  <c r="C69" i="16" s="1"/>
  <c r="B69" i="16"/>
  <c r="A9" i="18" s="1"/>
  <c r="J68" i="16"/>
  <c r="I68" i="16" a="1"/>
  <c r="I68" i="16" s="1"/>
  <c r="H68" i="16" a="1"/>
  <c r="H68" i="16" s="1"/>
  <c r="G68" i="16" a="1"/>
  <c r="G68" i="16" s="1"/>
  <c r="F68" i="16" a="1"/>
  <c r="F68" i="16" s="1"/>
  <c r="E68" i="16" a="1"/>
  <c r="E68" i="16" s="1"/>
  <c r="D68" i="16" a="1"/>
  <c r="D68" i="16" s="1"/>
  <c r="C68" i="16" a="1"/>
  <c r="C68" i="16" s="1"/>
  <c r="B68" i="16"/>
  <c r="A11" i="18" s="1"/>
  <c r="J67" i="16"/>
  <c r="I67" i="16" a="1"/>
  <c r="I67" i="16" s="1"/>
  <c r="H67" i="16" a="1"/>
  <c r="H67" i="16" s="1"/>
  <c r="G67" i="16" a="1"/>
  <c r="G67" i="16" s="1"/>
  <c r="F67" i="16" a="1"/>
  <c r="F67" i="16" s="1"/>
  <c r="E67" i="16" a="1"/>
  <c r="E67" i="16" s="1"/>
  <c r="D67" i="16" a="1"/>
  <c r="D67" i="16" s="1"/>
  <c r="C67" i="16" a="1"/>
  <c r="C67" i="16" s="1"/>
  <c r="B67" i="16"/>
  <c r="A24" i="18" s="1"/>
  <c r="J66" i="16"/>
  <c r="I66" i="16" a="1"/>
  <c r="I66" i="16" s="1"/>
  <c r="H66" i="16" a="1"/>
  <c r="H66" i="16" s="1"/>
  <c r="G66" i="16" a="1"/>
  <c r="G66" i="16" s="1"/>
  <c r="F66" i="16" a="1"/>
  <c r="F66" i="16" s="1"/>
  <c r="E66" i="16" a="1"/>
  <c r="E66" i="16" s="1"/>
  <c r="D66" i="16" a="1"/>
  <c r="D66" i="16" s="1"/>
  <c r="C66" i="16" a="1"/>
  <c r="C66" i="16" s="1"/>
  <c r="B66" i="16"/>
  <c r="A20" i="18" s="1"/>
  <c r="J65" i="16"/>
  <c r="I65" i="16" a="1"/>
  <c r="I65" i="16" s="1"/>
  <c r="H65" i="16" a="1"/>
  <c r="H65" i="16" s="1"/>
  <c r="G65" i="16" a="1"/>
  <c r="G65" i="16" s="1"/>
  <c r="F65" i="16" a="1"/>
  <c r="F65" i="16" s="1"/>
  <c r="E65" i="16" a="1"/>
  <c r="E65" i="16" s="1"/>
  <c r="D65" i="16" a="1"/>
  <c r="D65" i="16" s="1"/>
  <c r="C65" i="16" a="1"/>
  <c r="C65" i="16" s="1"/>
  <c r="B65" i="16"/>
  <c r="A12" i="18" s="1"/>
  <c r="R2" i="17"/>
  <c r="O2" i="17"/>
  <c r="L2" i="17"/>
  <c r="I2" i="17"/>
  <c r="F2" i="17"/>
  <c r="A23" i="7"/>
  <c r="I4" i="5" a="1"/>
  <c r="I4" i="16" l="1"/>
  <c r="J18" i="18" s="1"/>
  <c r="I38" i="16"/>
  <c r="D21" i="18"/>
  <c r="I25" i="16"/>
  <c r="J21" i="18" s="1"/>
  <c r="I14" i="16"/>
  <c r="J6" i="18" s="1"/>
  <c r="D6" i="18"/>
  <c r="D22" i="18"/>
  <c r="I5" i="16"/>
  <c r="J22" i="18" s="1"/>
  <c r="D11" i="18"/>
  <c r="I19" i="16"/>
  <c r="J11" i="18" s="1"/>
  <c r="D9" i="18"/>
  <c r="I17" i="16"/>
  <c r="J9" i="18" s="1"/>
  <c r="I37" i="16"/>
  <c r="I6" i="16"/>
  <c r="J23" i="18" s="1"/>
  <c r="D23" i="18"/>
  <c r="I36" i="16"/>
  <c r="J34" i="18" s="1"/>
  <c r="D34" i="18"/>
  <c r="D25" i="18"/>
  <c r="I11" i="16"/>
  <c r="J25" i="18" s="1"/>
  <c r="D3" i="18"/>
  <c r="I9" i="16"/>
  <c r="J3" i="18" s="1"/>
  <c r="I28" i="16"/>
  <c r="J20" i="18" s="1"/>
  <c r="D20" i="18"/>
  <c r="D32" i="18"/>
  <c r="I34" i="16"/>
  <c r="J32" i="18" s="1"/>
  <c r="I32" i="16"/>
  <c r="J30" i="18" s="1"/>
  <c r="D30" i="18"/>
  <c r="I20" i="16"/>
  <c r="J19" i="18" s="1"/>
  <c r="D19" i="18"/>
  <c r="I39" i="16"/>
  <c r="D17" i="18"/>
  <c r="I26" i="16"/>
  <c r="J17" i="18" s="1"/>
  <c r="D10" i="18"/>
  <c r="I18" i="16"/>
  <c r="J10" i="18" s="1"/>
  <c r="I24" i="16"/>
  <c r="J13" i="18" s="1"/>
  <c r="D13" i="18"/>
  <c r="I12" i="16"/>
  <c r="J26" i="18" s="1"/>
  <c r="D26" i="18"/>
  <c r="D28" i="18"/>
  <c r="I29" i="16"/>
  <c r="J28" i="18" s="1"/>
  <c r="D4" i="18"/>
  <c r="I10" i="16"/>
  <c r="J4" i="18" s="1"/>
  <c r="I31" i="16"/>
  <c r="J29" i="18" s="1"/>
  <c r="D29" i="18"/>
  <c r="I16" i="16"/>
  <c r="J8" i="18" s="1"/>
  <c r="D8" i="18"/>
  <c r="I23" i="16"/>
  <c r="J2" i="18" s="1"/>
  <c r="D2" i="18"/>
  <c r="I8" i="16"/>
  <c r="J16" i="18" s="1"/>
  <c r="D16" i="18"/>
  <c r="I15" i="16"/>
  <c r="J7" i="18" s="1"/>
  <c r="D7" i="18"/>
  <c r="I30" i="16"/>
  <c r="J27" i="18" s="1"/>
  <c r="D27" i="18"/>
  <c r="D18" i="18"/>
  <c r="D33" i="18"/>
  <c r="I35" i="16"/>
  <c r="J33" i="18" s="1"/>
  <c r="D31" i="18"/>
  <c r="I33" i="16"/>
  <c r="J31" i="18" s="1"/>
  <c r="I7" i="16"/>
  <c r="J5" i="18" s="1"/>
  <c r="D5" i="18"/>
  <c r="I22" i="16"/>
  <c r="J14" i="18" s="1"/>
  <c r="D14" i="18"/>
  <c r="D12" i="18"/>
  <c r="I21" i="16"/>
  <c r="J12" i="18" s="1"/>
  <c r="D15" i="18"/>
  <c r="I13" i="16"/>
  <c r="J15" i="18" s="1"/>
  <c r="D24" i="18"/>
  <c r="I27" i="16"/>
  <c r="J24" i="18" s="1"/>
  <c r="A12" i="9"/>
  <c r="I4" i="5"/>
  <c r="I3" i="5" s="1"/>
</calcChain>
</file>

<file path=xl/sharedStrings.xml><?xml version="1.0" encoding="utf-8"?>
<sst xmlns="http://schemas.openxmlformats.org/spreadsheetml/2006/main" count="9350" uniqueCount="172">
  <si>
    <t>Name</t>
  </si>
  <si>
    <t>Meeting</t>
  </si>
  <si>
    <t>Meeting Number</t>
  </si>
  <si>
    <t>Place</t>
  </si>
  <si>
    <t>Date</t>
  </si>
  <si>
    <t>Status</t>
  </si>
  <si>
    <t>Designation</t>
  </si>
  <si>
    <t>Mrs. Rukhmila Zaman</t>
  </si>
  <si>
    <t>Mr. Bashir Ahmed</t>
  </si>
  <si>
    <t>Mr. Anisuzzaman Chowdhury</t>
  </si>
  <si>
    <t>Mr. M.A. Sabur</t>
  </si>
  <si>
    <t>Mr. Bazal Ahmed</t>
  </si>
  <si>
    <t>Mr. Nurul Islam Chowdhury</t>
  </si>
  <si>
    <t>Mr. Asifuzzaman Chowdhury</t>
  </si>
  <si>
    <t>Mrs. Masuma Parvin</t>
  </si>
  <si>
    <t>Mr. Kanak Kanti Sen</t>
  </si>
  <si>
    <t>Mr. Md. Aksed Ali Sarker</t>
  </si>
  <si>
    <t>Professor Dr. Iftekhar Uddin Chowdhury</t>
  </si>
  <si>
    <t>Mr. Akhter Matin Chaudhury</t>
  </si>
  <si>
    <t>Mrs. Roxana Zaman</t>
  </si>
  <si>
    <t>Mr. Touhid Shipar Rafiquzzaman</t>
  </si>
  <si>
    <t>Dr. Aparup Chowdhury</t>
  </si>
  <si>
    <t>Mrs. Afroza Zaman</t>
  </si>
  <si>
    <t>Mr. Syed Kamruzzaman</t>
  </si>
  <si>
    <t>Mr. Muhammed Shah Alam</t>
  </si>
  <si>
    <t>Mr. Hajee Yunus Ahmed</t>
  </si>
  <si>
    <t>Mr. Hajee M.A. Kalam</t>
  </si>
  <si>
    <t>Mr. Syed Mohammed Nuruddin</t>
  </si>
  <si>
    <t>Mr. Farid Uddin Ahmed</t>
  </si>
  <si>
    <t>Board</t>
  </si>
  <si>
    <t>EC</t>
  </si>
  <si>
    <t xml:space="preserve">Honorium </t>
  </si>
  <si>
    <t>Dhaka</t>
  </si>
  <si>
    <t>Total Meeting Attended</t>
  </si>
  <si>
    <t>Mr. Arif Quadri</t>
  </si>
  <si>
    <t>Mr. Mohammed Shawkat Jamil</t>
  </si>
  <si>
    <t>Mr. Syed Faridul Islam</t>
  </si>
  <si>
    <t>AC</t>
  </si>
  <si>
    <t>RMC</t>
  </si>
  <si>
    <t>Dr. Mohammed Nasir Uddin</t>
  </si>
  <si>
    <t>Dr. Mohammad Manjurur Rahman</t>
  </si>
  <si>
    <t>SSC</t>
  </si>
  <si>
    <t>Prof. Dr. Md. Jonaid Shafiq</t>
  </si>
  <si>
    <t>NRC</t>
  </si>
  <si>
    <t>AND(SEARCH($B$2,B6)=1,$B$2&lt;&gt;"")</t>
  </si>
  <si>
    <t>TO WHOM IT MAY CONCERN</t>
  </si>
  <si>
    <t xml:space="preserve">TDS </t>
  </si>
  <si>
    <t>Remunaration</t>
  </si>
  <si>
    <t>TDS</t>
  </si>
  <si>
    <t>Mr. M. A. Sabur</t>
  </si>
  <si>
    <t>Mr. Hajee M. A. Kalam</t>
  </si>
  <si>
    <t>Professor Dr. Md. Jonaid Shafiq</t>
  </si>
  <si>
    <t>Professor Dr. K M Saiful Islam Khan</t>
  </si>
  <si>
    <t>Professor Dr. Mohammad Abdur Rashid</t>
  </si>
  <si>
    <t>Professor Dr. A. F. M. Akbar Hossain</t>
  </si>
  <si>
    <t>Director</t>
  </si>
  <si>
    <t>Independent Director</t>
  </si>
  <si>
    <t>Member, Shariah Supervisory Committee</t>
  </si>
  <si>
    <t>Chairman</t>
  </si>
  <si>
    <t>Vice-Chairman</t>
  </si>
  <si>
    <t>Former Director</t>
  </si>
  <si>
    <t>Ms. Afroza Zaman</t>
  </si>
  <si>
    <t>Mr. Showkat Aziz Russel</t>
  </si>
  <si>
    <t>Directors Name</t>
  </si>
  <si>
    <t>Mr. Md. Jahangir Alam Khan</t>
  </si>
  <si>
    <t>Mr. Kazi Enamul Hoque</t>
  </si>
  <si>
    <t>Mr. Shabbir Ahmed</t>
  </si>
  <si>
    <t>Mr. Nur Uddin Javed</t>
  </si>
  <si>
    <t>Mr. Sharif Zahir</t>
  </si>
  <si>
    <t>Mr. Riyad Zafar Chowdhury</t>
  </si>
  <si>
    <t>Mr. Md. Tanvir Khan</t>
  </si>
  <si>
    <t>Mr. Ahmed Arif Billah</t>
  </si>
  <si>
    <t>Mr. Emran Ahmed</t>
  </si>
  <si>
    <t>Mr. Nasim Kalam</t>
  </si>
  <si>
    <t>Mrs. Setara Begum</t>
  </si>
  <si>
    <t>Mr. M. Shahjahan Bhuiyan</t>
  </si>
  <si>
    <t>Mr. Shafiqul Alam</t>
  </si>
  <si>
    <t>Sl No</t>
  </si>
  <si>
    <t>Remarks</t>
  </si>
  <si>
    <t>Lt. Gen. (Rtd) Abu Tayeb Muhammad Zahirul Alam</t>
  </si>
  <si>
    <t>Dr. Salim Mahmud</t>
  </si>
  <si>
    <t>Mr. Md. Abdul Karim</t>
  </si>
  <si>
    <t>Month</t>
  </si>
  <si>
    <t>Meeting Attendance (1st July, 2022 - 30th June, 2023)</t>
  </si>
  <si>
    <t>Total Tk</t>
  </si>
  <si>
    <t>Meeting Attendance (1st January, 2023 - 31st December, 2023)</t>
  </si>
  <si>
    <t>Total</t>
  </si>
  <si>
    <t>Meeting Attendance (1st July, 2023 - 30th June, 2024)</t>
  </si>
  <si>
    <t>Quarter</t>
  </si>
  <si>
    <t>Status1</t>
  </si>
  <si>
    <t>Present</t>
  </si>
  <si>
    <t>Absent</t>
  </si>
  <si>
    <t>Q4'23</t>
  </si>
  <si>
    <t>Q3'23</t>
  </si>
  <si>
    <t>Q2'23</t>
  </si>
  <si>
    <t>Q1'23</t>
  </si>
  <si>
    <t>Q3'24</t>
  </si>
  <si>
    <t>Q4'24</t>
  </si>
  <si>
    <t>Q3'25</t>
  </si>
  <si>
    <t>Q4'25</t>
  </si>
  <si>
    <t>(Multiple Items)</t>
  </si>
  <si>
    <t>Names</t>
  </si>
  <si>
    <t>Procedure:</t>
  </si>
  <si>
    <t>Former Independent Director</t>
  </si>
  <si>
    <t>Former Managing Director &amp; CEO</t>
  </si>
  <si>
    <t>Acting Managing Director &amp; CEO</t>
  </si>
  <si>
    <t>Total AC Meeting</t>
  </si>
  <si>
    <t>Total Board Meeting</t>
  </si>
  <si>
    <t>Total EC Meeting</t>
  </si>
  <si>
    <t>Total RMC Meeting</t>
  </si>
  <si>
    <t>Total SSC Meeting</t>
  </si>
  <si>
    <t>Total NRC Meeting</t>
  </si>
  <si>
    <t>Mr. Md. Nasim Kalam</t>
  </si>
  <si>
    <t/>
  </si>
  <si>
    <t/>
  </si>
  <si>
    <t/>
  </si>
  <si>
    <t/>
  </si>
  <si>
    <t>Total Remuneration</t>
  </si>
  <si>
    <t>Chairman, Shariah Supervisory Committee</t>
  </si>
  <si>
    <t>Md. Abdul Hannan</t>
  </si>
  <si>
    <t>Grand Total</t>
  </si>
  <si>
    <t>Honorium</t>
  </si>
  <si>
    <t>New Date</t>
  </si>
  <si>
    <t>ATM Tahmiduzzaman, FCS
AMD &amp; Company Secretary</t>
  </si>
  <si>
    <t>483 (Special)</t>
  </si>
  <si>
    <t>Year</t>
  </si>
  <si>
    <t>Associate Professor Dr. Mohammad Manjurur Rahman</t>
  </si>
  <si>
    <t>Professor Dr. Muhammad Abdur Rashid</t>
  </si>
  <si>
    <t>Professor Dr. Mohammed Nasir Uddin (Azhary)</t>
  </si>
  <si>
    <t>493 (Special)</t>
  </si>
  <si>
    <t>136 (Special)</t>
  </si>
  <si>
    <t>Mr. Md. Abdul Hannan</t>
  </si>
  <si>
    <t>2024</t>
  </si>
  <si>
    <t>SUM(IF((RawData[Name]=$A1)*(RawData[Meeting]=L$3)*(RawData[Quarter]={"Q3-23","Q4-23","Q1-24","Q2-24"}),RawData[Status1],0))</t>
  </si>
  <si>
    <t>(All)</t>
  </si>
  <si>
    <t>ATM Tahmiduzzaman, FCS
Company Secretary</t>
  </si>
  <si>
    <t xml:space="preserve">ATM Tahmiduzzaman, FCS
Company Secretary
</t>
  </si>
  <si>
    <t>Mrs. Roxana Zaman Chaudhury</t>
  </si>
  <si>
    <t>Former Vice-Chairman</t>
  </si>
  <si>
    <t>495 (Emergent)</t>
  </si>
  <si>
    <t>496 (Emergent)</t>
  </si>
  <si>
    <t>Mr. Md. Shazzad Hossoin</t>
  </si>
  <si>
    <t>Mr. Obaidur Rahman, FCA</t>
  </si>
  <si>
    <t>Mr. Md. Yusuf Ali</t>
  </si>
  <si>
    <t>Mr. Abul Alam Ferdous</t>
  </si>
  <si>
    <t>Paid/Unpaid</t>
  </si>
  <si>
    <t>Paid</t>
  </si>
  <si>
    <t>Unpaid</t>
  </si>
  <si>
    <t>Mr. Mohammad Mamdudur Rashid</t>
  </si>
  <si>
    <t>Managing Director &amp; CEO</t>
  </si>
  <si>
    <t>Mr. Showkat Aziz Russell</t>
  </si>
  <si>
    <t>Hajee Yunus Ahmed</t>
  </si>
  <si>
    <t>Hajee M.A.Kalam</t>
  </si>
  <si>
    <t>Mr. Abdul Gaffar Chowdhury</t>
  </si>
  <si>
    <t>Mrs.Sultana Rezia Begum</t>
  </si>
  <si>
    <t xml:space="preserve">Mrs. Rukhmila Zaman </t>
  </si>
  <si>
    <t>Dr Salim Mahmud</t>
  </si>
  <si>
    <t>Mr. M. A. Hashem</t>
  </si>
  <si>
    <t>Mrs. Sultana Rezia Begum</t>
  </si>
  <si>
    <t xml:space="preserve">Mr. Bazal Ahmed
</t>
  </si>
  <si>
    <t>Lt.Gen (Retd) Abu Tayeb Muhammad Zahirul Alam,rcds,psc</t>
  </si>
  <si>
    <t xml:space="preserve">Mr. Abul Ehtesham Abdul Muhaimen              </t>
  </si>
  <si>
    <t xml:space="preserve">Mr. Ahmed Arif Billah </t>
  </si>
  <si>
    <t xml:space="preserve">Mr. Muhammed Ali                      </t>
  </si>
  <si>
    <t xml:space="preserve">Abul Ehtesham Abdul Muhaimen              </t>
  </si>
  <si>
    <t>Hajee M. A. Kalam</t>
  </si>
  <si>
    <t>Sl</t>
  </si>
  <si>
    <t>List of Directors &amp; Managing Directors From 2015 to 2018</t>
  </si>
  <si>
    <t>Mr. Farid Uddin Ahmed (Deceased)</t>
  </si>
  <si>
    <t>Mr. M. A. Hashem (Deceased)</t>
  </si>
  <si>
    <t>Mr. Abdul Gaffar Chowdhury (Deceased)</t>
  </si>
  <si>
    <t>Mrs. Sultana Rezia Begum (Deceased)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</si>
</sst>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d\.m\.yy;@"/>
    <numFmt numFmtId="165" formatCode="[$-409]d\-mmm\-yy;@"/>
    <numFmt numFmtId="166" formatCode="_-* #,##0_-;\-* #,##0_-;_-* &quot;-&quot;??_-;_-@_-"/>
    <numFmt numFmtId="167" formatCode="[$-409]mmmm\ d\,\ yyyy;@"/>
    <numFmt numFmtId="168" formatCode="_(* #,##0_);_(* \(#,##0\);_(* &quot;-&quot;??_);_(@_)"/>
    <numFmt numFmtId="169" formatCode="dd\.mm\.yyyy;@"/>
  </numFmts>
  <fonts count="21" x14ac:knownFonts="1">
    <font>
      <sz val="11"/>
      <color theme="1"/>
      <name val="Calibri"/>
      <family val="2"/>
      <scheme val="minor"/>
    </font>
    <font>
      <b/>
      <sz val="11"/>
      <color theme="0"/>
      <name val="Calibri"/>
      <family val="2"/>
      <scheme val="minor"/>
    </font>
    <font>
      <sz val="11"/>
      <color theme="1"/>
      <name val="Calibri"/>
      <family val="2"/>
      <scheme val="minor"/>
    </font>
    <font>
      <sz val="11"/>
      <color theme="1"/>
      <name val="Verdana"/>
      <family val="2"/>
    </font>
    <font>
      <sz val="10"/>
      <color rgb="FF000000"/>
      <name val="Verdana"/>
      <family val="2"/>
    </font>
    <font>
      <sz val="10"/>
      <color theme="1"/>
      <name val="Verdana"/>
      <family val="2"/>
    </font>
    <font>
      <sz val="11"/>
      <name val="Calibri"/>
      <family val="2"/>
      <scheme val="minor"/>
    </font>
    <font>
      <b/>
      <sz val="18"/>
      <color theme="1"/>
      <name val="Aptos Display"/>
      <family val="2"/>
    </font>
    <font>
      <b/>
      <sz val="14"/>
      <color rgb="FFFF0000"/>
      <name val="Calibri"/>
      <family val="2"/>
      <scheme val="minor"/>
    </font>
    <font>
      <sz val="10"/>
      <color theme="1"/>
      <name val="Calibri"/>
      <family val="2"/>
      <scheme val="minor"/>
    </font>
    <font>
      <sz val="10"/>
      <color theme="1"/>
      <name val="Arial Black"/>
      <family val="2"/>
    </font>
    <font>
      <b/>
      <sz val="10"/>
      <color theme="0"/>
      <name val="Calibri"/>
      <family val="2"/>
      <scheme val="minor"/>
    </font>
    <font>
      <sz val="10"/>
      <color theme="0"/>
      <name val="Calibri"/>
      <family val="2"/>
      <scheme val="minor"/>
    </font>
    <font>
      <sz val="10"/>
      <name val="Calibri"/>
      <family val="2"/>
      <scheme val="minor"/>
    </font>
    <font>
      <b/>
      <sz val="10"/>
      <name val="Calibri"/>
      <family val="2"/>
      <scheme val="minor"/>
    </font>
    <font>
      <sz val="12"/>
      <color theme="1"/>
      <name val="Calibri"/>
      <family val="2"/>
      <scheme val="minor"/>
    </font>
    <font>
      <sz val="12"/>
      <color theme="1"/>
      <name val="Verdana"/>
      <family val="2"/>
    </font>
    <font>
      <b/>
      <u/>
      <sz val="12"/>
      <color theme="1"/>
      <name val="Verdana"/>
      <family val="2"/>
    </font>
    <font>
      <sz val="11"/>
      <color rgb="FF000000"/>
      <name val="Calibri"/>
      <family val="2"/>
    </font>
    <font>
      <sz val="10"/>
      <color theme="1"/>
      <name val="Calibri"/>
      <family val="2"/>
      <scheme val="minor"/>
    </font>
    <font>
      <b/>
      <sz val="13"/>
      <color theme="1"/>
      <name val="Verdana"/>
      <family val="2"/>
    </font>
  </fonts>
  <fills count="10">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7" tint="0.79998168889431442"/>
        <bgColor indexed="64"/>
      </patternFill>
    </fill>
    <fill>
      <patternFill patternType="solid">
        <fgColor rgb="FFFFFFCC"/>
      </patternFill>
    </fill>
    <fill>
      <patternFill patternType="solid">
        <fgColor theme="7"/>
        <bgColor theme="7"/>
      </patternFill>
    </fill>
    <fill>
      <patternFill patternType="solid">
        <fgColor rgb="FFFFFF00"/>
        <bgColor indexed="64"/>
      </patternFill>
    </fill>
    <fill>
      <patternFill patternType="solid">
        <fgColor theme="7" tint="0.59999389629810485"/>
        <bgColor theme="7" tint="0.59999389629810485"/>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bottom/>
      <diagonal/>
    </border>
    <border>
      <left style="thin">
        <color theme="0"/>
      </left>
      <right style="thin">
        <color theme="0"/>
      </right>
      <top style="thin">
        <color theme="0"/>
      </top>
      <bottom style="thin">
        <color theme="0"/>
      </bottom>
      <diagonal/>
    </border>
  </borders>
  <cellStyleXfs count="3">
    <xf numFmtId="0" fontId="0" fillId="0" borderId="0"/>
    <xf numFmtId="43" fontId="2" fillId="0" borderId="0" applyFont="0" applyFill="0" applyBorder="0" applyAlignment="0" applyProtection="0"/>
    <xf numFmtId="0" fontId="2" fillId="6" borderId="11" applyNumberFormat="0" applyFont="0" applyAlignment="0" applyProtection="0"/>
  </cellStyleXfs>
  <cellXfs count="169">
    <xf numFmtId="0" fontId="0" fillId="0" borderId="0" xfId="0"/>
    <xf numFmtId="0" fontId="0" fillId="0" borderId="1" xfId="0" applyBorder="1" applyAlignment="1">
      <alignment horizontal="center" vertical="center" wrapText="1"/>
    </xf>
    <xf numFmtId="164" fontId="0" fillId="0" borderId="1" xfId="0" applyNumberFormat="1" applyBorder="1" applyAlignment="1">
      <alignment horizontal="center" vertical="center" wrapText="1"/>
    </xf>
    <xf numFmtId="0" fontId="0" fillId="0" borderId="2" xfId="0" applyBorder="1" applyAlignment="1">
      <alignment horizontal="center" vertical="center" wrapText="1"/>
    </xf>
    <xf numFmtId="165" fontId="0" fillId="0" borderId="1" xfId="0" applyNumberFormat="1"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3" xfId="0" applyBorder="1" applyAlignment="1">
      <alignment horizontal="center" vertical="center" wrapText="1"/>
    </xf>
    <xf numFmtId="165" fontId="0" fillId="0" borderId="3"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wrapText="1"/>
    </xf>
    <xf numFmtId="164" fontId="0" fillId="0" borderId="3" xfId="0" applyNumberFormat="1" applyBorder="1" applyAlignment="1">
      <alignment horizontal="center" vertical="center" wrapText="1"/>
    </xf>
    <xf numFmtId="0" fontId="0" fillId="0" borderId="4" xfId="0" applyBorder="1" applyAlignment="1">
      <alignment horizontal="left"/>
    </xf>
    <xf numFmtId="0" fontId="0" fillId="0" borderId="8" xfId="0" applyBorder="1" applyAlignment="1">
      <alignment horizontal="left"/>
    </xf>
    <xf numFmtId="0" fontId="0" fillId="2" borderId="1" xfId="0" applyFill="1" applyBorder="1" applyAlignment="1">
      <alignment horizontal="center" vertical="center" wrapText="1"/>
    </xf>
    <xf numFmtId="165" fontId="0" fillId="2" borderId="1" xfId="0" applyNumberFormat="1" applyFill="1" applyBorder="1" applyAlignment="1">
      <alignment horizontal="center" vertical="center" wrapText="1"/>
    </xf>
    <xf numFmtId="164" fontId="0" fillId="2" borderId="1" xfId="0" applyNumberFormat="1" applyFill="1" applyBorder="1" applyAlignment="1">
      <alignment horizontal="center" vertical="center" wrapText="1"/>
    </xf>
    <xf numFmtId="0" fontId="0" fillId="2" borderId="4" xfId="0" applyFill="1" applyBorder="1" applyAlignment="1">
      <alignment horizontal="left"/>
    </xf>
    <xf numFmtId="0" fontId="0" fillId="2" borderId="5" xfId="0"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2" xfId="0" applyFont="1" applyFill="1" applyBorder="1" applyAlignment="1">
      <alignment horizontal="center" vertical="center" wrapText="1"/>
    </xf>
    <xf numFmtId="165" fontId="1" fillId="3" borderId="2" xfId="0" applyNumberFormat="1" applyFont="1" applyFill="1" applyBorder="1" applyAlignment="1">
      <alignment horizontal="center" vertical="center" wrapText="1"/>
    </xf>
    <xf numFmtId="164" fontId="1" fillId="3" borderId="2" xfId="0" applyNumberFormat="1"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2" borderId="8" xfId="0" applyFill="1" applyBorder="1" applyAlignment="1">
      <alignment horizontal="left"/>
    </xf>
    <xf numFmtId="0" fontId="0" fillId="2" borderId="3" xfId="0" applyFill="1" applyBorder="1" applyAlignment="1">
      <alignment horizontal="center" vertical="center" wrapText="1"/>
    </xf>
    <xf numFmtId="165" fontId="0" fillId="2" borderId="3" xfId="0" applyNumberFormat="1" applyFill="1" applyBorder="1" applyAlignment="1">
      <alignment horizontal="center" vertical="center" wrapText="1"/>
    </xf>
    <xf numFmtId="164" fontId="0" fillId="2" borderId="3" xfId="0" applyNumberFormat="1" applyFill="1" applyBorder="1" applyAlignment="1">
      <alignment horizontal="center" vertical="center" wrapText="1"/>
    </xf>
    <xf numFmtId="0" fontId="0" fillId="2" borderId="9" xfId="0" applyFill="1" applyBorder="1" applyAlignment="1">
      <alignment horizontal="center" vertical="center" wrapText="1"/>
    </xf>
    <xf numFmtId="43" fontId="3" fillId="0" borderId="0" xfId="0" applyNumberFormat="1" applyFont="1" applyAlignment="1">
      <alignment wrapText="1"/>
    </xf>
    <xf numFmtId="0" fontId="3" fillId="0" borderId="0" xfId="0" applyFont="1" applyAlignment="1">
      <alignment vertical="top" wrapText="1"/>
    </xf>
    <xf numFmtId="0" fontId="5" fillId="0" borderId="0" xfId="0" applyFont="1" applyAlignment="1">
      <alignment vertical="center" wrapText="1"/>
    </xf>
    <xf numFmtId="0" fontId="4" fillId="0" borderId="0" xfId="0" applyFont="1" applyAlignment="1">
      <alignment vertical="center" wrapText="1"/>
    </xf>
    <xf numFmtId="0" fontId="0" fillId="0" borderId="0" xfId="0" applyAlignment="1">
      <alignment horizontal="left"/>
    </xf>
    <xf numFmtId="0" fontId="0" fillId="0" borderId="0" xfId="0" applyAlignment="1">
      <alignment horizontal="left" vertical="center"/>
    </xf>
    <xf numFmtId="0" fontId="6" fillId="0" borderId="0" xfId="0" applyFont="1" applyAlignment="1">
      <alignment horizontal="left"/>
    </xf>
    <xf numFmtId="0" fontId="0" fillId="0" borderId="0" xfId="0" applyAlignment="1">
      <alignment horizontal="center"/>
    </xf>
    <xf numFmtId="166" fontId="0" fillId="0" borderId="2" xfId="1" applyNumberFormat="1" applyFont="1" applyBorder="1" applyAlignment="1">
      <alignment horizontal="center" vertical="center" wrapText="1"/>
    </xf>
    <xf numFmtId="43" fontId="0" fillId="0" borderId="7" xfId="1" applyFont="1" applyBorder="1" applyAlignment="1">
      <alignment horizontal="center" vertical="center" wrapText="1"/>
    </xf>
    <xf numFmtId="166" fontId="0" fillId="0" borderId="1" xfId="1" applyNumberFormat="1" applyFont="1" applyBorder="1" applyAlignment="1">
      <alignment vertical="center" wrapText="1"/>
    </xf>
    <xf numFmtId="0" fontId="0" fillId="0" borderId="4" xfId="0" applyBorder="1" applyAlignment="1">
      <alignment vertical="center" wrapText="1"/>
    </xf>
    <xf numFmtId="0" fontId="0" fillId="0" borderId="1" xfId="0" applyBorder="1" applyAlignment="1">
      <alignment vertical="center" wrapText="1"/>
    </xf>
    <xf numFmtId="43" fontId="0" fillId="0" borderId="5" xfId="1" applyFont="1" applyBorder="1" applyAlignment="1">
      <alignment vertical="center" wrapText="1"/>
    </xf>
    <xf numFmtId="0" fontId="0" fillId="0" borderId="3" xfId="0" applyBorder="1" applyAlignment="1">
      <alignment vertical="center" wrapText="1"/>
    </xf>
    <xf numFmtId="43" fontId="0" fillId="0" borderId="9" xfId="1" applyFont="1" applyBorder="1" applyAlignment="1">
      <alignment vertical="center" wrapText="1"/>
    </xf>
    <xf numFmtId="166" fontId="0" fillId="0" borderId="7" xfId="1" applyNumberFormat="1" applyFont="1" applyBorder="1" applyAlignment="1">
      <alignment horizontal="center" vertical="center" wrapText="1"/>
    </xf>
    <xf numFmtId="166" fontId="0" fillId="0" borderId="5" xfId="1" applyNumberFormat="1" applyFont="1" applyBorder="1" applyAlignment="1">
      <alignment vertical="center" wrapText="1"/>
    </xf>
    <xf numFmtId="0" fontId="0" fillId="0" borderId="1" xfId="0" applyBorder="1"/>
    <xf numFmtId="0" fontId="0" fillId="0" borderId="0" xfId="0" pivotButton="1"/>
    <xf numFmtId="0" fontId="0" fillId="5" borderId="1" xfId="0" applyFill="1" applyBorder="1" applyAlignment="1">
      <alignment horizontal="center" vertical="center" wrapText="1"/>
    </xf>
    <xf numFmtId="0" fontId="8" fillId="5" borderId="1" xfId="0" applyFont="1" applyFill="1" applyBorder="1" applyAlignment="1">
      <alignment horizontal="center" vertical="center"/>
    </xf>
    <xf numFmtId="0" fontId="7" fillId="0" borderId="0" xfId="0" applyFont="1" applyAlignment="1">
      <alignment horizontal="center" vertical="center" wrapText="1"/>
    </xf>
    <xf numFmtId="0" fontId="3" fillId="0" borderId="0" xfId="0" applyFont="1" applyAlignment="1">
      <alignment horizontal="left" vertical="top" wrapText="1"/>
    </xf>
    <xf numFmtId="0" fontId="9" fillId="0" borderId="0" xfId="0" applyFont="1"/>
    <xf numFmtId="0" fontId="9" fillId="0" borderId="6" xfId="0" applyFont="1" applyBorder="1" applyAlignment="1">
      <alignment horizontal="center" vertical="center" wrapText="1"/>
    </xf>
    <xf numFmtId="0" fontId="9" fillId="0" borderId="2" xfId="0" applyFont="1" applyBorder="1" applyAlignment="1">
      <alignment horizontal="center" vertical="center" wrapText="1"/>
    </xf>
    <xf numFmtId="3" fontId="9" fillId="0" borderId="0" xfId="0" applyNumberFormat="1" applyFont="1"/>
    <xf numFmtId="0" fontId="9" fillId="0" borderId="0" xfId="0" pivotButton="1" applyFont="1" applyAlignment="1">
      <alignment horizontal="center" vertical="center"/>
    </xf>
    <xf numFmtId="0" fontId="9" fillId="0" borderId="0" xfId="0" applyFont="1" applyAlignment="1">
      <alignment horizontal="center" vertical="center"/>
    </xf>
    <xf numFmtId="43" fontId="11" fillId="3" borderId="2" xfId="1" applyFont="1" applyFill="1" applyBorder="1" applyAlignment="1">
      <alignment horizontal="center" vertical="center" wrapText="1"/>
    </xf>
    <xf numFmtId="166" fontId="11" fillId="3" borderId="1" xfId="1" applyNumberFormat="1" applyFont="1" applyFill="1" applyBorder="1" applyAlignment="1">
      <alignment horizontal="center" vertical="center" wrapText="1"/>
    </xf>
    <xf numFmtId="43" fontId="11" fillId="3" borderId="1" xfId="1" applyFont="1" applyFill="1" applyBorder="1" applyAlignment="1">
      <alignment horizontal="center" vertical="center" wrapText="1"/>
    </xf>
    <xf numFmtId="166" fontId="9" fillId="0" borderId="1" xfId="1" applyNumberFormat="1" applyFont="1" applyBorder="1" applyAlignment="1">
      <alignment horizontal="center"/>
    </xf>
    <xf numFmtId="166" fontId="9" fillId="0" borderId="1" xfId="1" applyNumberFormat="1" applyFont="1" applyBorder="1"/>
    <xf numFmtId="43" fontId="9" fillId="0" borderId="1" xfId="1" applyFont="1" applyBorder="1"/>
    <xf numFmtId="0" fontId="9" fillId="0" borderId="0" xfId="0" pivotButton="1" applyFont="1" applyAlignment="1">
      <alignment vertical="center"/>
    </xf>
    <xf numFmtId="166" fontId="9" fillId="0" borderId="0" xfId="0" applyNumberFormat="1" applyFont="1" applyAlignment="1">
      <alignment horizontal="center" wrapText="1"/>
    </xf>
    <xf numFmtId="166" fontId="9" fillId="0" borderId="0" xfId="1" applyNumberFormat="1" applyFont="1" applyAlignment="1">
      <alignment horizontal="left" vertical="center"/>
    </xf>
    <xf numFmtId="43" fontId="9" fillId="0" borderId="0" xfId="1" applyFont="1" applyAlignment="1">
      <alignment horizontal="left" vertical="center"/>
    </xf>
    <xf numFmtId="0" fontId="12" fillId="4" borderId="1" xfId="0" applyFont="1" applyFill="1" applyBorder="1"/>
    <xf numFmtId="0" fontId="9" fillId="0" borderId="1" xfId="0" applyFont="1" applyBorder="1" applyAlignment="1">
      <alignment horizontal="left"/>
    </xf>
    <xf numFmtId="0" fontId="9" fillId="0" borderId="0" xfId="0" applyFont="1" applyAlignment="1">
      <alignment horizontal="left"/>
    </xf>
    <xf numFmtId="0" fontId="9" fillId="0" borderId="1" xfId="0" applyFont="1" applyBorder="1"/>
    <xf numFmtId="0" fontId="13" fillId="0" borderId="0" xfId="0" applyFont="1" applyAlignment="1">
      <alignment horizontal="center"/>
    </xf>
    <xf numFmtId="0" fontId="13" fillId="0" borderId="1" xfId="0" pivotButton="1" applyFont="1" applyBorder="1" applyAlignment="1">
      <alignment horizontal="center"/>
    </xf>
    <xf numFmtId="166" fontId="9" fillId="0" borderId="4" xfId="1" applyNumberFormat="1" applyFont="1" applyBorder="1" applyAlignment="1">
      <alignment horizontal="center"/>
    </xf>
    <xf numFmtId="43" fontId="9" fillId="0" borderId="5" xfId="1" applyFont="1" applyBorder="1"/>
    <xf numFmtId="0" fontId="14" fillId="2" borderId="6" xfId="0" applyFont="1" applyFill="1" applyBorder="1" applyAlignment="1">
      <alignment horizontal="center"/>
    </xf>
    <xf numFmtId="0" fontId="14" fillId="2" borderId="2" xfId="0" applyFont="1" applyFill="1" applyBorder="1" applyAlignment="1">
      <alignment horizontal="center"/>
    </xf>
    <xf numFmtId="0" fontId="14" fillId="2" borderId="7" xfId="0" applyFont="1" applyFill="1" applyBorder="1" applyAlignment="1">
      <alignment horizontal="center"/>
    </xf>
    <xf numFmtId="166" fontId="9" fillId="0" borderId="8" xfId="1" applyNumberFormat="1" applyFont="1" applyBorder="1" applyAlignment="1">
      <alignment horizontal="center"/>
    </xf>
    <xf numFmtId="43" fontId="9" fillId="0" borderId="9" xfId="1" applyFont="1" applyBorder="1"/>
    <xf numFmtId="43" fontId="9" fillId="0" borderId="5" xfId="1" applyFont="1" applyBorder="1" applyAlignment="1">
      <alignment horizontal="center" vertical="center" wrapText="1"/>
    </xf>
    <xf numFmtId="0" fontId="9" fillId="0" borderId="0" xfId="0" applyFont="1" applyAlignment="1">
      <alignment wrapText="1"/>
    </xf>
    <xf numFmtId="0" fontId="9" fillId="0" borderId="4" xfId="0" applyFont="1" applyBorder="1" applyAlignment="1">
      <alignment horizontal="center"/>
    </xf>
    <xf numFmtId="0" fontId="9" fillId="0" borderId="1" xfId="0" applyFont="1" applyBorder="1" applyAlignment="1">
      <alignment horizontal="center"/>
    </xf>
    <xf numFmtId="0" fontId="9" fillId="0" borderId="8" xfId="0" applyFont="1" applyBorder="1" applyAlignment="1">
      <alignment horizontal="center"/>
    </xf>
    <xf numFmtId="0" fontId="9" fillId="0" borderId="3" xfId="0" applyFont="1" applyBorder="1" applyAlignment="1">
      <alignment horizontal="center"/>
    </xf>
    <xf numFmtId="43" fontId="9" fillId="0" borderId="5" xfId="1" applyFont="1" applyBorder="1" applyAlignment="1">
      <alignment horizontal="center" vertical="center"/>
    </xf>
    <xf numFmtId="43" fontId="9" fillId="0" borderId="9" xfId="1" applyFont="1" applyBorder="1" applyAlignment="1">
      <alignment horizontal="center" vertical="center"/>
    </xf>
    <xf numFmtId="0" fontId="6" fillId="0" borderId="0" xfId="0" applyFont="1" applyAlignment="1">
      <alignment horizontal="left" vertical="center" wrapText="1"/>
    </xf>
    <xf numFmtId="4" fontId="6" fillId="0" borderId="0" xfId="0" applyNumberFormat="1" applyFont="1" applyAlignment="1">
      <alignment horizontal="left" vertical="center" wrapText="1"/>
    </xf>
    <xf numFmtId="43" fontId="6" fillId="0" borderId="0" xfId="0" applyNumberFormat="1" applyFont="1" applyAlignment="1">
      <alignment horizontal="left" vertical="center" wrapText="1"/>
    </xf>
    <xf numFmtId="0" fontId="15" fillId="0" borderId="0" xfId="0" applyFont="1"/>
    <xf numFmtId="43" fontId="16" fillId="0" borderId="0" xfId="0" applyNumberFormat="1" applyFont="1" applyAlignment="1">
      <alignment wrapText="1"/>
    </xf>
    <xf numFmtId="0" fontId="16" fillId="0" borderId="0" xfId="0" applyFont="1" applyAlignment="1">
      <alignment horizontal="left"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justify" vertical="justify" wrapText="1"/>
    </xf>
    <xf numFmtId="0" fontId="16" fillId="0" borderId="0" xfId="0" applyFont="1" applyAlignment="1">
      <alignment horizontal="left" vertical="top" wrapText="1"/>
    </xf>
    <xf numFmtId="0" fontId="16" fillId="0" borderId="0" xfId="0" applyFont="1" applyAlignment="1">
      <alignment vertical="top" wrapText="1"/>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43" fontId="6" fillId="0" borderId="1" xfId="1" applyFont="1" applyBorder="1" applyAlignment="1">
      <alignment horizontal="center" vertical="center" wrapText="1"/>
    </xf>
    <xf numFmtId="4" fontId="6" fillId="0" borderId="1" xfId="0" applyNumberFormat="1" applyFont="1" applyBorder="1" applyAlignment="1">
      <alignment horizontal="center" vertical="center" wrapText="1"/>
    </xf>
    <xf numFmtId="0" fontId="6" fillId="0" borderId="0" xfId="0" applyFont="1" applyAlignment="1">
      <alignment horizontal="left" wrapText="1"/>
    </xf>
    <xf numFmtId="43" fontId="6" fillId="0" borderId="0" xfId="0" applyNumberFormat="1" applyFont="1" applyAlignment="1">
      <alignment wrapText="1"/>
    </xf>
    <xf numFmtId="0" fontId="0" fillId="0" borderId="0" xfId="0" applyAlignment="1">
      <alignment vertical="center"/>
    </xf>
    <xf numFmtId="0" fontId="0" fillId="0" borderId="0" xfId="0" pivotButton="1" applyAlignment="1">
      <alignment horizontal="center" vertical="center"/>
    </xf>
    <xf numFmtId="0" fontId="9" fillId="0" borderId="7" xfId="0" pivotButton="1" applyFont="1" applyBorder="1"/>
    <xf numFmtId="0" fontId="9" fillId="0" borderId="10" xfId="0" applyFont="1" applyBorder="1"/>
    <xf numFmtId="0" fontId="9" fillId="0" borderId="12" xfId="0" applyFont="1" applyBorder="1" applyAlignment="1">
      <alignment horizontal="left"/>
    </xf>
    <xf numFmtId="0" fontId="9" fillId="0" borderId="7" xfId="0" applyFont="1" applyBorder="1" applyAlignment="1">
      <alignment horizontal="left"/>
    </xf>
    <xf numFmtId="0" fontId="6" fillId="0" borderId="1" xfId="0" applyFont="1" applyBorder="1" applyAlignment="1">
      <alignment wrapText="1"/>
    </xf>
    <xf numFmtId="0" fontId="6" fillId="0" borderId="1" xfId="0" applyFont="1" applyBorder="1" applyAlignment="1">
      <alignment horizontal="left" wrapText="1"/>
    </xf>
    <xf numFmtId="43" fontId="6" fillId="0" borderId="1" xfId="1" applyFont="1" applyBorder="1" applyAlignment="1">
      <alignment vertical="center" wrapText="1"/>
    </xf>
    <xf numFmtId="0" fontId="9" fillId="0" borderId="13" xfId="0" applyFont="1" applyBorder="1" applyAlignment="1">
      <alignment horizontal="center" vertical="center" wrapText="1"/>
    </xf>
    <xf numFmtId="165" fontId="9" fillId="0" borderId="13" xfId="0" applyNumberFormat="1" applyFont="1" applyBorder="1" applyAlignment="1">
      <alignment horizontal="center" vertical="center" wrapText="1"/>
    </xf>
    <xf numFmtId="0" fontId="6" fillId="0" borderId="0" xfId="0" applyFont="1"/>
    <xf numFmtId="0" fontId="0" fillId="0" borderId="0" xfId="0" pivotButton="1" applyAlignment="1">
      <alignment horizontal="center"/>
    </xf>
    <xf numFmtId="165" fontId="0" fillId="0" borderId="0" xfId="0" applyNumberFormat="1" applyAlignment="1">
      <alignment horizontal="center"/>
    </xf>
    <xf numFmtId="0" fontId="1" fillId="7" borderId="3" xfId="0" applyFont="1" applyFill="1" applyBorder="1" applyAlignment="1">
      <alignment horizontal="center"/>
    </xf>
    <xf numFmtId="0" fontId="0" fillId="0" borderId="0" xfId="0" applyAlignment="1">
      <alignment horizontal="center" vertical="center"/>
    </xf>
    <xf numFmtId="0" fontId="1" fillId="7" borderId="9" xfId="0" applyFont="1" applyFill="1" applyBorder="1" applyAlignment="1">
      <alignment horizontal="center" vertical="center"/>
    </xf>
    <xf numFmtId="0" fontId="0" fillId="9" borderId="5" xfId="0" applyFill="1" applyBorder="1" applyAlignment="1">
      <alignment horizontal="center" vertical="center"/>
    </xf>
    <xf numFmtId="0" fontId="1" fillId="7" borderId="1" xfId="0" applyFont="1" applyFill="1" applyBorder="1" applyAlignment="1">
      <alignment horizontal="center" vertical="center"/>
    </xf>
    <xf numFmtId="168" fontId="9" fillId="0" borderId="2" xfId="1" applyNumberFormat="1" applyFont="1" applyBorder="1" applyAlignment="1">
      <alignment horizontal="center" vertical="center" wrapText="1"/>
    </xf>
    <xf numFmtId="168" fontId="9" fillId="0" borderId="1" xfId="1" applyNumberFormat="1" applyFont="1" applyBorder="1" applyAlignment="1">
      <alignment horizontal="center" vertical="center"/>
    </xf>
    <xf numFmtId="168" fontId="9" fillId="0" borderId="3" xfId="1" applyNumberFormat="1" applyFont="1" applyBorder="1" applyAlignment="1">
      <alignment horizontal="center" vertical="center"/>
    </xf>
    <xf numFmtId="168" fontId="9" fillId="0" borderId="0" xfId="1" applyNumberFormat="1" applyFont="1" applyAlignment="1">
      <alignment horizontal="center"/>
    </xf>
    <xf numFmtId="169" fontId="9" fillId="0" borderId="13" xfId="0" applyNumberFormat="1" applyFont="1" applyBorder="1" applyAlignment="1">
      <alignment horizontal="center" vertical="center" wrapText="1"/>
    </xf>
    <xf numFmtId="0" fontId="0" fillId="9" borderId="5" xfId="0" applyFill="1" applyBorder="1" applyAlignment="1">
      <alignment horizontal="center" vertical="center" wrapText="1"/>
    </xf>
    <xf numFmtId="0" fontId="0" fillId="9" borderId="1" xfId="0" applyFill="1" applyBorder="1" applyAlignment="1">
      <alignment horizontal="center" vertical="center"/>
    </xf>
    <xf numFmtId="167" fontId="16" fillId="0" borderId="0" xfId="0" applyNumberFormat="1" applyFont="1" applyAlignment="1">
      <alignment horizontal="right" vertical="center" wrapText="1"/>
    </xf>
    <xf numFmtId="0" fontId="16" fillId="0" borderId="0" xfId="0" applyFont="1" applyAlignment="1">
      <alignment wrapText="1"/>
    </xf>
    <xf numFmtId="0" fontId="10" fillId="0" borderId="0" xfId="0" applyFont="1" applyAlignment="1">
      <alignment horizontal="centerContinuous" vertical="center" wrapText="1"/>
    </xf>
    <xf numFmtId="0" fontId="10" fillId="0" borderId="0" xfId="0" applyFont="1" applyAlignment="1">
      <alignment horizontal="left" vertical="center" wrapText="1"/>
    </xf>
    <xf numFmtId="165" fontId="10" fillId="0" borderId="0" xfId="0" applyNumberFormat="1" applyFont="1" applyAlignment="1">
      <alignment horizontal="centerContinuous" vertical="center" wrapText="1"/>
    </xf>
    <xf numFmtId="164" fontId="10" fillId="0" borderId="0" xfId="0" applyNumberFormat="1" applyFont="1" applyAlignment="1">
      <alignment horizontal="centerContinuous" vertical="center" wrapText="1"/>
    </xf>
    <xf numFmtId="0" fontId="9" fillId="0" borderId="0" xfId="0" applyFont="1" applyAlignment="1">
      <alignment horizontal="center" vertical="center" wrapText="1"/>
    </xf>
    <xf numFmtId="165" fontId="9" fillId="0" borderId="0" xfId="0" applyNumberFormat="1" applyFont="1" applyAlignment="1">
      <alignment horizontal="center" vertical="center" wrapText="1"/>
    </xf>
    <xf numFmtId="164" fontId="9" fillId="0" borderId="0" xfId="0" applyNumberFormat="1" applyFont="1" applyAlignment="1">
      <alignment horizontal="center" vertical="center" wrapText="1"/>
    </xf>
    <xf numFmtId="3" fontId="9" fillId="0" borderId="0" xfId="0" applyNumberFormat="1" applyFont="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left" vertical="top" wrapText="1"/>
    </xf>
    <xf numFmtId="165" fontId="19" fillId="0" borderId="0" xfId="0" applyNumberFormat="1" applyFont="1" applyAlignment="1">
      <alignment horizontal="center" vertical="center" wrapText="1"/>
    </xf>
    <xf numFmtId="164" fontId="9" fillId="8" borderId="0" xfId="0" applyNumberFormat="1" applyFont="1" applyFill="1" applyAlignment="1">
      <alignment horizontal="center" vertical="center" wrapText="1"/>
    </xf>
    <xf numFmtId="0" fontId="10" fillId="6" borderId="1" xfId="2" applyFont="1" applyBorder="1" applyAlignment="1">
      <alignment horizontal="left" vertical="center" wrapText="1"/>
    </xf>
    <xf numFmtId="167" fontId="10" fillId="6" borderId="1" xfId="2" applyNumberFormat="1" applyFont="1" applyBorder="1" applyAlignment="1">
      <alignment horizontal="center" vertical="center" wrapText="1"/>
    </xf>
    <xf numFmtId="0" fontId="9" fillId="0" borderId="0" xfId="0" pivotButton="1" applyFont="1"/>
    <xf numFmtId="0" fontId="13" fillId="0" borderId="0" xfId="0" applyFont="1" applyAlignment="1">
      <alignment horizontal="left" vertical="center" wrapText="1"/>
    </xf>
    <xf numFmtId="43" fontId="0" fillId="0" borderId="0" xfId="0" applyNumberFormat="1"/>
    <xf numFmtId="169" fontId="9" fillId="0" borderId="0" xfId="0" applyNumberFormat="1" applyFont="1" applyAlignment="1">
      <alignment horizontal="center" vertical="center"/>
    </xf>
    <xf numFmtId="43" fontId="0" fillId="0" borderId="0" xfId="1" applyFont="1"/>
    <xf numFmtId="165" fontId="9" fillId="0" borderId="0" xfId="0" applyNumberFormat="1" applyFont="1" applyAlignment="1">
      <alignment horizontal="center" vertical="center"/>
    </xf>
    <xf numFmtId="0" fontId="0" fillId="0" borderId="0" xfId="0" applyAlignment="1">
      <alignment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16" fillId="0" borderId="0" xfId="0" applyFont="1" applyAlignment="1">
      <alignment horizontal="justify" vertical="justify"/>
    </xf>
    <xf numFmtId="0" fontId="16" fillId="0" borderId="0" xfId="0" applyFont="1" applyAlignment="1">
      <alignment horizontal="justify" vertical="justify" wrapText="1"/>
    </xf>
    <xf numFmtId="0" fontId="20" fillId="0" borderId="0" xfId="0" applyFont="1" applyAlignment="1">
      <alignment horizontal="center" vertical="center" wrapText="1"/>
    </xf>
    <xf numFmtId="0" fontId="16" fillId="0" borderId="0" xfId="0" applyFont="1" applyAlignment="1">
      <alignment horizontal="left" vertical="center" wrapText="1"/>
    </xf>
    <xf numFmtId="0" fontId="16" fillId="0" borderId="0" xfId="0" applyFont="1" applyAlignment="1">
      <alignment horizontal="left" vertical="justify" wrapText="1"/>
    </xf>
    <xf numFmtId="167" fontId="16" fillId="0" borderId="0" xfId="0" applyNumberFormat="1" applyFont="1" applyAlignment="1">
      <alignment horizontal="right" vertical="center" wrapText="1"/>
    </xf>
    <xf numFmtId="0" fontId="0" fillId="0" borderId="0" xfId="0" applyAlignment="1">
      <alignment horizontal="center"/>
    </xf>
    <xf numFmtId="0" fontId="17" fillId="0" borderId="0" xfId="0" applyFont="1" applyAlignment="1">
      <alignment horizontal="center" vertical="center" wrapText="1"/>
    </xf>
    <xf numFmtId="0" fontId="16" fillId="0" borderId="0" xfId="0" applyFont="1" applyAlignment="1">
      <alignment horizontal="left" vertical="top" wrapText="1"/>
    </xf>
    <xf numFmtId="0" fontId="6" fillId="0" borderId="1" xfId="0" applyFont="1" applyBorder="1" applyAlignment="1">
      <alignment horizontal="left" vertical="center" wrapText="1"/>
    </xf>
    <xf numFmtId="0" fontId="0" fillId="0" borderId="1" xfId="0" applyBorder="1" applyAlignment="1">
      <alignment horizontal="left" vertical="center" wrapText="1"/>
    </xf>
  </cellXfs>
  <cellStyles count="3">
    <cellStyle name="Comma" xfId="1" builtinId="3"/>
    <cellStyle name="Normal" xfId="0" builtinId="0"/>
    <cellStyle name="Note" xfId="2" builtinId="10"/>
  </cellStyles>
  <dxfs count="153">
    <dxf>
      <font>
        <b val="0"/>
        <i val="0"/>
        <strike val="0"/>
        <condense val="0"/>
        <extend val="0"/>
        <outline val="0"/>
        <shadow val="0"/>
        <u val="none"/>
        <vertAlign val="baseline"/>
        <sz val="10"/>
        <color rgb="FF000000"/>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Verdana"/>
        <scheme val="none"/>
      </font>
      <alignment horizontal="general" vertical="center"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center" textRotation="0" wrapText="1" indent="0" justifyLastLine="0" shrinkToFit="0" readingOrder="0"/>
    </dxf>
    <dxf>
      <font>
        <strike val="0"/>
        <outline val="0"/>
        <shadow val="0"/>
        <u val="none"/>
        <vertAlign val="baseline"/>
        <sz val="10"/>
        <color theme="1"/>
        <name val="Calibri"/>
        <scheme val="minor"/>
      </font>
      <numFmt numFmtId="35" formatCode="_(* #,##0.00_);_(* \(#,##0.00\);_(* &quot;-&quot;??_);_(@_)"/>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right style="thin">
          <color indexed="64"/>
        </right>
        <bottom style="thin">
          <color indexed="64"/>
        </bottom>
      </border>
    </dxf>
    <dxf>
      <font>
        <strike val="0"/>
        <outline val="0"/>
        <shadow val="0"/>
        <u val="none"/>
        <vertAlign val="baseline"/>
        <sz val="10"/>
        <color theme="1"/>
        <name val="Calibri"/>
        <scheme val="minor"/>
      </font>
      <numFmt numFmtId="166" formatCode="_-* #,##0_-;\-* #,##0_-;_-* &quot;-&quot;??_-;_-@_-"/>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Calibri"/>
        <scheme val="minor"/>
      </font>
      <numFmt numFmtId="166" formatCode="_-* #,##0_-;\-* #,##0_-;_-* &quot;-&quot;??_-;_-@_-"/>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6" formatCode="_-* #,##0_-;\-* #,##0_-;_-* &quot;-&quot;??_-;_-@_-"/>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i val="0"/>
        <strike val="0"/>
        <condense val="0"/>
        <extend val="0"/>
        <outline val="0"/>
        <shadow val="0"/>
        <u val="none"/>
        <vertAlign val="baseline"/>
        <sz val="10"/>
        <color auto="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ont>
        <color auto="1"/>
      </font>
    </dxf>
    <dxf>
      <font>
        <sz val="10"/>
      </font>
    </dxf>
    <dxf>
      <font>
        <sz val="10"/>
      </font>
    </dxf>
    <dxf>
      <font>
        <sz val="10"/>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numFmt numFmtId="3" formatCode="#,##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dxf>
    <dxf>
      <alignment horizontal="center"/>
    </dxf>
    <dxf>
      <alignment horizontal="center"/>
    </dxf>
    <dxf>
      <alignment horizontal="center"/>
    </dxf>
    <dxf>
      <alignment horizontal="center"/>
    </dxf>
    <dxf>
      <alignment horizontal="center"/>
    </dxf>
    <dxf>
      <font>
        <strike val="0"/>
        <outline val="0"/>
        <shadow val="0"/>
        <u val="none"/>
        <vertAlign val="baseline"/>
        <sz val="10"/>
      </font>
    </dxf>
    <dxf>
      <font>
        <strike val="0"/>
        <outline val="0"/>
        <shadow val="0"/>
        <u val="none"/>
        <vertAlign val="baseline"/>
        <sz val="10"/>
      </font>
      <numFmt numFmtId="3" formatCode="#,##0"/>
      <alignment horizontal="center" vertical="center" textRotation="0" wrapText="1" indent="0" justifyLastLine="0" shrinkToFit="0" readingOrder="0"/>
    </dxf>
    <dxf>
      <font>
        <strike val="0"/>
        <outline val="0"/>
        <shadow val="0"/>
        <u val="none"/>
        <vertAlign val="baseline"/>
        <sz val="10"/>
      </font>
      <alignment horizontal="center" vertical="center" textRotation="0" wrapText="1" indent="0" justifyLastLine="0" shrinkToFit="0" readingOrder="0"/>
    </dxf>
    <dxf>
      <font>
        <strike val="0"/>
        <outline val="0"/>
        <shadow val="0"/>
        <u val="none"/>
        <vertAlign val="baseline"/>
        <sz val="10"/>
      </font>
      <numFmt numFmtId="164" formatCode="d\.m\.yy;@"/>
      <fill>
        <patternFill patternType="solid">
          <fgColor indexed="64"/>
          <bgColor rgb="FFFFFF00"/>
        </patternFill>
      </fill>
      <alignment horizontal="center" vertical="center" textRotation="0" wrapText="1" indent="0" justifyLastLine="0" shrinkToFit="0" readingOrder="0"/>
    </dxf>
    <dxf>
      <font>
        <strike val="0"/>
        <outline val="0"/>
        <shadow val="0"/>
        <u val="none"/>
        <vertAlign val="baseline"/>
        <sz val="10"/>
      </font>
      <numFmt numFmtId="164" formatCode="d\.m\.yy;@"/>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5" formatCode="[$-409]d\-mmm\-yy;@"/>
      <alignment horizontal="center" vertical="center" textRotation="0" wrapText="1" indent="0" justifyLastLine="0" shrinkToFit="0" readingOrder="0"/>
    </dxf>
    <dxf>
      <font>
        <strike val="0"/>
        <outline val="0"/>
        <shadow val="0"/>
        <u val="none"/>
        <vertAlign val="baseline"/>
        <sz val="10"/>
      </font>
      <numFmt numFmtId="165" formatCode="[$-409]d\-mmm\-yy;@"/>
      <alignment horizontal="center" vertical="center" textRotation="0" wrapText="1" indent="0" justifyLastLine="0" shrinkToFit="0" readingOrder="0"/>
    </dxf>
    <dxf>
      <font>
        <strike val="0"/>
        <outline val="0"/>
        <shadow val="0"/>
        <u val="none"/>
        <vertAlign val="baseline"/>
        <sz val="10"/>
      </font>
      <numFmt numFmtId="0" formatCode="General"/>
      <alignment horizontal="center" vertical="center" textRotation="0" wrapText="1" indent="0" justifyLastLine="0" shrinkToFit="0" readingOrder="0"/>
    </dxf>
    <dxf>
      <font>
        <strike val="0"/>
        <outline val="0"/>
        <shadow val="0"/>
        <u val="none"/>
        <vertAlign val="baseline"/>
        <sz val="10"/>
      </font>
      <numFmt numFmtId="165" formatCode="[$-409]d\-mmm\-yy;@"/>
      <alignment horizontal="center" vertical="center" textRotation="0" wrapText="1" indent="0" justifyLastLine="0" shrinkToFit="0" readingOrder="0"/>
    </dxf>
    <dxf>
      <font>
        <strike val="0"/>
        <outline val="0"/>
        <shadow val="0"/>
        <u val="none"/>
        <vertAlign val="baseline"/>
        <sz val="10"/>
      </font>
      <alignment horizontal="center" vertical="center" textRotation="0" wrapText="1" indent="0" justifyLastLine="0" shrinkToFit="0" readingOrder="0"/>
    </dxf>
    <dxf>
      <font>
        <strike val="0"/>
        <outline val="0"/>
        <shadow val="0"/>
        <u val="none"/>
        <vertAlign val="baseline"/>
        <sz val="10"/>
      </font>
      <alignment horizontal="center" vertical="center" textRotation="0" wrapText="1" indent="0" justifyLastLine="0" shrinkToFit="0" readingOrder="0"/>
    </dxf>
    <dxf>
      <font>
        <strike val="0"/>
        <outline val="0"/>
        <shadow val="0"/>
        <u val="none"/>
        <vertAlign val="baseline"/>
        <sz val="10"/>
      </font>
      <numFmt numFmtId="0" formatCode="General"/>
      <alignment horizontal="center" vertical="center" textRotation="0" wrapText="1" indent="0" justifyLastLine="0" shrinkToFit="0" readingOrder="0"/>
    </dxf>
    <dxf>
      <font>
        <strike val="0"/>
        <outline val="0"/>
        <shadow val="0"/>
        <u val="none"/>
        <vertAlign val="baseline"/>
        <sz val="10"/>
      </font>
      <alignment horizontal="left" vertical="center" textRotation="0" wrapText="1" indent="0" justifyLastLine="0" shrinkToFit="0" readingOrder="0"/>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sz val="10"/>
      </font>
    </dxf>
    <dxf>
      <border outline="0">
        <bottom style="thin">
          <color indexed="64"/>
        </bottom>
      </border>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0</xdr:col>
      <xdr:colOff>47624</xdr:colOff>
      <xdr:row>0</xdr:row>
      <xdr:rowOff>47625</xdr:rowOff>
    </xdr:from>
    <xdr:to>
      <xdr:col>1</xdr:col>
      <xdr:colOff>657225</xdr:colOff>
      <xdr:row>3</xdr:row>
      <xdr:rowOff>145275</xdr:rowOff>
    </xdr:to>
    <mc:AlternateContent xmlns:mc="http://schemas.openxmlformats.org/markup-compatibility/2006" xmlns:sle15="http://schemas.microsoft.com/office/drawing/2012/slicer">
      <mc:Choice Requires="sle15">
        <xdr:graphicFrame macro="">
          <xdr:nvGraphicFramePr>
            <xdr:cNvPr id="2" name="Meeting">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Meeting"/>
            </a:graphicData>
          </a:graphic>
        </xdr:graphicFrame>
      </mc:Choice>
      <mc:Fallback xmlns="">
        <xdr:sp macro="" textlink="">
          <xdr:nvSpPr>
            <xdr:cNvPr id="0" name=""/>
            <xdr:cNvSpPr>
              <a:spLocks noTextEdit="1"/>
            </xdr:cNvSpPr>
          </xdr:nvSpPr>
          <xdr:spPr>
            <a:xfrm>
              <a:off x="47624" y="47625"/>
              <a:ext cx="3619501" cy="612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182880</xdr:colOff>
          <xdr:row>1</xdr:row>
          <xdr:rowOff>152400</xdr:rowOff>
        </xdr:from>
        <xdr:to>
          <xdr:col>6</xdr:col>
          <xdr:colOff>266700</xdr:colOff>
          <xdr:row>2</xdr:row>
          <xdr:rowOff>251460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4</xdr:row>
          <xdr:rowOff>7620</xdr:rowOff>
        </xdr:from>
        <xdr:to>
          <xdr:col>6</xdr:col>
          <xdr:colOff>403860</xdr:colOff>
          <xdr:row>6</xdr:row>
          <xdr:rowOff>121920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Change Date Format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304800</xdr:colOff>
      <xdr:row>1</xdr:row>
      <xdr:rowOff>65617</xdr:rowOff>
    </xdr:from>
    <xdr:to>
      <xdr:col>9</xdr:col>
      <xdr:colOff>532800</xdr:colOff>
      <xdr:row>9</xdr:row>
      <xdr:rowOff>66217</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829425" y="227542"/>
              <a:ext cx="3276000" cy="1296000"/>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xdr:twoCellAnchor editAs="oneCell">
    <xdr:from>
      <xdr:col>4</xdr:col>
      <xdr:colOff>304800</xdr:colOff>
      <xdr:row>9</xdr:row>
      <xdr:rowOff>65617</xdr:rowOff>
    </xdr:from>
    <xdr:to>
      <xdr:col>9</xdr:col>
      <xdr:colOff>532800</xdr:colOff>
      <xdr:row>17</xdr:row>
      <xdr:rowOff>66217</xdr:rowOff>
    </xdr:to>
    <mc:AlternateContent xmlns:mc="http://schemas.openxmlformats.org/markup-compatibility/2006" xmlns:tsle="http://schemas.microsoft.com/office/drawing/2012/timeslicer">
      <mc:Choice Requires="tsle">
        <xdr:graphicFrame macro="">
          <xdr:nvGraphicFramePr>
            <xdr:cNvPr id="5" name="Date 1">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829425" y="1522942"/>
              <a:ext cx="3276000" cy="1296000"/>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xdr:twoCellAnchor editAs="oneCell">
    <xdr:from>
      <xdr:col>4</xdr:col>
      <xdr:colOff>304800</xdr:colOff>
      <xdr:row>17</xdr:row>
      <xdr:rowOff>75142</xdr:rowOff>
    </xdr:from>
    <xdr:to>
      <xdr:col>9</xdr:col>
      <xdr:colOff>532800</xdr:colOff>
      <xdr:row>25</xdr:row>
      <xdr:rowOff>75742</xdr:rowOff>
    </xdr:to>
    <mc:AlternateContent xmlns:mc="http://schemas.openxmlformats.org/markup-compatibility/2006" xmlns:tsle="http://schemas.microsoft.com/office/drawing/2012/timeslicer">
      <mc:Choice Requires="tsle">
        <xdr:graphicFrame macro="">
          <xdr:nvGraphicFramePr>
            <xdr:cNvPr id="6" name="Date 2">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6829425" y="2827867"/>
              <a:ext cx="3276000" cy="1296000"/>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xdr:twoCellAnchor editAs="oneCell">
    <xdr:from>
      <xdr:col>4</xdr:col>
      <xdr:colOff>304800</xdr:colOff>
      <xdr:row>25</xdr:row>
      <xdr:rowOff>84667</xdr:rowOff>
    </xdr:from>
    <xdr:to>
      <xdr:col>9</xdr:col>
      <xdr:colOff>532800</xdr:colOff>
      <xdr:row>33</xdr:row>
      <xdr:rowOff>170992</xdr:rowOff>
    </xdr:to>
    <mc:AlternateContent xmlns:mc="http://schemas.openxmlformats.org/markup-compatibility/2006" xmlns:tsle="http://schemas.microsoft.com/office/drawing/2012/timeslicer">
      <mc:Choice Requires="tsle">
        <xdr:graphicFrame macro="">
          <xdr:nvGraphicFramePr>
            <xdr:cNvPr id="7" name="Date 3">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6829425" y="4132792"/>
              <a:ext cx="3276000" cy="1381725"/>
            </a:xfrm>
            <a:prstGeom prst="rect">
              <a:avLst/>
            </a:prstGeom>
            <a:solidFill>
              <a:prstClr val="white"/>
            </a:solidFill>
            <a:ln w="1">
              <a:solidFill>
                <a:prstClr val="green"/>
              </a:solidFill>
            </a:ln>
          </xdr:spPr>
          <xdr:txBody>
            <a:bodyPr vertOverflow="clip" horzOverflow="clip"/>
            <a:lstStyle/>
            <a:p>
              <a:r>
                <a:rPr lang="en-GB" sz="1100"/>
                <a:t>Timeline: Works in Excel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42332</xdr:colOff>
      <xdr:row>34</xdr:row>
      <xdr:rowOff>190499</xdr:rowOff>
    </xdr:from>
    <xdr:to>
      <xdr:col>2</xdr:col>
      <xdr:colOff>320499</xdr:colOff>
      <xdr:row>34</xdr:row>
      <xdr:rowOff>190499</xdr:rowOff>
    </xdr:to>
    <xdr:cxnSp macro="">
      <xdr:nvCxnSpPr>
        <xdr:cNvPr id="2" name="Straight Connector 1">
          <a:extLst>
            <a:ext uri="{FF2B5EF4-FFF2-40B4-BE49-F238E27FC236}">
              <a16:creationId xmlns:a16="http://schemas.microsoft.com/office/drawing/2014/main" id="{00000000-0008-0000-0C00-000002000000}"/>
            </a:ext>
          </a:extLst>
        </xdr:cNvPr>
        <xdr:cNvCxnSpPr/>
      </xdr:nvCxnSpPr>
      <xdr:spPr>
        <a:xfrm>
          <a:off x="42332" y="8915399"/>
          <a:ext cx="1916467"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42332</xdr:colOff>
      <xdr:row>34</xdr:row>
      <xdr:rowOff>190499</xdr:rowOff>
    </xdr:from>
    <xdr:to>
      <xdr:col>2</xdr:col>
      <xdr:colOff>320499</xdr:colOff>
      <xdr:row>34</xdr:row>
      <xdr:rowOff>190499</xdr:rowOff>
    </xdr:to>
    <xdr:cxnSp macro="">
      <xdr:nvCxnSpPr>
        <xdr:cNvPr id="2" name="Straight Connector 1">
          <a:extLst>
            <a:ext uri="{FF2B5EF4-FFF2-40B4-BE49-F238E27FC236}">
              <a16:creationId xmlns:a16="http://schemas.microsoft.com/office/drawing/2014/main" id="{00000000-0008-0000-0D00-000002000000}"/>
            </a:ext>
          </a:extLst>
        </xdr:cNvPr>
        <xdr:cNvCxnSpPr/>
      </xdr:nvCxnSpPr>
      <xdr:spPr>
        <a:xfrm>
          <a:off x="42332" y="7831666"/>
          <a:ext cx="1908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42332</xdr:colOff>
      <xdr:row>34</xdr:row>
      <xdr:rowOff>190499</xdr:rowOff>
    </xdr:from>
    <xdr:to>
      <xdr:col>2</xdr:col>
      <xdr:colOff>320499</xdr:colOff>
      <xdr:row>34</xdr:row>
      <xdr:rowOff>190499</xdr:rowOff>
    </xdr:to>
    <xdr:cxnSp macro="">
      <xdr:nvCxnSpPr>
        <xdr:cNvPr id="2" name="Straight Connector 1">
          <a:extLst>
            <a:ext uri="{FF2B5EF4-FFF2-40B4-BE49-F238E27FC236}">
              <a16:creationId xmlns:a16="http://schemas.microsoft.com/office/drawing/2014/main" id="{00000000-0008-0000-0E00-000002000000}"/>
            </a:ext>
          </a:extLst>
        </xdr:cNvPr>
        <xdr:cNvCxnSpPr/>
      </xdr:nvCxnSpPr>
      <xdr:spPr>
        <a:xfrm>
          <a:off x="42332" y="8429624"/>
          <a:ext cx="1916467"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42333</xdr:colOff>
      <xdr:row>33</xdr:row>
      <xdr:rowOff>0</xdr:rowOff>
    </xdr:from>
    <xdr:to>
      <xdr:col>3</xdr:col>
      <xdr:colOff>45333</xdr:colOff>
      <xdr:row>33</xdr:row>
      <xdr:rowOff>0</xdr:rowOff>
    </xdr:to>
    <xdr:cxnSp macro="">
      <xdr:nvCxnSpPr>
        <xdr:cNvPr id="3" name="Straight Connector 2">
          <a:extLst>
            <a:ext uri="{FF2B5EF4-FFF2-40B4-BE49-F238E27FC236}">
              <a16:creationId xmlns:a16="http://schemas.microsoft.com/office/drawing/2014/main" id="{00000000-0008-0000-0F00-000003000000}"/>
            </a:ext>
          </a:extLst>
        </xdr:cNvPr>
        <xdr:cNvCxnSpPr/>
      </xdr:nvCxnSpPr>
      <xdr:spPr>
        <a:xfrm>
          <a:off x="42333" y="8900583"/>
          <a:ext cx="1908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d. Shafat Hossain" refreshedDate="45586.560421759263" createdVersion="6" refreshedVersion="6" minRefreshableVersion="3" recordCount="1684" xr:uid="{00000000-000A-0000-FFFF-FFFF00000000}">
  <cacheSource type="worksheet">
    <worksheetSource name="RawData"/>
  </cacheSource>
  <cacheFields count="14">
    <cacheField name="Name" numFmtId="0">
      <sharedItems count="46">
        <s v="Dr. Salim Mahmud"/>
        <s v="Mrs. Rukhmila Zaman"/>
        <s v="Mr. Bashir Ahmed"/>
        <s v="Mr. Anisuzzaman Chowdhury"/>
        <s v="Mr. Touhid Shipar Rafiquzzaman"/>
        <s v="Mr. M. A. Sabur"/>
        <s v="Mr. Bazal Ahmed"/>
        <s v="Mr. Nurul Islam Chowdhury"/>
        <s v="Mrs. Roxana Zaman Chaudhury"/>
        <s v="Mr. Asifuzzaman Chowdhury"/>
        <s v="Ms. Afroza Zaman"/>
        <s v="Mr. Syed Kamruzzaman"/>
        <s v="Mr. Muhammed Shah Alam"/>
        <s v="Dr. Aparup Chowdhury"/>
        <s v="Mr. Hajee Yunus Ahmed"/>
        <s v="Mr. Hajee M. A. Kalam"/>
        <s v="Professor Dr. Md. Jonaid Shafiq"/>
        <s v="Mr. Syed Mohammed Nuruddin"/>
        <s v="Mr. Akhter Matin Chaudhury"/>
        <s v="Mr. Farid Uddin Ahmed"/>
        <s v="Mr. Mohammed Shawkat Jamil"/>
        <s v="Mr. Arif Quadri"/>
        <s v="Professor Dr. A. F. M. Akbar Hossain"/>
        <s v="Professor Dr. Muhammad Abdur Rashid"/>
        <s v="Professor Dr. K M Saiful Islam Khan"/>
        <s v="Professor Dr. Mohammed Nasir Uddin (Azhary)"/>
        <s v="Associate Professor Dr. Mohammad Manjurur Rahman"/>
        <s v="Mr. Kanak Kanti Sen"/>
        <s v="Mr. Md. Aksed Ali Sarker"/>
        <s v="Mrs. Masuma Parvin"/>
        <s v="Professor Dr. Iftekhar Uddin Chowdhury"/>
        <s v="Mr. Syed Faridul Islam"/>
        <s v="Mr. Md. Nasim Kalam"/>
        <s v="Mr. Md. Abdul Hannan"/>
        <s v="Mr. Abul Alam Ferdous"/>
        <s v="Mr. Sharif Zahir"/>
        <s v="Mr. Md. Tanvir Khan"/>
        <s v="Mr. Md. Shazzad Hossoin"/>
        <s v="Mr. Md. Yusuf Ali"/>
        <s v="Mr. Obaidur Rahman, FCA"/>
        <s v="Mr. Mohammad Mamdudur Rashid"/>
        <s v="Professor Dr. Mohammad Abdur Rashid" u="1"/>
        <s v="Mrs. Roxana Zaman" u="1"/>
        <s v="Md. Abdul Hannan" u="1"/>
        <s v="Dr. Mohammed Nasir Uddin" u="1"/>
        <s v="Dr. Mohammad Manjurur Rahman" u="1"/>
      </sharedItems>
    </cacheField>
    <cacheField name="Designation" numFmtId="0">
      <sharedItems count="12">
        <s v="Former Independent Director"/>
        <s v="Former Director"/>
        <s v="Former Vice-Chairman"/>
        <s v="Former Managing Director &amp; CEO"/>
        <s v="Member, Shariah Supervisory Committee"/>
        <s v="Chairman, Shariah Supervisory Committee"/>
        <s v="Acting Managing Director &amp; CEO"/>
        <s v="Chairman"/>
        <s v="Director"/>
        <s v="Vice-Chairman"/>
        <s v="Independent Director"/>
        <s v="Managing Director &amp; CEO"/>
      </sharedItems>
    </cacheField>
    <cacheField name="Meeting" numFmtId="0">
      <sharedItems count="6">
        <s v="Board"/>
        <s v="AC"/>
        <s v="EC"/>
        <s v="RMC"/>
        <s v="NRC"/>
        <s v="SSC"/>
      </sharedItems>
    </cacheField>
    <cacheField name="Meeting Number" numFmtId="0">
      <sharedItems containsMixedTypes="1" containsNumber="1" containsInteger="1" minValue="1" maxValue="500" count="226">
        <n v="349"/>
        <n v="350"/>
        <n v="49"/>
        <n v="352"/>
        <n v="353"/>
        <n v="50"/>
        <n v="354"/>
        <n v="355"/>
        <n v="51"/>
        <n v="356"/>
        <n v="357"/>
        <n v="52"/>
        <n v="358"/>
        <n v="359"/>
        <n v="53"/>
        <n v="360"/>
        <n v="54"/>
        <n v="55"/>
        <n v="361"/>
        <n v="362"/>
        <n v="56"/>
        <n v="363"/>
        <n v="57"/>
        <n v="364"/>
        <n v="365"/>
        <n v="366"/>
        <n v="368"/>
        <n v="59"/>
        <n v="369"/>
        <n v="370"/>
        <n v="61"/>
        <n v="372"/>
        <n v="373"/>
        <n v="374"/>
        <n v="62"/>
        <n v="375"/>
        <n v="63"/>
        <n v="376"/>
        <n v="377"/>
        <n v="378"/>
        <n v="64"/>
        <n v="65"/>
        <n v="379"/>
        <n v="380"/>
        <n v="66"/>
        <n v="67"/>
        <n v="381"/>
        <n v="382"/>
        <n v="383"/>
        <n v="68"/>
        <n v="384"/>
        <n v="69"/>
        <n v="385"/>
        <n v="386"/>
        <n v="70"/>
        <n v="387"/>
        <n v="388"/>
        <n v="71"/>
        <n v="72"/>
        <n v="389"/>
        <n v="73"/>
        <n v="390"/>
        <n v="392"/>
        <n v="396"/>
        <n v="397"/>
        <n v="398"/>
        <n v="399"/>
        <n v="400"/>
        <n v="401"/>
        <n v="402"/>
        <n v="404"/>
        <n v="405"/>
        <n v="406"/>
        <n v="408"/>
        <n v="409"/>
        <n v="410"/>
        <n v="411"/>
        <n v="412"/>
        <n v="413"/>
        <n v="414"/>
        <n v="415"/>
        <n v="416"/>
        <n v="418"/>
        <n v="419"/>
        <n v="420"/>
        <n v="421"/>
        <n v="422"/>
        <n v="424"/>
        <n v="425"/>
        <n v="427"/>
        <n v="428"/>
        <n v="430"/>
        <n v="432"/>
        <n v="433"/>
        <n v="434"/>
        <n v="435"/>
        <n v="436"/>
        <n v="446"/>
        <n v="447"/>
        <n v="108"/>
        <n v="448"/>
        <n v="449"/>
        <n v="26"/>
        <n v="450"/>
        <n v="109"/>
        <n v="1"/>
        <n v="27"/>
        <n v="451"/>
        <n v="110"/>
        <n v="452"/>
        <n v="111"/>
        <n v="28"/>
        <n v="453"/>
        <n v="112"/>
        <n v="437"/>
        <n v="113"/>
        <n v="438"/>
        <n v="454"/>
        <n v="455"/>
        <n v="439"/>
        <n v="114"/>
        <n v="29"/>
        <n v="440"/>
        <n v="456"/>
        <n v="441"/>
        <n v="457"/>
        <n v="2"/>
        <n v="115"/>
        <n v="442"/>
        <n v="458"/>
        <n v="459"/>
        <n v="443"/>
        <n v="30"/>
        <n v="460"/>
        <n v="116"/>
        <n v="31"/>
        <n v="444"/>
        <n v="461"/>
        <n v="117"/>
        <n v="118"/>
        <n v="462"/>
        <n v="463"/>
        <n v="445"/>
        <n v="464"/>
        <n v="119"/>
        <n v="32"/>
        <n v="465"/>
        <n v="120"/>
        <n v="3"/>
        <n v="466"/>
        <n v="33"/>
        <n v="467"/>
        <n v="121"/>
        <n v="468"/>
        <n v="122"/>
        <n v="34"/>
        <n v="4"/>
        <n v="469"/>
        <n v="123"/>
        <n v="470"/>
        <n v="471"/>
        <n v="124"/>
        <n v="472"/>
        <n v="125"/>
        <n v="5"/>
        <n v="473"/>
        <n v="474"/>
        <n v="35"/>
        <n v="475"/>
        <n v="476"/>
        <n v="477"/>
        <n v="126"/>
        <n v="6"/>
        <n v="36"/>
        <n v="127"/>
        <n v="37"/>
        <n v="7"/>
        <n v="478"/>
        <n v="479"/>
        <n v="480"/>
        <n v="38"/>
        <n v="8"/>
        <n v="481"/>
        <n v="128"/>
        <n v="482"/>
        <n v="129"/>
        <s v="483 (Special)"/>
        <n v="130"/>
        <n v="484"/>
        <n v="39"/>
        <n v="9"/>
        <n v="131"/>
        <n v="485"/>
        <n v="486"/>
        <n v="132"/>
        <n v="487"/>
        <n v="133"/>
        <n v="10"/>
        <n v="40"/>
        <n v="488"/>
        <n v="41"/>
        <n v="11"/>
        <n v="489"/>
        <n v="12"/>
        <n v="490"/>
        <n v="134"/>
        <n v="42"/>
        <n v="491"/>
        <n v="135"/>
        <n v="43"/>
        <n v="492"/>
        <s v="136 (Special)"/>
        <s v="493 (Special)"/>
        <n v="13"/>
        <n v="494"/>
        <n v="137"/>
        <s v="495 (Emergent)"/>
        <s v="496 (Emergent)"/>
        <n v="138"/>
        <n v="497"/>
        <n v="139"/>
        <n v="498"/>
        <n v="44"/>
        <n v="499"/>
        <n v="500"/>
        <n v="483" u="1"/>
      </sharedItems>
    </cacheField>
    <cacheField name="Date" numFmtId="165">
      <sharedItems containsSemiMixedTypes="0" containsNonDate="0" containsDate="1" containsString="0" minDate="2013-05-14T00:00:00" maxDate="2024-10-15T00:00:00" count="193">
        <d v="2013-05-14T00:00:00"/>
        <d v="2013-06-16T00:00:00"/>
        <d v="2013-07-28T00:00:00"/>
        <d v="2013-07-29T00:00:00"/>
        <d v="2013-08-31T00:00:00"/>
        <d v="2013-09-05T00:00:00"/>
        <d v="2013-09-30T00:00:00"/>
        <d v="2013-10-09T00:00:00"/>
        <d v="2013-10-29T00:00:00"/>
        <d v="2013-11-27T00:00:00"/>
        <d v="2013-12-09T00:00:00"/>
        <d v="2013-12-28T00:00:00"/>
        <d v="2014-01-09T00:00:00"/>
        <d v="2014-01-26T00:00:00"/>
        <d v="2014-02-11T00:00:00"/>
        <d v="2014-02-27T00:00:00"/>
        <d v="2014-03-31T00:00:00"/>
        <d v="2014-05-05T00:00:00"/>
        <d v="2014-05-28T00:00:00"/>
        <d v="2014-06-01T00:00:00"/>
        <d v="2014-06-15T00:00:00"/>
        <d v="2014-06-29T00:00:00"/>
        <d v="2014-08-28T00:00:00"/>
        <d v="2014-09-02T00:00:00"/>
        <d v="2014-09-28T00:00:00"/>
        <d v="2014-11-30T00:00:00"/>
        <d v="2014-12-24T00:00:00"/>
        <d v="2014-12-30T00:00:00"/>
        <d v="2015-01-28T00:00:00"/>
        <d v="2015-01-29T00:00:00"/>
        <d v="2015-02-22T00:00:00"/>
        <d v="2015-03-29T00:00:00"/>
        <d v="2015-04-16T00:00:00"/>
        <d v="2015-04-22T00:00:00"/>
        <d v="2015-05-14T00:00:00"/>
        <d v="2015-06-29T00:00:00"/>
        <d v="2015-07-06T00:00:00"/>
        <d v="2015-07-28T00:00:00"/>
        <d v="2015-08-31T00:00:00"/>
        <d v="2015-09-10T00:00:00"/>
        <d v="2015-09-22T00:00:00"/>
        <d v="2015-09-30T00:00:00"/>
        <d v="2015-10-27T00:00:00"/>
        <d v="2015-11-29T00:00:00"/>
        <d v="2015-12-23T00:00:00"/>
        <d v="2015-12-29T00:00:00"/>
        <d v="2016-01-28T00:00:00"/>
        <d v="2016-01-31T00:00:00"/>
        <d v="2016-02-23T00:00:00"/>
        <d v="2016-03-29T00:00:00"/>
        <d v="2016-03-30T00:00:00"/>
        <d v="2016-04-07T00:00:00"/>
        <d v="2016-07-28T00:00:00"/>
        <d v="2016-08-24T00:00:00"/>
        <d v="2016-09-25T00:00:00"/>
        <d v="2016-10-23T00:00:00"/>
        <d v="2016-11-27T00:00:00"/>
        <d v="2016-12-22T00:00:00"/>
        <d v="2017-02-07T00:00:00"/>
        <d v="2017-03-15T00:00:00"/>
        <d v="2017-04-04T00:00:00"/>
        <d v="2017-05-11T00:00:00"/>
        <d v="2017-05-14T00:00:00"/>
        <d v="2017-06-13T00:00:00"/>
        <d v="2017-07-25T00:00:00"/>
        <d v="2017-08-22T00:00:00"/>
        <d v="2017-09-20T00:00:00"/>
        <d v="2017-10-31T00:00:00"/>
        <d v="2017-11-28T00:00:00"/>
        <d v="2017-11-29T00:00:00"/>
        <d v="2018-02-14T00:00:00"/>
        <d v="2018-03-14T00:00:00"/>
        <d v="2018-03-20T00:00:00"/>
        <d v="2018-04-24T00:00:00"/>
        <d v="2018-04-30T00:00:00"/>
        <d v="2018-06-04T00:00:00"/>
        <d v="2018-07-09T00:00:00"/>
        <d v="2018-09-19T00:00:00"/>
        <d v="2018-10-23T00:00:00"/>
        <d v="2018-11-18T00:00:00"/>
        <d v="2019-01-16T00:00:00"/>
        <d v="2019-02-19T00:00:00"/>
        <d v="2019-03-06T00:00:00"/>
        <d v="2019-04-02T00:00:00"/>
        <d v="2019-04-30T00:00:00"/>
        <d v="2020-01-26T00:00:00"/>
        <d v="2020-01-27T00:00:00"/>
        <d v="2020-02-16T00:00:00"/>
        <d v="2020-03-10T00:00:00"/>
        <d v="2020-03-12T00:00:00"/>
        <d v="2020-05-01T00:00:00"/>
        <d v="2020-05-11T00:00:00"/>
        <d v="2020-06-28T00:00:00"/>
        <d v="2020-06-30T00:00:00"/>
        <d v="2020-07-08T00:00:00"/>
        <d v="2020-07-19T00:00:00"/>
        <d v="2020-09-28T00:00:00"/>
        <d v="2020-09-29T00:00:00"/>
        <d v="2020-09-30T00:00:00"/>
        <d v="2020-10-21T00:00:00"/>
        <d v="2020-10-28T00:00:00"/>
        <d v="2020-11-16T00:00:00"/>
        <d v="2020-11-17T00:00:00"/>
        <d v="2020-11-18T00:00:00"/>
        <d v="2020-12-27T00:00:00"/>
        <d v="2021-01-24T00:00:00"/>
        <d v="2021-02-25T00:00:00"/>
        <d v="2021-03-03T00:00:00"/>
        <d v="2021-03-29T00:00:00"/>
        <d v="2021-05-03T00:00:00"/>
        <d v="2021-05-04T00:00:00"/>
        <d v="2021-06-08T00:00:00"/>
        <d v="2021-06-30T00:00:00"/>
        <d v="2021-07-15T00:00:00"/>
        <d v="2021-08-24T00:00:00"/>
        <d v="2021-08-26T00:00:00"/>
        <d v="2021-09-01T00:00:00"/>
        <d v="2021-10-24T00:00:00"/>
        <d v="2021-10-25T00:00:00"/>
        <d v="2021-11-30T00:00:00"/>
        <d v="2021-12-13T00:00:00"/>
        <d v="2021-12-15T00:00:00"/>
        <d v="2021-12-20T00:00:00"/>
        <d v="2021-12-21T00:00:00"/>
        <d v="2021-12-23T00:00:00"/>
        <d v="2022-01-24T00:00:00"/>
        <d v="2022-01-27T00:00:00"/>
        <d v="2022-02-17T00:00:00"/>
        <d v="2022-02-20T00:00:00"/>
        <d v="2022-02-21T00:00:00"/>
        <d v="2022-03-23T00:00:00"/>
        <d v="2022-03-27T00:00:00"/>
        <d v="2022-03-30T00:00:00"/>
        <d v="2022-04-19T00:00:00"/>
        <d v="2022-04-27T00:00:00"/>
        <d v="2022-05-12T00:00:00"/>
        <d v="2022-07-06T00:00:00"/>
        <d v="2022-07-26T00:00:00"/>
        <d v="2022-07-27T00:00:00"/>
        <d v="2022-07-28T00:00:00"/>
        <d v="2022-07-31T00:00:00"/>
        <d v="2022-08-24T00:00:00"/>
        <d v="2022-09-25T00:00:00"/>
        <d v="2022-09-28T00:00:00"/>
        <d v="2022-10-23T00:00:00"/>
        <d v="2022-11-21T00:00:00"/>
        <d v="2022-12-11T00:00:00"/>
        <d v="2022-12-21T00:00:00"/>
        <d v="2022-12-27T00:00:00"/>
        <d v="2022-12-28T00:00:00"/>
        <d v="2023-01-25T00:00:00"/>
        <d v="2023-03-15T00:00:00"/>
        <d v="2023-04-06T00:00:00"/>
        <d v="2023-04-17T00:00:00"/>
        <d v="2023-04-25T00:00:00"/>
        <d v="2023-05-14T00:00:00"/>
        <d v="2023-05-30T00:00:00"/>
        <d v="2023-05-31T00:00:00"/>
        <d v="2023-06-22T00:00:00"/>
        <d v="2023-07-09T00:00:00"/>
        <d v="2023-07-24T00:00:00"/>
        <d v="2023-07-31T00:00:00"/>
        <d v="2023-08-23T00:00:00"/>
        <d v="2023-08-31T00:00:00"/>
        <d v="2023-09-27T00:00:00"/>
        <d v="2023-10-01T00:00:00"/>
        <d v="2023-10-23T00:00:00"/>
        <d v="2023-10-30T00:00:00"/>
        <d v="2023-10-31T00:00:00"/>
        <d v="2023-11-15T00:00:00"/>
        <d v="2023-12-24T00:00:00"/>
        <d v="2023-12-28T00:00:00"/>
        <d v="2024-01-30T00:00:00"/>
        <d v="2024-01-31T00:00:00"/>
        <d v="2024-03-05T00:00:00"/>
        <d v="2024-03-13T00:00:00"/>
        <d v="2024-03-19T00:00:00"/>
        <d v="2024-04-01T00:00:00"/>
        <d v="2024-04-29T00:00:00"/>
        <d v="2024-05-27T00:00:00"/>
        <d v="2024-06-10T00:00:00"/>
        <d v="2024-06-25T00:00:00"/>
        <d v="2024-07-30T00:00:00"/>
        <d v="2024-08-27T00:00:00"/>
        <d v="2024-08-29T00:00:00"/>
        <d v="2024-09-01T00:00:00"/>
        <d v="2024-09-04T00:00:00"/>
        <d v="2024-09-09T00:00:00"/>
        <d v="2024-09-11T00:00:00"/>
        <d v="2024-09-18T00:00:00"/>
        <d v="2024-09-29T00:00:00"/>
        <d v="2024-10-14T00:00:00"/>
        <d v="2022-12-23T00:00:00" u="1"/>
      </sharedItems>
    </cacheField>
    <cacheField name="Quarter" numFmtId="0">
      <sharedItems count="46">
        <s v="Q2-13"/>
        <s v="Q3-13"/>
        <s v="Q4-13"/>
        <s v="Q1-14"/>
        <s v="Q2-14"/>
        <s v="Q3-14"/>
        <s v="Q4-14"/>
        <s v="Q1-15"/>
        <s v="Q2-15"/>
        <s v="Q3-15"/>
        <s v="Q4-15"/>
        <s v="Q1-16"/>
        <s v="Q2-16"/>
        <s v="Q3-16"/>
        <s v="Q4-16"/>
        <s v="Q1-17"/>
        <s v="Q2-17"/>
        <s v="Q3-17"/>
        <s v="Q4-17"/>
        <s v="Q1-18"/>
        <s v="Q2-18"/>
        <s v="Q3-18"/>
        <s v="Q4-18"/>
        <s v="Q1-19"/>
        <s v="Q2-19"/>
        <s v="Q1-20"/>
        <s v="Q2-20"/>
        <s v="Q3-20"/>
        <s v="Q4-20"/>
        <s v="Q1-21"/>
        <s v="Q2-21"/>
        <s v="Q3-21"/>
        <s v="Q4-21"/>
        <s v="Q1-22"/>
        <s v="Q2-22"/>
        <s v="Q3-22"/>
        <s v="Q4-22"/>
        <s v="Q1-23"/>
        <s v="Q2-23"/>
        <s v="Q3-23"/>
        <s v="Q4-23"/>
        <s v="Q1-24"/>
        <s v="Q2-24"/>
        <s v="Q3-24"/>
        <s v="Q4-24"/>
        <s v="Q1-00" u="1"/>
      </sharedItems>
    </cacheField>
    <cacheField name="Month" numFmtId="165">
      <sharedItems/>
    </cacheField>
    <cacheField name="Year" numFmtId="165">
      <sharedItems count="13">
        <s v="2013"/>
        <s v="2014"/>
        <s v="2015"/>
        <s v="2016"/>
        <s v="2017"/>
        <s v="2018"/>
        <s v="2019"/>
        <s v="2020"/>
        <s v="2021"/>
        <s v="2022"/>
        <s v="2023"/>
        <s v="2024"/>
        <s v="1900" u="1"/>
      </sharedItems>
    </cacheField>
    <cacheField name="Place" numFmtId="164">
      <sharedItems/>
    </cacheField>
    <cacheField name="Status" numFmtId="164">
      <sharedItems/>
    </cacheField>
    <cacheField name="Status1" numFmtId="0">
      <sharedItems containsSemiMixedTypes="0" containsString="0" containsNumber="1" containsInteger="1" minValue="0" maxValue="1"/>
    </cacheField>
    <cacheField name="Honorium" numFmtId="3">
      <sharedItems containsSemiMixedTypes="0" containsString="0" containsNumber="1" containsInteger="1" minValue="0" maxValue="10000"/>
    </cacheField>
    <cacheField name="Paid/Unpaid" numFmtId="0">
      <sharedItems/>
    </cacheField>
    <cacheField name="TDS" numFmtId="0" formula="Honorium*10%"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684">
  <r>
    <x v="0"/>
    <x v="0"/>
    <x v="0"/>
    <x v="0"/>
    <x v="0"/>
    <x v="0"/>
    <s v="May'13"/>
    <x v="0"/>
    <s v="Dhaka"/>
    <s v="Present"/>
    <n v="1"/>
    <n v="8000"/>
    <s v="Paid"/>
  </r>
  <r>
    <x v="0"/>
    <x v="0"/>
    <x v="0"/>
    <x v="1"/>
    <x v="1"/>
    <x v="0"/>
    <s v="Jun'13"/>
    <x v="0"/>
    <s v="Dhaka"/>
    <s v="Present"/>
    <n v="1"/>
    <n v="8000"/>
    <s v="Paid"/>
  </r>
  <r>
    <x v="0"/>
    <x v="0"/>
    <x v="1"/>
    <x v="2"/>
    <x v="2"/>
    <x v="1"/>
    <s v="Jul'13"/>
    <x v="0"/>
    <s v="Dhaka"/>
    <s v="Present"/>
    <n v="1"/>
    <n v="8000"/>
    <s v="Paid"/>
  </r>
  <r>
    <x v="0"/>
    <x v="0"/>
    <x v="0"/>
    <x v="3"/>
    <x v="3"/>
    <x v="1"/>
    <s v="Jul'13"/>
    <x v="0"/>
    <s v="Dhaka"/>
    <s v="Present"/>
    <n v="1"/>
    <n v="8000"/>
    <s v="Paid"/>
  </r>
  <r>
    <x v="0"/>
    <x v="0"/>
    <x v="0"/>
    <x v="4"/>
    <x v="4"/>
    <x v="1"/>
    <s v="Aug'13"/>
    <x v="0"/>
    <s v="Dhaka"/>
    <s v="Present"/>
    <n v="1"/>
    <n v="8000"/>
    <s v="Paid"/>
  </r>
  <r>
    <x v="0"/>
    <x v="0"/>
    <x v="1"/>
    <x v="5"/>
    <x v="5"/>
    <x v="1"/>
    <s v="Sep'13"/>
    <x v="0"/>
    <s v="Dhaka"/>
    <s v="Present"/>
    <n v="1"/>
    <n v="8000"/>
    <s v="Paid"/>
  </r>
  <r>
    <x v="0"/>
    <x v="0"/>
    <x v="0"/>
    <x v="6"/>
    <x v="6"/>
    <x v="1"/>
    <s v="Sep'13"/>
    <x v="0"/>
    <s v="Dhaka"/>
    <s v="Present"/>
    <n v="1"/>
    <n v="8000"/>
    <s v="Paid"/>
  </r>
  <r>
    <x v="0"/>
    <x v="0"/>
    <x v="0"/>
    <x v="7"/>
    <x v="7"/>
    <x v="2"/>
    <s v="Oct'13"/>
    <x v="0"/>
    <s v="Dhaka"/>
    <s v="Present"/>
    <n v="1"/>
    <n v="8000"/>
    <s v="Paid"/>
  </r>
  <r>
    <x v="0"/>
    <x v="0"/>
    <x v="1"/>
    <x v="8"/>
    <x v="8"/>
    <x v="2"/>
    <s v="Oct'13"/>
    <x v="0"/>
    <s v="Dhaka"/>
    <s v="Present"/>
    <n v="1"/>
    <n v="8000"/>
    <s v="Paid"/>
  </r>
  <r>
    <x v="0"/>
    <x v="0"/>
    <x v="0"/>
    <x v="9"/>
    <x v="8"/>
    <x v="2"/>
    <s v="Oct'13"/>
    <x v="0"/>
    <s v="Dhaka"/>
    <s v="Present"/>
    <n v="1"/>
    <n v="8000"/>
    <s v="Paid"/>
  </r>
  <r>
    <x v="0"/>
    <x v="0"/>
    <x v="0"/>
    <x v="10"/>
    <x v="9"/>
    <x v="2"/>
    <s v="Nov'13"/>
    <x v="0"/>
    <s v="Dhaka"/>
    <s v="Present"/>
    <n v="1"/>
    <n v="8000"/>
    <s v="Paid"/>
  </r>
  <r>
    <x v="0"/>
    <x v="0"/>
    <x v="1"/>
    <x v="11"/>
    <x v="10"/>
    <x v="2"/>
    <s v="Dec'13"/>
    <x v="0"/>
    <s v="Dhaka"/>
    <s v="Present"/>
    <n v="1"/>
    <n v="8000"/>
    <s v="Paid"/>
  </r>
  <r>
    <x v="0"/>
    <x v="0"/>
    <x v="0"/>
    <x v="12"/>
    <x v="11"/>
    <x v="2"/>
    <s v="Dec'13"/>
    <x v="0"/>
    <s v="Dhaka"/>
    <s v="Present"/>
    <n v="1"/>
    <n v="8000"/>
    <s v="Paid"/>
  </r>
  <r>
    <x v="0"/>
    <x v="0"/>
    <x v="0"/>
    <x v="13"/>
    <x v="12"/>
    <x v="3"/>
    <s v="Jan'14"/>
    <x v="1"/>
    <s v="Dhaka"/>
    <s v="Present"/>
    <n v="1"/>
    <n v="8000"/>
    <s v="Paid"/>
  </r>
  <r>
    <x v="0"/>
    <x v="0"/>
    <x v="1"/>
    <x v="14"/>
    <x v="13"/>
    <x v="3"/>
    <s v="Jan'14"/>
    <x v="1"/>
    <s v="Dhaka"/>
    <s v="Present"/>
    <n v="1"/>
    <n v="8000"/>
    <s v="Paid"/>
  </r>
  <r>
    <x v="0"/>
    <x v="0"/>
    <x v="0"/>
    <x v="15"/>
    <x v="13"/>
    <x v="3"/>
    <s v="Jan'14"/>
    <x v="1"/>
    <s v="Dhaka"/>
    <s v="Present"/>
    <n v="1"/>
    <n v="8000"/>
    <s v="Paid"/>
  </r>
  <r>
    <x v="0"/>
    <x v="0"/>
    <x v="1"/>
    <x v="16"/>
    <x v="14"/>
    <x v="3"/>
    <s v="Feb'14"/>
    <x v="1"/>
    <s v="Dhaka"/>
    <s v="Present"/>
    <n v="1"/>
    <n v="8000"/>
    <s v="Paid"/>
  </r>
  <r>
    <x v="0"/>
    <x v="0"/>
    <x v="1"/>
    <x v="17"/>
    <x v="15"/>
    <x v="3"/>
    <s v="Feb'14"/>
    <x v="1"/>
    <s v="Dhaka"/>
    <s v="Present"/>
    <n v="1"/>
    <n v="8000"/>
    <s v="Paid"/>
  </r>
  <r>
    <x v="0"/>
    <x v="0"/>
    <x v="0"/>
    <x v="18"/>
    <x v="15"/>
    <x v="3"/>
    <s v="Feb'14"/>
    <x v="1"/>
    <s v="Dhaka"/>
    <s v="Present"/>
    <n v="1"/>
    <n v="8000"/>
    <s v="Paid"/>
  </r>
  <r>
    <x v="0"/>
    <x v="0"/>
    <x v="0"/>
    <x v="19"/>
    <x v="16"/>
    <x v="3"/>
    <s v="Mar'14"/>
    <x v="1"/>
    <s v="Dhaka"/>
    <s v="Present"/>
    <n v="1"/>
    <n v="8000"/>
    <s v="Paid"/>
  </r>
  <r>
    <x v="0"/>
    <x v="0"/>
    <x v="1"/>
    <x v="20"/>
    <x v="17"/>
    <x v="4"/>
    <s v="May'14"/>
    <x v="1"/>
    <s v="Dhaka"/>
    <s v="Present"/>
    <n v="1"/>
    <n v="8000"/>
    <s v="Paid"/>
  </r>
  <r>
    <x v="0"/>
    <x v="0"/>
    <x v="0"/>
    <x v="21"/>
    <x v="17"/>
    <x v="4"/>
    <s v="May'14"/>
    <x v="1"/>
    <s v="Dhaka"/>
    <s v="Present"/>
    <n v="1"/>
    <n v="8000"/>
    <s v="Paid"/>
  </r>
  <r>
    <x v="0"/>
    <x v="0"/>
    <x v="1"/>
    <x v="22"/>
    <x v="18"/>
    <x v="4"/>
    <s v="May'14"/>
    <x v="1"/>
    <s v="Dhaka"/>
    <s v="Present"/>
    <n v="1"/>
    <n v="8000"/>
    <s v="Paid"/>
  </r>
  <r>
    <x v="0"/>
    <x v="0"/>
    <x v="0"/>
    <x v="23"/>
    <x v="19"/>
    <x v="4"/>
    <s v="Jun'14"/>
    <x v="1"/>
    <s v="Dhaka"/>
    <s v="Present"/>
    <n v="1"/>
    <n v="8000"/>
    <s v="Paid"/>
  </r>
  <r>
    <x v="0"/>
    <x v="0"/>
    <x v="0"/>
    <x v="24"/>
    <x v="20"/>
    <x v="4"/>
    <s v="Jun'14"/>
    <x v="1"/>
    <s v="Dhaka"/>
    <s v="Present"/>
    <n v="1"/>
    <n v="8000"/>
    <s v="Paid"/>
  </r>
  <r>
    <x v="0"/>
    <x v="0"/>
    <x v="0"/>
    <x v="25"/>
    <x v="21"/>
    <x v="4"/>
    <s v="Jun'14"/>
    <x v="1"/>
    <s v="Dhaka"/>
    <s v="Present"/>
    <n v="1"/>
    <n v="8000"/>
    <s v="Paid"/>
  </r>
  <r>
    <x v="0"/>
    <x v="0"/>
    <x v="0"/>
    <x v="26"/>
    <x v="22"/>
    <x v="5"/>
    <s v="Aug'14"/>
    <x v="1"/>
    <s v="Dhaka"/>
    <s v="Present"/>
    <n v="1"/>
    <n v="8000"/>
    <s v="Paid"/>
  </r>
  <r>
    <x v="0"/>
    <x v="0"/>
    <x v="1"/>
    <x v="27"/>
    <x v="23"/>
    <x v="5"/>
    <s v="Sep'14"/>
    <x v="1"/>
    <s v="Dhaka"/>
    <s v="Present"/>
    <n v="1"/>
    <n v="8000"/>
    <s v="Paid"/>
  </r>
  <r>
    <x v="0"/>
    <x v="0"/>
    <x v="0"/>
    <x v="28"/>
    <x v="24"/>
    <x v="5"/>
    <s v="Sep'14"/>
    <x v="1"/>
    <s v="Dhaka"/>
    <s v="Present"/>
    <n v="1"/>
    <n v="8000"/>
    <s v="Paid"/>
  </r>
  <r>
    <x v="0"/>
    <x v="0"/>
    <x v="0"/>
    <x v="29"/>
    <x v="24"/>
    <x v="5"/>
    <s v="Sep'14"/>
    <x v="1"/>
    <s v="Dhaka"/>
    <s v="Present"/>
    <n v="1"/>
    <n v="8000"/>
    <s v="Paid"/>
  </r>
  <r>
    <x v="0"/>
    <x v="0"/>
    <x v="1"/>
    <x v="30"/>
    <x v="25"/>
    <x v="6"/>
    <s v="Nov'14"/>
    <x v="1"/>
    <s v="Dhaka"/>
    <s v="Present"/>
    <n v="1"/>
    <n v="8000"/>
    <s v="Paid"/>
  </r>
  <r>
    <x v="0"/>
    <x v="0"/>
    <x v="0"/>
    <x v="31"/>
    <x v="25"/>
    <x v="6"/>
    <s v="Nov'14"/>
    <x v="1"/>
    <s v="Dhaka"/>
    <s v="Present"/>
    <n v="1"/>
    <n v="8000"/>
    <s v="Paid"/>
  </r>
  <r>
    <x v="0"/>
    <x v="0"/>
    <x v="0"/>
    <x v="32"/>
    <x v="26"/>
    <x v="6"/>
    <s v="Dec'14"/>
    <x v="1"/>
    <s v="Dhaka"/>
    <s v="Present"/>
    <n v="1"/>
    <n v="8000"/>
    <s v="Paid"/>
  </r>
  <r>
    <x v="0"/>
    <x v="0"/>
    <x v="0"/>
    <x v="33"/>
    <x v="27"/>
    <x v="6"/>
    <s v="Dec'14"/>
    <x v="1"/>
    <s v="Dhaka"/>
    <s v="Present"/>
    <n v="1"/>
    <n v="8000"/>
    <s v="Paid"/>
  </r>
  <r>
    <x v="0"/>
    <x v="0"/>
    <x v="1"/>
    <x v="34"/>
    <x v="28"/>
    <x v="7"/>
    <s v="Jan'15"/>
    <x v="2"/>
    <s v="Dhaka"/>
    <s v="Present"/>
    <n v="1"/>
    <n v="8000"/>
    <s v="Paid"/>
  </r>
  <r>
    <x v="0"/>
    <x v="0"/>
    <x v="0"/>
    <x v="35"/>
    <x v="29"/>
    <x v="7"/>
    <s v="Jan'15"/>
    <x v="2"/>
    <s v="Dhaka"/>
    <s v="Present"/>
    <n v="1"/>
    <n v="8000"/>
    <s v="Paid"/>
  </r>
  <r>
    <x v="0"/>
    <x v="0"/>
    <x v="1"/>
    <x v="36"/>
    <x v="30"/>
    <x v="7"/>
    <s v="Feb'15"/>
    <x v="2"/>
    <s v="Dhaka"/>
    <s v="Present"/>
    <n v="1"/>
    <n v="8000"/>
    <s v="Paid"/>
  </r>
  <r>
    <x v="0"/>
    <x v="0"/>
    <x v="0"/>
    <x v="37"/>
    <x v="30"/>
    <x v="7"/>
    <s v="Feb'15"/>
    <x v="2"/>
    <s v="Dhaka"/>
    <s v="Present"/>
    <n v="1"/>
    <n v="8000"/>
    <s v="Paid"/>
  </r>
  <r>
    <x v="0"/>
    <x v="0"/>
    <x v="0"/>
    <x v="38"/>
    <x v="31"/>
    <x v="7"/>
    <s v="Mar'15"/>
    <x v="2"/>
    <s v="Dhaka"/>
    <s v="Present"/>
    <n v="1"/>
    <n v="8000"/>
    <s v="Paid"/>
  </r>
  <r>
    <x v="0"/>
    <x v="0"/>
    <x v="0"/>
    <x v="39"/>
    <x v="32"/>
    <x v="8"/>
    <s v="Apr'15"/>
    <x v="2"/>
    <s v="Dhaka"/>
    <s v="Present"/>
    <n v="1"/>
    <n v="8000"/>
    <s v="Paid"/>
  </r>
  <r>
    <x v="0"/>
    <x v="0"/>
    <x v="1"/>
    <x v="40"/>
    <x v="33"/>
    <x v="8"/>
    <s v="Apr'15"/>
    <x v="2"/>
    <s v="Dhaka"/>
    <s v="Present"/>
    <n v="1"/>
    <n v="8000"/>
    <s v="Paid"/>
  </r>
  <r>
    <x v="0"/>
    <x v="0"/>
    <x v="1"/>
    <x v="41"/>
    <x v="34"/>
    <x v="8"/>
    <s v="May'15"/>
    <x v="2"/>
    <s v="Dhaka"/>
    <s v="Present"/>
    <n v="1"/>
    <n v="8000"/>
    <s v="Paid"/>
  </r>
  <r>
    <x v="0"/>
    <x v="0"/>
    <x v="0"/>
    <x v="42"/>
    <x v="34"/>
    <x v="8"/>
    <s v="May'15"/>
    <x v="2"/>
    <s v="Dhaka"/>
    <s v="Present"/>
    <n v="1"/>
    <n v="8000"/>
    <s v="Paid"/>
  </r>
  <r>
    <x v="0"/>
    <x v="0"/>
    <x v="0"/>
    <x v="43"/>
    <x v="35"/>
    <x v="8"/>
    <s v="Jun'15"/>
    <x v="2"/>
    <s v="Dhaka"/>
    <s v="Present"/>
    <n v="1"/>
    <n v="8000"/>
    <s v="Paid"/>
  </r>
  <r>
    <x v="0"/>
    <x v="0"/>
    <x v="1"/>
    <x v="44"/>
    <x v="36"/>
    <x v="9"/>
    <s v="Jul'15"/>
    <x v="2"/>
    <s v="Dhaka"/>
    <s v="Present"/>
    <n v="1"/>
    <n v="8000"/>
    <s v="Paid"/>
  </r>
  <r>
    <x v="0"/>
    <x v="0"/>
    <x v="1"/>
    <x v="45"/>
    <x v="37"/>
    <x v="9"/>
    <s v="Jul'15"/>
    <x v="2"/>
    <s v="Dhaka"/>
    <s v="Present"/>
    <n v="1"/>
    <n v="8000"/>
    <s v="Paid"/>
  </r>
  <r>
    <x v="0"/>
    <x v="0"/>
    <x v="0"/>
    <x v="46"/>
    <x v="37"/>
    <x v="9"/>
    <s v="Jul'15"/>
    <x v="2"/>
    <s v="Dhaka"/>
    <s v="Present"/>
    <n v="1"/>
    <n v="8000"/>
    <s v="Paid"/>
  </r>
  <r>
    <x v="0"/>
    <x v="0"/>
    <x v="0"/>
    <x v="47"/>
    <x v="38"/>
    <x v="9"/>
    <s v="Aug'15"/>
    <x v="2"/>
    <s v="Dhaka"/>
    <s v="Present"/>
    <n v="1"/>
    <n v="8000"/>
    <s v="Paid"/>
  </r>
  <r>
    <x v="0"/>
    <x v="0"/>
    <x v="0"/>
    <x v="48"/>
    <x v="39"/>
    <x v="9"/>
    <s v="Sep'15"/>
    <x v="2"/>
    <s v="Dhaka"/>
    <s v="Present"/>
    <n v="1"/>
    <n v="8000"/>
    <s v="Paid"/>
  </r>
  <r>
    <x v="0"/>
    <x v="0"/>
    <x v="1"/>
    <x v="49"/>
    <x v="40"/>
    <x v="9"/>
    <s v="Sep'15"/>
    <x v="2"/>
    <s v="Dhaka"/>
    <s v="Present"/>
    <n v="1"/>
    <n v="8000"/>
    <s v="Paid"/>
  </r>
  <r>
    <x v="0"/>
    <x v="0"/>
    <x v="0"/>
    <x v="50"/>
    <x v="41"/>
    <x v="9"/>
    <s v="Sep'15"/>
    <x v="2"/>
    <s v="Dhaka"/>
    <s v="Present"/>
    <n v="1"/>
    <n v="8000"/>
    <s v="Paid"/>
  </r>
  <r>
    <x v="0"/>
    <x v="0"/>
    <x v="1"/>
    <x v="51"/>
    <x v="42"/>
    <x v="10"/>
    <s v="Oct'15"/>
    <x v="2"/>
    <s v="Dhaka"/>
    <s v="Present"/>
    <n v="1"/>
    <n v="8000"/>
    <s v="Paid"/>
  </r>
  <r>
    <x v="0"/>
    <x v="0"/>
    <x v="0"/>
    <x v="52"/>
    <x v="42"/>
    <x v="10"/>
    <s v="Oct'15"/>
    <x v="2"/>
    <s v="Dhaka"/>
    <s v="Present"/>
    <n v="1"/>
    <n v="8000"/>
    <s v="Paid"/>
  </r>
  <r>
    <x v="0"/>
    <x v="0"/>
    <x v="0"/>
    <x v="53"/>
    <x v="43"/>
    <x v="10"/>
    <s v="Nov'15"/>
    <x v="2"/>
    <s v="Dhaka"/>
    <s v="Present"/>
    <n v="1"/>
    <n v="8000"/>
    <s v="Paid"/>
  </r>
  <r>
    <x v="0"/>
    <x v="0"/>
    <x v="1"/>
    <x v="54"/>
    <x v="44"/>
    <x v="10"/>
    <s v="Dec'15"/>
    <x v="2"/>
    <s v="Dhaka"/>
    <s v="Present"/>
    <n v="1"/>
    <n v="8000"/>
    <s v="Paid"/>
  </r>
  <r>
    <x v="0"/>
    <x v="0"/>
    <x v="0"/>
    <x v="55"/>
    <x v="45"/>
    <x v="10"/>
    <s v="Dec'15"/>
    <x v="2"/>
    <s v="Dhaka"/>
    <s v="Present"/>
    <n v="1"/>
    <n v="8000"/>
    <s v="Paid"/>
  </r>
  <r>
    <x v="0"/>
    <x v="0"/>
    <x v="0"/>
    <x v="56"/>
    <x v="46"/>
    <x v="11"/>
    <s v="Jan'16"/>
    <x v="3"/>
    <s v="Dhaka"/>
    <s v="Present"/>
    <n v="1"/>
    <n v="8000"/>
    <s v="Paid"/>
  </r>
  <r>
    <x v="0"/>
    <x v="0"/>
    <x v="1"/>
    <x v="57"/>
    <x v="47"/>
    <x v="11"/>
    <s v="Jan'16"/>
    <x v="3"/>
    <s v="Dhaka"/>
    <s v="Present"/>
    <n v="1"/>
    <n v="8000"/>
    <s v="Paid"/>
  </r>
  <r>
    <x v="0"/>
    <x v="0"/>
    <x v="1"/>
    <x v="58"/>
    <x v="48"/>
    <x v="11"/>
    <s v="Feb'16"/>
    <x v="3"/>
    <s v="Dhaka"/>
    <s v="Present"/>
    <n v="1"/>
    <n v="8000"/>
    <s v="Paid"/>
  </r>
  <r>
    <x v="0"/>
    <x v="0"/>
    <x v="0"/>
    <x v="59"/>
    <x v="48"/>
    <x v="11"/>
    <s v="Feb'16"/>
    <x v="3"/>
    <s v="Dhaka"/>
    <s v="Present"/>
    <n v="1"/>
    <n v="8000"/>
    <s v="Paid"/>
  </r>
  <r>
    <x v="0"/>
    <x v="0"/>
    <x v="1"/>
    <x v="60"/>
    <x v="49"/>
    <x v="11"/>
    <s v="Mar'16"/>
    <x v="3"/>
    <s v="Dhaka"/>
    <s v="Present"/>
    <n v="1"/>
    <n v="8000"/>
    <s v="Paid"/>
  </r>
  <r>
    <x v="0"/>
    <x v="0"/>
    <x v="0"/>
    <x v="61"/>
    <x v="50"/>
    <x v="11"/>
    <s v="Mar'16"/>
    <x v="3"/>
    <s v="Dhaka"/>
    <s v="Present"/>
    <n v="1"/>
    <n v="8000"/>
    <s v="Paid"/>
  </r>
  <r>
    <x v="0"/>
    <x v="0"/>
    <x v="0"/>
    <x v="62"/>
    <x v="51"/>
    <x v="12"/>
    <s v="Apr'16"/>
    <x v="3"/>
    <s v="Dhaka"/>
    <s v="Present"/>
    <n v="1"/>
    <n v="8000"/>
    <s v="Paid"/>
  </r>
  <r>
    <x v="0"/>
    <x v="0"/>
    <x v="0"/>
    <x v="63"/>
    <x v="52"/>
    <x v="13"/>
    <s v="Jul'16"/>
    <x v="3"/>
    <s v="Dhaka"/>
    <s v="Present"/>
    <n v="1"/>
    <n v="8000"/>
    <s v="Paid"/>
  </r>
  <r>
    <x v="0"/>
    <x v="0"/>
    <x v="0"/>
    <x v="64"/>
    <x v="53"/>
    <x v="13"/>
    <s v="Aug'16"/>
    <x v="3"/>
    <s v="Dhaka"/>
    <s v="Present"/>
    <n v="1"/>
    <n v="8000"/>
    <s v="Paid"/>
  </r>
  <r>
    <x v="0"/>
    <x v="0"/>
    <x v="0"/>
    <x v="65"/>
    <x v="54"/>
    <x v="13"/>
    <s v="Sep'16"/>
    <x v="3"/>
    <s v="Dhaka"/>
    <s v="Present"/>
    <n v="1"/>
    <n v="8000"/>
    <s v="Paid"/>
  </r>
  <r>
    <x v="0"/>
    <x v="0"/>
    <x v="0"/>
    <x v="66"/>
    <x v="54"/>
    <x v="13"/>
    <s v="Sep'16"/>
    <x v="3"/>
    <s v="Dhaka"/>
    <s v="Present"/>
    <n v="1"/>
    <n v="8000"/>
    <s v="Paid"/>
  </r>
  <r>
    <x v="0"/>
    <x v="0"/>
    <x v="0"/>
    <x v="67"/>
    <x v="55"/>
    <x v="14"/>
    <s v="Oct'16"/>
    <x v="3"/>
    <s v="Dhaka"/>
    <s v="Present"/>
    <n v="1"/>
    <n v="8000"/>
    <s v="Paid"/>
  </r>
  <r>
    <x v="0"/>
    <x v="0"/>
    <x v="0"/>
    <x v="68"/>
    <x v="56"/>
    <x v="14"/>
    <s v="Nov'16"/>
    <x v="3"/>
    <s v="Dhaka"/>
    <s v="Present"/>
    <n v="1"/>
    <n v="8000"/>
    <s v="Paid"/>
  </r>
  <r>
    <x v="0"/>
    <x v="0"/>
    <x v="0"/>
    <x v="69"/>
    <x v="57"/>
    <x v="14"/>
    <s v="Dec'16"/>
    <x v="3"/>
    <s v="Dhaka"/>
    <s v="Present"/>
    <n v="1"/>
    <n v="8000"/>
    <s v="Paid"/>
  </r>
  <r>
    <x v="0"/>
    <x v="0"/>
    <x v="0"/>
    <x v="70"/>
    <x v="58"/>
    <x v="15"/>
    <s v="Feb'17"/>
    <x v="4"/>
    <s v="Dhaka"/>
    <s v="Present"/>
    <n v="1"/>
    <n v="8000"/>
    <s v="Paid"/>
  </r>
  <r>
    <x v="0"/>
    <x v="0"/>
    <x v="0"/>
    <x v="71"/>
    <x v="59"/>
    <x v="15"/>
    <s v="Mar'17"/>
    <x v="4"/>
    <s v="Dhaka"/>
    <s v="Present"/>
    <n v="1"/>
    <n v="8000"/>
    <s v="Paid"/>
  </r>
  <r>
    <x v="0"/>
    <x v="0"/>
    <x v="0"/>
    <x v="72"/>
    <x v="60"/>
    <x v="16"/>
    <s v="Apr'17"/>
    <x v="4"/>
    <s v="Dhaka"/>
    <s v="Present"/>
    <n v="1"/>
    <n v="8000"/>
    <s v="Paid"/>
  </r>
  <r>
    <x v="0"/>
    <x v="0"/>
    <x v="0"/>
    <x v="73"/>
    <x v="61"/>
    <x v="16"/>
    <s v="May'17"/>
    <x v="4"/>
    <s v="Dhaka"/>
    <s v="Present"/>
    <n v="1"/>
    <n v="8000"/>
    <s v="Paid"/>
  </r>
  <r>
    <x v="0"/>
    <x v="0"/>
    <x v="0"/>
    <x v="74"/>
    <x v="62"/>
    <x v="16"/>
    <s v="May'17"/>
    <x v="4"/>
    <s v="Dhaka"/>
    <s v="Present"/>
    <n v="1"/>
    <n v="8000"/>
    <s v="Paid"/>
  </r>
  <r>
    <x v="0"/>
    <x v="0"/>
    <x v="0"/>
    <x v="75"/>
    <x v="63"/>
    <x v="16"/>
    <s v="Jun'17"/>
    <x v="4"/>
    <s v="Dhaka"/>
    <s v="Present"/>
    <n v="1"/>
    <n v="8000"/>
    <s v="Paid"/>
  </r>
  <r>
    <x v="0"/>
    <x v="0"/>
    <x v="0"/>
    <x v="76"/>
    <x v="64"/>
    <x v="17"/>
    <s v="Jul'17"/>
    <x v="4"/>
    <s v="Dhaka"/>
    <s v="Present"/>
    <n v="1"/>
    <n v="8000"/>
    <s v="Paid"/>
  </r>
  <r>
    <x v="0"/>
    <x v="0"/>
    <x v="0"/>
    <x v="77"/>
    <x v="65"/>
    <x v="17"/>
    <s v="Aug'17"/>
    <x v="4"/>
    <s v="Dhaka"/>
    <s v="Present"/>
    <n v="1"/>
    <n v="8000"/>
    <s v="Paid"/>
  </r>
  <r>
    <x v="0"/>
    <x v="0"/>
    <x v="0"/>
    <x v="78"/>
    <x v="66"/>
    <x v="17"/>
    <s v="Sep'17"/>
    <x v="4"/>
    <s v="Dhaka"/>
    <s v="Present"/>
    <n v="1"/>
    <n v="8000"/>
    <s v="Paid"/>
  </r>
  <r>
    <x v="0"/>
    <x v="0"/>
    <x v="0"/>
    <x v="79"/>
    <x v="67"/>
    <x v="18"/>
    <s v="Oct'17"/>
    <x v="4"/>
    <s v="Dhaka"/>
    <s v="Present"/>
    <n v="1"/>
    <n v="8000"/>
    <s v="Paid"/>
  </r>
  <r>
    <x v="0"/>
    <x v="0"/>
    <x v="0"/>
    <x v="80"/>
    <x v="68"/>
    <x v="18"/>
    <s v="Nov'17"/>
    <x v="4"/>
    <s v="Dhaka"/>
    <s v="Present"/>
    <n v="1"/>
    <n v="8000"/>
    <s v="Paid"/>
  </r>
  <r>
    <x v="0"/>
    <x v="0"/>
    <x v="0"/>
    <x v="81"/>
    <x v="69"/>
    <x v="18"/>
    <s v="Nov'17"/>
    <x v="4"/>
    <s v="Dhaka"/>
    <s v="Present"/>
    <n v="1"/>
    <n v="8000"/>
    <s v="Paid"/>
  </r>
  <r>
    <x v="0"/>
    <x v="0"/>
    <x v="0"/>
    <x v="82"/>
    <x v="70"/>
    <x v="19"/>
    <s v="Feb'18"/>
    <x v="5"/>
    <s v="Dhaka"/>
    <s v="Present"/>
    <n v="1"/>
    <n v="8000"/>
    <s v="Paid"/>
  </r>
  <r>
    <x v="0"/>
    <x v="0"/>
    <x v="0"/>
    <x v="83"/>
    <x v="71"/>
    <x v="19"/>
    <s v="Mar'18"/>
    <x v="5"/>
    <s v="Dhaka"/>
    <s v="Present"/>
    <n v="1"/>
    <n v="8000"/>
    <s v="Paid"/>
  </r>
  <r>
    <x v="0"/>
    <x v="0"/>
    <x v="0"/>
    <x v="84"/>
    <x v="72"/>
    <x v="19"/>
    <s v="Mar'18"/>
    <x v="5"/>
    <s v="Dhaka"/>
    <s v="Present"/>
    <n v="1"/>
    <n v="8000"/>
    <s v="Paid"/>
  </r>
  <r>
    <x v="0"/>
    <x v="0"/>
    <x v="0"/>
    <x v="85"/>
    <x v="73"/>
    <x v="20"/>
    <s v="Apr'18"/>
    <x v="5"/>
    <s v="Dhaka"/>
    <s v="Present"/>
    <n v="1"/>
    <n v="8000"/>
    <s v="Paid"/>
  </r>
  <r>
    <x v="0"/>
    <x v="0"/>
    <x v="0"/>
    <x v="86"/>
    <x v="74"/>
    <x v="20"/>
    <s v="Apr'18"/>
    <x v="5"/>
    <s v="Dhaka"/>
    <s v="Present"/>
    <n v="1"/>
    <n v="8000"/>
    <s v="Paid"/>
  </r>
  <r>
    <x v="0"/>
    <x v="0"/>
    <x v="0"/>
    <x v="87"/>
    <x v="75"/>
    <x v="20"/>
    <s v="Jun'18"/>
    <x v="5"/>
    <s v="Dhaka"/>
    <s v="Present"/>
    <n v="1"/>
    <n v="8000"/>
    <s v="Paid"/>
  </r>
  <r>
    <x v="0"/>
    <x v="0"/>
    <x v="0"/>
    <x v="88"/>
    <x v="76"/>
    <x v="21"/>
    <s v="Jul'18"/>
    <x v="5"/>
    <s v="Dhaka"/>
    <s v="Present"/>
    <n v="1"/>
    <n v="8000"/>
    <s v="Paid"/>
  </r>
  <r>
    <x v="0"/>
    <x v="0"/>
    <x v="0"/>
    <x v="89"/>
    <x v="77"/>
    <x v="21"/>
    <s v="Sep'18"/>
    <x v="5"/>
    <s v="Dhaka"/>
    <s v="Present"/>
    <n v="1"/>
    <n v="8000"/>
    <s v="Paid"/>
  </r>
  <r>
    <x v="0"/>
    <x v="0"/>
    <x v="0"/>
    <x v="90"/>
    <x v="78"/>
    <x v="22"/>
    <s v="Oct'18"/>
    <x v="5"/>
    <s v="Dhaka"/>
    <s v="Present"/>
    <n v="1"/>
    <n v="8000"/>
    <s v="Paid"/>
  </r>
  <r>
    <x v="0"/>
    <x v="0"/>
    <x v="0"/>
    <x v="91"/>
    <x v="79"/>
    <x v="22"/>
    <s v="Nov'18"/>
    <x v="5"/>
    <s v="Dhaka"/>
    <s v="Present"/>
    <n v="1"/>
    <n v="8000"/>
    <s v="Paid"/>
  </r>
  <r>
    <x v="0"/>
    <x v="0"/>
    <x v="0"/>
    <x v="92"/>
    <x v="80"/>
    <x v="23"/>
    <s v="Jan'19"/>
    <x v="6"/>
    <s v="Dhaka"/>
    <s v="Present"/>
    <n v="1"/>
    <n v="8000"/>
    <s v="Paid"/>
  </r>
  <r>
    <x v="0"/>
    <x v="0"/>
    <x v="0"/>
    <x v="93"/>
    <x v="81"/>
    <x v="23"/>
    <s v="Feb'19"/>
    <x v="6"/>
    <s v="Dhaka"/>
    <s v="Present"/>
    <n v="1"/>
    <n v="8000"/>
    <s v="Paid"/>
  </r>
  <r>
    <x v="0"/>
    <x v="0"/>
    <x v="0"/>
    <x v="94"/>
    <x v="82"/>
    <x v="23"/>
    <s v="Mar'19"/>
    <x v="6"/>
    <s v="Dhaka"/>
    <s v="Present"/>
    <n v="1"/>
    <n v="8000"/>
    <s v="Paid"/>
  </r>
  <r>
    <x v="0"/>
    <x v="0"/>
    <x v="0"/>
    <x v="95"/>
    <x v="83"/>
    <x v="24"/>
    <s v="Apr'19"/>
    <x v="6"/>
    <s v="Dhaka"/>
    <s v="Present"/>
    <n v="1"/>
    <n v="8000"/>
    <s v="Paid"/>
  </r>
  <r>
    <x v="0"/>
    <x v="0"/>
    <x v="0"/>
    <x v="96"/>
    <x v="84"/>
    <x v="24"/>
    <s v="Apr'19"/>
    <x v="6"/>
    <s v="Dhaka"/>
    <s v="Present"/>
    <n v="1"/>
    <n v="8000"/>
    <s v="Paid"/>
  </r>
  <r>
    <x v="1"/>
    <x v="1"/>
    <x v="0"/>
    <x v="97"/>
    <x v="85"/>
    <x v="25"/>
    <s v="Jan'20"/>
    <x v="7"/>
    <s v="Dhaka"/>
    <s v="Present"/>
    <n v="1"/>
    <n v="8000"/>
    <s v="Paid"/>
  </r>
  <r>
    <x v="2"/>
    <x v="2"/>
    <x v="0"/>
    <x v="97"/>
    <x v="85"/>
    <x v="25"/>
    <s v="Jan'20"/>
    <x v="7"/>
    <s v="Dhaka"/>
    <s v="Present"/>
    <n v="1"/>
    <n v="8000"/>
    <s v="Paid"/>
  </r>
  <r>
    <x v="3"/>
    <x v="1"/>
    <x v="0"/>
    <x v="97"/>
    <x v="85"/>
    <x v="25"/>
    <s v="Jan'20"/>
    <x v="7"/>
    <s v="Dhaka"/>
    <s v="Absent"/>
    <n v="0"/>
    <n v="0"/>
    <s v="Paid"/>
  </r>
  <r>
    <x v="4"/>
    <x v="0"/>
    <x v="0"/>
    <x v="97"/>
    <x v="85"/>
    <x v="25"/>
    <s v="Jan'20"/>
    <x v="7"/>
    <s v="Dhaka"/>
    <s v="Present"/>
    <n v="1"/>
    <n v="8000"/>
    <s v="Paid"/>
  </r>
  <r>
    <x v="5"/>
    <x v="1"/>
    <x v="0"/>
    <x v="97"/>
    <x v="85"/>
    <x v="25"/>
    <s v="Jan'20"/>
    <x v="7"/>
    <s v="Dhaka"/>
    <s v="Present"/>
    <n v="1"/>
    <n v="8000"/>
    <s v="Paid"/>
  </r>
  <r>
    <x v="6"/>
    <x v="1"/>
    <x v="0"/>
    <x v="97"/>
    <x v="85"/>
    <x v="25"/>
    <s v="Jan'20"/>
    <x v="7"/>
    <s v="Dhaka"/>
    <s v="Present"/>
    <n v="1"/>
    <n v="8000"/>
    <s v="Paid"/>
  </r>
  <r>
    <x v="7"/>
    <x v="1"/>
    <x v="0"/>
    <x v="97"/>
    <x v="85"/>
    <x v="25"/>
    <s v="Jan'20"/>
    <x v="7"/>
    <s v="Dhaka"/>
    <s v="Present"/>
    <n v="1"/>
    <n v="8000"/>
    <s v="Paid"/>
  </r>
  <r>
    <x v="8"/>
    <x v="1"/>
    <x v="0"/>
    <x v="97"/>
    <x v="85"/>
    <x v="25"/>
    <s v="Jan'20"/>
    <x v="7"/>
    <s v="Dhaka"/>
    <s v="Present"/>
    <n v="1"/>
    <n v="8000"/>
    <s v="Paid"/>
  </r>
  <r>
    <x v="9"/>
    <x v="1"/>
    <x v="0"/>
    <x v="97"/>
    <x v="85"/>
    <x v="25"/>
    <s v="Jan'20"/>
    <x v="7"/>
    <s v="Dhaka"/>
    <s v="Absent"/>
    <n v="0"/>
    <n v="0"/>
    <s v="Paid"/>
  </r>
  <r>
    <x v="10"/>
    <x v="1"/>
    <x v="0"/>
    <x v="97"/>
    <x v="85"/>
    <x v="25"/>
    <s v="Jan'20"/>
    <x v="7"/>
    <s v="Dhaka"/>
    <s v="Present"/>
    <n v="1"/>
    <n v="8000"/>
    <s v="Paid"/>
  </r>
  <r>
    <x v="11"/>
    <x v="1"/>
    <x v="0"/>
    <x v="97"/>
    <x v="85"/>
    <x v="25"/>
    <s v="Jan'20"/>
    <x v="7"/>
    <s v="Dhaka"/>
    <s v="Present"/>
    <n v="1"/>
    <n v="8000"/>
    <s v="Paid"/>
  </r>
  <r>
    <x v="12"/>
    <x v="1"/>
    <x v="0"/>
    <x v="97"/>
    <x v="85"/>
    <x v="25"/>
    <s v="Jan'20"/>
    <x v="7"/>
    <s v="Dhaka"/>
    <s v="Present"/>
    <n v="1"/>
    <n v="8000"/>
    <s v="Paid"/>
  </r>
  <r>
    <x v="13"/>
    <x v="0"/>
    <x v="0"/>
    <x v="97"/>
    <x v="85"/>
    <x v="25"/>
    <s v="Jan'20"/>
    <x v="7"/>
    <s v="Dhaka"/>
    <s v="Present"/>
    <n v="1"/>
    <n v="8000"/>
    <s v="Paid"/>
  </r>
  <r>
    <x v="14"/>
    <x v="1"/>
    <x v="0"/>
    <x v="97"/>
    <x v="85"/>
    <x v="25"/>
    <s v="Jan'20"/>
    <x v="7"/>
    <s v="Dhaka"/>
    <s v="Absent"/>
    <n v="0"/>
    <n v="0"/>
    <s v="Paid"/>
  </r>
  <r>
    <x v="15"/>
    <x v="1"/>
    <x v="0"/>
    <x v="97"/>
    <x v="85"/>
    <x v="25"/>
    <s v="Jan'20"/>
    <x v="7"/>
    <s v="Dhaka"/>
    <s v="Present"/>
    <n v="1"/>
    <n v="8000"/>
    <s v="Paid"/>
  </r>
  <r>
    <x v="16"/>
    <x v="1"/>
    <x v="0"/>
    <x v="97"/>
    <x v="85"/>
    <x v="25"/>
    <s v="Jan'20"/>
    <x v="7"/>
    <s v="Dhaka"/>
    <s v="Present"/>
    <n v="1"/>
    <n v="8000"/>
    <s v="Paid"/>
  </r>
  <r>
    <x v="17"/>
    <x v="1"/>
    <x v="0"/>
    <x v="97"/>
    <x v="85"/>
    <x v="25"/>
    <s v="Jan'20"/>
    <x v="7"/>
    <s v="Dhaka"/>
    <s v="Present"/>
    <n v="1"/>
    <n v="8000"/>
    <s v="Paid"/>
  </r>
  <r>
    <x v="18"/>
    <x v="0"/>
    <x v="0"/>
    <x v="97"/>
    <x v="85"/>
    <x v="25"/>
    <s v="Jan'20"/>
    <x v="7"/>
    <s v="Dhaka"/>
    <s v="Absent"/>
    <n v="0"/>
    <n v="0"/>
    <s v="Paid"/>
  </r>
  <r>
    <x v="19"/>
    <x v="1"/>
    <x v="0"/>
    <x v="97"/>
    <x v="85"/>
    <x v="25"/>
    <s v="Jan'20"/>
    <x v="7"/>
    <s v="Dhaka"/>
    <s v="Present"/>
    <n v="1"/>
    <n v="8000"/>
    <s v="Paid"/>
  </r>
  <r>
    <x v="20"/>
    <x v="3"/>
    <x v="0"/>
    <x v="97"/>
    <x v="85"/>
    <x v="25"/>
    <s v="Jan'20"/>
    <x v="7"/>
    <s v="Dhaka"/>
    <s v="Present"/>
    <n v="1"/>
    <n v="8000"/>
    <s v="Paid"/>
  </r>
  <r>
    <x v="3"/>
    <x v="1"/>
    <x v="2"/>
    <x v="93"/>
    <x v="86"/>
    <x v="25"/>
    <s v="Jan'20"/>
    <x v="7"/>
    <s v="Dhaka"/>
    <s v="Absent"/>
    <n v="0"/>
    <n v="0"/>
    <s v="Paid"/>
  </r>
  <r>
    <x v="2"/>
    <x v="2"/>
    <x v="2"/>
    <x v="93"/>
    <x v="86"/>
    <x v="25"/>
    <s v="Jan'20"/>
    <x v="7"/>
    <s v="Dhaka"/>
    <s v="Present"/>
    <n v="1"/>
    <n v="8000"/>
    <s v="Paid"/>
  </r>
  <r>
    <x v="5"/>
    <x v="1"/>
    <x v="2"/>
    <x v="93"/>
    <x v="86"/>
    <x v="25"/>
    <s v="Jan'20"/>
    <x v="7"/>
    <s v="Dhaka"/>
    <s v="Present"/>
    <n v="1"/>
    <n v="8000"/>
    <s v="Paid"/>
  </r>
  <r>
    <x v="6"/>
    <x v="1"/>
    <x v="2"/>
    <x v="93"/>
    <x v="86"/>
    <x v="25"/>
    <s v="Jan'20"/>
    <x v="7"/>
    <s v="Dhaka"/>
    <s v="Present"/>
    <n v="1"/>
    <n v="8000"/>
    <s v="Paid"/>
  </r>
  <r>
    <x v="9"/>
    <x v="1"/>
    <x v="2"/>
    <x v="93"/>
    <x v="86"/>
    <x v="25"/>
    <s v="Jan'20"/>
    <x v="7"/>
    <s v="Dhaka"/>
    <s v="Absent"/>
    <n v="0"/>
    <n v="0"/>
    <s v="Paid"/>
  </r>
  <r>
    <x v="7"/>
    <x v="1"/>
    <x v="2"/>
    <x v="93"/>
    <x v="86"/>
    <x v="25"/>
    <s v="Jan'20"/>
    <x v="7"/>
    <s v="Dhaka"/>
    <s v="Present"/>
    <n v="1"/>
    <n v="8000"/>
    <s v="Paid"/>
  </r>
  <r>
    <x v="14"/>
    <x v="1"/>
    <x v="2"/>
    <x v="93"/>
    <x v="86"/>
    <x v="25"/>
    <s v="Jan'20"/>
    <x v="7"/>
    <s v="Dhaka"/>
    <s v="Absent"/>
    <n v="0"/>
    <n v="0"/>
    <s v="Paid"/>
  </r>
  <r>
    <x v="1"/>
    <x v="1"/>
    <x v="0"/>
    <x v="98"/>
    <x v="87"/>
    <x v="25"/>
    <s v="Feb'20"/>
    <x v="7"/>
    <s v="Dhaka"/>
    <s v="Present"/>
    <n v="1"/>
    <n v="8000"/>
    <s v="Paid"/>
  </r>
  <r>
    <x v="2"/>
    <x v="2"/>
    <x v="0"/>
    <x v="98"/>
    <x v="87"/>
    <x v="25"/>
    <s v="Feb'20"/>
    <x v="7"/>
    <s v="Dhaka"/>
    <s v="Present"/>
    <n v="1"/>
    <n v="8000"/>
    <s v="Paid"/>
  </r>
  <r>
    <x v="3"/>
    <x v="1"/>
    <x v="0"/>
    <x v="98"/>
    <x v="87"/>
    <x v="25"/>
    <s v="Feb'20"/>
    <x v="7"/>
    <s v="Dhaka"/>
    <s v="Absent"/>
    <n v="0"/>
    <n v="0"/>
    <s v="Paid"/>
  </r>
  <r>
    <x v="4"/>
    <x v="0"/>
    <x v="0"/>
    <x v="98"/>
    <x v="87"/>
    <x v="25"/>
    <s v="Feb'20"/>
    <x v="7"/>
    <s v="Dhaka"/>
    <s v="Present"/>
    <n v="1"/>
    <n v="8000"/>
    <s v="Paid"/>
  </r>
  <r>
    <x v="5"/>
    <x v="1"/>
    <x v="0"/>
    <x v="98"/>
    <x v="87"/>
    <x v="25"/>
    <s v="Feb'20"/>
    <x v="7"/>
    <s v="Dhaka"/>
    <s v="Present"/>
    <n v="1"/>
    <n v="8000"/>
    <s v="Paid"/>
  </r>
  <r>
    <x v="6"/>
    <x v="1"/>
    <x v="0"/>
    <x v="98"/>
    <x v="87"/>
    <x v="25"/>
    <s v="Feb'20"/>
    <x v="7"/>
    <s v="Dhaka"/>
    <s v="Present"/>
    <n v="1"/>
    <n v="8000"/>
    <s v="Paid"/>
  </r>
  <r>
    <x v="7"/>
    <x v="1"/>
    <x v="0"/>
    <x v="98"/>
    <x v="87"/>
    <x v="25"/>
    <s v="Feb'20"/>
    <x v="7"/>
    <s v="Dhaka"/>
    <s v="Present"/>
    <n v="1"/>
    <n v="8000"/>
    <s v="Paid"/>
  </r>
  <r>
    <x v="8"/>
    <x v="1"/>
    <x v="0"/>
    <x v="98"/>
    <x v="87"/>
    <x v="25"/>
    <s v="Feb'20"/>
    <x v="7"/>
    <s v="Dhaka"/>
    <s v="Present"/>
    <n v="1"/>
    <n v="8000"/>
    <s v="Paid"/>
  </r>
  <r>
    <x v="9"/>
    <x v="1"/>
    <x v="0"/>
    <x v="98"/>
    <x v="87"/>
    <x v="25"/>
    <s v="Feb'20"/>
    <x v="7"/>
    <s v="Dhaka"/>
    <s v="Absent"/>
    <n v="0"/>
    <n v="0"/>
    <s v="Paid"/>
  </r>
  <r>
    <x v="10"/>
    <x v="1"/>
    <x v="0"/>
    <x v="98"/>
    <x v="87"/>
    <x v="25"/>
    <s v="Feb'20"/>
    <x v="7"/>
    <s v="Dhaka"/>
    <s v="Present"/>
    <n v="1"/>
    <n v="8000"/>
    <s v="Paid"/>
  </r>
  <r>
    <x v="11"/>
    <x v="1"/>
    <x v="0"/>
    <x v="98"/>
    <x v="87"/>
    <x v="25"/>
    <s v="Feb'20"/>
    <x v="7"/>
    <s v="Dhaka"/>
    <s v="Present"/>
    <n v="1"/>
    <n v="8000"/>
    <s v="Paid"/>
  </r>
  <r>
    <x v="12"/>
    <x v="1"/>
    <x v="0"/>
    <x v="98"/>
    <x v="87"/>
    <x v="25"/>
    <s v="Feb'20"/>
    <x v="7"/>
    <s v="Dhaka"/>
    <s v="Present"/>
    <n v="1"/>
    <n v="8000"/>
    <s v="Paid"/>
  </r>
  <r>
    <x v="13"/>
    <x v="0"/>
    <x v="0"/>
    <x v="98"/>
    <x v="87"/>
    <x v="25"/>
    <s v="Feb'20"/>
    <x v="7"/>
    <s v="Dhaka"/>
    <s v="Absent"/>
    <n v="0"/>
    <n v="0"/>
    <s v="Paid"/>
  </r>
  <r>
    <x v="14"/>
    <x v="1"/>
    <x v="0"/>
    <x v="98"/>
    <x v="87"/>
    <x v="25"/>
    <s v="Feb'20"/>
    <x v="7"/>
    <s v="Dhaka"/>
    <s v="Present"/>
    <n v="1"/>
    <n v="8000"/>
    <s v="Paid"/>
  </r>
  <r>
    <x v="15"/>
    <x v="1"/>
    <x v="0"/>
    <x v="98"/>
    <x v="87"/>
    <x v="25"/>
    <s v="Feb'20"/>
    <x v="7"/>
    <s v="Dhaka"/>
    <s v="Present"/>
    <n v="1"/>
    <n v="8000"/>
    <s v="Paid"/>
  </r>
  <r>
    <x v="16"/>
    <x v="1"/>
    <x v="0"/>
    <x v="98"/>
    <x v="87"/>
    <x v="25"/>
    <s v="Feb'20"/>
    <x v="7"/>
    <s v="Dhaka"/>
    <s v="Present"/>
    <n v="1"/>
    <n v="8000"/>
    <s v="Paid"/>
  </r>
  <r>
    <x v="17"/>
    <x v="1"/>
    <x v="0"/>
    <x v="98"/>
    <x v="87"/>
    <x v="25"/>
    <s v="Feb'20"/>
    <x v="7"/>
    <s v="Dhaka"/>
    <s v="Present"/>
    <n v="1"/>
    <n v="8000"/>
    <s v="Paid"/>
  </r>
  <r>
    <x v="18"/>
    <x v="0"/>
    <x v="0"/>
    <x v="98"/>
    <x v="87"/>
    <x v="25"/>
    <s v="Feb'20"/>
    <x v="7"/>
    <s v="Dhaka"/>
    <s v="Absent"/>
    <n v="0"/>
    <n v="0"/>
    <s v="Paid"/>
  </r>
  <r>
    <x v="19"/>
    <x v="1"/>
    <x v="0"/>
    <x v="98"/>
    <x v="87"/>
    <x v="25"/>
    <s v="Feb'20"/>
    <x v="7"/>
    <s v="Dhaka"/>
    <s v="Present"/>
    <n v="1"/>
    <n v="8000"/>
    <s v="Paid"/>
  </r>
  <r>
    <x v="20"/>
    <x v="3"/>
    <x v="0"/>
    <x v="98"/>
    <x v="87"/>
    <x v="25"/>
    <s v="Feb'20"/>
    <x v="7"/>
    <s v="Dhaka"/>
    <s v="Present"/>
    <n v="1"/>
    <n v="8000"/>
    <s v="Paid"/>
  </r>
  <r>
    <x v="4"/>
    <x v="0"/>
    <x v="1"/>
    <x v="99"/>
    <x v="88"/>
    <x v="25"/>
    <s v="Mar'20"/>
    <x v="7"/>
    <s v="Dhaka"/>
    <s v="Present"/>
    <n v="1"/>
    <n v="8000"/>
    <s v="Paid"/>
  </r>
  <r>
    <x v="11"/>
    <x v="1"/>
    <x v="1"/>
    <x v="99"/>
    <x v="88"/>
    <x v="25"/>
    <s v="Mar'20"/>
    <x v="7"/>
    <s v="Dhaka"/>
    <s v="Present"/>
    <n v="1"/>
    <n v="8000"/>
    <s v="Paid"/>
  </r>
  <r>
    <x v="12"/>
    <x v="1"/>
    <x v="1"/>
    <x v="99"/>
    <x v="88"/>
    <x v="25"/>
    <s v="Mar'20"/>
    <x v="7"/>
    <s v="Dhaka"/>
    <s v="Present"/>
    <n v="1"/>
    <n v="8000"/>
    <s v="Paid"/>
  </r>
  <r>
    <x v="18"/>
    <x v="0"/>
    <x v="1"/>
    <x v="99"/>
    <x v="88"/>
    <x v="25"/>
    <s v="Mar'20"/>
    <x v="7"/>
    <s v="Dhaka"/>
    <s v="Present"/>
    <n v="1"/>
    <n v="8000"/>
    <s v="Paid"/>
  </r>
  <r>
    <x v="17"/>
    <x v="1"/>
    <x v="1"/>
    <x v="99"/>
    <x v="88"/>
    <x v="25"/>
    <s v="Mar'20"/>
    <x v="7"/>
    <s v="Dhaka"/>
    <s v="Present"/>
    <n v="1"/>
    <n v="8000"/>
    <s v="Paid"/>
  </r>
  <r>
    <x v="1"/>
    <x v="1"/>
    <x v="0"/>
    <x v="100"/>
    <x v="89"/>
    <x v="25"/>
    <s v="Mar'20"/>
    <x v="7"/>
    <s v="Dhaka"/>
    <s v="Present"/>
    <n v="1"/>
    <n v="8000"/>
    <s v="Paid"/>
  </r>
  <r>
    <x v="2"/>
    <x v="2"/>
    <x v="0"/>
    <x v="100"/>
    <x v="89"/>
    <x v="25"/>
    <s v="Mar'20"/>
    <x v="7"/>
    <s v="Dhaka"/>
    <s v="Present"/>
    <n v="1"/>
    <n v="8000"/>
    <s v="Paid"/>
  </r>
  <r>
    <x v="3"/>
    <x v="1"/>
    <x v="0"/>
    <x v="100"/>
    <x v="89"/>
    <x v="25"/>
    <s v="Mar'20"/>
    <x v="7"/>
    <s v="Dhaka"/>
    <s v="Absent"/>
    <n v="0"/>
    <n v="0"/>
    <s v="Paid"/>
  </r>
  <r>
    <x v="4"/>
    <x v="0"/>
    <x v="0"/>
    <x v="100"/>
    <x v="89"/>
    <x v="25"/>
    <s v="Mar'20"/>
    <x v="7"/>
    <s v="Dhaka"/>
    <s v="Present"/>
    <n v="1"/>
    <n v="8000"/>
    <s v="Paid"/>
  </r>
  <r>
    <x v="5"/>
    <x v="1"/>
    <x v="0"/>
    <x v="100"/>
    <x v="89"/>
    <x v="25"/>
    <s v="Mar'20"/>
    <x v="7"/>
    <s v="Dhaka"/>
    <s v="Present"/>
    <n v="1"/>
    <n v="8000"/>
    <s v="Paid"/>
  </r>
  <r>
    <x v="6"/>
    <x v="1"/>
    <x v="0"/>
    <x v="100"/>
    <x v="89"/>
    <x v="25"/>
    <s v="Mar'20"/>
    <x v="7"/>
    <s v="Dhaka"/>
    <s v="Present"/>
    <n v="1"/>
    <n v="8000"/>
    <s v="Paid"/>
  </r>
  <r>
    <x v="7"/>
    <x v="1"/>
    <x v="0"/>
    <x v="100"/>
    <x v="89"/>
    <x v="25"/>
    <s v="Mar'20"/>
    <x v="7"/>
    <s v="Dhaka"/>
    <s v="Present"/>
    <n v="1"/>
    <n v="8000"/>
    <s v="Paid"/>
  </r>
  <r>
    <x v="8"/>
    <x v="1"/>
    <x v="0"/>
    <x v="100"/>
    <x v="89"/>
    <x v="25"/>
    <s v="Mar'20"/>
    <x v="7"/>
    <s v="Dhaka"/>
    <s v="Present"/>
    <n v="1"/>
    <n v="8000"/>
    <s v="Paid"/>
  </r>
  <r>
    <x v="9"/>
    <x v="1"/>
    <x v="0"/>
    <x v="100"/>
    <x v="89"/>
    <x v="25"/>
    <s v="Mar'20"/>
    <x v="7"/>
    <s v="Dhaka"/>
    <s v="Present"/>
    <n v="1"/>
    <n v="8000"/>
    <s v="Paid"/>
  </r>
  <r>
    <x v="10"/>
    <x v="1"/>
    <x v="0"/>
    <x v="100"/>
    <x v="89"/>
    <x v="25"/>
    <s v="Mar'20"/>
    <x v="7"/>
    <s v="Dhaka"/>
    <s v="Present"/>
    <n v="1"/>
    <n v="8000"/>
    <s v="Paid"/>
  </r>
  <r>
    <x v="11"/>
    <x v="1"/>
    <x v="0"/>
    <x v="100"/>
    <x v="89"/>
    <x v="25"/>
    <s v="Mar'20"/>
    <x v="7"/>
    <s v="Dhaka"/>
    <s v="Present"/>
    <n v="1"/>
    <n v="8000"/>
    <s v="Paid"/>
  </r>
  <r>
    <x v="12"/>
    <x v="1"/>
    <x v="0"/>
    <x v="100"/>
    <x v="89"/>
    <x v="25"/>
    <s v="Mar'20"/>
    <x v="7"/>
    <s v="Dhaka"/>
    <s v="Present"/>
    <n v="1"/>
    <n v="8000"/>
    <s v="Paid"/>
  </r>
  <r>
    <x v="13"/>
    <x v="0"/>
    <x v="0"/>
    <x v="100"/>
    <x v="89"/>
    <x v="25"/>
    <s v="Mar'20"/>
    <x v="7"/>
    <s v="Dhaka"/>
    <s v="Present"/>
    <n v="1"/>
    <n v="8000"/>
    <s v="Paid"/>
  </r>
  <r>
    <x v="14"/>
    <x v="1"/>
    <x v="0"/>
    <x v="100"/>
    <x v="89"/>
    <x v="25"/>
    <s v="Mar'20"/>
    <x v="7"/>
    <s v="Dhaka"/>
    <s v="Present"/>
    <n v="1"/>
    <n v="8000"/>
    <s v="Paid"/>
  </r>
  <r>
    <x v="15"/>
    <x v="1"/>
    <x v="0"/>
    <x v="100"/>
    <x v="89"/>
    <x v="25"/>
    <s v="Mar'20"/>
    <x v="7"/>
    <s v="Dhaka"/>
    <s v="Present"/>
    <n v="1"/>
    <n v="8000"/>
    <s v="Paid"/>
  </r>
  <r>
    <x v="16"/>
    <x v="1"/>
    <x v="0"/>
    <x v="100"/>
    <x v="89"/>
    <x v="25"/>
    <s v="Mar'20"/>
    <x v="7"/>
    <s v="Dhaka"/>
    <s v="Present"/>
    <n v="1"/>
    <n v="8000"/>
    <s v="Paid"/>
  </r>
  <r>
    <x v="17"/>
    <x v="1"/>
    <x v="0"/>
    <x v="100"/>
    <x v="89"/>
    <x v="25"/>
    <s v="Mar'20"/>
    <x v="7"/>
    <s v="Dhaka"/>
    <s v="Absent"/>
    <n v="0"/>
    <n v="0"/>
    <s v="Paid"/>
  </r>
  <r>
    <x v="18"/>
    <x v="0"/>
    <x v="0"/>
    <x v="100"/>
    <x v="89"/>
    <x v="25"/>
    <s v="Mar'20"/>
    <x v="7"/>
    <s v="Dhaka"/>
    <s v="Absent"/>
    <n v="0"/>
    <n v="0"/>
    <s v="Paid"/>
  </r>
  <r>
    <x v="19"/>
    <x v="1"/>
    <x v="0"/>
    <x v="100"/>
    <x v="89"/>
    <x v="25"/>
    <s v="Mar'20"/>
    <x v="7"/>
    <s v="Dhaka"/>
    <s v="Present"/>
    <n v="1"/>
    <n v="8000"/>
    <s v="Paid"/>
  </r>
  <r>
    <x v="1"/>
    <x v="1"/>
    <x v="0"/>
    <x v="101"/>
    <x v="89"/>
    <x v="25"/>
    <s v="Mar'20"/>
    <x v="7"/>
    <s v="Dhaka"/>
    <s v="Present"/>
    <n v="1"/>
    <n v="8000"/>
    <s v="Paid"/>
  </r>
  <r>
    <x v="21"/>
    <x v="3"/>
    <x v="0"/>
    <x v="100"/>
    <x v="89"/>
    <x v="25"/>
    <s v="Mar'20"/>
    <x v="7"/>
    <s v="Dhaka"/>
    <s v="Present"/>
    <n v="1"/>
    <n v="8000"/>
    <s v="Paid"/>
  </r>
  <r>
    <x v="5"/>
    <x v="1"/>
    <x v="3"/>
    <x v="102"/>
    <x v="89"/>
    <x v="25"/>
    <s v="Mar'20"/>
    <x v="7"/>
    <s v="Dhaka"/>
    <s v="Present"/>
    <n v="1"/>
    <n v="8000"/>
    <s v="Paid"/>
  </r>
  <r>
    <x v="3"/>
    <x v="1"/>
    <x v="3"/>
    <x v="102"/>
    <x v="89"/>
    <x v="25"/>
    <s v="Mar'20"/>
    <x v="7"/>
    <s v="Dhaka"/>
    <s v="Absent"/>
    <n v="0"/>
    <n v="0"/>
    <s v="Paid"/>
  </r>
  <r>
    <x v="10"/>
    <x v="1"/>
    <x v="3"/>
    <x v="102"/>
    <x v="89"/>
    <x v="25"/>
    <s v="Mar'20"/>
    <x v="7"/>
    <s v="Dhaka"/>
    <s v="Present"/>
    <n v="1"/>
    <n v="8000"/>
    <s v="Paid"/>
  </r>
  <r>
    <x v="8"/>
    <x v="1"/>
    <x v="3"/>
    <x v="102"/>
    <x v="89"/>
    <x v="25"/>
    <s v="Mar'20"/>
    <x v="7"/>
    <s v="Dhaka"/>
    <s v="Present"/>
    <n v="1"/>
    <n v="8000"/>
    <s v="Paid"/>
  </r>
  <r>
    <x v="19"/>
    <x v="1"/>
    <x v="3"/>
    <x v="102"/>
    <x v="89"/>
    <x v="25"/>
    <s v="Mar'20"/>
    <x v="7"/>
    <s v="Dhaka"/>
    <s v="Present"/>
    <n v="1"/>
    <n v="8000"/>
    <s v="Paid"/>
  </r>
  <r>
    <x v="3"/>
    <x v="1"/>
    <x v="2"/>
    <x v="94"/>
    <x v="90"/>
    <x v="26"/>
    <s v="May'20"/>
    <x v="7"/>
    <s v="Dhaka"/>
    <s v="Absent"/>
    <n v="0"/>
    <n v="0"/>
    <s v="Paid"/>
  </r>
  <r>
    <x v="2"/>
    <x v="2"/>
    <x v="2"/>
    <x v="94"/>
    <x v="90"/>
    <x v="26"/>
    <s v="May'20"/>
    <x v="7"/>
    <s v="Dhaka"/>
    <s v="Present"/>
    <n v="1"/>
    <n v="8000"/>
    <s v="Paid"/>
  </r>
  <r>
    <x v="5"/>
    <x v="1"/>
    <x v="2"/>
    <x v="94"/>
    <x v="90"/>
    <x v="26"/>
    <s v="May'20"/>
    <x v="7"/>
    <s v="Dhaka"/>
    <s v="Present"/>
    <n v="1"/>
    <n v="8000"/>
    <s v="Paid"/>
  </r>
  <r>
    <x v="6"/>
    <x v="1"/>
    <x v="2"/>
    <x v="94"/>
    <x v="90"/>
    <x v="26"/>
    <s v="May'20"/>
    <x v="7"/>
    <s v="Dhaka"/>
    <s v="Present"/>
    <n v="1"/>
    <n v="8000"/>
    <s v="Paid"/>
  </r>
  <r>
    <x v="9"/>
    <x v="1"/>
    <x v="2"/>
    <x v="94"/>
    <x v="90"/>
    <x v="26"/>
    <s v="May'20"/>
    <x v="7"/>
    <s v="Dhaka"/>
    <s v="Present"/>
    <n v="1"/>
    <n v="8000"/>
    <s v="Paid"/>
  </r>
  <r>
    <x v="7"/>
    <x v="1"/>
    <x v="2"/>
    <x v="94"/>
    <x v="90"/>
    <x v="26"/>
    <s v="May'20"/>
    <x v="7"/>
    <s v="Dhaka"/>
    <s v="Present"/>
    <n v="1"/>
    <n v="8000"/>
    <s v="Paid"/>
  </r>
  <r>
    <x v="14"/>
    <x v="1"/>
    <x v="2"/>
    <x v="94"/>
    <x v="90"/>
    <x v="26"/>
    <s v="May'20"/>
    <x v="7"/>
    <s v="Dhaka"/>
    <s v="Absent"/>
    <n v="0"/>
    <n v="0"/>
    <s v="Paid"/>
  </r>
  <r>
    <x v="2"/>
    <x v="2"/>
    <x v="0"/>
    <x v="101"/>
    <x v="91"/>
    <x v="26"/>
    <s v="May'20"/>
    <x v="7"/>
    <s v="Dhaka"/>
    <s v="Present"/>
    <n v="1"/>
    <n v="8000"/>
    <s v="Paid"/>
  </r>
  <r>
    <x v="3"/>
    <x v="1"/>
    <x v="0"/>
    <x v="101"/>
    <x v="91"/>
    <x v="26"/>
    <s v="May'20"/>
    <x v="7"/>
    <s v="Dhaka"/>
    <s v="Absent"/>
    <n v="0"/>
    <n v="0"/>
    <s v="Paid"/>
  </r>
  <r>
    <x v="4"/>
    <x v="0"/>
    <x v="0"/>
    <x v="101"/>
    <x v="91"/>
    <x v="26"/>
    <s v="May'20"/>
    <x v="7"/>
    <s v="Dhaka"/>
    <s v="Absent"/>
    <n v="0"/>
    <n v="0"/>
    <s v="Paid"/>
  </r>
  <r>
    <x v="5"/>
    <x v="1"/>
    <x v="0"/>
    <x v="101"/>
    <x v="91"/>
    <x v="26"/>
    <s v="May'20"/>
    <x v="7"/>
    <s v="Dhaka"/>
    <s v="Present"/>
    <n v="1"/>
    <n v="8000"/>
    <s v="Paid"/>
  </r>
  <r>
    <x v="6"/>
    <x v="1"/>
    <x v="0"/>
    <x v="101"/>
    <x v="91"/>
    <x v="26"/>
    <s v="May'20"/>
    <x v="7"/>
    <s v="Dhaka"/>
    <s v="Present"/>
    <n v="1"/>
    <n v="8000"/>
    <s v="Paid"/>
  </r>
  <r>
    <x v="7"/>
    <x v="1"/>
    <x v="0"/>
    <x v="101"/>
    <x v="91"/>
    <x v="26"/>
    <s v="May'20"/>
    <x v="7"/>
    <s v="Dhaka"/>
    <s v="Present"/>
    <n v="1"/>
    <n v="8000"/>
    <s v="Paid"/>
  </r>
  <r>
    <x v="8"/>
    <x v="1"/>
    <x v="0"/>
    <x v="101"/>
    <x v="91"/>
    <x v="26"/>
    <s v="May'20"/>
    <x v="7"/>
    <s v="Dhaka"/>
    <s v="Present"/>
    <n v="1"/>
    <n v="8000"/>
    <s v="Paid"/>
  </r>
  <r>
    <x v="9"/>
    <x v="1"/>
    <x v="0"/>
    <x v="101"/>
    <x v="91"/>
    <x v="26"/>
    <s v="May'20"/>
    <x v="7"/>
    <s v="Dhaka"/>
    <s v="Present"/>
    <n v="1"/>
    <n v="8000"/>
    <s v="Paid"/>
  </r>
  <r>
    <x v="10"/>
    <x v="1"/>
    <x v="0"/>
    <x v="101"/>
    <x v="91"/>
    <x v="26"/>
    <s v="May'20"/>
    <x v="7"/>
    <s v="Dhaka"/>
    <s v="Present"/>
    <n v="1"/>
    <n v="8000"/>
    <s v="Paid"/>
  </r>
  <r>
    <x v="11"/>
    <x v="1"/>
    <x v="0"/>
    <x v="101"/>
    <x v="91"/>
    <x v="26"/>
    <s v="May'20"/>
    <x v="7"/>
    <s v="Dhaka"/>
    <s v="Present"/>
    <n v="1"/>
    <n v="8000"/>
    <s v="Paid"/>
  </r>
  <r>
    <x v="12"/>
    <x v="1"/>
    <x v="0"/>
    <x v="101"/>
    <x v="91"/>
    <x v="26"/>
    <s v="May'20"/>
    <x v="7"/>
    <s v="Dhaka"/>
    <s v="Present"/>
    <n v="1"/>
    <n v="8000"/>
    <s v="Paid"/>
  </r>
  <r>
    <x v="13"/>
    <x v="0"/>
    <x v="0"/>
    <x v="101"/>
    <x v="91"/>
    <x v="26"/>
    <s v="May'20"/>
    <x v="7"/>
    <s v="Dhaka"/>
    <s v="Present"/>
    <n v="1"/>
    <n v="8000"/>
    <s v="Paid"/>
  </r>
  <r>
    <x v="14"/>
    <x v="1"/>
    <x v="0"/>
    <x v="101"/>
    <x v="91"/>
    <x v="26"/>
    <s v="May'20"/>
    <x v="7"/>
    <s v="Dhaka"/>
    <s v="Absent"/>
    <n v="0"/>
    <n v="0"/>
    <s v="Paid"/>
  </r>
  <r>
    <x v="15"/>
    <x v="1"/>
    <x v="0"/>
    <x v="101"/>
    <x v="91"/>
    <x v="26"/>
    <s v="May'20"/>
    <x v="7"/>
    <s v="Dhaka"/>
    <s v="Present"/>
    <n v="1"/>
    <n v="8000"/>
    <s v="Paid"/>
  </r>
  <r>
    <x v="16"/>
    <x v="1"/>
    <x v="0"/>
    <x v="101"/>
    <x v="91"/>
    <x v="26"/>
    <s v="May'20"/>
    <x v="7"/>
    <s v="Dhaka"/>
    <s v="Absent"/>
    <n v="0"/>
    <n v="0"/>
    <s v="Paid"/>
  </r>
  <r>
    <x v="17"/>
    <x v="1"/>
    <x v="0"/>
    <x v="101"/>
    <x v="91"/>
    <x v="26"/>
    <s v="May'20"/>
    <x v="7"/>
    <s v="Dhaka"/>
    <s v="Absent"/>
    <n v="0"/>
    <n v="0"/>
    <s v="Paid"/>
  </r>
  <r>
    <x v="18"/>
    <x v="0"/>
    <x v="0"/>
    <x v="101"/>
    <x v="91"/>
    <x v="26"/>
    <s v="May'20"/>
    <x v="7"/>
    <s v="Dhaka"/>
    <s v="Present"/>
    <n v="1"/>
    <n v="8000"/>
    <s v="Paid"/>
  </r>
  <r>
    <x v="19"/>
    <x v="1"/>
    <x v="0"/>
    <x v="101"/>
    <x v="91"/>
    <x v="26"/>
    <s v="May'20"/>
    <x v="7"/>
    <s v="Dhaka"/>
    <s v="Absent"/>
    <n v="0"/>
    <n v="0"/>
    <s v="Paid"/>
  </r>
  <r>
    <x v="21"/>
    <x v="3"/>
    <x v="0"/>
    <x v="101"/>
    <x v="91"/>
    <x v="26"/>
    <s v="May'20"/>
    <x v="7"/>
    <s v="Dhaka"/>
    <s v="Absent"/>
    <n v="0"/>
    <n v="0"/>
    <s v="Paid"/>
  </r>
  <r>
    <x v="1"/>
    <x v="1"/>
    <x v="0"/>
    <x v="103"/>
    <x v="92"/>
    <x v="26"/>
    <s v="Jun'20"/>
    <x v="7"/>
    <s v="Dhaka"/>
    <s v="Present"/>
    <n v="1"/>
    <n v="8000"/>
    <s v="Paid"/>
  </r>
  <r>
    <x v="2"/>
    <x v="2"/>
    <x v="0"/>
    <x v="103"/>
    <x v="92"/>
    <x v="26"/>
    <s v="Jun'20"/>
    <x v="7"/>
    <s v="Dhaka"/>
    <s v="Present"/>
    <n v="1"/>
    <n v="8000"/>
    <s v="Paid"/>
  </r>
  <r>
    <x v="3"/>
    <x v="1"/>
    <x v="0"/>
    <x v="103"/>
    <x v="92"/>
    <x v="26"/>
    <s v="Jun'20"/>
    <x v="7"/>
    <s v="Dhaka"/>
    <s v="Present"/>
    <n v="1"/>
    <n v="8000"/>
    <s v="Paid"/>
  </r>
  <r>
    <x v="4"/>
    <x v="0"/>
    <x v="0"/>
    <x v="103"/>
    <x v="92"/>
    <x v="26"/>
    <s v="Jun'20"/>
    <x v="7"/>
    <s v="Dhaka"/>
    <s v="Absent"/>
    <n v="0"/>
    <n v="0"/>
    <s v="Paid"/>
  </r>
  <r>
    <x v="5"/>
    <x v="1"/>
    <x v="0"/>
    <x v="103"/>
    <x v="92"/>
    <x v="26"/>
    <s v="Jun'20"/>
    <x v="7"/>
    <s v="Dhaka"/>
    <s v="Present"/>
    <n v="1"/>
    <n v="8000"/>
    <s v="Paid"/>
  </r>
  <r>
    <x v="6"/>
    <x v="1"/>
    <x v="0"/>
    <x v="103"/>
    <x v="92"/>
    <x v="26"/>
    <s v="Jun'20"/>
    <x v="7"/>
    <s v="Dhaka"/>
    <s v="Present"/>
    <n v="1"/>
    <n v="8000"/>
    <s v="Paid"/>
  </r>
  <r>
    <x v="7"/>
    <x v="1"/>
    <x v="0"/>
    <x v="103"/>
    <x v="92"/>
    <x v="26"/>
    <s v="Jun'20"/>
    <x v="7"/>
    <s v="Dhaka"/>
    <s v="Present"/>
    <n v="1"/>
    <n v="8000"/>
    <s v="Paid"/>
  </r>
  <r>
    <x v="8"/>
    <x v="1"/>
    <x v="0"/>
    <x v="103"/>
    <x v="92"/>
    <x v="26"/>
    <s v="Jun'20"/>
    <x v="7"/>
    <s v="Dhaka"/>
    <s v="Present"/>
    <n v="1"/>
    <n v="8000"/>
    <s v="Paid"/>
  </r>
  <r>
    <x v="9"/>
    <x v="1"/>
    <x v="0"/>
    <x v="103"/>
    <x v="92"/>
    <x v="26"/>
    <s v="Jun'20"/>
    <x v="7"/>
    <s v="Dhaka"/>
    <s v="Present"/>
    <n v="1"/>
    <n v="8000"/>
    <s v="Paid"/>
  </r>
  <r>
    <x v="10"/>
    <x v="1"/>
    <x v="0"/>
    <x v="103"/>
    <x v="92"/>
    <x v="26"/>
    <s v="Jun'20"/>
    <x v="7"/>
    <s v="Dhaka"/>
    <s v="Present"/>
    <n v="1"/>
    <n v="8000"/>
    <s v="Paid"/>
  </r>
  <r>
    <x v="11"/>
    <x v="1"/>
    <x v="0"/>
    <x v="103"/>
    <x v="92"/>
    <x v="26"/>
    <s v="Jun'20"/>
    <x v="7"/>
    <s v="Dhaka"/>
    <s v="Present"/>
    <n v="1"/>
    <n v="8000"/>
    <s v="Paid"/>
  </r>
  <r>
    <x v="12"/>
    <x v="1"/>
    <x v="0"/>
    <x v="103"/>
    <x v="92"/>
    <x v="26"/>
    <s v="Jun'20"/>
    <x v="7"/>
    <s v="Dhaka"/>
    <s v="Present"/>
    <n v="1"/>
    <n v="8000"/>
    <s v="Paid"/>
  </r>
  <r>
    <x v="13"/>
    <x v="0"/>
    <x v="0"/>
    <x v="103"/>
    <x v="92"/>
    <x v="26"/>
    <s v="Jun'20"/>
    <x v="7"/>
    <s v="Dhaka"/>
    <s v="Present"/>
    <n v="1"/>
    <n v="8000"/>
    <s v="Paid"/>
  </r>
  <r>
    <x v="14"/>
    <x v="1"/>
    <x v="0"/>
    <x v="103"/>
    <x v="92"/>
    <x v="26"/>
    <s v="Jun'20"/>
    <x v="7"/>
    <s v="Dhaka"/>
    <s v="Absent"/>
    <n v="0"/>
    <n v="0"/>
    <s v="Paid"/>
  </r>
  <r>
    <x v="15"/>
    <x v="1"/>
    <x v="0"/>
    <x v="103"/>
    <x v="92"/>
    <x v="26"/>
    <s v="Jun'20"/>
    <x v="7"/>
    <s v="Dhaka"/>
    <s v="Present"/>
    <n v="1"/>
    <n v="8000"/>
    <s v="Paid"/>
  </r>
  <r>
    <x v="16"/>
    <x v="1"/>
    <x v="0"/>
    <x v="103"/>
    <x v="92"/>
    <x v="26"/>
    <s v="Jun'20"/>
    <x v="7"/>
    <s v="Dhaka"/>
    <s v="Absent"/>
    <n v="0"/>
    <n v="0"/>
    <s v="Paid"/>
  </r>
  <r>
    <x v="17"/>
    <x v="1"/>
    <x v="0"/>
    <x v="103"/>
    <x v="92"/>
    <x v="26"/>
    <s v="Jun'20"/>
    <x v="7"/>
    <s v="Dhaka"/>
    <s v="Absent"/>
    <n v="0"/>
    <n v="0"/>
    <s v="Paid"/>
  </r>
  <r>
    <x v="18"/>
    <x v="0"/>
    <x v="0"/>
    <x v="103"/>
    <x v="92"/>
    <x v="26"/>
    <s v="Jun'20"/>
    <x v="7"/>
    <s v="Dhaka"/>
    <s v="Present"/>
    <n v="1"/>
    <n v="8000"/>
    <s v="Paid"/>
  </r>
  <r>
    <x v="20"/>
    <x v="3"/>
    <x v="0"/>
    <x v="103"/>
    <x v="92"/>
    <x v="26"/>
    <s v="Jun'20"/>
    <x v="7"/>
    <s v="Dhaka"/>
    <s v="Present"/>
    <n v="1"/>
    <n v="8000"/>
    <s v="Paid"/>
  </r>
  <r>
    <x v="4"/>
    <x v="0"/>
    <x v="1"/>
    <x v="104"/>
    <x v="92"/>
    <x v="26"/>
    <s v="Jun'20"/>
    <x v="7"/>
    <s v="Dhaka"/>
    <s v="Present"/>
    <n v="1"/>
    <n v="8000"/>
    <s v="Paid"/>
  </r>
  <r>
    <x v="11"/>
    <x v="1"/>
    <x v="1"/>
    <x v="104"/>
    <x v="92"/>
    <x v="26"/>
    <s v="Jun'20"/>
    <x v="7"/>
    <s v="Dhaka"/>
    <s v="Present"/>
    <n v="1"/>
    <n v="8000"/>
    <s v="Paid"/>
  </r>
  <r>
    <x v="12"/>
    <x v="1"/>
    <x v="1"/>
    <x v="104"/>
    <x v="92"/>
    <x v="26"/>
    <s v="Jun'20"/>
    <x v="7"/>
    <s v="Dhaka"/>
    <s v="Present"/>
    <n v="1"/>
    <n v="8000"/>
    <s v="Paid"/>
  </r>
  <r>
    <x v="18"/>
    <x v="0"/>
    <x v="1"/>
    <x v="104"/>
    <x v="92"/>
    <x v="26"/>
    <s v="Jun'20"/>
    <x v="7"/>
    <s v="Dhaka"/>
    <s v="Present"/>
    <n v="1"/>
    <n v="8000"/>
    <s v="Paid"/>
  </r>
  <r>
    <x v="17"/>
    <x v="1"/>
    <x v="1"/>
    <x v="104"/>
    <x v="92"/>
    <x v="26"/>
    <s v="Jun'20"/>
    <x v="7"/>
    <s v="Dhaka"/>
    <s v="Absent"/>
    <n v="0"/>
    <n v="0"/>
    <s v="Paid"/>
  </r>
  <r>
    <x v="13"/>
    <x v="0"/>
    <x v="4"/>
    <x v="105"/>
    <x v="92"/>
    <x v="26"/>
    <s v="Jun'20"/>
    <x v="7"/>
    <s v="Dhaka"/>
    <s v="Present"/>
    <n v="1"/>
    <n v="8000"/>
    <s v="Paid"/>
  </r>
  <r>
    <x v="9"/>
    <x v="1"/>
    <x v="4"/>
    <x v="105"/>
    <x v="92"/>
    <x v="26"/>
    <s v="Jun'20"/>
    <x v="7"/>
    <s v="Dhaka"/>
    <s v="Present"/>
    <n v="1"/>
    <n v="8000"/>
    <s v="Paid"/>
  </r>
  <r>
    <x v="7"/>
    <x v="1"/>
    <x v="4"/>
    <x v="105"/>
    <x v="92"/>
    <x v="26"/>
    <s v="Jun'20"/>
    <x v="7"/>
    <s v="Dhaka"/>
    <s v="Present"/>
    <n v="1"/>
    <n v="8000"/>
    <s v="Paid"/>
  </r>
  <r>
    <x v="8"/>
    <x v="1"/>
    <x v="4"/>
    <x v="105"/>
    <x v="92"/>
    <x v="26"/>
    <s v="Jun'20"/>
    <x v="7"/>
    <s v="Dhaka"/>
    <s v="Present"/>
    <n v="1"/>
    <n v="8000"/>
    <s v="Paid"/>
  </r>
  <r>
    <x v="16"/>
    <x v="1"/>
    <x v="4"/>
    <x v="105"/>
    <x v="92"/>
    <x v="26"/>
    <s v="Jun'20"/>
    <x v="7"/>
    <s v="Dhaka"/>
    <s v="Absent"/>
    <n v="0"/>
    <n v="0"/>
    <s v="Paid"/>
  </r>
  <r>
    <x v="5"/>
    <x v="1"/>
    <x v="3"/>
    <x v="106"/>
    <x v="93"/>
    <x v="26"/>
    <s v="Jun'20"/>
    <x v="7"/>
    <s v="Dhaka"/>
    <s v="Present"/>
    <n v="1"/>
    <n v="8000"/>
    <s v="Paid"/>
  </r>
  <r>
    <x v="3"/>
    <x v="1"/>
    <x v="3"/>
    <x v="106"/>
    <x v="93"/>
    <x v="26"/>
    <s v="Jun'20"/>
    <x v="7"/>
    <s v="Dhaka"/>
    <s v="Present"/>
    <n v="1"/>
    <n v="8000"/>
    <s v="Paid"/>
  </r>
  <r>
    <x v="10"/>
    <x v="1"/>
    <x v="3"/>
    <x v="106"/>
    <x v="93"/>
    <x v="26"/>
    <s v="Jun'20"/>
    <x v="7"/>
    <s v="Dhaka"/>
    <s v="Present"/>
    <n v="1"/>
    <n v="8000"/>
    <s v="Paid"/>
  </r>
  <r>
    <x v="8"/>
    <x v="1"/>
    <x v="3"/>
    <x v="106"/>
    <x v="93"/>
    <x v="26"/>
    <s v="Jun'20"/>
    <x v="7"/>
    <s v="Dhaka"/>
    <s v="Present"/>
    <n v="1"/>
    <n v="8000"/>
    <s v="Paid"/>
  </r>
  <r>
    <x v="3"/>
    <x v="1"/>
    <x v="2"/>
    <x v="95"/>
    <x v="94"/>
    <x v="27"/>
    <s v="Jul'20"/>
    <x v="7"/>
    <s v="Dhaka"/>
    <s v="Present"/>
    <n v="1"/>
    <n v="8000"/>
    <s v="Paid"/>
  </r>
  <r>
    <x v="2"/>
    <x v="2"/>
    <x v="2"/>
    <x v="95"/>
    <x v="94"/>
    <x v="27"/>
    <s v="Jul'20"/>
    <x v="7"/>
    <s v="Dhaka"/>
    <s v="Present"/>
    <n v="1"/>
    <n v="8000"/>
    <s v="Paid"/>
  </r>
  <r>
    <x v="5"/>
    <x v="1"/>
    <x v="2"/>
    <x v="95"/>
    <x v="94"/>
    <x v="27"/>
    <s v="Jul'20"/>
    <x v="7"/>
    <s v="Dhaka"/>
    <s v="Present"/>
    <n v="1"/>
    <n v="8000"/>
    <s v="Paid"/>
  </r>
  <r>
    <x v="6"/>
    <x v="1"/>
    <x v="2"/>
    <x v="95"/>
    <x v="94"/>
    <x v="27"/>
    <s v="Jul'20"/>
    <x v="7"/>
    <s v="Dhaka"/>
    <s v="Present"/>
    <n v="1"/>
    <n v="8000"/>
    <s v="Paid"/>
  </r>
  <r>
    <x v="9"/>
    <x v="1"/>
    <x v="2"/>
    <x v="95"/>
    <x v="94"/>
    <x v="27"/>
    <s v="Jul'20"/>
    <x v="7"/>
    <s v="Dhaka"/>
    <s v="Present"/>
    <n v="1"/>
    <n v="8000"/>
    <s v="Paid"/>
  </r>
  <r>
    <x v="7"/>
    <x v="1"/>
    <x v="2"/>
    <x v="95"/>
    <x v="94"/>
    <x v="27"/>
    <s v="Jul'20"/>
    <x v="7"/>
    <s v="Dhaka"/>
    <s v="Present"/>
    <n v="1"/>
    <n v="8000"/>
    <s v="Paid"/>
  </r>
  <r>
    <x v="14"/>
    <x v="1"/>
    <x v="2"/>
    <x v="95"/>
    <x v="94"/>
    <x v="27"/>
    <s v="Jul'20"/>
    <x v="7"/>
    <s v="Dhaka"/>
    <s v="Absent"/>
    <n v="0"/>
    <n v="0"/>
    <s v="Paid"/>
  </r>
  <r>
    <x v="1"/>
    <x v="1"/>
    <x v="0"/>
    <x v="107"/>
    <x v="95"/>
    <x v="27"/>
    <s v="Jul'20"/>
    <x v="7"/>
    <s v="Dhaka"/>
    <s v="Present"/>
    <n v="1"/>
    <n v="8000"/>
    <s v="Paid"/>
  </r>
  <r>
    <x v="2"/>
    <x v="2"/>
    <x v="0"/>
    <x v="107"/>
    <x v="95"/>
    <x v="27"/>
    <s v="Jul'20"/>
    <x v="7"/>
    <s v="Dhaka"/>
    <s v="Present"/>
    <n v="1"/>
    <n v="8000"/>
    <s v="Paid"/>
  </r>
  <r>
    <x v="3"/>
    <x v="1"/>
    <x v="0"/>
    <x v="107"/>
    <x v="95"/>
    <x v="27"/>
    <s v="Jul'20"/>
    <x v="7"/>
    <s v="Dhaka"/>
    <s v="Present"/>
    <n v="1"/>
    <n v="8000"/>
    <s v="Paid"/>
  </r>
  <r>
    <x v="4"/>
    <x v="0"/>
    <x v="0"/>
    <x v="107"/>
    <x v="95"/>
    <x v="27"/>
    <s v="Jul'20"/>
    <x v="7"/>
    <s v="Dhaka"/>
    <s v="Present"/>
    <n v="1"/>
    <n v="8000"/>
    <s v="Paid"/>
  </r>
  <r>
    <x v="5"/>
    <x v="1"/>
    <x v="0"/>
    <x v="107"/>
    <x v="95"/>
    <x v="27"/>
    <s v="Jul'20"/>
    <x v="7"/>
    <s v="Dhaka"/>
    <s v="Present"/>
    <n v="1"/>
    <n v="8000"/>
    <s v="Paid"/>
  </r>
  <r>
    <x v="6"/>
    <x v="1"/>
    <x v="0"/>
    <x v="107"/>
    <x v="95"/>
    <x v="27"/>
    <s v="Jul'20"/>
    <x v="7"/>
    <s v="Dhaka"/>
    <s v="Present"/>
    <n v="1"/>
    <n v="8000"/>
    <s v="Paid"/>
  </r>
  <r>
    <x v="7"/>
    <x v="1"/>
    <x v="0"/>
    <x v="107"/>
    <x v="95"/>
    <x v="27"/>
    <s v="Jul'20"/>
    <x v="7"/>
    <s v="Dhaka"/>
    <s v="Present"/>
    <n v="1"/>
    <n v="8000"/>
    <s v="Paid"/>
  </r>
  <r>
    <x v="8"/>
    <x v="1"/>
    <x v="0"/>
    <x v="107"/>
    <x v="95"/>
    <x v="27"/>
    <s v="Jul'20"/>
    <x v="7"/>
    <s v="Dhaka"/>
    <s v="Present"/>
    <n v="1"/>
    <n v="8000"/>
    <s v="Paid"/>
  </r>
  <r>
    <x v="9"/>
    <x v="1"/>
    <x v="0"/>
    <x v="107"/>
    <x v="95"/>
    <x v="27"/>
    <s v="Jul'20"/>
    <x v="7"/>
    <s v="Dhaka"/>
    <s v="Present"/>
    <n v="1"/>
    <n v="8000"/>
    <s v="Paid"/>
  </r>
  <r>
    <x v="10"/>
    <x v="1"/>
    <x v="0"/>
    <x v="107"/>
    <x v="95"/>
    <x v="27"/>
    <s v="Jul'20"/>
    <x v="7"/>
    <s v="Dhaka"/>
    <s v="Present"/>
    <n v="1"/>
    <n v="8000"/>
    <s v="Paid"/>
  </r>
  <r>
    <x v="11"/>
    <x v="1"/>
    <x v="0"/>
    <x v="107"/>
    <x v="95"/>
    <x v="27"/>
    <s v="Jul'20"/>
    <x v="7"/>
    <s v="Dhaka"/>
    <s v="Present"/>
    <n v="1"/>
    <n v="8000"/>
    <s v="Paid"/>
  </r>
  <r>
    <x v="12"/>
    <x v="1"/>
    <x v="0"/>
    <x v="107"/>
    <x v="95"/>
    <x v="27"/>
    <s v="Jul'20"/>
    <x v="7"/>
    <s v="Dhaka"/>
    <s v="Present"/>
    <n v="1"/>
    <n v="8000"/>
    <s v="Paid"/>
  </r>
  <r>
    <x v="13"/>
    <x v="0"/>
    <x v="0"/>
    <x v="107"/>
    <x v="95"/>
    <x v="27"/>
    <s v="Jul'20"/>
    <x v="7"/>
    <s v="Dhaka"/>
    <s v="Present"/>
    <n v="1"/>
    <n v="8000"/>
    <s v="Paid"/>
  </r>
  <r>
    <x v="14"/>
    <x v="1"/>
    <x v="0"/>
    <x v="107"/>
    <x v="95"/>
    <x v="27"/>
    <s v="Jul'20"/>
    <x v="7"/>
    <s v="Dhaka"/>
    <s v="Absent"/>
    <n v="0"/>
    <n v="0"/>
    <s v="Paid"/>
  </r>
  <r>
    <x v="15"/>
    <x v="1"/>
    <x v="0"/>
    <x v="107"/>
    <x v="95"/>
    <x v="27"/>
    <s v="Jul'20"/>
    <x v="7"/>
    <s v="Dhaka"/>
    <s v="Absent"/>
    <n v="0"/>
    <n v="0"/>
    <s v="Paid"/>
  </r>
  <r>
    <x v="16"/>
    <x v="1"/>
    <x v="0"/>
    <x v="107"/>
    <x v="95"/>
    <x v="27"/>
    <s v="Jul'20"/>
    <x v="7"/>
    <s v="Dhaka"/>
    <s v="Present"/>
    <n v="1"/>
    <n v="8000"/>
    <s v="Paid"/>
  </r>
  <r>
    <x v="17"/>
    <x v="1"/>
    <x v="0"/>
    <x v="107"/>
    <x v="95"/>
    <x v="27"/>
    <s v="Jul'20"/>
    <x v="7"/>
    <s v="Dhaka"/>
    <s v="Absent"/>
    <n v="0"/>
    <n v="0"/>
    <s v="Paid"/>
  </r>
  <r>
    <x v="18"/>
    <x v="0"/>
    <x v="0"/>
    <x v="107"/>
    <x v="95"/>
    <x v="27"/>
    <s v="Jul'20"/>
    <x v="7"/>
    <s v="Dhaka"/>
    <s v="Present"/>
    <n v="1"/>
    <n v="8000"/>
    <s v="Paid"/>
  </r>
  <r>
    <x v="20"/>
    <x v="3"/>
    <x v="0"/>
    <x v="107"/>
    <x v="95"/>
    <x v="27"/>
    <s v="Jul'20"/>
    <x v="7"/>
    <s v="Dhaka"/>
    <s v="Present"/>
    <n v="1"/>
    <n v="8000"/>
    <s v="Paid"/>
  </r>
  <r>
    <x v="4"/>
    <x v="0"/>
    <x v="1"/>
    <x v="108"/>
    <x v="95"/>
    <x v="27"/>
    <s v="Jul'20"/>
    <x v="7"/>
    <s v="Dhaka"/>
    <s v="Present"/>
    <n v="1"/>
    <n v="8000"/>
    <s v="Paid"/>
  </r>
  <r>
    <x v="11"/>
    <x v="1"/>
    <x v="1"/>
    <x v="108"/>
    <x v="95"/>
    <x v="27"/>
    <s v="Jul'20"/>
    <x v="7"/>
    <s v="Dhaka"/>
    <s v="Present"/>
    <n v="1"/>
    <n v="8000"/>
    <s v="Paid"/>
  </r>
  <r>
    <x v="12"/>
    <x v="1"/>
    <x v="1"/>
    <x v="108"/>
    <x v="95"/>
    <x v="27"/>
    <s v="Jul'20"/>
    <x v="7"/>
    <s v="Dhaka"/>
    <s v="Present"/>
    <n v="1"/>
    <n v="8000"/>
    <s v="Paid"/>
  </r>
  <r>
    <x v="18"/>
    <x v="0"/>
    <x v="1"/>
    <x v="108"/>
    <x v="95"/>
    <x v="27"/>
    <s v="Jul'20"/>
    <x v="7"/>
    <s v="Dhaka"/>
    <s v="Present"/>
    <n v="1"/>
    <n v="8000"/>
    <s v="Paid"/>
  </r>
  <r>
    <x v="17"/>
    <x v="1"/>
    <x v="1"/>
    <x v="108"/>
    <x v="95"/>
    <x v="27"/>
    <s v="Jul'20"/>
    <x v="7"/>
    <s v="Dhaka"/>
    <s v="Absent"/>
    <n v="0"/>
    <n v="0"/>
    <s v="Paid"/>
  </r>
  <r>
    <x v="6"/>
    <x v="1"/>
    <x v="5"/>
    <x v="105"/>
    <x v="96"/>
    <x v="27"/>
    <s v="Sep'20"/>
    <x v="7"/>
    <s v="Dhaka"/>
    <s v="Present"/>
    <n v="1"/>
    <n v="8000"/>
    <s v="Paid"/>
  </r>
  <r>
    <x v="15"/>
    <x v="1"/>
    <x v="5"/>
    <x v="105"/>
    <x v="96"/>
    <x v="27"/>
    <s v="Sep'20"/>
    <x v="7"/>
    <s v="Dhaka"/>
    <s v="Absent"/>
    <n v="0"/>
    <n v="0"/>
    <s v="Paid"/>
  </r>
  <r>
    <x v="22"/>
    <x v="4"/>
    <x v="5"/>
    <x v="105"/>
    <x v="96"/>
    <x v="27"/>
    <s v="Sep'20"/>
    <x v="7"/>
    <s v="Dhaka"/>
    <s v="Present"/>
    <n v="1"/>
    <n v="8000"/>
    <s v="Paid"/>
  </r>
  <r>
    <x v="23"/>
    <x v="5"/>
    <x v="5"/>
    <x v="105"/>
    <x v="96"/>
    <x v="27"/>
    <s v="Sep'20"/>
    <x v="7"/>
    <s v="Dhaka"/>
    <s v="Present"/>
    <n v="1"/>
    <n v="8000"/>
    <s v="Paid"/>
  </r>
  <r>
    <x v="24"/>
    <x v="4"/>
    <x v="5"/>
    <x v="105"/>
    <x v="96"/>
    <x v="27"/>
    <s v="Sep'20"/>
    <x v="7"/>
    <s v="Dhaka"/>
    <s v="Present"/>
    <n v="1"/>
    <n v="8000"/>
    <s v="Paid"/>
  </r>
  <r>
    <x v="25"/>
    <x v="4"/>
    <x v="5"/>
    <x v="105"/>
    <x v="96"/>
    <x v="27"/>
    <s v="Sep'20"/>
    <x v="7"/>
    <s v="Dhaka"/>
    <s v="Present"/>
    <n v="1"/>
    <n v="8000"/>
    <s v="Paid"/>
  </r>
  <r>
    <x v="26"/>
    <x v="4"/>
    <x v="5"/>
    <x v="105"/>
    <x v="96"/>
    <x v="27"/>
    <s v="Sep'20"/>
    <x v="7"/>
    <s v="Dhaka"/>
    <s v="Present"/>
    <n v="1"/>
    <n v="8000"/>
    <s v="Paid"/>
  </r>
  <r>
    <x v="20"/>
    <x v="3"/>
    <x v="5"/>
    <x v="105"/>
    <x v="96"/>
    <x v="27"/>
    <s v="Sep'20"/>
    <x v="7"/>
    <s v="Dhaka"/>
    <s v="Present"/>
    <n v="1"/>
    <n v="8000"/>
    <s v="Paid"/>
  </r>
  <r>
    <x v="1"/>
    <x v="1"/>
    <x v="0"/>
    <x v="109"/>
    <x v="97"/>
    <x v="27"/>
    <s v="Sep'20"/>
    <x v="7"/>
    <s v="Dhaka"/>
    <s v="Present"/>
    <n v="1"/>
    <n v="8000"/>
    <s v="Paid"/>
  </r>
  <r>
    <x v="3"/>
    <x v="1"/>
    <x v="0"/>
    <x v="109"/>
    <x v="97"/>
    <x v="27"/>
    <s v="Sep'20"/>
    <x v="7"/>
    <s v="Dhaka"/>
    <s v="Absent"/>
    <n v="0"/>
    <n v="0"/>
    <s v="Paid"/>
  </r>
  <r>
    <x v="4"/>
    <x v="0"/>
    <x v="0"/>
    <x v="109"/>
    <x v="97"/>
    <x v="27"/>
    <s v="Sep'20"/>
    <x v="7"/>
    <s v="Dhaka"/>
    <s v="Present"/>
    <n v="1"/>
    <n v="8000"/>
    <s v="Paid"/>
  </r>
  <r>
    <x v="5"/>
    <x v="1"/>
    <x v="0"/>
    <x v="109"/>
    <x v="97"/>
    <x v="27"/>
    <s v="Sep'20"/>
    <x v="7"/>
    <s v="Dhaka"/>
    <s v="Present"/>
    <n v="1"/>
    <n v="8000"/>
    <s v="Paid"/>
  </r>
  <r>
    <x v="6"/>
    <x v="1"/>
    <x v="0"/>
    <x v="109"/>
    <x v="97"/>
    <x v="27"/>
    <s v="Sep'20"/>
    <x v="7"/>
    <s v="Dhaka"/>
    <s v="Present"/>
    <n v="1"/>
    <n v="8000"/>
    <s v="Paid"/>
  </r>
  <r>
    <x v="8"/>
    <x v="1"/>
    <x v="0"/>
    <x v="109"/>
    <x v="97"/>
    <x v="27"/>
    <s v="Sep'20"/>
    <x v="7"/>
    <s v="Dhaka"/>
    <s v="Absent"/>
    <n v="0"/>
    <n v="0"/>
    <s v="Paid"/>
  </r>
  <r>
    <x v="9"/>
    <x v="1"/>
    <x v="0"/>
    <x v="109"/>
    <x v="97"/>
    <x v="27"/>
    <s v="Sep'20"/>
    <x v="7"/>
    <s v="Dhaka"/>
    <s v="Present"/>
    <n v="1"/>
    <n v="8000"/>
    <s v="Paid"/>
  </r>
  <r>
    <x v="10"/>
    <x v="1"/>
    <x v="0"/>
    <x v="109"/>
    <x v="97"/>
    <x v="27"/>
    <s v="Sep'20"/>
    <x v="7"/>
    <s v="Dhaka"/>
    <s v="Absent"/>
    <n v="0"/>
    <n v="0"/>
    <s v="Paid"/>
  </r>
  <r>
    <x v="13"/>
    <x v="0"/>
    <x v="0"/>
    <x v="109"/>
    <x v="97"/>
    <x v="27"/>
    <s v="Sep'20"/>
    <x v="7"/>
    <s v="Dhaka"/>
    <s v="Present"/>
    <n v="1"/>
    <n v="8000"/>
    <s v="Paid"/>
  </r>
  <r>
    <x v="14"/>
    <x v="1"/>
    <x v="0"/>
    <x v="109"/>
    <x v="97"/>
    <x v="27"/>
    <s v="Sep'20"/>
    <x v="7"/>
    <s v="Dhaka"/>
    <s v="Present"/>
    <n v="1"/>
    <n v="8000"/>
    <s v="Paid"/>
  </r>
  <r>
    <x v="15"/>
    <x v="1"/>
    <x v="0"/>
    <x v="109"/>
    <x v="97"/>
    <x v="27"/>
    <s v="Sep'20"/>
    <x v="7"/>
    <s v="Dhaka"/>
    <s v="Absent"/>
    <n v="0"/>
    <n v="0"/>
    <s v="Paid"/>
  </r>
  <r>
    <x v="16"/>
    <x v="1"/>
    <x v="0"/>
    <x v="109"/>
    <x v="97"/>
    <x v="27"/>
    <s v="Sep'20"/>
    <x v="7"/>
    <s v="Dhaka"/>
    <s v="Present"/>
    <n v="1"/>
    <n v="8000"/>
    <s v="Paid"/>
  </r>
  <r>
    <x v="17"/>
    <x v="1"/>
    <x v="0"/>
    <x v="109"/>
    <x v="97"/>
    <x v="27"/>
    <s v="Sep'20"/>
    <x v="7"/>
    <s v="Dhaka"/>
    <s v="Absent"/>
    <n v="0"/>
    <n v="0"/>
    <s v="Paid"/>
  </r>
  <r>
    <x v="18"/>
    <x v="0"/>
    <x v="0"/>
    <x v="109"/>
    <x v="97"/>
    <x v="27"/>
    <s v="Sep'20"/>
    <x v="7"/>
    <s v="Dhaka"/>
    <s v="Absent"/>
    <n v="0"/>
    <n v="0"/>
    <s v="Paid"/>
  </r>
  <r>
    <x v="20"/>
    <x v="3"/>
    <x v="0"/>
    <x v="109"/>
    <x v="97"/>
    <x v="27"/>
    <s v="Sep'20"/>
    <x v="7"/>
    <s v="Dhaka"/>
    <s v="Present"/>
    <n v="1"/>
    <n v="8000"/>
    <s v="Paid"/>
  </r>
  <r>
    <x v="4"/>
    <x v="0"/>
    <x v="1"/>
    <x v="110"/>
    <x v="97"/>
    <x v="27"/>
    <s v="Sep'20"/>
    <x v="7"/>
    <s v="Dhaka"/>
    <s v="Present"/>
    <n v="1"/>
    <n v="8000"/>
    <s v="Paid"/>
  </r>
  <r>
    <x v="11"/>
    <x v="1"/>
    <x v="1"/>
    <x v="110"/>
    <x v="97"/>
    <x v="27"/>
    <s v="Sep'20"/>
    <x v="7"/>
    <s v="Dhaka"/>
    <s v="Absent"/>
    <n v="0"/>
    <n v="0"/>
    <s v="Paid"/>
  </r>
  <r>
    <x v="12"/>
    <x v="1"/>
    <x v="1"/>
    <x v="110"/>
    <x v="97"/>
    <x v="27"/>
    <s v="Sep'20"/>
    <x v="7"/>
    <s v="Dhaka"/>
    <s v="Absent"/>
    <n v="0"/>
    <n v="0"/>
    <s v="Paid"/>
  </r>
  <r>
    <x v="18"/>
    <x v="0"/>
    <x v="1"/>
    <x v="110"/>
    <x v="97"/>
    <x v="27"/>
    <s v="Sep'20"/>
    <x v="7"/>
    <s v="Dhaka"/>
    <s v="Present"/>
    <n v="1"/>
    <n v="8000"/>
    <s v="Paid"/>
  </r>
  <r>
    <x v="17"/>
    <x v="1"/>
    <x v="1"/>
    <x v="110"/>
    <x v="97"/>
    <x v="27"/>
    <s v="Sep'20"/>
    <x v="7"/>
    <s v="Dhaka"/>
    <s v="Absent"/>
    <n v="0"/>
    <n v="0"/>
    <s v="Paid"/>
  </r>
  <r>
    <x v="3"/>
    <x v="1"/>
    <x v="2"/>
    <x v="96"/>
    <x v="98"/>
    <x v="27"/>
    <s v="Sep'20"/>
    <x v="7"/>
    <s v="Dhaka"/>
    <s v="Present"/>
    <n v="1"/>
    <n v="8000"/>
    <s v="Paid"/>
  </r>
  <r>
    <x v="2"/>
    <x v="2"/>
    <x v="2"/>
    <x v="96"/>
    <x v="98"/>
    <x v="27"/>
    <s v="Sep'20"/>
    <x v="7"/>
    <s v="Dhaka"/>
    <s v="Present"/>
    <n v="1"/>
    <n v="8000"/>
    <s v="Paid"/>
  </r>
  <r>
    <x v="5"/>
    <x v="1"/>
    <x v="2"/>
    <x v="96"/>
    <x v="98"/>
    <x v="27"/>
    <s v="Sep'20"/>
    <x v="7"/>
    <s v="Dhaka"/>
    <s v="Present"/>
    <n v="1"/>
    <n v="8000"/>
    <s v="Paid"/>
  </r>
  <r>
    <x v="6"/>
    <x v="1"/>
    <x v="2"/>
    <x v="96"/>
    <x v="98"/>
    <x v="27"/>
    <s v="Sep'20"/>
    <x v="7"/>
    <s v="Dhaka"/>
    <s v="Absent"/>
    <n v="0"/>
    <n v="0"/>
    <s v="Paid"/>
  </r>
  <r>
    <x v="9"/>
    <x v="1"/>
    <x v="2"/>
    <x v="96"/>
    <x v="98"/>
    <x v="27"/>
    <s v="Sep'20"/>
    <x v="7"/>
    <s v="Dhaka"/>
    <s v="Present"/>
    <n v="1"/>
    <n v="8000"/>
    <s v="Paid"/>
  </r>
  <r>
    <x v="14"/>
    <x v="1"/>
    <x v="2"/>
    <x v="96"/>
    <x v="98"/>
    <x v="27"/>
    <s v="Sep'20"/>
    <x v="7"/>
    <s v="Dhaka"/>
    <s v="Present"/>
    <n v="1"/>
    <n v="8000"/>
    <s v="Paid"/>
  </r>
  <r>
    <x v="5"/>
    <x v="1"/>
    <x v="3"/>
    <x v="111"/>
    <x v="98"/>
    <x v="27"/>
    <s v="Sep'20"/>
    <x v="7"/>
    <s v="Dhaka"/>
    <s v="Present"/>
    <n v="1"/>
    <n v="8000"/>
    <s v="Paid"/>
  </r>
  <r>
    <x v="3"/>
    <x v="1"/>
    <x v="3"/>
    <x v="111"/>
    <x v="98"/>
    <x v="27"/>
    <s v="Sep'20"/>
    <x v="7"/>
    <s v="Dhaka"/>
    <s v="Present"/>
    <n v="1"/>
    <n v="8000"/>
    <s v="Paid"/>
  </r>
  <r>
    <x v="10"/>
    <x v="1"/>
    <x v="3"/>
    <x v="111"/>
    <x v="98"/>
    <x v="27"/>
    <s v="Sep'20"/>
    <x v="7"/>
    <s v="Dhaka"/>
    <s v="Absent"/>
    <n v="0"/>
    <n v="0"/>
    <s v="Paid"/>
  </r>
  <r>
    <x v="8"/>
    <x v="1"/>
    <x v="3"/>
    <x v="111"/>
    <x v="98"/>
    <x v="27"/>
    <s v="Sep'20"/>
    <x v="7"/>
    <s v="Dhaka"/>
    <s v="Absent"/>
    <n v="0"/>
    <n v="0"/>
    <s v="Paid"/>
  </r>
  <r>
    <x v="1"/>
    <x v="1"/>
    <x v="0"/>
    <x v="112"/>
    <x v="99"/>
    <x v="28"/>
    <s v="Oct'20"/>
    <x v="7"/>
    <s v="Dhaka"/>
    <s v="Present"/>
    <n v="1"/>
    <n v="8000"/>
    <s v="Paid"/>
  </r>
  <r>
    <x v="2"/>
    <x v="2"/>
    <x v="0"/>
    <x v="112"/>
    <x v="99"/>
    <x v="28"/>
    <s v="Oct'20"/>
    <x v="7"/>
    <s v="Dhaka"/>
    <s v="Absent"/>
    <n v="0"/>
    <n v="0"/>
    <s v="Paid"/>
  </r>
  <r>
    <x v="3"/>
    <x v="1"/>
    <x v="0"/>
    <x v="112"/>
    <x v="99"/>
    <x v="28"/>
    <s v="Oct'20"/>
    <x v="7"/>
    <s v="Dhaka"/>
    <s v="Present"/>
    <n v="1"/>
    <n v="8000"/>
    <s v="Paid"/>
  </r>
  <r>
    <x v="4"/>
    <x v="0"/>
    <x v="0"/>
    <x v="112"/>
    <x v="99"/>
    <x v="28"/>
    <s v="Oct'20"/>
    <x v="7"/>
    <s v="Dhaka"/>
    <s v="Absent"/>
    <n v="0"/>
    <n v="0"/>
    <s v="Paid"/>
  </r>
  <r>
    <x v="5"/>
    <x v="1"/>
    <x v="0"/>
    <x v="112"/>
    <x v="99"/>
    <x v="28"/>
    <s v="Oct'20"/>
    <x v="7"/>
    <s v="Dhaka"/>
    <s v="Present"/>
    <n v="1"/>
    <n v="8000"/>
    <s v="Paid"/>
  </r>
  <r>
    <x v="6"/>
    <x v="1"/>
    <x v="0"/>
    <x v="112"/>
    <x v="99"/>
    <x v="28"/>
    <s v="Oct'20"/>
    <x v="7"/>
    <s v="Dhaka"/>
    <s v="Present"/>
    <n v="1"/>
    <n v="8000"/>
    <s v="Paid"/>
  </r>
  <r>
    <x v="8"/>
    <x v="1"/>
    <x v="0"/>
    <x v="112"/>
    <x v="99"/>
    <x v="28"/>
    <s v="Oct'20"/>
    <x v="7"/>
    <s v="Dhaka"/>
    <s v="Present"/>
    <n v="1"/>
    <n v="8000"/>
    <s v="Paid"/>
  </r>
  <r>
    <x v="9"/>
    <x v="1"/>
    <x v="0"/>
    <x v="112"/>
    <x v="99"/>
    <x v="28"/>
    <s v="Oct'20"/>
    <x v="7"/>
    <s v="Dhaka"/>
    <s v="Present"/>
    <n v="1"/>
    <n v="8000"/>
    <s v="Paid"/>
  </r>
  <r>
    <x v="10"/>
    <x v="1"/>
    <x v="0"/>
    <x v="112"/>
    <x v="99"/>
    <x v="28"/>
    <s v="Oct'20"/>
    <x v="7"/>
    <s v="Dhaka"/>
    <s v="Present"/>
    <n v="1"/>
    <n v="8000"/>
    <s v="Paid"/>
  </r>
  <r>
    <x v="11"/>
    <x v="1"/>
    <x v="0"/>
    <x v="112"/>
    <x v="99"/>
    <x v="28"/>
    <s v="Oct'20"/>
    <x v="7"/>
    <s v="Dhaka"/>
    <s v="Present"/>
    <n v="1"/>
    <n v="8000"/>
    <s v="Paid"/>
  </r>
  <r>
    <x v="12"/>
    <x v="1"/>
    <x v="0"/>
    <x v="112"/>
    <x v="99"/>
    <x v="28"/>
    <s v="Oct'20"/>
    <x v="7"/>
    <s v="Dhaka"/>
    <s v="Present"/>
    <n v="1"/>
    <n v="8000"/>
    <s v="Paid"/>
  </r>
  <r>
    <x v="27"/>
    <x v="1"/>
    <x v="0"/>
    <x v="112"/>
    <x v="99"/>
    <x v="28"/>
    <s v="Oct'20"/>
    <x v="7"/>
    <s v="Dhaka"/>
    <s v="Present"/>
    <n v="1"/>
    <n v="8000"/>
    <s v="Paid"/>
  </r>
  <r>
    <x v="13"/>
    <x v="0"/>
    <x v="0"/>
    <x v="112"/>
    <x v="99"/>
    <x v="28"/>
    <s v="Oct'20"/>
    <x v="7"/>
    <s v="Dhaka"/>
    <s v="Absent"/>
    <n v="0"/>
    <n v="0"/>
    <s v="Paid"/>
  </r>
  <r>
    <x v="14"/>
    <x v="1"/>
    <x v="0"/>
    <x v="112"/>
    <x v="99"/>
    <x v="28"/>
    <s v="Oct'20"/>
    <x v="7"/>
    <s v="Dhaka"/>
    <s v="Present"/>
    <n v="1"/>
    <n v="8000"/>
    <s v="Paid"/>
  </r>
  <r>
    <x v="15"/>
    <x v="1"/>
    <x v="0"/>
    <x v="112"/>
    <x v="99"/>
    <x v="28"/>
    <s v="Oct'20"/>
    <x v="7"/>
    <s v="Dhaka"/>
    <s v="Absent"/>
    <n v="0"/>
    <n v="0"/>
    <s v="Paid"/>
  </r>
  <r>
    <x v="16"/>
    <x v="1"/>
    <x v="0"/>
    <x v="112"/>
    <x v="99"/>
    <x v="28"/>
    <s v="Oct'20"/>
    <x v="7"/>
    <s v="Dhaka"/>
    <s v="Present"/>
    <n v="1"/>
    <n v="8000"/>
    <s v="Paid"/>
  </r>
  <r>
    <x v="17"/>
    <x v="1"/>
    <x v="0"/>
    <x v="112"/>
    <x v="99"/>
    <x v="28"/>
    <s v="Oct'20"/>
    <x v="7"/>
    <s v="Dhaka"/>
    <s v="Absent"/>
    <n v="0"/>
    <n v="0"/>
    <s v="Paid"/>
  </r>
  <r>
    <x v="18"/>
    <x v="0"/>
    <x v="0"/>
    <x v="112"/>
    <x v="99"/>
    <x v="28"/>
    <s v="Oct'20"/>
    <x v="7"/>
    <s v="Dhaka"/>
    <s v="Absent"/>
    <n v="0"/>
    <n v="0"/>
    <s v="Paid"/>
  </r>
  <r>
    <x v="20"/>
    <x v="3"/>
    <x v="0"/>
    <x v="112"/>
    <x v="99"/>
    <x v="28"/>
    <s v="Oct'20"/>
    <x v="7"/>
    <s v="Dhaka"/>
    <s v="Present"/>
    <n v="1"/>
    <n v="8000"/>
    <s v="Paid"/>
  </r>
  <r>
    <x v="11"/>
    <x v="1"/>
    <x v="1"/>
    <x v="113"/>
    <x v="99"/>
    <x v="28"/>
    <s v="Oct'20"/>
    <x v="7"/>
    <s v="Dhaka"/>
    <s v="Present"/>
    <n v="1"/>
    <n v="8000"/>
    <s v="Paid"/>
  </r>
  <r>
    <x v="12"/>
    <x v="1"/>
    <x v="1"/>
    <x v="113"/>
    <x v="99"/>
    <x v="28"/>
    <s v="Oct'20"/>
    <x v="7"/>
    <s v="Dhaka"/>
    <s v="Present"/>
    <n v="1"/>
    <n v="8000"/>
    <s v="Paid"/>
  </r>
  <r>
    <x v="13"/>
    <x v="0"/>
    <x v="1"/>
    <x v="113"/>
    <x v="99"/>
    <x v="28"/>
    <s v="Oct'20"/>
    <x v="7"/>
    <s v="Dhaka"/>
    <s v="Absent"/>
    <n v="0"/>
    <n v="0"/>
    <s v="Paid"/>
  </r>
  <r>
    <x v="18"/>
    <x v="0"/>
    <x v="1"/>
    <x v="113"/>
    <x v="99"/>
    <x v="28"/>
    <s v="Oct'20"/>
    <x v="7"/>
    <s v="Dhaka"/>
    <s v="Present"/>
    <n v="1"/>
    <n v="8000"/>
    <s v="Paid"/>
  </r>
  <r>
    <x v="17"/>
    <x v="1"/>
    <x v="1"/>
    <x v="113"/>
    <x v="99"/>
    <x v="28"/>
    <s v="Oct'20"/>
    <x v="7"/>
    <s v="Dhaka"/>
    <s v="Absent"/>
    <n v="0"/>
    <n v="0"/>
    <s v="Paid"/>
  </r>
  <r>
    <x v="3"/>
    <x v="1"/>
    <x v="2"/>
    <x v="114"/>
    <x v="100"/>
    <x v="28"/>
    <s v="Oct'20"/>
    <x v="7"/>
    <s v="Dhaka"/>
    <s v="Present"/>
    <n v="1"/>
    <n v="8000"/>
    <s v="Paid"/>
  </r>
  <r>
    <x v="2"/>
    <x v="2"/>
    <x v="2"/>
    <x v="114"/>
    <x v="100"/>
    <x v="28"/>
    <s v="Oct'20"/>
    <x v="7"/>
    <s v="Dhaka"/>
    <s v="Absent"/>
    <n v="0"/>
    <n v="0"/>
    <s v="Paid"/>
  </r>
  <r>
    <x v="5"/>
    <x v="1"/>
    <x v="2"/>
    <x v="114"/>
    <x v="100"/>
    <x v="28"/>
    <s v="Oct'20"/>
    <x v="7"/>
    <s v="Dhaka"/>
    <s v="Present"/>
    <n v="1"/>
    <n v="8000"/>
    <s v="Paid"/>
  </r>
  <r>
    <x v="6"/>
    <x v="1"/>
    <x v="2"/>
    <x v="114"/>
    <x v="100"/>
    <x v="28"/>
    <s v="Oct'20"/>
    <x v="7"/>
    <s v="Dhaka"/>
    <s v="Present"/>
    <n v="1"/>
    <n v="8000"/>
    <s v="Paid"/>
  </r>
  <r>
    <x v="9"/>
    <x v="1"/>
    <x v="2"/>
    <x v="114"/>
    <x v="100"/>
    <x v="28"/>
    <s v="Oct'20"/>
    <x v="7"/>
    <s v="Dhaka"/>
    <s v="Absent"/>
    <n v="0"/>
    <n v="0"/>
    <s v="Paid"/>
  </r>
  <r>
    <x v="14"/>
    <x v="1"/>
    <x v="2"/>
    <x v="114"/>
    <x v="100"/>
    <x v="28"/>
    <s v="Oct'20"/>
    <x v="7"/>
    <s v="Dhaka"/>
    <s v="Present"/>
    <n v="1"/>
    <n v="8000"/>
    <s v="Paid"/>
  </r>
  <r>
    <x v="11"/>
    <x v="1"/>
    <x v="1"/>
    <x v="115"/>
    <x v="101"/>
    <x v="28"/>
    <s v="Nov'20"/>
    <x v="7"/>
    <s v="Dhaka"/>
    <s v="Present"/>
    <n v="1"/>
    <n v="8000"/>
    <s v="Paid"/>
  </r>
  <r>
    <x v="12"/>
    <x v="1"/>
    <x v="1"/>
    <x v="115"/>
    <x v="101"/>
    <x v="28"/>
    <s v="Nov'20"/>
    <x v="7"/>
    <s v="Dhaka"/>
    <s v="Present"/>
    <n v="1"/>
    <n v="8000"/>
    <s v="Paid"/>
  </r>
  <r>
    <x v="13"/>
    <x v="0"/>
    <x v="1"/>
    <x v="115"/>
    <x v="101"/>
    <x v="28"/>
    <s v="Nov'20"/>
    <x v="7"/>
    <s v="Dhaka"/>
    <s v="Absent"/>
    <n v="0"/>
    <n v="0"/>
    <s v="Paid"/>
  </r>
  <r>
    <x v="18"/>
    <x v="0"/>
    <x v="1"/>
    <x v="115"/>
    <x v="101"/>
    <x v="28"/>
    <s v="Nov'20"/>
    <x v="7"/>
    <s v="Dhaka"/>
    <s v="Present"/>
    <n v="1"/>
    <n v="8000"/>
    <s v="Paid"/>
  </r>
  <r>
    <x v="17"/>
    <x v="1"/>
    <x v="1"/>
    <x v="115"/>
    <x v="101"/>
    <x v="28"/>
    <s v="Nov'20"/>
    <x v="7"/>
    <s v="Dhaka"/>
    <s v="Absent"/>
    <n v="0"/>
    <n v="0"/>
    <s v="Paid"/>
  </r>
  <r>
    <x v="3"/>
    <x v="1"/>
    <x v="2"/>
    <x v="116"/>
    <x v="102"/>
    <x v="28"/>
    <s v="Nov'20"/>
    <x v="7"/>
    <s v="Dhaka"/>
    <s v="Present"/>
    <n v="1"/>
    <n v="8000"/>
    <s v="Paid"/>
  </r>
  <r>
    <x v="2"/>
    <x v="2"/>
    <x v="2"/>
    <x v="116"/>
    <x v="102"/>
    <x v="28"/>
    <s v="Nov'20"/>
    <x v="7"/>
    <s v="Dhaka"/>
    <s v="Present"/>
    <n v="1"/>
    <n v="8000"/>
    <s v="Paid"/>
  </r>
  <r>
    <x v="5"/>
    <x v="1"/>
    <x v="2"/>
    <x v="116"/>
    <x v="102"/>
    <x v="28"/>
    <s v="Nov'20"/>
    <x v="7"/>
    <s v="Dhaka"/>
    <s v="Present"/>
    <n v="1"/>
    <n v="8000"/>
    <s v="Paid"/>
  </r>
  <r>
    <x v="6"/>
    <x v="1"/>
    <x v="2"/>
    <x v="116"/>
    <x v="102"/>
    <x v="28"/>
    <s v="Nov'20"/>
    <x v="7"/>
    <s v="Dhaka"/>
    <s v="Present"/>
    <n v="1"/>
    <n v="8000"/>
    <s v="Paid"/>
  </r>
  <r>
    <x v="9"/>
    <x v="1"/>
    <x v="2"/>
    <x v="116"/>
    <x v="102"/>
    <x v="28"/>
    <s v="Nov'20"/>
    <x v="7"/>
    <s v="Dhaka"/>
    <s v="Present"/>
    <n v="1"/>
    <n v="8000"/>
    <s v="Paid"/>
  </r>
  <r>
    <x v="7"/>
    <x v="1"/>
    <x v="2"/>
    <x v="116"/>
    <x v="102"/>
    <x v="28"/>
    <s v="Nov'20"/>
    <x v="7"/>
    <s v="Dhaka"/>
    <s v="Present"/>
    <n v="1"/>
    <n v="8000"/>
    <s v="Paid"/>
  </r>
  <r>
    <x v="14"/>
    <x v="1"/>
    <x v="2"/>
    <x v="116"/>
    <x v="102"/>
    <x v="28"/>
    <s v="Nov'20"/>
    <x v="7"/>
    <s v="Dhaka"/>
    <s v="Present"/>
    <n v="1"/>
    <n v="8000"/>
    <s v="Paid"/>
  </r>
  <r>
    <x v="1"/>
    <x v="1"/>
    <x v="0"/>
    <x v="117"/>
    <x v="103"/>
    <x v="28"/>
    <s v="Nov'20"/>
    <x v="7"/>
    <s v="Dhaka"/>
    <s v="Present"/>
    <n v="1"/>
    <n v="8000"/>
    <s v="Paid"/>
  </r>
  <r>
    <x v="2"/>
    <x v="2"/>
    <x v="0"/>
    <x v="117"/>
    <x v="103"/>
    <x v="28"/>
    <s v="Nov'20"/>
    <x v="7"/>
    <s v="Dhaka"/>
    <s v="Present"/>
    <n v="1"/>
    <n v="8000"/>
    <s v="Paid"/>
  </r>
  <r>
    <x v="3"/>
    <x v="1"/>
    <x v="0"/>
    <x v="117"/>
    <x v="103"/>
    <x v="28"/>
    <s v="Nov'20"/>
    <x v="7"/>
    <s v="Dhaka"/>
    <s v="Present"/>
    <n v="1"/>
    <n v="8000"/>
    <s v="Paid"/>
  </r>
  <r>
    <x v="4"/>
    <x v="0"/>
    <x v="0"/>
    <x v="117"/>
    <x v="103"/>
    <x v="28"/>
    <s v="Nov'20"/>
    <x v="7"/>
    <s v="Dhaka"/>
    <s v="Present"/>
    <n v="1"/>
    <n v="8000"/>
    <s v="Paid"/>
  </r>
  <r>
    <x v="5"/>
    <x v="1"/>
    <x v="0"/>
    <x v="117"/>
    <x v="103"/>
    <x v="28"/>
    <s v="Nov'20"/>
    <x v="7"/>
    <s v="Dhaka"/>
    <s v="Present"/>
    <n v="1"/>
    <n v="8000"/>
    <s v="Paid"/>
  </r>
  <r>
    <x v="6"/>
    <x v="1"/>
    <x v="0"/>
    <x v="117"/>
    <x v="103"/>
    <x v="28"/>
    <s v="Nov'20"/>
    <x v="7"/>
    <s v="Dhaka"/>
    <s v="Present"/>
    <n v="1"/>
    <n v="8000"/>
    <s v="Paid"/>
  </r>
  <r>
    <x v="7"/>
    <x v="1"/>
    <x v="0"/>
    <x v="117"/>
    <x v="103"/>
    <x v="28"/>
    <s v="Nov'20"/>
    <x v="7"/>
    <s v="Dhaka"/>
    <s v="Present"/>
    <n v="1"/>
    <n v="8000"/>
    <s v="Paid"/>
  </r>
  <r>
    <x v="8"/>
    <x v="1"/>
    <x v="0"/>
    <x v="117"/>
    <x v="103"/>
    <x v="28"/>
    <s v="Nov'20"/>
    <x v="7"/>
    <s v="Dhaka"/>
    <s v="Present"/>
    <n v="1"/>
    <n v="8000"/>
    <s v="Paid"/>
  </r>
  <r>
    <x v="9"/>
    <x v="1"/>
    <x v="0"/>
    <x v="117"/>
    <x v="103"/>
    <x v="28"/>
    <s v="Nov'20"/>
    <x v="7"/>
    <s v="Dhaka"/>
    <s v="Present"/>
    <n v="1"/>
    <n v="8000"/>
    <s v="Paid"/>
  </r>
  <r>
    <x v="10"/>
    <x v="1"/>
    <x v="0"/>
    <x v="117"/>
    <x v="103"/>
    <x v="28"/>
    <s v="Nov'20"/>
    <x v="7"/>
    <s v="Dhaka"/>
    <s v="Present"/>
    <n v="1"/>
    <n v="8000"/>
    <s v="Paid"/>
  </r>
  <r>
    <x v="11"/>
    <x v="1"/>
    <x v="0"/>
    <x v="117"/>
    <x v="103"/>
    <x v="28"/>
    <s v="Nov'20"/>
    <x v="7"/>
    <s v="Dhaka"/>
    <s v="Present"/>
    <n v="1"/>
    <n v="8000"/>
    <s v="Paid"/>
  </r>
  <r>
    <x v="12"/>
    <x v="1"/>
    <x v="0"/>
    <x v="117"/>
    <x v="103"/>
    <x v="28"/>
    <s v="Nov'20"/>
    <x v="7"/>
    <s v="Dhaka"/>
    <s v="Present"/>
    <n v="1"/>
    <n v="8000"/>
    <s v="Paid"/>
  </r>
  <r>
    <x v="27"/>
    <x v="1"/>
    <x v="0"/>
    <x v="117"/>
    <x v="103"/>
    <x v="28"/>
    <s v="Nov'20"/>
    <x v="7"/>
    <s v="Dhaka"/>
    <s v="Present"/>
    <n v="1"/>
    <n v="8000"/>
    <s v="Paid"/>
  </r>
  <r>
    <x v="13"/>
    <x v="0"/>
    <x v="0"/>
    <x v="117"/>
    <x v="103"/>
    <x v="28"/>
    <s v="Nov'20"/>
    <x v="7"/>
    <s v="Dhaka"/>
    <s v="Present"/>
    <n v="1"/>
    <n v="8000"/>
    <s v="Paid"/>
  </r>
  <r>
    <x v="14"/>
    <x v="1"/>
    <x v="0"/>
    <x v="117"/>
    <x v="103"/>
    <x v="28"/>
    <s v="Nov'20"/>
    <x v="7"/>
    <s v="Dhaka"/>
    <s v="Present"/>
    <n v="1"/>
    <n v="8000"/>
    <s v="Paid"/>
  </r>
  <r>
    <x v="15"/>
    <x v="1"/>
    <x v="0"/>
    <x v="117"/>
    <x v="103"/>
    <x v="28"/>
    <s v="Nov'20"/>
    <x v="7"/>
    <s v="Dhaka"/>
    <s v="Absent"/>
    <n v="0"/>
    <n v="0"/>
    <s v="Paid"/>
  </r>
  <r>
    <x v="16"/>
    <x v="1"/>
    <x v="0"/>
    <x v="117"/>
    <x v="103"/>
    <x v="28"/>
    <s v="Nov'20"/>
    <x v="7"/>
    <s v="Dhaka"/>
    <s v="Present"/>
    <n v="1"/>
    <n v="8000"/>
    <s v="Paid"/>
  </r>
  <r>
    <x v="17"/>
    <x v="1"/>
    <x v="0"/>
    <x v="117"/>
    <x v="103"/>
    <x v="28"/>
    <s v="Nov'20"/>
    <x v="7"/>
    <s v="Dhaka"/>
    <s v="Absent"/>
    <n v="0"/>
    <n v="0"/>
    <s v="Paid"/>
  </r>
  <r>
    <x v="18"/>
    <x v="0"/>
    <x v="0"/>
    <x v="117"/>
    <x v="103"/>
    <x v="28"/>
    <s v="Nov'20"/>
    <x v="7"/>
    <s v="Dhaka"/>
    <s v="Present"/>
    <n v="1"/>
    <n v="8000"/>
    <s v="Paid"/>
  </r>
  <r>
    <x v="21"/>
    <x v="3"/>
    <x v="0"/>
    <x v="117"/>
    <x v="103"/>
    <x v="28"/>
    <s v="Nov'20"/>
    <x v="7"/>
    <s v="Dhaka"/>
    <s v="Present"/>
    <n v="1"/>
    <n v="8000"/>
    <s v="Paid"/>
  </r>
  <r>
    <x v="1"/>
    <x v="1"/>
    <x v="0"/>
    <x v="118"/>
    <x v="104"/>
    <x v="28"/>
    <s v="Dec'20"/>
    <x v="7"/>
    <s v="Dhaka"/>
    <s v="Present"/>
    <n v="1"/>
    <n v="8000"/>
    <s v="Paid"/>
  </r>
  <r>
    <x v="2"/>
    <x v="2"/>
    <x v="0"/>
    <x v="118"/>
    <x v="104"/>
    <x v="28"/>
    <s v="Dec'20"/>
    <x v="7"/>
    <s v="Dhaka"/>
    <s v="Present"/>
    <n v="1"/>
    <n v="8000"/>
    <s v="Paid"/>
  </r>
  <r>
    <x v="3"/>
    <x v="1"/>
    <x v="0"/>
    <x v="118"/>
    <x v="104"/>
    <x v="28"/>
    <s v="Dec'20"/>
    <x v="7"/>
    <s v="Dhaka"/>
    <s v="Present"/>
    <n v="1"/>
    <n v="8000"/>
    <s v="Paid"/>
  </r>
  <r>
    <x v="4"/>
    <x v="0"/>
    <x v="0"/>
    <x v="118"/>
    <x v="104"/>
    <x v="28"/>
    <s v="Dec'20"/>
    <x v="7"/>
    <s v="Dhaka"/>
    <s v="Absent"/>
    <n v="0"/>
    <n v="0"/>
    <s v="Paid"/>
  </r>
  <r>
    <x v="5"/>
    <x v="1"/>
    <x v="0"/>
    <x v="118"/>
    <x v="104"/>
    <x v="28"/>
    <s v="Dec'20"/>
    <x v="7"/>
    <s v="Dhaka"/>
    <s v="Present"/>
    <n v="1"/>
    <n v="8000"/>
    <s v="Paid"/>
  </r>
  <r>
    <x v="6"/>
    <x v="1"/>
    <x v="0"/>
    <x v="118"/>
    <x v="104"/>
    <x v="28"/>
    <s v="Dec'20"/>
    <x v="7"/>
    <s v="Dhaka"/>
    <s v="Present"/>
    <n v="1"/>
    <n v="8000"/>
    <s v="Paid"/>
  </r>
  <r>
    <x v="7"/>
    <x v="1"/>
    <x v="0"/>
    <x v="118"/>
    <x v="104"/>
    <x v="28"/>
    <s v="Dec'20"/>
    <x v="7"/>
    <s v="Dhaka"/>
    <s v="Present"/>
    <n v="1"/>
    <n v="8000"/>
    <s v="Paid"/>
  </r>
  <r>
    <x v="8"/>
    <x v="1"/>
    <x v="0"/>
    <x v="118"/>
    <x v="104"/>
    <x v="28"/>
    <s v="Dec'20"/>
    <x v="7"/>
    <s v="Dhaka"/>
    <s v="Absent"/>
    <n v="0"/>
    <n v="0"/>
    <s v="Paid"/>
  </r>
  <r>
    <x v="9"/>
    <x v="1"/>
    <x v="0"/>
    <x v="118"/>
    <x v="104"/>
    <x v="28"/>
    <s v="Dec'20"/>
    <x v="7"/>
    <s v="Dhaka"/>
    <s v="Present"/>
    <n v="1"/>
    <n v="8000"/>
    <s v="Paid"/>
  </r>
  <r>
    <x v="10"/>
    <x v="1"/>
    <x v="0"/>
    <x v="118"/>
    <x v="104"/>
    <x v="28"/>
    <s v="Dec'20"/>
    <x v="7"/>
    <s v="Dhaka"/>
    <s v="Absent"/>
    <n v="0"/>
    <n v="0"/>
    <s v="Paid"/>
  </r>
  <r>
    <x v="11"/>
    <x v="1"/>
    <x v="0"/>
    <x v="118"/>
    <x v="104"/>
    <x v="28"/>
    <s v="Dec'20"/>
    <x v="7"/>
    <s v="Dhaka"/>
    <s v="Present"/>
    <n v="1"/>
    <n v="8000"/>
    <s v="Paid"/>
  </r>
  <r>
    <x v="12"/>
    <x v="1"/>
    <x v="0"/>
    <x v="118"/>
    <x v="104"/>
    <x v="28"/>
    <s v="Dec'20"/>
    <x v="7"/>
    <s v="Dhaka"/>
    <s v="Present"/>
    <n v="1"/>
    <n v="8000"/>
    <s v="Paid"/>
  </r>
  <r>
    <x v="27"/>
    <x v="1"/>
    <x v="0"/>
    <x v="118"/>
    <x v="104"/>
    <x v="28"/>
    <s v="Dec'20"/>
    <x v="7"/>
    <s v="Dhaka"/>
    <s v="Present"/>
    <n v="1"/>
    <n v="8000"/>
    <s v="Paid"/>
  </r>
  <r>
    <x v="13"/>
    <x v="0"/>
    <x v="0"/>
    <x v="118"/>
    <x v="104"/>
    <x v="28"/>
    <s v="Dec'20"/>
    <x v="7"/>
    <s v="Dhaka"/>
    <s v="Present"/>
    <n v="1"/>
    <n v="8000"/>
    <s v="Paid"/>
  </r>
  <r>
    <x v="14"/>
    <x v="1"/>
    <x v="0"/>
    <x v="118"/>
    <x v="104"/>
    <x v="28"/>
    <s v="Dec'20"/>
    <x v="7"/>
    <s v="Dhaka"/>
    <s v="Present"/>
    <n v="1"/>
    <n v="8000"/>
    <s v="Paid"/>
  </r>
  <r>
    <x v="15"/>
    <x v="1"/>
    <x v="0"/>
    <x v="118"/>
    <x v="104"/>
    <x v="28"/>
    <s v="Dec'20"/>
    <x v="7"/>
    <s v="Dhaka"/>
    <s v="Absent"/>
    <n v="0"/>
    <n v="0"/>
    <s v="Paid"/>
  </r>
  <r>
    <x v="16"/>
    <x v="1"/>
    <x v="0"/>
    <x v="118"/>
    <x v="104"/>
    <x v="28"/>
    <s v="Dec'20"/>
    <x v="7"/>
    <s v="Dhaka"/>
    <s v="Present"/>
    <n v="1"/>
    <n v="8000"/>
    <s v="Paid"/>
  </r>
  <r>
    <x v="17"/>
    <x v="1"/>
    <x v="0"/>
    <x v="118"/>
    <x v="104"/>
    <x v="28"/>
    <s v="Dec'20"/>
    <x v="7"/>
    <s v="Dhaka"/>
    <s v="Absent"/>
    <n v="0"/>
    <n v="0"/>
    <s v="Paid"/>
  </r>
  <r>
    <x v="18"/>
    <x v="0"/>
    <x v="0"/>
    <x v="118"/>
    <x v="104"/>
    <x v="28"/>
    <s v="Dec'20"/>
    <x v="7"/>
    <s v="Dhaka"/>
    <s v="Absent"/>
    <n v="0"/>
    <n v="0"/>
    <s v="Paid"/>
  </r>
  <r>
    <x v="3"/>
    <x v="1"/>
    <x v="2"/>
    <x v="119"/>
    <x v="104"/>
    <x v="28"/>
    <s v="Dec'20"/>
    <x v="7"/>
    <s v="Dhaka"/>
    <s v="Present"/>
    <n v="1"/>
    <n v="8000"/>
    <s v="Paid"/>
  </r>
  <r>
    <x v="2"/>
    <x v="2"/>
    <x v="2"/>
    <x v="119"/>
    <x v="104"/>
    <x v="28"/>
    <s v="Dec'20"/>
    <x v="7"/>
    <s v="Dhaka"/>
    <s v="Present"/>
    <n v="1"/>
    <n v="8000"/>
    <s v="Paid"/>
  </r>
  <r>
    <x v="5"/>
    <x v="1"/>
    <x v="2"/>
    <x v="119"/>
    <x v="104"/>
    <x v="28"/>
    <s v="Dec'20"/>
    <x v="7"/>
    <s v="Dhaka"/>
    <s v="Present"/>
    <n v="1"/>
    <n v="8000"/>
    <s v="Paid"/>
  </r>
  <r>
    <x v="6"/>
    <x v="1"/>
    <x v="2"/>
    <x v="119"/>
    <x v="104"/>
    <x v="28"/>
    <s v="Dec'20"/>
    <x v="7"/>
    <s v="Dhaka"/>
    <s v="Present"/>
    <n v="1"/>
    <n v="8000"/>
    <s v="Paid"/>
  </r>
  <r>
    <x v="9"/>
    <x v="1"/>
    <x v="2"/>
    <x v="119"/>
    <x v="104"/>
    <x v="28"/>
    <s v="Dec'20"/>
    <x v="7"/>
    <s v="Dhaka"/>
    <s v="Present"/>
    <n v="1"/>
    <n v="8000"/>
    <s v="Paid"/>
  </r>
  <r>
    <x v="7"/>
    <x v="1"/>
    <x v="2"/>
    <x v="119"/>
    <x v="104"/>
    <x v="28"/>
    <s v="Dec'20"/>
    <x v="7"/>
    <s v="Dhaka"/>
    <s v="Present"/>
    <n v="1"/>
    <n v="8000"/>
    <s v="Paid"/>
  </r>
  <r>
    <x v="14"/>
    <x v="1"/>
    <x v="2"/>
    <x v="119"/>
    <x v="104"/>
    <x v="28"/>
    <s v="Dec'20"/>
    <x v="7"/>
    <s v="Dhaka"/>
    <s v="Present"/>
    <n v="1"/>
    <n v="8000"/>
    <s v="Paid"/>
  </r>
  <r>
    <x v="20"/>
    <x v="3"/>
    <x v="0"/>
    <x v="118"/>
    <x v="104"/>
    <x v="28"/>
    <s v="Dec'20"/>
    <x v="7"/>
    <s v="Dhaka"/>
    <s v="Present"/>
    <n v="1"/>
    <n v="8000"/>
    <s v="Paid"/>
  </r>
  <r>
    <x v="11"/>
    <x v="1"/>
    <x v="1"/>
    <x v="120"/>
    <x v="104"/>
    <x v="28"/>
    <s v="Dec'20"/>
    <x v="7"/>
    <s v="Dhaka"/>
    <s v="Present"/>
    <n v="1"/>
    <n v="8000"/>
    <s v="Paid"/>
  </r>
  <r>
    <x v="12"/>
    <x v="1"/>
    <x v="1"/>
    <x v="120"/>
    <x v="104"/>
    <x v="28"/>
    <s v="Dec'20"/>
    <x v="7"/>
    <s v="Dhaka"/>
    <s v="Present"/>
    <n v="1"/>
    <n v="8000"/>
    <s v="Paid"/>
  </r>
  <r>
    <x v="13"/>
    <x v="0"/>
    <x v="1"/>
    <x v="120"/>
    <x v="104"/>
    <x v="28"/>
    <s v="Dec'20"/>
    <x v="7"/>
    <s v="Dhaka"/>
    <s v="Present"/>
    <n v="1"/>
    <n v="8000"/>
    <s v="Paid"/>
  </r>
  <r>
    <x v="18"/>
    <x v="0"/>
    <x v="1"/>
    <x v="120"/>
    <x v="104"/>
    <x v="28"/>
    <s v="Dec'20"/>
    <x v="7"/>
    <s v="Dhaka"/>
    <s v="Absent"/>
    <n v="0"/>
    <n v="0"/>
    <s v="Paid"/>
  </r>
  <r>
    <x v="17"/>
    <x v="1"/>
    <x v="1"/>
    <x v="120"/>
    <x v="104"/>
    <x v="28"/>
    <s v="Dec'20"/>
    <x v="7"/>
    <s v="Dhaka"/>
    <s v="Absent"/>
    <n v="0"/>
    <n v="0"/>
    <s v="Paid"/>
  </r>
  <r>
    <x v="5"/>
    <x v="1"/>
    <x v="3"/>
    <x v="121"/>
    <x v="104"/>
    <x v="28"/>
    <s v="Dec'20"/>
    <x v="7"/>
    <s v="Dhaka"/>
    <s v="Present"/>
    <n v="1"/>
    <n v="8000"/>
    <s v="Paid"/>
  </r>
  <r>
    <x v="3"/>
    <x v="1"/>
    <x v="3"/>
    <x v="121"/>
    <x v="104"/>
    <x v="28"/>
    <s v="Dec'20"/>
    <x v="7"/>
    <s v="Dhaka"/>
    <s v="Present"/>
    <n v="1"/>
    <n v="8000"/>
    <s v="Paid"/>
  </r>
  <r>
    <x v="10"/>
    <x v="1"/>
    <x v="3"/>
    <x v="121"/>
    <x v="104"/>
    <x v="28"/>
    <s v="Dec'20"/>
    <x v="7"/>
    <s v="Dhaka"/>
    <s v="Absent"/>
    <n v="0"/>
    <n v="0"/>
    <s v="Paid"/>
  </r>
  <r>
    <x v="27"/>
    <x v="1"/>
    <x v="3"/>
    <x v="121"/>
    <x v="104"/>
    <x v="28"/>
    <s v="Dec'20"/>
    <x v="7"/>
    <s v="Dhaka"/>
    <s v="Present"/>
    <n v="1"/>
    <n v="8000"/>
    <s v="Paid"/>
  </r>
  <r>
    <x v="8"/>
    <x v="1"/>
    <x v="3"/>
    <x v="121"/>
    <x v="104"/>
    <x v="28"/>
    <s v="Dec'20"/>
    <x v="7"/>
    <s v="Dhaka"/>
    <s v="Absent"/>
    <n v="0"/>
    <n v="0"/>
    <s v="Paid"/>
  </r>
  <r>
    <x v="3"/>
    <x v="1"/>
    <x v="2"/>
    <x v="122"/>
    <x v="105"/>
    <x v="29"/>
    <s v="Jan'21"/>
    <x v="8"/>
    <s v="Dhaka"/>
    <s v="Present"/>
    <n v="1"/>
    <n v="8000"/>
    <s v="Paid"/>
  </r>
  <r>
    <x v="2"/>
    <x v="2"/>
    <x v="2"/>
    <x v="122"/>
    <x v="105"/>
    <x v="29"/>
    <s v="Jan'21"/>
    <x v="8"/>
    <s v="Dhaka"/>
    <s v="Present"/>
    <n v="1"/>
    <n v="8000"/>
    <s v="Paid"/>
  </r>
  <r>
    <x v="5"/>
    <x v="1"/>
    <x v="2"/>
    <x v="122"/>
    <x v="105"/>
    <x v="29"/>
    <s v="Jan'21"/>
    <x v="8"/>
    <s v="Dhaka"/>
    <s v="Present"/>
    <n v="1"/>
    <n v="8000"/>
    <s v="Paid"/>
  </r>
  <r>
    <x v="6"/>
    <x v="1"/>
    <x v="2"/>
    <x v="122"/>
    <x v="105"/>
    <x v="29"/>
    <s v="Jan'21"/>
    <x v="8"/>
    <s v="Dhaka"/>
    <s v="Present"/>
    <n v="1"/>
    <n v="8000"/>
    <s v="Paid"/>
  </r>
  <r>
    <x v="9"/>
    <x v="1"/>
    <x v="2"/>
    <x v="122"/>
    <x v="105"/>
    <x v="29"/>
    <s v="Jan'21"/>
    <x v="8"/>
    <s v="Dhaka"/>
    <s v="Present"/>
    <n v="1"/>
    <n v="8000"/>
    <s v="Paid"/>
  </r>
  <r>
    <x v="7"/>
    <x v="1"/>
    <x v="2"/>
    <x v="122"/>
    <x v="105"/>
    <x v="29"/>
    <s v="Jan'21"/>
    <x v="8"/>
    <s v="Dhaka"/>
    <s v="Present"/>
    <n v="1"/>
    <n v="8000"/>
    <s v="Paid"/>
  </r>
  <r>
    <x v="14"/>
    <x v="1"/>
    <x v="2"/>
    <x v="122"/>
    <x v="105"/>
    <x v="29"/>
    <s v="Jan'21"/>
    <x v="8"/>
    <s v="Dhaka"/>
    <s v="Absent"/>
    <n v="0"/>
    <n v="0"/>
    <s v="Paid"/>
  </r>
  <r>
    <x v="1"/>
    <x v="1"/>
    <x v="0"/>
    <x v="123"/>
    <x v="105"/>
    <x v="29"/>
    <s v="Jan'21"/>
    <x v="8"/>
    <s v="Dhaka"/>
    <s v="Present"/>
    <n v="1"/>
    <n v="8000"/>
    <s v="Paid"/>
  </r>
  <r>
    <x v="2"/>
    <x v="2"/>
    <x v="0"/>
    <x v="123"/>
    <x v="105"/>
    <x v="29"/>
    <s v="Jan'21"/>
    <x v="8"/>
    <s v="Dhaka"/>
    <s v="Present"/>
    <n v="1"/>
    <n v="8000"/>
    <s v="Paid"/>
  </r>
  <r>
    <x v="3"/>
    <x v="1"/>
    <x v="0"/>
    <x v="123"/>
    <x v="105"/>
    <x v="29"/>
    <s v="Jan'21"/>
    <x v="8"/>
    <s v="Dhaka"/>
    <s v="Present"/>
    <n v="1"/>
    <n v="8000"/>
    <s v="Paid"/>
  </r>
  <r>
    <x v="4"/>
    <x v="0"/>
    <x v="0"/>
    <x v="123"/>
    <x v="105"/>
    <x v="29"/>
    <s v="Jan'21"/>
    <x v="8"/>
    <s v="Dhaka"/>
    <s v="Absent"/>
    <n v="0"/>
    <n v="0"/>
    <s v="Paid"/>
  </r>
  <r>
    <x v="5"/>
    <x v="1"/>
    <x v="0"/>
    <x v="123"/>
    <x v="105"/>
    <x v="29"/>
    <s v="Jan'21"/>
    <x v="8"/>
    <s v="Dhaka"/>
    <s v="Present"/>
    <n v="1"/>
    <n v="8000"/>
    <s v="Paid"/>
  </r>
  <r>
    <x v="6"/>
    <x v="1"/>
    <x v="0"/>
    <x v="123"/>
    <x v="105"/>
    <x v="29"/>
    <s v="Jan'21"/>
    <x v="8"/>
    <s v="Dhaka"/>
    <s v="Present"/>
    <n v="1"/>
    <n v="8000"/>
    <s v="Paid"/>
  </r>
  <r>
    <x v="7"/>
    <x v="1"/>
    <x v="0"/>
    <x v="123"/>
    <x v="105"/>
    <x v="29"/>
    <s v="Jan'21"/>
    <x v="8"/>
    <s v="Dhaka"/>
    <s v="Present"/>
    <n v="1"/>
    <n v="8000"/>
    <s v="Paid"/>
  </r>
  <r>
    <x v="8"/>
    <x v="1"/>
    <x v="0"/>
    <x v="123"/>
    <x v="105"/>
    <x v="29"/>
    <s v="Jan'21"/>
    <x v="8"/>
    <s v="Dhaka"/>
    <s v="Present"/>
    <n v="1"/>
    <n v="8000"/>
    <s v="Paid"/>
  </r>
  <r>
    <x v="9"/>
    <x v="1"/>
    <x v="0"/>
    <x v="123"/>
    <x v="105"/>
    <x v="29"/>
    <s v="Jan'21"/>
    <x v="8"/>
    <s v="Dhaka"/>
    <s v="Present"/>
    <n v="1"/>
    <n v="8000"/>
    <s v="Paid"/>
  </r>
  <r>
    <x v="10"/>
    <x v="1"/>
    <x v="0"/>
    <x v="123"/>
    <x v="105"/>
    <x v="29"/>
    <s v="Jan'21"/>
    <x v="8"/>
    <s v="Dhaka"/>
    <s v="Present"/>
    <n v="1"/>
    <n v="8000"/>
    <s v="Paid"/>
  </r>
  <r>
    <x v="11"/>
    <x v="1"/>
    <x v="0"/>
    <x v="123"/>
    <x v="105"/>
    <x v="29"/>
    <s v="Jan'21"/>
    <x v="8"/>
    <s v="Dhaka"/>
    <s v="Present"/>
    <n v="1"/>
    <n v="8000"/>
    <s v="Paid"/>
  </r>
  <r>
    <x v="12"/>
    <x v="1"/>
    <x v="0"/>
    <x v="123"/>
    <x v="105"/>
    <x v="29"/>
    <s v="Jan'21"/>
    <x v="8"/>
    <s v="Dhaka"/>
    <s v="Present"/>
    <n v="1"/>
    <n v="8000"/>
    <s v="Paid"/>
  </r>
  <r>
    <x v="27"/>
    <x v="1"/>
    <x v="0"/>
    <x v="123"/>
    <x v="105"/>
    <x v="29"/>
    <s v="Jan'21"/>
    <x v="8"/>
    <s v="Dhaka"/>
    <s v="Present"/>
    <n v="1"/>
    <n v="8000"/>
    <s v="Paid"/>
  </r>
  <r>
    <x v="13"/>
    <x v="0"/>
    <x v="0"/>
    <x v="123"/>
    <x v="105"/>
    <x v="29"/>
    <s v="Jan'21"/>
    <x v="8"/>
    <s v="Dhaka"/>
    <s v="Present"/>
    <n v="1"/>
    <n v="8000"/>
    <s v="Paid"/>
  </r>
  <r>
    <x v="14"/>
    <x v="1"/>
    <x v="0"/>
    <x v="123"/>
    <x v="105"/>
    <x v="29"/>
    <s v="Jan'21"/>
    <x v="8"/>
    <s v="Dhaka"/>
    <s v="Absent"/>
    <n v="0"/>
    <n v="0"/>
    <s v="Paid"/>
  </r>
  <r>
    <x v="15"/>
    <x v="1"/>
    <x v="0"/>
    <x v="123"/>
    <x v="105"/>
    <x v="29"/>
    <s v="Jan'21"/>
    <x v="8"/>
    <s v="Dhaka"/>
    <s v="Present"/>
    <n v="1"/>
    <n v="8000"/>
    <s v="Paid"/>
  </r>
  <r>
    <x v="16"/>
    <x v="1"/>
    <x v="0"/>
    <x v="123"/>
    <x v="105"/>
    <x v="29"/>
    <s v="Jan'21"/>
    <x v="8"/>
    <s v="Dhaka"/>
    <s v="Present"/>
    <n v="1"/>
    <n v="8000"/>
    <s v="Paid"/>
  </r>
  <r>
    <x v="17"/>
    <x v="1"/>
    <x v="0"/>
    <x v="123"/>
    <x v="105"/>
    <x v="29"/>
    <s v="Jan'21"/>
    <x v="8"/>
    <s v="Dhaka"/>
    <s v="Absent"/>
    <n v="0"/>
    <n v="0"/>
    <s v="Paid"/>
  </r>
  <r>
    <x v="18"/>
    <x v="0"/>
    <x v="0"/>
    <x v="123"/>
    <x v="105"/>
    <x v="29"/>
    <s v="Jan'21"/>
    <x v="8"/>
    <s v="Dhaka"/>
    <s v="Absent"/>
    <n v="0"/>
    <n v="0"/>
    <s v="Paid"/>
  </r>
  <r>
    <x v="20"/>
    <x v="3"/>
    <x v="0"/>
    <x v="123"/>
    <x v="105"/>
    <x v="29"/>
    <s v="Jan'21"/>
    <x v="8"/>
    <s v="Dhaka"/>
    <s v="Present"/>
    <n v="1"/>
    <n v="8000"/>
    <s v="Paid"/>
  </r>
  <r>
    <x v="3"/>
    <x v="1"/>
    <x v="2"/>
    <x v="124"/>
    <x v="106"/>
    <x v="29"/>
    <s v="Feb'21"/>
    <x v="8"/>
    <s v="Dhaka"/>
    <s v="Present"/>
    <n v="1"/>
    <n v="8000"/>
    <s v="Paid"/>
  </r>
  <r>
    <x v="2"/>
    <x v="2"/>
    <x v="2"/>
    <x v="124"/>
    <x v="106"/>
    <x v="29"/>
    <s v="Feb'21"/>
    <x v="8"/>
    <s v="Dhaka"/>
    <s v="Present"/>
    <n v="1"/>
    <n v="8000"/>
    <s v="Paid"/>
  </r>
  <r>
    <x v="5"/>
    <x v="1"/>
    <x v="2"/>
    <x v="124"/>
    <x v="106"/>
    <x v="29"/>
    <s v="Feb'21"/>
    <x v="8"/>
    <s v="Dhaka"/>
    <s v="Present"/>
    <n v="1"/>
    <n v="8000"/>
    <s v="Paid"/>
  </r>
  <r>
    <x v="6"/>
    <x v="1"/>
    <x v="2"/>
    <x v="124"/>
    <x v="106"/>
    <x v="29"/>
    <s v="Feb'21"/>
    <x v="8"/>
    <s v="Dhaka"/>
    <s v="Present"/>
    <n v="1"/>
    <n v="8000"/>
    <s v="Paid"/>
  </r>
  <r>
    <x v="9"/>
    <x v="1"/>
    <x v="2"/>
    <x v="124"/>
    <x v="106"/>
    <x v="29"/>
    <s v="Feb'21"/>
    <x v="8"/>
    <s v="Dhaka"/>
    <s v="Present"/>
    <n v="1"/>
    <n v="8000"/>
    <s v="Paid"/>
  </r>
  <r>
    <x v="7"/>
    <x v="1"/>
    <x v="2"/>
    <x v="124"/>
    <x v="106"/>
    <x v="29"/>
    <s v="Feb'21"/>
    <x v="8"/>
    <s v="Dhaka"/>
    <s v="Present"/>
    <n v="1"/>
    <n v="8000"/>
    <s v="Paid"/>
  </r>
  <r>
    <x v="14"/>
    <x v="1"/>
    <x v="2"/>
    <x v="124"/>
    <x v="106"/>
    <x v="29"/>
    <s v="Feb'21"/>
    <x v="8"/>
    <s v="Dhaka"/>
    <s v="Absent"/>
    <n v="0"/>
    <n v="0"/>
    <s v="Paid"/>
  </r>
  <r>
    <x v="1"/>
    <x v="1"/>
    <x v="0"/>
    <x v="125"/>
    <x v="106"/>
    <x v="29"/>
    <s v="Feb'21"/>
    <x v="8"/>
    <s v="Dhaka"/>
    <s v="Present"/>
    <n v="1"/>
    <n v="8000"/>
    <s v="Paid"/>
  </r>
  <r>
    <x v="2"/>
    <x v="2"/>
    <x v="0"/>
    <x v="125"/>
    <x v="106"/>
    <x v="29"/>
    <s v="Feb'21"/>
    <x v="8"/>
    <s v="Dhaka"/>
    <s v="Present"/>
    <n v="1"/>
    <n v="8000"/>
    <s v="Paid"/>
  </r>
  <r>
    <x v="3"/>
    <x v="1"/>
    <x v="0"/>
    <x v="125"/>
    <x v="106"/>
    <x v="29"/>
    <s v="Feb'21"/>
    <x v="8"/>
    <s v="Dhaka"/>
    <s v="Present"/>
    <n v="1"/>
    <n v="8000"/>
    <s v="Paid"/>
  </r>
  <r>
    <x v="4"/>
    <x v="0"/>
    <x v="0"/>
    <x v="125"/>
    <x v="106"/>
    <x v="29"/>
    <s v="Feb'21"/>
    <x v="8"/>
    <s v="Dhaka"/>
    <s v="Absent"/>
    <n v="0"/>
    <n v="0"/>
    <s v="Paid"/>
  </r>
  <r>
    <x v="5"/>
    <x v="1"/>
    <x v="0"/>
    <x v="125"/>
    <x v="106"/>
    <x v="29"/>
    <s v="Feb'21"/>
    <x v="8"/>
    <s v="Dhaka"/>
    <s v="Present"/>
    <n v="1"/>
    <n v="8000"/>
    <s v="Paid"/>
  </r>
  <r>
    <x v="6"/>
    <x v="1"/>
    <x v="0"/>
    <x v="125"/>
    <x v="106"/>
    <x v="29"/>
    <s v="Feb'21"/>
    <x v="8"/>
    <s v="Dhaka"/>
    <s v="Present"/>
    <n v="1"/>
    <n v="8000"/>
    <s v="Paid"/>
  </r>
  <r>
    <x v="7"/>
    <x v="1"/>
    <x v="0"/>
    <x v="125"/>
    <x v="106"/>
    <x v="29"/>
    <s v="Feb'21"/>
    <x v="8"/>
    <s v="Dhaka"/>
    <s v="Present"/>
    <n v="1"/>
    <n v="8000"/>
    <s v="Paid"/>
  </r>
  <r>
    <x v="8"/>
    <x v="1"/>
    <x v="0"/>
    <x v="125"/>
    <x v="106"/>
    <x v="29"/>
    <s v="Feb'21"/>
    <x v="8"/>
    <s v="Dhaka"/>
    <s v="Present"/>
    <n v="1"/>
    <n v="8000"/>
    <s v="Paid"/>
  </r>
  <r>
    <x v="9"/>
    <x v="1"/>
    <x v="0"/>
    <x v="125"/>
    <x v="106"/>
    <x v="29"/>
    <s v="Feb'21"/>
    <x v="8"/>
    <s v="Dhaka"/>
    <s v="Present"/>
    <n v="1"/>
    <n v="8000"/>
    <s v="Paid"/>
  </r>
  <r>
    <x v="10"/>
    <x v="1"/>
    <x v="0"/>
    <x v="125"/>
    <x v="106"/>
    <x v="29"/>
    <s v="Feb'21"/>
    <x v="8"/>
    <s v="Dhaka"/>
    <s v="Present"/>
    <n v="1"/>
    <n v="8000"/>
    <s v="Paid"/>
  </r>
  <r>
    <x v="11"/>
    <x v="1"/>
    <x v="0"/>
    <x v="125"/>
    <x v="106"/>
    <x v="29"/>
    <s v="Feb'21"/>
    <x v="8"/>
    <s v="Dhaka"/>
    <s v="Present"/>
    <n v="1"/>
    <n v="8000"/>
    <s v="Paid"/>
  </r>
  <r>
    <x v="12"/>
    <x v="1"/>
    <x v="0"/>
    <x v="125"/>
    <x v="106"/>
    <x v="29"/>
    <s v="Feb'21"/>
    <x v="8"/>
    <s v="Dhaka"/>
    <s v="Present"/>
    <n v="1"/>
    <n v="8000"/>
    <s v="Paid"/>
  </r>
  <r>
    <x v="27"/>
    <x v="1"/>
    <x v="0"/>
    <x v="125"/>
    <x v="106"/>
    <x v="29"/>
    <s v="Feb'21"/>
    <x v="8"/>
    <s v="Dhaka"/>
    <s v="Present"/>
    <n v="1"/>
    <n v="8000"/>
    <s v="Paid"/>
  </r>
  <r>
    <x v="13"/>
    <x v="0"/>
    <x v="0"/>
    <x v="125"/>
    <x v="106"/>
    <x v="29"/>
    <s v="Feb'21"/>
    <x v="8"/>
    <s v="Dhaka"/>
    <s v="Present"/>
    <n v="1"/>
    <n v="8000"/>
    <s v="Paid"/>
  </r>
  <r>
    <x v="14"/>
    <x v="1"/>
    <x v="0"/>
    <x v="125"/>
    <x v="106"/>
    <x v="29"/>
    <s v="Feb'21"/>
    <x v="8"/>
    <s v="Dhaka"/>
    <s v="Absent"/>
    <n v="0"/>
    <n v="0"/>
    <s v="Paid"/>
  </r>
  <r>
    <x v="15"/>
    <x v="1"/>
    <x v="0"/>
    <x v="125"/>
    <x v="106"/>
    <x v="29"/>
    <s v="Feb'21"/>
    <x v="8"/>
    <s v="Dhaka"/>
    <s v="Present"/>
    <n v="1"/>
    <n v="8000"/>
    <s v="Paid"/>
  </r>
  <r>
    <x v="16"/>
    <x v="1"/>
    <x v="0"/>
    <x v="125"/>
    <x v="106"/>
    <x v="29"/>
    <s v="Feb'21"/>
    <x v="8"/>
    <s v="Dhaka"/>
    <s v="Present"/>
    <n v="1"/>
    <n v="8000"/>
    <s v="Paid"/>
  </r>
  <r>
    <x v="17"/>
    <x v="1"/>
    <x v="0"/>
    <x v="125"/>
    <x v="106"/>
    <x v="29"/>
    <s v="Feb'21"/>
    <x v="8"/>
    <s v="Dhaka"/>
    <s v="Absent"/>
    <n v="0"/>
    <n v="0"/>
    <s v="Paid"/>
  </r>
  <r>
    <x v="18"/>
    <x v="0"/>
    <x v="0"/>
    <x v="125"/>
    <x v="106"/>
    <x v="29"/>
    <s v="Feb'21"/>
    <x v="8"/>
    <s v="Dhaka"/>
    <s v="Present"/>
    <n v="1"/>
    <n v="8000"/>
    <s v="Paid"/>
  </r>
  <r>
    <x v="20"/>
    <x v="3"/>
    <x v="0"/>
    <x v="125"/>
    <x v="106"/>
    <x v="29"/>
    <s v="Feb'21"/>
    <x v="8"/>
    <s v="Dhaka"/>
    <s v="Present"/>
    <n v="1"/>
    <n v="8000"/>
    <s v="Paid"/>
  </r>
  <r>
    <x v="13"/>
    <x v="0"/>
    <x v="4"/>
    <x v="126"/>
    <x v="106"/>
    <x v="29"/>
    <s v="Feb'21"/>
    <x v="8"/>
    <s v="Dhaka"/>
    <s v="Present"/>
    <n v="1"/>
    <n v="8000"/>
    <s v="Paid"/>
  </r>
  <r>
    <x v="9"/>
    <x v="1"/>
    <x v="4"/>
    <x v="126"/>
    <x v="106"/>
    <x v="29"/>
    <s v="Feb'21"/>
    <x v="8"/>
    <s v="Dhaka"/>
    <s v="Present"/>
    <n v="1"/>
    <n v="8000"/>
    <s v="Paid"/>
  </r>
  <r>
    <x v="7"/>
    <x v="1"/>
    <x v="4"/>
    <x v="126"/>
    <x v="106"/>
    <x v="29"/>
    <s v="Feb'21"/>
    <x v="8"/>
    <s v="Dhaka"/>
    <s v="Present"/>
    <n v="1"/>
    <n v="8000"/>
    <s v="Paid"/>
  </r>
  <r>
    <x v="8"/>
    <x v="1"/>
    <x v="4"/>
    <x v="126"/>
    <x v="106"/>
    <x v="29"/>
    <s v="Feb'21"/>
    <x v="8"/>
    <s v="Dhaka"/>
    <s v="Present"/>
    <n v="1"/>
    <n v="8000"/>
    <s v="Paid"/>
  </r>
  <r>
    <x v="16"/>
    <x v="1"/>
    <x v="4"/>
    <x v="126"/>
    <x v="106"/>
    <x v="29"/>
    <s v="Feb'21"/>
    <x v="8"/>
    <s v="Dhaka"/>
    <s v="Present"/>
    <n v="1"/>
    <n v="8000"/>
    <s v="Paid"/>
  </r>
  <r>
    <x v="11"/>
    <x v="1"/>
    <x v="1"/>
    <x v="127"/>
    <x v="107"/>
    <x v="29"/>
    <s v="Mar'21"/>
    <x v="8"/>
    <s v="Dhaka"/>
    <s v="Present"/>
    <n v="1"/>
    <n v="8000"/>
    <s v="Paid"/>
  </r>
  <r>
    <x v="12"/>
    <x v="1"/>
    <x v="1"/>
    <x v="127"/>
    <x v="107"/>
    <x v="29"/>
    <s v="Mar'21"/>
    <x v="8"/>
    <s v="Dhaka"/>
    <s v="Present"/>
    <n v="1"/>
    <n v="8000"/>
    <s v="Paid"/>
  </r>
  <r>
    <x v="13"/>
    <x v="0"/>
    <x v="1"/>
    <x v="127"/>
    <x v="107"/>
    <x v="29"/>
    <s v="Mar'21"/>
    <x v="8"/>
    <s v="Dhaka"/>
    <s v="Absent"/>
    <n v="0"/>
    <n v="0"/>
    <s v="Paid"/>
  </r>
  <r>
    <x v="18"/>
    <x v="0"/>
    <x v="1"/>
    <x v="127"/>
    <x v="107"/>
    <x v="29"/>
    <s v="Mar'21"/>
    <x v="8"/>
    <s v="Dhaka"/>
    <s v="Present"/>
    <n v="1"/>
    <n v="8000"/>
    <s v="Paid"/>
  </r>
  <r>
    <x v="17"/>
    <x v="1"/>
    <x v="1"/>
    <x v="127"/>
    <x v="107"/>
    <x v="29"/>
    <s v="Mar'21"/>
    <x v="8"/>
    <s v="Dhaka"/>
    <s v="Absent"/>
    <n v="0"/>
    <n v="0"/>
    <s v="Paid"/>
  </r>
  <r>
    <x v="3"/>
    <x v="1"/>
    <x v="2"/>
    <x v="128"/>
    <x v="108"/>
    <x v="29"/>
    <s v="Mar'21"/>
    <x v="8"/>
    <s v="Dhaka"/>
    <s v="Present"/>
    <n v="1"/>
    <n v="8000"/>
    <s v="Paid"/>
  </r>
  <r>
    <x v="2"/>
    <x v="2"/>
    <x v="2"/>
    <x v="128"/>
    <x v="108"/>
    <x v="29"/>
    <s v="Mar'21"/>
    <x v="8"/>
    <s v="Dhaka"/>
    <s v="Absent"/>
    <n v="0"/>
    <n v="0"/>
    <s v="Paid"/>
  </r>
  <r>
    <x v="5"/>
    <x v="1"/>
    <x v="2"/>
    <x v="128"/>
    <x v="108"/>
    <x v="29"/>
    <s v="Mar'21"/>
    <x v="8"/>
    <s v="Dhaka"/>
    <s v="Present"/>
    <n v="1"/>
    <n v="8000"/>
    <s v="Paid"/>
  </r>
  <r>
    <x v="6"/>
    <x v="1"/>
    <x v="2"/>
    <x v="128"/>
    <x v="108"/>
    <x v="29"/>
    <s v="Mar'21"/>
    <x v="8"/>
    <s v="Dhaka"/>
    <s v="Absent"/>
    <n v="0"/>
    <n v="0"/>
    <s v="Paid"/>
  </r>
  <r>
    <x v="9"/>
    <x v="1"/>
    <x v="2"/>
    <x v="128"/>
    <x v="108"/>
    <x v="29"/>
    <s v="Mar'21"/>
    <x v="8"/>
    <s v="Dhaka"/>
    <s v="Present"/>
    <n v="1"/>
    <n v="8000"/>
    <s v="Paid"/>
  </r>
  <r>
    <x v="7"/>
    <x v="1"/>
    <x v="2"/>
    <x v="128"/>
    <x v="108"/>
    <x v="29"/>
    <s v="Mar'21"/>
    <x v="8"/>
    <s v="Dhaka"/>
    <s v="Present"/>
    <n v="1"/>
    <n v="8000"/>
    <s v="Paid"/>
  </r>
  <r>
    <x v="14"/>
    <x v="1"/>
    <x v="2"/>
    <x v="128"/>
    <x v="108"/>
    <x v="29"/>
    <s v="Mar'21"/>
    <x v="8"/>
    <s v="Dhaka"/>
    <s v="Absent"/>
    <n v="0"/>
    <n v="0"/>
    <s v="Paid"/>
  </r>
  <r>
    <x v="1"/>
    <x v="1"/>
    <x v="0"/>
    <x v="129"/>
    <x v="108"/>
    <x v="29"/>
    <s v="Mar'21"/>
    <x v="8"/>
    <s v="Dhaka"/>
    <s v="Present"/>
    <n v="1"/>
    <n v="8000"/>
    <s v="Paid"/>
  </r>
  <r>
    <x v="2"/>
    <x v="2"/>
    <x v="0"/>
    <x v="129"/>
    <x v="108"/>
    <x v="29"/>
    <s v="Mar'21"/>
    <x v="8"/>
    <s v="Dhaka"/>
    <s v="Absent"/>
    <n v="0"/>
    <n v="0"/>
    <s v="Paid"/>
  </r>
  <r>
    <x v="3"/>
    <x v="1"/>
    <x v="0"/>
    <x v="129"/>
    <x v="108"/>
    <x v="29"/>
    <s v="Mar'21"/>
    <x v="8"/>
    <s v="Dhaka"/>
    <s v="Present"/>
    <n v="1"/>
    <n v="8000"/>
    <s v="Paid"/>
  </r>
  <r>
    <x v="4"/>
    <x v="0"/>
    <x v="0"/>
    <x v="129"/>
    <x v="108"/>
    <x v="29"/>
    <s v="Mar'21"/>
    <x v="8"/>
    <s v="Dhaka"/>
    <s v="Absent"/>
    <n v="0"/>
    <n v="0"/>
    <s v="Paid"/>
  </r>
  <r>
    <x v="5"/>
    <x v="1"/>
    <x v="0"/>
    <x v="129"/>
    <x v="108"/>
    <x v="29"/>
    <s v="Mar'21"/>
    <x v="8"/>
    <s v="Dhaka"/>
    <s v="Present"/>
    <n v="1"/>
    <n v="8000"/>
    <s v="Paid"/>
  </r>
  <r>
    <x v="6"/>
    <x v="1"/>
    <x v="0"/>
    <x v="129"/>
    <x v="108"/>
    <x v="29"/>
    <s v="Mar'21"/>
    <x v="8"/>
    <s v="Dhaka"/>
    <s v="Absent"/>
    <n v="0"/>
    <n v="0"/>
    <s v="Paid"/>
  </r>
  <r>
    <x v="7"/>
    <x v="1"/>
    <x v="0"/>
    <x v="129"/>
    <x v="108"/>
    <x v="29"/>
    <s v="Mar'21"/>
    <x v="8"/>
    <s v="Dhaka"/>
    <s v="Present"/>
    <n v="1"/>
    <n v="8000"/>
    <s v="Paid"/>
  </r>
  <r>
    <x v="8"/>
    <x v="1"/>
    <x v="0"/>
    <x v="129"/>
    <x v="108"/>
    <x v="29"/>
    <s v="Mar'21"/>
    <x v="8"/>
    <s v="Dhaka"/>
    <s v="Present"/>
    <n v="1"/>
    <n v="8000"/>
    <s v="Paid"/>
  </r>
  <r>
    <x v="9"/>
    <x v="1"/>
    <x v="0"/>
    <x v="129"/>
    <x v="108"/>
    <x v="29"/>
    <s v="Mar'21"/>
    <x v="8"/>
    <s v="Dhaka"/>
    <s v="Present"/>
    <n v="1"/>
    <n v="8000"/>
    <s v="Paid"/>
  </r>
  <r>
    <x v="10"/>
    <x v="1"/>
    <x v="0"/>
    <x v="129"/>
    <x v="108"/>
    <x v="29"/>
    <s v="Mar'21"/>
    <x v="8"/>
    <s v="Dhaka"/>
    <s v="Present"/>
    <n v="1"/>
    <n v="8000"/>
    <s v="Paid"/>
  </r>
  <r>
    <x v="11"/>
    <x v="1"/>
    <x v="0"/>
    <x v="129"/>
    <x v="108"/>
    <x v="29"/>
    <s v="Mar'21"/>
    <x v="8"/>
    <s v="Dhaka"/>
    <s v="Present"/>
    <n v="1"/>
    <n v="8000"/>
    <s v="Paid"/>
  </r>
  <r>
    <x v="12"/>
    <x v="1"/>
    <x v="0"/>
    <x v="129"/>
    <x v="108"/>
    <x v="29"/>
    <s v="Mar'21"/>
    <x v="8"/>
    <s v="Dhaka"/>
    <s v="Present"/>
    <n v="1"/>
    <n v="8000"/>
    <s v="Paid"/>
  </r>
  <r>
    <x v="27"/>
    <x v="1"/>
    <x v="0"/>
    <x v="129"/>
    <x v="108"/>
    <x v="29"/>
    <s v="Mar'21"/>
    <x v="8"/>
    <s v="Dhaka"/>
    <s v="Present"/>
    <n v="1"/>
    <n v="8000"/>
    <s v="Paid"/>
  </r>
  <r>
    <x v="13"/>
    <x v="0"/>
    <x v="0"/>
    <x v="129"/>
    <x v="108"/>
    <x v="29"/>
    <s v="Mar'21"/>
    <x v="8"/>
    <s v="Dhaka"/>
    <s v="Present"/>
    <n v="1"/>
    <n v="8000"/>
    <s v="Paid"/>
  </r>
  <r>
    <x v="14"/>
    <x v="1"/>
    <x v="0"/>
    <x v="129"/>
    <x v="108"/>
    <x v="29"/>
    <s v="Mar'21"/>
    <x v="8"/>
    <s v="Dhaka"/>
    <s v="Absent"/>
    <n v="0"/>
    <n v="0"/>
    <s v="Paid"/>
  </r>
  <r>
    <x v="15"/>
    <x v="1"/>
    <x v="0"/>
    <x v="129"/>
    <x v="108"/>
    <x v="29"/>
    <s v="Mar'21"/>
    <x v="8"/>
    <s v="Dhaka"/>
    <s v="Absent"/>
    <n v="0"/>
    <n v="0"/>
    <s v="Paid"/>
  </r>
  <r>
    <x v="16"/>
    <x v="1"/>
    <x v="0"/>
    <x v="129"/>
    <x v="108"/>
    <x v="29"/>
    <s v="Mar'21"/>
    <x v="8"/>
    <s v="Dhaka"/>
    <s v="Present"/>
    <n v="1"/>
    <n v="8000"/>
    <s v="Paid"/>
  </r>
  <r>
    <x v="17"/>
    <x v="1"/>
    <x v="0"/>
    <x v="129"/>
    <x v="108"/>
    <x v="29"/>
    <s v="Mar'21"/>
    <x v="8"/>
    <s v="Dhaka"/>
    <s v="Absent"/>
    <n v="0"/>
    <n v="0"/>
    <s v="Paid"/>
  </r>
  <r>
    <x v="18"/>
    <x v="0"/>
    <x v="0"/>
    <x v="129"/>
    <x v="108"/>
    <x v="29"/>
    <s v="Mar'21"/>
    <x v="8"/>
    <s v="Dhaka"/>
    <s v="Absent"/>
    <n v="0"/>
    <n v="0"/>
    <s v="Paid"/>
  </r>
  <r>
    <x v="20"/>
    <x v="3"/>
    <x v="0"/>
    <x v="129"/>
    <x v="108"/>
    <x v="29"/>
    <s v="Mar'21"/>
    <x v="8"/>
    <s v="Dhaka"/>
    <s v="Absent"/>
    <n v="0"/>
    <n v="0"/>
    <s v="Paid"/>
  </r>
  <r>
    <x v="1"/>
    <x v="1"/>
    <x v="0"/>
    <x v="130"/>
    <x v="109"/>
    <x v="30"/>
    <s v="May'21"/>
    <x v="8"/>
    <s v="Dhaka"/>
    <s v="Present"/>
    <n v="1"/>
    <n v="8000"/>
    <s v="Paid"/>
  </r>
  <r>
    <x v="2"/>
    <x v="2"/>
    <x v="0"/>
    <x v="130"/>
    <x v="109"/>
    <x v="30"/>
    <s v="May'21"/>
    <x v="8"/>
    <s v="Dhaka"/>
    <s v="Absent"/>
    <n v="0"/>
    <n v="0"/>
    <s v="Paid"/>
  </r>
  <r>
    <x v="3"/>
    <x v="1"/>
    <x v="0"/>
    <x v="130"/>
    <x v="109"/>
    <x v="30"/>
    <s v="May'21"/>
    <x v="8"/>
    <s v="Dhaka"/>
    <s v="Present"/>
    <n v="1"/>
    <n v="8000"/>
    <s v="Paid"/>
  </r>
  <r>
    <x v="4"/>
    <x v="0"/>
    <x v="0"/>
    <x v="130"/>
    <x v="109"/>
    <x v="30"/>
    <s v="May'21"/>
    <x v="8"/>
    <s v="Dhaka"/>
    <s v="Absent"/>
    <n v="0"/>
    <n v="0"/>
    <s v="Paid"/>
  </r>
  <r>
    <x v="5"/>
    <x v="1"/>
    <x v="0"/>
    <x v="130"/>
    <x v="109"/>
    <x v="30"/>
    <s v="May'21"/>
    <x v="8"/>
    <s v="Dhaka"/>
    <s v="Present"/>
    <n v="1"/>
    <n v="8000"/>
    <s v="Paid"/>
  </r>
  <r>
    <x v="6"/>
    <x v="1"/>
    <x v="0"/>
    <x v="130"/>
    <x v="109"/>
    <x v="30"/>
    <s v="May'21"/>
    <x v="8"/>
    <s v="Dhaka"/>
    <s v="Present"/>
    <n v="1"/>
    <n v="8000"/>
    <s v="Paid"/>
  </r>
  <r>
    <x v="7"/>
    <x v="1"/>
    <x v="0"/>
    <x v="130"/>
    <x v="109"/>
    <x v="30"/>
    <s v="May'21"/>
    <x v="8"/>
    <s v="Dhaka"/>
    <s v="Present"/>
    <n v="1"/>
    <n v="8000"/>
    <s v="Paid"/>
  </r>
  <r>
    <x v="8"/>
    <x v="1"/>
    <x v="0"/>
    <x v="130"/>
    <x v="109"/>
    <x v="30"/>
    <s v="May'21"/>
    <x v="8"/>
    <s v="Dhaka"/>
    <s v="Present"/>
    <n v="1"/>
    <n v="8000"/>
    <s v="Paid"/>
  </r>
  <r>
    <x v="9"/>
    <x v="1"/>
    <x v="0"/>
    <x v="130"/>
    <x v="109"/>
    <x v="30"/>
    <s v="May'21"/>
    <x v="8"/>
    <s v="Dhaka"/>
    <s v="Present"/>
    <n v="1"/>
    <n v="8000"/>
    <s v="Paid"/>
  </r>
  <r>
    <x v="10"/>
    <x v="1"/>
    <x v="0"/>
    <x v="130"/>
    <x v="109"/>
    <x v="30"/>
    <s v="May'21"/>
    <x v="8"/>
    <s v="Dhaka"/>
    <s v="Present"/>
    <n v="1"/>
    <n v="8000"/>
    <s v="Paid"/>
  </r>
  <r>
    <x v="11"/>
    <x v="1"/>
    <x v="0"/>
    <x v="130"/>
    <x v="109"/>
    <x v="30"/>
    <s v="May'21"/>
    <x v="8"/>
    <s v="Dhaka"/>
    <s v="Present"/>
    <n v="1"/>
    <n v="8000"/>
    <s v="Paid"/>
  </r>
  <r>
    <x v="12"/>
    <x v="1"/>
    <x v="0"/>
    <x v="130"/>
    <x v="109"/>
    <x v="30"/>
    <s v="May'21"/>
    <x v="8"/>
    <s v="Dhaka"/>
    <s v="Present"/>
    <n v="1"/>
    <n v="8000"/>
    <s v="Paid"/>
  </r>
  <r>
    <x v="27"/>
    <x v="1"/>
    <x v="0"/>
    <x v="130"/>
    <x v="109"/>
    <x v="30"/>
    <s v="May'21"/>
    <x v="8"/>
    <s v="Dhaka"/>
    <s v="Present"/>
    <n v="1"/>
    <n v="8000"/>
    <s v="Paid"/>
  </r>
  <r>
    <x v="13"/>
    <x v="0"/>
    <x v="0"/>
    <x v="130"/>
    <x v="109"/>
    <x v="30"/>
    <s v="May'21"/>
    <x v="8"/>
    <s v="Dhaka"/>
    <s v="Present"/>
    <n v="1"/>
    <n v="8000"/>
    <s v="Paid"/>
  </r>
  <r>
    <x v="14"/>
    <x v="1"/>
    <x v="0"/>
    <x v="130"/>
    <x v="109"/>
    <x v="30"/>
    <s v="May'21"/>
    <x v="8"/>
    <s v="Dhaka"/>
    <s v="Absent"/>
    <n v="0"/>
    <n v="0"/>
    <s v="Paid"/>
  </r>
  <r>
    <x v="15"/>
    <x v="1"/>
    <x v="0"/>
    <x v="130"/>
    <x v="109"/>
    <x v="30"/>
    <s v="May'21"/>
    <x v="8"/>
    <s v="Dhaka"/>
    <s v="Absent"/>
    <n v="0"/>
    <n v="0"/>
    <s v="Paid"/>
  </r>
  <r>
    <x v="16"/>
    <x v="1"/>
    <x v="0"/>
    <x v="130"/>
    <x v="109"/>
    <x v="30"/>
    <s v="May'21"/>
    <x v="8"/>
    <s v="Dhaka"/>
    <s v="Present"/>
    <n v="1"/>
    <n v="8000"/>
    <s v="Paid"/>
  </r>
  <r>
    <x v="17"/>
    <x v="1"/>
    <x v="0"/>
    <x v="130"/>
    <x v="109"/>
    <x v="30"/>
    <s v="May'21"/>
    <x v="8"/>
    <s v="Dhaka"/>
    <s v="Absent"/>
    <n v="0"/>
    <n v="0"/>
    <s v="Paid"/>
  </r>
  <r>
    <x v="18"/>
    <x v="0"/>
    <x v="0"/>
    <x v="130"/>
    <x v="109"/>
    <x v="30"/>
    <s v="May'21"/>
    <x v="8"/>
    <s v="Dhaka"/>
    <s v="Absent"/>
    <n v="0"/>
    <n v="0"/>
    <s v="Paid"/>
  </r>
  <r>
    <x v="21"/>
    <x v="3"/>
    <x v="0"/>
    <x v="130"/>
    <x v="109"/>
    <x v="30"/>
    <s v="May'21"/>
    <x v="8"/>
    <s v="Dhaka"/>
    <s v="Present"/>
    <n v="1"/>
    <n v="8000"/>
    <s v="Paid"/>
  </r>
  <r>
    <x v="3"/>
    <x v="1"/>
    <x v="2"/>
    <x v="131"/>
    <x v="110"/>
    <x v="30"/>
    <s v="May'21"/>
    <x v="8"/>
    <s v="Dhaka"/>
    <s v="Present"/>
    <n v="1"/>
    <n v="8000"/>
    <s v="Paid"/>
  </r>
  <r>
    <x v="2"/>
    <x v="2"/>
    <x v="2"/>
    <x v="131"/>
    <x v="110"/>
    <x v="30"/>
    <s v="May'21"/>
    <x v="8"/>
    <s v="Dhaka"/>
    <s v="Absent"/>
    <n v="0"/>
    <n v="0"/>
    <s v="Paid"/>
  </r>
  <r>
    <x v="5"/>
    <x v="1"/>
    <x v="2"/>
    <x v="131"/>
    <x v="110"/>
    <x v="30"/>
    <s v="May'21"/>
    <x v="8"/>
    <s v="Dhaka"/>
    <s v="Present"/>
    <n v="1"/>
    <n v="8000"/>
    <s v="Paid"/>
  </r>
  <r>
    <x v="6"/>
    <x v="1"/>
    <x v="2"/>
    <x v="131"/>
    <x v="110"/>
    <x v="30"/>
    <s v="May'21"/>
    <x v="8"/>
    <s v="Dhaka"/>
    <s v="Present"/>
    <n v="1"/>
    <n v="8000"/>
    <s v="Paid"/>
  </r>
  <r>
    <x v="9"/>
    <x v="1"/>
    <x v="2"/>
    <x v="131"/>
    <x v="110"/>
    <x v="30"/>
    <s v="May'21"/>
    <x v="8"/>
    <s v="Dhaka"/>
    <s v="Present"/>
    <n v="1"/>
    <n v="8000"/>
    <s v="Paid"/>
  </r>
  <r>
    <x v="7"/>
    <x v="1"/>
    <x v="2"/>
    <x v="131"/>
    <x v="110"/>
    <x v="30"/>
    <s v="May'21"/>
    <x v="8"/>
    <s v="Dhaka"/>
    <s v="Present"/>
    <n v="1"/>
    <n v="8000"/>
    <s v="Paid"/>
  </r>
  <r>
    <x v="14"/>
    <x v="1"/>
    <x v="2"/>
    <x v="131"/>
    <x v="110"/>
    <x v="30"/>
    <s v="May'21"/>
    <x v="8"/>
    <s v="Dhaka"/>
    <s v="Absent"/>
    <n v="0"/>
    <n v="0"/>
    <s v="Paid"/>
  </r>
  <r>
    <x v="5"/>
    <x v="1"/>
    <x v="3"/>
    <x v="132"/>
    <x v="110"/>
    <x v="30"/>
    <s v="May'21"/>
    <x v="8"/>
    <s v="Dhaka"/>
    <s v="Present"/>
    <n v="1"/>
    <n v="8000"/>
    <s v="Paid"/>
  </r>
  <r>
    <x v="3"/>
    <x v="1"/>
    <x v="3"/>
    <x v="132"/>
    <x v="110"/>
    <x v="30"/>
    <s v="May'21"/>
    <x v="8"/>
    <s v="Dhaka"/>
    <s v="Present"/>
    <n v="1"/>
    <n v="8000"/>
    <s v="Paid"/>
  </r>
  <r>
    <x v="10"/>
    <x v="1"/>
    <x v="3"/>
    <x v="132"/>
    <x v="110"/>
    <x v="30"/>
    <s v="May'21"/>
    <x v="8"/>
    <s v="Dhaka"/>
    <s v="Present"/>
    <n v="1"/>
    <n v="8000"/>
    <s v="Paid"/>
  </r>
  <r>
    <x v="27"/>
    <x v="1"/>
    <x v="3"/>
    <x v="132"/>
    <x v="110"/>
    <x v="30"/>
    <s v="May'21"/>
    <x v="8"/>
    <s v="Dhaka"/>
    <s v="Present"/>
    <n v="1"/>
    <n v="8000"/>
    <s v="Paid"/>
  </r>
  <r>
    <x v="8"/>
    <x v="1"/>
    <x v="3"/>
    <x v="132"/>
    <x v="110"/>
    <x v="30"/>
    <s v="May'21"/>
    <x v="8"/>
    <s v="Dhaka"/>
    <s v="Present"/>
    <n v="1"/>
    <n v="8000"/>
    <s v="Paid"/>
  </r>
  <r>
    <x v="6"/>
    <x v="1"/>
    <x v="5"/>
    <x v="126"/>
    <x v="110"/>
    <x v="30"/>
    <s v="May'21"/>
    <x v="8"/>
    <s v="Dhaka"/>
    <s v="Present"/>
    <n v="1"/>
    <n v="8000"/>
    <s v="Paid"/>
  </r>
  <r>
    <x v="15"/>
    <x v="1"/>
    <x v="5"/>
    <x v="126"/>
    <x v="110"/>
    <x v="30"/>
    <s v="May'21"/>
    <x v="8"/>
    <s v="Dhaka"/>
    <s v="Absent"/>
    <n v="0"/>
    <n v="0"/>
    <s v="Paid"/>
  </r>
  <r>
    <x v="22"/>
    <x v="4"/>
    <x v="5"/>
    <x v="126"/>
    <x v="110"/>
    <x v="30"/>
    <s v="May'21"/>
    <x v="8"/>
    <s v="Dhaka"/>
    <s v="Present"/>
    <n v="1"/>
    <n v="8000"/>
    <s v="Paid"/>
  </r>
  <r>
    <x v="23"/>
    <x v="5"/>
    <x v="5"/>
    <x v="126"/>
    <x v="110"/>
    <x v="30"/>
    <s v="May'21"/>
    <x v="8"/>
    <s v="Dhaka"/>
    <s v="Present"/>
    <n v="1"/>
    <n v="8000"/>
    <s v="Paid"/>
  </r>
  <r>
    <x v="24"/>
    <x v="4"/>
    <x v="5"/>
    <x v="126"/>
    <x v="110"/>
    <x v="30"/>
    <s v="May'21"/>
    <x v="8"/>
    <s v="Dhaka"/>
    <s v="Present"/>
    <n v="1"/>
    <n v="8000"/>
    <s v="Paid"/>
  </r>
  <r>
    <x v="25"/>
    <x v="4"/>
    <x v="5"/>
    <x v="126"/>
    <x v="110"/>
    <x v="30"/>
    <s v="May'21"/>
    <x v="8"/>
    <s v="Dhaka"/>
    <s v="Present"/>
    <n v="1"/>
    <n v="8000"/>
    <s v="Paid"/>
  </r>
  <r>
    <x v="26"/>
    <x v="4"/>
    <x v="5"/>
    <x v="126"/>
    <x v="110"/>
    <x v="30"/>
    <s v="May'21"/>
    <x v="8"/>
    <s v="Dhaka"/>
    <s v="Present"/>
    <n v="1"/>
    <n v="8000"/>
    <s v="Paid"/>
  </r>
  <r>
    <x v="20"/>
    <x v="3"/>
    <x v="5"/>
    <x v="126"/>
    <x v="110"/>
    <x v="30"/>
    <s v="May'21"/>
    <x v="8"/>
    <s v="Dhaka"/>
    <s v="Absent"/>
    <n v="0"/>
    <n v="0"/>
    <s v="Paid"/>
  </r>
  <r>
    <x v="1"/>
    <x v="1"/>
    <x v="0"/>
    <x v="133"/>
    <x v="111"/>
    <x v="30"/>
    <s v="Jun'21"/>
    <x v="8"/>
    <s v="Dhaka"/>
    <s v="Present"/>
    <n v="1"/>
    <n v="8000"/>
    <s v="Paid"/>
  </r>
  <r>
    <x v="2"/>
    <x v="2"/>
    <x v="0"/>
    <x v="133"/>
    <x v="111"/>
    <x v="30"/>
    <s v="Jun'21"/>
    <x v="8"/>
    <s v="Dhaka"/>
    <s v="Absent"/>
    <n v="0"/>
    <n v="0"/>
    <s v="Paid"/>
  </r>
  <r>
    <x v="3"/>
    <x v="1"/>
    <x v="0"/>
    <x v="133"/>
    <x v="111"/>
    <x v="30"/>
    <s v="Jun'21"/>
    <x v="8"/>
    <s v="Dhaka"/>
    <s v="Absent"/>
    <n v="0"/>
    <n v="0"/>
    <s v="Paid"/>
  </r>
  <r>
    <x v="4"/>
    <x v="0"/>
    <x v="0"/>
    <x v="133"/>
    <x v="111"/>
    <x v="30"/>
    <s v="Jun'21"/>
    <x v="8"/>
    <s v="Dhaka"/>
    <s v="Present"/>
    <n v="1"/>
    <n v="8000"/>
    <s v="Paid"/>
  </r>
  <r>
    <x v="5"/>
    <x v="1"/>
    <x v="0"/>
    <x v="133"/>
    <x v="111"/>
    <x v="30"/>
    <s v="Jun'21"/>
    <x v="8"/>
    <s v="Dhaka"/>
    <s v="Present"/>
    <n v="1"/>
    <n v="8000"/>
    <s v="Paid"/>
  </r>
  <r>
    <x v="6"/>
    <x v="1"/>
    <x v="0"/>
    <x v="133"/>
    <x v="111"/>
    <x v="30"/>
    <s v="Jun'21"/>
    <x v="8"/>
    <s v="Dhaka"/>
    <s v="Present"/>
    <n v="1"/>
    <n v="8000"/>
    <s v="Paid"/>
  </r>
  <r>
    <x v="7"/>
    <x v="1"/>
    <x v="0"/>
    <x v="133"/>
    <x v="111"/>
    <x v="30"/>
    <s v="Jun'21"/>
    <x v="8"/>
    <s v="Dhaka"/>
    <s v="Present"/>
    <n v="1"/>
    <n v="8000"/>
    <s v="Paid"/>
  </r>
  <r>
    <x v="8"/>
    <x v="1"/>
    <x v="0"/>
    <x v="133"/>
    <x v="111"/>
    <x v="30"/>
    <s v="Jun'21"/>
    <x v="8"/>
    <s v="Dhaka"/>
    <s v="Present"/>
    <n v="1"/>
    <n v="8000"/>
    <s v="Paid"/>
  </r>
  <r>
    <x v="9"/>
    <x v="1"/>
    <x v="0"/>
    <x v="133"/>
    <x v="111"/>
    <x v="30"/>
    <s v="Jun'21"/>
    <x v="8"/>
    <s v="Dhaka"/>
    <s v="Present"/>
    <n v="1"/>
    <n v="8000"/>
    <s v="Paid"/>
  </r>
  <r>
    <x v="10"/>
    <x v="1"/>
    <x v="0"/>
    <x v="133"/>
    <x v="111"/>
    <x v="30"/>
    <s v="Jun'21"/>
    <x v="8"/>
    <s v="Dhaka"/>
    <s v="Present"/>
    <n v="1"/>
    <n v="8000"/>
    <s v="Paid"/>
  </r>
  <r>
    <x v="11"/>
    <x v="1"/>
    <x v="0"/>
    <x v="133"/>
    <x v="111"/>
    <x v="30"/>
    <s v="Jun'21"/>
    <x v="8"/>
    <s v="Dhaka"/>
    <s v="Present"/>
    <n v="1"/>
    <n v="8000"/>
    <s v="Paid"/>
  </r>
  <r>
    <x v="12"/>
    <x v="1"/>
    <x v="0"/>
    <x v="133"/>
    <x v="111"/>
    <x v="30"/>
    <s v="Jun'21"/>
    <x v="8"/>
    <s v="Dhaka"/>
    <s v="Present"/>
    <n v="1"/>
    <n v="8000"/>
    <s v="Paid"/>
  </r>
  <r>
    <x v="27"/>
    <x v="1"/>
    <x v="0"/>
    <x v="133"/>
    <x v="111"/>
    <x v="30"/>
    <s v="Jun'21"/>
    <x v="8"/>
    <s v="Dhaka"/>
    <s v="Present"/>
    <n v="1"/>
    <n v="8000"/>
    <s v="Paid"/>
  </r>
  <r>
    <x v="13"/>
    <x v="0"/>
    <x v="0"/>
    <x v="133"/>
    <x v="111"/>
    <x v="30"/>
    <s v="Jun'21"/>
    <x v="8"/>
    <s v="Dhaka"/>
    <s v="Present"/>
    <n v="1"/>
    <n v="8000"/>
    <s v="Paid"/>
  </r>
  <r>
    <x v="14"/>
    <x v="1"/>
    <x v="0"/>
    <x v="133"/>
    <x v="111"/>
    <x v="30"/>
    <s v="Jun'21"/>
    <x v="8"/>
    <s v="Dhaka"/>
    <s v="Present"/>
    <n v="1"/>
    <n v="8000"/>
    <s v="Paid"/>
  </r>
  <r>
    <x v="15"/>
    <x v="1"/>
    <x v="0"/>
    <x v="133"/>
    <x v="111"/>
    <x v="30"/>
    <s v="Jun'21"/>
    <x v="8"/>
    <s v="Dhaka"/>
    <s v="Absent"/>
    <n v="0"/>
    <n v="0"/>
    <s v="Paid"/>
  </r>
  <r>
    <x v="16"/>
    <x v="1"/>
    <x v="0"/>
    <x v="133"/>
    <x v="111"/>
    <x v="30"/>
    <s v="Jun'21"/>
    <x v="8"/>
    <s v="Dhaka"/>
    <s v="Present"/>
    <n v="1"/>
    <n v="8000"/>
    <s v="Paid"/>
  </r>
  <r>
    <x v="17"/>
    <x v="1"/>
    <x v="0"/>
    <x v="133"/>
    <x v="111"/>
    <x v="30"/>
    <s v="Jun'21"/>
    <x v="8"/>
    <s v="Dhaka"/>
    <s v="Absent"/>
    <n v="0"/>
    <n v="0"/>
    <s v="Paid"/>
  </r>
  <r>
    <x v="18"/>
    <x v="0"/>
    <x v="0"/>
    <x v="133"/>
    <x v="111"/>
    <x v="30"/>
    <s v="Jun'21"/>
    <x v="8"/>
    <s v="Dhaka"/>
    <s v="Absent"/>
    <n v="0"/>
    <n v="0"/>
    <s v="Paid"/>
  </r>
  <r>
    <x v="20"/>
    <x v="3"/>
    <x v="0"/>
    <x v="133"/>
    <x v="111"/>
    <x v="30"/>
    <s v="Jun'21"/>
    <x v="8"/>
    <s v="Dhaka"/>
    <s v="Present"/>
    <n v="1"/>
    <n v="8000"/>
    <s v="Paid"/>
  </r>
  <r>
    <x v="11"/>
    <x v="1"/>
    <x v="1"/>
    <x v="134"/>
    <x v="111"/>
    <x v="30"/>
    <s v="Jun'21"/>
    <x v="8"/>
    <s v="Dhaka"/>
    <s v="Present"/>
    <n v="1"/>
    <n v="8000"/>
    <s v="Paid"/>
  </r>
  <r>
    <x v="12"/>
    <x v="1"/>
    <x v="1"/>
    <x v="134"/>
    <x v="111"/>
    <x v="30"/>
    <s v="Jun'21"/>
    <x v="8"/>
    <s v="Dhaka"/>
    <s v="Present"/>
    <n v="1"/>
    <n v="8000"/>
    <s v="Paid"/>
  </r>
  <r>
    <x v="13"/>
    <x v="0"/>
    <x v="1"/>
    <x v="134"/>
    <x v="111"/>
    <x v="30"/>
    <s v="Jun'21"/>
    <x v="8"/>
    <s v="Dhaka"/>
    <s v="Present"/>
    <n v="1"/>
    <n v="8000"/>
    <s v="Paid"/>
  </r>
  <r>
    <x v="18"/>
    <x v="0"/>
    <x v="1"/>
    <x v="134"/>
    <x v="111"/>
    <x v="30"/>
    <s v="Jun'21"/>
    <x v="8"/>
    <s v="Dhaka"/>
    <s v="Present"/>
    <n v="1"/>
    <n v="8000"/>
    <s v="Paid"/>
  </r>
  <r>
    <x v="17"/>
    <x v="1"/>
    <x v="1"/>
    <x v="134"/>
    <x v="111"/>
    <x v="30"/>
    <s v="Jun'21"/>
    <x v="8"/>
    <s v="Dhaka"/>
    <s v="Absent"/>
    <n v="0"/>
    <n v="0"/>
    <s v="Paid"/>
  </r>
  <r>
    <x v="5"/>
    <x v="1"/>
    <x v="3"/>
    <x v="135"/>
    <x v="112"/>
    <x v="30"/>
    <s v="Jun'21"/>
    <x v="8"/>
    <s v="Dhaka"/>
    <s v="Present"/>
    <n v="1"/>
    <n v="8000"/>
    <s v="Paid"/>
  </r>
  <r>
    <x v="3"/>
    <x v="1"/>
    <x v="3"/>
    <x v="135"/>
    <x v="112"/>
    <x v="30"/>
    <s v="Jun'21"/>
    <x v="8"/>
    <s v="Dhaka"/>
    <s v="Present"/>
    <n v="1"/>
    <n v="8000"/>
    <s v="Paid"/>
  </r>
  <r>
    <x v="10"/>
    <x v="1"/>
    <x v="3"/>
    <x v="135"/>
    <x v="112"/>
    <x v="30"/>
    <s v="Jun'21"/>
    <x v="8"/>
    <s v="Dhaka"/>
    <s v="Present"/>
    <n v="1"/>
    <n v="8000"/>
    <s v="Paid"/>
  </r>
  <r>
    <x v="27"/>
    <x v="1"/>
    <x v="3"/>
    <x v="135"/>
    <x v="112"/>
    <x v="30"/>
    <s v="Jun'21"/>
    <x v="8"/>
    <s v="Dhaka"/>
    <s v="Present"/>
    <n v="1"/>
    <n v="8000"/>
    <s v="Paid"/>
  </r>
  <r>
    <x v="8"/>
    <x v="1"/>
    <x v="3"/>
    <x v="135"/>
    <x v="112"/>
    <x v="30"/>
    <s v="Jun'21"/>
    <x v="8"/>
    <s v="Dhaka"/>
    <s v="Present"/>
    <n v="1"/>
    <n v="8000"/>
    <s v="Paid"/>
  </r>
  <r>
    <x v="3"/>
    <x v="1"/>
    <x v="2"/>
    <x v="136"/>
    <x v="113"/>
    <x v="31"/>
    <s v="Jul'21"/>
    <x v="8"/>
    <s v="Dhaka"/>
    <s v="Present"/>
    <n v="1"/>
    <n v="8000"/>
    <s v="Paid"/>
  </r>
  <r>
    <x v="2"/>
    <x v="2"/>
    <x v="2"/>
    <x v="136"/>
    <x v="113"/>
    <x v="31"/>
    <s v="Jul'21"/>
    <x v="8"/>
    <s v="Dhaka"/>
    <s v="Present"/>
    <n v="1"/>
    <n v="8000"/>
    <s v="Paid"/>
  </r>
  <r>
    <x v="5"/>
    <x v="1"/>
    <x v="2"/>
    <x v="136"/>
    <x v="113"/>
    <x v="31"/>
    <s v="Jul'21"/>
    <x v="8"/>
    <s v="Dhaka"/>
    <s v="Present"/>
    <n v="1"/>
    <n v="8000"/>
    <s v="Paid"/>
  </r>
  <r>
    <x v="6"/>
    <x v="1"/>
    <x v="2"/>
    <x v="136"/>
    <x v="113"/>
    <x v="31"/>
    <s v="Jul'21"/>
    <x v="8"/>
    <s v="Dhaka"/>
    <s v="Present"/>
    <n v="1"/>
    <n v="8000"/>
    <s v="Paid"/>
  </r>
  <r>
    <x v="9"/>
    <x v="1"/>
    <x v="2"/>
    <x v="136"/>
    <x v="113"/>
    <x v="31"/>
    <s v="Jul'21"/>
    <x v="8"/>
    <s v="Dhaka"/>
    <s v="Absent"/>
    <n v="0"/>
    <n v="0"/>
    <s v="Paid"/>
  </r>
  <r>
    <x v="7"/>
    <x v="1"/>
    <x v="2"/>
    <x v="136"/>
    <x v="113"/>
    <x v="31"/>
    <s v="Jul'21"/>
    <x v="8"/>
    <s v="Dhaka"/>
    <s v="Present"/>
    <n v="1"/>
    <n v="8000"/>
    <s v="Paid"/>
  </r>
  <r>
    <x v="14"/>
    <x v="1"/>
    <x v="2"/>
    <x v="136"/>
    <x v="113"/>
    <x v="31"/>
    <s v="Jul'21"/>
    <x v="8"/>
    <s v="Dhaka"/>
    <s v="Absent"/>
    <n v="0"/>
    <n v="0"/>
    <s v="Paid"/>
  </r>
  <r>
    <x v="1"/>
    <x v="1"/>
    <x v="0"/>
    <x v="137"/>
    <x v="113"/>
    <x v="31"/>
    <s v="Jul'21"/>
    <x v="8"/>
    <s v="Dhaka"/>
    <s v="Present"/>
    <n v="1"/>
    <n v="8000"/>
    <s v="Paid"/>
  </r>
  <r>
    <x v="2"/>
    <x v="2"/>
    <x v="0"/>
    <x v="137"/>
    <x v="113"/>
    <x v="31"/>
    <s v="Jul'21"/>
    <x v="8"/>
    <s v="Dhaka"/>
    <s v="Present"/>
    <n v="1"/>
    <n v="8000"/>
    <s v="Paid"/>
  </r>
  <r>
    <x v="3"/>
    <x v="1"/>
    <x v="0"/>
    <x v="137"/>
    <x v="113"/>
    <x v="31"/>
    <s v="Jul'21"/>
    <x v="8"/>
    <s v="Dhaka"/>
    <s v="Present"/>
    <n v="1"/>
    <n v="8000"/>
    <s v="Paid"/>
  </r>
  <r>
    <x v="4"/>
    <x v="0"/>
    <x v="0"/>
    <x v="137"/>
    <x v="113"/>
    <x v="31"/>
    <s v="Jul'21"/>
    <x v="8"/>
    <s v="Dhaka"/>
    <s v="Absent"/>
    <n v="0"/>
    <n v="0"/>
    <s v="Paid"/>
  </r>
  <r>
    <x v="5"/>
    <x v="1"/>
    <x v="0"/>
    <x v="137"/>
    <x v="113"/>
    <x v="31"/>
    <s v="Jul'21"/>
    <x v="8"/>
    <s v="Dhaka"/>
    <s v="Present"/>
    <n v="1"/>
    <n v="8000"/>
    <s v="Paid"/>
  </r>
  <r>
    <x v="6"/>
    <x v="1"/>
    <x v="0"/>
    <x v="137"/>
    <x v="113"/>
    <x v="31"/>
    <s v="Jul'21"/>
    <x v="8"/>
    <s v="Dhaka"/>
    <s v="Present"/>
    <n v="1"/>
    <n v="8000"/>
    <s v="Paid"/>
  </r>
  <r>
    <x v="7"/>
    <x v="1"/>
    <x v="0"/>
    <x v="137"/>
    <x v="113"/>
    <x v="31"/>
    <s v="Jul'21"/>
    <x v="8"/>
    <s v="Dhaka"/>
    <s v="Present"/>
    <n v="1"/>
    <n v="8000"/>
    <s v="Paid"/>
  </r>
  <r>
    <x v="8"/>
    <x v="1"/>
    <x v="0"/>
    <x v="137"/>
    <x v="113"/>
    <x v="31"/>
    <s v="Jul'21"/>
    <x v="8"/>
    <s v="Dhaka"/>
    <s v="Present"/>
    <n v="1"/>
    <n v="8000"/>
    <s v="Paid"/>
  </r>
  <r>
    <x v="9"/>
    <x v="1"/>
    <x v="0"/>
    <x v="137"/>
    <x v="113"/>
    <x v="31"/>
    <s v="Jul'21"/>
    <x v="8"/>
    <s v="Dhaka"/>
    <s v="Absent"/>
    <n v="0"/>
    <n v="0"/>
    <s v="Paid"/>
  </r>
  <r>
    <x v="10"/>
    <x v="1"/>
    <x v="0"/>
    <x v="137"/>
    <x v="113"/>
    <x v="31"/>
    <s v="Jul'21"/>
    <x v="8"/>
    <s v="Dhaka"/>
    <s v="Present"/>
    <n v="1"/>
    <n v="8000"/>
    <s v="Paid"/>
  </r>
  <r>
    <x v="11"/>
    <x v="1"/>
    <x v="0"/>
    <x v="137"/>
    <x v="113"/>
    <x v="31"/>
    <s v="Jul'21"/>
    <x v="8"/>
    <s v="Dhaka"/>
    <s v="Present"/>
    <n v="1"/>
    <n v="8000"/>
    <s v="Paid"/>
  </r>
  <r>
    <x v="12"/>
    <x v="1"/>
    <x v="0"/>
    <x v="137"/>
    <x v="113"/>
    <x v="31"/>
    <s v="Jul'21"/>
    <x v="8"/>
    <s v="Dhaka"/>
    <s v="Present"/>
    <n v="1"/>
    <n v="8000"/>
    <s v="Paid"/>
  </r>
  <r>
    <x v="27"/>
    <x v="1"/>
    <x v="0"/>
    <x v="137"/>
    <x v="113"/>
    <x v="31"/>
    <s v="Jul'21"/>
    <x v="8"/>
    <s v="Dhaka"/>
    <s v="Present"/>
    <n v="1"/>
    <n v="8000"/>
    <s v="Paid"/>
  </r>
  <r>
    <x v="13"/>
    <x v="0"/>
    <x v="0"/>
    <x v="137"/>
    <x v="113"/>
    <x v="31"/>
    <s v="Jul'21"/>
    <x v="8"/>
    <s v="Dhaka"/>
    <s v="Present"/>
    <n v="1"/>
    <n v="8000"/>
    <s v="Paid"/>
  </r>
  <r>
    <x v="14"/>
    <x v="1"/>
    <x v="0"/>
    <x v="137"/>
    <x v="113"/>
    <x v="31"/>
    <s v="Jul'21"/>
    <x v="8"/>
    <s v="Dhaka"/>
    <s v="Absent"/>
    <n v="0"/>
    <n v="0"/>
    <s v="Paid"/>
  </r>
  <r>
    <x v="15"/>
    <x v="1"/>
    <x v="0"/>
    <x v="137"/>
    <x v="113"/>
    <x v="31"/>
    <s v="Jul'21"/>
    <x v="8"/>
    <s v="Dhaka"/>
    <s v="Absent"/>
    <n v="0"/>
    <n v="0"/>
    <s v="Paid"/>
  </r>
  <r>
    <x v="16"/>
    <x v="1"/>
    <x v="0"/>
    <x v="137"/>
    <x v="113"/>
    <x v="31"/>
    <s v="Jul'21"/>
    <x v="8"/>
    <s v="Dhaka"/>
    <s v="Present"/>
    <n v="1"/>
    <n v="8000"/>
    <s v="Paid"/>
  </r>
  <r>
    <x v="17"/>
    <x v="1"/>
    <x v="0"/>
    <x v="137"/>
    <x v="113"/>
    <x v="31"/>
    <s v="Jul'21"/>
    <x v="8"/>
    <s v="Dhaka"/>
    <s v="Absent"/>
    <n v="0"/>
    <n v="0"/>
    <s v="Paid"/>
  </r>
  <r>
    <x v="18"/>
    <x v="0"/>
    <x v="0"/>
    <x v="137"/>
    <x v="113"/>
    <x v="31"/>
    <s v="Jul'21"/>
    <x v="8"/>
    <s v="Dhaka"/>
    <s v="Absent"/>
    <n v="0"/>
    <n v="0"/>
    <s v="Paid"/>
  </r>
  <r>
    <x v="20"/>
    <x v="3"/>
    <x v="0"/>
    <x v="137"/>
    <x v="113"/>
    <x v="31"/>
    <s v="Jul'21"/>
    <x v="8"/>
    <s v="Dhaka"/>
    <s v="Present"/>
    <n v="1"/>
    <n v="8000"/>
    <s v="Paid"/>
  </r>
  <r>
    <x v="11"/>
    <x v="1"/>
    <x v="1"/>
    <x v="138"/>
    <x v="113"/>
    <x v="31"/>
    <s v="Jul'21"/>
    <x v="8"/>
    <s v="Dhaka"/>
    <s v="Present"/>
    <n v="1"/>
    <n v="8000"/>
    <s v="Paid"/>
  </r>
  <r>
    <x v="12"/>
    <x v="1"/>
    <x v="1"/>
    <x v="138"/>
    <x v="113"/>
    <x v="31"/>
    <s v="Jul'21"/>
    <x v="8"/>
    <s v="Dhaka"/>
    <s v="Present"/>
    <n v="1"/>
    <n v="8000"/>
    <s v="Paid"/>
  </r>
  <r>
    <x v="13"/>
    <x v="0"/>
    <x v="1"/>
    <x v="138"/>
    <x v="113"/>
    <x v="31"/>
    <s v="Jul'21"/>
    <x v="8"/>
    <s v="Dhaka"/>
    <s v="Present"/>
    <n v="1"/>
    <n v="8000"/>
    <s v="Paid"/>
  </r>
  <r>
    <x v="18"/>
    <x v="0"/>
    <x v="1"/>
    <x v="138"/>
    <x v="113"/>
    <x v="31"/>
    <s v="Jul'21"/>
    <x v="8"/>
    <s v="Dhaka"/>
    <s v="Present"/>
    <n v="1"/>
    <n v="8000"/>
    <s v="Paid"/>
  </r>
  <r>
    <x v="17"/>
    <x v="1"/>
    <x v="1"/>
    <x v="138"/>
    <x v="113"/>
    <x v="31"/>
    <s v="Jul'21"/>
    <x v="8"/>
    <s v="Dhaka"/>
    <s v="Absent"/>
    <n v="0"/>
    <n v="0"/>
    <s v="Paid"/>
  </r>
  <r>
    <x v="11"/>
    <x v="1"/>
    <x v="1"/>
    <x v="139"/>
    <x v="114"/>
    <x v="31"/>
    <s v="Aug'21"/>
    <x v="8"/>
    <s v="Dhaka"/>
    <s v="Present"/>
    <n v="1"/>
    <n v="8000"/>
    <s v="Paid"/>
  </r>
  <r>
    <x v="12"/>
    <x v="1"/>
    <x v="1"/>
    <x v="139"/>
    <x v="114"/>
    <x v="31"/>
    <s v="Aug'21"/>
    <x v="8"/>
    <s v="Dhaka"/>
    <s v="Present"/>
    <n v="1"/>
    <n v="8000"/>
    <s v="Paid"/>
  </r>
  <r>
    <x v="13"/>
    <x v="0"/>
    <x v="1"/>
    <x v="139"/>
    <x v="114"/>
    <x v="31"/>
    <s v="Aug'21"/>
    <x v="8"/>
    <s v="Dhaka"/>
    <s v="Present"/>
    <n v="1"/>
    <n v="8000"/>
    <s v="Paid"/>
  </r>
  <r>
    <x v="18"/>
    <x v="0"/>
    <x v="1"/>
    <x v="139"/>
    <x v="114"/>
    <x v="31"/>
    <s v="Aug'21"/>
    <x v="8"/>
    <s v="Dhaka"/>
    <s v="Present"/>
    <n v="1"/>
    <n v="8000"/>
    <s v="Paid"/>
  </r>
  <r>
    <x v="17"/>
    <x v="1"/>
    <x v="1"/>
    <x v="139"/>
    <x v="114"/>
    <x v="31"/>
    <s v="Aug'21"/>
    <x v="8"/>
    <s v="Dhaka"/>
    <s v="Present"/>
    <n v="1"/>
    <n v="8000"/>
    <s v="Paid"/>
  </r>
  <r>
    <x v="2"/>
    <x v="2"/>
    <x v="0"/>
    <x v="140"/>
    <x v="115"/>
    <x v="31"/>
    <s v="Aug'21"/>
    <x v="8"/>
    <s v="Dhaka"/>
    <s v="Present"/>
    <n v="1"/>
    <n v="8000"/>
    <s v="Paid"/>
  </r>
  <r>
    <x v="3"/>
    <x v="1"/>
    <x v="0"/>
    <x v="140"/>
    <x v="115"/>
    <x v="31"/>
    <s v="Aug'21"/>
    <x v="8"/>
    <s v="Dhaka"/>
    <s v="Present"/>
    <n v="1"/>
    <n v="8000"/>
    <s v="Paid"/>
  </r>
  <r>
    <x v="4"/>
    <x v="0"/>
    <x v="0"/>
    <x v="140"/>
    <x v="115"/>
    <x v="31"/>
    <s v="Aug'21"/>
    <x v="8"/>
    <s v="Dhaka"/>
    <s v="Present"/>
    <n v="1"/>
    <n v="8000"/>
    <s v="Paid"/>
  </r>
  <r>
    <x v="6"/>
    <x v="1"/>
    <x v="0"/>
    <x v="140"/>
    <x v="115"/>
    <x v="31"/>
    <s v="Aug'21"/>
    <x v="8"/>
    <s v="Dhaka"/>
    <s v="Present"/>
    <n v="1"/>
    <n v="8000"/>
    <s v="Paid"/>
  </r>
  <r>
    <x v="7"/>
    <x v="1"/>
    <x v="0"/>
    <x v="140"/>
    <x v="115"/>
    <x v="31"/>
    <s v="Aug'21"/>
    <x v="8"/>
    <s v="Dhaka"/>
    <s v="Present"/>
    <n v="1"/>
    <n v="8000"/>
    <s v="Paid"/>
  </r>
  <r>
    <x v="9"/>
    <x v="1"/>
    <x v="0"/>
    <x v="140"/>
    <x v="115"/>
    <x v="31"/>
    <s v="Aug'21"/>
    <x v="8"/>
    <s v="Dhaka"/>
    <s v="Absent"/>
    <n v="0"/>
    <n v="0"/>
    <s v="Paid"/>
  </r>
  <r>
    <x v="11"/>
    <x v="1"/>
    <x v="0"/>
    <x v="140"/>
    <x v="115"/>
    <x v="31"/>
    <s v="Aug'21"/>
    <x v="8"/>
    <s v="Dhaka"/>
    <s v="Present"/>
    <n v="1"/>
    <n v="8000"/>
    <s v="Paid"/>
  </r>
  <r>
    <x v="12"/>
    <x v="1"/>
    <x v="0"/>
    <x v="140"/>
    <x v="115"/>
    <x v="31"/>
    <s v="Aug'21"/>
    <x v="8"/>
    <s v="Dhaka"/>
    <s v="Present"/>
    <n v="1"/>
    <n v="8000"/>
    <s v="Paid"/>
  </r>
  <r>
    <x v="27"/>
    <x v="1"/>
    <x v="0"/>
    <x v="140"/>
    <x v="115"/>
    <x v="31"/>
    <s v="Aug'21"/>
    <x v="8"/>
    <s v="Dhaka"/>
    <s v="Absent"/>
    <n v="0"/>
    <n v="0"/>
    <s v="Paid"/>
  </r>
  <r>
    <x v="13"/>
    <x v="0"/>
    <x v="0"/>
    <x v="140"/>
    <x v="115"/>
    <x v="31"/>
    <s v="Aug'21"/>
    <x v="8"/>
    <s v="Dhaka"/>
    <s v="Absent"/>
    <n v="0"/>
    <n v="0"/>
    <s v="Paid"/>
  </r>
  <r>
    <x v="15"/>
    <x v="1"/>
    <x v="0"/>
    <x v="140"/>
    <x v="115"/>
    <x v="31"/>
    <s v="Aug'21"/>
    <x v="8"/>
    <s v="Dhaka"/>
    <s v="Absent"/>
    <n v="0"/>
    <n v="0"/>
    <s v="Paid"/>
  </r>
  <r>
    <x v="16"/>
    <x v="1"/>
    <x v="0"/>
    <x v="140"/>
    <x v="115"/>
    <x v="31"/>
    <s v="Aug'21"/>
    <x v="8"/>
    <s v="Dhaka"/>
    <s v="Present"/>
    <n v="1"/>
    <n v="8000"/>
    <s v="Paid"/>
  </r>
  <r>
    <x v="17"/>
    <x v="1"/>
    <x v="0"/>
    <x v="140"/>
    <x v="115"/>
    <x v="31"/>
    <s v="Aug'21"/>
    <x v="8"/>
    <s v="Dhaka"/>
    <s v="Absent"/>
    <n v="0"/>
    <n v="0"/>
    <s v="Paid"/>
  </r>
  <r>
    <x v="18"/>
    <x v="0"/>
    <x v="0"/>
    <x v="140"/>
    <x v="115"/>
    <x v="31"/>
    <s v="Aug'21"/>
    <x v="8"/>
    <s v="Dhaka"/>
    <s v="Present"/>
    <n v="1"/>
    <n v="8000"/>
    <s v="Paid"/>
  </r>
  <r>
    <x v="2"/>
    <x v="2"/>
    <x v="0"/>
    <x v="141"/>
    <x v="115"/>
    <x v="31"/>
    <s v="Aug'21"/>
    <x v="8"/>
    <s v="Dhaka"/>
    <s v="Present"/>
    <n v="1"/>
    <n v="8000"/>
    <s v="Paid"/>
  </r>
  <r>
    <x v="3"/>
    <x v="1"/>
    <x v="0"/>
    <x v="141"/>
    <x v="115"/>
    <x v="31"/>
    <s v="Aug'21"/>
    <x v="8"/>
    <s v="Dhaka"/>
    <s v="Present"/>
    <n v="1"/>
    <n v="8000"/>
    <s v="Paid"/>
  </r>
  <r>
    <x v="4"/>
    <x v="0"/>
    <x v="0"/>
    <x v="141"/>
    <x v="115"/>
    <x v="31"/>
    <s v="Aug'21"/>
    <x v="8"/>
    <s v="Dhaka"/>
    <s v="Present"/>
    <n v="1"/>
    <n v="8000"/>
    <s v="Paid"/>
  </r>
  <r>
    <x v="6"/>
    <x v="1"/>
    <x v="0"/>
    <x v="141"/>
    <x v="115"/>
    <x v="31"/>
    <s v="Aug'21"/>
    <x v="8"/>
    <s v="Dhaka"/>
    <s v="Present"/>
    <n v="1"/>
    <n v="8000"/>
    <s v="Paid"/>
  </r>
  <r>
    <x v="7"/>
    <x v="1"/>
    <x v="0"/>
    <x v="141"/>
    <x v="115"/>
    <x v="31"/>
    <s v="Aug'21"/>
    <x v="8"/>
    <s v="Dhaka"/>
    <s v="Present"/>
    <n v="1"/>
    <n v="8000"/>
    <s v="Paid"/>
  </r>
  <r>
    <x v="9"/>
    <x v="1"/>
    <x v="0"/>
    <x v="141"/>
    <x v="115"/>
    <x v="31"/>
    <s v="Aug'21"/>
    <x v="8"/>
    <s v="Dhaka"/>
    <s v="Absent"/>
    <n v="0"/>
    <n v="0"/>
    <s v="Paid"/>
  </r>
  <r>
    <x v="11"/>
    <x v="1"/>
    <x v="0"/>
    <x v="141"/>
    <x v="115"/>
    <x v="31"/>
    <s v="Aug'21"/>
    <x v="8"/>
    <s v="Dhaka"/>
    <s v="Present"/>
    <n v="1"/>
    <n v="8000"/>
    <s v="Paid"/>
  </r>
  <r>
    <x v="12"/>
    <x v="1"/>
    <x v="0"/>
    <x v="141"/>
    <x v="115"/>
    <x v="31"/>
    <s v="Aug'21"/>
    <x v="8"/>
    <s v="Dhaka"/>
    <s v="Present"/>
    <n v="1"/>
    <n v="8000"/>
    <s v="Paid"/>
  </r>
  <r>
    <x v="27"/>
    <x v="1"/>
    <x v="0"/>
    <x v="141"/>
    <x v="115"/>
    <x v="31"/>
    <s v="Aug'21"/>
    <x v="8"/>
    <s v="Dhaka"/>
    <s v="Present"/>
    <n v="1"/>
    <n v="8000"/>
    <s v="Paid"/>
  </r>
  <r>
    <x v="13"/>
    <x v="0"/>
    <x v="0"/>
    <x v="141"/>
    <x v="115"/>
    <x v="31"/>
    <s v="Aug'21"/>
    <x v="8"/>
    <s v="Dhaka"/>
    <s v="Absent"/>
    <n v="0"/>
    <n v="0"/>
    <s v="Paid"/>
  </r>
  <r>
    <x v="15"/>
    <x v="1"/>
    <x v="0"/>
    <x v="141"/>
    <x v="115"/>
    <x v="31"/>
    <s v="Aug'21"/>
    <x v="8"/>
    <s v="Dhaka"/>
    <s v="Present"/>
    <n v="1"/>
    <n v="8000"/>
    <s v="Paid"/>
  </r>
  <r>
    <x v="16"/>
    <x v="1"/>
    <x v="0"/>
    <x v="141"/>
    <x v="115"/>
    <x v="31"/>
    <s v="Aug'21"/>
    <x v="8"/>
    <s v="Dhaka"/>
    <s v="Present"/>
    <n v="1"/>
    <n v="8000"/>
    <s v="Paid"/>
  </r>
  <r>
    <x v="17"/>
    <x v="1"/>
    <x v="0"/>
    <x v="141"/>
    <x v="115"/>
    <x v="31"/>
    <s v="Aug'21"/>
    <x v="8"/>
    <s v="Dhaka"/>
    <s v="Present"/>
    <n v="1"/>
    <n v="8000"/>
    <s v="Paid"/>
  </r>
  <r>
    <x v="18"/>
    <x v="0"/>
    <x v="0"/>
    <x v="141"/>
    <x v="115"/>
    <x v="31"/>
    <s v="Aug'21"/>
    <x v="8"/>
    <s v="Dhaka"/>
    <s v="Absent"/>
    <n v="0"/>
    <n v="0"/>
    <s v="Paid"/>
  </r>
  <r>
    <x v="3"/>
    <x v="1"/>
    <x v="2"/>
    <x v="142"/>
    <x v="116"/>
    <x v="31"/>
    <s v="Sep'21"/>
    <x v="8"/>
    <s v="Dhaka"/>
    <s v="Present"/>
    <n v="1"/>
    <n v="8000"/>
    <s v="Paid"/>
  </r>
  <r>
    <x v="2"/>
    <x v="2"/>
    <x v="2"/>
    <x v="142"/>
    <x v="116"/>
    <x v="31"/>
    <s v="Sep'21"/>
    <x v="8"/>
    <s v="Dhaka"/>
    <s v="Present"/>
    <n v="1"/>
    <n v="8000"/>
    <s v="Paid"/>
  </r>
  <r>
    <x v="6"/>
    <x v="1"/>
    <x v="2"/>
    <x v="142"/>
    <x v="116"/>
    <x v="31"/>
    <s v="Sep'21"/>
    <x v="8"/>
    <s v="Dhaka"/>
    <s v="Present"/>
    <n v="1"/>
    <n v="8000"/>
    <s v="Paid"/>
  </r>
  <r>
    <x v="9"/>
    <x v="1"/>
    <x v="2"/>
    <x v="142"/>
    <x v="116"/>
    <x v="31"/>
    <s v="Sep'21"/>
    <x v="8"/>
    <s v="Dhaka"/>
    <s v="Present"/>
    <n v="1"/>
    <n v="8000"/>
    <s v="Paid"/>
  </r>
  <r>
    <x v="7"/>
    <x v="1"/>
    <x v="2"/>
    <x v="142"/>
    <x v="116"/>
    <x v="31"/>
    <s v="Sep'21"/>
    <x v="8"/>
    <s v="Dhaka"/>
    <s v="Present"/>
    <n v="1"/>
    <n v="8000"/>
    <s v="Paid"/>
  </r>
  <r>
    <x v="1"/>
    <x v="1"/>
    <x v="0"/>
    <x v="143"/>
    <x v="117"/>
    <x v="32"/>
    <s v="Oct'21"/>
    <x v="8"/>
    <s v="Dhaka"/>
    <s v="Absent"/>
    <n v="0"/>
    <n v="0"/>
    <s v="Paid"/>
  </r>
  <r>
    <x v="2"/>
    <x v="2"/>
    <x v="0"/>
    <x v="143"/>
    <x v="117"/>
    <x v="32"/>
    <s v="Oct'21"/>
    <x v="8"/>
    <s v="Dhaka"/>
    <s v="Present"/>
    <n v="1"/>
    <n v="8000"/>
    <s v="Paid"/>
  </r>
  <r>
    <x v="3"/>
    <x v="1"/>
    <x v="0"/>
    <x v="143"/>
    <x v="117"/>
    <x v="32"/>
    <s v="Oct'21"/>
    <x v="8"/>
    <s v="Dhaka"/>
    <s v="Present"/>
    <n v="1"/>
    <n v="8000"/>
    <s v="Paid"/>
  </r>
  <r>
    <x v="4"/>
    <x v="0"/>
    <x v="0"/>
    <x v="143"/>
    <x v="117"/>
    <x v="32"/>
    <s v="Oct'21"/>
    <x v="8"/>
    <s v="Dhaka"/>
    <s v="Absent"/>
    <n v="0"/>
    <n v="0"/>
    <s v="Paid"/>
  </r>
  <r>
    <x v="5"/>
    <x v="1"/>
    <x v="0"/>
    <x v="143"/>
    <x v="117"/>
    <x v="32"/>
    <s v="Oct'21"/>
    <x v="8"/>
    <s v="Dhaka"/>
    <s v="Present"/>
    <n v="1"/>
    <n v="8000"/>
    <s v="Paid"/>
  </r>
  <r>
    <x v="6"/>
    <x v="1"/>
    <x v="0"/>
    <x v="143"/>
    <x v="117"/>
    <x v="32"/>
    <s v="Oct'21"/>
    <x v="8"/>
    <s v="Dhaka"/>
    <s v="Present"/>
    <n v="1"/>
    <n v="8000"/>
    <s v="Paid"/>
  </r>
  <r>
    <x v="7"/>
    <x v="1"/>
    <x v="0"/>
    <x v="143"/>
    <x v="117"/>
    <x v="32"/>
    <s v="Oct'21"/>
    <x v="8"/>
    <s v="Dhaka"/>
    <s v="Present"/>
    <n v="1"/>
    <n v="8000"/>
    <s v="Paid"/>
  </r>
  <r>
    <x v="8"/>
    <x v="1"/>
    <x v="0"/>
    <x v="143"/>
    <x v="117"/>
    <x v="32"/>
    <s v="Oct'21"/>
    <x v="8"/>
    <s v="Dhaka"/>
    <s v="Absent"/>
    <n v="0"/>
    <n v="0"/>
    <s v="Paid"/>
  </r>
  <r>
    <x v="9"/>
    <x v="1"/>
    <x v="0"/>
    <x v="143"/>
    <x v="117"/>
    <x v="32"/>
    <s v="Oct'21"/>
    <x v="8"/>
    <s v="Dhaka"/>
    <s v="Present"/>
    <n v="1"/>
    <n v="8000"/>
    <s v="Paid"/>
  </r>
  <r>
    <x v="10"/>
    <x v="1"/>
    <x v="0"/>
    <x v="143"/>
    <x v="117"/>
    <x v="32"/>
    <s v="Oct'21"/>
    <x v="8"/>
    <s v="Dhaka"/>
    <s v="Absent"/>
    <n v="0"/>
    <n v="0"/>
    <s v="Paid"/>
  </r>
  <r>
    <x v="11"/>
    <x v="1"/>
    <x v="0"/>
    <x v="143"/>
    <x v="117"/>
    <x v="32"/>
    <s v="Oct'21"/>
    <x v="8"/>
    <s v="Dhaka"/>
    <s v="Present"/>
    <n v="1"/>
    <n v="8000"/>
    <s v="Paid"/>
  </r>
  <r>
    <x v="12"/>
    <x v="1"/>
    <x v="0"/>
    <x v="143"/>
    <x v="117"/>
    <x v="32"/>
    <s v="Oct'21"/>
    <x v="8"/>
    <s v="Dhaka"/>
    <s v="Present"/>
    <n v="1"/>
    <n v="8000"/>
    <s v="Paid"/>
  </r>
  <r>
    <x v="27"/>
    <x v="1"/>
    <x v="0"/>
    <x v="143"/>
    <x v="117"/>
    <x v="32"/>
    <s v="Oct'21"/>
    <x v="8"/>
    <s v="Dhaka"/>
    <s v="Present"/>
    <n v="1"/>
    <n v="8000"/>
    <s v="Paid"/>
  </r>
  <r>
    <x v="13"/>
    <x v="0"/>
    <x v="0"/>
    <x v="143"/>
    <x v="117"/>
    <x v="32"/>
    <s v="Oct'21"/>
    <x v="8"/>
    <s v="Dhaka"/>
    <s v="Present"/>
    <n v="1"/>
    <n v="8000"/>
    <s v="Paid"/>
  </r>
  <r>
    <x v="14"/>
    <x v="1"/>
    <x v="0"/>
    <x v="143"/>
    <x v="117"/>
    <x v="32"/>
    <s v="Oct'21"/>
    <x v="8"/>
    <s v="Dhaka"/>
    <s v="Present"/>
    <n v="1"/>
    <n v="8000"/>
    <s v="Paid"/>
  </r>
  <r>
    <x v="15"/>
    <x v="1"/>
    <x v="0"/>
    <x v="143"/>
    <x v="117"/>
    <x v="32"/>
    <s v="Oct'21"/>
    <x v="8"/>
    <s v="Dhaka"/>
    <s v="Present"/>
    <n v="1"/>
    <n v="8000"/>
    <s v="Paid"/>
  </r>
  <r>
    <x v="16"/>
    <x v="1"/>
    <x v="0"/>
    <x v="143"/>
    <x v="117"/>
    <x v="32"/>
    <s v="Oct'21"/>
    <x v="8"/>
    <s v="Dhaka"/>
    <s v="Present"/>
    <n v="1"/>
    <n v="8000"/>
    <s v="Paid"/>
  </r>
  <r>
    <x v="17"/>
    <x v="1"/>
    <x v="0"/>
    <x v="143"/>
    <x v="117"/>
    <x v="32"/>
    <s v="Oct'21"/>
    <x v="8"/>
    <s v="Dhaka"/>
    <s v="Present"/>
    <n v="1"/>
    <n v="8000"/>
    <s v="Paid"/>
  </r>
  <r>
    <x v="18"/>
    <x v="0"/>
    <x v="0"/>
    <x v="143"/>
    <x v="117"/>
    <x v="32"/>
    <s v="Oct'21"/>
    <x v="8"/>
    <s v="Dhaka"/>
    <s v="Absent"/>
    <n v="0"/>
    <n v="0"/>
    <s v="Paid"/>
  </r>
  <r>
    <x v="20"/>
    <x v="3"/>
    <x v="0"/>
    <x v="143"/>
    <x v="117"/>
    <x v="32"/>
    <s v="Oct'21"/>
    <x v="8"/>
    <s v="Dhaka"/>
    <s v="Present"/>
    <n v="1"/>
    <n v="8000"/>
    <s v="Paid"/>
  </r>
  <r>
    <x v="11"/>
    <x v="1"/>
    <x v="1"/>
    <x v="144"/>
    <x v="117"/>
    <x v="32"/>
    <s v="Oct'21"/>
    <x v="8"/>
    <s v="Dhaka"/>
    <s v="Present"/>
    <n v="1"/>
    <n v="8000"/>
    <s v="Paid"/>
  </r>
  <r>
    <x v="12"/>
    <x v="1"/>
    <x v="1"/>
    <x v="144"/>
    <x v="117"/>
    <x v="32"/>
    <s v="Oct'21"/>
    <x v="8"/>
    <s v="Dhaka"/>
    <s v="Present"/>
    <n v="1"/>
    <n v="8000"/>
    <s v="Paid"/>
  </r>
  <r>
    <x v="13"/>
    <x v="0"/>
    <x v="1"/>
    <x v="144"/>
    <x v="117"/>
    <x v="32"/>
    <s v="Oct'21"/>
    <x v="8"/>
    <s v="Dhaka"/>
    <s v="Present"/>
    <n v="1"/>
    <n v="8000"/>
    <s v="Paid"/>
  </r>
  <r>
    <x v="18"/>
    <x v="0"/>
    <x v="1"/>
    <x v="144"/>
    <x v="117"/>
    <x v="32"/>
    <s v="Oct'21"/>
    <x v="8"/>
    <s v="Dhaka"/>
    <s v="Present"/>
    <n v="1"/>
    <n v="8000"/>
    <s v="Paid"/>
  </r>
  <r>
    <x v="17"/>
    <x v="1"/>
    <x v="1"/>
    <x v="144"/>
    <x v="117"/>
    <x v="32"/>
    <s v="Oct'21"/>
    <x v="8"/>
    <s v="Dhaka"/>
    <s v="Absent"/>
    <n v="0"/>
    <n v="0"/>
    <s v="Paid"/>
  </r>
  <r>
    <x v="3"/>
    <x v="1"/>
    <x v="2"/>
    <x v="97"/>
    <x v="118"/>
    <x v="32"/>
    <s v="Oct'21"/>
    <x v="8"/>
    <s v="Dhaka"/>
    <s v="Present"/>
    <n v="1"/>
    <n v="8000"/>
    <s v="Paid"/>
  </r>
  <r>
    <x v="2"/>
    <x v="2"/>
    <x v="2"/>
    <x v="97"/>
    <x v="118"/>
    <x v="32"/>
    <s v="Oct'21"/>
    <x v="8"/>
    <s v="Dhaka"/>
    <s v="Present"/>
    <n v="1"/>
    <n v="8000"/>
    <s v="Paid"/>
  </r>
  <r>
    <x v="5"/>
    <x v="1"/>
    <x v="2"/>
    <x v="97"/>
    <x v="118"/>
    <x v="32"/>
    <s v="Oct'21"/>
    <x v="8"/>
    <s v="Dhaka"/>
    <s v="Present"/>
    <n v="1"/>
    <n v="8000"/>
    <s v="Paid"/>
  </r>
  <r>
    <x v="6"/>
    <x v="1"/>
    <x v="2"/>
    <x v="97"/>
    <x v="118"/>
    <x v="32"/>
    <s v="Oct'21"/>
    <x v="8"/>
    <s v="Dhaka"/>
    <s v="Present"/>
    <n v="1"/>
    <n v="8000"/>
    <s v="Paid"/>
  </r>
  <r>
    <x v="9"/>
    <x v="1"/>
    <x v="2"/>
    <x v="97"/>
    <x v="118"/>
    <x v="32"/>
    <s v="Oct'21"/>
    <x v="8"/>
    <s v="Dhaka"/>
    <s v="Present"/>
    <n v="1"/>
    <n v="8000"/>
    <s v="Paid"/>
  </r>
  <r>
    <x v="7"/>
    <x v="1"/>
    <x v="2"/>
    <x v="97"/>
    <x v="118"/>
    <x v="32"/>
    <s v="Oct'21"/>
    <x v="8"/>
    <s v="Dhaka"/>
    <s v="Present"/>
    <n v="1"/>
    <n v="8000"/>
    <s v="Paid"/>
  </r>
  <r>
    <x v="14"/>
    <x v="1"/>
    <x v="2"/>
    <x v="97"/>
    <x v="118"/>
    <x v="32"/>
    <s v="Oct'21"/>
    <x v="8"/>
    <s v="Dhaka"/>
    <s v="Absent"/>
    <n v="0"/>
    <n v="0"/>
    <s v="Paid"/>
  </r>
  <r>
    <x v="5"/>
    <x v="1"/>
    <x v="3"/>
    <x v="145"/>
    <x v="118"/>
    <x v="32"/>
    <s v="Oct'21"/>
    <x v="8"/>
    <s v="Dhaka"/>
    <s v="Present"/>
    <n v="1"/>
    <n v="8000"/>
    <s v="Paid"/>
  </r>
  <r>
    <x v="3"/>
    <x v="1"/>
    <x v="3"/>
    <x v="145"/>
    <x v="118"/>
    <x v="32"/>
    <s v="Oct'21"/>
    <x v="8"/>
    <s v="Dhaka"/>
    <s v="Present"/>
    <n v="1"/>
    <n v="8000"/>
    <s v="Paid"/>
  </r>
  <r>
    <x v="10"/>
    <x v="1"/>
    <x v="3"/>
    <x v="145"/>
    <x v="118"/>
    <x v="32"/>
    <s v="Oct'21"/>
    <x v="8"/>
    <s v="Dhaka"/>
    <s v="Absent"/>
    <n v="0"/>
    <n v="0"/>
    <s v="Paid"/>
  </r>
  <r>
    <x v="27"/>
    <x v="1"/>
    <x v="3"/>
    <x v="145"/>
    <x v="118"/>
    <x v="32"/>
    <s v="Oct'21"/>
    <x v="8"/>
    <s v="Dhaka"/>
    <s v="Present"/>
    <n v="1"/>
    <n v="8000"/>
    <s v="Paid"/>
  </r>
  <r>
    <x v="8"/>
    <x v="1"/>
    <x v="3"/>
    <x v="145"/>
    <x v="118"/>
    <x v="32"/>
    <s v="Oct'21"/>
    <x v="8"/>
    <s v="Dhaka"/>
    <s v="Absent"/>
    <n v="0"/>
    <n v="0"/>
    <s v="Paid"/>
  </r>
  <r>
    <x v="3"/>
    <x v="1"/>
    <x v="2"/>
    <x v="98"/>
    <x v="119"/>
    <x v="32"/>
    <s v="Nov'21"/>
    <x v="8"/>
    <s v="Dhaka"/>
    <s v="Present"/>
    <n v="1"/>
    <n v="8000"/>
    <s v="Paid"/>
  </r>
  <r>
    <x v="2"/>
    <x v="2"/>
    <x v="2"/>
    <x v="98"/>
    <x v="119"/>
    <x v="32"/>
    <s v="Nov'21"/>
    <x v="8"/>
    <s v="Dhaka"/>
    <s v="Present"/>
    <n v="1"/>
    <n v="8000"/>
    <s v="Paid"/>
  </r>
  <r>
    <x v="5"/>
    <x v="1"/>
    <x v="2"/>
    <x v="98"/>
    <x v="119"/>
    <x v="32"/>
    <s v="Nov'21"/>
    <x v="8"/>
    <s v="Dhaka"/>
    <s v="Present"/>
    <n v="1"/>
    <n v="8000"/>
    <s v="Paid"/>
  </r>
  <r>
    <x v="6"/>
    <x v="1"/>
    <x v="2"/>
    <x v="98"/>
    <x v="119"/>
    <x v="32"/>
    <s v="Nov'21"/>
    <x v="8"/>
    <s v="Dhaka"/>
    <s v="Present"/>
    <n v="1"/>
    <n v="8000"/>
    <s v="Paid"/>
  </r>
  <r>
    <x v="9"/>
    <x v="1"/>
    <x v="2"/>
    <x v="98"/>
    <x v="119"/>
    <x v="32"/>
    <s v="Nov'21"/>
    <x v="8"/>
    <s v="Dhaka"/>
    <s v="Present"/>
    <n v="1"/>
    <n v="8000"/>
    <s v="Paid"/>
  </r>
  <r>
    <x v="7"/>
    <x v="1"/>
    <x v="2"/>
    <x v="98"/>
    <x v="119"/>
    <x v="32"/>
    <s v="Nov'21"/>
    <x v="8"/>
    <s v="Dhaka"/>
    <s v="Absent"/>
    <n v="0"/>
    <n v="0"/>
    <s v="Paid"/>
  </r>
  <r>
    <x v="14"/>
    <x v="1"/>
    <x v="2"/>
    <x v="98"/>
    <x v="119"/>
    <x v="32"/>
    <s v="Nov'21"/>
    <x v="8"/>
    <s v="Dhaka"/>
    <s v="Present"/>
    <n v="1"/>
    <n v="8000"/>
    <s v="Paid"/>
  </r>
  <r>
    <x v="1"/>
    <x v="1"/>
    <x v="0"/>
    <x v="146"/>
    <x v="119"/>
    <x v="32"/>
    <s v="Nov'21"/>
    <x v="8"/>
    <s v="Dhaka"/>
    <s v="Absent"/>
    <n v="0"/>
    <n v="0"/>
    <s v="Paid"/>
  </r>
  <r>
    <x v="2"/>
    <x v="2"/>
    <x v="0"/>
    <x v="146"/>
    <x v="119"/>
    <x v="32"/>
    <s v="Nov'21"/>
    <x v="8"/>
    <s v="Dhaka"/>
    <s v="Present"/>
    <n v="1"/>
    <n v="8000"/>
    <s v="Paid"/>
  </r>
  <r>
    <x v="3"/>
    <x v="1"/>
    <x v="0"/>
    <x v="146"/>
    <x v="119"/>
    <x v="32"/>
    <s v="Nov'21"/>
    <x v="8"/>
    <s v="Dhaka"/>
    <s v="Present"/>
    <n v="1"/>
    <n v="8000"/>
    <s v="Paid"/>
  </r>
  <r>
    <x v="4"/>
    <x v="0"/>
    <x v="0"/>
    <x v="146"/>
    <x v="119"/>
    <x v="32"/>
    <s v="Nov'21"/>
    <x v="8"/>
    <s v="Dhaka"/>
    <s v="Absent"/>
    <n v="0"/>
    <n v="0"/>
    <s v="Paid"/>
  </r>
  <r>
    <x v="5"/>
    <x v="1"/>
    <x v="0"/>
    <x v="146"/>
    <x v="119"/>
    <x v="32"/>
    <s v="Nov'21"/>
    <x v="8"/>
    <s v="Dhaka"/>
    <s v="Present"/>
    <n v="1"/>
    <n v="8000"/>
    <s v="Paid"/>
  </r>
  <r>
    <x v="6"/>
    <x v="1"/>
    <x v="0"/>
    <x v="146"/>
    <x v="119"/>
    <x v="32"/>
    <s v="Nov'21"/>
    <x v="8"/>
    <s v="Dhaka"/>
    <s v="Present"/>
    <n v="1"/>
    <n v="8000"/>
    <s v="Paid"/>
  </r>
  <r>
    <x v="7"/>
    <x v="1"/>
    <x v="0"/>
    <x v="146"/>
    <x v="119"/>
    <x v="32"/>
    <s v="Nov'21"/>
    <x v="8"/>
    <s v="Dhaka"/>
    <s v="Absent"/>
    <n v="0"/>
    <n v="0"/>
    <s v="Paid"/>
  </r>
  <r>
    <x v="8"/>
    <x v="1"/>
    <x v="0"/>
    <x v="146"/>
    <x v="119"/>
    <x v="32"/>
    <s v="Nov'21"/>
    <x v="8"/>
    <s v="Dhaka"/>
    <s v="Absent"/>
    <n v="0"/>
    <n v="0"/>
    <s v="Paid"/>
  </r>
  <r>
    <x v="9"/>
    <x v="1"/>
    <x v="0"/>
    <x v="146"/>
    <x v="119"/>
    <x v="32"/>
    <s v="Nov'21"/>
    <x v="8"/>
    <s v="Dhaka"/>
    <s v="Present"/>
    <n v="1"/>
    <n v="8000"/>
    <s v="Paid"/>
  </r>
  <r>
    <x v="10"/>
    <x v="1"/>
    <x v="0"/>
    <x v="146"/>
    <x v="119"/>
    <x v="32"/>
    <s v="Nov'21"/>
    <x v="8"/>
    <s v="Dhaka"/>
    <s v="Absent"/>
    <n v="0"/>
    <n v="0"/>
    <s v="Paid"/>
  </r>
  <r>
    <x v="11"/>
    <x v="1"/>
    <x v="0"/>
    <x v="146"/>
    <x v="119"/>
    <x v="32"/>
    <s v="Nov'21"/>
    <x v="8"/>
    <s v="Dhaka"/>
    <s v="Present"/>
    <n v="1"/>
    <n v="8000"/>
    <s v="Paid"/>
  </r>
  <r>
    <x v="12"/>
    <x v="1"/>
    <x v="0"/>
    <x v="146"/>
    <x v="119"/>
    <x v="32"/>
    <s v="Nov'21"/>
    <x v="8"/>
    <s v="Dhaka"/>
    <s v="Present"/>
    <n v="1"/>
    <n v="8000"/>
    <s v="Paid"/>
  </r>
  <r>
    <x v="27"/>
    <x v="1"/>
    <x v="0"/>
    <x v="146"/>
    <x v="119"/>
    <x v="32"/>
    <s v="Nov'21"/>
    <x v="8"/>
    <s v="Dhaka"/>
    <s v="Present"/>
    <n v="1"/>
    <n v="8000"/>
    <s v="Paid"/>
  </r>
  <r>
    <x v="13"/>
    <x v="0"/>
    <x v="0"/>
    <x v="146"/>
    <x v="119"/>
    <x v="32"/>
    <s v="Nov'21"/>
    <x v="8"/>
    <s v="Dhaka"/>
    <s v="Present"/>
    <n v="1"/>
    <n v="8000"/>
    <s v="Paid"/>
  </r>
  <r>
    <x v="14"/>
    <x v="1"/>
    <x v="0"/>
    <x v="146"/>
    <x v="119"/>
    <x v="32"/>
    <s v="Nov'21"/>
    <x v="8"/>
    <s v="Dhaka"/>
    <s v="Present"/>
    <n v="1"/>
    <n v="8000"/>
    <s v="Paid"/>
  </r>
  <r>
    <x v="15"/>
    <x v="1"/>
    <x v="0"/>
    <x v="146"/>
    <x v="119"/>
    <x v="32"/>
    <s v="Nov'21"/>
    <x v="8"/>
    <s v="Dhaka"/>
    <s v="Absent"/>
    <n v="0"/>
    <n v="0"/>
    <s v="Paid"/>
  </r>
  <r>
    <x v="16"/>
    <x v="1"/>
    <x v="0"/>
    <x v="146"/>
    <x v="119"/>
    <x v="32"/>
    <s v="Nov'21"/>
    <x v="8"/>
    <s v="Dhaka"/>
    <s v="Present"/>
    <n v="1"/>
    <n v="8000"/>
    <s v="Paid"/>
  </r>
  <r>
    <x v="18"/>
    <x v="0"/>
    <x v="0"/>
    <x v="146"/>
    <x v="119"/>
    <x v="32"/>
    <s v="Nov'21"/>
    <x v="8"/>
    <s v="Dhaka"/>
    <s v="Present"/>
    <n v="1"/>
    <n v="8000"/>
    <s v="Paid"/>
  </r>
  <r>
    <x v="21"/>
    <x v="3"/>
    <x v="0"/>
    <x v="146"/>
    <x v="119"/>
    <x v="32"/>
    <s v="Nov'21"/>
    <x v="8"/>
    <s v="Dhaka"/>
    <s v="Present"/>
    <n v="1"/>
    <n v="8000"/>
    <s v="Paid"/>
  </r>
  <r>
    <x v="11"/>
    <x v="1"/>
    <x v="1"/>
    <x v="147"/>
    <x v="120"/>
    <x v="32"/>
    <s v="Dec'21"/>
    <x v="8"/>
    <s v="Dhaka"/>
    <s v="Present"/>
    <n v="1"/>
    <n v="8000"/>
    <s v="Paid"/>
  </r>
  <r>
    <x v="12"/>
    <x v="1"/>
    <x v="1"/>
    <x v="147"/>
    <x v="120"/>
    <x v="32"/>
    <s v="Dec'21"/>
    <x v="8"/>
    <s v="Dhaka"/>
    <s v="Present"/>
    <n v="1"/>
    <n v="8000"/>
    <s v="Paid"/>
  </r>
  <r>
    <x v="13"/>
    <x v="0"/>
    <x v="1"/>
    <x v="147"/>
    <x v="120"/>
    <x v="32"/>
    <s v="Dec'21"/>
    <x v="8"/>
    <s v="Dhaka"/>
    <s v="Present"/>
    <n v="1"/>
    <n v="8000"/>
    <s v="Paid"/>
  </r>
  <r>
    <x v="18"/>
    <x v="0"/>
    <x v="1"/>
    <x v="147"/>
    <x v="120"/>
    <x v="32"/>
    <s v="Dec'21"/>
    <x v="8"/>
    <s v="Dhaka"/>
    <s v="Present"/>
    <n v="1"/>
    <n v="8000"/>
    <s v="Paid"/>
  </r>
  <r>
    <x v="6"/>
    <x v="1"/>
    <x v="5"/>
    <x v="148"/>
    <x v="121"/>
    <x v="32"/>
    <s v="Dec'21"/>
    <x v="8"/>
    <s v="Dhaka"/>
    <s v="Present"/>
    <n v="1"/>
    <n v="8000"/>
    <s v="Paid"/>
  </r>
  <r>
    <x v="15"/>
    <x v="1"/>
    <x v="5"/>
    <x v="148"/>
    <x v="121"/>
    <x v="32"/>
    <s v="Dec'21"/>
    <x v="8"/>
    <s v="Dhaka"/>
    <s v="Absent"/>
    <n v="0"/>
    <n v="0"/>
    <s v="Paid"/>
  </r>
  <r>
    <x v="22"/>
    <x v="4"/>
    <x v="5"/>
    <x v="148"/>
    <x v="121"/>
    <x v="32"/>
    <s v="Dec'21"/>
    <x v="8"/>
    <s v="Dhaka"/>
    <s v="Present"/>
    <n v="1"/>
    <n v="8000"/>
    <s v="Paid"/>
  </r>
  <r>
    <x v="23"/>
    <x v="5"/>
    <x v="5"/>
    <x v="148"/>
    <x v="121"/>
    <x v="32"/>
    <s v="Dec'21"/>
    <x v="8"/>
    <s v="Dhaka"/>
    <s v="Present"/>
    <n v="1"/>
    <n v="8000"/>
    <s v="Paid"/>
  </r>
  <r>
    <x v="24"/>
    <x v="4"/>
    <x v="5"/>
    <x v="148"/>
    <x v="121"/>
    <x v="32"/>
    <s v="Dec'21"/>
    <x v="8"/>
    <s v="Dhaka"/>
    <s v="Present"/>
    <n v="1"/>
    <n v="8000"/>
    <s v="Paid"/>
  </r>
  <r>
    <x v="25"/>
    <x v="4"/>
    <x v="5"/>
    <x v="148"/>
    <x v="121"/>
    <x v="32"/>
    <s v="Dec'21"/>
    <x v="8"/>
    <s v="Dhaka"/>
    <s v="Present"/>
    <n v="1"/>
    <n v="8000"/>
    <s v="Paid"/>
  </r>
  <r>
    <x v="26"/>
    <x v="4"/>
    <x v="5"/>
    <x v="148"/>
    <x v="121"/>
    <x v="32"/>
    <s v="Dec'21"/>
    <x v="8"/>
    <s v="Dhaka"/>
    <s v="Present"/>
    <n v="1"/>
    <n v="8000"/>
    <s v="Paid"/>
  </r>
  <r>
    <x v="21"/>
    <x v="3"/>
    <x v="5"/>
    <x v="148"/>
    <x v="121"/>
    <x v="32"/>
    <s v="Dec'21"/>
    <x v="8"/>
    <s v="Dhaka"/>
    <s v="Present"/>
    <n v="1"/>
    <n v="8000"/>
    <s v="Paid"/>
  </r>
  <r>
    <x v="3"/>
    <x v="1"/>
    <x v="2"/>
    <x v="100"/>
    <x v="122"/>
    <x v="32"/>
    <s v="Dec'21"/>
    <x v="8"/>
    <s v="Dhaka"/>
    <s v="Present"/>
    <n v="1"/>
    <n v="8000"/>
    <s v="Paid"/>
  </r>
  <r>
    <x v="2"/>
    <x v="2"/>
    <x v="2"/>
    <x v="100"/>
    <x v="122"/>
    <x v="32"/>
    <s v="Dec'21"/>
    <x v="8"/>
    <s v="Dhaka"/>
    <s v="Present"/>
    <n v="1"/>
    <n v="8000"/>
    <s v="Paid"/>
  </r>
  <r>
    <x v="5"/>
    <x v="1"/>
    <x v="2"/>
    <x v="100"/>
    <x v="122"/>
    <x v="32"/>
    <s v="Dec'21"/>
    <x v="8"/>
    <s v="Dhaka"/>
    <s v="Absent"/>
    <n v="0"/>
    <n v="0"/>
    <s v="Paid"/>
  </r>
  <r>
    <x v="6"/>
    <x v="1"/>
    <x v="2"/>
    <x v="100"/>
    <x v="122"/>
    <x v="32"/>
    <s v="Dec'21"/>
    <x v="8"/>
    <s v="Dhaka"/>
    <s v="Absent"/>
    <n v="0"/>
    <n v="0"/>
    <s v="Paid"/>
  </r>
  <r>
    <x v="9"/>
    <x v="1"/>
    <x v="2"/>
    <x v="100"/>
    <x v="122"/>
    <x v="32"/>
    <s v="Dec'21"/>
    <x v="8"/>
    <s v="Dhaka"/>
    <s v="Present"/>
    <n v="1"/>
    <n v="8000"/>
    <s v="Paid"/>
  </r>
  <r>
    <x v="7"/>
    <x v="1"/>
    <x v="2"/>
    <x v="100"/>
    <x v="122"/>
    <x v="32"/>
    <s v="Dec'21"/>
    <x v="8"/>
    <s v="Dhaka"/>
    <s v="Present"/>
    <n v="1"/>
    <n v="8000"/>
    <s v="Paid"/>
  </r>
  <r>
    <x v="14"/>
    <x v="1"/>
    <x v="2"/>
    <x v="100"/>
    <x v="122"/>
    <x v="32"/>
    <s v="Dec'21"/>
    <x v="8"/>
    <s v="Dhaka"/>
    <s v="Present"/>
    <n v="1"/>
    <n v="8000"/>
    <s v="Paid"/>
  </r>
  <r>
    <x v="1"/>
    <x v="1"/>
    <x v="0"/>
    <x v="149"/>
    <x v="123"/>
    <x v="32"/>
    <s v="Dec'21"/>
    <x v="8"/>
    <s v="Dhaka"/>
    <s v="Present"/>
    <n v="1"/>
    <n v="8000"/>
    <s v="Paid"/>
  </r>
  <r>
    <x v="2"/>
    <x v="2"/>
    <x v="0"/>
    <x v="149"/>
    <x v="123"/>
    <x v="32"/>
    <s v="Dec'21"/>
    <x v="8"/>
    <s v="Dhaka"/>
    <s v="Present"/>
    <n v="1"/>
    <n v="8000"/>
    <s v="Paid"/>
  </r>
  <r>
    <x v="3"/>
    <x v="1"/>
    <x v="0"/>
    <x v="149"/>
    <x v="123"/>
    <x v="32"/>
    <s v="Dec'21"/>
    <x v="8"/>
    <s v="Dhaka"/>
    <s v="Present"/>
    <n v="1"/>
    <n v="8000"/>
    <s v="Paid"/>
  </r>
  <r>
    <x v="4"/>
    <x v="0"/>
    <x v="0"/>
    <x v="149"/>
    <x v="123"/>
    <x v="32"/>
    <s v="Dec'21"/>
    <x v="8"/>
    <s v="Dhaka"/>
    <s v="Present"/>
    <n v="1"/>
    <n v="8000"/>
    <s v="Paid"/>
  </r>
  <r>
    <x v="5"/>
    <x v="1"/>
    <x v="0"/>
    <x v="149"/>
    <x v="123"/>
    <x v="32"/>
    <s v="Dec'21"/>
    <x v="8"/>
    <s v="Dhaka"/>
    <s v="Absent"/>
    <n v="0"/>
    <n v="0"/>
    <s v="Paid"/>
  </r>
  <r>
    <x v="6"/>
    <x v="1"/>
    <x v="0"/>
    <x v="149"/>
    <x v="123"/>
    <x v="32"/>
    <s v="Dec'21"/>
    <x v="8"/>
    <s v="Dhaka"/>
    <s v="Present"/>
    <n v="1"/>
    <n v="8000"/>
    <s v="Paid"/>
  </r>
  <r>
    <x v="7"/>
    <x v="1"/>
    <x v="0"/>
    <x v="149"/>
    <x v="123"/>
    <x v="32"/>
    <s v="Dec'21"/>
    <x v="8"/>
    <s v="Dhaka"/>
    <s v="Present"/>
    <n v="1"/>
    <n v="8000"/>
    <s v="Paid"/>
  </r>
  <r>
    <x v="8"/>
    <x v="1"/>
    <x v="0"/>
    <x v="149"/>
    <x v="123"/>
    <x v="32"/>
    <s v="Dec'21"/>
    <x v="8"/>
    <s v="Dhaka"/>
    <s v="Present"/>
    <n v="1"/>
    <n v="8000"/>
    <s v="Paid"/>
  </r>
  <r>
    <x v="9"/>
    <x v="1"/>
    <x v="0"/>
    <x v="149"/>
    <x v="123"/>
    <x v="32"/>
    <s v="Dec'21"/>
    <x v="8"/>
    <s v="Dhaka"/>
    <s v="Present"/>
    <n v="1"/>
    <n v="8000"/>
    <s v="Paid"/>
  </r>
  <r>
    <x v="10"/>
    <x v="1"/>
    <x v="0"/>
    <x v="149"/>
    <x v="123"/>
    <x v="32"/>
    <s v="Dec'21"/>
    <x v="8"/>
    <s v="Dhaka"/>
    <s v="Present"/>
    <n v="1"/>
    <n v="8000"/>
    <s v="Paid"/>
  </r>
  <r>
    <x v="11"/>
    <x v="1"/>
    <x v="0"/>
    <x v="149"/>
    <x v="123"/>
    <x v="32"/>
    <s v="Dec'21"/>
    <x v="8"/>
    <s v="Dhaka"/>
    <s v="Present"/>
    <n v="1"/>
    <n v="8000"/>
    <s v="Paid"/>
  </r>
  <r>
    <x v="12"/>
    <x v="1"/>
    <x v="0"/>
    <x v="149"/>
    <x v="123"/>
    <x v="32"/>
    <s v="Dec'21"/>
    <x v="8"/>
    <s v="Dhaka"/>
    <s v="Present"/>
    <n v="1"/>
    <n v="8000"/>
    <s v="Paid"/>
  </r>
  <r>
    <x v="27"/>
    <x v="1"/>
    <x v="0"/>
    <x v="149"/>
    <x v="123"/>
    <x v="32"/>
    <s v="Dec'21"/>
    <x v="8"/>
    <s v="Dhaka"/>
    <s v="Present"/>
    <n v="1"/>
    <n v="8000"/>
    <s v="Paid"/>
  </r>
  <r>
    <x v="13"/>
    <x v="0"/>
    <x v="0"/>
    <x v="149"/>
    <x v="123"/>
    <x v="32"/>
    <s v="Dec'21"/>
    <x v="8"/>
    <s v="Dhaka"/>
    <s v="Absent"/>
    <n v="0"/>
    <n v="0"/>
    <s v="Paid"/>
  </r>
  <r>
    <x v="14"/>
    <x v="1"/>
    <x v="0"/>
    <x v="149"/>
    <x v="123"/>
    <x v="32"/>
    <s v="Dec'21"/>
    <x v="8"/>
    <s v="Dhaka"/>
    <s v="Present"/>
    <n v="1"/>
    <n v="8000"/>
    <s v="Paid"/>
  </r>
  <r>
    <x v="15"/>
    <x v="1"/>
    <x v="0"/>
    <x v="149"/>
    <x v="123"/>
    <x v="32"/>
    <s v="Dec'21"/>
    <x v="8"/>
    <s v="Dhaka"/>
    <s v="Present"/>
    <n v="1"/>
    <n v="8000"/>
    <s v="Paid"/>
  </r>
  <r>
    <x v="16"/>
    <x v="1"/>
    <x v="0"/>
    <x v="149"/>
    <x v="123"/>
    <x v="32"/>
    <s v="Dec'21"/>
    <x v="8"/>
    <s v="Dhaka"/>
    <s v="Present"/>
    <n v="1"/>
    <n v="8000"/>
    <s v="Paid"/>
  </r>
  <r>
    <x v="18"/>
    <x v="0"/>
    <x v="0"/>
    <x v="149"/>
    <x v="123"/>
    <x v="32"/>
    <s v="Dec'21"/>
    <x v="8"/>
    <s v="Dhaka"/>
    <s v="Present"/>
    <n v="1"/>
    <n v="8000"/>
    <s v="Paid"/>
  </r>
  <r>
    <x v="21"/>
    <x v="3"/>
    <x v="0"/>
    <x v="149"/>
    <x v="123"/>
    <x v="32"/>
    <s v="Dec'21"/>
    <x v="8"/>
    <s v="Dhaka"/>
    <s v="Present"/>
    <n v="1"/>
    <n v="8000"/>
    <s v="Paid"/>
  </r>
  <r>
    <x v="5"/>
    <x v="1"/>
    <x v="3"/>
    <x v="150"/>
    <x v="124"/>
    <x v="32"/>
    <s v="Dec'21"/>
    <x v="8"/>
    <s v="Dhaka"/>
    <s v="Present"/>
    <n v="1"/>
    <n v="8000"/>
    <s v="Paid"/>
  </r>
  <r>
    <x v="3"/>
    <x v="1"/>
    <x v="3"/>
    <x v="150"/>
    <x v="124"/>
    <x v="32"/>
    <s v="Dec'21"/>
    <x v="8"/>
    <s v="Dhaka"/>
    <s v="Present"/>
    <n v="1"/>
    <n v="8000"/>
    <s v="Paid"/>
  </r>
  <r>
    <x v="10"/>
    <x v="1"/>
    <x v="3"/>
    <x v="150"/>
    <x v="124"/>
    <x v="32"/>
    <s v="Dec'21"/>
    <x v="8"/>
    <s v="Dhaka"/>
    <s v="Present"/>
    <n v="1"/>
    <n v="8000"/>
    <s v="Paid"/>
  </r>
  <r>
    <x v="27"/>
    <x v="1"/>
    <x v="3"/>
    <x v="150"/>
    <x v="124"/>
    <x v="32"/>
    <s v="Dec'21"/>
    <x v="8"/>
    <s v="Dhaka"/>
    <s v="Present"/>
    <n v="1"/>
    <n v="8000"/>
    <s v="Paid"/>
  </r>
  <r>
    <x v="8"/>
    <x v="1"/>
    <x v="3"/>
    <x v="150"/>
    <x v="124"/>
    <x v="32"/>
    <s v="Dec'21"/>
    <x v="8"/>
    <s v="Dhaka"/>
    <s v="Present"/>
    <n v="1"/>
    <n v="8000"/>
    <s v="Paid"/>
  </r>
  <r>
    <x v="1"/>
    <x v="1"/>
    <x v="0"/>
    <x v="151"/>
    <x v="125"/>
    <x v="33"/>
    <s v="Jan'22"/>
    <x v="9"/>
    <s v="Dhaka"/>
    <s v="Present"/>
    <n v="1"/>
    <n v="8000"/>
    <s v="Paid"/>
  </r>
  <r>
    <x v="2"/>
    <x v="2"/>
    <x v="0"/>
    <x v="151"/>
    <x v="125"/>
    <x v="33"/>
    <s v="Jan'22"/>
    <x v="9"/>
    <s v="Dhaka"/>
    <s v="Present"/>
    <n v="1"/>
    <n v="8000"/>
    <s v="Paid"/>
  </r>
  <r>
    <x v="3"/>
    <x v="1"/>
    <x v="0"/>
    <x v="151"/>
    <x v="125"/>
    <x v="33"/>
    <s v="Jan'22"/>
    <x v="9"/>
    <s v="Dhaka"/>
    <s v="Present"/>
    <n v="1"/>
    <n v="8000"/>
    <s v="Paid"/>
  </r>
  <r>
    <x v="4"/>
    <x v="0"/>
    <x v="0"/>
    <x v="151"/>
    <x v="125"/>
    <x v="33"/>
    <s v="Jan'22"/>
    <x v="9"/>
    <s v="Dhaka"/>
    <s v="Present"/>
    <n v="1"/>
    <n v="8000"/>
    <s v="Paid"/>
  </r>
  <r>
    <x v="5"/>
    <x v="1"/>
    <x v="0"/>
    <x v="151"/>
    <x v="125"/>
    <x v="33"/>
    <s v="Jan'22"/>
    <x v="9"/>
    <s v="Dhaka"/>
    <s v="Present"/>
    <n v="1"/>
    <n v="8000"/>
    <s v="Paid"/>
  </r>
  <r>
    <x v="6"/>
    <x v="1"/>
    <x v="0"/>
    <x v="151"/>
    <x v="125"/>
    <x v="33"/>
    <s v="Jan'22"/>
    <x v="9"/>
    <s v="Dhaka"/>
    <s v="Present"/>
    <n v="1"/>
    <n v="8000"/>
    <s v="Paid"/>
  </r>
  <r>
    <x v="7"/>
    <x v="1"/>
    <x v="0"/>
    <x v="151"/>
    <x v="125"/>
    <x v="33"/>
    <s v="Jan'22"/>
    <x v="9"/>
    <s v="Dhaka"/>
    <s v="Present"/>
    <n v="1"/>
    <n v="8000"/>
    <s v="Paid"/>
  </r>
  <r>
    <x v="8"/>
    <x v="1"/>
    <x v="0"/>
    <x v="151"/>
    <x v="125"/>
    <x v="33"/>
    <s v="Jan'22"/>
    <x v="9"/>
    <s v="Dhaka"/>
    <s v="Present"/>
    <n v="1"/>
    <n v="8000"/>
    <s v="Paid"/>
  </r>
  <r>
    <x v="9"/>
    <x v="1"/>
    <x v="0"/>
    <x v="151"/>
    <x v="125"/>
    <x v="33"/>
    <s v="Jan'22"/>
    <x v="9"/>
    <s v="Dhaka"/>
    <s v="Absent"/>
    <n v="0"/>
    <n v="0"/>
    <s v="Paid"/>
  </r>
  <r>
    <x v="10"/>
    <x v="1"/>
    <x v="0"/>
    <x v="151"/>
    <x v="125"/>
    <x v="33"/>
    <s v="Jan'22"/>
    <x v="9"/>
    <s v="Dhaka"/>
    <s v="Present"/>
    <n v="1"/>
    <n v="8000"/>
    <s v="Paid"/>
  </r>
  <r>
    <x v="11"/>
    <x v="1"/>
    <x v="0"/>
    <x v="151"/>
    <x v="125"/>
    <x v="33"/>
    <s v="Jan'22"/>
    <x v="9"/>
    <s v="Dhaka"/>
    <s v="Present"/>
    <n v="1"/>
    <n v="8000"/>
    <s v="Paid"/>
  </r>
  <r>
    <x v="12"/>
    <x v="1"/>
    <x v="0"/>
    <x v="151"/>
    <x v="125"/>
    <x v="33"/>
    <s v="Jan'22"/>
    <x v="9"/>
    <s v="Dhaka"/>
    <s v="Present"/>
    <n v="1"/>
    <n v="8000"/>
    <s v="Paid"/>
  </r>
  <r>
    <x v="27"/>
    <x v="1"/>
    <x v="0"/>
    <x v="151"/>
    <x v="125"/>
    <x v="33"/>
    <s v="Jan'22"/>
    <x v="9"/>
    <s v="Dhaka"/>
    <s v="Present"/>
    <n v="1"/>
    <n v="8000"/>
    <s v="Paid"/>
  </r>
  <r>
    <x v="28"/>
    <x v="1"/>
    <x v="0"/>
    <x v="151"/>
    <x v="125"/>
    <x v="33"/>
    <s v="Jan'22"/>
    <x v="9"/>
    <s v="Dhaka"/>
    <s v="Present"/>
    <n v="1"/>
    <n v="8000"/>
    <s v="Paid"/>
  </r>
  <r>
    <x v="13"/>
    <x v="0"/>
    <x v="0"/>
    <x v="151"/>
    <x v="125"/>
    <x v="33"/>
    <s v="Jan'22"/>
    <x v="9"/>
    <s v="Dhaka"/>
    <s v="Present"/>
    <n v="1"/>
    <n v="8000"/>
    <s v="Paid"/>
  </r>
  <r>
    <x v="14"/>
    <x v="1"/>
    <x v="0"/>
    <x v="151"/>
    <x v="125"/>
    <x v="33"/>
    <s v="Jan'22"/>
    <x v="9"/>
    <s v="Dhaka"/>
    <s v="Present"/>
    <n v="1"/>
    <n v="8000"/>
    <s v="Paid"/>
  </r>
  <r>
    <x v="15"/>
    <x v="1"/>
    <x v="0"/>
    <x v="151"/>
    <x v="125"/>
    <x v="33"/>
    <s v="Jan'22"/>
    <x v="9"/>
    <s v="Dhaka"/>
    <s v="Present"/>
    <n v="1"/>
    <n v="8000"/>
    <s v="Paid"/>
  </r>
  <r>
    <x v="16"/>
    <x v="1"/>
    <x v="0"/>
    <x v="151"/>
    <x v="125"/>
    <x v="33"/>
    <s v="Jan'22"/>
    <x v="9"/>
    <s v="Dhaka"/>
    <s v="Absent"/>
    <n v="0"/>
    <n v="0"/>
    <s v="Paid"/>
  </r>
  <r>
    <x v="18"/>
    <x v="0"/>
    <x v="0"/>
    <x v="151"/>
    <x v="125"/>
    <x v="33"/>
    <s v="Jan'22"/>
    <x v="9"/>
    <s v="Dhaka"/>
    <s v="Present"/>
    <n v="1"/>
    <n v="8000"/>
    <s v="Paid"/>
  </r>
  <r>
    <x v="21"/>
    <x v="3"/>
    <x v="0"/>
    <x v="151"/>
    <x v="125"/>
    <x v="33"/>
    <s v="Jan'22"/>
    <x v="9"/>
    <s v="Dhaka"/>
    <s v="Present"/>
    <n v="1"/>
    <n v="8000"/>
    <s v="Paid"/>
  </r>
  <r>
    <x v="3"/>
    <x v="1"/>
    <x v="2"/>
    <x v="101"/>
    <x v="126"/>
    <x v="33"/>
    <s v="Jan'22"/>
    <x v="9"/>
    <s v="Dhaka"/>
    <s v="Present"/>
    <n v="1"/>
    <n v="8000"/>
    <s v="Paid"/>
  </r>
  <r>
    <x v="2"/>
    <x v="2"/>
    <x v="2"/>
    <x v="101"/>
    <x v="126"/>
    <x v="33"/>
    <s v="Jan'22"/>
    <x v="9"/>
    <s v="Dhaka"/>
    <s v="Present"/>
    <n v="1"/>
    <n v="8000"/>
    <s v="Paid"/>
  </r>
  <r>
    <x v="5"/>
    <x v="1"/>
    <x v="2"/>
    <x v="101"/>
    <x v="126"/>
    <x v="33"/>
    <s v="Jan'22"/>
    <x v="9"/>
    <s v="Dhaka"/>
    <s v="Present"/>
    <n v="1"/>
    <n v="8000"/>
    <s v="Paid"/>
  </r>
  <r>
    <x v="6"/>
    <x v="1"/>
    <x v="2"/>
    <x v="101"/>
    <x v="126"/>
    <x v="33"/>
    <s v="Jan'22"/>
    <x v="9"/>
    <s v="Dhaka"/>
    <s v="Present"/>
    <n v="1"/>
    <n v="8000"/>
    <s v="Paid"/>
  </r>
  <r>
    <x v="9"/>
    <x v="1"/>
    <x v="2"/>
    <x v="101"/>
    <x v="126"/>
    <x v="33"/>
    <s v="Jan'22"/>
    <x v="9"/>
    <s v="Dhaka"/>
    <s v="Present"/>
    <n v="1"/>
    <n v="8000"/>
    <s v="Paid"/>
  </r>
  <r>
    <x v="7"/>
    <x v="1"/>
    <x v="2"/>
    <x v="101"/>
    <x v="126"/>
    <x v="33"/>
    <s v="Jan'22"/>
    <x v="9"/>
    <s v="Dhaka"/>
    <s v="Present"/>
    <n v="1"/>
    <n v="8000"/>
    <s v="Paid"/>
  </r>
  <r>
    <x v="14"/>
    <x v="1"/>
    <x v="2"/>
    <x v="101"/>
    <x v="126"/>
    <x v="33"/>
    <s v="Jan'22"/>
    <x v="9"/>
    <s v="Dhaka"/>
    <s v="Present"/>
    <n v="1"/>
    <n v="8000"/>
    <s v="Paid"/>
  </r>
  <r>
    <x v="11"/>
    <x v="1"/>
    <x v="1"/>
    <x v="152"/>
    <x v="127"/>
    <x v="33"/>
    <s v="Feb'22"/>
    <x v="9"/>
    <s v="Dhaka"/>
    <s v="Absent"/>
    <n v="0"/>
    <n v="0"/>
    <s v="Paid"/>
  </r>
  <r>
    <x v="12"/>
    <x v="1"/>
    <x v="1"/>
    <x v="152"/>
    <x v="127"/>
    <x v="33"/>
    <s v="Feb'22"/>
    <x v="9"/>
    <s v="Dhaka"/>
    <s v="Absent"/>
    <n v="0"/>
    <n v="0"/>
    <s v="Paid"/>
  </r>
  <r>
    <x v="13"/>
    <x v="0"/>
    <x v="1"/>
    <x v="152"/>
    <x v="127"/>
    <x v="33"/>
    <s v="Feb'22"/>
    <x v="9"/>
    <s v="Dhaka"/>
    <s v="Present"/>
    <n v="1"/>
    <n v="8000"/>
    <s v="Paid"/>
  </r>
  <r>
    <x v="18"/>
    <x v="0"/>
    <x v="1"/>
    <x v="152"/>
    <x v="127"/>
    <x v="33"/>
    <s v="Feb'22"/>
    <x v="9"/>
    <s v="Dhaka"/>
    <s v="Present"/>
    <n v="1"/>
    <n v="8000"/>
    <s v="Paid"/>
  </r>
  <r>
    <x v="1"/>
    <x v="1"/>
    <x v="0"/>
    <x v="153"/>
    <x v="128"/>
    <x v="33"/>
    <s v="Feb'22"/>
    <x v="9"/>
    <s v="Dhaka"/>
    <s v="Present"/>
    <n v="1"/>
    <n v="8000"/>
    <s v="Paid"/>
  </r>
  <r>
    <x v="2"/>
    <x v="2"/>
    <x v="0"/>
    <x v="153"/>
    <x v="128"/>
    <x v="33"/>
    <s v="Feb'22"/>
    <x v="9"/>
    <s v="Dhaka"/>
    <s v="Present"/>
    <n v="1"/>
    <n v="8000"/>
    <s v="Paid"/>
  </r>
  <r>
    <x v="3"/>
    <x v="1"/>
    <x v="0"/>
    <x v="153"/>
    <x v="128"/>
    <x v="33"/>
    <s v="Feb'22"/>
    <x v="9"/>
    <s v="Dhaka"/>
    <s v="Present"/>
    <n v="1"/>
    <n v="8000"/>
    <s v="Paid"/>
  </r>
  <r>
    <x v="4"/>
    <x v="0"/>
    <x v="0"/>
    <x v="153"/>
    <x v="128"/>
    <x v="33"/>
    <s v="Feb'22"/>
    <x v="9"/>
    <s v="Dhaka"/>
    <s v="Present"/>
    <n v="1"/>
    <n v="8000"/>
    <s v="Paid"/>
  </r>
  <r>
    <x v="5"/>
    <x v="1"/>
    <x v="0"/>
    <x v="153"/>
    <x v="128"/>
    <x v="33"/>
    <s v="Feb'22"/>
    <x v="9"/>
    <s v="Dhaka"/>
    <s v="Present"/>
    <n v="1"/>
    <n v="8000"/>
    <s v="Paid"/>
  </r>
  <r>
    <x v="6"/>
    <x v="1"/>
    <x v="0"/>
    <x v="153"/>
    <x v="128"/>
    <x v="33"/>
    <s v="Feb'22"/>
    <x v="9"/>
    <s v="Dhaka"/>
    <s v="Present"/>
    <n v="1"/>
    <n v="8000"/>
    <s v="Paid"/>
  </r>
  <r>
    <x v="7"/>
    <x v="1"/>
    <x v="0"/>
    <x v="153"/>
    <x v="128"/>
    <x v="33"/>
    <s v="Feb'22"/>
    <x v="9"/>
    <s v="Dhaka"/>
    <s v="Present"/>
    <n v="1"/>
    <n v="8000"/>
    <s v="Paid"/>
  </r>
  <r>
    <x v="8"/>
    <x v="1"/>
    <x v="0"/>
    <x v="153"/>
    <x v="128"/>
    <x v="33"/>
    <s v="Feb'22"/>
    <x v="9"/>
    <s v="Dhaka"/>
    <s v="Present"/>
    <n v="1"/>
    <n v="8000"/>
    <s v="Paid"/>
  </r>
  <r>
    <x v="9"/>
    <x v="1"/>
    <x v="0"/>
    <x v="153"/>
    <x v="128"/>
    <x v="33"/>
    <s v="Feb'22"/>
    <x v="9"/>
    <s v="Dhaka"/>
    <s v="Present"/>
    <n v="1"/>
    <n v="8000"/>
    <s v="Paid"/>
  </r>
  <r>
    <x v="10"/>
    <x v="1"/>
    <x v="0"/>
    <x v="153"/>
    <x v="128"/>
    <x v="33"/>
    <s v="Feb'22"/>
    <x v="9"/>
    <s v="Dhaka"/>
    <s v="Present"/>
    <n v="1"/>
    <n v="8000"/>
    <s v="Paid"/>
  </r>
  <r>
    <x v="11"/>
    <x v="1"/>
    <x v="0"/>
    <x v="153"/>
    <x v="128"/>
    <x v="33"/>
    <s v="Feb'22"/>
    <x v="9"/>
    <s v="Dhaka"/>
    <s v="Present"/>
    <n v="1"/>
    <n v="8000"/>
    <s v="Paid"/>
  </r>
  <r>
    <x v="12"/>
    <x v="1"/>
    <x v="0"/>
    <x v="153"/>
    <x v="128"/>
    <x v="33"/>
    <s v="Feb'22"/>
    <x v="9"/>
    <s v="Dhaka"/>
    <s v="Present"/>
    <n v="1"/>
    <n v="8000"/>
    <s v="Paid"/>
  </r>
  <r>
    <x v="27"/>
    <x v="1"/>
    <x v="0"/>
    <x v="153"/>
    <x v="128"/>
    <x v="33"/>
    <s v="Feb'22"/>
    <x v="9"/>
    <s v="Dhaka"/>
    <s v="Present"/>
    <n v="1"/>
    <n v="8000"/>
    <s v="Paid"/>
  </r>
  <r>
    <x v="28"/>
    <x v="1"/>
    <x v="0"/>
    <x v="153"/>
    <x v="128"/>
    <x v="33"/>
    <s v="Feb'22"/>
    <x v="9"/>
    <s v="Dhaka"/>
    <s v="Present"/>
    <n v="1"/>
    <n v="8000"/>
    <s v="Paid"/>
  </r>
  <r>
    <x v="13"/>
    <x v="0"/>
    <x v="0"/>
    <x v="153"/>
    <x v="128"/>
    <x v="33"/>
    <s v="Feb'22"/>
    <x v="9"/>
    <s v="Dhaka"/>
    <s v="Present"/>
    <n v="1"/>
    <n v="8000"/>
    <s v="Paid"/>
  </r>
  <r>
    <x v="14"/>
    <x v="1"/>
    <x v="0"/>
    <x v="153"/>
    <x v="128"/>
    <x v="33"/>
    <s v="Feb'22"/>
    <x v="9"/>
    <s v="Dhaka"/>
    <s v="Present"/>
    <n v="1"/>
    <n v="8000"/>
    <s v="Paid"/>
  </r>
  <r>
    <x v="15"/>
    <x v="1"/>
    <x v="0"/>
    <x v="153"/>
    <x v="128"/>
    <x v="33"/>
    <s v="Feb'22"/>
    <x v="9"/>
    <s v="Dhaka"/>
    <s v="Absent"/>
    <n v="0"/>
    <n v="0"/>
    <s v="Paid"/>
  </r>
  <r>
    <x v="16"/>
    <x v="1"/>
    <x v="0"/>
    <x v="153"/>
    <x v="128"/>
    <x v="33"/>
    <s v="Feb'22"/>
    <x v="9"/>
    <s v="Dhaka"/>
    <s v="Present"/>
    <n v="1"/>
    <n v="8000"/>
    <s v="Paid"/>
  </r>
  <r>
    <x v="18"/>
    <x v="0"/>
    <x v="0"/>
    <x v="153"/>
    <x v="128"/>
    <x v="33"/>
    <s v="Feb'22"/>
    <x v="9"/>
    <s v="Dhaka"/>
    <s v="Present"/>
    <n v="1"/>
    <n v="8000"/>
    <s v="Paid"/>
  </r>
  <r>
    <x v="21"/>
    <x v="3"/>
    <x v="0"/>
    <x v="153"/>
    <x v="128"/>
    <x v="33"/>
    <s v="Feb'22"/>
    <x v="9"/>
    <s v="Dhaka"/>
    <s v="Present"/>
    <n v="1"/>
    <n v="8000"/>
    <s v="Paid"/>
  </r>
  <r>
    <x v="11"/>
    <x v="1"/>
    <x v="1"/>
    <x v="154"/>
    <x v="129"/>
    <x v="33"/>
    <s v="Feb'22"/>
    <x v="9"/>
    <s v="Dhaka"/>
    <s v="Present"/>
    <n v="1"/>
    <n v="8000"/>
    <s v="Paid"/>
  </r>
  <r>
    <x v="12"/>
    <x v="1"/>
    <x v="1"/>
    <x v="154"/>
    <x v="129"/>
    <x v="33"/>
    <s v="Feb'22"/>
    <x v="9"/>
    <s v="Dhaka"/>
    <s v="Present"/>
    <n v="1"/>
    <n v="8000"/>
    <s v="Paid"/>
  </r>
  <r>
    <x v="13"/>
    <x v="0"/>
    <x v="1"/>
    <x v="154"/>
    <x v="129"/>
    <x v="33"/>
    <s v="Feb'22"/>
    <x v="9"/>
    <s v="Dhaka"/>
    <s v="Present"/>
    <n v="1"/>
    <n v="8000"/>
    <s v="Paid"/>
  </r>
  <r>
    <x v="18"/>
    <x v="0"/>
    <x v="1"/>
    <x v="154"/>
    <x v="129"/>
    <x v="33"/>
    <s v="Feb'22"/>
    <x v="9"/>
    <s v="Dhaka"/>
    <s v="Present"/>
    <n v="1"/>
    <n v="8000"/>
    <s v="Paid"/>
  </r>
  <r>
    <x v="3"/>
    <x v="1"/>
    <x v="2"/>
    <x v="103"/>
    <x v="130"/>
    <x v="33"/>
    <s v="Mar'22"/>
    <x v="9"/>
    <s v="Dhaka"/>
    <s v="Present"/>
    <n v="1"/>
    <n v="8000"/>
    <s v="Paid"/>
  </r>
  <r>
    <x v="2"/>
    <x v="2"/>
    <x v="2"/>
    <x v="103"/>
    <x v="130"/>
    <x v="33"/>
    <s v="Mar'22"/>
    <x v="9"/>
    <s v="Dhaka"/>
    <s v="Present"/>
    <n v="1"/>
    <n v="8000"/>
    <s v="Paid"/>
  </r>
  <r>
    <x v="5"/>
    <x v="1"/>
    <x v="2"/>
    <x v="103"/>
    <x v="130"/>
    <x v="33"/>
    <s v="Mar'22"/>
    <x v="9"/>
    <s v="Dhaka"/>
    <s v="Present"/>
    <n v="1"/>
    <n v="8000"/>
    <s v="Paid"/>
  </r>
  <r>
    <x v="6"/>
    <x v="1"/>
    <x v="2"/>
    <x v="103"/>
    <x v="130"/>
    <x v="33"/>
    <s v="Mar'22"/>
    <x v="9"/>
    <s v="Dhaka"/>
    <s v="Present"/>
    <n v="1"/>
    <n v="8000"/>
    <s v="Paid"/>
  </r>
  <r>
    <x v="9"/>
    <x v="1"/>
    <x v="2"/>
    <x v="103"/>
    <x v="130"/>
    <x v="33"/>
    <s v="Mar'22"/>
    <x v="9"/>
    <s v="Dhaka"/>
    <s v="Present"/>
    <n v="1"/>
    <n v="8000"/>
    <s v="Paid"/>
  </r>
  <r>
    <x v="7"/>
    <x v="1"/>
    <x v="2"/>
    <x v="103"/>
    <x v="130"/>
    <x v="33"/>
    <s v="Mar'22"/>
    <x v="9"/>
    <s v="Dhaka"/>
    <s v="Present"/>
    <n v="1"/>
    <n v="8000"/>
    <s v="Paid"/>
  </r>
  <r>
    <x v="14"/>
    <x v="1"/>
    <x v="2"/>
    <x v="103"/>
    <x v="130"/>
    <x v="33"/>
    <s v="Mar'22"/>
    <x v="9"/>
    <s v="Dhaka"/>
    <s v="Present"/>
    <n v="1"/>
    <n v="8000"/>
    <s v="Paid"/>
  </r>
  <r>
    <x v="5"/>
    <x v="1"/>
    <x v="3"/>
    <x v="155"/>
    <x v="130"/>
    <x v="33"/>
    <s v="Mar'22"/>
    <x v="9"/>
    <s v="Dhaka"/>
    <s v="Present"/>
    <n v="1"/>
    <n v="8000"/>
    <s v="Paid"/>
  </r>
  <r>
    <x v="3"/>
    <x v="1"/>
    <x v="3"/>
    <x v="155"/>
    <x v="130"/>
    <x v="33"/>
    <s v="Mar'22"/>
    <x v="9"/>
    <s v="Dhaka"/>
    <s v="Present"/>
    <n v="1"/>
    <n v="8000"/>
    <s v="Paid"/>
  </r>
  <r>
    <x v="10"/>
    <x v="1"/>
    <x v="3"/>
    <x v="155"/>
    <x v="130"/>
    <x v="33"/>
    <s v="Mar'22"/>
    <x v="9"/>
    <s v="Dhaka"/>
    <s v="Present"/>
    <n v="1"/>
    <n v="8000"/>
    <s v="Paid"/>
  </r>
  <r>
    <x v="27"/>
    <x v="1"/>
    <x v="3"/>
    <x v="155"/>
    <x v="130"/>
    <x v="33"/>
    <s v="Mar'22"/>
    <x v="9"/>
    <s v="Dhaka"/>
    <s v="Present"/>
    <n v="1"/>
    <n v="8000"/>
    <s v="Paid"/>
  </r>
  <r>
    <x v="8"/>
    <x v="1"/>
    <x v="3"/>
    <x v="155"/>
    <x v="130"/>
    <x v="33"/>
    <s v="Mar'22"/>
    <x v="9"/>
    <s v="Dhaka"/>
    <s v="Present"/>
    <n v="1"/>
    <n v="8000"/>
    <s v="Paid"/>
  </r>
  <r>
    <x v="6"/>
    <x v="1"/>
    <x v="5"/>
    <x v="156"/>
    <x v="131"/>
    <x v="33"/>
    <s v="Mar'22"/>
    <x v="9"/>
    <s v="Dhaka"/>
    <s v="Present"/>
    <n v="1"/>
    <n v="8000"/>
    <s v="Paid"/>
  </r>
  <r>
    <x v="15"/>
    <x v="1"/>
    <x v="5"/>
    <x v="156"/>
    <x v="131"/>
    <x v="33"/>
    <s v="Mar'22"/>
    <x v="9"/>
    <s v="Dhaka"/>
    <s v="Absent"/>
    <n v="0"/>
    <n v="0"/>
    <s v="Paid"/>
  </r>
  <r>
    <x v="22"/>
    <x v="4"/>
    <x v="5"/>
    <x v="156"/>
    <x v="131"/>
    <x v="33"/>
    <s v="Mar'22"/>
    <x v="9"/>
    <s v="Dhaka"/>
    <s v="Present"/>
    <n v="1"/>
    <n v="8000"/>
    <s v="Paid"/>
  </r>
  <r>
    <x v="23"/>
    <x v="5"/>
    <x v="5"/>
    <x v="156"/>
    <x v="131"/>
    <x v="33"/>
    <s v="Mar'22"/>
    <x v="9"/>
    <s v="Dhaka"/>
    <s v="Absent"/>
    <n v="0"/>
    <n v="0"/>
    <s v="Paid"/>
  </r>
  <r>
    <x v="24"/>
    <x v="4"/>
    <x v="5"/>
    <x v="156"/>
    <x v="131"/>
    <x v="33"/>
    <s v="Mar'22"/>
    <x v="9"/>
    <s v="Dhaka"/>
    <s v="Present"/>
    <n v="1"/>
    <n v="8000"/>
    <s v="Paid"/>
  </r>
  <r>
    <x v="25"/>
    <x v="4"/>
    <x v="5"/>
    <x v="156"/>
    <x v="131"/>
    <x v="33"/>
    <s v="Mar'22"/>
    <x v="9"/>
    <s v="Dhaka"/>
    <s v="Present"/>
    <n v="1"/>
    <n v="8000"/>
    <s v="Paid"/>
  </r>
  <r>
    <x v="26"/>
    <x v="4"/>
    <x v="5"/>
    <x v="156"/>
    <x v="131"/>
    <x v="33"/>
    <s v="Mar'22"/>
    <x v="9"/>
    <s v="Dhaka"/>
    <s v="Present"/>
    <n v="1"/>
    <n v="8000"/>
    <s v="Paid"/>
  </r>
  <r>
    <x v="21"/>
    <x v="3"/>
    <x v="5"/>
    <x v="156"/>
    <x v="131"/>
    <x v="33"/>
    <s v="Mar'22"/>
    <x v="9"/>
    <s v="Dhaka"/>
    <s v="Present"/>
    <n v="1"/>
    <n v="8000"/>
    <s v="Paid"/>
  </r>
  <r>
    <x v="1"/>
    <x v="1"/>
    <x v="0"/>
    <x v="157"/>
    <x v="132"/>
    <x v="33"/>
    <s v="Mar'22"/>
    <x v="9"/>
    <s v="Dhaka"/>
    <s v="Present"/>
    <n v="1"/>
    <n v="8000"/>
    <s v="Paid"/>
  </r>
  <r>
    <x v="2"/>
    <x v="2"/>
    <x v="0"/>
    <x v="157"/>
    <x v="132"/>
    <x v="33"/>
    <s v="Mar'22"/>
    <x v="9"/>
    <s v="Dhaka"/>
    <s v="Present"/>
    <n v="1"/>
    <n v="8000"/>
    <s v="Paid"/>
  </r>
  <r>
    <x v="3"/>
    <x v="1"/>
    <x v="0"/>
    <x v="157"/>
    <x v="132"/>
    <x v="33"/>
    <s v="Mar'22"/>
    <x v="9"/>
    <s v="Dhaka"/>
    <s v="Present"/>
    <n v="1"/>
    <n v="8000"/>
    <s v="Paid"/>
  </r>
  <r>
    <x v="4"/>
    <x v="0"/>
    <x v="0"/>
    <x v="157"/>
    <x v="132"/>
    <x v="33"/>
    <s v="Mar'22"/>
    <x v="9"/>
    <s v="Dhaka"/>
    <s v="Present"/>
    <n v="1"/>
    <n v="8000"/>
    <s v="Paid"/>
  </r>
  <r>
    <x v="5"/>
    <x v="1"/>
    <x v="0"/>
    <x v="157"/>
    <x v="132"/>
    <x v="33"/>
    <s v="Mar'22"/>
    <x v="9"/>
    <s v="Dhaka"/>
    <s v="Present"/>
    <n v="1"/>
    <n v="8000"/>
    <s v="Paid"/>
  </r>
  <r>
    <x v="6"/>
    <x v="1"/>
    <x v="0"/>
    <x v="157"/>
    <x v="132"/>
    <x v="33"/>
    <s v="Mar'22"/>
    <x v="9"/>
    <s v="Dhaka"/>
    <s v="Present"/>
    <n v="1"/>
    <n v="8000"/>
    <s v="Paid"/>
  </r>
  <r>
    <x v="7"/>
    <x v="1"/>
    <x v="0"/>
    <x v="157"/>
    <x v="132"/>
    <x v="33"/>
    <s v="Mar'22"/>
    <x v="9"/>
    <s v="Dhaka"/>
    <s v="Present"/>
    <n v="1"/>
    <n v="8000"/>
    <s v="Paid"/>
  </r>
  <r>
    <x v="8"/>
    <x v="1"/>
    <x v="0"/>
    <x v="157"/>
    <x v="132"/>
    <x v="33"/>
    <s v="Mar'22"/>
    <x v="9"/>
    <s v="Dhaka"/>
    <s v="Present"/>
    <n v="1"/>
    <n v="8000"/>
    <s v="Paid"/>
  </r>
  <r>
    <x v="9"/>
    <x v="1"/>
    <x v="0"/>
    <x v="157"/>
    <x v="132"/>
    <x v="33"/>
    <s v="Mar'22"/>
    <x v="9"/>
    <s v="Dhaka"/>
    <s v="Present"/>
    <n v="1"/>
    <n v="8000"/>
    <s v="Paid"/>
  </r>
  <r>
    <x v="10"/>
    <x v="1"/>
    <x v="0"/>
    <x v="157"/>
    <x v="132"/>
    <x v="33"/>
    <s v="Mar'22"/>
    <x v="9"/>
    <s v="Dhaka"/>
    <s v="Present"/>
    <n v="1"/>
    <n v="8000"/>
    <s v="Paid"/>
  </r>
  <r>
    <x v="11"/>
    <x v="1"/>
    <x v="0"/>
    <x v="157"/>
    <x v="132"/>
    <x v="33"/>
    <s v="Mar'22"/>
    <x v="9"/>
    <s v="Dhaka"/>
    <s v="Present"/>
    <n v="1"/>
    <n v="8000"/>
    <s v="Paid"/>
  </r>
  <r>
    <x v="12"/>
    <x v="1"/>
    <x v="0"/>
    <x v="157"/>
    <x v="132"/>
    <x v="33"/>
    <s v="Mar'22"/>
    <x v="9"/>
    <s v="Dhaka"/>
    <s v="Present"/>
    <n v="1"/>
    <n v="8000"/>
    <s v="Paid"/>
  </r>
  <r>
    <x v="27"/>
    <x v="1"/>
    <x v="0"/>
    <x v="157"/>
    <x v="132"/>
    <x v="33"/>
    <s v="Mar'22"/>
    <x v="9"/>
    <s v="Dhaka"/>
    <s v="Present"/>
    <n v="1"/>
    <n v="8000"/>
    <s v="Paid"/>
  </r>
  <r>
    <x v="28"/>
    <x v="1"/>
    <x v="0"/>
    <x v="157"/>
    <x v="132"/>
    <x v="33"/>
    <s v="Mar'22"/>
    <x v="9"/>
    <s v="Dhaka"/>
    <s v="Present"/>
    <n v="1"/>
    <n v="8000"/>
    <s v="Paid"/>
  </r>
  <r>
    <x v="13"/>
    <x v="0"/>
    <x v="0"/>
    <x v="157"/>
    <x v="132"/>
    <x v="33"/>
    <s v="Mar'22"/>
    <x v="9"/>
    <s v="Dhaka"/>
    <s v="Present"/>
    <n v="1"/>
    <n v="8000"/>
    <s v="Paid"/>
  </r>
  <r>
    <x v="14"/>
    <x v="1"/>
    <x v="0"/>
    <x v="157"/>
    <x v="132"/>
    <x v="33"/>
    <s v="Mar'22"/>
    <x v="9"/>
    <s v="Dhaka"/>
    <s v="Absent"/>
    <n v="0"/>
    <n v="0"/>
    <s v="Paid"/>
  </r>
  <r>
    <x v="15"/>
    <x v="1"/>
    <x v="0"/>
    <x v="157"/>
    <x v="132"/>
    <x v="33"/>
    <s v="Mar'22"/>
    <x v="9"/>
    <s v="Dhaka"/>
    <s v="Absent"/>
    <n v="0"/>
    <n v="0"/>
    <s v="Paid"/>
  </r>
  <r>
    <x v="16"/>
    <x v="1"/>
    <x v="0"/>
    <x v="157"/>
    <x v="132"/>
    <x v="33"/>
    <s v="Mar'22"/>
    <x v="9"/>
    <s v="Dhaka"/>
    <s v="Present"/>
    <n v="1"/>
    <n v="8000"/>
    <s v="Paid"/>
  </r>
  <r>
    <x v="18"/>
    <x v="0"/>
    <x v="0"/>
    <x v="157"/>
    <x v="132"/>
    <x v="33"/>
    <s v="Mar'22"/>
    <x v="9"/>
    <s v="Dhaka"/>
    <s v="Present"/>
    <n v="1"/>
    <n v="8000"/>
    <s v="Paid"/>
  </r>
  <r>
    <x v="21"/>
    <x v="3"/>
    <x v="0"/>
    <x v="157"/>
    <x v="132"/>
    <x v="33"/>
    <s v="Mar'22"/>
    <x v="9"/>
    <s v="Dhaka"/>
    <s v="Present"/>
    <n v="1"/>
    <n v="8000"/>
    <s v="Paid"/>
  </r>
  <r>
    <x v="4"/>
    <x v="0"/>
    <x v="1"/>
    <x v="158"/>
    <x v="132"/>
    <x v="33"/>
    <s v="Mar'22"/>
    <x v="9"/>
    <s v="Dhaka"/>
    <s v="Present"/>
    <n v="1"/>
    <n v="8000"/>
    <s v="Paid"/>
  </r>
  <r>
    <x v="11"/>
    <x v="1"/>
    <x v="1"/>
    <x v="158"/>
    <x v="132"/>
    <x v="33"/>
    <s v="Mar'22"/>
    <x v="9"/>
    <s v="Dhaka"/>
    <s v="Present"/>
    <n v="1"/>
    <n v="8000"/>
    <s v="Paid"/>
  </r>
  <r>
    <x v="12"/>
    <x v="1"/>
    <x v="1"/>
    <x v="158"/>
    <x v="132"/>
    <x v="33"/>
    <s v="Mar'22"/>
    <x v="9"/>
    <s v="Dhaka"/>
    <s v="Present"/>
    <n v="1"/>
    <n v="8000"/>
    <s v="Paid"/>
  </r>
  <r>
    <x v="13"/>
    <x v="0"/>
    <x v="1"/>
    <x v="158"/>
    <x v="132"/>
    <x v="33"/>
    <s v="Mar'22"/>
    <x v="9"/>
    <s v="Dhaka"/>
    <s v="Present"/>
    <n v="1"/>
    <n v="8000"/>
    <s v="Paid"/>
  </r>
  <r>
    <x v="18"/>
    <x v="0"/>
    <x v="1"/>
    <x v="158"/>
    <x v="132"/>
    <x v="33"/>
    <s v="Mar'22"/>
    <x v="9"/>
    <s v="Dhaka"/>
    <s v="Present"/>
    <n v="1"/>
    <n v="8000"/>
    <s v="Paid"/>
  </r>
  <r>
    <x v="1"/>
    <x v="1"/>
    <x v="0"/>
    <x v="159"/>
    <x v="133"/>
    <x v="34"/>
    <s v="Apr'22"/>
    <x v="9"/>
    <s v="Dhaka"/>
    <s v="Present"/>
    <n v="1"/>
    <n v="8000"/>
    <s v="Paid"/>
  </r>
  <r>
    <x v="2"/>
    <x v="2"/>
    <x v="0"/>
    <x v="159"/>
    <x v="133"/>
    <x v="34"/>
    <s v="Apr'22"/>
    <x v="9"/>
    <s v="Dhaka"/>
    <s v="Absent"/>
    <n v="0"/>
    <n v="0"/>
    <s v="Paid"/>
  </r>
  <r>
    <x v="3"/>
    <x v="1"/>
    <x v="0"/>
    <x v="159"/>
    <x v="133"/>
    <x v="34"/>
    <s v="Apr'22"/>
    <x v="9"/>
    <s v="Dhaka"/>
    <s v="Absent"/>
    <n v="0"/>
    <n v="0"/>
    <s v="Paid"/>
  </r>
  <r>
    <x v="4"/>
    <x v="0"/>
    <x v="0"/>
    <x v="159"/>
    <x v="133"/>
    <x v="34"/>
    <s v="Apr'22"/>
    <x v="9"/>
    <s v="Dhaka"/>
    <s v="Present"/>
    <n v="1"/>
    <n v="8000"/>
    <s v="Paid"/>
  </r>
  <r>
    <x v="5"/>
    <x v="1"/>
    <x v="0"/>
    <x v="159"/>
    <x v="133"/>
    <x v="34"/>
    <s v="Apr'22"/>
    <x v="9"/>
    <s v="Dhaka"/>
    <s v="Absent"/>
    <n v="0"/>
    <n v="0"/>
    <s v="Paid"/>
  </r>
  <r>
    <x v="6"/>
    <x v="1"/>
    <x v="0"/>
    <x v="159"/>
    <x v="133"/>
    <x v="34"/>
    <s v="Apr'22"/>
    <x v="9"/>
    <s v="Dhaka"/>
    <s v="Absent"/>
    <n v="0"/>
    <n v="0"/>
    <s v="Paid"/>
  </r>
  <r>
    <x v="7"/>
    <x v="1"/>
    <x v="0"/>
    <x v="159"/>
    <x v="133"/>
    <x v="34"/>
    <s v="Apr'22"/>
    <x v="9"/>
    <s v="Dhaka"/>
    <s v="Present"/>
    <n v="1"/>
    <n v="8000"/>
    <s v="Paid"/>
  </r>
  <r>
    <x v="8"/>
    <x v="1"/>
    <x v="0"/>
    <x v="159"/>
    <x v="133"/>
    <x v="34"/>
    <s v="Apr'22"/>
    <x v="9"/>
    <s v="Dhaka"/>
    <s v="Present"/>
    <n v="1"/>
    <n v="8000"/>
    <s v="Paid"/>
  </r>
  <r>
    <x v="9"/>
    <x v="1"/>
    <x v="0"/>
    <x v="159"/>
    <x v="133"/>
    <x v="34"/>
    <s v="Apr'22"/>
    <x v="9"/>
    <s v="Dhaka"/>
    <s v="Absent"/>
    <n v="0"/>
    <n v="0"/>
    <s v="Paid"/>
  </r>
  <r>
    <x v="10"/>
    <x v="1"/>
    <x v="0"/>
    <x v="159"/>
    <x v="133"/>
    <x v="34"/>
    <s v="Apr'22"/>
    <x v="9"/>
    <s v="Dhaka"/>
    <s v="Present"/>
    <n v="1"/>
    <n v="8000"/>
    <s v="Paid"/>
  </r>
  <r>
    <x v="11"/>
    <x v="1"/>
    <x v="0"/>
    <x v="159"/>
    <x v="133"/>
    <x v="34"/>
    <s v="Apr'22"/>
    <x v="9"/>
    <s v="Dhaka"/>
    <s v="Present"/>
    <n v="1"/>
    <n v="8000"/>
    <s v="Paid"/>
  </r>
  <r>
    <x v="12"/>
    <x v="1"/>
    <x v="0"/>
    <x v="159"/>
    <x v="133"/>
    <x v="34"/>
    <s v="Apr'22"/>
    <x v="9"/>
    <s v="Dhaka"/>
    <s v="Present"/>
    <n v="1"/>
    <n v="8000"/>
    <s v="Paid"/>
  </r>
  <r>
    <x v="27"/>
    <x v="1"/>
    <x v="0"/>
    <x v="159"/>
    <x v="133"/>
    <x v="34"/>
    <s v="Apr'22"/>
    <x v="9"/>
    <s v="Dhaka"/>
    <s v="Present"/>
    <n v="1"/>
    <n v="8000"/>
    <s v="Paid"/>
  </r>
  <r>
    <x v="28"/>
    <x v="1"/>
    <x v="0"/>
    <x v="159"/>
    <x v="133"/>
    <x v="34"/>
    <s v="Apr'22"/>
    <x v="9"/>
    <s v="Dhaka"/>
    <s v="Present"/>
    <n v="1"/>
    <n v="8000"/>
    <s v="Paid"/>
  </r>
  <r>
    <x v="13"/>
    <x v="0"/>
    <x v="0"/>
    <x v="159"/>
    <x v="133"/>
    <x v="34"/>
    <s v="Apr'22"/>
    <x v="9"/>
    <s v="Dhaka"/>
    <s v="Present"/>
    <n v="1"/>
    <n v="8000"/>
    <s v="Paid"/>
  </r>
  <r>
    <x v="14"/>
    <x v="1"/>
    <x v="0"/>
    <x v="159"/>
    <x v="133"/>
    <x v="34"/>
    <s v="Apr'22"/>
    <x v="9"/>
    <s v="Dhaka"/>
    <s v="Present"/>
    <n v="1"/>
    <n v="8000"/>
    <s v="Paid"/>
  </r>
  <r>
    <x v="15"/>
    <x v="1"/>
    <x v="0"/>
    <x v="159"/>
    <x v="133"/>
    <x v="34"/>
    <s v="Apr'22"/>
    <x v="9"/>
    <s v="Dhaka"/>
    <s v="Absent"/>
    <n v="0"/>
    <n v="0"/>
    <s v="Paid"/>
  </r>
  <r>
    <x v="16"/>
    <x v="1"/>
    <x v="0"/>
    <x v="159"/>
    <x v="133"/>
    <x v="34"/>
    <s v="Apr'22"/>
    <x v="9"/>
    <s v="Dhaka"/>
    <s v="Present"/>
    <n v="1"/>
    <n v="8000"/>
    <s v="Paid"/>
  </r>
  <r>
    <x v="18"/>
    <x v="0"/>
    <x v="0"/>
    <x v="159"/>
    <x v="133"/>
    <x v="34"/>
    <s v="Apr'22"/>
    <x v="9"/>
    <s v="Dhaka"/>
    <s v="Absent"/>
    <n v="0"/>
    <n v="0"/>
    <s v="Paid"/>
  </r>
  <r>
    <x v="21"/>
    <x v="3"/>
    <x v="0"/>
    <x v="159"/>
    <x v="133"/>
    <x v="34"/>
    <s v="Apr'22"/>
    <x v="9"/>
    <s v="Dhaka"/>
    <s v="Present"/>
    <n v="1"/>
    <n v="8000"/>
    <s v="Paid"/>
  </r>
  <r>
    <x v="3"/>
    <x v="1"/>
    <x v="2"/>
    <x v="107"/>
    <x v="134"/>
    <x v="34"/>
    <s v="Apr'22"/>
    <x v="9"/>
    <s v="Dhaka"/>
    <s v="Present"/>
    <n v="1"/>
    <n v="8000"/>
    <s v="Paid"/>
  </r>
  <r>
    <x v="2"/>
    <x v="2"/>
    <x v="2"/>
    <x v="107"/>
    <x v="134"/>
    <x v="34"/>
    <s v="Apr'22"/>
    <x v="9"/>
    <s v="Dhaka"/>
    <s v="Present"/>
    <n v="1"/>
    <n v="8000"/>
    <s v="Paid"/>
  </r>
  <r>
    <x v="5"/>
    <x v="1"/>
    <x v="2"/>
    <x v="107"/>
    <x v="134"/>
    <x v="34"/>
    <s v="Apr'22"/>
    <x v="9"/>
    <s v="Dhaka"/>
    <s v="Absent"/>
    <n v="0"/>
    <n v="0"/>
    <s v="Paid"/>
  </r>
  <r>
    <x v="6"/>
    <x v="1"/>
    <x v="2"/>
    <x v="107"/>
    <x v="134"/>
    <x v="34"/>
    <s v="Apr'22"/>
    <x v="9"/>
    <s v="Dhaka"/>
    <s v="Absent"/>
    <n v="0"/>
    <n v="0"/>
    <s v="Paid"/>
  </r>
  <r>
    <x v="9"/>
    <x v="1"/>
    <x v="2"/>
    <x v="107"/>
    <x v="134"/>
    <x v="34"/>
    <s v="Apr'22"/>
    <x v="9"/>
    <s v="Dhaka"/>
    <s v="Present"/>
    <n v="1"/>
    <n v="8000"/>
    <s v="Paid"/>
  </r>
  <r>
    <x v="7"/>
    <x v="1"/>
    <x v="2"/>
    <x v="107"/>
    <x v="134"/>
    <x v="34"/>
    <s v="Apr'22"/>
    <x v="9"/>
    <s v="Dhaka"/>
    <s v="Present"/>
    <n v="1"/>
    <n v="8000"/>
    <s v="Paid"/>
  </r>
  <r>
    <x v="14"/>
    <x v="1"/>
    <x v="2"/>
    <x v="107"/>
    <x v="134"/>
    <x v="34"/>
    <s v="Apr'22"/>
    <x v="9"/>
    <s v="Dhaka"/>
    <s v="Present"/>
    <n v="1"/>
    <n v="8000"/>
    <s v="Paid"/>
  </r>
  <r>
    <x v="1"/>
    <x v="1"/>
    <x v="0"/>
    <x v="160"/>
    <x v="135"/>
    <x v="34"/>
    <s v="May'22"/>
    <x v="9"/>
    <s v="Dhaka"/>
    <s v="Absent"/>
    <n v="0"/>
    <n v="0"/>
    <s v="Paid"/>
  </r>
  <r>
    <x v="2"/>
    <x v="2"/>
    <x v="0"/>
    <x v="160"/>
    <x v="135"/>
    <x v="34"/>
    <s v="May'22"/>
    <x v="9"/>
    <s v="Dhaka"/>
    <s v="Absent"/>
    <n v="0"/>
    <n v="0"/>
    <s v="Paid"/>
  </r>
  <r>
    <x v="3"/>
    <x v="1"/>
    <x v="0"/>
    <x v="160"/>
    <x v="135"/>
    <x v="34"/>
    <s v="May'22"/>
    <x v="9"/>
    <s v="Dhaka"/>
    <s v="Present"/>
    <n v="1"/>
    <n v="8000"/>
    <s v="Paid"/>
  </r>
  <r>
    <x v="4"/>
    <x v="0"/>
    <x v="0"/>
    <x v="160"/>
    <x v="135"/>
    <x v="34"/>
    <s v="May'22"/>
    <x v="9"/>
    <s v="Dhaka"/>
    <s v="Present"/>
    <n v="1"/>
    <n v="8000"/>
    <s v="Paid"/>
  </r>
  <r>
    <x v="5"/>
    <x v="1"/>
    <x v="0"/>
    <x v="160"/>
    <x v="135"/>
    <x v="34"/>
    <s v="May'22"/>
    <x v="9"/>
    <s v="Dhaka"/>
    <s v="Present"/>
    <n v="1"/>
    <n v="8000"/>
    <s v="Paid"/>
  </r>
  <r>
    <x v="6"/>
    <x v="1"/>
    <x v="0"/>
    <x v="160"/>
    <x v="135"/>
    <x v="34"/>
    <s v="May'22"/>
    <x v="9"/>
    <s v="Dhaka"/>
    <s v="Present"/>
    <n v="1"/>
    <n v="8000"/>
    <s v="Paid"/>
  </r>
  <r>
    <x v="7"/>
    <x v="1"/>
    <x v="0"/>
    <x v="160"/>
    <x v="135"/>
    <x v="34"/>
    <s v="May'22"/>
    <x v="9"/>
    <s v="Dhaka"/>
    <s v="Present"/>
    <n v="1"/>
    <n v="8000"/>
    <s v="Paid"/>
  </r>
  <r>
    <x v="8"/>
    <x v="1"/>
    <x v="0"/>
    <x v="160"/>
    <x v="135"/>
    <x v="34"/>
    <s v="May'22"/>
    <x v="9"/>
    <s v="Dhaka"/>
    <s v="Present"/>
    <n v="1"/>
    <n v="8000"/>
    <s v="Paid"/>
  </r>
  <r>
    <x v="9"/>
    <x v="1"/>
    <x v="0"/>
    <x v="160"/>
    <x v="135"/>
    <x v="34"/>
    <s v="May'22"/>
    <x v="9"/>
    <s v="Dhaka"/>
    <s v="Absent"/>
    <n v="0"/>
    <n v="0"/>
    <s v="Paid"/>
  </r>
  <r>
    <x v="10"/>
    <x v="1"/>
    <x v="0"/>
    <x v="160"/>
    <x v="135"/>
    <x v="34"/>
    <s v="May'22"/>
    <x v="9"/>
    <s v="Dhaka"/>
    <s v="Present"/>
    <n v="1"/>
    <n v="8000"/>
    <s v="Paid"/>
  </r>
  <r>
    <x v="11"/>
    <x v="1"/>
    <x v="0"/>
    <x v="160"/>
    <x v="135"/>
    <x v="34"/>
    <s v="May'22"/>
    <x v="9"/>
    <s v="Dhaka"/>
    <s v="Present"/>
    <n v="1"/>
    <n v="8000"/>
    <s v="Paid"/>
  </r>
  <r>
    <x v="12"/>
    <x v="1"/>
    <x v="0"/>
    <x v="160"/>
    <x v="135"/>
    <x v="34"/>
    <s v="May'22"/>
    <x v="9"/>
    <s v="Dhaka"/>
    <s v="Present"/>
    <n v="1"/>
    <n v="8000"/>
    <s v="Paid"/>
  </r>
  <r>
    <x v="27"/>
    <x v="1"/>
    <x v="0"/>
    <x v="160"/>
    <x v="135"/>
    <x v="34"/>
    <s v="May'22"/>
    <x v="9"/>
    <s v="Dhaka"/>
    <s v="Present"/>
    <n v="1"/>
    <n v="8000"/>
    <s v="Paid"/>
  </r>
  <r>
    <x v="28"/>
    <x v="1"/>
    <x v="0"/>
    <x v="160"/>
    <x v="135"/>
    <x v="34"/>
    <s v="May'22"/>
    <x v="9"/>
    <s v="Dhaka"/>
    <s v="Present"/>
    <n v="1"/>
    <n v="8000"/>
    <s v="Paid"/>
  </r>
  <r>
    <x v="13"/>
    <x v="0"/>
    <x v="0"/>
    <x v="160"/>
    <x v="135"/>
    <x v="34"/>
    <s v="May'22"/>
    <x v="9"/>
    <s v="Dhaka"/>
    <s v="Present"/>
    <n v="1"/>
    <n v="8000"/>
    <s v="Paid"/>
  </r>
  <r>
    <x v="14"/>
    <x v="1"/>
    <x v="0"/>
    <x v="160"/>
    <x v="135"/>
    <x v="34"/>
    <s v="May'22"/>
    <x v="9"/>
    <s v="Dhaka"/>
    <s v="Present"/>
    <n v="1"/>
    <n v="8000"/>
    <s v="Paid"/>
  </r>
  <r>
    <x v="15"/>
    <x v="1"/>
    <x v="0"/>
    <x v="160"/>
    <x v="135"/>
    <x v="34"/>
    <s v="May'22"/>
    <x v="9"/>
    <s v="Dhaka"/>
    <s v="Present"/>
    <n v="1"/>
    <n v="8000"/>
    <s v="Paid"/>
  </r>
  <r>
    <x v="16"/>
    <x v="1"/>
    <x v="0"/>
    <x v="160"/>
    <x v="135"/>
    <x v="34"/>
    <s v="May'22"/>
    <x v="9"/>
    <s v="Dhaka"/>
    <s v="Present"/>
    <n v="1"/>
    <n v="8000"/>
    <s v="Paid"/>
  </r>
  <r>
    <x v="18"/>
    <x v="0"/>
    <x v="0"/>
    <x v="160"/>
    <x v="135"/>
    <x v="34"/>
    <s v="May'22"/>
    <x v="9"/>
    <s v="Dhaka"/>
    <s v="Absent"/>
    <n v="0"/>
    <n v="0"/>
    <s v="Paid"/>
  </r>
  <r>
    <x v="21"/>
    <x v="3"/>
    <x v="0"/>
    <x v="160"/>
    <x v="135"/>
    <x v="34"/>
    <s v="May'22"/>
    <x v="9"/>
    <s v="Dhaka"/>
    <s v="Present"/>
    <n v="1"/>
    <n v="8000"/>
    <s v="Paid"/>
  </r>
  <r>
    <x v="4"/>
    <x v="0"/>
    <x v="1"/>
    <x v="161"/>
    <x v="135"/>
    <x v="34"/>
    <s v="May'22"/>
    <x v="9"/>
    <s v="Dhaka"/>
    <s v="Present"/>
    <n v="1"/>
    <n v="8000"/>
    <s v="Paid"/>
  </r>
  <r>
    <x v="11"/>
    <x v="1"/>
    <x v="1"/>
    <x v="161"/>
    <x v="135"/>
    <x v="34"/>
    <s v="May'22"/>
    <x v="9"/>
    <s v="Dhaka"/>
    <s v="Absent"/>
    <n v="0"/>
    <n v="0"/>
    <s v="Paid"/>
  </r>
  <r>
    <x v="12"/>
    <x v="1"/>
    <x v="1"/>
    <x v="161"/>
    <x v="135"/>
    <x v="34"/>
    <s v="May'22"/>
    <x v="9"/>
    <s v="Dhaka"/>
    <s v="Present"/>
    <n v="1"/>
    <n v="8000"/>
    <s v="Paid"/>
  </r>
  <r>
    <x v="13"/>
    <x v="0"/>
    <x v="1"/>
    <x v="161"/>
    <x v="135"/>
    <x v="34"/>
    <s v="May'22"/>
    <x v="9"/>
    <s v="Dhaka"/>
    <s v="Present"/>
    <n v="1"/>
    <n v="8000"/>
    <s v="Paid"/>
  </r>
  <r>
    <x v="18"/>
    <x v="0"/>
    <x v="1"/>
    <x v="161"/>
    <x v="135"/>
    <x v="34"/>
    <s v="May'22"/>
    <x v="9"/>
    <s v="Dhaka"/>
    <s v="Present"/>
    <n v="1"/>
    <n v="8000"/>
    <s v="Paid"/>
  </r>
  <r>
    <x v="1"/>
    <x v="1"/>
    <x v="0"/>
    <x v="162"/>
    <x v="136"/>
    <x v="35"/>
    <s v="Jul'22"/>
    <x v="9"/>
    <s v="Dhaka"/>
    <s v="Present"/>
    <n v="1"/>
    <n v="8000"/>
    <s v="Paid"/>
  </r>
  <r>
    <x v="2"/>
    <x v="2"/>
    <x v="0"/>
    <x v="162"/>
    <x v="136"/>
    <x v="35"/>
    <s v="Jul'22"/>
    <x v="9"/>
    <s v="Dhaka"/>
    <s v="Present"/>
    <n v="1"/>
    <n v="8000"/>
    <s v="Paid"/>
  </r>
  <r>
    <x v="3"/>
    <x v="1"/>
    <x v="0"/>
    <x v="162"/>
    <x v="136"/>
    <x v="35"/>
    <s v="Jul'22"/>
    <x v="9"/>
    <s v="Dhaka"/>
    <s v="Present"/>
    <n v="1"/>
    <n v="8000"/>
    <s v="Paid"/>
  </r>
  <r>
    <x v="4"/>
    <x v="0"/>
    <x v="0"/>
    <x v="162"/>
    <x v="136"/>
    <x v="35"/>
    <s v="Jul'22"/>
    <x v="9"/>
    <s v="Dhaka"/>
    <s v="Present"/>
    <n v="1"/>
    <n v="8000"/>
    <s v="Paid"/>
  </r>
  <r>
    <x v="5"/>
    <x v="1"/>
    <x v="0"/>
    <x v="162"/>
    <x v="136"/>
    <x v="35"/>
    <s v="Jul'22"/>
    <x v="9"/>
    <s v="Dhaka"/>
    <s v="Present"/>
    <n v="1"/>
    <n v="8000"/>
    <s v="Paid"/>
  </r>
  <r>
    <x v="6"/>
    <x v="1"/>
    <x v="0"/>
    <x v="162"/>
    <x v="136"/>
    <x v="35"/>
    <s v="Jul'22"/>
    <x v="9"/>
    <s v="Dhaka"/>
    <s v="Present"/>
    <n v="1"/>
    <n v="8000"/>
    <s v="Paid"/>
  </r>
  <r>
    <x v="7"/>
    <x v="1"/>
    <x v="0"/>
    <x v="162"/>
    <x v="136"/>
    <x v="35"/>
    <s v="Jul'22"/>
    <x v="9"/>
    <s v="Dhaka"/>
    <s v="Present"/>
    <n v="1"/>
    <n v="8000"/>
    <s v="Paid"/>
  </r>
  <r>
    <x v="8"/>
    <x v="1"/>
    <x v="0"/>
    <x v="162"/>
    <x v="136"/>
    <x v="35"/>
    <s v="Jul'22"/>
    <x v="9"/>
    <s v="Dhaka"/>
    <s v="Present"/>
    <n v="1"/>
    <n v="8000"/>
    <s v="Paid"/>
  </r>
  <r>
    <x v="9"/>
    <x v="1"/>
    <x v="0"/>
    <x v="162"/>
    <x v="136"/>
    <x v="35"/>
    <s v="Jul'22"/>
    <x v="9"/>
    <s v="Dhaka"/>
    <s v="Absent"/>
    <n v="0"/>
    <n v="0"/>
    <s v="Paid"/>
  </r>
  <r>
    <x v="10"/>
    <x v="1"/>
    <x v="0"/>
    <x v="162"/>
    <x v="136"/>
    <x v="35"/>
    <s v="Jul'22"/>
    <x v="9"/>
    <s v="Dhaka"/>
    <s v="Present"/>
    <n v="1"/>
    <n v="8000"/>
    <s v="Paid"/>
  </r>
  <r>
    <x v="11"/>
    <x v="1"/>
    <x v="0"/>
    <x v="162"/>
    <x v="136"/>
    <x v="35"/>
    <s v="Jul'22"/>
    <x v="9"/>
    <s v="Dhaka"/>
    <s v="Present"/>
    <n v="1"/>
    <n v="8000"/>
    <s v="Paid"/>
  </r>
  <r>
    <x v="12"/>
    <x v="1"/>
    <x v="0"/>
    <x v="162"/>
    <x v="136"/>
    <x v="35"/>
    <s v="Jul'22"/>
    <x v="9"/>
    <s v="Dhaka"/>
    <s v="Present"/>
    <n v="1"/>
    <n v="8000"/>
    <s v="Paid"/>
  </r>
  <r>
    <x v="27"/>
    <x v="1"/>
    <x v="0"/>
    <x v="162"/>
    <x v="136"/>
    <x v="35"/>
    <s v="Jul'22"/>
    <x v="9"/>
    <s v="Dhaka"/>
    <s v="Present"/>
    <n v="1"/>
    <n v="8000"/>
    <s v="Paid"/>
  </r>
  <r>
    <x v="28"/>
    <x v="1"/>
    <x v="0"/>
    <x v="162"/>
    <x v="136"/>
    <x v="35"/>
    <s v="Jul'22"/>
    <x v="9"/>
    <s v="Dhaka"/>
    <s v="Present"/>
    <n v="1"/>
    <n v="8000"/>
    <s v="Paid"/>
  </r>
  <r>
    <x v="13"/>
    <x v="0"/>
    <x v="0"/>
    <x v="162"/>
    <x v="136"/>
    <x v="35"/>
    <s v="Jul'22"/>
    <x v="9"/>
    <s v="Dhaka"/>
    <s v="Present"/>
    <n v="1"/>
    <n v="8000"/>
    <s v="Paid"/>
  </r>
  <r>
    <x v="14"/>
    <x v="1"/>
    <x v="0"/>
    <x v="162"/>
    <x v="136"/>
    <x v="35"/>
    <s v="Jul'22"/>
    <x v="9"/>
    <s v="Dhaka"/>
    <s v="Present"/>
    <n v="1"/>
    <n v="8000"/>
    <s v="Paid"/>
  </r>
  <r>
    <x v="15"/>
    <x v="1"/>
    <x v="0"/>
    <x v="162"/>
    <x v="136"/>
    <x v="35"/>
    <s v="Jul'22"/>
    <x v="9"/>
    <s v="Dhaka"/>
    <s v="Present"/>
    <n v="1"/>
    <n v="8000"/>
    <s v="Paid"/>
  </r>
  <r>
    <x v="16"/>
    <x v="1"/>
    <x v="0"/>
    <x v="162"/>
    <x v="136"/>
    <x v="35"/>
    <s v="Jul'22"/>
    <x v="9"/>
    <s v="Dhaka"/>
    <s v="Present"/>
    <n v="1"/>
    <n v="8000"/>
    <s v="Paid"/>
  </r>
  <r>
    <x v="18"/>
    <x v="0"/>
    <x v="0"/>
    <x v="162"/>
    <x v="136"/>
    <x v="35"/>
    <s v="Jul'22"/>
    <x v="9"/>
    <s v="Dhaka"/>
    <s v="Absent"/>
    <n v="0"/>
    <n v="0"/>
    <s v="Paid"/>
  </r>
  <r>
    <x v="21"/>
    <x v="3"/>
    <x v="0"/>
    <x v="162"/>
    <x v="136"/>
    <x v="35"/>
    <s v="Jul'22"/>
    <x v="9"/>
    <s v="Dhaka"/>
    <s v="Present"/>
    <n v="1"/>
    <n v="8000"/>
    <s v="Paid"/>
  </r>
  <r>
    <x v="4"/>
    <x v="0"/>
    <x v="1"/>
    <x v="163"/>
    <x v="137"/>
    <x v="35"/>
    <s v="Jul'22"/>
    <x v="9"/>
    <s v="Dhaka"/>
    <s v="Present"/>
    <n v="1"/>
    <n v="8000"/>
    <s v="Paid"/>
  </r>
  <r>
    <x v="11"/>
    <x v="1"/>
    <x v="1"/>
    <x v="163"/>
    <x v="137"/>
    <x v="35"/>
    <s v="Jul'22"/>
    <x v="9"/>
    <s v="Dhaka"/>
    <s v="Absent"/>
    <n v="0"/>
    <n v="0"/>
    <s v="Paid"/>
  </r>
  <r>
    <x v="12"/>
    <x v="1"/>
    <x v="1"/>
    <x v="163"/>
    <x v="137"/>
    <x v="35"/>
    <s v="Jul'22"/>
    <x v="9"/>
    <s v="Dhaka"/>
    <s v="Present"/>
    <n v="1"/>
    <n v="8000"/>
    <s v="Paid"/>
  </r>
  <r>
    <x v="13"/>
    <x v="0"/>
    <x v="1"/>
    <x v="163"/>
    <x v="137"/>
    <x v="35"/>
    <s v="Jul'22"/>
    <x v="9"/>
    <s v="Dhaka"/>
    <s v="Present"/>
    <n v="1"/>
    <n v="8000"/>
    <s v="Paid"/>
  </r>
  <r>
    <x v="18"/>
    <x v="0"/>
    <x v="1"/>
    <x v="163"/>
    <x v="137"/>
    <x v="35"/>
    <s v="Jul'22"/>
    <x v="9"/>
    <s v="Dhaka"/>
    <s v="Present"/>
    <n v="1"/>
    <n v="8000"/>
    <s v="Paid"/>
  </r>
  <r>
    <x v="6"/>
    <x v="1"/>
    <x v="5"/>
    <x v="164"/>
    <x v="138"/>
    <x v="35"/>
    <s v="Jul'22"/>
    <x v="9"/>
    <s v="Dhaka"/>
    <s v="Present"/>
    <n v="1"/>
    <n v="8000"/>
    <s v="Paid"/>
  </r>
  <r>
    <x v="22"/>
    <x v="4"/>
    <x v="5"/>
    <x v="164"/>
    <x v="138"/>
    <x v="35"/>
    <s v="Jul'22"/>
    <x v="9"/>
    <s v="Dhaka"/>
    <s v="Present"/>
    <n v="1"/>
    <n v="8000"/>
    <s v="Paid"/>
  </r>
  <r>
    <x v="23"/>
    <x v="5"/>
    <x v="5"/>
    <x v="164"/>
    <x v="138"/>
    <x v="35"/>
    <s v="Jul'22"/>
    <x v="9"/>
    <s v="Dhaka"/>
    <s v="Present"/>
    <n v="1"/>
    <n v="8000"/>
    <s v="Paid"/>
  </r>
  <r>
    <x v="24"/>
    <x v="4"/>
    <x v="5"/>
    <x v="164"/>
    <x v="138"/>
    <x v="35"/>
    <s v="Jul'22"/>
    <x v="9"/>
    <s v="Dhaka"/>
    <s v="Present"/>
    <n v="1"/>
    <n v="8000"/>
    <s v="Paid"/>
  </r>
  <r>
    <x v="25"/>
    <x v="4"/>
    <x v="5"/>
    <x v="164"/>
    <x v="138"/>
    <x v="35"/>
    <s v="Jul'22"/>
    <x v="9"/>
    <s v="Dhaka"/>
    <s v="Present"/>
    <n v="1"/>
    <n v="8000"/>
    <s v="Paid"/>
  </r>
  <r>
    <x v="26"/>
    <x v="4"/>
    <x v="5"/>
    <x v="164"/>
    <x v="138"/>
    <x v="35"/>
    <s v="Jul'22"/>
    <x v="9"/>
    <s v="Dhaka"/>
    <s v="Present"/>
    <n v="1"/>
    <n v="8000"/>
    <s v="Paid"/>
  </r>
  <r>
    <x v="21"/>
    <x v="3"/>
    <x v="5"/>
    <x v="164"/>
    <x v="138"/>
    <x v="35"/>
    <s v="Jul'22"/>
    <x v="9"/>
    <s v="Dhaka"/>
    <s v="Absent"/>
    <n v="0"/>
    <n v="0"/>
    <s v="Paid"/>
  </r>
  <r>
    <x v="1"/>
    <x v="1"/>
    <x v="0"/>
    <x v="165"/>
    <x v="139"/>
    <x v="35"/>
    <s v="Jul'22"/>
    <x v="9"/>
    <s v="Dhaka"/>
    <s v="Absent"/>
    <n v="0"/>
    <n v="0"/>
    <s v="Paid"/>
  </r>
  <r>
    <x v="2"/>
    <x v="2"/>
    <x v="0"/>
    <x v="165"/>
    <x v="139"/>
    <x v="35"/>
    <s v="Jul'22"/>
    <x v="9"/>
    <s v="Dhaka"/>
    <s v="Present"/>
    <n v="1"/>
    <n v="8000"/>
    <s v="Paid"/>
  </r>
  <r>
    <x v="3"/>
    <x v="1"/>
    <x v="0"/>
    <x v="165"/>
    <x v="139"/>
    <x v="35"/>
    <s v="Jul'22"/>
    <x v="9"/>
    <s v="Dhaka"/>
    <s v="Present"/>
    <n v="1"/>
    <n v="8000"/>
    <s v="Paid"/>
  </r>
  <r>
    <x v="4"/>
    <x v="0"/>
    <x v="0"/>
    <x v="165"/>
    <x v="139"/>
    <x v="35"/>
    <s v="Jul'22"/>
    <x v="9"/>
    <s v="Dhaka"/>
    <s v="Present"/>
    <n v="1"/>
    <n v="8000"/>
    <s v="Paid"/>
  </r>
  <r>
    <x v="5"/>
    <x v="1"/>
    <x v="0"/>
    <x v="165"/>
    <x v="139"/>
    <x v="35"/>
    <s v="Jul'22"/>
    <x v="9"/>
    <s v="Dhaka"/>
    <s v="Present"/>
    <n v="1"/>
    <n v="8000"/>
    <s v="Paid"/>
  </r>
  <r>
    <x v="6"/>
    <x v="1"/>
    <x v="0"/>
    <x v="165"/>
    <x v="139"/>
    <x v="35"/>
    <s v="Jul'22"/>
    <x v="9"/>
    <s v="Dhaka"/>
    <s v="Absent"/>
    <n v="0"/>
    <n v="0"/>
    <s v="Paid"/>
  </r>
  <r>
    <x v="7"/>
    <x v="1"/>
    <x v="0"/>
    <x v="165"/>
    <x v="139"/>
    <x v="35"/>
    <s v="Jul'22"/>
    <x v="9"/>
    <s v="Dhaka"/>
    <s v="Present"/>
    <n v="1"/>
    <n v="8000"/>
    <s v="Paid"/>
  </r>
  <r>
    <x v="8"/>
    <x v="1"/>
    <x v="0"/>
    <x v="165"/>
    <x v="139"/>
    <x v="35"/>
    <s v="Jul'22"/>
    <x v="9"/>
    <s v="Dhaka"/>
    <s v="Present"/>
    <n v="1"/>
    <n v="8000"/>
    <s v="Paid"/>
  </r>
  <r>
    <x v="9"/>
    <x v="1"/>
    <x v="0"/>
    <x v="165"/>
    <x v="139"/>
    <x v="35"/>
    <s v="Jul'22"/>
    <x v="9"/>
    <s v="Dhaka"/>
    <s v="Present"/>
    <n v="1"/>
    <n v="8000"/>
    <s v="Paid"/>
  </r>
  <r>
    <x v="10"/>
    <x v="1"/>
    <x v="0"/>
    <x v="165"/>
    <x v="139"/>
    <x v="35"/>
    <s v="Jul'22"/>
    <x v="9"/>
    <s v="Dhaka"/>
    <s v="Present"/>
    <n v="1"/>
    <n v="8000"/>
    <s v="Paid"/>
  </r>
  <r>
    <x v="11"/>
    <x v="1"/>
    <x v="0"/>
    <x v="165"/>
    <x v="139"/>
    <x v="35"/>
    <s v="Jul'22"/>
    <x v="9"/>
    <s v="Dhaka"/>
    <s v="Present"/>
    <n v="1"/>
    <n v="8000"/>
    <s v="Paid"/>
  </r>
  <r>
    <x v="12"/>
    <x v="1"/>
    <x v="0"/>
    <x v="165"/>
    <x v="139"/>
    <x v="35"/>
    <s v="Jul'22"/>
    <x v="9"/>
    <s v="Dhaka"/>
    <s v="Present"/>
    <n v="1"/>
    <n v="8000"/>
    <s v="Paid"/>
  </r>
  <r>
    <x v="27"/>
    <x v="1"/>
    <x v="0"/>
    <x v="165"/>
    <x v="139"/>
    <x v="35"/>
    <s v="Jul'22"/>
    <x v="9"/>
    <s v="Dhaka"/>
    <s v="Present"/>
    <n v="1"/>
    <n v="8000"/>
    <s v="Paid"/>
  </r>
  <r>
    <x v="28"/>
    <x v="1"/>
    <x v="0"/>
    <x v="165"/>
    <x v="139"/>
    <x v="35"/>
    <s v="Jul'22"/>
    <x v="9"/>
    <s v="Dhaka"/>
    <s v="Present"/>
    <n v="1"/>
    <n v="8000"/>
    <s v="Paid"/>
  </r>
  <r>
    <x v="13"/>
    <x v="0"/>
    <x v="0"/>
    <x v="165"/>
    <x v="139"/>
    <x v="35"/>
    <s v="Jul'22"/>
    <x v="9"/>
    <s v="Dhaka"/>
    <s v="Present"/>
    <n v="1"/>
    <n v="8000"/>
    <s v="Paid"/>
  </r>
  <r>
    <x v="14"/>
    <x v="1"/>
    <x v="0"/>
    <x v="165"/>
    <x v="139"/>
    <x v="35"/>
    <s v="Jul'22"/>
    <x v="9"/>
    <s v="Dhaka"/>
    <s v="Present"/>
    <n v="1"/>
    <n v="8000"/>
    <s v="Paid"/>
  </r>
  <r>
    <x v="15"/>
    <x v="1"/>
    <x v="0"/>
    <x v="165"/>
    <x v="139"/>
    <x v="35"/>
    <s v="Jul'22"/>
    <x v="9"/>
    <s v="Dhaka"/>
    <s v="Absent"/>
    <n v="0"/>
    <n v="0"/>
    <s v="Paid"/>
  </r>
  <r>
    <x v="16"/>
    <x v="1"/>
    <x v="0"/>
    <x v="165"/>
    <x v="139"/>
    <x v="35"/>
    <s v="Jul'22"/>
    <x v="9"/>
    <s v="Dhaka"/>
    <s v="Present"/>
    <n v="1"/>
    <n v="8000"/>
    <s v="Paid"/>
  </r>
  <r>
    <x v="18"/>
    <x v="0"/>
    <x v="0"/>
    <x v="165"/>
    <x v="139"/>
    <x v="35"/>
    <s v="Jul'22"/>
    <x v="9"/>
    <s v="Dhaka"/>
    <s v="Present"/>
    <n v="1"/>
    <n v="8000"/>
    <s v="Paid"/>
  </r>
  <r>
    <x v="1"/>
    <x v="1"/>
    <x v="0"/>
    <x v="166"/>
    <x v="139"/>
    <x v="35"/>
    <s v="Jul'22"/>
    <x v="9"/>
    <s v="Dhaka"/>
    <s v="Present"/>
    <n v="1"/>
    <n v="8000"/>
    <s v="Paid"/>
  </r>
  <r>
    <x v="2"/>
    <x v="2"/>
    <x v="0"/>
    <x v="166"/>
    <x v="139"/>
    <x v="35"/>
    <s v="Jul'22"/>
    <x v="9"/>
    <s v="Dhaka"/>
    <s v="Present"/>
    <n v="1"/>
    <n v="8000"/>
    <s v="Paid"/>
  </r>
  <r>
    <x v="3"/>
    <x v="1"/>
    <x v="0"/>
    <x v="166"/>
    <x v="139"/>
    <x v="35"/>
    <s v="Jul'22"/>
    <x v="9"/>
    <s v="Dhaka"/>
    <s v="Present"/>
    <n v="1"/>
    <n v="8000"/>
    <s v="Paid"/>
  </r>
  <r>
    <x v="4"/>
    <x v="0"/>
    <x v="0"/>
    <x v="166"/>
    <x v="139"/>
    <x v="35"/>
    <s v="Jul'22"/>
    <x v="9"/>
    <s v="Dhaka"/>
    <s v="Present"/>
    <n v="1"/>
    <n v="8000"/>
    <s v="Paid"/>
  </r>
  <r>
    <x v="5"/>
    <x v="1"/>
    <x v="0"/>
    <x v="166"/>
    <x v="139"/>
    <x v="35"/>
    <s v="Jul'22"/>
    <x v="9"/>
    <s v="Dhaka"/>
    <s v="Present"/>
    <n v="1"/>
    <n v="8000"/>
    <s v="Paid"/>
  </r>
  <r>
    <x v="6"/>
    <x v="1"/>
    <x v="0"/>
    <x v="166"/>
    <x v="139"/>
    <x v="35"/>
    <s v="Jul'22"/>
    <x v="9"/>
    <s v="Dhaka"/>
    <s v="Present"/>
    <n v="1"/>
    <n v="8000"/>
    <s v="Paid"/>
  </r>
  <r>
    <x v="7"/>
    <x v="1"/>
    <x v="0"/>
    <x v="166"/>
    <x v="139"/>
    <x v="35"/>
    <s v="Jul'22"/>
    <x v="9"/>
    <s v="Dhaka"/>
    <s v="Present"/>
    <n v="1"/>
    <n v="8000"/>
    <s v="Paid"/>
  </r>
  <r>
    <x v="8"/>
    <x v="1"/>
    <x v="0"/>
    <x v="166"/>
    <x v="139"/>
    <x v="35"/>
    <s v="Jul'22"/>
    <x v="9"/>
    <s v="Dhaka"/>
    <s v="Present"/>
    <n v="1"/>
    <n v="8000"/>
    <s v="Paid"/>
  </r>
  <r>
    <x v="9"/>
    <x v="1"/>
    <x v="0"/>
    <x v="166"/>
    <x v="139"/>
    <x v="35"/>
    <s v="Jul'22"/>
    <x v="9"/>
    <s v="Dhaka"/>
    <s v="Present"/>
    <n v="1"/>
    <n v="8000"/>
    <s v="Paid"/>
  </r>
  <r>
    <x v="10"/>
    <x v="1"/>
    <x v="0"/>
    <x v="166"/>
    <x v="139"/>
    <x v="35"/>
    <s v="Jul'22"/>
    <x v="9"/>
    <s v="Dhaka"/>
    <s v="Present"/>
    <n v="1"/>
    <n v="8000"/>
    <s v="Paid"/>
  </r>
  <r>
    <x v="11"/>
    <x v="1"/>
    <x v="0"/>
    <x v="166"/>
    <x v="139"/>
    <x v="35"/>
    <s v="Jul'22"/>
    <x v="9"/>
    <s v="Dhaka"/>
    <s v="Present"/>
    <n v="1"/>
    <n v="8000"/>
    <s v="Paid"/>
  </r>
  <r>
    <x v="12"/>
    <x v="1"/>
    <x v="0"/>
    <x v="166"/>
    <x v="139"/>
    <x v="35"/>
    <s v="Jul'22"/>
    <x v="9"/>
    <s v="Dhaka"/>
    <s v="Present"/>
    <n v="1"/>
    <n v="8000"/>
    <s v="Paid"/>
  </r>
  <r>
    <x v="27"/>
    <x v="1"/>
    <x v="0"/>
    <x v="166"/>
    <x v="139"/>
    <x v="35"/>
    <s v="Jul'22"/>
    <x v="9"/>
    <s v="Dhaka"/>
    <s v="Present"/>
    <n v="1"/>
    <n v="8000"/>
    <s v="Paid"/>
  </r>
  <r>
    <x v="28"/>
    <x v="1"/>
    <x v="0"/>
    <x v="166"/>
    <x v="139"/>
    <x v="35"/>
    <s v="Jul'22"/>
    <x v="9"/>
    <s v="Dhaka"/>
    <s v="Present"/>
    <n v="1"/>
    <n v="8000"/>
    <s v="Paid"/>
  </r>
  <r>
    <x v="13"/>
    <x v="0"/>
    <x v="0"/>
    <x v="166"/>
    <x v="139"/>
    <x v="35"/>
    <s v="Jul'22"/>
    <x v="9"/>
    <s v="Dhaka"/>
    <s v="Present"/>
    <n v="1"/>
    <n v="8000"/>
    <s v="Paid"/>
  </r>
  <r>
    <x v="14"/>
    <x v="1"/>
    <x v="0"/>
    <x v="166"/>
    <x v="139"/>
    <x v="35"/>
    <s v="Jul'22"/>
    <x v="9"/>
    <s v="Dhaka"/>
    <s v="Present"/>
    <n v="1"/>
    <n v="8000"/>
    <s v="Paid"/>
  </r>
  <r>
    <x v="15"/>
    <x v="1"/>
    <x v="0"/>
    <x v="166"/>
    <x v="139"/>
    <x v="35"/>
    <s v="Jul'22"/>
    <x v="9"/>
    <s v="Dhaka"/>
    <s v="Present"/>
    <n v="1"/>
    <n v="8000"/>
    <s v="Paid"/>
  </r>
  <r>
    <x v="16"/>
    <x v="1"/>
    <x v="0"/>
    <x v="166"/>
    <x v="139"/>
    <x v="35"/>
    <s v="Jul'22"/>
    <x v="9"/>
    <s v="Dhaka"/>
    <s v="Present"/>
    <n v="1"/>
    <n v="8000"/>
    <s v="Paid"/>
  </r>
  <r>
    <x v="18"/>
    <x v="0"/>
    <x v="0"/>
    <x v="166"/>
    <x v="139"/>
    <x v="35"/>
    <s v="Jul'22"/>
    <x v="9"/>
    <s v="Dhaka"/>
    <s v="Present"/>
    <n v="1"/>
    <n v="8000"/>
    <s v="Paid"/>
  </r>
  <r>
    <x v="21"/>
    <x v="3"/>
    <x v="0"/>
    <x v="165"/>
    <x v="139"/>
    <x v="35"/>
    <s v="Jul'22"/>
    <x v="9"/>
    <s v="Dhaka"/>
    <s v="Present"/>
    <n v="1"/>
    <n v="8000"/>
    <s v="Paid"/>
  </r>
  <r>
    <x v="21"/>
    <x v="3"/>
    <x v="0"/>
    <x v="166"/>
    <x v="139"/>
    <x v="35"/>
    <s v="Jul'22"/>
    <x v="9"/>
    <s v="Dhaka"/>
    <s v="Present"/>
    <n v="1"/>
    <n v="8000"/>
    <s v="Paid"/>
  </r>
  <r>
    <x v="18"/>
    <x v="0"/>
    <x v="1"/>
    <x v="163"/>
    <x v="139"/>
    <x v="35"/>
    <s v="Jul'22"/>
    <x v="9"/>
    <s v="Dhaka"/>
    <s v="Present"/>
    <n v="1"/>
    <n v="8000"/>
    <s v="Paid"/>
  </r>
  <r>
    <x v="11"/>
    <x v="1"/>
    <x v="1"/>
    <x v="163"/>
    <x v="139"/>
    <x v="35"/>
    <s v="Jul'22"/>
    <x v="9"/>
    <s v="Dhaka"/>
    <s v="Present"/>
    <n v="1"/>
    <n v="8000"/>
    <s v="Paid"/>
  </r>
  <r>
    <x v="12"/>
    <x v="1"/>
    <x v="1"/>
    <x v="163"/>
    <x v="139"/>
    <x v="35"/>
    <s v="Jul'22"/>
    <x v="9"/>
    <s v="Dhaka"/>
    <s v="Present"/>
    <n v="1"/>
    <n v="8000"/>
    <s v="Paid"/>
  </r>
  <r>
    <x v="13"/>
    <x v="0"/>
    <x v="1"/>
    <x v="163"/>
    <x v="139"/>
    <x v="35"/>
    <s v="Jul'22"/>
    <x v="9"/>
    <s v="Dhaka"/>
    <s v="Present"/>
    <n v="1"/>
    <n v="8000"/>
    <s v="Paid"/>
  </r>
  <r>
    <x v="4"/>
    <x v="0"/>
    <x v="1"/>
    <x v="163"/>
    <x v="139"/>
    <x v="35"/>
    <s v="Jul'22"/>
    <x v="9"/>
    <s v="Dhaka"/>
    <s v="Present"/>
    <n v="1"/>
    <n v="8000"/>
    <s v="Paid"/>
  </r>
  <r>
    <x v="3"/>
    <x v="1"/>
    <x v="2"/>
    <x v="109"/>
    <x v="140"/>
    <x v="35"/>
    <s v="Jul'22"/>
    <x v="9"/>
    <s v="Dhaka"/>
    <s v="Present"/>
    <n v="1"/>
    <n v="8000"/>
    <s v="Paid"/>
  </r>
  <r>
    <x v="2"/>
    <x v="2"/>
    <x v="2"/>
    <x v="109"/>
    <x v="140"/>
    <x v="35"/>
    <s v="Jul'22"/>
    <x v="9"/>
    <s v="Dhaka"/>
    <s v="Present"/>
    <n v="1"/>
    <n v="8000"/>
    <s v="Paid"/>
  </r>
  <r>
    <x v="5"/>
    <x v="1"/>
    <x v="2"/>
    <x v="109"/>
    <x v="140"/>
    <x v="35"/>
    <s v="Jul'22"/>
    <x v="9"/>
    <s v="Dhaka"/>
    <s v="Present"/>
    <n v="1"/>
    <n v="8000"/>
    <s v="Paid"/>
  </r>
  <r>
    <x v="6"/>
    <x v="1"/>
    <x v="2"/>
    <x v="109"/>
    <x v="140"/>
    <x v="35"/>
    <s v="Jul'22"/>
    <x v="9"/>
    <s v="Dhaka"/>
    <s v="Present"/>
    <n v="1"/>
    <n v="8000"/>
    <s v="Paid"/>
  </r>
  <r>
    <x v="8"/>
    <x v="1"/>
    <x v="2"/>
    <x v="109"/>
    <x v="140"/>
    <x v="35"/>
    <s v="Jul'22"/>
    <x v="9"/>
    <s v="Dhaka"/>
    <s v="Present"/>
    <n v="1"/>
    <n v="8000"/>
    <s v="Paid"/>
  </r>
  <r>
    <x v="9"/>
    <x v="1"/>
    <x v="2"/>
    <x v="109"/>
    <x v="140"/>
    <x v="35"/>
    <s v="Jul'22"/>
    <x v="9"/>
    <s v="Dhaka"/>
    <s v="Present"/>
    <n v="1"/>
    <n v="8000"/>
    <s v="Paid"/>
  </r>
  <r>
    <x v="14"/>
    <x v="1"/>
    <x v="2"/>
    <x v="109"/>
    <x v="140"/>
    <x v="35"/>
    <s v="Jul'22"/>
    <x v="9"/>
    <s v="Dhaka"/>
    <s v="Absent"/>
    <n v="0"/>
    <n v="0"/>
    <s v="Paid"/>
  </r>
  <r>
    <x v="5"/>
    <x v="1"/>
    <x v="3"/>
    <x v="167"/>
    <x v="140"/>
    <x v="35"/>
    <s v="Jul'22"/>
    <x v="9"/>
    <s v="Dhaka"/>
    <s v="Present"/>
    <n v="1"/>
    <n v="8000"/>
    <s v="Paid"/>
  </r>
  <r>
    <x v="3"/>
    <x v="1"/>
    <x v="3"/>
    <x v="167"/>
    <x v="140"/>
    <x v="35"/>
    <s v="Jul'22"/>
    <x v="9"/>
    <s v="Dhaka"/>
    <s v="Present"/>
    <n v="1"/>
    <n v="8000"/>
    <s v="Paid"/>
  </r>
  <r>
    <x v="7"/>
    <x v="1"/>
    <x v="3"/>
    <x v="167"/>
    <x v="140"/>
    <x v="35"/>
    <s v="Jul'22"/>
    <x v="9"/>
    <s v="Dhaka"/>
    <s v="Present"/>
    <n v="1"/>
    <n v="8000"/>
    <s v="Paid"/>
  </r>
  <r>
    <x v="10"/>
    <x v="1"/>
    <x v="3"/>
    <x v="167"/>
    <x v="140"/>
    <x v="35"/>
    <s v="Jul'22"/>
    <x v="9"/>
    <s v="Dhaka"/>
    <s v="Present"/>
    <n v="1"/>
    <n v="8000"/>
    <s v="Paid"/>
  </r>
  <r>
    <x v="27"/>
    <x v="1"/>
    <x v="3"/>
    <x v="167"/>
    <x v="140"/>
    <x v="35"/>
    <s v="Jul'22"/>
    <x v="9"/>
    <s v="Dhaka"/>
    <s v="Present"/>
    <n v="1"/>
    <n v="8000"/>
    <s v="Paid"/>
  </r>
  <r>
    <x v="3"/>
    <x v="1"/>
    <x v="2"/>
    <x v="112"/>
    <x v="141"/>
    <x v="35"/>
    <s v="Aug'22"/>
    <x v="9"/>
    <s v="Dhaka"/>
    <s v="Present"/>
    <n v="1"/>
    <n v="8000"/>
    <s v="Paid"/>
  </r>
  <r>
    <x v="2"/>
    <x v="2"/>
    <x v="2"/>
    <x v="112"/>
    <x v="141"/>
    <x v="35"/>
    <s v="Aug'22"/>
    <x v="9"/>
    <s v="Dhaka"/>
    <s v="Present"/>
    <n v="1"/>
    <n v="8000"/>
    <s v="Paid"/>
  </r>
  <r>
    <x v="5"/>
    <x v="1"/>
    <x v="2"/>
    <x v="112"/>
    <x v="141"/>
    <x v="35"/>
    <s v="Aug'22"/>
    <x v="9"/>
    <s v="Dhaka"/>
    <s v="Present"/>
    <n v="1"/>
    <n v="8000"/>
    <s v="Paid"/>
  </r>
  <r>
    <x v="6"/>
    <x v="1"/>
    <x v="2"/>
    <x v="112"/>
    <x v="141"/>
    <x v="35"/>
    <s v="Aug'22"/>
    <x v="9"/>
    <s v="Dhaka"/>
    <s v="Present"/>
    <n v="1"/>
    <n v="8000"/>
    <s v="Paid"/>
  </r>
  <r>
    <x v="8"/>
    <x v="1"/>
    <x v="2"/>
    <x v="112"/>
    <x v="141"/>
    <x v="35"/>
    <s v="Aug'22"/>
    <x v="9"/>
    <s v="Dhaka"/>
    <s v="Present"/>
    <n v="1"/>
    <n v="8000"/>
    <s v="Paid"/>
  </r>
  <r>
    <x v="9"/>
    <x v="1"/>
    <x v="2"/>
    <x v="112"/>
    <x v="141"/>
    <x v="35"/>
    <s v="Aug'22"/>
    <x v="9"/>
    <s v="Dhaka"/>
    <s v="Present"/>
    <n v="1"/>
    <n v="8000"/>
    <s v="Paid"/>
  </r>
  <r>
    <x v="14"/>
    <x v="1"/>
    <x v="2"/>
    <x v="112"/>
    <x v="141"/>
    <x v="35"/>
    <s v="Aug'22"/>
    <x v="9"/>
    <s v="Dhaka"/>
    <s v="Present"/>
    <n v="1"/>
    <n v="8000"/>
    <s v="Paid"/>
  </r>
  <r>
    <x v="1"/>
    <x v="1"/>
    <x v="0"/>
    <x v="168"/>
    <x v="141"/>
    <x v="35"/>
    <s v="Aug'22"/>
    <x v="9"/>
    <s v="Dhaka"/>
    <s v="Absent"/>
    <n v="0"/>
    <n v="0"/>
    <s v="Paid"/>
  </r>
  <r>
    <x v="2"/>
    <x v="2"/>
    <x v="0"/>
    <x v="168"/>
    <x v="141"/>
    <x v="35"/>
    <s v="Aug'22"/>
    <x v="9"/>
    <s v="Dhaka"/>
    <s v="Present"/>
    <n v="1"/>
    <n v="8000"/>
    <s v="Paid"/>
  </r>
  <r>
    <x v="3"/>
    <x v="1"/>
    <x v="0"/>
    <x v="168"/>
    <x v="141"/>
    <x v="35"/>
    <s v="Aug'22"/>
    <x v="9"/>
    <s v="Dhaka"/>
    <s v="Present"/>
    <n v="1"/>
    <n v="8000"/>
    <s v="Paid"/>
  </r>
  <r>
    <x v="4"/>
    <x v="0"/>
    <x v="0"/>
    <x v="168"/>
    <x v="141"/>
    <x v="35"/>
    <s v="Aug'22"/>
    <x v="9"/>
    <s v="Dhaka"/>
    <s v="Present"/>
    <n v="1"/>
    <n v="8000"/>
    <s v="Paid"/>
  </r>
  <r>
    <x v="5"/>
    <x v="1"/>
    <x v="0"/>
    <x v="168"/>
    <x v="141"/>
    <x v="35"/>
    <s v="Aug'22"/>
    <x v="9"/>
    <s v="Dhaka"/>
    <s v="Present"/>
    <n v="1"/>
    <n v="8000"/>
    <s v="Paid"/>
  </r>
  <r>
    <x v="6"/>
    <x v="1"/>
    <x v="0"/>
    <x v="168"/>
    <x v="141"/>
    <x v="35"/>
    <s v="Aug'22"/>
    <x v="9"/>
    <s v="Dhaka"/>
    <s v="Present"/>
    <n v="1"/>
    <n v="8000"/>
    <s v="Paid"/>
  </r>
  <r>
    <x v="7"/>
    <x v="1"/>
    <x v="0"/>
    <x v="168"/>
    <x v="141"/>
    <x v="35"/>
    <s v="Aug'22"/>
    <x v="9"/>
    <s v="Dhaka"/>
    <s v="Absent"/>
    <n v="0"/>
    <n v="0"/>
    <s v="Paid"/>
  </r>
  <r>
    <x v="8"/>
    <x v="1"/>
    <x v="0"/>
    <x v="168"/>
    <x v="141"/>
    <x v="35"/>
    <s v="Aug'22"/>
    <x v="9"/>
    <s v="Dhaka"/>
    <s v="Absent"/>
    <n v="0"/>
    <n v="0"/>
    <s v="Paid"/>
  </r>
  <r>
    <x v="9"/>
    <x v="1"/>
    <x v="0"/>
    <x v="168"/>
    <x v="141"/>
    <x v="35"/>
    <s v="Aug'22"/>
    <x v="9"/>
    <s v="Dhaka"/>
    <s v="Present"/>
    <n v="1"/>
    <n v="8000"/>
    <s v="Paid"/>
  </r>
  <r>
    <x v="10"/>
    <x v="1"/>
    <x v="0"/>
    <x v="168"/>
    <x v="141"/>
    <x v="35"/>
    <s v="Aug'22"/>
    <x v="9"/>
    <s v="Dhaka"/>
    <s v="Absent"/>
    <n v="0"/>
    <n v="0"/>
    <s v="Paid"/>
  </r>
  <r>
    <x v="11"/>
    <x v="1"/>
    <x v="0"/>
    <x v="168"/>
    <x v="141"/>
    <x v="35"/>
    <s v="Aug'22"/>
    <x v="9"/>
    <s v="Dhaka"/>
    <s v="Present"/>
    <n v="1"/>
    <n v="8000"/>
    <s v="Paid"/>
  </r>
  <r>
    <x v="12"/>
    <x v="1"/>
    <x v="0"/>
    <x v="168"/>
    <x v="141"/>
    <x v="35"/>
    <s v="Aug'22"/>
    <x v="9"/>
    <s v="Dhaka"/>
    <s v="Present"/>
    <n v="1"/>
    <n v="8000"/>
    <s v="Paid"/>
  </r>
  <r>
    <x v="27"/>
    <x v="1"/>
    <x v="0"/>
    <x v="168"/>
    <x v="141"/>
    <x v="35"/>
    <s v="Aug'22"/>
    <x v="9"/>
    <s v="Dhaka"/>
    <s v="Present"/>
    <n v="1"/>
    <n v="8000"/>
    <s v="Paid"/>
  </r>
  <r>
    <x v="28"/>
    <x v="1"/>
    <x v="0"/>
    <x v="168"/>
    <x v="141"/>
    <x v="35"/>
    <s v="Aug'22"/>
    <x v="9"/>
    <s v="Dhaka"/>
    <s v="Present"/>
    <n v="1"/>
    <n v="8000"/>
    <s v="Paid"/>
  </r>
  <r>
    <x v="14"/>
    <x v="1"/>
    <x v="0"/>
    <x v="168"/>
    <x v="141"/>
    <x v="35"/>
    <s v="Aug'22"/>
    <x v="9"/>
    <s v="Dhaka"/>
    <s v="Present"/>
    <n v="1"/>
    <n v="8000"/>
    <s v="Paid"/>
  </r>
  <r>
    <x v="15"/>
    <x v="1"/>
    <x v="0"/>
    <x v="168"/>
    <x v="141"/>
    <x v="35"/>
    <s v="Aug'22"/>
    <x v="9"/>
    <s v="Dhaka"/>
    <s v="Absent"/>
    <n v="0"/>
    <n v="0"/>
    <s v="Paid"/>
  </r>
  <r>
    <x v="16"/>
    <x v="1"/>
    <x v="0"/>
    <x v="168"/>
    <x v="141"/>
    <x v="35"/>
    <s v="Aug'22"/>
    <x v="9"/>
    <s v="Dhaka"/>
    <s v="Present"/>
    <n v="1"/>
    <n v="8000"/>
    <s v="Paid"/>
  </r>
  <r>
    <x v="21"/>
    <x v="3"/>
    <x v="0"/>
    <x v="168"/>
    <x v="141"/>
    <x v="35"/>
    <s v="Aug'22"/>
    <x v="9"/>
    <s v="Dhaka"/>
    <s v="Present"/>
    <n v="1"/>
    <n v="8000"/>
    <s v="Paid"/>
  </r>
  <r>
    <x v="3"/>
    <x v="1"/>
    <x v="2"/>
    <x v="117"/>
    <x v="142"/>
    <x v="35"/>
    <s v="Sep'22"/>
    <x v="9"/>
    <s v="Dhaka"/>
    <s v="Present"/>
    <n v="1"/>
    <n v="8000"/>
    <s v="Paid"/>
  </r>
  <r>
    <x v="2"/>
    <x v="2"/>
    <x v="2"/>
    <x v="117"/>
    <x v="142"/>
    <x v="35"/>
    <s v="Sep'22"/>
    <x v="9"/>
    <s v="Dhaka"/>
    <s v="Present"/>
    <n v="1"/>
    <n v="8000"/>
    <s v="Paid"/>
  </r>
  <r>
    <x v="5"/>
    <x v="1"/>
    <x v="2"/>
    <x v="117"/>
    <x v="142"/>
    <x v="35"/>
    <s v="Sep'22"/>
    <x v="9"/>
    <s v="Dhaka"/>
    <s v="Present"/>
    <n v="1"/>
    <n v="8000"/>
    <s v="Paid"/>
  </r>
  <r>
    <x v="6"/>
    <x v="1"/>
    <x v="2"/>
    <x v="117"/>
    <x v="142"/>
    <x v="35"/>
    <s v="Sep'22"/>
    <x v="9"/>
    <s v="Dhaka"/>
    <s v="Present"/>
    <n v="1"/>
    <n v="8000"/>
    <s v="Paid"/>
  </r>
  <r>
    <x v="8"/>
    <x v="1"/>
    <x v="2"/>
    <x v="117"/>
    <x v="142"/>
    <x v="35"/>
    <s v="Sep'22"/>
    <x v="9"/>
    <s v="Dhaka"/>
    <s v="Absent"/>
    <n v="0"/>
    <n v="0"/>
    <s v="Paid"/>
  </r>
  <r>
    <x v="9"/>
    <x v="1"/>
    <x v="2"/>
    <x v="117"/>
    <x v="142"/>
    <x v="35"/>
    <s v="Sep'22"/>
    <x v="9"/>
    <s v="Dhaka"/>
    <s v="Absent"/>
    <n v="0"/>
    <n v="0"/>
    <s v="Paid"/>
  </r>
  <r>
    <x v="14"/>
    <x v="1"/>
    <x v="2"/>
    <x v="117"/>
    <x v="142"/>
    <x v="35"/>
    <s v="Sep'22"/>
    <x v="9"/>
    <s v="Dhaka"/>
    <s v="Present"/>
    <n v="1"/>
    <n v="8000"/>
    <s v="Paid"/>
  </r>
  <r>
    <x v="21"/>
    <x v="3"/>
    <x v="0"/>
    <x v="169"/>
    <x v="143"/>
    <x v="35"/>
    <s v="Sep'22"/>
    <x v="9"/>
    <s v="Dhaka"/>
    <s v="Present"/>
    <n v="1"/>
    <n v="8000"/>
    <s v="Paid"/>
  </r>
  <r>
    <x v="1"/>
    <x v="1"/>
    <x v="0"/>
    <x v="169"/>
    <x v="143"/>
    <x v="35"/>
    <s v="Sep'22"/>
    <x v="9"/>
    <s v="Dhaka"/>
    <s v="Present"/>
    <n v="1"/>
    <n v="8000"/>
    <s v="Paid"/>
  </r>
  <r>
    <x v="2"/>
    <x v="2"/>
    <x v="0"/>
    <x v="169"/>
    <x v="143"/>
    <x v="35"/>
    <s v="Sep'22"/>
    <x v="9"/>
    <s v="Dhaka"/>
    <s v="Present"/>
    <n v="1"/>
    <n v="8000"/>
    <s v="Paid"/>
  </r>
  <r>
    <x v="3"/>
    <x v="1"/>
    <x v="0"/>
    <x v="169"/>
    <x v="143"/>
    <x v="35"/>
    <s v="Sep'22"/>
    <x v="9"/>
    <s v="Dhaka"/>
    <s v="Absent"/>
    <n v="0"/>
    <n v="0"/>
    <s v="Paid"/>
  </r>
  <r>
    <x v="4"/>
    <x v="0"/>
    <x v="0"/>
    <x v="169"/>
    <x v="143"/>
    <x v="35"/>
    <s v="Sep'22"/>
    <x v="9"/>
    <s v="Dhaka"/>
    <s v="Present"/>
    <n v="1"/>
    <n v="8000"/>
    <s v="Paid"/>
  </r>
  <r>
    <x v="5"/>
    <x v="1"/>
    <x v="0"/>
    <x v="169"/>
    <x v="143"/>
    <x v="35"/>
    <s v="Sep'22"/>
    <x v="9"/>
    <s v="Dhaka"/>
    <s v="Present"/>
    <n v="1"/>
    <n v="8000"/>
    <s v="Paid"/>
  </r>
  <r>
    <x v="6"/>
    <x v="1"/>
    <x v="0"/>
    <x v="169"/>
    <x v="143"/>
    <x v="35"/>
    <s v="Sep'22"/>
    <x v="9"/>
    <s v="Dhaka"/>
    <s v="Present"/>
    <n v="1"/>
    <n v="8000"/>
    <s v="Paid"/>
  </r>
  <r>
    <x v="7"/>
    <x v="1"/>
    <x v="0"/>
    <x v="169"/>
    <x v="143"/>
    <x v="35"/>
    <s v="Sep'22"/>
    <x v="9"/>
    <s v="Dhaka"/>
    <s v="Present"/>
    <n v="1"/>
    <n v="8000"/>
    <s v="Paid"/>
  </r>
  <r>
    <x v="8"/>
    <x v="1"/>
    <x v="0"/>
    <x v="169"/>
    <x v="143"/>
    <x v="35"/>
    <s v="Sep'22"/>
    <x v="9"/>
    <s v="Dhaka"/>
    <s v="Present"/>
    <n v="1"/>
    <n v="8000"/>
    <s v="Paid"/>
  </r>
  <r>
    <x v="9"/>
    <x v="1"/>
    <x v="0"/>
    <x v="169"/>
    <x v="143"/>
    <x v="35"/>
    <s v="Sep'22"/>
    <x v="9"/>
    <s v="Dhaka"/>
    <s v="Present"/>
    <n v="1"/>
    <n v="8000"/>
    <s v="Paid"/>
  </r>
  <r>
    <x v="10"/>
    <x v="1"/>
    <x v="0"/>
    <x v="169"/>
    <x v="143"/>
    <x v="35"/>
    <s v="Sep'22"/>
    <x v="9"/>
    <s v="Dhaka"/>
    <s v="Present"/>
    <n v="1"/>
    <n v="8000"/>
    <s v="Paid"/>
  </r>
  <r>
    <x v="11"/>
    <x v="1"/>
    <x v="0"/>
    <x v="169"/>
    <x v="143"/>
    <x v="35"/>
    <s v="Sep'22"/>
    <x v="9"/>
    <s v="Dhaka"/>
    <s v="Present"/>
    <n v="1"/>
    <n v="8000"/>
    <s v="Paid"/>
  </r>
  <r>
    <x v="12"/>
    <x v="1"/>
    <x v="0"/>
    <x v="169"/>
    <x v="143"/>
    <x v="35"/>
    <s v="Sep'22"/>
    <x v="9"/>
    <s v="Dhaka"/>
    <s v="Present"/>
    <n v="1"/>
    <n v="8000"/>
    <s v="Paid"/>
  </r>
  <r>
    <x v="27"/>
    <x v="1"/>
    <x v="0"/>
    <x v="169"/>
    <x v="143"/>
    <x v="35"/>
    <s v="Sep'22"/>
    <x v="9"/>
    <s v="Dhaka"/>
    <s v="Present"/>
    <n v="1"/>
    <n v="8000"/>
    <s v="Paid"/>
  </r>
  <r>
    <x v="28"/>
    <x v="1"/>
    <x v="0"/>
    <x v="169"/>
    <x v="143"/>
    <x v="35"/>
    <s v="Sep'22"/>
    <x v="9"/>
    <s v="Dhaka"/>
    <s v="Present"/>
    <n v="1"/>
    <n v="8000"/>
    <s v="Paid"/>
  </r>
  <r>
    <x v="14"/>
    <x v="1"/>
    <x v="0"/>
    <x v="169"/>
    <x v="143"/>
    <x v="35"/>
    <s v="Sep'22"/>
    <x v="9"/>
    <s v="Dhaka"/>
    <s v="Absent"/>
    <n v="0"/>
    <n v="0"/>
    <s v="Paid"/>
  </r>
  <r>
    <x v="15"/>
    <x v="1"/>
    <x v="0"/>
    <x v="169"/>
    <x v="143"/>
    <x v="35"/>
    <s v="Sep'22"/>
    <x v="9"/>
    <s v="Dhaka"/>
    <s v="Present"/>
    <n v="1"/>
    <n v="8000"/>
    <s v="Paid"/>
  </r>
  <r>
    <x v="16"/>
    <x v="1"/>
    <x v="0"/>
    <x v="169"/>
    <x v="143"/>
    <x v="35"/>
    <s v="Sep'22"/>
    <x v="9"/>
    <s v="Dhaka"/>
    <s v="Present"/>
    <n v="1"/>
    <n v="8000"/>
    <s v="Paid"/>
  </r>
  <r>
    <x v="3"/>
    <x v="1"/>
    <x v="2"/>
    <x v="118"/>
    <x v="144"/>
    <x v="36"/>
    <s v="Oct'22"/>
    <x v="9"/>
    <s v="Dhaka"/>
    <s v="Present"/>
    <n v="1"/>
    <n v="8000"/>
    <s v="Paid"/>
  </r>
  <r>
    <x v="2"/>
    <x v="2"/>
    <x v="2"/>
    <x v="118"/>
    <x v="144"/>
    <x v="36"/>
    <s v="Oct'22"/>
    <x v="9"/>
    <s v="Dhaka"/>
    <s v="Present"/>
    <n v="1"/>
    <n v="8000"/>
    <s v="Paid"/>
  </r>
  <r>
    <x v="5"/>
    <x v="1"/>
    <x v="2"/>
    <x v="118"/>
    <x v="144"/>
    <x v="36"/>
    <s v="Oct'22"/>
    <x v="9"/>
    <s v="Dhaka"/>
    <s v="Absent"/>
    <n v="0"/>
    <n v="0"/>
    <s v="Paid"/>
  </r>
  <r>
    <x v="6"/>
    <x v="1"/>
    <x v="2"/>
    <x v="118"/>
    <x v="144"/>
    <x v="36"/>
    <s v="Oct'22"/>
    <x v="9"/>
    <s v="Dhaka"/>
    <s v="Present"/>
    <n v="1"/>
    <n v="8000"/>
    <s v="Paid"/>
  </r>
  <r>
    <x v="8"/>
    <x v="1"/>
    <x v="2"/>
    <x v="118"/>
    <x v="144"/>
    <x v="36"/>
    <s v="Oct'22"/>
    <x v="9"/>
    <s v="Dhaka"/>
    <s v="Absent"/>
    <n v="0"/>
    <n v="0"/>
    <s v="Paid"/>
  </r>
  <r>
    <x v="9"/>
    <x v="1"/>
    <x v="2"/>
    <x v="118"/>
    <x v="144"/>
    <x v="36"/>
    <s v="Oct'22"/>
    <x v="9"/>
    <s v="Dhaka"/>
    <s v="Absent"/>
    <n v="0"/>
    <n v="0"/>
    <s v="Paid"/>
  </r>
  <r>
    <x v="14"/>
    <x v="1"/>
    <x v="2"/>
    <x v="118"/>
    <x v="144"/>
    <x v="36"/>
    <s v="Oct'22"/>
    <x v="9"/>
    <s v="Dhaka"/>
    <s v="Absent"/>
    <n v="0"/>
    <n v="0"/>
    <s v="Paid"/>
  </r>
  <r>
    <x v="1"/>
    <x v="1"/>
    <x v="0"/>
    <x v="170"/>
    <x v="144"/>
    <x v="36"/>
    <s v="Oct'22"/>
    <x v="9"/>
    <s v="Dhaka"/>
    <s v="Absent"/>
    <n v="0"/>
    <n v="0"/>
    <s v="Paid"/>
  </r>
  <r>
    <x v="2"/>
    <x v="2"/>
    <x v="0"/>
    <x v="170"/>
    <x v="144"/>
    <x v="36"/>
    <s v="Oct'22"/>
    <x v="9"/>
    <s v="Dhaka"/>
    <s v="Present"/>
    <n v="1"/>
    <n v="8000"/>
    <s v="Paid"/>
  </r>
  <r>
    <x v="3"/>
    <x v="1"/>
    <x v="0"/>
    <x v="170"/>
    <x v="144"/>
    <x v="36"/>
    <s v="Oct'22"/>
    <x v="9"/>
    <s v="Dhaka"/>
    <s v="Present"/>
    <n v="1"/>
    <n v="8000"/>
    <s v="Paid"/>
  </r>
  <r>
    <x v="4"/>
    <x v="0"/>
    <x v="0"/>
    <x v="170"/>
    <x v="144"/>
    <x v="36"/>
    <s v="Oct'22"/>
    <x v="9"/>
    <s v="Dhaka"/>
    <s v="Present"/>
    <n v="1"/>
    <n v="8000"/>
    <s v="Paid"/>
  </r>
  <r>
    <x v="5"/>
    <x v="1"/>
    <x v="0"/>
    <x v="170"/>
    <x v="144"/>
    <x v="36"/>
    <s v="Oct'22"/>
    <x v="9"/>
    <s v="Dhaka"/>
    <s v="Absent"/>
    <n v="0"/>
    <n v="0"/>
    <s v="Paid"/>
  </r>
  <r>
    <x v="6"/>
    <x v="1"/>
    <x v="0"/>
    <x v="170"/>
    <x v="144"/>
    <x v="36"/>
    <s v="Oct'22"/>
    <x v="9"/>
    <s v="Dhaka"/>
    <s v="Present"/>
    <n v="1"/>
    <n v="8000"/>
    <s v="Paid"/>
  </r>
  <r>
    <x v="7"/>
    <x v="1"/>
    <x v="0"/>
    <x v="170"/>
    <x v="144"/>
    <x v="36"/>
    <s v="Oct'22"/>
    <x v="9"/>
    <s v="Dhaka"/>
    <s v="Present"/>
    <n v="1"/>
    <n v="8000"/>
    <s v="Paid"/>
  </r>
  <r>
    <x v="8"/>
    <x v="1"/>
    <x v="0"/>
    <x v="170"/>
    <x v="144"/>
    <x v="36"/>
    <s v="Oct'22"/>
    <x v="9"/>
    <s v="Dhaka"/>
    <s v="Absent"/>
    <n v="0"/>
    <n v="0"/>
    <s v="Paid"/>
  </r>
  <r>
    <x v="9"/>
    <x v="1"/>
    <x v="0"/>
    <x v="170"/>
    <x v="144"/>
    <x v="36"/>
    <s v="Oct'22"/>
    <x v="9"/>
    <s v="Dhaka"/>
    <s v="Absent"/>
    <n v="0"/>
    <n v="0"/>
    <s v="Paid"/>
  </r>
  <r>
    <x v="10"/>
    <x v="1"/>
    <x v="0"/>
    <x v="170"/>
    <x v="144"/>
    <x v="36"/>
    <s v="Oct'22"/>
    <x v="9"/>
    <s v="Dhaka"/>
    <s v="Absent"/>
    <n v="0"/>
    <n v="0"/>
    <s v="Paid"/>
  </r>
  <r>
    <x v="11"/>
    <x v="1"/>
    <x v="0"/>
    <x v="170"/>
    <x v="144"/>
    <x v="36"/>
    <s v="Oct'22"/>
    <x v="9"/>
    <s v="Dhaka"/>
    <s v="Present"/>
    <n v="1"/>
    <n v="8000"/>
    <s v="Paid"/>
  </r>
  <r>
    <x v="12"/>
    <x v="1"/>
    <x v="0"/>
    <x v="170"/>
    <x v="144"/>
    <x v="36"/>
    <s v="Oct'22"/>
    <x v="9"/>
    <s v="Dhaka"/>
    <s v="Present"/>
    <n v="1"/>
    <n v="8000"/>
    <s v="Paid"/>
  </r>
  <r>
    <x v="27"/>
    <x v="1"/>
    <x v="0"/>
    <x v="170"/>
    <x v="144"/>
    <x v="36"/>
    <s v="Oct'22"/>
    <x v="9"/>
    <s v="Dhaka"/>
    <s v="Present"/>
    <n v="1"/>
    <n v="8000"/>
    <s v="Paid"/>
  </r>
  <r>
    <x v="28"/>
    <x v="1"/>
    <x v="0"/>
    <x v="170"/>
    <x v="144"/>
    <x v="36"/>
    <s v="Oct'22"/>
    <x v="9"/>
    <s v="Dhaka"/>
    <s v="Present"/>
    <n v="1"/>
    <n v="8000"/>
    <s v="Paid"/>
  </r>
  <r>
    <x v="14"/>
    <x v="1"/>
    <x v="0"/>
    <x v="170"/>
    <x v="144"/>
    <x v="36"/>
    <s v="Oct'22"/>
    <x v="9"/>
    <s v="Dhaka"/>
    <s v="Absent"/>
    <n v="0"/>
    <n v="0"/>
    <s v="Paid"/>
  </r>
  <r>
    <x v="15"/>
    <x v="1"/>
    <x v="0"/>
    <x v="170"/>
    <x v="144"/>
    <x v="36"/>
    <s v="Oct'22"/>
    <x v="9"/>
    <s v="Dhaka"/>
    <s v="Absent"/>
    <n v="0"/>
    <n v="0"/>
    <s v="Paid"/>
  </r>
  <r>
    <x v="4"/>
    <x v="0"/>
    <x v="1"/>
    <x v="171"/>
    <x v="144"/>
    <x v="36"/>
    <s v="Oct'22"/>
    <x v="9"/>
    <s v="Dhaka"/>
    <s v="Present"/>
    <n v="1"/>
    <n v="8000"/>
    <s v="Paid"/>
  </r>
  <r>
    <x v="11"/>
    <x v="1"/>
    <x v="1"/>
    <x v="171"/>
    <x v="144"/>
    <x v="36"/>
    <s v="Oct'22"/>
    <x v="9"/>
    <s v="Dhaka"/>
    <s v="Present"/>
    <n v="1"/>
    <n v="8000"/>
    <s v="Paid"/>
  </r>
  <r>
    <x v="12"/>
    <x v="1"/>
    <x v="1"/>
    <x v="171"/>
    <x v="144"/>
    <x v="36"/>
    <s v="Oct'22"/>
    <x v="9"/>
    <s v="Dhaka"/>
    <s v="Present"/>
    <n v="1"/>
    <n v="8000"/>
    <s v="Paid"/>
  </r>
  <r>
    <x v="21"/>
    <x v="3"/>
    <x v="0"/>
    <x v="170"/>
    <x v="144"/>
    <x v="36"/>
    <s v="Oct'22"/>
    <x v="9"/>
    <s v="Dhaka"/>
    <s v="Present"/>
    <n v="1"/>
    <n v="8000"/>
    <s v="Paid"/>
  </r>
  <r>
    <x v="6"/>
    <x v="1"/>
    <x v="5"/>
    <x v="172"/>
    <x v="145"/>
    <x v="36"/>
    <s v="Nov'22"/>
    <x v="9"/>
    <s v="Dhaka"/>
    <s v="Present"/>
    <n v="1"/>
    <n v="8000"/>
    <s v="Paid"/>
  </r>
  <r>
    <x v="22"/>
    <x v="4"/>
    <x v="5"/>
    <x v="172"/>
    <x v="145"/>
    <x v="36"/>
    <s v="Nov'22"/>
    <x v="9"/>
    <s v="Dhaka"/>
    <s v="Present"/>
    <n v="1"/>
    <n v="8000"/>
    <s v="Paid"/>
  </r>
  <r>
    <x v="23"/>
    <x v="5"/>
    <x v="5"/>
    <x v="172"/>
    <x v="145"/>
    <x v="36"/>
    <s v="Nov'22"/>
    <x v="9"/>
    <s v="Dhaka"/>
    <s v="Present"/>
    <n v="1"/>
    <n v="8000"/>
    <s v="Paid"/>
  </r>
  <r>
    <x v="24"/>
    <x v="4"/>
    <x v="5"/>
    <x v="172"/>
    <x v="145"/>
    <x v="36"/>
    <s v="Nov'22"/>
    <x v="9"/>
    <s v="Dhaka"/>
    <s v="Present"/>
    <n v="1"/>
    <n v="8000"/>
    <s v="Paid"/>
  </r>
  <r>
    <x v="25"/>
    <x v="4"/>
    <x v="5"/>
    <x v="172"/>
    <x v="145"/>
    <x v="36"/>
    <s v="Nov'22"/>
    <x v="9"/>
    <s v="Dhaka"/>
    <s v="Present"/>
    <n v="1"/>
    <n v="8000"/>
    <s v="Paid"/>
  </r>
  <r>
    <x v="26"/>
    <x v="4"/>
    <x v="5"/>
    <x v="172"/>
    <x v="145"/>
    <x v="36"/>
    <s v="Nov'22"/>
    <x v="9"/>
    <s v="Dhaka"/>
    <s v="Present"/>
    <n v="1"/>
    <n v="8000"/>
    <s v="Paid"/>
  </r>
  <r>
    <x v="21"/>
    <x v="3"/>
    <x v="5"/>
    <x v="172"/>
    <x v="145"/>
    <x v="36"/>
    <s v="Nov'22"/>
    <x v="9"/>
    <s v="Dhaka"/>
    <s v="Absent"/>
    <n v="0"/>
    <n v="0"/>
    <s v="Paid"/>
  </r>
  <r>
    <x v="5"/>
    <x v="1"/>
    <x v="3"/>
    <x v="173"/>
    <x v="146"/>
    <x v="36"/>
    <s v="Dec'22"/>
    <x v="9"/>
    <s v="Dhaka"/>
    <s v="Present"/>
    <n v="1"/>
    <n v="8000"/>
    <s v="Paid"/>
  </r>
  <r>
    <x v="3"/>
    <x v="1"/>
    <x v="3"/>
    <x v="173"/>
    <x v="146"/>
    <x v="36"/>
    <s v="Dec'22"/>
    <x v="9"/>
    <s v="Dhaka"/>
    <s v="Present"/>
    <n v="1"/>
    <n v="8000"/>
    <s v="Paid"/>
  </r>
  <r>
    <x v="7"/>
    <x v="1"/>
    <x v="3"/>
    <x v="173"/>
    <x v="146"/>
    <x v="36"/>
    <s v="Dec'22"/>
    <x v="9"/>
    <s v="Dhaka"/>
    <s v="Present"/>
    <n v="1"/>
    <n v="8000"/>
    <s v="Paid"/>
  </r>
  <r>
    <x v="10"/>
    <x v="1"/>
    <x v="3"/>
    <x v="173"/>
    <x v="146"/>
    <x v="36"/>
    <s v="Dec'22"/>
    <x v="9"/>
    <s v="Dhaka"/>
    <s v="Absent"/>
    <n v="0"/>
    <n v="0"/>
    <s v="Paid"/>
  </r>
  <r>
    <x v="27"/>
    <x v="1"/>
    <x v="3"/>
    <x v="173"/>
    <x v="146"/>
    <x v="36"/>
    <s v="Dec'22"/>
    <x v="9"/>
    <s v="Dhaka"/>
    <s v="Present"/>
    <n v="1"/>
    <n v="8000"/>
    <s v="Paid"/>
  </r>
  <r>
    <x v="4"/>
    <x v="0"/>
    <x v="1"/>
    <x v="174"/>
    <x v="147"/>
    <x v="36"/>
    <s v="Dec'22"/>
    <x v="9"/>
    <s v="Dhaka"/>
    <s v="Present"/>
    <n v="1"/>
    <n v="8000"/>
    <s v="Paid"/>
  </r>
  <r>
    <x v="11"/>
    <x v="1"/>
    <x v="1"/>
    <x v="174"/>
    <x v="147"/>
    <x v="36"/>
    <s v="Dec'22"/>
    <x v="9"/>
    <s v="Dhaka"/>
    <s v="Present"/>
    <n v="1"/>
    <n v="8000"/>
    <s v="Paid"/>
  </r>
  <r>
    <x v="12"/>
    <x v="1"/>
    <x v="1"/>
    <x v="174"/>
    <x v="147"/>
    <x v="36"/>
    <s v="Dec'22"/>
    <x v="9"/>
    <s v="Dhaka"/>
    <s v="Present"/>
    <n v="1"/>
    <n v="8000"/>
    <s v="Paid"/>
  </r>
  <r>
    <x v="13"/>
    <x v="0"/>
    <x v="1"/>
    <x v="174"/>
    <x v="147"/>
    <x v="36"/>
    <s v="Dec'22"/>
    <x v="9"/>
    <s v="Dhaka"/>
    <s v="Absent"/>
    <n v="0"/>
    <n v="0"/>
    <s v="Paid"/>
  </r>
  <r>
    <x v="5"/>
    <x v="1"/>
    <x v="3"/>
    <x v="175"/>
    <x v="148"/>
    <x v="36"/>
    <s v="Dec'22"/>
    <x v="9"/>
    <s v="Dhaka"/>
    <s v="Present"/>
    <n v="1"/>
    <n v="8000"/>
    <s v="Paid"/>
  </r>
  <r>
    <x v="3"/>
    <x v="1"/>
    <x v="3"/>
    <x v="175"/>
    <x v="148"/>
    <x v="36"/>
    <s v="Dec'22"/>
    <x v="9"/>
    <s v="Dhaka"/>
    <s v="Present"/>
    <n v="1"/>
    <n v="8000"/>
    <s v="Paid"/>
  </r>
  <r>
    <x v="7"/>
    <x v="1"/>
    <x v="3"/>
    <x v="175"/>
    <x v="148"/>
    <x v="36"/>
    <s v="Dec'22"/>
    <x v="9"/>
    <s v="Dhaka"/>
    <s v="Present"/>
    <n v="1"/>
    <n v="8000"/>
    <s v="Paid"/>
  </r>
  <r>
    <x v="10"/>
    <x v="1"/>
    <x v="3"/>
    <x v="175"/>
    <x v="148"/>
    <x v="36"/>
    <s v="Dec'22"/>
    <x v="9"/>
    <s v="Dhaka"/>
    <s v="Present"/>
    <n v="1"/>
    <n v="8000"/>
    <s v="Paid"/>
  </r>
  <r>
    <x v="27"/>
    <x v="1"/>
    <x v="3"/>
    <x v="175"/>
    <x v="148"/>
    <x v="36"/>
    <s v="Dec'22"/>
    <x v="9"/>
    <s v="Dhaka"/>
    <s v="Present"/>
    <n v="1"/>
    <n v="8000"/>
    <s v="Paid"/>
  </r>
  <r>
    <x v="6"/>
    <x v="1"/>
    <x v="5"/>
    <x v="176"/>
    <x v="148"/>
    <x v="36"/>
    <s v="Dec'22"/>
    <x v="9"/>
    <s v="Dhaka"/>
    <s v="Present"/>
    <n v="1"/>
    <n v="8000"/>
    <s v="Paid"/>
  </r>
  <r>
    <x v="22"/>
    <x v="4"/>
    <x v="5"/>
    <x v="176"/>
    <x v="148"/>
    <x v="36"/>
    <s v="Dec'22"/>
    <x v="9"/>
    <s v="Dhaka"/>
    <s v="Present"/>
    <n v="1"/>
    <n v="8000"/>
    <s v="Paid"/>
  </r>
  <r>
    <x v="23"/>
    <x v="5"/>
    <x v="5"/>
    <x v="176"/>
    <x v="148"/>
    <x v="36"/>
    <s v="Dec'22"/>
    <x v="9"/>
    <s v="Dhaka"/>
    <s v="Present"/>
    <n v="1"/>
    <n v="8000"/>
    <s v="Paid"/>
  </r>
  <r>
    <x v="24"/>
    <x v="4"/>
    <x v="5"/>
    <x v="176"/>
    <x v="148"/>
    <x v="36"/>
    <s v="Dec'22"/>
    <x v="9"/>
    <s v="Dhaka"/>
    <s v="Present"/>
    <n v="1"/>
    <n v="8000"/>
    <s v="Paid"/>
  </r>
  <r>
    <x v="25"/>
    <x v="4"/>
    <x v="5"/>
    <x v="176"/>
    <x v="148"/>
    <x v="36"/>
    <s v="Dec'22"/>
    <x v="9"/>
    <s v="Dhaka"/>
    <s v="Present"/>
    <n v="1"/>
    <n v="8000"/>
    <s v="Paid"/>
  </r>
  <r>
    <x v="26"/>
    <x v="4"/>
    <x v="5"/>
    <x v="176"/>
    <x v="148"/>
    <x v="36"/>
    <s v="Dec'22"/>
    <x v="9"/>
    <s v="Dhaka"/>
    <s v="Present"/>
    <n v="1"/>
    <n v="8000"/>
    <s v="Paid"/>
  </r>
  <r>
    <x v="21"/>
    <x v="3"/>
    <x v="5"/>
    <x v="176"/>
    <x v="148"/>
    <x v="36"/>
    <s v="Dec'22"/>
    <x v="9"/>
    <s v="Dhaka"/>
    <s v="Present"/>
    <n v="1"/>
    <n v="8000"/>
    <s v="Paid"/>
  </r>
  <r>
    <x v="3"/>
    <x v="1"/>
    <x v="2"/>
    <x v="123"/>
    <x v="149"/>
    <x v="36"/>
    <s v="Dec'22"/>
    <x v="9"/>
    <s v="Dhaka"/>
    <s v="Present"/>
    <n v="1"/>
    <n v="8000"/>
    <s v="Paid"/>
  </r>
  <r>
    <x v="2"/>
    <x v="2"/>
    <x v="2"/>
    <x v="123"/>
    <x v="149"/>
    <x v="36"/>
    <s v="Dec'22"/>
    <x v="9"/>
    <s v="Dhaka"/>
    <s v="Present"/>
    <n v="1"/>
    <n v="8000"/>
    <s v="Paid"/>
  </r>
  <r>
    <x v="5"/>
    <x v="1"/>
    <x v="2"/>
    <x v="123"/>
    <x v="149"/>
    <x v="36"/>
    <s v="Dec'22"/>
    <x v="9"/>
    <s v="Dhaka"/>
    <s v="Present"/>
    <n v="1"/>
    <n v="8000"/>
    <s v="Paid"/>
  </r>
  <r>
    <x v="6"/>
    <x v="1"/>
    <x v="2"/>
    <x v="123"/>
    <x v="149"/>
    <x v="36"/>
    <s v="Dec'22"/>
    <x v="9"/>
    <s v="Dhaka"/>
    <s v="Present"/>
    <n v="1"/>
    <n v="8000"/>
    <s v="Paid"/>
  </r>
  <r>
    <x v="8"/>
    <x v="1"/>
    <x v="2"/>
    <x v="123"/>
    <x v="149"/>
    <x v="36"/>
    <s v="Dec'22"/>
    <x v="9"/>
    <s v="Dhaka"/>
    <s v="Present"/>
    <n v="1"/>
    <n v="8000"/>
    <s v="Paid"/>
  </r>
  <r>
    <x v="9"/>
    <x v="1"/>
    <x v="2"/>
    <x v="123"/>
    <x v="149"/>
    <x v="36"/>
    <s v="Dec'22"/>
    <x v="9"/>
    <s v="Dhaka"/>
    <s v="Absent"/>
    <n v="0"/>
    <n v="0"/>
    <s v="Paid"/>
  </r>
  <r>
    <x v="14"/>
    <x v="1"/>
    <x v="2"/>
    <x v="123"/>
    <x v="149"/>
    <x v="36"/>
    <s v="Dec'22"/>
    <x v="9"/>
    <s v="Dhaka"/>
    <s v="Absent"/>
    <n v="0"/>
    <n v="0"/>
    <s v="Paid"/>
  </r>
  <r>
    <x v="1"/>
    <x v="1"/>
    <x v="0"/>
    <x v="177"/>
    <x v="149"/>
    <x v="36"/>
    <s v="Dec'22"/>
    <x v="9"/>
    <s v="Dhaka"/>
    <s v="Present"/>
    <n v="1"/>
    <n v="8000"/>
    <s v="Paid"/>
  </r>
  <r>
    <x v="2"/>
    <x v="2"/>
    <x v="0"/>
    <x v="177"/>
    <x v="149"/>
    <x v="36"/>
    <s v="Dec'22"/>
    <x v="9"/>
    <s v="Dhaka"/>
    <s v="Present"/>
    <n v="1"/>
    <n v="8000"/>
    <s v="Paid"/>
  </r>
  <r>
    <x v="3"/>
    <x v="1"/>
    <x v="0"/>
    <x v="177"/>
    <x v="149"/>
    <x v="36"/>
    <s v="Dec'22"/>
    <x v="9"/>
    <s v="Dhaka"/>
    <s v="Present"/>
    <n v="1"/>
    <n v="8000"/>
    <s v="Paid"/>
  </r>
  <r>
    <x v="4"/>
    <x v="0"/>
    <x v="0"/>
    <x v="177"/>
    <x v="149"/>
    <x v="36"/>
    <s v="Dec'22"/>
    <x v="9"/>
    <s v="Dhaka"/>
    <s v="Present"/>
    <n v="1"/>
    <n v="8000"/>
    <s v="Paid"/>
  </r>
  <r>
    <x v="5"/>
    <x v="1"/>
    <x v="0"/>
    <x v="177"/>
    <x v="149"/>
    <x v="36"/>
    <s v="Dec'22"/>
    <x v="9"/>
    <s v="Dhaka"/>
    <s v="Present"/>
    <n v="1"/>
    <n v="8000"/>
    <s v="Paid"/>
  </r>
  <r>
    <x v="6"/>
    <x v="1"/>
    <x v="0"/>
    <x v="177"/>
    <x v="149"/>
    <x v="36"/>
    <s v="Dec'22"/>
    <x v="9"/>
    <s v="Dhaka"/>
    <s v="Present"/>
    <n v="1"/>
    <n v="8000"/>
    <s v="Paid"/>
  </r>
  <r>
    <x v="7"/>
    <x v="1"/>
    <x v="0"/>
    <x v="177"/>
    <x v="149"/>
    <x v="36"/>
    <s v="Dec'22"/>
    <x v="9"/>
    <s v="Dhaka"/>
    <s v="Present"/>
    <n v="1"/>
    <n v="8000"/>
    <s v="Paid"/>
  </r>
  <r>
    <x v="8"/>
    <x v="1"/>
    <x v="0"/>
    <x v="177"/>
    <x v="149"/>
    <x v="36"/>
    <s v="Dec'22"/>
    <x v="9"/>
    <s v="Dhaka"/>
    <s v="Present"/>
    <n v="1"/>
    <n v="8000"/>
    <s v="Paid"/>
  </r>
  <r>
    <x v="9"/>
    <x v="1"/>
    <x v="0"/>
    <x v="177"/>
    <x v="149"/>
    <x v="36"/>
    <s v="Dec'22"/>
    <x v="9"/>
    <s v="Dhaka"/>
    <s v="Absent"/>
    <n v="0"/>
    <n v="0"/>
    <s v="Paid"/>
  </r>
  <r>
    <x v="10"/>
    <x v="1"/>
    <x v="0"/>
    <x v="177"/>
    <x v="149"/>
    <x v="36"/>
    <s v="Dec'22"/>
    <x v="9"/>
    <s v="Dhaka"/>
    <s v="Present"/>
    <n v="1"/>
    <n v="8000"/>
    <s v="Paid"/>
  </r>
  <r>
    <x v="29"/>
    <x v="1"/>
    <x v="0"/>
    <x v="177"/>
    <x v="149"/>
    <x v="36"/>
    <s v="Dec'22"/>
    <x v="9"/>
    <s v="Dhaka"/>
    <s v="Present"/>
    <n v="1"/>
    <n v="8000"/>
    <s v="Paid"/>
  </r>
  <r>
    <x v="11"/>
    <x v="1"/>
    <x v="0"/>
    <x v="177"/>
    <x v="149"/>
    <x v="36"/>
    <s v="Dec'22"/>
    <x v="9"/>
    <s v="Dhaka"/>
    <s v="Present"/>
    <n v="1"/>
    <n v="8000"/>
    <s v="Paid"/>
  </r>
  <r>
    <x v="12"/>
    <x v="1"/>
    <x v="0"/>
    <x v="177"/>
    <x v="149"/>
    <x v="36"/>
    <s v="Dec'22"/>
    <x v="9"/>
    <s v="Dhaka"/>
    <s v="Present"/>
    <n v="1"/>
    <n v="8000"/>
    <s v="Paid"/>
  </r>
  <r>
    <x v="27"/>
    <x v="1"/>
    <x v="0"/>
    <x v="177"/>
    <x v="149"/>
    <x v="36"/>
    <s v="Dec'22"/>
    <x v="9"/>
    <s v="Dhaka"/>
    <s v="Present"/>
    <n v="1"/>
    <n v="8000"/>
    <s v="Paid"/>
  </r>
  <r>
    <x v="28"/>
    <x v="1"/>
    <x v="0"/>
    <x v="177"/>
    <x v="149"/>
    <x v="36"/>
    <s v="Dec'22"/>
    <x v="9"/>
    <s v="Dhaka"/>
    <s v="Present"/>
    <n v="1"/>
    <n v="8000"/>
    <s v="Paid"/>
  </r>
  <r>
    <x v="13"/>
    <x v="0"/>
    <x v="0"/>
    <x v="177"/>
    <x v="149"/>
    <x v="36"/>
    <s v="Dec'22"/>
    <x v="9"/>
    <s v="Dhaka"/>
    <s v="Present"/>
    <n v="1"/>
    <n v="8000"/>
    <s v="Paid"/>
  </r>
  <r>
    <x v="30"/>
    <x v="0"/>
    <x v="0"/>
    <x v="177"/>
    <x v="149"/>
    <x v="36"/>
    <s v="Dec'22"/>
    <x v="9"/>
    <s v="Dhaka"/>
    <s v="Present"/>
    <n v="1"/>
    <n v="8000"/>
    <s v="Paid"/>
  </r>
  <r>
    <x v="14"/>
    <x v="1"/>
    <x v="0"/>
    <x v="177"/>
    <x v="149"/>
    <x v="36"/>
    <s v="Dec'22"/>
    <x v="9"/>
    <s v="Dhaka"/>
    <s v="Absent"/>
    <n v="0"/>
    <n v="0"/>
    <s v="Paid"/>
  </r>
  <r>
    <x v="15"/>
    <x v="1"/>
    <x v="0"/>
    <x v="177"/>
    <x v="149"/>
    <x v="36"/>
    <s v="Dec'22"/>
    <x v="9"/>
    <s v="Dhaka"/>
    <s v="Absent"/>
    <n v="0"/>
    <n v="0"/>
    <s v="Paid"/>
  </r>
  <r>
    <x v="21"/>
    <x v="3"/>
    <x v="0"/>
    <x v="177"/>
    <x v="149"/>
    <x v="36"/>
    <s v="Dec'22"/>
    <x v="9"/>
    <s v="Dhaka"/>
    <s v="Present"/>
    <n v="1"/>
    <n v="8000"/>
    <s v="Paid"/>
  </r>
  <r>
    <x v="1"/>
    <x v="1"/>
    <x v="0"/>
    <x v="178"/>
    <x v="150"/>
    <x v="37"/>
    <s v="Jan'23"/>
    <x v="10"/>
    <s v="Dhaka"/>
    <s v="Present"/>
    <n v="1"/>
    <n v="8000"/>
    <s v="Paid"/>
  </r>
  <r>
    <x v="2"/>
    <x v="2"/>
    <x v="0"/>
    <x v="178"/>
    <x v="150"/>
    <x v="37"/>
    <s v="Jan'23"/>
    <x v="10"/>
    <s v="Dhaka"/>
    <s v="Present"/>
    <n v="1"/>
    <n v="8000"/>
    <s v="Paid"/>
  </r>
  <r>
    <x v="3"/>
    <x v="1"/>
    <x v="0"/>
    <x v="178"/>
    <x v="150"/>
    <x v="37"/>
    <s v="Jan'23"/>
    <x v="10"/>
    <s v="Dhaka"/>
    <s v="Present"/>
    <n v="1"/>
    <n v="8000"/>
    <s v="Paid"/>
  </r>
  <r>
    <x v="5"/>
    <x v="1"/>
    <x v="0"/>
    <x v="178"/>
    <x v="150"/>
    <x v="37"/>
    <s v="Jan'23"/>
    <x v="10"/>
    <s v="Dhaka"/>
    <s v="Present"/>
    <n v="1"/>
    <n v="8000"/>
    <s v="Paid"/>
  </r>
  <r>
    <x v="6"/>
    <x v="1"/>
    <x v="0"/>
    <x v="178"/>
    <x v="150"/>
    <x v="37"/>
    <s v="Jan'23"/>
    <x v="10"/>
    <s v="Dhaka"/>
    <s v="Present"/>
    <n v="1"/>
    <n v="8000"/>
    <s v="Paid"/>
  </r>
  <r>
    <x v="7"/>
    <x v="1"/>
    <x v="0"/>
    <x v="178"/>
    <x v="150"/>
    <x v="37"/>
    <s v="Jan'23"/>
    <x v="10"/>
    <s v="Dhaka"/>
    <s v="Present"/>
    <n v="1"/>
    <n v="8000"/>
    <s v="Paid"/>
  </r>
  <r>
    <x v="8"/>
    <x v="1"/>
    <x v="0"/>
    <x v="178"/>
    <x v="150"/>
    <x v="37"/>
    <s v="Jan'23"/>
    <x v="10"/>
    <s v="Dhaka"/>
    <s v="Present"/>
    <n v="1"/>
    <n v="8000"/>
    <s v="Paid"/>
  </r>
  <r>
    <x v="9"/>
    <x v="1"/>
    <x v="0"/>
    <x v="178"/>
    <x v="150"/>
    <x v="37"/>
    <s v="Jan'23"/>
    <x v="10"/>
    <s v="Dhaka"/>
    <s v="Present"/>
    <n v="1"/>
    <n v="8000"/>
    <s v="Paid"/>
  </r>
  <r>
    <x v="10"/>
    <x v="1"/>
    <x v="0"/>
    <x v="178"/>
    <x v="150"/>
    <x v="37"/>
    <s v="Jan'23"/>
    <x v="10"/>
    <s v="Dhaka"/>
    <s v="Present"/>
    <n v="1"/>
    <n v="8000"/>
    <s v="Paid"/>
  </r>
  <r>
    <x v="29"/>
    <x v="1"/>
    <x v="0"/>
    <x v="178"/>
    <x v="150"/>
    <x v="37"/>
    <s v="Jan'23"/>
    <x v="10"/>
    <s v="Dhaka"/>
    <s v="Present"/>
    <n v="1"/>
    <n v="8000"/>
    <s v="Paid"/>
  </r>
  <r>
    <x v="11"/>
    <x v="1"/>
    <x v="0"/>
    <x v="178"/>
    <x v="150"/>
    <x v="37"/>
    <s v="Jan'23"/>
    <x v="10"/>
    <s v="Dhaka"/>
    <s v="Present"/>
    <n v="1"/>
    <n v="8000"/>
    <s v="Paid"/>
  </r>
  <r>
    <x v="12"/>
    <x v="1"/>
    <x v="0"/>
    <x v="178"/>
    <x v="150"/>
    <x v="37"/>
    <s v="Jan'23"/>
    <x v="10"/>
    <s v="Dhaka"/>
    <s v="Present"/>
    <n v="1"/>
    <n v="8000"/>
    <s v="Paid"/>
  </r>
  <r>
    <x v="27"/>
    <x v="1"/>
    <x v="0"/>
    <x v="178"/>
    <x v="150"/>
    <x v="37"/>
    <s v="Jan'23"/>
    <x v="10"/>
    <s v="Dhaka"/>
    <s v="Present"/>
    <n v="1"/>
    <n v="8000"/>
    <s v="Paid"/>
  </r>
  <r>
    <x v="28"/>
    <x v="1"/>
    <x v="0"/>
    <x v="178"/>
    <x v="150"/>
    <x v="37"/>
    <s v="Jan'23"/>
    <x v="10"/>
    <s v="Dhaka"/>
    <s v="Present"/>
    <n v="1"/>
    <n v="8000"/>
    <s v="Paid"/>
  </r>
  <r>
    <x v="13"/>
    <x v="0"/>
    <x v="0"/>
    <x v="178"/>
    <x v="150"/>
    <x v="37"/>
    <s v="Jan'23"/>
    <x v="10"/>
    <s v="Dhaka"/>
    <s v="Present"/>
    <n v="1"/>
    <n v="8000"/>
    <s v="Paid"/>
  </r>
  <r>
    <x v="30"/>
    <x v="0"/>
    <x v="0"/>
    <x v="178"/>
    <x v="150"/>
    <x v="37"/>
    <s v="Jan'23"/>
    <x v="10"/>
    <s v="Dhaka"/>
    <s v="Present"/>
    <n v="1"/>
    <n v="8000"/>
    <s v="Paid"/>
  </r>
  <r>
    <x v="14"/>
    <x v="1"/>
    <x v="0"/>
    <x v="178"/>
    <x v="150"/>
    <x v="37"/>
    <s v="Jan'23"/>
    <x v="10"/>
    <s v="Dhaka"/>
    <s v="Present"/>
    <n v="1"/>
    <n v="8000"/>
    <s v="Paid"/>
  </r>
  <r>
    <x v="15"/>
    <x v="1"/>
    <x v="0"/>
    <x v="178"/>
    <x v="150"/>
    <x v="37"/>
    <s v="Jan'23"/>
    <x v="10"/>
    <s v="Dhaka"/>
    <s v="Present"/>
    <n v="1"/>
    <n v="8000"/>
    <s v="Paid"/>
  </r>
  <r>
    <x v="21"/>
    <x v="3"/>
    <x v="0"/>
    <x v="178"/>
    <x v="150"/>
    <x v="37"/>
    <s v="Jan'23"/>
    <x v="10"/>
    <s v="Dhaka"/>
    <s v="Present"/>
    <n v="1"/>
    <n v="8000"/>
    <s v="Paid"/>
  </r>
  <r>
    <x v="3"/>
    <x v="1"/>
    <x v="2"/>
    <x v="125"/>
    <x v="150"/>
    <x v="37"/>
    <s v="Jan'23"/>
    <x v="10"/>
    <s v="Dhaka"/>
    <s v="Present"/>
    <n v="1"/>
    <n v="8000"/>
    <s v="Paid"/>
  </r>
  <r>
    <x v="2"/>
    <x v="2"/>
    <x v="2"/>
    <x v="125"/>
    <x v="150"/>
    <x v="37"/>
    <s v="Jan'23"/>
    <x v="10"/>
    <s v="Dhaka"/>
    <s v="Present"/>
    <n v="1"/>
    <n v="8000"/>
    <s v="Paid"/>
  </r>
  <r>
    <x v="5"/>
    <x v="1"/>
    <x v="2"/>
    <x v="125"/>
    <x v="150"/>
    <x v="37"/>
    <s v="Jan'23"/>
    <x v="10"/>
    <s v="Dhaka"/>
    <s v="Present"/>
    <n v="1"/>
    <n v="8000"/>
    <s v="Paid"/>
  </r>
  <r>
    <x v="6"/>
    <x v="1"/>
    <x v="2"/>
    <x v="125"/>
    <x v="150"/>
    <x v="37"/>
    <s v="Jan'23"/>
    <x v="10"/>
    <s v="Dhaka"/>
    <s v="Present"/>
    <n v="1"/>
    <n v="8000"/>
    <s v="Paid"/>
  </r>
  <r>
    <x v="8"/>
    <x v="1"/>
    <x v="2"/>
    <x v="125"/>
    <x v="150"/>
    <x v="37"/>
    <s v="Jan'23"/>
    <x v="10"/>
    <s v="Dhaka"/>
    <s v="Present"/>
    <n v="1"/>
    <n v="8000"/>
    <s v="Paid"/>
  </r>
  <r>
    <x v="9"/>
    <x v="1"/>
    <x v="2"/>
    <x v="125"/>
    <x v="150"/>
    <x v="37"/>
    <s v="Jan'23"/>
    <x v="10"/>
    <s v="Dhaka"/>
    <s v="Present"/>
    <n v="1"/>
    <n v="8000"/>
    <s v="Paid"/>
  </r>
  <r>
    <x v="14"/>
    <x v="1"/>
    <x v="2"/>
    <x v="125"/>
    <x v="150"/>
    <x v="37"/>
    <s v="Jan'23"/>
    <x v="10"/>
    <s v="Dhaka"/>
    <s v="Present"/>
    <n v="1"/>
    <n v="8000"/>
    <s v="Paid"/>
  </r>
  <r>
    <x v="1"/>
    <x v="1"/>
    <x v="0"/>
    <x v="179"/>
    <x v="151"/>
    <x v="37"/>
    <s v="Mar'23"/>
    <x v="10"/>
    <s v="Dhaka"/>
    <s v="Present"/>
    <n v="1"/>
    <n v="8000"/>
    <s v="Paid"/>
  </r>
  <r>
    <x v="2"/>
    <x v="2"/>
    <x v="0"/>
    <x v="179"/>
    <x v="151"/>
    <x v="37"/>
    <s v="Mar'23"/>
    <x v="10"/>
    <s v="Dhaka"/>
    <s v="Present"/>
    <n v="1"/>
    <n v="8000"/>
    <s v="Paid"/>
  </r>
  <r>
    <x v="3"/>
    <x v="1"/>
    <x v="0"/>
    <x v="179"/>
    <x v="151"/>
    <x v="37"/>
    <s v="Mar'23"/>
    <x v="10"/>
    <s v="Dhaka"/>
    <s v="Present"/>
    <n v="1"/>
    <n v="8000"/>
    <s v="Paid"/>
  </r>
  <r>
    <x v="4"/>
    <x v="0"/>
    <x v="0"/>
    <x v="179"/>
    <x v="151"/>
    <x v="37"/>
    <s v="Mar'23"/>
    <x v="10"/>
    <s v="Dhaka"/>
    <s v="Absent"/>
    <n v="0"/>
    <n v="0"/>
    <s v="Paid"/>
  </r>
  <r>
    <x v="5"/>
    <x v="1"/>
    <x v="0"/>
    <x v="179"/>
    <x v="151"/>
    <x v="37"/>
    <s v="Mar'23"/>
    <x v="10"/>
    <s v="Dhaka"/>
    <s v="Present"/>
    <n v="1"/>
    <n v="8000"/>
    <s v="Paid"/>
  </r>
  <r>
    <x v="6"/>
    <x v="1"/>
    <x v="0"/>
    <x v="179"/>
    <x v="151"/>
    <x v="37"/>
    <s v="Mar'23"/>
    <x v="10"/>
    <s v="Dhaka"/>
    <s v="Present"/>
    <n v="1"/>
    <n v="8000"/>
    <s v="Paid"/>
  </r>
  <r>
    <x v="7"/>
    <x v="1"/>
    <x v="0"/>
    <x v="179"/>
    <x v="151"/>
    <x v="37"/>
    <s v="Mar'23"/>
    <x v="10"/>
    <s v="Dhaka"/>
    <s v="Present"/>
    <n v="1"/>
    <n v="8000"/>
    <s v="Paid"/>
  </r>
  <r>
    <x v="8"/>
    <x v="1"/>
    <x v="0"/>
    <x v="179"/>
    <x v="151"/>
    <x v="37"/>
    <s v="Mar'23"/>
    <x v="10"/>
    <s v="Dhaka"/>
    <s v="Absent"/>
    <n v="0"/>
    <n v="0"/>
    <s v="Paid"/>
  </r>
  <r>
    <x v="9"/>
    <x v="1"/>
    <x v="0"/>
    <x v="179"/>
    <x v="151"/>
    <x v="37"/>
    <s v="Mar'23"/>
    <x v="10"/>
    <s v="Dhaka"/>
    <s v="Present"/>
    <n v="1"/>
    <n v="8000"/>
    <s v="Paid"/>
  </r>
  <r>
    <x v="10"/>
    <x v="1"/>
    <x v="0"/>
    <x v="179"/>
    <x v="151"/>
    <x v="37"/>
    <s v="Mar'23"/>
    <x v="10"/>
    <s v="Dhaka"/>
    <s v="Absent"/>
    <n v="0"/>
    <n v="0"/>
    <s v="Paid"/>
  </r>
  <r>
    <x v="29"/>
    <x v="1"/>
    <x v="0"/>
    <x v="179"/>
    <x v="151"/>
    <x v="37"/>
    <s v="Mar'23"/>
    <x v="10"/>
    <s v="Dhaka"/>
    <s v="Present"/>
    <n v="1"/>
    <n v="8000"/>
    <s v="Paid"/>
  </r>
  <r>
    <x v="11"/>
    <x v="1"/>
    <x v="0"/>
    <x v="179"/>
    <x v="151"/>
    <x v="37"/>
    <s v="Mar'23"/>
    <x v="10"/>
    <s v="Dhaka"/>
    <s v="Present"/>
    <n v="1"/>
    <n v="8000"/>
    <s v="Paid"/>
  </r>
  <r>
    <x v="12"/>
    <x v="1"/>
    <x v="0"/>
    <x v="179"/>
    <x v="151"/>
    <x v="37"/>
    <s v="Mar'23"/>
    <x v="10"/>
    <s v="Dhaka"/>
    <s v="Present"/>
    <n v="1"/>
    <n v="8000"/>
    <s v="Paid"/>
  </r>
  <r>
    <x v="27"/>
    <x v="1"/>
    <x v="0"/>
    <x v="179"/>
    <x v="151"/>
    <x v="37"/>
    <s v="Mar'23"/>
    <x v="10"/>
    <s v="Dhaka"/>
    <s v="Present"/>
    <n v="1"/>
    <n v="8000"/>
    <s v="Paid"/>
  </r>
  <r>
    <x v="28"/>
    <x v="1"/>
    <x v="0"/>
    <x v="179"/>
    <x v="151"/>
    <x v="37"/>
    <s v="Mar'23"/>
    <x v="10"/>
    <s v="Dhaka"/>
    <s v="Present"/>
    <n v="1"/>
    <n v="8000"/>
    <s v="Paid"/>
  </r>
  <r>
    <x v="13"/>
    <x v="0"/>
    <x v="0"/>
    <x v="179"/>
    <x v="151"/>
    <x v="37"/>
    <s v="Mar'23"/>
    <x v="10"/>
    <s v="Dhaka"/>
    <s v="Present"/>
    <n v="1"/>
    <n v="8000"/>
    <s v="Paid"/>
  </r>
  <r>
    <x v="30"/>
    <x v="0"/>
    <x v="0"/>
    <x v="179"/>
    <x v="151"/>
    <x v="37"/>
    <s v="Mar'23"/>
    <x v="10"/>
    <s v="Dhaka"/>
    <s v="Present"/>
    <n v="1"/>
    <n v="8000"/>
    <s v="Paid"/>
  </r>
  <r>
    <x v="14"/>
    <x v="1"/>
    <x v="0"/>
    <x v="179"/>
    <x v="151"/>
    <x v="37"/>
    <s v="Mar'23"/>
    <x v="10"/>
    <s v="Dhaka"/>
    <s v="Present"/>
    <n v="1"/>
    <n v="8000"/>
    <s v="Paid"/>
  </r>
  <r>
    <x v="15"/>
    <x v="1"/>
    <x v="0"/>
    <x v="179"/>
    <x v="151"/>
    <x v="37"/>
    <s v="Mar'23"/>
    <x v="10"/>
    <s v="Dhaka"/>
    <s v="Present"/>
    <n v="1"/>
    <n v="8000"/>
    <s v="Paid"/>
  </r>
  <r>
    <x v="21"/>
    <x v="3"/>
    <x v="0"/>
    <x v="179"/>
    <x v="151"/>
    <x v="37"/>
    <s v="Mar'23"/>
    <x v="10"/>
    <s v="Dhaka"/>
    <s v="Present"/>
    <n v="1"/>
    <n v="8000"/>
    <s v="Paid"/>
  </r>
  <r>
    <x v="3"/>
    <x v="1"/>
    <x v="2"/>
    <x v="129"/>
    <x v="151"/>
    <x v="37"/>
    <s v="Mar'23"/>
    <x v="10"/>
    <s v="Dhaka"/>
    <s v="Present"/>
    <n v="1"/>
    <n v="8000"/>
    <s v="Paid"/>
  </r>
  <r>
    <x v="2"/>
    <x v="2"/>
    <x v="2"/>
    <x v="129"/>
    <x v="151"/>
    <x v="37"/>
    <s v="Mar'23"/>
    <x v="10"/>
    <s v="Dhaka"/>
    <s v="Present"/>
    <n v="1"/>
    <n v="8000"/>
    <s v="Paid"/>
  </r>
  <r>
    <x v="5"/>
    <x v="1"/>
    <x v="2"/>
    <x v="129"/>
    <x v="151"/>
    <x v="37"/>
    <s v="Mar'23"/>
    <x v="10"/>
    <s v="Dhaka"/>
    <s v="Present"/>
    <n v="1"/>
    <n v="8000"/>
    <s v="Paid"/>
  </r>
  <r>
    <x v="6"/>
    <x v="1"/>
    <x v="2"/>
    <x v="129"/>
    <x v="151"/>
    <x v="37"/>
    <s v="Mar'23"/>
    <x v="10"/>
    <s v="Dhaka"/>
    <s v="Present"/>
    <n v="1"/>
    <n v="8000"/>
    <s v="Paid"/>
  </r>
  <r>
    <x v="8"/>
    <x v="1"/>
    <x v="2"/>
    <x v="129"/>
    <x v="151"/>
    <x v="37"/>
    <s v="Mar'23"/>
    <x v="10"/>
    <s v="Dhaka"/>
    <s v="Absent"/>
    <n v="0"/>
    <n v="0"/>
    <s v="Paid"/>
  </r>
  <r>
    <x v="9"/>
    <x v="1"/>
    <x v="2"/>
    <x v="129"/>
    <x v="151"/>
    <x v="37"/>
    <s v="Mar'23"/>
    <x v="10"/>
    <s v="Dhaka"/>
    <s v="Present"/>
    <n v="1"/>
    <n v="8000"/>
    <s v="Paid"/>
  </r>
  <r>
    <x v="14"/>
    <x v="1"/>
    <x v="2"/>
    <x v="129"/>
    <x v="151"/>
    <x v="37"/>
    <s v="Mar'23"/>
    <x v="10"/>
    <s v="Dhaka"/>
    <s v="Present"/>
    <n v="1"/>
    <n v="8000"/>
    <s v="Paid"/>
  </r>
  <r>
    <x v="5"/>
    <x v="1"/>
    <x v="3"/>
    <x v="180"/>
    <x v="151"/>
    <x v="37"/>
    <s v="Mar'23"/>
    <x v="10"/>
    <s v="Dhaka"/>
    <s v="Present"/>
    <n v="1"/>
    <n v="8000"/>
    <s v="Paid"/>
  </r>
  <r>
    <x v="3"/>
    <x v="1"/>
    <x v="3"/>
    <x v="180"/>
    <x v="151"/>
    <x v="37"/>
    <s v="Mar'23"/>
    <x v="10"/>
    <s v="Dhaka"/>
    <s v="Present"/>
    <n v="1"/>
    <n v="8000"/>
    <s v="Paid"/>
  </r>
  <r>
    <x v="7"/>
    <x v="1"/>
    <x v="3"/>
    <x v="180"/>
    <x v="151"/>
    <x v="37"/>
    <s v="Mar'23"/>
    <x v="10"/>
    <s v="Dhaka"/>
    <s v="Present"/>
    <n v="1"/>
    <n v="8000"/>
    <s v="Paid"/>
  </r>
  <r>
    <x v="10"/>
    <x v="1"/>
    <x v="3"/>
    <x v="180"/>
    <x v="151"/>
    <x v="37"/>
    <s v="Mar'23"/>
    <x v="10"/>
    <s v="Dhaka"/>
    <s v="Absent"/>
    <n v="0"/>
    <n v="0"/>
    <s v="Paid"/>
  </r>
  <r>
    <x v="30"/>
    <x v="0"/>
    <x v="3"/>
    <x v="180"/>
    <x v="151"/>
    <x v="37"/>
    <s v="Mar'23"/>
    <x v="10"/>
    <s v="Dhaka"/>
    <s v="Present"/>
    <n v="1"/>
    <n v="8000"/>
    <s v="Paid"/>
  </r>
  <r>
    <x v="6"/>
    <x v="1"/>
    <x v="5"/>
    <x v="181"/>
    <x v="152"/>
    <x v="38"/>
    <s v="Apr'23"/>
    <x v="10"/>
    <s v="Dhaka"/>
    <s v="Present"/>
    <n v="1"/>
    <n v="8000"/>
    <s v="Paid"/>
  </r>
  <r>
    <x v="22"/>
    <x v="4"/>
    <x v="5"/>
    <x v="181"/>
    <x v="152"/>
    <x v="38"/>
    <s v="Apr'23"/>
    <x v="10"/>
    <s v="Dhaka"/>
    <s v="Present"/>
    <n v="1"/>
    <n v="8000"/>
    <s v="Paid"/>
  </r>
  <r>
    <x v="23"/>
    <x v="5"/>
    <x v="5"/>
    <x v="181"/>
    <x v="152"/>
    <x v="38"/>
    <s v="Apr'23"/>
    <x v="10"/>
    <s v="Dhaka"/>
    <s v="Present"/>
    <n v="1"/>
    <n v="8000"/>
    <s v="Paid"/>
  </r>
  <r>
    <x v="24"/>
    <x v="4"/>
    <x v="5"/>
    <x v="181"/>
    <x v="152"/>
    <x v="38"/>
    <s v="Apr'23"/>
    <x v="10"/>
    <s v="Dhaka"/>
    <s v="Present"/>
    <n v="1"/>
    <n v="8000"/>
    <s v="Paid"/>
  </r>
  <r>
    <x v="25"/>
    <x v="4"/>
    <x v="5"/>
    <x v="181"/>
    <x v="152"/>
    <x v="38"/>
    <s v="Apr'23"/>
    <x v="10"/>
    <s v="Dhaka"/>
    <s v="Present"/>
    <n v="1"/>
    <n v="8000"/>
    <s v="Paid"/>
  </r>
  <r>
    <x v="26"/>
    <x v="4"/>
    <x v="5"/>
    <x v="181"/>
    <x v="152"/>
    <x v="38"/>
    <s v="Apr'23"/>
    <x v="10"/>
    <s v="Dhaka"/>
    <s v="Present"/>
    <n v="1"/>
    <n v="8000"/>
    <s v="Paid"/>
  </r>
  <r>
    <x v="21"/>
    <x v="3"/>
    <x v="5"/>
    <x v="181"/>
    <x v="152"/>
    <x v="38"/>
    <s v="Apr'23"/>
    <x v="10"/>
    <s v="Dhaka"/>
    <s v="Present"/>
    <n v="1"/>
    <n v="8000"/>
    <s v="Paid"/>
  </r>
  <r>
    <x v="3"/>
    <x v="1"/>
    <x v="2"/>
    <x v="130"/>
    <x v="153"/>
    <x v="38"/>
    <s v="Apr'23"/>
    <x v="10"/>
    <s v="Dhaka"/>
    <s v="Present"/>
    <n v="1"/>
    <n v="8000"/>
    <s v="Paid"/>
  </r>
  <r>
    <x v="2"/>
    <x v="2"/>
    <x v="2"/>
    <x v="130"/>
    <x v="153"/>
    <x v="38"/>
    <s v="Apr'23"/>
    <x v="10"/>
    <s v="Dhaka"/>
    <s v="Present"/>
    <n v="1"/>
    <n v="8000"/>
    <s v="Paid"/>
  </r>
  <r>
    <x v="5"/>
    <x v="1"/>
    <x v="2"/>
    <x v="130"/>
    <x v="153"/>
    <x v="38"/>
    <s v="Apr'23"/>
    <x v="10"/>
    <s v="Dhaka"/>
    <s v="Present"/>
    <n v="1"/>
    <n v="8000"/>
    <s v="Paid"/>
  </r>
  <r>
    <x v="6"/>
    <x v="1"/>
    <x v="2"/>
    <x v="130"/>
    <x v="153"/>
    <x v="38"/>
    <s v="Apr'23"/>
    <x v="10"/>
    <s v="Dhaka"/>
    <s v="Present"/>
    <n v="1"/>
    <n v="8000"/>
    <s v="Paid"/>
  </r>
  <r>
    <x v="8"/>
    <x v="1"/>
    <x v="2"/>
    <x v="130"/>
    <x v="153"/>
    <x v="38"/>
    <s v="Apr'23"/>
    <x v="10"/>
    <s v="Dhaka"/>
    <s v="Present"/>
    <n v="1"/>
    <n v="8000"/>
    <s v="Paid"/>
  </r>
  <r>
    <x v="9"/>
    <x v="1"/>
    <x v="2"/>
    <x v="130"/>
    <x v="153"/>
    <x v="38"/>
    <s v="Apr'23"/>
    <x v="10"/>
    <s v="Dhaka"/>
    <s v="Present"/>
    <n v="1"/>
    <n v="8000"/>
    <s v="Paid"/>
  </r>
  <r>
    <x v="1"/>
    <x v="1"/>
    <x v="0"/>
    <x v="182"/>
    <x v="154"/>
    <x v="38"/>
    <s v="Apr'23"/>
    <x v="10"/>
    <s v="Dhaka"/>
    <s v="Present"/>
    <n v="1"/>
    <n v="8000"/>
    <s v="Paid"/>
  </r>
  <r>
    <x v="2"/>
    <x v="2"/>
    <x v="0"/>
    <x v="182"/>
    <x v="154"/>
    <x v="38"/>
    <s v="Apr'23"/>
    <x v="10"/>
    <s v="Dhaka"/>
    <s v="Absent"/>
    <n v="0"/>
    <n v="0"/>
    <s v="Paid"/>
  </r>
  <r>
    <x v="3"/>
    <x v="1"/>
    <x v="0"/>
    <x v="182"/>
    <x v="154"/>
    <x v="38"/>
    <s v="Apr'23"/>
    <x v="10"/>
    <s v="Dhaka"/>
    <s v="Absent"/>
    <n v="0"/>
    <n v="0"/>
    <s v="Paid"/>
  </r>
  <r>
    <x v="4"/>
    <x v="0"/>
    <x v="0"/>
    <x v="182"/>
    <x v="154"/>
    <x v="38"/>
    <s v="Apr'23"/>
    <x v="10"/>
    <s v="Dhaka"/>
    <s v="Absent"/>
    <n v="0"/>
    <n v="0"/>
    <s v="Paid"/>
  </r>
  <r>
    <x v="5"/>
    <x v="1"/>
    <x v="0"/>
    <x v="182"/>
    <x v="154"/>
    <x v="38"/>
    <s v="Apr'23"/>
    <x v="10"/>
    <s v="Dhaka"/>
    <s v="Present"/>
    <n v="1"/>
    <n v="8000"/>
    <s v="Paid"/>
  </r>
  <r>
    <x v="6"/>
    <x v="1"/>
    <x v="0"/>
    <x v="182"/>
    <x v="154"/>
    <x v="38"/>
    <s v="Apr'23"/>
    <x v="10"/>
    <s v="Dhaka"/>
    <s v="Present"/>
    <n v="1"/>
    <n v="8000"/>
    <s v="Paid"/>
  </r>
  <r>
    <x v="7"/>
    <x v="1"/>
    <x v="0"/>
    <x v="182"/>
    <x v="154"/>
    <x v="38"/>
    <s v="Apr'23"/>
    <x v="10"/>
    <s v="Dhaka"/>
    <s v="Present"/>
    <n v="1"/>
    <n v="8000"/>
    <s v="Paid"/>
  </r>
  <r>
    <x v="8"/>
    <x v="1"/>
    <x v="0"/>
    <x v="182"/>
    <x v="154"/>
    <x v="38"/>
    <s v="Apr'23"/>
    <x v="10"/>
    <s v="Dhaka"/>
    <s v="Present"/>
    <n v="1"/>
    <n v="8000"/>
    <s v="Paid"/>
  </r>
  <r>
    <x v="9"/>
    <x v="1"/>
    <x v="0"/>
    <x v="182"/>
    <x v="154"/>
    <x v="38"/>
    <s v="Apr'23"/>
    <x v="10"/>
    <s v="Dhaka"/>
    <s v="Present"/>
    <n v="1"/>
    <n v="8000"/>
    <s v="Paid"/>
  </r>
  <r>
    <x v="10"/>
    <x v="1"/>
    <x v="0"/>
    <x v="182"/>
    <x v="154"/>
    <x v="38"/>
    <s v="Apr'23"/>
    <x v="10"/>
    <s v="Dhaka"/>
    <s v="Present"/>
    <n v="1"/>
    <n v="8000"/>
    <s v="Paid"/>
  </r>
  <r>
    <x v="29"/>
    <x v="1"/>
    <x v="0"/>
    <x v="182"/>
    <x v="154"/>
    <x v="38"/>
    <s v="Apr'23"/>
    <x v="10"/>
    <s v="Dhaka"/>
    <s v="Present"/>
    <n v="1"/>
    <n v="8000"/>
    <s v="Paid"/>
  </r>
  <r>
    <x v="11"/>
    <x v="1"/>
    <x v="0"/>
    <x v="182"/>
    <x v="154"/>
    <x v="38"/>
    <s v="Apr'23"/>
    <x v="10"/>
    <s v="Dhaka"/>
    <s v="Present"/>
    <n v="1"/>
    <n v="8000"/>
    <s v="Paid"/>
  </r>
  <r>
    <x v="12"/>
    <x v="1"/>
    <x v="0"/>
    <x v="182"/>
    <x v="154"/>
    <x v="38"/>
    <s v="Apr'23"/>
    <x v="10"/>
    <s v="Dhaka"/>
    <s v="Present"/>
    <n v="1"/>
    <n v="8000"/>
    <s v="Paid"/>
  </r>
  <r>
    <x v="27"/>
    <x v="1"/>
    <x v="0"/>
    <x v="182"/>
    <x v="154"/>
    <x v="38"/>
    <s v="Apr'23"/>
    <x v="10"/>
    <s v="Dhaka"/>
    <s v="Present"/>
    <n v="1"/>
    <n v="8000"/>
    <s v="Paid"/>
  </r>
  <r>
    <x v="28"/>
    <x v="1"/>
    <x v="0"/>
    <x v="182"/>
    <x v="154"/>
    <x v="38"/>
    <s v="Apr'23"/>
    <x v="10"/>
    <s v="Dhaka"/>
    <s v="Present"/>
    <n v="1"/>
    <n v="8000"/>
    <s v="Paid"/>
  </r>
  <r>
    <x v="13"/>
    <x v="0"/>
    <x v="0"/>
    <x v="182"/>
    <x v="154"/>
    <x v="38"/>
    <s v="Apr'23"/>
    <x v="10"/>
    <s v="Dhaka"/>
    <s v="Absent"/>
    <n v="0"/>
    <n v="0"/>
    <s v="Paid"/>
  </r>
  <r>
    <x v="30"/>
    <x v="0"/>
    <x v="0"/>
    <x v="182"/>
    <x v="154"/>
    <x v="38"/>
    <s v="Apr'23"/>
    <x v="10"/>
    <s v="Dhaka"/>
    <s v="Present"/>
    <n v="1"/>
    <n v="8000"/>
    <s v="Paid"/>
  </r>
  <r>
    <x v="31"/>
    <x v="6"/>
    <x v="0"/>
    <x v="182"/>
    <x v="154"/>
    <x v="38"/>
    <s v="Apr'23"/>
    <x v="10"/>
    <s v="Dhaka"/>
    <s v="Present"/>
    <n v="1"/>
    <n v="8000"/>
    <s v="Paid"/>
  </r>
  <r>
    <x v="4"/>
    <x v="0"/>
    <x v="1"/>
    <x v="183"/>
    <x v="154"/>
    <x v="38"/>
    <s v="Apr'23"/>
    <x v="10"/>
    <s v="Dhaka"/>
    <s v="Present"/>
    <n v="1"/>
    <n v="8000"/>
    <s v="Paid"/>
  </r>
  <r>
    <x v="11"/>
    <x v="1"/>
    <x v="1"/>
    <x v="183"/>
    <x v="154"/>
    <x v="38"/>
    <s v="Apr'23"/>
    <x v="10"/>
    <s v="Dhaka"/>
    <s v="Present"/>
    <n v="1"/>
    <n v="8000"/>
    <s v="Paid"/>
  </r>
  <r>
    <x v="12"/>
    <x v="1"/>
    <x v="1"/>
    <x v="183"/>
    <x v="154"/>
    <x v="38"/>
    <s v="Apr'23"/>
    <x v="10"/>
    <s v="Dhaka"/>
    <s v="Present"/>
    <n v="1"/>
    <n v="8000"/>
    <s v="Paid"/>
  </r>
  <r>
    <x v="13"/>
    <x v="0"/>
    <x v="1"/>
    <x v="183"/>
    <x v="154"/>
    <x v="38"/>
    <s v="Apr'23"/>
    <x v="10"/>
    <s v="Dhaka"/>
    <s v="Present"/>
    <n v="1"/>
    <n v="8000"/>
    <s v="Paid"/>
  </r>
  <r>
    <x v="27"/>
    <x v="1"/>
    <x v="1"/>
    <x v="183"/>
    <x v="154"/>
    <x v="38"/>
    <s v="Apr'23"/>
    <x v="10"/>
    <s v="Dhaka"/>
    <s v="Present"/>
    <n v="1"/>
    <n v="8000"/>
    <s v="Paid"/>
  </r>
  <r>
    <x v="1"/>
    <x v="1"/>
    <x v="0"/>
    <x v="184"/>
    <x v="155"/>
    <x v="38"/>
    <s v="May'23"/>
    <x v="10"/>
    <s v="Dhaka"/>
    <s v="Absent"/>
    <n v="0"/>
    <n v="0"/>
    <s v="Paid"/>
  </r>
  <r>
    <x v="2"/>
    <x v="2"/>
    <x v="0"/>
    <x v="184"/>
    <x v="155"/>
    <x v="38"/>
    <s v="May'23"/>
    <x v="10"/>
    <s v="Dhaka"/>
    <s v="Present"/>
    <n v="1"/>
    <n v="8000"/>
    <s v="Paid"/>
  </r>
  <r>
    <x v="3"/>
    <x v="1"/>
    <x v="0"/>
    <x v="184"/>
    <x v="155"/>
    <x v="38"/>
    <s v="May'23"/>
    <x v="10"/>
    <s v="Dhaka"/>
    <s v="Present"/>
    <n v="1"/>
    <n v="8000"/>
    <s v="Paid"/>
  </r>
  <r>
    <x v="4"/>
    <x v="0"/>
    <x v="0"/>
    <x v="184"/>
    <x v="155"/>
    <x v="38"/>
    <s v="May'23"/>
    <x v="10"/>
    <s v="Dhaka"/>
    <s v="Present"/>
    <n v="1"/>
    <n v="8000"/>
    <s v="Paid"/>
  </r>
  <r>
    <x v="5"/>
    <x v="1"/>
    <x v="0"/>
    <x v="184"/>
    <x v="155"/>
    <x v="38"/>
    <s v="May'23"/>
    <x v="10"/>
    <s v="Dhaka"/>
    <s v="Absent"/>
    <n v="0"/>
    <n v="0"/>
    <s v="Paid"/>
  </r>
  <r>
    <x v="6"/>
    <x v="1"/>
    <x v="0"/>
    <x v="184"/>
    <x v="155"/>
    <x v="38"/>
    <s v="May'23"/>
    <x v="10"/>
    <s v="Dhaka"/>
    <s v="Present"/>
    <n v="1"/>
    <n v="8000"/>
    <s v="Paid"/>
  </r>
  <r>
    <x v="7"/>
    <x v="1"/>
    <x v="0"/>
    <x v="184"/>
    <x v="155"/>
    <x v="38"/>
    <s v="May'23"/>
    <x v="10"/>
    <s v="Dhaka"/>
    <s v="Present"/>
    <n v="1"/>
    <n v="8000"/>
    <s v="Paid"/>
  </r>
  <r>
    <x v="8"/>
    <x v="1"/>
    <x v="0"/>
    <x v="184"/>
    <x v="155"/>
    <x v="38"/>
    <s v="May'23"/>
    <x v="10"/>
    <s v="Dhaka"/>
    <s v="Present"/>
    <n v="1"/>
    <n v="8000"/>
    <s v="Paid"/>
  </r>
  <r>
    <x v="9"/>
    <x v="1"/>
    <x v="0"/>
    <x v="184"/>
    <x v="155"/>
    <x v="38"/>
    <s v="May'23"/>
    <x v="10"/>
    <s v="Dhaka"/>
    <s v="Present"/>
    <n v="1"/>
    <n v="8000"/>
    <s v="Paid"/>
  </r>
  <r>
    <x v="10"/>
    <x v="1"/>
    <x v="0"/>
    <x v="184"/>
    <x v="155"/>
    <x v="38"/>
    <s v="May'23"/>
    <x v="10"/>
    <s v="Dhaka"/>
    <s v="Present"/>
    <n v="1"/>
    <n v="8000"/>
    <s v="Paid"/>
  </r>
  <r>
    <x v="29"/>
    <x v="1"/>
    <x v="0"/>
    <x v="184"/>
    <x v="155"/>
    <x v="38"/>
    <s v="May'23"/>
    <x v="10"/>
    <s v="Dhaka"/>
    <s v="Present"/>
    <n v="1"/>
    <n v="8000"/>
    <s v="Paid"/>
  </r>
  <r>
    <x v="11"/>
    <x v="1"/>
    <x v="0"/>
    <x v="184"/>
    <x v="155"/>
    <x v="38"/>
    <s v="May'23"/>
    <x v="10"/>
    <s v="Dhaka"/>
    <s v="Present"/>
    <n v="1"/>
    <n v="8000"/>
    <s v="Paid"/>
  </r>
  <r>
    <x v="12"/>
    <x v="1"/>
    <x v="0"/>
    <x v="184"/>
    <x v="155"/>
    <x v="38"/>
    <s v="May'23"/>
    <x v="10"/>
    <s v="Dhaka"/>
    <s v="Present"/>
    <n v="1"/>
    <n v="8000"/>
    <s v="Paid"/>
  </r>
  <r>
    <x v="27"/>
    <x v="1"/>
    <x v="0"/>
    <x v="184"/>
    <x v="155"/>
    <x v="38"/>
    <s v="May'23"/>
    <x v="10"/>
    <s v="Dhaka"/>
    <s v="Present"/>
    <n v="1"/>
    <n v="8000"/>
    <s v="Paid"/>
  </r>
  <r>
    <x v="28"/>
    <x v="1"/>
    <x v="0"/>
    <x v="184"/>
    <x v="155"/>
    <x v="38"/>
    <s v="May'23"/>
    <x v="10"/>
    <s v="Dhaka"/>
    <s v="Present"/>
    <n v="1"/>
    <n v="8000"/>
    <s v="Paid"/>
  </r>
  <r>
    <x v="13"/>
    <x v="0"/>
    <x v="0"/>
    <x v="184"/>
    <x v="155"/>
    <x v="38"/>
    <s v="May'23"/>
    <x v="10"/>
    <s v="Dhaka"/>
    <s v="Present"/>
    <n v="1"/>
    <n v="8000"/>
    <s v="Paid"/>
  </r>
  <r>
    <x v="30"/>
    <x v="0"/>
    <x v="0"/>
    <x v="184"/>
    <x v="155"/>
    <x v="38"/>
    <s v="May'23"/>
    <x v="10"/>
    <s v="Dhaka"/>
    <s v="Present"/>
    <n v="1"/>
    <n v="8000"/>
    <s v="Paid"/>
  </r>
  <r>
    <x v="31"/>
    <x v="6"/>
    <x v="0"/>
    <x v="184"/>
    <x v="155"/>
    <x v="38"/>
    <s v="May'23"/>
    <x v="10"/>
    <s v="Dhaka"/>
    <s v="Present"/>
    <n v="1"/>
    <n v="8000"/>
    <s v="Paid"/>
  </r>
  <r>
    <x v="4"/>
    <x v="0"/>
    <x v="1"/>
    <x v="185"/>
    <x v="155"/>
    <x v="38"/>
    <s v="May'23"/>
    <x v="10"/>
    <s v="Dhaka"/>
    <s v="Present"/>
    <n v="1"/>
    <n v="8000"/>
    <s v="Paid"/>
  </r>
  <r>
    <x v="11"/>
    <x v="1"/>
    <x v="1"/>
    <x v="185"/>
    <x v="155"/>
    <x v="38"/>
    <s v="May'23"/>
    <x v="10"/>
    <s v="Dhaka"/>
    <s v="Present"/>
    <n v="1"/>
    <n v="8000"/>
    <s v="Paid"/>
  </r>
  <r>
    <x v="12"/>
    <x v="1"/>
    <x v="1"/>
    <x v="185"/>
    <x v="155"/>
    <x v="38"/>
    <s v="May'23"/>
    <x v="10"/>
    <s v="Dhaka"/>
    <s v="Present"/>
    <n v="1"/>
    <n v="8000"/>
    <s v="Paid"/>
  </r>
  <r>
    <x v="13"/>
    <x v="0"/>
    <x v="1"/>
    <x v="185"/>
    <x v="155"/>
    <x v="38"/>
    <s v="May'23"/>
    <x v="10"/>
    <s v="Dhaka"/>
    <s v="Present"/>
    <n v="1"/>
    <n v="8000"/>
    <s v="Paid"/>
  </r>
  <r>
    <x v="27"/>
    <x v="1"/>
    <x v="1"/>
    <x v="185"/>
    <x v="155"/>
    <x v="38"/>
    <s v="May'23"/>
    <x v="10"/>
    <s v="Dhaka"/>
    <s v="Present"/>
    <n v="1"/>
    <n v="8000"/>
    <s v="Paid"/>
  </r>
  <r>
    <x v="1"/>
    <x v="1"/>
    <x v="0"/>
    <x v="186"/>
    <x v="156"/>
    <x v="38"/>
    <s v="May'23"/>
    <x v="10"/>
    <s v="Dhaka"/>
    <s v="Present"/>
    <n v="1"/>
    <n v="8000"/>
    <s v="Paid"/>
  </r>
  <r>
    <x v="2"/>
    <x v="2"/>
    <x v="0"/>
    <x v="186"/>
    <x v="156"/>
    <x v="38"/>
    <s v="May'23"/>
    <x v="10"/>
    <s v="Dhaka"/>
    <s v="Present"/>
    <n v="1"/>
    <n v="8000"/>
    <s v="Paid"/>
  </r>
  <r>
    <x v="3"/>
    <x v="1"/>
    <x v="0"/>
    <x v="186"/>
    <x v="156"/>
    <x v="38"/>
    <s v="May'23"/>
    <x v="10"/>
    <s v="Dhaka"/>
    <s v="Present"/>
    <n v="1"/>
    <n v="8000"/>
    <s v="Paid"/>
  </r>
  <r>
    <x v="4"/>
    <x v="0"/>
    <x v="0"/>
    <x v="186"/>
    <x v="156"/>
    <x v="38"/>
    <s v="May'23"/>
    <x v="10"/>
    <s v="Dhaka"/>
    <s v="Present"/>
    <n v="1"/>
    <n v="8000"/>
    <s v="Paid"/>
  </r>
  <r>
    <x v="5"/>
    <x v="1"/>
    <x v="0"/>
    <x v="186"/>
    <x v="156"/>
    <x v="38"/>
    <s v="May'23"/>
    <x v="10"/>
    <s v="Dhaka"/>
    <s v="Present"/>
    <n v="1"/>
    <n v="8000"/>
    <s v="Paid"/>
  </r>
  <r>
    <x v="6"/>
    <x v="1"/>
    <x v="0"/>
    <x v="186"/>
    <x v="156"/>
    <x v="38"/>
    <s v="May'23"/>
    <x v="10"/>
    <s v="Dhaka"/>
    <s v="Present"/>
    <n v="1"/>
    <n v="8000"/>
    <s v="Paid"/>
  </r>
  <r>
    <x v="7"/>
    <x v="1"/>
    <x v="0"/>
    <x v="186"/>
    <x v="156"/>
    <x v="38"/>
    <s v="May'23"/>
    <x v="10"/>
    <s v="Dhaka"/>
    <s v="Present"/>
    <n v="1"/>
    <n v="8000"/>
    <s v="Paid"/>
  </r>
  <r>
    <x v="8"/>
    <x v="1"/>
    <x v="0"/>
    <x v="186"/>
    <x v="156"/>
    <x v="38"/>
    <s v="May'23"/>
    <x v="10"/>
    <s v="Dhaka"/>
    <s v="Present"/>
    <n v="1"/>
    <n v="8000"/>
    <s v="Paid"/>
  </r>
  <r>
    <x v="9"/>
    <x v="1"/>
    <x v="0"/>
    <x v="186"/>
    <x v="156"/>
    <x v="38"/>
    <s v="May'23"/>
    <x v="10"/>
    <s v="Dhaka"/>
    <s v="Present"/>
    <n v="1"/>
    <n v="8000"/>
    <s v="Paid"/>
  </r>
  <r>
    <x v="10"/>
    <x v="1"/>
    <x v="0"/>
    <x v="186"/>
    <x v="156"/>
    <x v="38"/>
    <s v="May'23"/>
    <x v="10"/>
    <s v="Dhaka"/>
    <s v="Present"/>
    <n v="1"/>
    <n v="8000"/>
    <s v="Paid"/>
  </r>
  <r>
    <x v="29"/>
    <x v="1"/>
    <x v="0"/>
    <x v="186"/>
    <x v="156"/>
    <x v="38"/>
    <s v="May'23"/>
    <x v="10"/>
    <s v="Dhaka"/>
    <s v="Present"/>
    <n v="1"/>
    <n v="8000"/>
    <s v="Paid"/>
  </r>
  <r>
    <x v="11"/>
    <x v="1"/>
    <x v="0"/>
    <x v="186"/>
    <x v="156"/>
    <x v="38"/>
    <s v="May'23"/>
    <x v="10"/>
    <s v="Dhaka"/>
    <s v="Present"/>
    <n v="1"/>
    <n v="8000"/>
    <s v="Paid"/>
  </r>
  <r>
    <x v="12"/>
    <x v="1"/>
    <x v="0"/>
    <x v="186"/>
    <x v="156"/>
    <x v="38"/>
    <s v="May'23"/>
    <x v="10"/>
    <s v="Dhaka"/>
    <s v="Present"/>
    <n v="1"/>
    <n v="8000"/>
    <s v="Paid"/>
  </r>
  <r>
    <x v="27"/>
    <x v="1"/>
    <x v="0"/>
    <x v="186"/>
    <x v="156"/>
    <x v="38"/>
    <s v="May'23"/>
    <x v="10"/>
    <s v="Dhaka"/>
    <s v="Present"/>
    <n v="1"/>
    <n v="8000"/>
    <s v="Paid"/>
  </r>
  <r>
    <x v="28"/>
    <x v="1"/>
    <x v="0"/>
    <x v="186"/>
    <x v="156"/>
    <x v="38"/>
    <s v="May'23"/>
    <x v="10"/>
    <s v="Dhaka"/>
    <s v="Present"/>
    <n v="1"/>
    <n v="8000"/>
    <s v="Paid"/>
  </r>
  <r>
    <x v="13"/>
    <x v="0"/>
    <x v="0"/>
    <x v="186"/>
    <x v="156"/>
    <x v="38"/>
    <s v="May'23"/>
    <x v="10"/>
    <s v="Dhaka"/>
    <s v="Present"/>
    <n v="1"/>
    <n v="8000"/>
    <s v="Paid"/>
  </r>
  <r>
    <x v="30"/>
    <x v="0"/>
    <x v="0"/>
    <x v="186"/>
    <x v="156"/>
    <x v="38"/>
    <s v="May'23"/>
    <x v="10"/>
    <s v="Dhaka"/>
    <s v="Present"/>
    <n v="1"/>
    <n v="8000"/>
    <s v="Paid"/>
  </r>
  <r>
    <x v="21"/>
    <x v="3"/>
    <x v="0"/>
    <x v="186"/>
    <x v="156"/>
    <x v="38"/>
    <s v="May'23"/>
    <x v="10"/>
    <s v="Dhaka"/>
    <s v="Present"/>
    <n v="1"/>
    <n v="8000"/>
    <s v="Paid"/>
  </r>
  <r>
    <x v="4"/>
    <x v="0"/>
    <x v="1"/>
    <x v="187"/>
    <x v="156"/>
    <x v="38"/>
    <s v="May'23"/>
    <x v="10"/>
    <s v="Dhaka"/>
    <s v="Present"/>
    <n v="1"/>
    <n v="8000"/>
    <s v="Paid"/>
  </r>
  <r>
    <x v="11"/>
    <x v="1"/>
    <x v="1"/>
    <x v="187"/>
    <x v="156"/>
    <x v="38"/>
    <s v="May'23"/>
    <x v="10"/>
    <s v="Dhaka"/>
    <s v="Absent"/>
    <n v="0"/>
    <n v="0"/>
    <s v="Paid"/>
  </r>
  <r>
    <x v="12"/>
    <x v="1"/>
    <x v="1"/>
    <x v="187"/>
    <x v="156"/>
    <x v="38"/>
    <s v="May'23"/>
    <x v="10"/>
    <s v="Dhaka"/>
    <s v="Present"/>
    <n v="1"/>
    <n v="8000"/>
    <s v="Paid"/>
  </r>
  <r>
    <x v="13"/>
    <x v="0"/>
    <x v="1"/>
    <x v="187"/>
    <x v="156"/>
    <x v="38"/>
    <s v="May'23"/>
    <x v="10"/>
    <s v="Dhaka"/>
    <s v="Present"/>
    <n v="1"/>
    <n v="8000"/>
    <s v="Paid"/>
  </r>
  <r>
    <x v="27"/>
    <x v="1"/>
    <x v="1"/>
    <x v="187"/>
    <x v="156"/>
    <x v="38"/>
    <s v="May'23"/>
    <x v="10"/>
    <s v="Dhaka"/>
    <s v="Present"/>
    <n v="1"/>
    <n v="8000"/>
    <s v="Paid"/>
  </r>
  <r>
    <x v="3"/>
    <x v="1"/>
    <x v="2"/>
    <x v="133"/>
    <x v="157"/>
    <x v="38"/>
    <s v="May'23"/>
    <x v="10"/>
    <s v="Dhaka"/>
    <s v="Present"/>
    <n v="1"/>
    <n v="8000"/>
    <s v="Paid"/>
  </r>
  <r>
    <x v="2"/>
    <x v="2"/>
    <x v="2"/>
    <x v="133"/>
    <x v="157"/>
    <x v="38"/>
    <s v="May'23"/>
    <x v="10"/>
    <s v="Dhaka"/>
    <s v="Present"/>
    <n v="1"/>
    <n v="8000"/>
    <s v="Paid"/>
  </r>
  <r>
    <x v="5"/>
    <x v="1"/>
    <x v="2"/>
    <x v="133"/>
    <x v="157"/>
    <x v="38"/>
    <s v="May'23"/>
    <x v="10"/>
    <s v="Dhaka"/>
    <s v="Present"/>
    <n v="1"/>
    <n v="8000"/>
    <s v="Paid"/>
  </r>
  <r>
    <x v="6"/>
    <x v="1"/>
    <x v="2"/>
    <x v="133"/>
    <x v="157"/>
    <x v="38"/>
    <s v="May'23"/>
    <x v="10"/>
    <s v="Dhaka"/>
    <s v="Present"/>
    <n v="1"/>
    <n v="8000"/>
    <s v="Paid"/>
  </r>
  <r>
    <x v="8"/>
    <x v="1"/>
    <x v="2"/>
    <x v="133"/>
    <x v="157"/>
    <x v="38"/>
    <s v="May'23"/>
    <x v="10"/>
    <s v="Dhaka"/>
    <s v="Present"/>
    <n v="1"/>
    <n v="8000"/>
    <s v="Paid"/>
  </r>
  <r>
    <x v="9"/>
    <x v="1"/>
    <x v="2"/>
    <x v="133"/>
    <x v="157"/>
    <x v="38"/>
    <s v="May'23"/>
    <x v="10"/>
    <s v="Dhaka"/>
    <s v="Present"/>
    <n v="1"/>
    <n v="8000"/>
    <s v="Paid"/>
  </r>
  <r>
    <x v="1"/>
    <x v="1"/>
    <x v="0"/>
    <x v="188"/>
    <x v="158"/>
    <x v="38"/>
    <s v="Jun'23"/>
    <x v="10"/>
    <s v="Dhaka"/>
    <s v="Present"/>
    <n v="1"/>
    <n v="8000"/>
    <s v="Paid"/>
  </r>
  <r>
    <x v="2"/>
    <x v="2"/>
    <x v="0"/>
    <x v="188"/>
    <x v="158"/>
    <x v="38"/>
    <s v="Jun'23"/>
    <x v="10"/>
    <s v="Dhaka"/>
    <s v="Absent"/>
    <n v="0"/>
    <n v="0"/>
    <s v="Paid"/>
  </r>
  <r>
    <x v="3"/>
    <x v="1"/>
    <x v="0"/>
    <x v="188"/>
    <x v="158"/>
    <x v="38"/>
    <s v="Jun'23"/>
    <x v="10"/>
    <s v="Dhaka"/>
    <s v="Present"/>
    <n v="1"/>
    <n v="8000"/>
    <s v="Paid"/>
  </r>
  <r>
    <x v="4"/>
    <x v="0"/>
    <x v="0"/>
    <x v="188"/>
    <x v="158"/>
    <x v="38"/>
    <s v="Jun'23"/>
    <x v="10"/>
    <s v="Dhaka"/>
    <s v="Present"/>
    <n v="1"/>
    <n v="8000"/>
    <s v="Paid"/>
  </r>
  <r>
    <x v="5"/>
    <x v="1"/>
    <x v="0"/>
    <x v="188"/>
    <x v="158"/>
    <x v="38"/>
    <s v="Jun'23"/>
    <x v="10"/>
    <s v="Dhaka"/>
    <s v="Present"/>
    <n v="1"/>
    <n v="8000"/>
    <s v="Paid"/>
  </r>
  <r>
    <x v="6"/>
    <x v="1"/>
    <x v="0"/>
    <x v="188"/>
    <x v="158"/>
    <x v="38"/>
    <s v="Jun'23"/>
    <x v="10"/>
    <s v="Dhaka"/>
    <s v="Present"/>
    <n v="1"/>
    <n v="8000"/>
    <s v="Paid"/>
  </r>
  <r>
    <x v="7"/>
    <x v="1"/>
    <x v="0"/>
    <x v="188"/>
    <x v="158"/>
    <x v="38"/>
    <s v="Jun'23"/>
    <x v="10"/>
    <s v="Dhaka"/>
    <s v="Present"/>
    <n v="1"/>
    <n v="8000"/>
    <s v="Paid"/>
  </r>
  <r>
    <x v="8"/>
    <x v="1"/>
    <x v="0"/>
    <x v="188"/>
    <x v="158"/>
    <x v="38"/>
    <s v="Jun'23"/>
    <x v="10"/>
    <s v="Dhaka"/>
    <s v="Present"/>
    <n v="1"/>
    <n v="8000"/>
    <s v="Paid"/>
  </r>
  <r>
    <x v="9"/>
    <x v="1"/>
    <x v="0"/>
    <x v="188"/>
    <x v="158"/>
    <x v="38"/>
    <s v="Jun'23"/>
    <x v="10"/>
    <s v="Dhaka"/>
    <s v="Absent"/>
    <n v="0"/>
    <n v="0"/>
    <s v="Paid"/>
  </r>
  <r>
    <x v="10"/>
    <x v="1"/>
    <x v="0"/>
    <x v="188"/>
    <x v="158"/>
    <x v="38"/>
    <s v="Jun'23"/>
    <x v="10"/>
    <s v="Dhaka"/>
    <s v="Present"/>
    <n v="1"/>
    <n v="8000"/>
    <s v="Paid"/>
  </r>
  <r>
    <x v="29"/>
    <x v="1"/>
    <x v="0"/>
    <x v="188"/>
    <x v="158"/>
    <x v="38"/>
    <s v="Jun'23"/>
    <x v="10"/>
    <s v="Dhaka"/>
    <s v="Present"/>
    <n v="1"/>
    <n v="8000"/>
    <s v="Paid"/>
  </r>
  <r>
    <x v="11"/>
    <x v="1"/>
    <x v="0"/>
    <x v="188"/>
    <x v="158"/>
    <x v="38"/>
    <s v="Jun'23"/>
    <x v="10"/>
    <s v="Dhaka"/>
    <s v="Absent"/>
    <n v="0"/>
    <n v="0"/>
    <s v="Paid"/>
  </r>
  <r>
    <x v="12"/>
    <x v="1"/>
    <x v="0"/>
    <x v="188"/>
    <x v="158"/>
    <x v="38"/>
    <s v="Jun'23"/>
    <x v="10"/>
    <s v="Dhaka"/>
    <s v="Present"/>
    <n v="1"/>
    <n v="8000"/>
    <s v="Paid"/>
  </r>
  <r>
    <x v="27"/>
    <x v="1"/>
    <x v="0"/>
    <x v="188"/>
    <x v="158"/>
    <x v="38"/>
    <s v="Jun'23"/>
    <x v="10"/>
    <s v="Dhaka"/>
    <s v="Present"/>
    <n v="1"/>
    <n v="8000"/>
    <s v="Paid"/>
  </r>
  <r>
    <x v="28"/>
    <x v="1"/>
    <x v="0"/>
    <x v="188"/>
    <x v="158"/>
    <x v="38"/>
    <s v="Jun'23"/>
    <x v="10"/>
    <s v="Dhaka"/>
    <s v="Present"/>
    <n v="1"/>
    <n v="8000"/>
    <s v="Paid"/>
  </r>
  <r>
    <x v="13"/>
    <x v="0"/>
    <x v="0"/>
    <x v="188"/>
    <x v="158"/>
    <x v="38"/>
    <s v="Jun'23"/>
    <x v="10"/>
    <s v="Dhaka"/>
    <s v="Present"/>
    <n v="1"/>
    <n v="8000"/>
    <s v="Paid"/>
  </r>
  <r>
    <x v="30"/>
    <x v="0"/>
    <x v="0"/>
    <x v="188"/>
    <x v="158"/>
    <x v="38"/>
    <s v="Jun'23"/>
    <x v="10"/>
    <s v="Dhaka"/>
    <s v="Present"/>
    <n v="1"/>
    <n v="8000"/>
    <s v="Paid"/>
  </r>
  <r>
    <x v="21"/>
    <x v="3"/>
    <x v="0"/>
    <x v="188"/>
    <x v="158"/>
    <x v="38"/>
    <s v="Jun'23"/>
    <x v="10"/>
    <s v="Dhaka"/>
    <s v="Present"/>
    <n v="1"/>
    <n v="8000"/>
    <s v="Paid"/>
  </r>
  <r>
    <x v="3"/>
    <x v="1"/>
    <x v="2"/>
    <x v="137"/>
    <x v="158"/>
    <x v="38"/>
    <s v="Jun'23"/>
    <x v="10"/>
    <s v="Dhaka"/>
    <s v="Present"/>
    <n v="1"/>
    <n v="8000"/>
    <s v="Paid"/>
  </r>
  <r>
    <x v="2"/>
    <x v="2"/>
    <x v="2"/>
    <x v="137"/>
    <x v="158"/>
    <x v="38"/>
    <s v="Jun'23"/>
    <x v="10"/>
    <s v="Dhaka"/>
    <s v="Absent"/>
    <n v="0"/>
    <n v="0"/>
    <s v="Paid"/>
  </r>
  <r>
    <x v="5"/>
    <x v="1"/>
    <x v="2"/>
    <x v="137"/>
    <x v="158"/>
    <x v="38"/>
    <s v="Jun'23"/>
    <x v="10"/>
    <s v="Dhaka"/>
    <s v="Present"/>
    <n v="1"/>
    <n v="8000"/>
    <s v="Paid"/>
  </r>
  <r>
    <x v="6"/>
    <x v="1"/>
    <x v="2"/>
    <x v="137"/>
    <x v="158"/>
    <x v="38"/>
    <s v="Jun'23"/>
    <x v="10"/>
    <s v="Dhaka"/>
    <s v="Present"/>
    <n v="1"/>
    <n v="8000"/>
    <s v="Paid"/>
  </r>
  <r>
    <x v="8"/>
    <x v="1"/>
    <x v="2"/>
    <x v="137"/>
    <x v="158"/>
    <x v="38"/>
    <s v="Jun'23"/>
    <x v="10"/>
    <s v="Dhaka"/>
    <s v="Present"/>
    <n v="1"/>
    <n v="8000"/>
    <s v="Paid"/>
  </r>
  <r>
    <x v="9"/>
    <x v="1"/>
    <x v="2"/>
    <x v="137"/>
    <x v="158"/>
    <x v="38"/>
    <s v="Jun'23"/>
    <x v="10"/>
    <s v="Dhaka"/>
    <s v="Absent"/>
    <n v="0"/>
    <n v="0"/>
    <s v="Paid"/>
  </r>
  <r>
    <x v="5"/>
    <x v="1"/>
    <x v="3"/>
    <x v="189"/>
    <x v="158"/>
    <x v="38"/>
    <s v="Jun'23"/>
    <x v="10"/>
    <s v="Dhaka"/>
    <s v="Present"/>
    <n v="1"/>
    <n v="8000"/>
    <s v="Paid"/>
  </r>
  <r>
    <x v="3"/>
    <x v="1"/>
    <x v="3"/>
    <x v="189"/>
    <x v="158"/>
    <x v="38"/>
    <s v="Jun'23"/>
    <x v="10"/>
    <s v="Dhaka"/>
    <s v="Present"/>
    <n v="1"/>
    <n v="8000"/>
    <s v="Paid"/>
  </r>
  <r>
    <x v="7"/>
    <x v="1"/>
    <x v="3"/>
    <x v="189"/>
    <x v="158"/>
    <x v="38"/>
    <s v="Jun'23"/>
    <x v="10"/>
    <s v="Dhaka"/>
    <s v="Present"/>
    <n v="1"/>
    <n v="8000"/>
    <s v="Paid"/>
  </r>
  <r>
    <x v="10"/>
    <x v="1"/>
    <x v="3"/>
    <x v="189"/>
    <x v="158"/>
    <x v="38"/>
    <s v="Jun'23"/>
    <x v="10"/>
    <s v="Dhaka"/>
    <s v="Present"/>
    <n v="1"/>
    <n v="8000"/>
    <s v="Paid"/>
  </r>
  <r>
    <x v="30"/>
    <x v="0"/>
    <x v="3"/>
    <x v="189"/>
    <x v="158"/>
    <x v="38"/>
    <s v="Jun'23"/>
    <x v="10"/>
    <s v="Dhaka"/>
    <s v="Present"/>
    <n v="1"/>
    <n v="8000"/>
    <s v="Paid"/>
  </r>
  <r>
    <x v="6"/>
    <x v="1"/>
    <x v="5"/>
    <x v="190"/>
    <x v="159"/>
    <x v="39"/>
    <s v="Jul'23"/>
    <x v="10"/>
    <s v="Dhaka"/>
    <s v="Present"/>
    <n v="1"/>
    <n v="8000"/>
    <s v="Paid"/>
  </r>
  <r>
    <x v="22"/>
    <x v="4"/>
    <x v="5"/>
    <x v="190"/>
    <x v="159"/>
    <x v="39"/>
    <s v="Jul'23"/>
    <x v="10"/>
    <s v="Dhaka"/>
    <s v="Present"/>
    <n v="1"/>
    <n v="8000"/>
    <s v="Paid"/>
  </r>
  <r>
    <x v="23"/>
    <x v="5"/>
    <x v="5"/>
    <x v="190"/>
    <x v="159"/>
    <x v="39"/>
    <s v="Jul'23"/>
    <x v="10"/>
    <s v="Dhaka"/>
    <s v="Present"/>
    <n v="1"/>
    <n v="8000"/>
    <s v="Paid"/>
  </r>
  <r>
    <x v="24"/>
    <x v="4"/>
    <x v="5"/>
    <x v="190"/>
    <x v="159"/>
    <x v="39"/>
    <s v="Jul'23"/>
    <x v="10"/>
    <s v="Dhaka"/>
    <s v="Present"/>
    <n v="1"/>
    <n v="8000"/>
    <s v="Paid"/>
  </r>
  <r>
    <x v="25"/>
    <x v="4"/>
    <x v="5"/>
    <x v="190"/>
    <x v="159"/>
    <x v="39"/>
    <s v="Jul'23"/>
    <x v="10"/>
    <s v="Dhaka"/>
    <s v="Present"/>
    <n v="1"/>
    <n v="8000"/>
    <s v="Paid"/>
  </r>
  <r>
    <x v="26"/>
    <x v="4"/>
    <x v="5"/>
    <x v="190"/>
    <x v="159"/>
    <x v="39"/>
    <s v="Jul'23"/>
    <x v="10"/>
    <s v="Dhaka"/>
    <s v="Present"/>
    <n v="1"/>
    <n v="8000"/>
    <s v="Paid"/>
  </r>
  <r>
    <x v="21"/>
    <x v="3"/>
    <x v="5"/>
    <x v="190"/>
    <x v="159"/>
    <x v="39"/>
    <s v="Jul'23"/>
    <x v="10"/>
    <s v="Dhaka"/>
    <s v="Present"/>
    <n v="1"/>
    <n v="8000"/>
    <s v="Paid"/>
  </r>
  <r>
    <x v="4"/>
    <x v="0"/>
    <x v="1"/>
    <x v="191"/>
    <x v="160"/>
    <x v="39"/>
    <s v="Jul'23"/>
    <x v="10"/>
    <s v="Dhaka"/>
    <s v="Present"/>
    <n v="1"/>
    <n v="8000"/>
    <s v="Paid"/>
  </r>
  <r>
    <x v="11"/>
    <x v="1"/>
    <x v="1"/>
    <x v="191"/>
    <x v="160"/>
    <x v="39"/>
    <s v="Jul'23"/>
    <x v="10"/>
    <s v="Dhaka"/>
    <s v="Absent"/>
    <n v="0"/>
    <n v="0"/>
    <s v="Paid"/>
  </r>
  <r>
    <x v="12"/>
    <x v="1"/>
    <x v="1"/>
    <x v="191"/>
    <x v="160"/>
    <x v="39"/>
    <s v="Jul'23"/>
    <x v="10"/>
    <s v="Dhaka"/>
    <s v="Absent"/>
    <n v="0"/>
    <n v="0"/>
    <s v="Paid"/>
  </r>
  <r>
    <x v="13"/>
    <x v="0"/>
    <x v="1"/>
    <x v="191"/>
    <x v="160"/>
    <x v="39"/>
    <s v="Jul'23"/>
    <x v="10"/>
    <s v="Dhaka"/>
    <s v="Present"/>
    <n v="1"/>
    <n v="8000"/>
    <s v="Paid"/>
  </r>
  <r>
    <x v="27"/>
    <x v="1"/>
    <x v="1"/>
    <x v="191"/>
    <x v="160"/>
    <x v="39"/>
    <s v="Jul'23"/>
    <x v="10"/>
    <s v="Dhaka"/>
    <s v="Absent"/>
    <n v="0"/>
    <n v="0"/>
    <s v="Paid"/>
  </r>
  <r>
    <x v="1"/>
    <x v="1"/>
    <x v="0"/>
    <x v="192"/>
    <x v="160"/>
    <x v="39"/>
    <s v="Jul'23"/>
    <x v="10"/>
    <s v="Dhaka"/>
    <s v="Present"/>
    <n v="1"/>
    <n v="8000"/>
    <s v="Paid"/>
  </r>
  <r>
    <x v="2"/>
    <x v="2"/>
    <x v="0"/>
    <x v="192"/>
    <x v="160"/>
    <x v="39"/>
    <s v="Jul'23"/>
    <x v="10"/>
    <s v="Dhaka"/>
    <s v="Absent"/>
    <n v="0"/>
    <n v="0"/>
    <s v="Paid"/>
  </r>
  <r>
    <x v="3"/>
    <x v="1"/>
    <x v="0"/>
    <x v="192"/>
    <x v="160"/>
    <x v="39"/>
    <s v="Jul'23"/>
    <x v="10"/>
    <s v="Dhaka"/>
    <s v="Present"/>
    <n v="1"/>
    <n v="8000"/>
    <s v="Paid"/>
  </r>
  <r>
    <x v="4"/>
    <x v="0"/>
    <x v="0"/>
    <x v="192"/>
    <x v="160"/>
    <x v="39"/>
    <s v="Jul'23"/>
    <x v="10"/>
    <s v="Dhaka"/>
    <s v="Absent"/>
    <n v="0"/>
    <n v="0"/>
    <s v="Paid"/>
  </r>
  <r>
    <x v="5"/>
    <x v="1"/>
    <x v="0"/>
    <x v="192"/>
    <x v="160"/>
    <x v="39"/>
    <s v="Jul'23"/>
    <x v="10"/>
    <s v="Dhaka"/>
    <s v="Present"/>
    <n v="1"/>
    <n v="8000"/>
    <s v="Paid"/>
  </r>
  <r>
    <x v="6"/>
    <x v="1"/>
    <x v="0"/>
    <x v="192"/>
    <x v="160"/>
    <x v="39"/>
    <s v="Jul'23"/>
    <x v="10"/>
    <s v="Dhaka"/>
    <s v="Present"/>
    <n v="1"/>
    <n v="8000"/>
    <s v="Paid"/>
  </r>
  <r>
    <x v="7"/>
    <x v="1"/>
    <x v="0"/>
    <x v="192"/>
    <x v="160"/>
    <x v="39"/>
    <s v="Jul'23"/>
    <x v="10"/>
    <s v="Dhaka"/>
    <s v="Absent"/>
    <n v="0"/>
    <n v="0"/>
    <s v="Paid"/>
  </r>
  <r>
    <x v="8"/>
    <x v="1"/>
    <x v="0"/>
    <x v="192"/>
    <x v="160"/>
    <x v="39"/>
    <s v="Jul'23"/>
    <x v="10"/>
    <s v="Dhaka"/>
    <s v="Present"/>
    <n v="1"/>
    <n v="8000"/>
    <s v="Paid"/>
  </r>
  <r>
    <x v="9"/>
    <x v="1"/>
    <x v="0"/>
    <x v="192"/>
    <x v="160"/>
    <x v="39"/>
    <s v="Jul'23"/>
    <x v="10"/>
    <s v="Dhaka"/>
    <s v="Absent"/>
    <n v="0"/>
    <n v="0"/>
    <s v="Paid"/>
  </r>
  <r>
    <x v="10"/>
    <x v="1"/>
    <x v="0"/>
    <x v="192"/>
    <x v="160"/>
    <x v="39"/>
    <s v="Jul'23"/>
    <x v="10"/>
    <s v="Dhaka"/>
    <s v="Present"/>
    <n v="1"/>
    <n v="8000"/>
    <s v="Paid"/>
  </r>
  <r>
    <x v="29"/>
    <x v="1"/>
    <x v="0"/>
    <x v="192"/>
    <x v="160"/>
    <x v="39"/>
    <s v="Jul'23"/>
    <x v="10"/>
    <s v="Dhaka"/>
    <s v="Present"/>
    <n v="1"/>
    <n v="8000"/>
    <s v="Paid"/>
  </r>
  <r>
    <x v="11"/>
    <x v="1"/>
    <x v="0"/>
    <x v="192"/>
    <x v="160"/>
    <x v="39"/>
    <s v="Jul'23"/>
    <x v="10"/>
    <s v="Dhaka"/>
    <s v="Absent"/>
    <n v="0"/>
    <n v="0"/>
    <s v="Paid"/>
  </r>
  <r>
    <x v="12"/>
    <x v="1"/>
    <x v="0"/>
    <x v="192"/>
    <x v="160"/>
    <x v="39"/>
    <s v="Jul'23"/>
    <x v="10"/>
    <s v="Dhaka"/>
    <s v="Absent"/>
    <n v="0"/>
    <n v="0"/>
    <s v="Paid"/>
  </r>
  <r>
    <x v="27"/>
    <x v="1"/>
    <x v="0"/>
    <x v="192"/>
    <x v="160"/>
    <x v="39"/>
    <s v="Jul'23"/>
    <x v="10"/>
    <s v="Dhaka"/>
    <s v="Absent"/>
    <n v="0"/>
    <n v="0"/>
    <s v="Paid"/>
  </r>
  <r>
    <x v="28"/>
    <x v="1"/>
    <x v="0"/>
    <x v="192"/>
    <x v="160"/>
    <x v="39"/>
    <s v="Jul'23"/>
    <x v="10"/>
    <s v="Dhaka"/>
    <s v="Present"/>
    <n v="1"/>
    <n v="8000"/>
    <s v="Paid"/>
  </r>
  <r>
    <x v="13"/>
    <x v="0"/>
    <x v="0"/>
    <x v="192"/>
    <x v="160"/>
    <x v="39"/>
    <s v="Jul'23"/>
    <x v="10"/>
    <s v="Dhaka"/>
    <s v="Absent"/>
    <n v="0"/>
    <n v="0"/>
    <s v="Paid"/>
  </r>
  <r>
    <x v="30"/>
    <x v="0"/>
    <x v="0"/>
    <x v="192"/>
    <x v="160"/>
    <x v="39"/>
    <s v="Jul'23"/>
    <x v="10"/>
    <s v="Dhaka"/>
    <s v="Present"/>
    <n v="1"/>
    <n v="8000"/>
    <s v="Paid"/>
  </r>
  <r>
    <x v="21"/>
    <x v="3"/>
    <x v="0"/>
    <x v="192"/>
    <x v="160"/>
    <x v="39"/>
    <s v="Jul'23"/>
    <x v="10"/>
    <s v="Dhaka"/>
    <s v="Present"/>
    <n v="1"/>
    <n v="8000"/>
    <s v="Paid"/>
  </r>
  <r>
    <x v="3"/>
    <x v="1"/>
    <x v="2"/>
    <x v="140"/>
    <x v="161"/>
    <x v="39"/>
    <s v="Jul'23"/>
    <x v="10"/>
    <s v="Dhaka"/>
    <s v="Present"/>
    <n v="1"/>
    <n v="8000"/>
    <s v="Paid"/>
  </r>
  <r>
    <x v="2"/>
    <x v="2"/>
    <x v="2"/>
    <x v="140"/>
    <x v="161"/>
    <x v="39"/>
    <s v="Jul'23"/>
    <x v="10"/>
    <s v="Dhaka"/>
    <s v="Absent"/>
    <n v="0"/>
    <n v="0"/>
    <s v="Paid"/>
  </r>
  <r>
    <x v="5"/>
    <x v="1"/>
    <x v="2"/>
    <x v="140"/>
    <x v="161"/>
    <x v="39"/>
    <s v="Jul'23"/>
    <x v="10"/>
    <s v="Dhaka"/>
    <s v="Present"/>
    <n v="1"/>
    <n v="8000"/>
    <s v="Paid"/>
  </r>
  <r>
    <x v="6"/>
    <x v="1"/>
    <x v="2"/>
    <x v="140"/>
    <x v="161"/>
    <x v="39"/>
    <s v="Jul'23"/>
    <x v="10"/>
    <s v="Dhaka"/>
    <s v="Present"/>
    <n v="1"/>
    <n v="8000"/>
    <s v="Paid"/>
  </r>
  <r>
    <x v="8"/>
    <x v="1"/>
    <x v="2"/>
    <x v="140"/>
    <x v="161"/>
    <x v="39"/>
    <s v="Jul'23"/>
    <x v="10"/>
    <s v="Dhaka"/>
    <s v="Present"/>
    <n v="1"/>
    <n v="8000"/>
    <s v="Paid"/>
  </r>
  <r>
    <x v="9"/>
    <x v="1"/>
    <x v="2"/>
    <x v="140"/>
    <x v="161"/>
    <x v="39"/>
    <s v="Jul'23"/>
    <x v="10"/>
    <s v="Dhaka"/>
    <s v="Absent"/>
    <n v="0"/>
    <n v="0"/>
    <s v="Paid"/>
  </r>
  <r>
    <x v="1"/>
    <x v="1"/>
    <x v="0"/>
    <x v="193"/>
    <x v="162"/>
    <x v="39"/>
    <s v="Aug'23"/>
    <x v="10"/>
    <s v="Dhaka"/>
    <s v="Present"/>
    <n v="1"/>
    <n v="8000"/>
    <s v="Paid"/>
  </r>
  <r>
    <x v="2"/>
    <x v="2"/>
    <x v="0"/>
    <x v="193"/>
    <x v="162"/>
    <x v="39"/>
    <s v="Aug'23"/>
    <x v="10"/>
    <s v="Dhaka"/>
    <s v="Present"/>
    <n v="1"/>
    <n v="8000"/>
    <s v="Paid"/>
  </r>
  <r>
    <x v="3"/>
    <x v="1"/>
    <x v="0"/>
    <x v="193"/>
    <x v="162"/>
    <x v="39"/>
    <s v="Aug'23"/>
    <x v="10"/>
    <s v="Dhaka"/>
    <s v="Present"/>
    <n v="1"/>
    <n v="8000"/>
    <s v="Paid"/>
  </r>
  <r>
    <x v="4"/>
    <x v="0"/>
    <x v="0"/>
    <x v="193"/>
    <x v="162"/>
    <x v="39"/>
    <s v="Aug'23"/>
    <x v="10"/>
    <s v="Dhaka"/>
    <s v="Absent"/>
    <n v="0"/>
    <n v="0"/>
    <s v="Paid"/>
  </r>
  <r>
    <x v="5"/>
    <x v="1"/>
    <x v="0"/>
    <x v="193"/>
    <x v="162"/>
    <x v="39"/>
    <s v="Aug'23"/>
    <x v="10"/>
    <s v="Dhaka"/>
    <s v="Present"/>
    <n v="1"/>
    <n v="8000"/>
    <s v="Paid"/>
  </r>
  <r>
    <x v="6"/>
    <x v="1"/>
    <x v="0"/>
    <x v="193"/>
    <x v="162"/>
    <x v="39"/>
    <s v="Aug'23"/>
    <x v="10"/>
    <s v="Dhaka"/>
    <s v="Present"/>
    <n v="1"/>
    <n v="8000"/>
    <s v="Paid"/>
  </r>
  <r>
    <x v="7"/>
    <x v="1"/>
    <x v="0"/>
    <x v="193"/>
    <x v="162"/>
    <x v="39"/>
    <s v="Aug'23"/>
    <x v="10"/>
    <s v="Dhaka"/>
    <s v="Present"/>
    <n v="1"/>
    <n v="8000"/>
    <s v="Paid"/>
  </r>
  <r>
    <x v="8"/>
    <x v="1"/>
    <x v="0"/>
    <x v="193"/>
    <x v="162"/>
    <x v="39"/>
    <s v="Aug'23"/>
    <x v="10"/>
    <s v="Dhaka"/>
    <s v="Present"/>
    <n v="1"/>
    <n v="8000"/>
    <s v="Paid"/>
  </r>
  <r>
    <x v="9"/>
    <x v="1"/>
    <x v="0"/>
    <x v="193"/>
    <x v="162"/>
    <x v="39"/>
    <s v="Aug'23"/>
    <x v="10"/>
    <s v="Dhaka"/>
    <s v="Present"/>
    <n v="1"/>
    <n v="8000"/>
    <s v="Paid"/>
  </r>
  <r>
    <x v="10"/>
    <x v="1"/>
    <x v="0"/>
    <x v="193"/>
    <x v="162"/>
    <x v="39"/>
    <s v="Aug'23"/>
    <x v="10"/>
    <s v="Dhaka"/>
    <s v="Present"/>
    <n v="1"/>
    <n v="8000"/>
    <s v="Paid"/>
  </r>
  <r>
    <x v="29"/>
    <x v="1"/>
    <x v="0"/>
    <x v="193"/>
    <x v="162"/>
    <x v="39"/>
    <s v="Aug'23"/>
    <x v="10"/>
    <s v="Dhaka"/>
    <s v="Present"/>
    <n v="1"/>
    <n v="8000"/>
    <s v="Paid"/>
  </r>
  <r>
    <x v="12"/>
    <x v="1"/>
    <x v="0"/>
    <x v="193"/>
    <x v="162"/>
    <x v="39"/>
    <s v="Aug'23"/>
    <x v="10"/>
    <s v="Dhaka"/>
    <s v="Present"/>
    <n v="1"/>
    <n v="8000"/>
    <s v="Paid"/>
  </r>
  <r>
    <x v="27"/>
    <x v="1"/>
    <x v="0"/>
    <x v="193"/>
    <x v="162"/>
    <x v="39"/>
    <s v="Aug'23"/>
    <x v="10"/>
    <s v="Dhaka"/>
    <s v="Present"/>
    <n v="1"/>
    <n v="8000"/>
    <s v="Paid"/>
  </r>
  <r>
    <x v="28"/>
    <x v="1"/>
    <x v="0"/>
    <x v="193"/>
    <x v="162"/>
    <x v="39"/>
    <s v="Aug'23"/>
    <x v="10"/>
    <s v="Dhaka"/>
    <s v="Present"/>
    <n v="1"/>
    <n v="8000"/>
    <s v="Paid"/>
  </r>
  <r>
    <x v="13"/>
    <x v="0"/>
    <x v="0"/>
    <x v="193"/>
    <x v="162"/>
    <x v="39"/>
    <s v="Aug'23"/>
    <x v="10"/>
    <s v="Dhaka"/>
    <s v="Present"/>
    <n v="1"/>
    <n v="8000"/>
    <s v="Paid"/>
  </r>
  <r>
    <x v="30"/>
    <x v="0"/>
    <x v="0"/>
    <x v="193"/>
    <x v="162"/>
    <x v="39"/>
    <s v="Aug'23"/>
    <x v="10"/>
    <s v="Dhaka"/>
    <s v="Present"/>
    <n v="1"/>
    <n v="8000"/>
    <s v="Paid"/>
  </r>
  <r>
    <x v="21"/>
    <x v="3"/>
    <x v="0"/>
    <x v="193"/>
    <x v="162"/>
    <x v="39"/>
    <s v="Aug'23"/>
    <x v="10"/>
    <s v="Dhaka"/>
    <s v="Present"/>
    <n v="1"/>
    <n v="8000"/>
    <s v="Paid"/>
  </r>
  <r>
    <x v="3"/>
    <x v="1"/>
    <x v="2"/>
    <x v="141"/>
    <x v="163"/>
    <x v="39"/>
    <s v="Aug'23"/>
    <x v="10"/>
    <s v="Dhaka"/>
    <s v="Present"/>
    <n v="1"/>
    <n v="8000"/>
    <s v="Paid"/>
  </r>
  <r>
    <x v="2"/>
    <x v="2"/>
    <x v="2"/>
    <x v="141"/>
    <x v="163"/>
    <x v="39"/>
    <s v="Aug'23"/>
    <x v="10"/>
    <s v="Dhaka"/>
    <s v="Present"/>
    <n v="1"/>
    <n v="8000"/>
    <s v="Paid"/>
  </r>
  <r>
    <x v="5"/>
    <x v="1"/>
    <x v="2"/>
    <x v="141"/>
    <x v="163"/>
    <x v="39"/>
    <s v="Aug'23"/>
    <x v="10"/>
    <s v="Dhaka"/>
    <s v="Present"/>
    <n v="1"/>
    <n v="8000"/>
    <s v="Paid"/>
  </r>
  <r>
    <x v="6"/>
    <x v="1"/>
    <x v="2"/>
    <x v="141"/>
    <x v="163"/>
    <x v="39"/>
    <s v="Aug'23"/>
    <x v="10"/>
    <s v="Dhaka"/>
    <s v="Present"/>
    <n v="1"/>
    <n v="8000"/>
    <s v="Paid"/>
  </r>
  <r>
    <x v="7"/>
    <x v="1"/>
    <x v="2"/>
    <x v="141"/>
    <x v="163"/>
    <x v="39"/>
    <s v="Aug'23"/>
    <x v="10"/>
    <s v="Dhaka"/>
    <s v="Present"/>
    <n v="1"/>
    <n v="8000"/>
    <s v="Paid"/>
  </r>
  <r>
    <x v="8"/>
    <x v="1"/>
    <x v="2"/>
    <x v="141"/>
    <x v="163"/>
    <x v="39"/>
    <s v="Aug'23"/>
    <x v="10"/>
    <s v="Dhaka"/>
    <s v="Present"/>
    <n v="1"/>
    <n v="8000"/>
    <s v="Paid"/>
  </r>
  <r>
    <x v="9"/>
    <x v="1"/>
    <x v="2"/>
    <x v="141"/>
    <x v="163"/>
    <x v="39"/>
    <s v="Aug'23"/>
    <x v="10"/>
    <s v="Dhaka"/>
    <s v="Absent"/>
    <n v="0"/>
    <n v="0"/>
    <s v="Paid"/>
  </r>
  <r>
    <x v="3"/>
    <x v="1"/>
    <x v="2"/>
    <x v="143"/>
    <x v="164"/>
    <x v="39"/>
    <s v="Sep'23"/>
    <x v="10"/>
    <s v="Dhaka"/>
    <s v="Present"/>
    <n v="1"/>
    <n v="8000"/>
    <s v="Paid"/>
  </r>
  <r>
    <x v="2"/>
    <x v="2"/>
    <x v="2"/>
    <x v="143"/>
    <x v="164"/>
    <x v="39"/>
    <s v="Sep'23"/>
    <x v="10"/>
    <s v="Dhaka"/>
    <s v="Present"/>
    <n v="1"/>
    <n v="8000"/>
    <s v="Paid"/>
  </r>
  <r>
    <x v="5"/>
    <x v="1"/>
    <x v="2"/>
    <x v="143"/>
    <x v="164"/>
    <x v="39"/>
    <s v="Sep'23"/>
    <x v="10"/>
    <s v="Dhaka"/>
    <s v="Absent"/>
    <n v="0"/>
    <n v="0"/>
    <s v="Paid"/>
  </r>
  <r>
    <x v="6"/>
    <x v="1"/>
    <x v="2"/>
    <x v="143"/>
    <x v="164"/>
    <x v="39"/>
    <s v="Sep'23"/>
    <x v="10"/>
    <s v="Dhaka"/>
    <s v="Present"/>
    <n v="1"/>
    <n v="8000"/>
    <s v="Paid"/>
  </r>
  <r>
    <x v="7"/>
    <x v="1"/>
    <x v="2"/>
    <x v="143"/>
    <x v="164"/>
    <x v="39"/>
    <s v="Sep'23"/>
    <x v="10"/>
    <s v="Dhaka"/>
    <s v="Present"/>
    <n v="1"/>
    <n v="8000"/>
    <s v="Paid"/>
  </r>
  <r>
    <x v="8"/>
    <x v="1"/>
    <x v="2"/>
    <x v="143"/>
    <x v="164"/>
    <x v="39"/>
    <s v="Sep'23"/>
    <x v="10"/>
    <s v="Dhaka"/>
    <s v="Present"/>
    <n v="1"/>
    <n v="8000"/>
    <s v="Paid"/>
  </r>
  <r>
    <x v="9"/>
    <x v="1"/>
    <x v="2"/>
    <x v="143"/>
    <x v="164"/>
    <x v="39"/>
    <s v="Sep'23"/>
    <x v="10"/>
    <s v="Dhaka"/>
    <s v="Present"/>
    <n v="1"/>
    <n v="8000"/>
    <s v="Paid"/>
  </r>
  <r>
    <x v="4"/>
    <x v="0"/>
    <x v="1"/>
    <x v="194"/>
    <x v="165"/>
    <x v="40"/>
    <s v="Oct'23"/>
    <x v="10"/>
    <s v="Dhaka"/>
    <s v="Present"/>
    <n v="1"/>
    <n v="8000"/>
    <s v="Paid"/>
  </r>
  <r>
    <x v="11"/>
    <x v="1"/>
    <x v="1"/>
    <x v="194"/>
    <x v="165"/>
    <x v="40"/>
    <s v="Oct'23"/>
    <x v="10"/>
    <s v="Dhaka"/>
    <s v="Absent"/>
    <n v="0"/>
    <n v="0"/>
    <s v="Paid"/>
  </r>
  <r>
    <x v="12"/>
    <x v="1"/>
    <x v="1"/>
    <x v="194"/>
    <x v="165"/>
    <x v="40"/>
    <s v="Oct'23"/>
    <x v="10"/>
    <s v="Dhaka"/>
    <s v="Present"/>
    <n v="1"/>
    <n v="8000"/>
    <s v="Paid"/>
  </r>
  <r>
    <x v="13"/>
    <x v="0"/>
    <x v="1"/>
    <x v="194"/>
    <x v="165"/>
    <x v="40"/>
    <s v="Oct'23"/>
    <x v="10"/>
    <s v="Dhaka"/>
    <s v="Present"/>
    <n v="1"/>
    <n v="8000"/>
    <s v="Paid"/>
  </r>
  <r>
    <x v="27"/>
    <x v="1"/>
    <x v="1"/>
    <x v="194"/>
    <x v="165"/>
    <x v="40"/>
    <s v="Oct'23"/>
    <x v="10"/>
    <s v="Dhaka"/>
    <s v="Present"/>
    <n v="1"/>
    <n v="8000"/>
    <s v="Paid"/>
  </r>
  <r>
    <x v="1"/>
    <x v="1"/>
    <x v="0"/>
    <x v="195"/>
    <x v="166"/>
    <x v="40"/>
    <s v="Oct'23"/>
    <x v="10"/>
    <s v="Dhaka"/>
    <s v="Present"/>
    <n v="1"/>
    <n v="8000"/>
    <s v="Paid"/>
  </r>
  <r>
    <x v="2"/>
    <x v="2"/>
    <x v="0"/>
    <x v="195"/>
    <x v="166"/>
    <x v="40"/>
    <s v="Oct'23"/>
    <x v="10"/>
    <s v="Dhaka"/>
    <s v="Present"/>
    <n v="1"/>
    <n v="8000"/>
    <s v="Paid"/>
  </r>
  <r>
    <x v="3"/>
    <x v="1"/>
    <x v="0"/>
    <x v="195"/>
    <x v="166"/>
    <x v="40"/>
    <s v="Oct'23"/>
    <x v="10"/>
    <s v="Dhaka"/>
    <s v="Present"/>
    <n v="1"/>
    <n v="8000"/>
    <s v="Paid"/>
  </r>
  <r>
    <x v="4"/>
    <x v="0"/>
    <x v="0"/>
    <x v="195"/>
    <x v="166"/>
    <x v="40"/>
    <s v="Oct'23"/>
    <x v="10"/>
    <s v="Dhaka"/>
    <s v="Present"/>
    <n v="1"/>
    <n v="8000"/>
    <s v="Paid"/>
  </r>
  <r>
    <x v="5"/>
    <x v="1"/>
    <x v="0"/>
    <x v="195"/>
    <x v="166"/>
    <x v="40"/>
    <s v="Oct'23"/>
    <x v="10"/>
    <s v="Dhaka"/>
    <s v="Absent"/>
    <n v="0"/>
    <n v="0"/>
    <s v="Paid"/>
  </r>
  <r>
    <x v="6"/>
    <x v="1"/>
    <x v="0"/>
    <x v="195"/>
    <x v="166"/>
    <x v="40"/>
    <s v="Oct'23"/>
    <x v="10"/>
    <s v="Dhaka"/>
    <s v="Present"/>
    <n v="1"/>
    <n v="8000"/>
    <s v="Paid"/>
  </r>
  <r>
    <x v="7"/>
    <x v="1"/>
    <x v="0"/>
    <x v="195"/>
    <x v="166"/>
    <x v="40"/>
    <s v="Oct'23"/>
    <x v="10"/>
    <s v="Dhaka"/>
    <s v="Present"/>
    <n v="1"/>
    <n v="8000"/>
    <s v="Paid"/>
  </r>
  <r>
    <x v="8"/>
    <x v="1"/>
    <x v="0"/>
    <x v="195"/>
    <x v="166"/>
    <x v="40"/>
    <s v="Oct'23"/>
    <x v="10"/>
    <s v="Dhaka"/>
    <s v="Present"/>
    <n v="1"/>
    <n v="8000"/>
    <s v="Paid"/>
  </r>
  <r>
    <x v="9"/>
    <x v="1"/>
    <x v="0"/>
    <x v="195"/>
    <x v="166"/>
    <x v="40"/>
    <s v="Oct'23"/>
    <x v="10"/>
    <s v="Dhaka"/>
    <s v="Present"/>
    <n v="1"/>
    <n v="8000"/>
    <s v="Paid"/>
  </r>
  <r>
    <x v="10"/>
    <x v="1"/>
    <x v="0"/>
    <x v="195"/>
    <x v="166"/>
    <x v="40"/>
    <s v="Oct'23"/>
    <x v="10"/>
    <s v="Dhaka"/>
    <s v="Present"/>
    <n v="1"/>
    <n v="8000"/>
    <s v="Paid"/>
  </r>
  <r>
    <x v="29"/>
    <x v="1"/>
    <x v="0"/>
    <x v="195"/>
    <x v="166"/>
    <x v="40"/>
    <s v="Oct'23"/>
    <x v="10"/>
    <s v="Dhaka"/>
    <s v="Present"/>
    <n v="1"/>
    <n v="8000"/>
    <s v="Paid"/>
  </r>
  <r>
    <x v="12"/>
    <x v="1"/>
    <x v="0"/>
    <x v="195"/>
    <x v="166"/>
    <x v="40"/>
    <s v="Oct'23"/>
    <x v="10"/>
    <s v="Dhaka"/>
    <s v="Present"/>
    <n v="1"/>
    <n v="8000"/>
    <s v="Paid"/>
  </r>
  <r>
    <x v="27"/>
    <x v="1"/>
    <x v="0"/>
    <x v="195"/>
    <x v="166"/>
    <x v="40"/>
    <s v="Oct'23"/>
    <x v="10"/>
    <s v="Dhaka"/>
    <s v="Present"/>
    <n v="1"/>
    <n v="8000"/>
    <s v="Paid"/>
  </r>
  <r>
    <x v="28"/>
    <x v="1"/>
    <x v="0"/>
    <x v="195"/>
    <x v="166"/>
    <x v="40"/>
    <s v="Oct'23"/>
    <x v="10"/>
    <s v="Dhaka"/>
    <s v="Present"/>
    <n v="1"/>
    <n v="8000"/>
    <s v="Paid"/>
  </r>
  <r>
    <x v="13"/>
    <x v="0"/>
    <x v="0"/>
    <x v="195"/>
    <x v="166"/>
    <x v="40"/>
    <s v="Oct'23"/>
    <x v="10"/>
    <s v="Dhaka"/>
    <s v="Absent"/>
    <n v="0"/>
    <n v="0"/>
    <s v="Paid"/>
  </r>
  <r>
    <x v="30"/>
    <x v="0"/>
    <x v="0"/>
    <x v="195"/>
    <x v="166"/>
    <x v="40"/>
    <s v="Oct'23"/>
    <x v="10"/>
    <s v="Dhaka"/>
    <s v="Present"/>
    <n v="1"/>
    <n v="8000"/>
    <s v="Paid"/>
  </r>
  <r>
    <x v="21"/>
    <x v="3"/>
    <x v="0"/>
    <x v="195"/>
    <x v="166"/>
    <x v="40"/>
    <s v="Oct'23"/>
    <x v="10"/>
    <s v="Dhaka"/>
    <s v="Present"/>
    <n v="1"/>
    <n v="8000"/>
    <s v="Paid"/>
  </r>
  <r>
    <x v="4"/>
    <x v="0"/>
    <x v="1"/>
    <x v="196"/>
    <x v="166"/>
    <x v="40"/>
    <s v="Oct'23"/>
    <x v="10"/>
    <s v="Dhaka"/>
    <s v="Present"/>
    <n v="1"/>
    <n v="8000"/>
    <s v="Paid"/>
  </r>
  <r>
    <x v="11"/>
    <x v="1"/>
    <x v="1"/>
    <x v="196"/>
    <x v="166"/>
    <x v="40"/>
    <s v="Oct'23"/>
    <x v="10"/>
    <s v="Dhaka"/>
    <s v="Absent"/>
    <n v="0"/>
    <n v="0"/>
    <s v="Paid"/>
  </r>
  <r>
    <x v="12"/>
    <x v="1"/>
    <x v="1"/>
    <x v="196"/>
    <x v="166"/>
    <x v="40"/>
    <s v="Oct'23"/>
    <x v="10"/>
    <s v="Dhaka"/>
    <s v="Present"/>
    <n v="1"/>
    <n v="8000"/>
    <s v="Paid"/>
  </r>
  <r>
    <x v="13"/>
    <x v="0"/>
    <x v="1"/>
    <x v="196"/>
    <x v="166"/>
    <x v="40"/>
    <s v="Oct'23"/>
    <x v="10"/>
    <s v="Dhaka"/>
    <s v="Present"/>
    <n v="1"/>
    <n v="8000"/>
    <s v="Paid"/>
  </r>
  <r>
    <x v="27"/>
    <x v="1"/>
    <x v="1"/>
    <x v="196"/>
    <x v="166"/>
    <x v="40"/>
    <s v="Oct'23"/>
    <x v="10"/>
    <s v="Dhaka"/>
    <s v="Present"/>
    <n v="1"/>
    <n v="8000"/>
    <s v="Paid"/>
  </r>
  <r>
    <x v="3"/>
    <x v="1"/>
    <x v="2"/>
    <x v="146"/>
    <x v="167"/>
    <x v="40"/>
    <s v="Oct'23"/>
    <x v="10"/>
    <s v="Dhaka"/>
    <s v="Present"/>
    <n v="1"/>
    <n v="8000"/>
    <s v="Paid"/>
  </r>
  <r>
    <x v="2"/>
    <x v="2"/>
    <x v="2"/>
    <x v="146"/>
    <x v="167"/>
    <x v="40"/>
    <s v="Oct'23"/>
    <x v="10"/>
    <s v="Dhaka"/>
    <s v="Present"/>
    <n v="1"/>
    <n v="8000"/>
    <s v="Paid"/>
  </r>
  <r>
    <x v="5"/>
    <x v="1"/>
    <x v="2"/>
    <x v="146"/>
    <x v="167"/>
    <x v="40"/>
    <s v="Oct'23"/>
    <x v="10"/>
    <s v="Dhaka"/>
    <s v="Present"/>
    <n v="1"/>
    <n v="8000"/>
    <s v="Paid"/>
  </r>
  <r>
    <x v="6"/>
    <x v="1"/>
    <x v="2"/>
    <x v="146"/>
    <x v="167"/>
    <x v="40"/>
    <s v="Oct'23"/>
    <x v="10"/>
    <s v="Dhaka"/>
    <s v="Present"/>
    <n v="1"/>
    <n v="8000"/>
    <s v="Paid"/>
  </r>
  <r>
    <x v="7"/>
    <x v="1"/>
    <x v="2"/>
    <x v="146"/>
    <x v="167"/>
    <x v="40"/>
    <s v="Oct'23"/>
    <x v="10"/>
    <s v="Dhaka"/>
    <s v="Present"/>
    <n v="1"/>
    <n v="8000"/>
    <s v="Paid"/>
  </r>
  <r>
    <x v="8"/>
    <x v="1"/>
    <x v="2"/>
    <x v="146"/>
    <x v="167"/>
    <x v="40"/>
    <s v="Oct'23"/>
    <x v="10"/>
    <s v="Dhaka"/>
    <s v="Present"/>
    <n v="1"/>
    <n v="8000"/>
    <s v="Paid"/>
  </r>
  <r>
    <x v="9"/>
    <x v="1"/>
    <x v="2"/>
    <x v="146"/>
    <x v="167"/>
    <x v="40"/>
    <s v="Oct'23"/>
    <x v="10"/>
    <s v="Dhaka"/>
    <s v="Present"/>
    <n v="1"/>
    <n v="8000"/>
    <s v="Paid"/>
  </r>
  <r>
    <x v="21"/>
    <x v="3"/>
    <x v="2"/>
    <x v="146"/>
    <x v="167"/>
    <x v="40"/>
    <s v="Oct'23"/>
    <x v="10"/>
    <s v="Dhaka"/>
    <s v="Present"/>
    <n v="1"/>
    <n v="8000"/>
    <s v="Paid"/>
  </r>
  <r>
    <x v="6"/>
    <x v="1"/>
    <x v="5"/>
    <x v="197"/>
    <x v="168"/>
    <x v="40"/>
    <s v="Oct'23"/>
    <x v="10"/>
    <s v="Dhaka"/>
    <s v="Present"/>
    <n v="1"/>
    <n v="8000"/>
    <s v="Paid"/>
  </r>
  <r>
    <x v="22"/>
    <x v="4"/>
    <x v="5"/>
    <x v="197"/>
    <x v="168"/>
    <x v="40"/>
    <s v="Oct'23"/>
    <x v="10"/>
    <s v="Dhaka"/>
    <s v="Present"/>
    <n v="1"/>
    <n v="8000"/>
    <s v="Paid"/>
  </r>
  <r>
    <x v="23"/>
    <x v="5"/>
    <x v="5"/>
    <x v="197"/>
    <x v="168"/>
    <x v="40"/>
    <s v="Oct'23"/>
    <x v="10"/>
    <s v="Dhaka"/>
    <s v="Present"/>
    <n v="1"/>
    <n v="8000"/>
    <s v="Paid"/>
  </r>
  <r>
    <x v="24"/>
    <x v="4"/>
    <x v="5"/>
    <x v="197"/>
    <x v="168"/>
    <x v="40"/>
    <s v="Oct'23"/>
    <x v="10"/>
    <s v="Dhaka"/>
    <s v="Present"/>
    <n v="1"/>
    <n v="8000"/>
    <s v="Paid"/>
  </r>
  <r>
    <x v="25"/>
    <x v="4"/>
    <x v="5"/>
    <x v="197"/>
    <x v="168"/>
    <x v="40"/>
    <s v="Oct'23"/>
    <x v="10"/>
    <s v="Dhaka"/>
    <s v="Present"/>
    <n v="1"/>
    <n v="8000"/>
    <s v="Paid"/>
  </r>
  <r>
    <x v="26"/>
    <x v="4"/>
    <x v="5"/>
    <x v="197"/>
    <x v="168"/>
    <x v="40"/>
    <s v="Oct'23"/>
    <x v="10"/>
    <s v="Dhaka"/>
    <s v="Present"/>
    <n v="1"/>
    <n v="8000"/>
    <s v="Paid"/>
  </r>
  <r>
    <x v="21"/>
    <x v="3"/>
    <x v="5"/>
    <x v="197"/>
    <x v="168"/>
    <x v="40"/>
    <s v="Oct'23"/>
    <x v="10"/>
    <s v="Dhaka"/>
    <s v="Present"/>
    <n v="1"/>
    <n v="8000"/>
    <s v="Paid"/>
  </r>
  <r>
    <x v="5"/>
    <x v="1"/>
    <x v="3"/>
    <x v="198"/>
    <x v="169"/>
    <x v="40"/>
    <s v="Nov'23"/>
    <x v="10"/>
    <s v="Dhaka"/>
    <s v="Present"/>
    <n v="1"/>
    <n v="8000"/>
    <s v="Paid"/>
  </r>
  <r>
    <x v="3"/>
    <x v="1"/>
    <x v="3"/>
    <x v="198"/>
    <x v="169"/>
    <x v="40"/>
    <s v="Nov'23"/>
    <x v="10"/>
    <s v="Dhaka"/>
    <s v="Present"/>
    <n v="1"/>
    <n v="8000"/>
    <s v="Paid"/>
  </r>
  <r>
    <x v="7"/>
    <x v="1"/>
    <x v="3"/>
    <x v="198"/>
    <x v="169"/>
    <x v="40"/>
    <s v="Nov'23"/>
    <x v="10"/>
    <s v="Dhaka"/>
    <s v="Present"/>
    <n v="1"/>
    <n v="8000"/>
    <s v="Paid"/>
  </r>
  <r>
    <x v="10"/>
    <x v="1"/>
    <x v="3"/>
    <x v="198"/>
    <x v="169"/>
    <x v="40"/>
    <s v="Nov'23"/>
    <x v="10"/>
    <s v="Dhaka"/>
    <s v="Absent"/>
    <n v="0"/>
    <n v="0"/>
    <s v="Paid"/>
  </r>
  <r>
    <x v="30"/>
    <x v="0"/>
    <x v="3"/>
    <x v="198"/>
    <x v="169"/>
    <x v="40"/>
    <s v="Nov'23"/>
    <x v="10"/>
    <s v="Dhaka"/>
    <s v="Present"/>
    <n v="1"/>
    <n v="8000"/>
    <s v="Paid"/>
  </r>
  <r>
    <x v="1"/>
    <x v="1"/>
    <x v="0"/>
    <x v="199"/>
    <x v="170"/>
    <x v="40"/>
    <s v="Dec'23"/>
    <x v="10"/>
    <s v="Dhaka"/>
    <s v="Present"/>
    <n v="1"/>
    <n v="8000"/>
    <s v="Paid"/>
  </r>
  <r>
    <x v="2"/>
    <x v="2"/>
    <x v="0"/>
    <x v="199"/>
    <x v="170"/>
    <x v="40"/>
    <s v="Dec'23"/>
    <x v="10"/>
    <s v="Dhaka"/>
    <s v="Present"/>
    <n v="1"/>
    <n v="8000"/>
    <s v="Paid"/>
  </r>
  <r>
    <x v="3"/>
    <x v="1"/>
    <x v="0"/>
    <x v="199"/>
    <x v="170"/>
    <x v="40"/>
    <s v="Dec'23"/>
    <x v="10"/>
    <s v="Dhaka"/>
    <s v="Present"/>
    <n v="1"/>
    <n v="8000"/>
    <s v="Paid"/>
  </r>
  <r>
    <x v="4"/>
    <x v="0"/>
    <x v="0"/>
    <x v="199"/>
    <x v="170"/>
    <x v="40"/>
    <s v="Dec'23"/>
    <x v="10"/>
    <s v="Dhaka"/>
    <s v="Present"/>
    <n v="1"/>
    <n v="8000"/>
    <s v="Paid"/>
  </r>
  <r>
    <x v="5"/>
    <x v="1"/>
    <x v="0"/>
    <x v="199"/>
    <x v="170"/>
    <x v="40"/>
    <s v="Dec'23"/>
    <x v="10"/>
    <s v="Dhaka"/>
    <s v="Present"/>
    <n v="1"/>
    <n v="8000"/>
    <s v="Paid"/>
  </r>
  <r>
    <x v="32"/>
    <x v="1"/>
    <x v="0"/>
    <x v="199"/>
    <x v="170"/>
    <x v="40"/>
    <s v="Dec'23"/>
    <x v="10"/>
    <s v="Dhaka"/>
    <s v="Present"/>
    <n v="1"/>
    <n v="8000"/>
    <s v="Paid"/>
  </r>
  <r>
    <x v="6"/>
    <x v="1"/>
    <x v="0"/>
    <x v="199"/>
    <x v="170"/>
    <x v="40"/>
    <s v="Dec'23"/>
    <x v="10"/>
    <s v="Dhaka"/>
    <s v="Present"/>
    <n v="1"/>
    <n v="8000"/>
    <s v="Paid"/>
  </r>
  <r>
    <x v="7"/>
    <x v="1"/>
    <x v="0"/>
    <x v="199"/>
    <x v="170"/>
    <x v="40"/>
    <s v="Dec'23"/>
    <x v="10"/>
    <s v="Dhaka"/>
    <s v="Present"/>
    <n v="1"/>
    <n v="8000"/>
    <s v="Paid"/>
  </r>
  <r>
    <x v="11"/>
    <x v="1"/>
    <x v="0"/>
    <x v="199"/>
    <x v="170"/>
    <x v="40"/>
    <s v="Dec'23"/>
    <x v="10"/>
    <s v="Dhaka"/>
    <s v="Present"/>
    <n v="1"/>
    <n v="8000"/>
    <s v="Paid"/>
  </r>
  <r>
    <x v="8"/>
    <x v="1"/>
    <x v="0"/>
    <x v="199"/>
    <x v="170"/>
    <x v="40"/>
    <s v="Dec'23"/>
    <x v="10"/>
    <s v="Dhaka"/>
    <s v="Present"/>
    <n v="1"/>
    <n v="8000"/>
    <s v="Paid"/>
  </r>
  <r>
    <x v="9"/>
    <x v="1"/>
    <x v="0"/>
    <x v="199"/>
    <x v="170"/>
    <x v="40"/>
    <s v="Dec'23"/>
    <x v="10"/>
    <s v="Dhaka"/>
    <s v="Absent"/>
    <n v="0"/>
    <n v="0"/>
    <s v="Paid"/>
  </r>
  <r>
    <x v="10"/>
    <x v="1"/>
    <x v="0"/>
    <x v="199"/>
    <x v="170"/>
    <x v="40"/>
    <s v="Dec'23"/>
    <x v="10"/>
    <s v="Dhaka"/>
    <s v="Present"/>
    <n v="1"/>
    <n v="8000"/>
    <s v="Paid"/>
  </r>
  <r>
    <x v="29"/>
    <x v="1"/>
    <x v="0"/>
    <x v="199"/>
    <x v="170"/>
    <x v="40"/>
    <s v="Dec'23"/>
    <x v="10"/>
    <s v="Dhaka"/>
    <s v="Present"/>
    <n v="1"/>
    <n v="8000"/>
    <s v="Paid"/>
  </r>
  <r>
    <x v="12"/>
    <x v="1"/>
    <x v="0"/>
    <x v="199"/>
    <x v="170"/>
    <x v="40"/>
    <s v="Dec'23"/>
    <x v="10"/>
    <s v="Dhaka"/>
    <s v="Present"/>
    <n v="1"/>
    <n v="8000"/>
    <s v="Paid"/>
  </r>
  <r>
    <x v="27"/>
    <x v="1"/>
    <x v="0"/>
    <x v="199"/>
    <x v="170"/>
    <x v="40"/>
    <s v="Dec'23"/>
    <x v="10"/>
    <s v="Dhaka"/>
    <s v="Present"/>
    <n v="1"/>
    <n v="8000"/>
    <s v="Paid"/>
  </r>
  <r>
    <x v="28"/>
    <x v="1"/>
    <x v="0"/>
    <x v="199"/>
    <x v="170"/>
    <x v="40"/>
    <s v="Dec'23"/>
    <x v="10"/>
    <s v="Dhaka"/>
    <s v="Present"/>
    <n v="1"/>
    <n v="8000"/>
    <s v="Paid"/>
  </r>
  <r>
    <x v="13"/>
    <x v="0"/>
    <x v="0"/>
    <x v="199"/>
    <x v="170"/>
    <x v="40"/>
    <s v="Dec'23"/>
    <x v="10"/>
    <s v="Dhaka"/>
    <s v="Present"/>
    <n v="1"/>
    <n v="8000"/>
    <s v="Paid"/>
  </r>
  <r>
    <x v="30"/>
    <x v="0"/>
    <x v="0"/>
    <x v="199"/>
    <x v="170"/>
    <x v="40"/>
    <s v="Dec'23"/>
    <x v="10"/>
    <s v="Dhaka"/>
    <s v="Present"/>
    <n v="1"/>
    <n v="8000"/>
    <s v="Paid"/>
  </r>
  <r>
    <x v="21"/>
    <x v="3"/>
    <x v="0"/>
    <x v="199"/>
    <x v="170"/>
    <x v="40"/>
    <s v="Dec'23"/>
    <x v="10"/>
    <s v="Dhaka"/>
    <s v="Present"/>
    <n v="1"/>
    <n v="8000"/>
    <s v="Paid"/>
  </r>
  <r>
    <x v="3"/>
    <x v="1"/>
    <x v="2"/>
    <x v="149"/>
    <x v="170"/>
    <x v="40"/>
    <s v="Dec'23"/>
    <x v="10"/>
    <s v="Dhaka"/>
    <s v="Present"/>
    <n v="1"/>
    <n v="8000"/>
    <s v="Paid"/>
  </r>
  <r>
    <x v="2"/>
    <x v="2"/>
    <x v="2"/>
    <x v="149"/>
    <x v="170"/>
    <x v="40"/>
    <s v="Dec'23"/>
    <x v="10"/>
    <s v="Dhaka"/>
    <s v="Present"/>
    <n v="1"/>
    <n v="8000"/>
    <s v="Paid"/>
  </r>
  <r>
    <x v="5"/>
    <x v="1"/>
    <x v="2"/>
    <x v="149"/>
    <x v="170"/>
    <x v="40"/>
    <s v="Dec'23"/>
    <x v="10"/>
    <s v="Dhaka"/>
    <s v="Present"/>
    <n v="1"/>
    <n v="8000"/>
    <s v="Paid"/>
  </r>
  <r>
    <x v="6"/>
    <x v="1"/>
    <x v="2"/>
    <x v="149"/>
    <x v="170"/>
    <x v="40"/>
    <s v="Dec'23"/>
    <x v="10"/>
    <s v="Dhaka"/>
    <s v="Present"/>
    <n v="1"/>
    <n v="8000"/>
    <s v="Paid"/>
  </r>
  <r>
    <x v="7"/>
    <x v="1"/>
    <x v="2"/>
    <x v="149"/>
    <x v="170"/>
    <x v="40"/>
    <s v="Dec'23"/>
    <x v="10"/>
    <s v="Dhaka"/>
    <s v="Present"/>
    <n v="1"/>
    <n v="8000"/>
    <s v="Paid"/>
  </r>
  <r>
    <x v="8"/>
    <x v="1"/>
    <x v="2"/>
    <x v="149"/>
    <x v="170"/>
    <x v="40"/>
    <s v="Dec'23"/>
    <x v="10"/>
    <s v="Dhaka"/>
    <s v="Present"/>
    <n v="1"/>
    <n v="8000"/>
    <s v="Paid"/>
  </r>
  <r>
    <x v="9"/>
    <x v="1"/>
    <x v="2"/>
    <x v="149"/>
    <x v="170"/>
    <x v="40"/>
    <s v="Dec'23"/>
    <x v="10"/>
    <s v="Dhaka"/>
    <s v="Absent"/>
    <n v="0"/>
    <n v="0"/>
    <s v="Paid"/>
  </r>
  <r>
    <x v="5"/>
    <x v="1"/>
    <x v="3"/>
    <x v="200"/>
    <x v="170"/>
    <x v="40"/>
    <s v="Dec'23"/>
    <x v="10"/>
    <s v="Dhaka"/>
    <s v="Present"/>
    <n v="1"/>
    <n v="8000"/>
    <s v="Paid"/>
  </r>
  <r>
    <x v="3"/>
    <x v="1"/>
    <x v="3"/>
    <x v="200"/>
    <x v="170"/>
    <x v="40"/>
    <s v="Dec'23"/>
    <x v="10"/>
    <s v="Dhaka"/>
    <s v="Present"/>
    <n v="1"/>
    <n v="8000"/>
    <s v="Paid"/>
  </r>
  <r>
    <x v="7"/>
    <x v="1"/>
    <x v="3"/>
    <x v="200"/>
    <x v="170"/>
    <x v="40"/>
    <s v="Dec'23"/>
    <x v="10"/>
    <s v="Dhaka"/>
    <s v="Present"/>
    <n v="1"/>
    <n v="8000"/>
    <s v="Paid"/>
  </r>
  <r>
    <x v="10"/>
    <x v="1"/>
    <x v="3"/>
    <x v="200"/>
    <x v="170"/>
    <x v="40"/>
    <s v="Dec'23"/>
    <x v="10"/>
    <s v="Dhaka"/>
    <s v="Present"/>
    <n v="1"/>
    <n v="8000"/>
    <s v="Paid"/>
  </r>
  <r>
    <x v="30"/>
    <x v="0"/>
    <x v="3"/>
    <x v="200"/>
    <x v="170"/>
    <x v="40"/>
    <s v="Dec'23"/>
    <x v="10"/>
    <s v="Dhaka"/>
    <s v="Present"/>
    <n v="1"/>
    <n v="8000"/>
    <s v="Paid"/>
  </r>
  <r>
    <x v="23"/>
    <x v="5"/>
    <x v="5"/>
    <x v="201"/>
    <x v="171"/>
    <x v="40"/>
    <s v="Dec'23"/>
    <x v="10"/>
    <s v="Dhaka"/>
    <s v="Present"/>
    <n v="1"/>
    <n v="8000"/>
    <s v="Paid"/>
  </r>
  <r>
    <x v="24"/>
    <x v="4"/>
    <x v="5"/>
    <x v="201"/>
    <x v="171"/>
    <x v="40"/>
    <s v="Dec'23"/>
    <x v="10"/>
    <s v="Dhaka"/>
    <s v="Present"/>
    <n v="1"/>
    <n v="8000"/>
    <s v="Paid"/>
  </r>
  <r>
    <x v="25"/>
    <x v="4"/>
    <x v="5"/>
    <x v="201"/>
    <x v="171"/>
    <x v="40"/>
    <s v="Dec'23"/>
    <x v="10"/>
    <s v="Dhaka"/>
    <s v="Present"/>
    <n v="1"/>
    <n v="8000"/>
    <s v="Paid"/>
  </r>
  <r>
    <x v="26"/>
    <x v="4"/>
    <x v="5"/>
    <x v="201"/>
    <x v="171"/>
    <x v="40"/>
    <s v="Dec'23"/>
    <x v="10"/>
    <s v="Dhaka"/>
    <s v="Present"/>
    <n v="1"/>
    <n v="8000"/>
    <s v="Paid"/>
  </r>
  <r>
    <x v="22"/>
    <x v="4"/>
    <x v="5"/>
    <x v="201"/>
    <x v="171"/>
    <x v="40"/>
    <s v="Dec'23"/>
    <x v="10"/>
    <s v="Dhaka"/>
    <s v="Present"/>
    <n v="1"/>
    <n v="8000"/>
    <s v="Paid"/>
  </r>
  <r>
    <x v="3"/>
    <x v="1"/>
    <x v="2"/>
    <x v="151"/>
    <x v="172"/>
    <x v="41"/>
    <s v="Jan'24"/>
    <x v="11"/>
    <s v="Dhaka"/>
    <s v="Present"/>
    <n v="1"/>
    <n v="8000"/>
    <s v="Paid"/>
  </r>
  <r>
    <x v="2"/>
    <x v="2"/>
    <x v="2"/>
    <x v="151"/>
    <x v="172"/>
    <x v="41"/>
    <s v="Jan'24"/>
    <x v="11"/>
    <s v="Dhaka"/>
    <s v="Present"/>
    <n v="1"/>
    <n v="8000"/>
    <s v="Paid"/>
  </r>
  <r>
    <x v="5"/>
    <x v="1"/>
    <x v="2"/>
    <x v="151"/>
    <x v="172"/>
    <x v="41"/>
    <s v="Jan'24"/>
    <x v="11"/>
    <s v="Dhaka"/>
    <s v="Present"/>
    <n v="1"/>
    <n v="8000"/>
    <s v="Paid"/>
  </r>
  <r>
    <x v="6"/>
    <x v="1"/>
    <x v="2"/>
    <x v="151"/>
    <x v="172"/>
    <x v="41"/>
    <s v="Jan'24"/>
    <x v="11"/>
    <s v="Dhaka"/>
    <s v="Present"/>
    <n v="1"/>
    <n v="8000"/>
    <s v="Paid"/>
  </r>
  <r>
    <x v="7"/>
    <x v="1"/>
    <x v="2"/>
    <x v="151"/>
    <x v="172"/>
    <x v="41"/>
    <s v="Jan'24"/>
    <x v="11"/>
    <s v="Dhaka"/>
    <s v="Present"/>
    <n v="1"/>
    <n v="8000"/>
    <s v="Paid"/>
  </r>
  <r>
    <x v="8"/>
    <x v="1"/>
    <x v="2"/>
    <x v="151"/>
    <x v="172"/>
    <x v="41"/>
    <s v="Jan'24"/>
    <x v="11"/>
    <s v="Dhaka"/>
    <s v="Present"/>
    <n v="1"/>
    <n v="8000"/>
    <s v="Paid"/>
  </r>
  <r>
    <x v="9"/>
    <x v="1"/>
    <x v="2"/>
    <x v="151"/>
    <x v="172"/>
    <x v="41"/>
    <s v="Jan'24"/>
    <x v="11"/>
    <s v="Dhaka"/>
    <s v="Absent"/>
    <n v="0"/>
    <n v="0"/>
    <s v="Paid"/>
  </r>
  <r>
    <x v="21"/>
    <x v="3"/>
    <x v="2"/>
    <x v="151"/>
    <x v="172"/>
    <x v="41"/>
    <s v="Jan'24"/>
    <x v="11"/>
    <s v="Dhaka"/>
    <s v="Present"/>
    <n v="1"/>
    <n v="8000"/>
    <s v="Paid"/>
  </r>
  <r>
    <x v="1"/>
    <x v="1"/>
    <x v="0"/>
    <x v="202"/>
    <x v="173"/>
    <x v="41"/>
    <s v="Jan'24"/>
    <x v="11"/>
    <s v="Dhaka"/>
    <s v="Present"/>
    <n v="1"/>
    <n v="8000"/>
    <s v="Paid"/>
  </r>
  <r>
    <x v="2"/>
    <x v="2"/>
    <x v="0"/>
    <x v="202"/>
    <x v="173"/>
    <x v="41"/>
    <s v="Jan'24"/>
    <x v="11"/>
    <s v="Dhaka"/>
    <s v="Present"/>
    <n v="1"/>
    <n v="8000"/>
    <s v="Paid"/>
  </r>
  <r>
    <x v="3"/>
    <x v="1"/>
    <x v="0"/>
    <x v="202"/>
    <x v="173"/>
    <x v="41"/>
    <s v="Jan'24"/>
    <x v="11"/>
    <s v="Dhaka"/>
    <s v="Present"/>
    <n v="1"/>
    <n v="8000"/>
    <s v="Paid"/>
  </r>
  <r>
    <x v="4"/>
    <x v="0"/>
    <x v="0"/>
    <x v="202"/>
    <x v="173"/>
    <x v="41"/>
    <s v="Jan'24"/>
    <x v="11"/>
    <s v="Dhaka"/>
    <s v="Present"/>
    <n v="1"/>
    <n v="8000"/>
    <s v="Paid"/>
  </r>
  <r>
    <x v="5"/>
    <x v="1"/>
    <x v="0"/>
    <x v="202"/>
    <x v="173"/>
    <x v="41"/>
    <s v="Jan'24"/>
    <x v="11"/>
    <s v="Dhaka"/>
    <s v="Present"/>
    <n v="1"/>
    <n v="8000"/>
    <s v="Paid"/>
  </r>
  <r>
    <x v="32"/>
    <x v="1"/>
    <x v="0"/>
    <x v="202"/>
    <x v="173"/>
    <x v="41"/>
    <s v="Jan'24"/>
    <x v="11"/>
    <s v="Dhaka"/>
    <s v="Present"/>
    <n v="1"/>
    <n v="8000"/>
    <s v="Paid"/>
  </r>
  <r>
    <x v="6"/>
    <x v="1"/>
    <x v="0"/>
    <x v="202"/>
    <x v="173"/>
    <x v="41"/>
    <s v="Jan'24"/>
    <x v="11"/>
    <s v="Dhaka"/>
    <s v="Present"/>
    <n v="1"/>
    <n v="8000"/>
    <s v="Paid"/>
  </r>
  <r>
    <x v="7"/>
    <x v="1"/>
    <x v="0"/>
    <x v="202"/>
    <x v="173"/>
    <x v="41"/>
    <s v="Jan'24"/>
    <x v="11"/>
    <s v="Dhaka"/>
    <s v="Present"/>
    <n v="1"/>
    <n v="8000"/>
    <s v="Paid"/>
  </r>
  <r>
    <x v="11"/>
    <x v="1"/>
    <x v="0"/>
    <x v="202"/>
    <x v="173"/>
    <x v="41"/>
    <s v="Jan'24"/>
    <x v="11"/>
    <s v="Dhaka"/>
    <s v="Present"/>
    <n v="1"/>
    <n v="8000"/>
    <s v="Paid"/>
  </r>
  <r>
    <x v="8"/>
    <x v="1"/>
    <x v="0"/>
    <x v="202"/>
    <x v="173"/>
    <x v="41"/>
    <s v="Jan'24"/>
    <x v="11"/>
    <s v="Dhaka"/>
    <s v="Present"/>
    <n v="1"/>
    <n v="8000"/>
    <s v="Paid"/>
  </r>
  <r>
    <x v="9"/>
    <x v="1"/>
    <x v="0"/>
    <x v="202"/>
    <x v="173"/>
    <x v="41"/>
    <s v="Jan'24"/>
    <x v="11"/>
    <s v="Dhaka"/>
    <s v="Absent"/>
    <n v="0"/>
    <n v="0"/>
    <s v="Paid"/>
  </r>
  <r>
    <x v="10"/>
    <x v="1"/>
    <x v="0"/>
    <x v="202"/>
    <x v="173"/>
    <x v="41"/>
    <s v="Jan'24"/>
    <x v="11"/>
    <s v="Dhaka"/>
    <s v="Present"/>
    <n v="1"/>
    <n v="8000"/>
    <s v="Paid"/>
  </r>
  <r>
    <x v="29"/>
    <x v="1"/>
    <x v="0"/>
    <x v="202"/>
    <x v="173"/>
    <x v="41"/>
    <s v="Jan'24"/>
    <x v="11"/>
    <s v="Dhaka"/>
    <s v="Present"/>
    <n v="1"/>
    <n v="8000"/>
    <s v="Paid"/>
  </r>
  <r>
    <x v="12"/>
    <x v="1"/>
    <x v="0"/>
    <x v="202"/>
    <x v="173"/>
    <x v="41"/>
    <s v="Jan'24"/>
    <x v="11"/>
    <s v="Dhaka"/>
    <s v="Present"/>
    <n v="1"/>
    <n v="8000"/>
    <s v="Paid"/>
  </r>
  <r>
    <x v="27"/>
    <x v="1"/>
    <x v="0"/>
    <x v="202"/>
    <x v="173"/>
    <x v="41"/>
    <s v="Jan'24"/>
    <x v="11"/>
    <s v="Dhaka"/>
    <s v="Present"/>
    <n v="1"/>
    <n v="8000"/>
    <s v="Paid"/>
  </r>
  <r>
    <x v="28"/>
    <x v="1"/>
    <x v="0"/>
    <x v="202"/>
    <x v="173"/>
    <x v="41"/>
    <s v="Jan'24"/>
    <x v="11"/>
    <s v="Dhaka"/>
    <s v="Present"/>
    <n v="1"/>
    <n v="8000"/>
    <s v="Paid"/>
  </r>
  <r>
    <x v="13"/>
    <x v="0"/>
    <x v="0"/>
    <x v="202"/>
    <x v="173"/>
    <x v="41"/>
    <s v="Jan'24"/>
    <x v="11"/>
    <s v="Dhaka"/>
    <s v="Present"/>
    <n v="1"/>
    <n v="8000"/>
    <s v="Paid"/>
  </r>
  <r>
    <x v="30"/>
    <x v="0"/>
    <x v="0"/>
    <x v="202"/>
    <x v="173"/>
    <x v="41"/>
    <s v="Jan'24"/>
    <x v="11"/>
    <s v="Dhaka"/>
    <s v="Present"/>
    <n v="1"/>
    <n v="8000"/>
    <s v="Paid"/>
  </r>
  <r>
    <x v="33"/>
    <x v="0"/>
    <x v="0"/>
    <x v="202"/>
    <x v="173"/>
    <x v="41"/>
    <s v="Jan'24"/>
    <x v="11"/>
    <s v="Dhaka"/>
    <s v="Present"/>
    <n v="1"/>
    <n v="8000"/>
    <s v="Paid"/>
  </r>
  <r>
    <x v="21"/>
    <x v="3"/>
    <x v="0"/>
    <x v="202"/>
    <x v="173"/>
    <x v="41"/>
    <s v="Jan'24"/>
    <x v="11"/>
    <s v="Dhaka"/>
    <s v="Present"/>
    <n v="1"/>
    <n v="8000"/>
    <s v="Paid"/>
  </r>
  <r>
    <x v="23"/>
    <x v="5"/>
    <x v="5"/>
    <x v="203"/>
    <x v="174"/>
    <x v="41"/>
    <s v="Mar'24"/>
    <x v="11"/>
    <s v="Dhaka"/>
    <s v="Present"/>
    <n v="1"/>
    <n v="8000"/>
    <s v="Paid"/>
  </r>
  <r>
    <x v="24"/>
    <x v="4"/>
    <x v="5"/>
    <x v="203"/>
    <x v="174"/>
    <x v="41"/>
    <s v="Mar'24"/>
    <x v="11"/>
    <s v="Dhaka"/>
    <s v="Present"/>
    <n v="1"/>
    <n v="8000"/>
    <s v="Paid"/>
  </r>
  <r>
    <x v="25"/>
    <x v="4"/>
    <x v="5"/>
    <x v="203"/>
    <x v="174"/>
    <x v="41"/>
    <s v="Mar'24"/>
    <x v="11"/>
    <s v="Dhaka"/>
    <s v="Present"/>
    <n v="1"/>
    <n v="8000"/>
    <s v="Paid"/>
  </r>
  <r>
    <x v="26"/>
    <x v="4"/>
    <x v="5"/>
    <x v="203"/>
    <x v="174"/>
    <x v="41"/>
    <s v="Mar'24"/>
    <x v="11"/>
    <s v="Dhaka"/>
    <s v="Present"/>
    <n v="1"/>
    <n v="8000"/>
    <s v="Paid"/>
  </r>
  <r>
    <x v="22"/>
    <x v="4"/>
    <x v="5"/>
    <x v="203"/>
    <x v="174"/>
    <x v="41"/>
    <s v="Mar'24"/>
    <x v="11"/>
    <s v="Dhaka"/>
    <s v="Present"/>
    <n v="1"/>
    <n v="8000"/>
    <s v="Paid"/>
  </r>
  <r>
    <x v="1"/>
    <x v="1"/>
    <x v="0"/>
    <x v="204"/>
    <x v="175"/>
    <x v="41"/>
    <s v="Mar'24"/>
    <x v="11"/>
    <s v="Dhaka"/>
    <s v="Present"/>
    <n v="1"/>
    <n v="8000"/>
    <s v="Paid"/>
  </r>
  <r>
    <x v="2"/>
    <x v="2"/>
    <x v="0"/>
    <x v="204"/>
    <x v="175"/>
    <x v="41"/>
    <s v="Mar'24"/>
    <x v="11"/>
    <s v="Dhaka"/>
    <s v="Present"/>
    <n v="1"/>
    <n v="8000"/>
    <s v="Paid"/>
  </r>
  <r>
    <x v="3"/>
    <x v="1"/>
    <x v="0"/>
    <x v="204"/>
    <x v="175"/>
    <x v="41"/>
    <s v="Mar'24"/>
    <x v="11"/>
    <s v="Dhaka"/>
    <s v="Absent"/>
    <n v="0"/>
    <n v="0"/>
    <s v="Paid"/>
  </r>
  <r>
    <x v="4"/>
    <x v="0"/>
    <x v="0"/>
    <x v="204"/>
    <x v="175"/>
    <x v="41"/>
    <s v="Mar'24"/>
    <x v="11"/>
    <s v="Dhaka"/>
    <s v="Present"/>
    <n v="1"/>
    <n v="8000"/>
    <s v="Paid"/>
  </r>
  <r>
    <x v="5"/>
    <x v="1"/>
    <x v="0"/>
    <x v="204"/>
    <x v="175"/>
    <x v="41"/>
    <s v="Mar'24"/>
    <x v="11"/>
    <s v="Dhaka"/>
    <s v="Present"/>
    <n v="1"/>
    <n v="8000"/>
    <s v="Paid"/>
  </r>
  <r>
    <x v="32"/>
    <x v="1"/>
    <x v="0"/>
    <x v="204"/>
    <x v="175"/>
    <x v="41"/>
    <s v="Mar'24"/>
    <x v="11"/>
    <s v="Dhaka"/>
    <s v="Absent"/>
    <n v="0"/>
    <n v="0"/>
    <s v="Paid"/>
  </r>
  <r>
    <x v="6"/>
    <x v="1"/>
    <x v="0"/>
    <x v="204"/>
    <x v="175"/>
    <x v="41"/>
    <s v="Mar'24"/>
    <x v="11"/>
    <s v="Dhaka"/>
    <s v="Present"/>
    <n v="1"/>
    <n v="8000"/>
    <s v="Paid"/>
  </r>
  <r>
    <x v="7"/>
    <x v="1"/>
    <x v="0"/>
    <x v="204"/>
    <x v="175"/>
    <x v="41"/>
    <s v="Mar'24"/>
    <x v="11"/>
    <s v="Dhaka"/>
    <s v="Present"/>
    <n v="1"/>
    <n v="8000"/>
    <s v="Paid"/>
  </r>
  <r>
    <x v="11"/>
    <x v="1"/>
    <x v="0"/>
    <x v="204"/>
    <x v="175"/>
    <x v="41"/>
    <s v="Mar'24"/>
    <x v="11"/>
    <s v="Dhaka"/>
    <s v="Present"/>
    <n v="1"/>
    <n v="8000"/>
    <s v="Paid"/>
  </r>
  <r>
    <x v="8"/>
    <x v="1"/>
    <x v="0"/>
    <x v="204"/>
    <x v="175"/>
    <x v="41"/>
    <s v="Mar'24"/>
    <x v="11"/>
    <s v="Dhaka"/>
    <s v="Present"/>
    <n v="1"/>
    <n v="8000"/>
    <s v="Paid"/>
  </r>
  <r>
    <x v="9"/>
    <x v="1"/>
    <x v="0"/>
    <x v="204"/>
    <x v="175"/>
    <x v="41"/>
    <s v="Mar'24"/>
    <x v="11"/>
    <s v="Dhaka"/>
    <s v="Present"/>
    <n v="1"/>
    <n v="8000"/>
    <s v="Paid"/>
  </r>
  <r>
    <x v="10"/>
    <x v="1"/>
    <x v="0"/>
    <x v="204"/>
    <x v="175"/>
    <x v="41"/>
    <s v="Mar'24"/>
    <x v="11"/>
    <s v="Dhaka"/>
    <s v="Present"/>
    <n v="1"/>
    <n v="8000"/>
    <s v="Paid"/>
  </r>
  <r>
    <x v="29"/>
    <x v="1"/>
    <x v="0"/>
    <x v="204"/>
    <x v="175"/>
    <x v="41"/>
    <s v="Mar'24"/>
    <x v="11"/>
    <s v="Dhaka"/>
    <s v="Present"/>
    <n v="1"/>
    <n v="8000"/>
    <s v="Paid"/>
  </r>
  <r>
    <x v="12"/>
    <x v="1"/>
    <x v="0"/>
    <x v="204"/>
    <x v="175"/>
    <x v="41"/>
    <s v="Mar'24"/>
    <x v="11"/>
    <s v="Dhaka"/>
    <s v="Present"/>
    <n v="1"/>
    <n v="8000"/>
    <s v="Paid"/>
  </r>
  <r>
    <x v="27"/>
    <x v="1"/>
    <x v="0"/>
    <x v="204"/>
    <x v="175"/>
    <x v="41"/>
    <s v="Mar'24"/>
    <x v="11"/>
    <s v="Dhaka"/>
    <s v="Present"/>
    <n v="1"/>
    <n v="8000"/>
    <s v="Paid"/>
  </r>
  <r>
    <x v="28"/>
    <x v="1"/>
    <x v="0"/>
    <x v="204"/>
    <x v="175"/>
    <x v="41"/>
    <s v="Mar'24"/>
    <x v="11"/>
    <s v="Dhaka"/>
    <s v="Present"/>
    <n v="1"/>
    <n v="8000"/>
    <s v="Paid"/>
  </r>
  <r>
    <x v="13"/>
    <x v="0"/>
    <x v="0"/>
    <x v="204"/>
    <x v="175"/>
    <x v="41"/>
    <s v="Mar'24"/>
    <x v="11"/>
    <s v="Dhaka"/>
    <s v="Present"/>
    <n v="1"/>
    <n v="8000"/>
    <s v="Paid"/>
  </r>
  <r>
    <x v="30"/>
    <x v="0"/>
    <x v="0"/>
    <x v="204"/>
    <x v="175"/>
    <x v="41"/>
    <s v="Mar'24"/>
    <x v="11"/>
    <s v="Dhaka"/>
    <s v="Present"/>
    <n v="1"/>
    <n v="8000"/>
    <s v="Paid"/>
  </r>
  <r>
    <x v="33"/>
    <x v="0"/>
    <x v="0"/>
    <x v="204"/>
    <x v="175"/>
    <x v="41"/>
    <s v="Mar'24"/>
    <x v="11"/>
    <s v="Dhaka"/>
    <s v="Present"/>
    <n v="1"/>
    <n v="8000"/>
    <s v="Paid"/>
  </r>
  <r>
    <x v="21"/>
    <x v="3"/>
    <x v="0"/>
    <x v="204"/>
    <x v="175"/>
    <x v="41"/>
    <s v="Mar'24"/>
    <x v="11"/>
    <s v="Dhaka"/>
    <s v="Present"/>
    <n v="1"/>
    <n v="8000"/>
    <s v="Paid"/>
  </r>
  <r>
    <x v="4"/>
    <x v="0"/>
    <x v="1"/>
    <x v="205"/>
    <x v="176"/>
    <x v="41"/>
    <s v="Mar'24"/>
    <x v="11"/>
    <s v="Dhaka"/>
    <s v="Present"/>
    <n v="1"/>
    <n v="10000"/>
    <s v="Paid"/>
  </r>
  <r>
    <x v="11"/>
    <x v="1"/>
    <x v="1"/>
    <x v="205"/>
    <x v="176"/>
    <x v="41"/>
    <s v="Mar'24"/>
    <x v="11"/>
    <s v="Dhaka"/>
    <s v="Present"/>
    <n v="1"/>
    <n v="10000"/>
    <s v="Paid"/>
  </r>
  <r>
    <x v="12"/>
    <x v="1"/>
    <x v="1"/>
    <x v="205"/>
    <x v="176"/>
    <x v="41"/>
    <s v="Mar'24"/>
    <x v="11"/>
    <s v="Dhaka"/>
    <s v="Present"/>
    <n v="1"/>
    <n v="10000"/>
    <s v="Paid"/>
  </r>
  <r>
    <x v="13"/>
    <x v="0"/>
    <x v="1"/>
    <x v="205"/>
    <x v="176"/>
    <x v="41"/>
    <s v="Mar'24"/>
    <x v="11"/>
    <s v="Dhaka"/>
    <s v="Present"/>
    <n v="1"/>
    <n v="10000"/>
    <s v="Paid"/>
  </r>
  <r>
    <x v="27"/>
    <x v="1"/>
    <x v="1"/>
    <x v="205"/>
    <x v="176"/>
    <x v="41"/>
    <s v="Mar'24"/>
    <x v="11"/>
    <s v="Dhaka"/>
    <s v="Present"/>
    <n v="1"/>
    <n v="10000"/>
    <s v="Paid"/>
  </r>
  <r>
    <x v="3"/>
    <x v="1"/>
    <x v="2"/>
    <x v="153"/>
    <x v="177"/>
    <x v="42"/>
    <s v="Apr'24"/>
    <x v="11"/>
    <s v="Dhaka"/>
    <s v="Present"/>
    <n v="1"/>
    <n v="10000"/>
    <s v="Paid"/>
  </r>
  <r>
    <x v="2"/>
    <x v="2"/>
    <x v="2"/>
    <x v="153"/>
    <x v="177"/>
    <x v="42"/>
    <s v="Apr'24"/>
    <x v="11"/>
    <s v="Dhaka"/>
    <s v="Present"/>
    <n v="1"/>
    <n v="10000"/>
    <s v="Paid"/>
  </r>
  <r>
    <x v="5"/>
    <x v="1"/>
    <x v="2"/>
    <x v="153"/>
    <x v="177"/>
    <x v="42"/>
    <s v="Apr'24"/>
    <x v="11"/>
    <s v="Dhaka"/>
    <s v="Present"/>
    <n v="1"/>
    <n v="10000"/>
    <s v="Paid"/>
  </r>
  <r>
    <x v="6"/>
    <x v="1"/>
    <x v="2"/>
    <x v="153"/>
    <x v="177"/>
    <x v="42"/>
    <s v="Apr'24"/>
    <x v="11"/>
    <s v="Dhaka"/>
    <s v="Present"/>
    <n v="1"/>
    <n v="10000"/>
    <s v="Paid"/>
  </r>
  <r>
    <x v="7"/>
    <x v="1"/>
    <x v="2"/>
    <x v="153"/>
    <x v="177"/>
    <x v="42"/>
    <s v="Apr'24"/>
    <x v="11"/>
    <s v="Dhaka"/>
    <s v="Present"/>
    <n v="1"/>
    <n v="10000"/>
    <s v="Paid"/>
  </r>
  <r>
    <x v="8"/>
    <x v="1"/>
    <x v="2"/>
    <x v="153"/>
    <x v="177"/>
    <x v="42"/>
    <s v="Apr'24"/>
    <x v="11"/>
    <s v="Dhaka"/>
    <s v="Present"/>
    <n v="1"/>
    <n v="10000"/>
    <s v="Paid"/>
  </r>
  <r>
    <x v="9"/>
    <x v="1"/>
    <x v="2"/>
    <x v="153"/>
    <x v="177"/>
    <x v="42"/>
    <s v="Apr'24"/>
    <x v="11"/>
    <s v="Dhaka"/>
    <s v="Present"/>
    <n v="1"/>
    <n v="10000"/>
    <s v="Paid"/>
  </r>
  <r>
    <x v="21"/>
    <x v="3"/>
    <x v="2"/>
    <x v="153"/>
    <x v="177"/>
    <x v="42"/>
    <s v="Apr'24"/>
    <x v="11"/>
    <s v="Dhaka"/>
    <s v="Present"/>
    <n v="1"/>
    <n v="10000"/>
    <s v="Paid"/>
  </r>
  <r>
    <x v="5"/>
    <x v="1"/>
    <x v="3"/>
    <x v="206"/>
    <x v="177"/>
    <x v="42"/>
    <s v="Apr'24"/>
    <x v="11"/>
    <s v="Dhaka"/>
    <s v="Present"/>
    <n v="1"/>
    <n v="10000"/>
    <s v="Paid"/>
  </r>
  <r>
    <x v="3"/>
    <x v="1"/>
    <x v="3"/>
    <x v="206"/>
    <x v="177"/>
    <x v="42"/>
    <s v="Apr'24"/>
    <x v="11"/>
    <s v="Dhaka"/>
    <s v="Present"/>
    <n v="1"/>
    <n v="10000"/>
    <s v="Paid"/>
  </r>
  <r>
    <x v="7"/>
    <x v="1"/>
    <x v="3"/>
    <x v="206"/>
    <x v="177"/>
    <x v="42"/>
    <s v="Apr'24"/>
    <x v="11"/>
    <s v="Dhaka"/>
    <s v="Present"/>
    <n v="1"/>
    <n v="10000"/>
    <s v="Paid"/>
  </r>
  <r>
    <x v="10"/>
    <x v="1"/>
    <x v="3"/>
    <x v="206"/>
    <x v="177"/>
    <x v="42"/>
    <s v="Apr'24"/>
    <x v="11"/>
    <s v="Dhaka"/>
    <s v="Present"/>
    <n v="1"/>
    <n v="10000"/>
    <s v="Paid"/>
  </r>
  <r>
    <x v="30"/>
    <x v="0"/>
    <x v="3"/>
    <x v="206"/>
    <x v="177"/>
    <x v="42"/>
    <s v="Apr'24"/>
    <x v="11"/>
    <s v="Dhaka"/>
    <s v="Present"/>
    <n v="1"/>
    <n v="10000"/>
    <s v="Paid"/>
  </r>
  <r>
    <x v="1"/>
    <x v="1"/>
    <x v="0"/>
    <x v="207"/>
    <x v="178"/>
    <x v="42"/>
    <s v="Apr'24"/>
    <x v="11"/>
    <s v="Dhaka"/>
    <s v="Present"/>
    <n v="1"/>
    <n v="10000"/>
    <s v="Paid"/>
  </r>
  <r>
    <x v="2"/>
    <x v="2"/>
    <x v="0"/>
    <x v="207"/>
    <x v="178"/>
    <x v="42"/>
    <s v="Apr'24"/>
    <x v="11"/>
    <s v="Dhaka"/>
    <s v="Absent"/>
    <n v="0"/>
    <n v="0"/>
    <s v="Paid"/>
  </r>
  <r>
    <x v="3"/>
    <x v="1"/>
    <x v="0"/>
    <x v="207"/>
    <x v="178"/>
    <x v="42"/>
    <s v="Apr'24"/>
    <x v="11"/>
    <s v="Dhaka"/>
    <s v="Absent"/>
    <n v="0"/>
    <n v="0"/>
    <s v="Paid"/>
  </r>
  <r>
    <x v="4"/>
    <x v="0"/>
    <x v="0"/>
    <x v="207"/>
    <x v="178"/>
    <x v="42"/>
    <s v="Apr'24"/>
    <x v="11"/>
    <s v="Dhaka"/>
    <s v="Present"/>
    <n v="1"/>
    <n v="10000"/>
    <s v="Paid"/>
  </r>
  <r>
    <x v="5"/>
    <x v="1"/>
    <x v="0"/>
    <x v="207"/>
    <x v="178"/>
    <x v="42"/>
    <s v="Apr'24"/>
    <x v="11"/>
    <s v="Dhaka"/>
    <s v="Present"/>
    <n v="1"/>
    <n v="10000"/>
    <s v="Paid"/>
  </r>
  <r>
    <x v="32"/>
    <x v="1"/>
    <x v="0"/>
    <x v="207"/>
    <x v="178"/>
    <x v="42"/>
    <s v="Apr'24"/>
    <x v="11"/>
    <s v="Dhaka"/>
    <s v="Present"/>
    <n v="1"/>
    <n v="10000"/>
    <s v="Paid"/>
  </r>
  <r>
    <x v="6"/>
    <x v="1"/>
    <x v="0"/>
    <x v="207"/>
    <x v="178"/>
    <x v="42"/>
    <s v="Apr'24"/>
    <x v="11"/>
    <s v="Dhaka"/>
    <s v="Present"/>
    <n v="1"/>
    <n v="10000"/>
    <s v="Paid"/>
  </r>
  <r>
    <x v="7"/>
    <x v="1"/>
    <x v="0"/>
    <x v="207"/>
    <x v="178"/>
    <x v="42"/>
    <s v="Apr'24"/>
    <x v="11"/>
    <s v="Dhaka"/>
    <s v="Present"/>
    <n v="1"/>
    <n v="10000"/>
    <s v="Paid"/>
  </r>
  <r>
    <x v="11"/>
    <x v="1"/>
    <x v="0"/>
    <x v="207"/>
    <x v="178"/>
    <x v="42"/>
    <s v="Apr'24"/>
    <x v="11"/>
    <s v="Dhaka"/>
    <s v="Present"/>
    <n v="1"/>
    <n v="10000"/>
    <s v="Paid"/>
  </r>
  <r>
    <x v="8"/>
    <x v="1"/>
    <x v="0"/>
    <x v="207"/>
    <x v="178"/>
    <x v="42"/>
    <s v="Apr'24"/>
    <x v="11"/>
    <s v="Dhaka"/>
    <s v="Present"/>
    <n v="1"/>
    <n v="10000"/>
    <s v="Paid"/>
  </r>
  <r>
    <x v="9"/>
    <x v="1"/>
    <x v="0"/>
    <x v="207"/>
    <x v="178"/>
    <x v="42"/>
    <s v="Apr'24"/>
    <x v="11"/>
    <s v="Dhaka"/>
    <s v="Absent"/>
    <n v="0"/>
    <n v="0"/>
    <s v="Paid"/>
  </r>
  <r>
    <x v="10"/>
    <x v="1"/>
    <x v="0"/>
    <x v="207"/>
    <x v="178"/>
    <x v="42"/>
    <s v="Apr'24"/>
    <x v="11"/>
    <s v="Dhaka"/>
    <s v="Present"/>
    <n v="1"/>
    <n v="10000"/>
    <s v="Paid"/>
  </r>
  <r>
    <x v="29"/>
    <x v="1"/>
    <x v="0"/>
    <x v="207"/>
    <x v="178"/>
    <x v="42"/>
    <s v="Apr'24"/>
    <x v="11"/>
    <s v="Dhaka"/>
    <s v="Present"/>
    <n v="1"/>
    <n v="10000"/>
    <s v="Paid"/>
  </r>
  <r>
    <x v="12"/>
    <x v="1"/>
    <x v="0"/>
    <x v="207"/>
    <x v="178"/>
    <x v="42"/>
    <s v="Apr'24"/>
    <x v="11"/>
    <s v="Dhaka"/>
    <s v="Present"/>
    <n v="1"/>
    <n v="10000"/>
    <s v="Paid"/>
  </r>
  <r>
    <x v="27"/>
    <x v="1"/>
    <x v="0"/>
    <x v="207"/>
    <x v="178"/>
    <x v="42"/>
    <s v="Apr'24"/>
    <x v="11"/>
    <s v="Dhaka"/>
    <s v="Present"/>
    <n v="1"/>
    <n v="10000"/>
    <s v="Paid"/>
  </r>
  <r>
    <x v="28"/>
    <x v="1"/>
    <x v="0"/>
    <x v="207"/>
    <x v="178"/>
    <x v="42"/>
    <s v="Apr'24"/>
    <x v="11"/>
    <s v="Dhaka"/>
    <s v="Present"/>
    <n v="1"/>
    <n v="10000"/>
    <s v="Paid"/>
  </r>
  <r>
    <x v="13"/>
    <x v="0"/>
    <x v="0"/>
    <x v="207"/>
    <x v="178"/>
    <x v="42"/>
    <s v="Apr'24"/>
    <x v="11"/>
    <s v="Dhaka"/>
    <s v="Present"/>
    <n v="1"/>
    <n v="10000"/>
    <s v="Paid"/>
  </r>
  <r>
    <x v="30"/>
    <x v="0"/>
    <x v="0"/>
    <x v="207"/>
    <x v="178"/>
    <x v="42"/>
    <s v="Apr'24"/>
    <x v="11"/>
    <s v="Dhaka"/>
    <s v="Present"/>
    <n v="1"/>
    <n v="10000"/>
    <s v="Paid"/>
  </r>
  <r>
    <x v="33"/>
    <x v="0"/>
    <x v="0"/>
    <x v="207"/>
    <x v="178"/>
    <x v="42"/>
    <s v="Apr'24"/>
    <x v="11"/>
    <s v="Dhaka"/>
    <s v="Present"/>
    <n v="1"/>
    <n v="10000"/>
    <s v="Paid"/>
  </r>
  <r>
    <x v="21"/>
    <x v="3"/>
    <x v="0"/>
    <x v="207"/>
    <x v="178"/>
    <x v="42"/>
    <s v="Apr'24"/>
    <x v="11"/>
    <s v="Dhaka"/>
    <s v="Present"/>
    <n v="1"/>
    <n v="10000"/>
    <s v="Paid"/>
  </r>
  <r>
    <x v="4"/>
    <x v="0"/>
    <x v="1"/>
    <x v="208"/>
    <x v="178"/>
    <x v="42"/>
    <s v="Apr'24"/>
    <x v="11"/>
    <s v="Dhaka"/>
    <s v="Present"/>
    <n v="1"/>
    <n v="10000"/>
    <s v="Paid"/>
  </r>
  <r>
    <x v="11"/>
    <x v="1"/>
    <x v="1"/>
    <x v="208"/>
    <x v="178"/>
    <x v="42"/>
    <s v="Apr'24"/>
    <x v="11"/>
    <s v="Dhaka"/>
    <s v="Present"/>
    <n v="1"/>
    <n v="10000"/>
    <s v="Paid"/>
  </r>
  <r>
    <x v="12"/>
    <x v="1"/>
    <x v="1"/>
    <x v="208"/>
    <x v="178"/>
    <x v="42"/>
    <s v="Apr'24"/>
    <x v="11"/>
    <s v="Dhaka"/>
    <s v="Present"/>
    <n v="1"/>
    <n v="10000"/>
    <s v="Paid"/>
  </r>
  <r>
    <x v="13"/>
    <x v="0"/>
    <x v="1"/>
    <x v="208"/>
    <x v="178"/>
    <x v="42"/>
    <s v="Apr'24"/>
    <x v="11"/>
    <s v="Dhaka"/>
    <s v="Present"/>
    <n v="1"/>
    <n v="10000"/>
    <s v="Paid"/>
  </r>
  <r>
    <x v="27"/>
    <x v="1"/>
    <x v="1"/>
    <x v="208"/>
    <x v="178"/>
    <x v="42"/>
    <s v="Apr'24"/>
    <x v="11"/>
    <s v="Dhaka"/>
    <s v="Present"/>
    <n v="1"/>
    <n v="10000"/>
    <s v="Paid"/>
  </r>
  <r>
    <x v="5"/>
    <x v="1"/>
    <x v="3"/>
    <x v="209"/>
    <x v="178"/>
    <x v="42"/>
    <s v="Apr'24"/>
    <x v="11"/>
    <s v="Dhaka"/>
    <s v="Present"/>
    <n v="1"/>
    <n v="10000"/>
    <s v="Paid"/>
  </r>
  <r>
    <x v="3"/>
    <x v="1"/>
    <x v="3"/>
    <x v="209"/>
    <x v="178"/>
    <x v="42"/>
    <s v="Apr'24"/>
    <x v="11"/>
    <s v="Dhaka"/>
    <s v="Absent"/>
    <n v="0"/>
    <n v="0"/>
    <s v="Paid"/>
  </r>
  <r>
    <x v="7"/>
    <x v="1"/>
    <x v="3"/>
    <x v="209"/>
    <x v="178"/>
    <x v="42"/>
    <s v="Apr'24"/>
    <x v="11"/>
    <s v="Dhaka"/>
    <s v="Present"/>
    <n v="1"/>
    <n v="10000"/>
    <s v="Paid"/>
  </r>
  <r>
    <x v="10"/>
    <x v="1"/>
    <x v="3"/>
    <x v="209"/>
    <x v="178"/>
    <x v="42"/>
    <s v="Apr'24"/>
    <x v="11"/>
    <s v="Dhaka"/>
    <s v="Present"/>
    <n v="1"/>
    <n v="10000"/>
    <s v="Paid"/>
  </r>
  <r>
    <x v="30"/>
    <x v="0"/>
    <x v="3"/>
    <x v="209"/>
    <x v="178"/>
    <x v="42"/>
    <s v="Apr'24"/>
    <x v="11"/>
    <s v="Dhaka"/>
    <s v="Present"/>
    <n v="1"/>
    <n v="10000"/>
    <s v="Paid"/>
  </r>
  <r>
    <x v="1"/>
    <x v="1"/>
    <x v="0"/>
    <x v="210"/>
    <x v="179"/>
    <x v="42"/>
    <s v="May'24"/>
    <x v="11"/>
    <s v="Dhaka"/>
    <s v="Present"/>
    <n v="1"/>
    <n v="10000"/>
    <s v="Paid"/>
  </r>
  <r>
    <x v="2"/>
    <x v="2"/>
    <x v="0"/>
    <x v="210"/>
    <x v="179"/>
    <x v="42"/>
    <s v="May'24"/>
    <x v="11"/>
    <s v="Dhaka"/>
    <s v="Absent"/>
    <n v="0"/>
    <n v="0"/>
    <s v="Paid"/>
  </r>
  <r>
    <x v="3"/>
    <x v="1"/>
    <x v="0"/>
    <x v="210"/>
    <x v="179"/>
    <x v="42"/>
    <s v="May'24"/>
    <x v="11"/>
    <s v="Dhaka"/>
    <s v="Absent"/>
    <n v="0"/>
    <n v="0"/>
    <s v="Paid"/>
  </r>
  <r>
    <x v="4"/>
    <x v="0"/>
    <x v="0"/>
    <x v="210"/>
    <x v="179"/>
    <x v="42"/>
    <s v="May'24"/>
    <x v="11"/>
    <s v="Dhaka"/>
    <s v="Present"/>
    <n v="1"/>
    <n v="10000"/>
    <s v="Paid"/>
  </r>
  <r>
    <x v="5"/>
    <x v="1"/>
    <x v="0"/>
    <x v="210"/>
    <x v="179"/>
    <x v="42"/>
    <s v="May'24"/>
    <x v="11"/>
    <s v="Dhaka"/>
    <s v="Present"/>
    <n v="1"/>
    <n v="10000"/>
    <s v="Paid"/>
  </r>
  <r>
    <x v="32"/>
    <x v="1"/>
    <x v="0"/>
    <x v="210"/>
    <x v="179"/>
    <x v="42"/>
    <s v="May'24"/>
    <x v="11"/>
    <s v="Dhaka"/>
    <s v="Present"/>
    <n v="1"/>
    <n v="10000"/>
    <s v="Paid"/>
  </r>
  <r>
    <x v="6"/>
    <x v="1"/>
    <x v="0"/>
    <x v="210"/>
    <x v="179"/>
    <x v="42"/>
    <s v="May'24"/>
    <x v="11"/>
    <s v="Dhaka"/>
    <s v="Present"/>
    <n v="1"/>
    <n v="10000"/>
    <s v="Paid"/>
  </r>
  <r>
    <x v="7"/>
    <x v="1"/>
    <x v="0"/>
    <x v="210"/>
    <x v="179"/>
    <x v="42"/>
    <s v="May'24"/>
    <x v="11"/>
    <s v="Dhaka"/>
    <s v="Present"/>
    <n v="1"/>
    <n v="10000"/>
    <s v="Paid"/>
  </r>
  <r>
    <x v="11"/>
    <x v="1"/>
    <x v="0"/>
    <x v="210"/>
    <x v="179"/>
    <x v="42"/>
    <s v="May'24"/>
    <x v="11"/>
    <s v="Dhaka"/>
    <s v="Present"/>
    <n v="1"/>
    <n v="10000"/>
    <s v="Paid"/>
  </r>
  <r>
    <x v="8"/>
    <x v="1"/>
    <x v="0"/>
    <x v="210"/>
    <x v="179"/>
    <x v="42"/>
    <s v="May'24"/>
    <x v="11"/>
    <s v="Dhaka"/>
    <s v="Absent"/>
    <n v="0"/>
    <n v="0"/>
    <s v="Paid"/>
  </r>
  <r>
    <x v="9"/>
    <x v="1"/>
    <x v="0"/>
    <x v="210"/>
    <x v="179"/>
    <x v="42"/>
    <s v="May'24"/>
    <x v="11"/>
    <s v="Dhaka"/>
    <s v="Absent"/>
    <n v="0"/>
    <n v="0"/>
    <s v="Paid"/>
  </r>
  <r>
    <x v="10"/>
    <x v="1"/>
    <x v="0"/>
    <x v="210"/>
    <x v="179"/>
    <x v="42"/>
    <s v="May'24"/>
    <x v="11"/>
    <s v="Dhaka"/>
    <s v="Absent"/>
    <n v="0"/>
    <n v="0"/>
    <s v="Paid"/>
  </r>
  <r>
    <x v="29"/>
    <x v="1"/>
    <x v="0"/>
    <x v="210"/>
    <x v="179"/>
    <x v="42"/>
    <s v="May'24"/>
    <x v="11"/>
    <s v="Dhaka"/>
    <s v="Present"/>
    <n v="1"/>
    <n v="10000"/>
    <s v="Paid"/>
  </r>
  <r>
    <x v="12"/>
    <x v="1"/>
    <x v="0"/>
    <x v="210"/>
    <x v="179"/>
    <x v="42"/>
    <s v="May'24"/>
    <x v="11"/>
    <s v="Dhaka"/>
    <s v="Present"/>
    <n v="1"/>
    <n v="10000"/>
    <s v="Paid"/>
  </r>
  <r>
    <x v="27"/>
    <x v="1"/>
    <x v="0"/>
    <x v="210"/>
    <x v="179"/>
    <x v="42"/>
    <s v="May'24"/>
    <x v="11"/>
    <s v="Dhaka"/>
    <s v="Present"/>
    <n v="1"/>
    <n v="10000"/>
    <s v="Paid"/>
  </r>
  <r>
    <x v="28"/>
    <x v="1"/>
    <x v="0"/>
    <x v="210"/>
    <x v="179"/>
    <x v="42"/>
    <s v="May'24"/>
    <x v="11"/>
    <s v="Dhaka"/>
    <s v="Present"/>
    <n v="1"/>
    <n v="10000"/>
    <s v="Paid"/>
  </r>
  <r>
    <x v="13"/>
    <x v="0"/>
    <x v="0"/>
    <x v="210"/>
    <x v="179"/>
    <x v="42"/>
    <s v="May'24"/>
    <x v="11"/>
    <s v="Dhaka"/>
    <s v="Present"/>
    <n v="1"/>
    <n v="10000"/>
    <s v="Paid"/>
  </r>
  <r>
    <x v="30"/>
    <x v="0"/>
    <x v="0"/>
    <x v="210"/>
    <x v="179"/>
    <x v="42"/>
    <s v="May'24"/>
    <x v="11"/>
    <s v="Dhaka"/>
    <s v="Present"/>
    <n v="1"/>
    <n v="10000"/>
    <s v="Paid"/>
  </r>
  <r>
    <x v="33"/>
    <x v="0"/>
    <x v="0"/>
    <x v="210"/>
    <x v="179"/>
    <x v="42"/>
    <s v="May'24"/>
    <x v="11"/>
    <s v="Dhaka"/>
    <s v="Absent"/>
    <n v="0"/>
    <n v="0"/>
    <s v="Paid"/>
  </r>
  <r>
    <x v="31"/>
    <x v="6"/>
    <x v="0"/>
    <x v="210"/>
    <x v="179"/>
    <x v="42"/>
    <s v="May'24"/>
    <x v="11"/>
    <s v="Dhaka"/>
    <s v="Present"/>
    <n v="1"/>
    <n v="10000"/>
    <s v="Paid"/>
  </r>
  <r>
    <x v="4"/>
    <x v="0"/>
    <x v="1"/>
    <x v="211"/>
    <x v="180"/>
    <x v="42"/>
    <s v="Jun'24"/>
    <x v="11"/>
    <s v="Dhaka"/>
    <s v="Present"/>
    <n v="1"/>
    <n v="10000"/>
    <s v="Paid"/>
  </r>
  <r>
    <x v="11"/>
    <x v="1"/>
    <x v="1"/>
    <x v="211"/>
    <x v="180"/>
    <x v="42"/>
    <s v="Jun'24"/>
    <x v="11"/>
    <s v="Dhaka"/>
    <s v="Present"/>
    <n v="1"/>
    <n v="10000"/>
    <s v="Paid"/>
  </r>
  <r>
    <x v="12"/>
    <x v="1"/>
    <x v="1"/>
    <x v="211"/>
    <x v="180"/>
    <x v="42"/>
    <s v="Jun'24"/>
    <x v="11"/>
    <s v="Dhaka"/>
    <s v="Present"/>
    <n v="1"/>
    <n v="10000"/>
    <s v="Paid"/>
  </r>
  <r>
    <x v="13"/>
    <x v="0"/>
    <x v="1"/>
    <x v="211"/>
    <x v="180"/>
    <x v="42"/>
    <s v="Jun'24"/>
    <x v="11"/>
    <s v="Dhaka"/>
    <s v="Present"/>
    <n v="1"/>
    <n v="10000"/>
    <s v="Paid"/>
  </r>
  <r>
    <x v="27"/>
    <x v="1"/>
    <x v="1"/>
    <x v="211"/>
    <x v="180"/>
    <x v="42"/>
    <s v="Jun'24"/>
    <x v="11"/>
    <s v="Dhaka"/>
    <s v="Present"/>
    <n v="1"/>
    <n v="10000"/>
    <s v="Paid"/>
  </r>
  <r>
    <x v="1"/>
    <x v="1"/>
    <x v="0"/>
    <x v="212"/>
    <x v="180"/>
    <x v="42"/>
    <s v="Jun'24"/>
    <x v="11"/>
    <s v="Dhaka"/>
    <s v="Absent"/>
    <n v="0"/>
    <n v="0"/>
    <s v="Paid"/>
  </r>
  <r>
    <x v="2"/>
    <x v="2"/>
    <x v="0"/>
    <x v="212"/>
    <x v="180"/>
    <x v="42"/>
    <s v="Jun'24"/>
    <x v="11"/>
    <s v="Dhaka"/>
    <s v="Present"/>
    <n v="1"/>
    <n v="10000"/>
    <s v="Paid"/>
  </r>
  <r>
    <x v="3"/>
    <x v="1"/>
    <x v="0"/>
    <x v="212"/>
    <x v="180"/>
    <x v="42"/>
    <s v="Jun'24"/>
    <x v="11"/>
    <s v="Dhaka"/>
    <s v="Present"/>
    <n v="1"/>
    <n v="10000"/>
    <s v="Paid"/>
  </r>
  <r>
    <x v="4"/>
    <x v="0"/>
    <x v="0"/>
    <x v="212"/>
    <x v="180"/>
    <x v="42"/>
    <s v="Jun'24"/>
    <x v="11"/>
    <s v="Dhaka"/>
    <s v="Present"/>
    <n v="1"/>
    <n v="10000"/>
    <s v="Paid"/>
  </r>
  <r>
    <x v="5"/>
    <x v="1"/>
    <x v="0"/>
    <x v="212"/>
    <x v="180"/>
    <x v="42"/>
    <s v="Jun'24"/>
    <x v="11"/>
    <s v="Dhaka"/>
    <s v="Present"/>
    <n v="1"/>
    <n v="10000"/>
    <s v="Paid"/>
  </r>
  <r>
    <x v="32"/>
    <x v="1"/>
    <x v="0"/>
    <x v="212"/>
    <x v="180"/>
    <x v="42"/>
    <s v="Jun'24"/>
    <x v="11"/>
    <s v="Dhaka"/>
    <s v="Present"/>
    <n v="1"/>
    <n v="10000"/>
    <s v="Paid"/>
  </r>
  <r>
    <x v="6"/>
    <x v="1"/>
    <x v="0"/>
    <x v="212"/>
    <x v="180"/>
    <x v="42"/>
    <s v="Jun'24"/>
    <x v="11"/>
    <s v="Dhaka"/>
    <s v="Present"/>
    <n v="1"/>
    <n v="10000"/>
    <s v="Paid"/>
  </r>
  <r>
    <x v="7"/>
    <x v="1"/>
    <x v="0"/>
    <x v="212"/>
    <x v="180"/>
    <x v="42"/>
    <s v="Jun'24"/>
    <x v="11"/>
    <s v="Dhaka"/>
    <s v="Present"/>
    <n v="1"/>
    <n v="10000"/>
    <s v="Paid"/>
  </r>
  <r>
    <x v="11"/>
    <x v="1"/>
    <x v="0"/>
    <x v="212"/>
    <x v="180"/>
    <x v="42"/>
    <s v="Jun'24"/>
    <x v="11"/>
    <s v="Dhaka"/>
    <s v="Present"/>
    <n v="1"/>
    <n v="10000"/>
    <s v="Paid"/>
  </r>
  <r>
    <x v="8"/>
    <x v="1"/>
    <x v="0"/>
    <x v="212"/>
    <x v="180"/>
    <x v="42"/>
    <s v="Jun'24"/>
    <x v="11"/>
    <s v="Dhaka"/>
    <s v="Absent"/>
    <n v="0"/>
    <n v="0"/>
    <s v="Paid"/>
  </r>
  <r>
    <x v="9"/>
    <x v="1"/>
    <x v="0"/>
    <x v="212"/>
    <x v="180"/>
    <x v="42"/>
    <s v="Jun'24"/>
    <x v="11"/>
    <s v="Dhaka"/>
    <s v="Absent"/>
    <n v="0"/>
    <n v="0"/>
    <s v="Paid"/>
  </r>
  <r>
    <x v="10"/>
    <x v="1"/>
    <x v="0"/>
    <x v="212"/>
    <x v="180"/>
    <x v="42"/>
    <s v="Jun'24"/>
    <x v="11"/>
    <s v="Dhaka"/>
    <s v="Absent"/>
    <n v="0"/>
    <n v="0"/>
    <s v="Paid"/>
  </r>
  <r>
    <x v="29"/>
    <x v="1"/>
    <x v="0"/>
    <x v="212"/>
    <x v="180"/>
    <x v="42"/>
    <s v="Jun'24"/>
    <x v="11"/>
    <s v="Dhaka"/>
    <s v="Present"/>
    <n v="1"/>
    <n v="10000"/>
    <s v="Paid"/>
  </r>
  <r>
    <x v="12"/>
    <x v="1"/>
    <x v="0"/>
    <x v="212"/>
    <x v="180"/>
    <x v="42"/>
    <s v="Jun'24"/>
    <x v="11"/>
    <s v="Dhaka"/>
    <s v="Present"/>
    <n v="1"/>
    <n v="10000"/>
    <s v="Paid"/>
  </r>
  <r>
    <x v="27"/>
    <x v="1"/>
    <x v="0"/>
    <x v="212"/>
    <x v="180"/>
    <x v="42"/>
    <s v="Jun'24"/>
    <x v="11"/>
    <s v="Dhaka"/>
    <s v="Present"/>
    <n v="1"/>
    <n v="10000"/>
    <s v="Paid"/>
  </r>
  <r>
    <x v="28"/>
    <x v="1"/>
    <x v="0"/>
    <x v="212"/>
    <x v="180"/>
    <x v="42"/>
    <s v="Jun'24"/>
    <x v="11"/>
    <s v="Dhaka"/>
    <s v="Present"/>
    <n v="1"/>
    <n v="10000"/>
    <s v="Paid"/>
  </r>
  <r>
    <x v="13"/>
    <x v="0"/>
    <x v="0"/>
    <x v="212"/>
    <x v="180"/>
    <x v="42"/>
    <s v="Jun'24"/>
    <x v="11"/>
    <s v="Dhaka"/>
    <s v="Present"/>
    <n v="1"/>
    <n v="10000"/>
    <s v="Paid"/>
  </r>
  <r>
    <x v="30"/>
    <x v="0"/>
    <x v="0"/>
    <x v="212"/>
    <x v="180"/>
    <x v="42"/>
    <s v="Jun'24"/>
    <x v="11"/>
    <s v="Dhaka"/>
    <s v="Present"/>
    <n v="1"/>
    <n v="10000"/>
    <s v="Paid"/>
  </r>
  <r>
    <x v="33"/>
    <x v="0"/>
    <x v="0"/>
    <x v="212"/>
    <x v="180"/>
    <x v="42"/>
    <s v="Jun'24"/>
    <x v="11"/>
    <s v="Dhaka"/>
    <s v="Present"/>
    <n v="1"/>
    <n v="10000"/>
    <s v="Paid"/>
  </r>
  <r>
    <x v="21"/>
    <x v="3"/>
    <x v="0"/>
    <x v="212"/>
    <x v="180"/>
    <x v="42"/>
    <s v="Jun'24"/>
    <x v="11"/>
    <s v="Dhaka"/>
    <s v="Present"/>
    <n v="1"/>
    <n v="10000"/>
    <s v="Paid"/>
  </r>
  <r>
    <x v="3"/>
    <x v="1"/>
    <x v="2"/>
    <x v="157"/>
    <x v="180"/>
    <x v="42"/>
    <s v="Jun'24"/>
    <x v="11"/>
    <s v="Dhaka"/>
    <s v="Present"/>
    <n v="1"/>
    <n v="10000"/>
    <s v="Paid"/>
  </r>
  <r>
    <x v="2"/>
    <x v="2"/>
    <x v="2"/>
    <x v="157"/>
    <x v="180"/>
    <x v="42"/>
    <s v="Jun'24"/>
    <x v="11"/>
    <s v="Dhaka"/>
    <s v="Present"/>
    <n v="1"/>
    <n v="10000"/>
    <s v="Paid"/>
  </r>
  <r>
    <x v="5"/>
    <x v="1"/>
    <x v="2"/>
    <x v="157"/>
    <x v="180"/>
    <x v="42"/>
    <s v="Jun'24"/>
    <x v="11"/>
    <s v="Dhaka"/>
    <s v="Present"/>
    <n v="1"/>
    <n v="10000"/>
    <s v="Paid"/>
  </r>
  <r>
    <x v="6"/>
    <x v="1"/>
    <x v="2"/>
    <x v="157"/>
    <x v="180"/>
    <x v="42"/>
    <s v="Jun'24"/>
    <x v="11"/>
    <s v="Dhaka"/>
    <s v="Present"/>
    <n v="1"/>
    <n v="10000"/>
    <s v="Paid"/>
  </r>
  <r>
    <x v="7"/>
    <x v="1"/>
    <x v="2"/>
    <x v="157"/>
    <x v="180"/>
    <x v="42"/>
    <s v="Jun'24"/>
    <x v="11"/>
    <s v="Dhaka"/>
    <s v="Present"/>
    <n v="1"/>
    <n v="10000"/>
    <s v="Paid"/>
  </r>
  <r>
    <x v="8"/>
    <x v="1"/>
    <x v="2"/>
    <x v="157"/>
    <x v="180"/>
    <x v="42"/>
    <s v="Jun'24"/>
    <x v="11"/>
    <s v="Dhaka"/>
    <s v="Absent"/>
    <n v="0"/>
    <n v="0"/>
    <s v="Paid"/>
  </r>
  <r>
    <x v="9"/>
    <x v="1"/>
    <x v="2"/>
    <x v="157"/>
    <x v="180"/>
    <x v="42"/>
    <s v="Jun'24"/>
    <x v="11"/>
    <s v="Dhaka"/>
    <s v="Absent"/>
    <n v="0"/>
    <n v="0"/>
    <s v="Paid"/>
  </r>
  <r>
    <x v="21"/>
    <x v="3"/>
    <x v="2"/>
    <x v="157"/>
    <x v="180"/>
    <x v="42"/>
    <s v="Jun'24"/>
    <x v="11"/>
    <s v="Dhaka"/>
    <s v="Present"/>
    <n v="1"/>
    <n v="10000"/>
    <s v="Paid"/>
  </r>
  <r>
    <x v="23"/>
    <x v="5"/>
    <x v="5"/>
    <x v="213"/>
    <x v="181"/>
    <x v="42"/>
    <s v="Jun'24"/>
    <x v="11"/>
    <s v="Dhaka"/>
    <s v="Present"/>
    <n v="1"/>
    <n v="10000"/>
    <s v="Paid"/>
  </r>
  <r>
    <x v="24"/>
    <x v="4"/>
    <x v="5"/>
    <x v="213"/>
    <x v="181"/>
    <x v="42"/>
    <s v="Jun'24"/>
    <x v="11"/>
    <s v="Dhaka"/>
    <s v="Present"/>
    <n v="1"/>
    <n v="10000"/>
    <s v="Paid"/>
  </r>
  <r>
    <x v="25"/>
    <x v="4"/>
    <x v="5"/>
    <x v="213"/>
    <x v="181"/>
    <x v="42"/>
    <s v="Jun'24"/>
    <x v="11"/>
    <s v="Dhaka"/>
    <s v="Present"/>
    <n v="1"/>
    <n v="10000"/>
    <s v="Paid"/>
  </r>
  <r>
    <x v="26"/>
    <x v="4"/>
    <x v="5"/>
    <x v="213"/>
    <x v="181"/>
    <x v="42"/>
    <s v="Jun'24"/>
    <x v="11"/>
    <s v="Dhaka"/>
    <s v="Present"/>
    <n v="1"/>
    <n v="10000"/>
    <s v="Paid"/>
  </r>
  <r>
    <x v="22"/>
    <x v="4"/>
    <x v="5"/>
    <x v="213"/>
    <x v="181"/>
    <x v="42"/>
    <s v="Jun'24"/>
    <x v="11"/>
    <s v="Dhaka"/>
    <s v="Present"/>
    <n v="1"/>
    <n v="10000"/>
    <s v="Paid"/>
  </r>
  <r>
    <x v="1"/>
    <x v="1"/>
    <x v="0"/>
    <x v="214"/>
    <x v="182"/>
    <x v="43"/>
    <s v="Jul'24"/>
    <x v="11"/>
    <s v="Dhaka"/>
    <s v="Absent"/>
    <n v="0"/>
    <n v="0"/>
    <s v="Paid"/>
  </r>
  <r>
    <x v="2"/>
    <x v="2"/>
    <x v="0"/>
    <x v="214"/>
    <x v="182"/>
    <x v="43"/>
    <s v="Jul'24"/>
    <x v="11"/>
    <s v="Dhaka"/>
    <s v="Present"/>
    <n v="1"/>
    <n v="10000"/>
    <s v="Paid"/>
  </r>
  <r>
    <x v="3"/>
    <x v="1"/>
    <x v="0"/>
    <x v="214"/>
    <x v="182"/>
    <x v="43"/>
    <s v="Jul'24"/>
    <x v="11"/>
    <s v="Dhaka"/>
    <s v="Present"/>
    <n v="1"/>
    <n v="10000"/>
    <s v="Paid"/>
  </r>
  <r>
    <x v="4"/>
    <x v="0"/>
    <x v="0"/>
    <x v="214"/>
    <x v="182"/>
    <x v="43"/>
    <s v="Jul'24"/>
    <x v="11"/>
    <s v="Dhaka"/>
    <s v="Present"/>
    <n v="1"/>
    <n v="10000"/>
    <s v="Paid"/>
  </r>
  <r>
    <x v="5"/>
    <x v="1"/>
    <x v="0"/>
    <x v="214"/>
    <x v="182"/>
    <x v="43"/>
    <s v="Jul'24"/>
    <x v="11"/>
    <s v="Dhaka"/>
    <s v="Present"/>
    <n v="1"/>
    <n v="10000"/>
    <s v="Paid"/>
  </r>
  <r>
    <x v="32"/>
    <x v="1"/>
    <x v="0"/>
    <x v="214"/>
    <x v="182"/>
    <x v="43"/>
    <s v="Jul'24"/>
    <x v="11"/>
    <s v="Dhaka"/>
    <s v="Absent"/>
    <n v="0"/>
    <n v="0"/>
    <s v="Paid"/>
  </r>
  <r>
    <x v="6"/>
    <x v="1"/>
    <x v="0"/>
    <x v="214"/>
    <x v="182"/>
    <x v="43"/>
    <s v="Jul'24"/>
    <x v="11"/>
    <s v="Dhaka"/>
    <s v="Present"/>
    <n v="1"/>
    <n v="10000"/>
    <s v="Paid"/>
  </r>
  <r>
    <x v="7"/>
    <x v="1"/>
    <x v="0"/>
    <x v="214"/>
    <x v="182"/>
    <x v="43"/>
    <s v="Jul'24"/>
    <x v="11"/>
    <s v="Dhaka"/>
    <s v="Absent"/>
    <n v="0"/>
    <n v="0"/>
    <s v="Paid"/>
  </r>
  <r>
    <x v="11"/>
    <x v="1"/>
    <x v="0"/>
    <x v="214"/>
    <x v="182"/>
    <x v="43"/>
    <s v="Jul'24"/>
    <x v="11"/>
    <s v="Dhaka"/>
    <s v="Present"/>
    <n v="1"/>
    <n v="10000"/>
    <s v="Paid"/>
  </r>
  <r>
    <x v="8"/>
    <x v="1"/>
    <x v="0"/>
    <x v="214"/>
    <x v="182"/>
    <x v="43"/>
    <s v="Jul'24"/>
    <x v="11"/>
    <s v="Dhaka"/>
    <s v="Present"/>
    <n v="1"/>
    <n v="10000"/>
    <s v="Paid"/>
  </r>
  <r>
    <x v="9"/>
    <x v="1"/>
    <x v="0"/>
    <x v="214"/>
    <x v="182"/>
    <x v="43"/>
    <s v="Jul'24"/>
    <x v="11"/>
    <s v="Dhaka"/>
    <s v="Absent"/>
    <n v="0"/>
    <n v="0"/>
    <s v="Paid"/>
  </r>
  <r>
    <x v="10"/>
    <x v="1"/>
    <x v="0"/>
    <x v="214"/>
    <x v="182"/>
    <x v="43"/>
    <s v="Jul'24"/>
    <x v="11"/>
    <s v="Dhaka"/>
    <s v="Absent"/>
    <n v="0"/>
    <n v="0"/>
    <s v="Paid"/>
  </r>
  <r>
    <x v="29"/>
    <x v="1"/>
    <x v="0"/>
    <x v="214"/>
    <x v="182"/>
    <x v="43"/>
    <s v="Jul'24"/>
    <x v="11"/>
    <s v="Dhaka"/>
    <s v="Present"/>
    <n v="1"/>
    <n v="10000"/>
    <s v="Paid"/>
  </r>
  <r>
    <x v="12"/>
    <x v="1"/>
    <x v="0"/>
    <x v="214"/>
    <x v="182"/>
    <x v="43"/>
    <s v="Jul'24"/>
    <x v="11"/>
    <s v="Dhaka"/>
    <s v="Present"/>
    <n v="1"/>
    <n v="10000"/>
    <s v="Paid"/>
  </r>
  <r>
    <x v="27"/>
    <x v="1"/>
    <x v="0"/>
    <x v="214"/>
    <x v="182"/>
    <x v="43"/>
    <s v="Jul'24"/>
    <x v="11"/>
    <s v="Dhaka"/>
    <s v="Present"/>
    <n v="1"/>
    <n v="10000"/>
    <s v="Paid"/>
  </r>
  <r>
    <x v="28"/>
    <x v="1"/>
    <x v="0"/>
    <x v="214"/>
    <x v="182"/>
    <x v="43"/>
    <s v="Jul'24"/>
    <x v="11"/>
    <s v="Dhaka"/>
    <s v="Present"/>
    <n v="1"/>
    <n v="10000"/>
    <s v="Paid"/>
  </r>
  <r>
    <x v="13"/>
    <x v="0"/>
    <x v="0"/>
    <x v="214"/>
    <x v="182"/>
    <x v="43"/>
    <s v="Jul'24"/>
    <x v="11"/>
    <s v="Dhaka"/>
    <s v="Present"/>
    <n v="1"/>
    <n v="10000"/>
    <s v="Paid"/>
  </r>
  <r>
    <x v="30"/>
    <x v="0"/>
    <x v="0"/>
    <x v="214"/>
    <x v="182"/>
    <x v="43"/>
    <s v="Jul'24"/>
    <x v="11"/>
    <s v="Dhaka"/>
    <s v="Present"/>
    <n v="1"/>
    <n v="10000"/>
    <s v="Paid"/>
  </r>
  <r>
    <x v="33"/>
    <x v="0"/>
    <x v="0"/>
    <x v="214"/>
    <x v="182"/>
    <x v="43"/>
    <s v="Jul'24"/>
    <x v="11"/>
    <s v="Dhaka"/>
    <s v="Present"/>
    <n v="1"/>
    <n v="10000"/>
    <s v="Paid"/>
  </r>
  <r>
    <x v="21"/>
    <x v="3"/>
    <x v="0"/>
    <x v="214"/>
    <x v="182"/>
    <x v="43"/>
    <s v="Jul'24"/>
    <x v="11"/>
    <s v="Dhaka"/>
    <s v="Present"/>
    <n v="1"/>
    <n v="10000"/>
    <s v="Paid"/>
  </r>
  <r>
    <x v="4"/>
    <x v="0"/>
    <x v="1"/>
    <x v="215"/>
    <x v="182"/>
    <x v="43"/>
    <s v="Jul'24"/>
    <x v="11"/>
    <s v="Dhaka"/>
    <s v="Present"/>
    <n v="1"/>
    <n v="10000"/>
    <s v="Paid"/>
  </r>
  <r>
    <x v="11"/>
    <x v="1"/>
    <x v="1"/>
    <x v="215"/>
    <x v="182"/>
    <x v="43"/>
    <s v="Jul'24"/>
    <x v="11"/>
    <s v="Dhaka"/>
    <s v="Present"/>
    <n v="1"/>
    <n v="10000"/>
    <s v="Paid"/>
  </r>
  <r>
    <x v="12"/>
    <x v="1"/>
    <x v="1"/>
    <x v="215"/>
    <x v="182"/>
    <x v="43"/>
    <s v="Jul'24"/>
    <x v="11"/>
    <s v="Dhaka"/>
    <s v="Present"/>
    <n v="1"/>
    <n v="10000"/>
    <s v="Paid"/>
  </r>
  <r>
    <x v="13"/>
    <x v="0"/>
    <x v="1"/>
    <x v="215"/>
    <x v="182"/>
    <x v="43"/>
    <s v="Jul'24"/>
    <x v="11"/>
    <s v="Dhaka"/>
    <s v="Present"/>
    <n v="1"/>
    <n v="10000"/>
    <s v="Paid"/>
  </r>
  <r>
    <x v="27"/>
    <x v="1"/>
    <x v="1"/>
    <x v="215"/>
    <x v="182"/>
    <x v="43"/>
    <s v="Jul'24"/>
    <x v="11"/>
    <s v="Dhaka"/>
    <s v="Present"/>
    <n v="1"/>
    <n v="10000"/>
    <s v="Paid"/>
  </r>
  <r>
    <x v="8"/>
    <x v="1"/>
    <x v="0"/>
    <x v="216"/>
    <x v="183"/>
    <x v="43"/>
    <s v="Aug'24"/>
    <x v="11"/>
    <s v="Dhaka"/>
    <s v="Present"/>
    <n v="1"/>
    <n v="10000"/>
    <s v="Paid"/>
  </r>
  <r>
    <x v="2"/>
    <x v="2"/>
    <x v="0"/>
    <x v="216"/>
    <x v="183"/>
    <x v="43"/>
    <s v="Aug'24"/>
    <x v="11"/>
    <s v="Dhaka"/>
    <s v="Present"/>
    <n v="1"/>
    <n v="10000"/>
    <s v="Paid"/>
  </r>
  <r>
    <x v="3"/>
    <x v="1"/>
    <x v="0"/>
    <x v="216"/>
    <x v="183"/>
    <x v="43"/>
    <s v="Aug'24"/>
    <x v="11"/>
    <s v="Dhaka"/>
    <s v="Present"/>
    <n v="1"/>
    <n v="10000"/>
    <s v="Paid"/>
  </r>
  <r>
    <x v="4"/>
    <x v="0"/>
    <x v="0"/>
    <x v="216"/>
    <x v="183"/>
    <x v="43"/>
    <s v="Aug'24"/>
    <x v="11"/>
    <s v="Dhaka"/>
    <s v="Absent"/>
    <n v="0"/>
    <n v="0"/>
    <s v="Paid"/>
  </r>
  <r>
    <x v="5"/>
    <x v="1"/>
    <x v="0"/>
    <x v="216"/>
    <x v="183"/>
    <x v="43"/>
    <s v="Aug'24"/>
    <x v="11"/>
    <s v="Dhaka"/>
    <s v="Present"/>
    <n v="1"/>
    <n v="10000"/>
    <s v="Paid"/>
  </r>
  <r>
    <x v="32"/>
    <x v="1"/>
    <x v="0"/>
    <x v="216"/>
    <x v="183"/>
    <x v="43"/>
    <s v="Aug'24"/>
    <x v="11"/>
    <s v="Dhaka"/>
    <s v="Present"/>
    <n v="1"/>
    <n v="10000"/>
    <s v="Paid"/>
  </r>
  <r>
    <x v="6"/>
    <x v="1"/>
    <x v="0"/>
    <x v="216"/>
    <x v="183"/>
    <x v="43"/>
    <s v="Aug'24"/>
    <x v="11"/>
    <s v="Dhaka"/>
    <s v="Present"/>
    <n v="1"/>
    <n v="10000"/>
    <s v="Paid"/>
  </r>
  <r>
    <x v="7"/>
    <x v="1"/>
    <x v="0"/>
    <x v="216"/>
    <x v="183"/>
    <x v="43"/>
    <s v="Aug'24"/>
    <x v="11"/>
    <s v="Dhaka"/>
    <s v="Present"/>
    <n v="1"/>
    <n v="10000"/>
    <s v="Paid"/>
  </r>
  <r>
    <x v="11"/>
    <x v="1"/>
    <x v="0"/>
    <x v="216"/>
    <x v="183"/>
    <x v="43"/>
    <s v="Aug'24"/>
    <x v="11"/>
    <s v="Dhaka"/>
    <s v="Present"/>
    <n v="1"/>
    <n v="10000"/>
    <s v="Paid"/>
  </r>
  <r>
    <x v="9"/>
    <x v="1"/>
    <x v="0"/>
    <x v="216"/>
    <x v="183"/>
    <x v="43"/>
    <s v="Aug'24"/>
    <x v="11"/>
    <s v="Dhaka"/>
    <s v="Absent"/>
    <n v="0"/>
    <n v="0"/>
    <s v="Paid"/>
  </r>
  <r>
    <x v="29"/>
    <x v="1"/>
    <x v="0"/>
    <x v="216"/>
    <x v="183"/>
    <x v="43"/>
    <s v="Aug'24"/>
    <x v="11"/>
    <s v="Dhaka"/>
    <s v="Absent"/>
    <n v="0"/>
    <n v="0"/>
    <s v="Paid"/>
  </r>
  <r>
    <x v="12"/>
    <x v="1"/>
    <x v="0"/>
    <x v="216"/>
    <x v="183"/>
    <x v="43"/>
    <s v="Aug'24"/>
    <x v="11"/>
    <s v="Dhaka"/>
    <s v="Absent"/>
    <n v="0"/>
    <n v="0"/>
    <s v="Paid"/>
  </r>
  <r>
    <x v="27"/>
    <x v="1"/>
    <x v="0"/>
    <x v="216"/>
    <x v="183"/>
    <x v="43"/>
    <s v="Aug'24"/>
    <x v="11"/>
    <s v="Dhaka"/>
    <s v="Present"/>
    <n v="1"/>
    <n v="10000"/>
    <s v="Paid"/>
  </r>
  <r>
    <x v="28"/>
    <x v="1"/>
    <x v="0"/>
    <x v="216"/>
    <x v="183"/>
    <x v="43"/>
    <s v="Aug'24"/>
    <x v="11"/>
    <s v="Dhaka"/>
    <s v="Present"/>
    <n v="1"/>
    <n v="10000"/>
    <s v="Paid"/>
  </r>
  <r>
    <x v="13"/>
    <x v="0"/>
    <x v="0"/>
    <x v="216"/>
    <x v="183"/>
    <x v="43"/>
    <s v="Aug'24"/>
    <x v="11"/>
    <s v="Dhaka"/>
    <s v="Present"/>
    <n v="1"/>
    <n v="10000"/>
    <s v="Paid"/>
  </r>
  <r>
    <x v="30"/>
    <x v="0"/>
    <x v="0"/>
    <x v="216"/>
    <x v="183"/>
    <x v="43"/>
    <s v="Aug'24"/>
    <x v="11"/>
    <s v="Dhaka"/>
    <s v="Present"/>
    <n v="1"/>
    <n v="10000"/>
    <s v="Paid"/>
  </r>
  <r>
    <x v="33"/>
    <x v="0"/>
    <x v="0"/>
    <x v="216"/>
    <x v="183"/>
    <x v="43"/>
    <s v="Aug'24"/>
    <x v="11"/>
    <s v="Dhaka"/>
    <s v="Absent"/>
    <n v="0"/>
    <n v="0"/>
    <s v="Paid"/>
  </r>
  <r>
    <x v="34"/>
    <x v="6"/>
    <x v="0"/>
    <x v="216"/>
    <x v="183"/>
    <x v="43"/>
    <s v="Aug'24"/>
    <x v="11"/>
    <s v="Dhaka"/>
    <s v="Present"/>
    <n v="1"/>
    <n v="10000"/>
    <s v="Paid"/>
  </r>
  <r>
    <x v="35"/>
    <x v="7"/>
    <x v="0"/>
    <x v="217"/>
    <x v="184"/>
    <x v="43"/>
    <s v="Aug'24"/>
    <x v="11"/>
    <s v="Dhaka"/>
    <s v="Present"/>
    <n v="1"/>
    <n v="10000"/>
    <s v="Paid"/>
  </r>
  <r>
    <x v="36"/>
    <x v="8"/>
    <x v="0"/>
    <x v="217"/>
    <x v="184"/>
    <x v="43"/>
    <s v="Aug'24"/>
    <x v="11"/>
    <s v="Dhaka"/>
    <s v="Present"/>
    <n v="1"/>
    <n v="10000"/>
    <s v="Paid"/>
  </r>
  <r>
    <x v="37"/>
    <x v="9"/>
    <x v="0"/>
    <x v="217"/>
    <x v="184"/>
    <x v="43"/>
    <s v="Aug'24"/>
    <x v="11"/>
    <s v="Dhaka"/>
    <s v="Present"/>
    <n v="1"/>
    <n v="10000"/>
    <s v="Paid"/>
  </r>
  <r>
    <x v="38"/>
    <x v="10"/>
    <x v="0"/>
    <x v="217"/>
    <x v="184"/>
    <x v="43"/>
    <s v="Aug'24"/>
    <x v="11"/>
    <s v="Dhaka"/>
    <s v="Present"/>
    <n v="1"/>
    <n v="10000"/>
    <s v="Paid"/>
  </r>
  <r>
    <x v="39"/>
    <x v="10"/>
    <x v="0"/>
    <x v="217"/>
    <x v="184"/>
    <x v="43"/>
    <s v="Aug'24"/>
    <x v="11"/>
    <s v="Dhaka"/>
    <s v="Present"/>
    <n v="1"/>
    <n v="10000"/>
    <s v="Paid"/>
  </r>
  <r>
    <x v="34"/>
    <x v="6"/>
    <x v="0"/>
    <x v="217"/>
    <x v="184"/>
    <x v="43"/>
    <s v="Aug'24"/>
    <x v="11"/>
    <s v="Dhaka"/>
    <s v="Present"/>
    <n v="1"/>
    <n v="10000"/>
    <s v="Paid"/>
  </r>
  <r>
    <x v="39"/>
    <x v="10"/>
    <x v="1"/>
    <x v="218"/>
    <x v="185"/>
    <x v="43"/>
    <s v="Sep'24"/>
    <x v="11"/>
    <s v="Dhaka"/>
    <s v="Present"/>
    <n v="1"/>
    <n v="10000"/>
    <s v="Paid"/>
  </r>
  <r>
    <x v="35"/>
    <x v="7"/>
    <x v="0"/>
    <x v="219"/>
    <x v="186"/>
    <x v="43"/>
    <s v="Sep'24"/>
    <x v="11"/>
    <s v="Dhaka"/>
    <s v="Present"/>
    <n v="1"/>
    <n v="10000"/>
    <s v="Paid"/>
  </r>
  <r>
    <x v="36"/>
    <x v="8"/>
    <x v="0"/>
    <x v="219"/>
    <x v="186"/>
    <x v="43"/>
    <s v="Sep'24"/>
    <x v="11"/>
    <s v="Dhaka"/>
    <s v="Present"/>
    <n v="1"/>
    <n v="10000"/>
    <s v="Paid"/>
  </r>
  <r>
    <x v="37"/>
    <x v="9"/>
    <x v="0"/>
    <x v="219"/>
    <x v="186"/>
    <x v="43"/>
    <s v="Sep'24"/>
    <x v="11"/>
    <s v="Dhaka"/>
    <s v="Present"/>
    <n v="1"/>
    <n v="10000"/>
    <s v="Paid"/>
  </r>
  <r>
    <x v="38"/>
    <x v="10"/>
    <x v="0"/>
    <x v="219"/>
    <x v="186"/>
    <x v="43"/>
    <s v="Sep'24"/>
    <x v="11"/>
    <s v="Dhaka"/>
    <s v="Present"/>
    <n v="1"/>
    <n v="10000"/>
    <s v="Paid"/>
  </r>
  <r>
    <x v="39"/>
    <x v="10"/>
    <x v="0"/>
    <x v="219"/>
    <x v="186"/>
    <x v="43"/>
    <s v="Sep'24"/>
    <x v="11"/>
    <s v="Dhaka"/>
    <s v="Present"/>
    <n v="1"/>
    <n v="10000"/>
    <s v="Paid"/>
  </r>
  <r>
    <x v="31"/>
    <x v="6"/>
    <x v="0"/>
    <x v="219"/>
    <x v="186"/>
    <x v="43"/>
    <s v="Sep'24"/>
    <x v="11"/>
    <s v="Dhaka"/>
    <s v="Present"/>
    <n v="1"/>
    <n v="10000"/>
    <s v="Paid"/>
  </r>
  <r>
    <x v="36"/>
    <x v="8"/>
    <x v="2"/>
    <x v="159"/>
    <x v="186"/>
    <x v="43"/>
    <s v="Sep'24"/>
    <x v="11"/>
    <s v="Dhaka"/>
    <s v="Present"/>
    <n v="1"/>
    <n v="10000"/>
    <s v="Paid"/>
  </r>
  <r>
    <x v="35"/>
    <x v="7"/>
    <x v="2"/>
    <x v="159"/>
    <x v="186"/>
    <x v="43"/>
    <s v="Sep'24"/>
    <x v="11"/>
    <s v="Dhaka"/>
    <s v="Present"/>
    <n v="1"/>
    <n v="10000"/>
    <s v="Paid"/>
  </r>
  <r>
    <x v="37"/>
    <x v="9"/>
    <x v="2"/>
    <x v="159"/>
    <x v="186"/>
    <x v="43"/>
    <s v="Sep'24"/>
    <x v="11"/>
    <s v="Dhaka"/>
    <s v="Present"/>
    <n v="1"/>
    <n v="10000"/>
    <s v="Paid"/>
  </r>
  <r>
    <x v="31"/>
    <x v="6"/>
    <x v="2"/>
    <x v="159"/>
    <x v="186"/>
    <x v="43"/>
    <s v="Sep'24"/>
    <x v="11"/>
    <s v="Dhaka"/>
    <s v="Present"/>
    <n v="1"/>
    <n v="10000"/>
    <s v="Paid"/>
  </r>
  <r>
    <x v="39"/>
    <x v="10"/>
    <x v="1"/>
    <x v="220"/>
    <x v="187"/>
    <x v="43"/>
    <s v="Sep'24"/>
    <x v="11"/>
    <s v="Dhaka"/>
    <s v="Present"/>
    <n v="1"/>
    <n v="0"/>
    <s v="Unpaid"/>
  </r>
  <r>
    <x v="38"/>
    <x v="10"/>
    <x v="1"/>
    <x v="220"/>
    <x v="187"/>
    <x v="43"/>
    <s v="Sep'24"/>
    <x v="11"/>
    <s v="Dhaka"/>
    <s v="Present"/>
    <n v="1"/>
    <n v="10000"/>
    <s v="Paid"/>
  </r>
  <r>
    <x v="35"/>
    <x v="7"/>
    <x v="0"/>
    <x v="221"/>
    <x v="188"/>
    <x v="43"/>
    <s v="Sep'24"/>
    <x v="11"/>
    <s v="Dhaka"/>
    <s v="Present"/>
    <n v="1"/>
    <n v="10000"/>
    <s v="Paid"/>
  </r>
  <r>
    <x v="36"/>
    <x v="8"/>
    <x v="0"/>
    <x v="221"/>
    <x v="188"/>
    <x v="43"/>
    <s v="Sep'24"/>
    <x v="11"/>
    <s v="Dhaka"/>
    <s v="Present"/>
    <n v="1"/>
    <n v="10000"/>
    <s v="Paid"/>
  </r>
  <r>
    <x v="37"/>
    <x v="9"/>
    <x v="0"/>
    <x v="221"/>
    <x v="188"/>
    <x v="43"/>
    <s v="Sep'24"/>
    <x v="11"/>
    <s v="Dhaka"/>
    <s v="Present"/>
    <n v="1"/>
    <n v="10000"/>
    <s v="Paid"/>
  </r>
  <r>
    <x v="38"/>
    <x v="10"/>
    <x v="0"/>
    <x v="221"/>
    <x v="188"/>
    <x v="43"/>
    <s v="Sep'24"/>
    <x v="11"/>
    <s v="Dhaka"/>
    <s v="Present"/>
    <n v="1"/>
    <n v="10000"/>
    <s v="Paid"/>
  </r>
  <r>
    <x v="39"/>
    <x v="10"/>
    <x v="0"/>
    <x v="221"/>
    <x v="188"/>
    <x v="43"/>
    <s v="Sep'24"/>
    <x v="11"/>
    <s v="Dhaka"/>
    <s v="Present"/>
    <n v="1"/>
    <n v="10000"/>
    <s v="Paid"/>
  </r>
  <r>
    <x v="31"/>
    <x v="6"/>
    <x v="0"/>
    <x v="221"/>
    <x v="188"/>
    <x v="43"/>
    <s v="Sep'24"/>
    <x v="11"/>
    <s v="Dhaka"/>
    <s v="Present"/>
    <n v="1"/>
    <n v="10000"/>
    <s v="Paid"/>
  </r>
  <r>
    <x v="38"/>
    <x v="10"/>
    <x v="3"/>
    <x v="222"/>
    <x v="189"/>
    <x v="43"/>
    <s v="Sep'24"/>
    <x v="11"/>
    <s v="Dhaka"/>
    <s v="Present"/>
    <n v="1"/>
    <n v="10000"/>
    <s v="Paid"/>
  </r>
  <r>
    <x v="35"/>
    <x v="7"/>
    <x v="3"/>
    <x v="222"/>
    <x v="189"/>
    <x v="43"/>
    <s v="Sep'24"/>
    <x v="11"/>
    <s v="Dhaka"/>
    <s v="Present"/>
    <n v="1"/>
    <n v="10000"/>
    <s v="Paid"/>
  </r>
  <r>
    <x v="37"/>
    <x v="9"/>
    <x v="3"/>
    <x v="222"/>
    <x v="189"/>
    <x v="43"/>
    <s v="Sep'24"/>
    <x v="11"/>
    <s v="Dhaka"/>
    <s v="Present"/>
    <n v="1"/>
    <n v="10000"/>
    <s v="Paid"/>
  </r>
  <r>
    <x v="39"/>
    <x v="10"/>
    <x v="3"/>
    <x v="222"/>
    <x v="189"/>
    <x v="43"/>
    <s v="Sep'24"/>
    <x v="11"/>
    <s v="Dhaka"/>
    <s v="Present"/>
    <n v="1"/>
    <n v="10000"/>
    <s v="Paid"/>
  </r>
  <r>
    <x v="35"/>
    <x v="7"/>
    <x v="0"/>
    <x v="223"/>
    <x v="190"/>
    <x v="43"/>
    <s v="Sep'24"/>
    <x v="11"/>
    <s v="Dhaka"/>
    <s v="Present"/>
    <n v="1"/>
    <n v="0"/>
    <s v="Unpaid"/>
  </r>
  <r>
    <x v="36"/>
    <x v="8"/>
    <x v="0"/>
    <x v="223"/>
    <x v="190"/>
    <x v="43"/>
    <s v="Sep'24"/>
    <x v="11"/>
    <s v="Dhaka"/>
    <s v="Present"/>
    <n v="1"/>
    <n v="0"/>
    <s v="Unpaid"/>
  </r>
  <r>
    <x v="37"/>
    <x v="9"/>
    <x v="0"/>
    <x v="223"/>
    <x v="190"/>
    <x v="43"/>
    <s v="Sep'24"/>
    <x v="11"/>
    <s v="Dhaka"/>
    <s v="Present"/>
    <n v="1"/>
    <n v="0"/>
    <s v="Unpaid"/>
  </r>
  <r>
    <x v="38"/>
    <x v="10"/>
    <x v="0"/>
    <x v="223"/>
    <x v="190"/>
    <x v="43"/>
    <s v="Sep'24"/>
    <x v="11"/>
    <s v="Dhaka"/>
    <s v="Present"/>
    <n v="1"/>
    <n v="0"/>
    <s v="Unpaid"/>
  </r>
  <r>
    <x v="39"/>
    <x v="10"/>
    <x v="0"/>
    <x v="223"/>
    <x v="190"/>
    <x v="43"/>
    <s v="Sep'24"/>
    <x v="11"/>
    <s v="Dhaka"/>
    <s v="Present"/>
    <n v="1"/>
    <n v="0"/>
    <s v="Unpaid"/>
  </r>
  <r>
    <x v="31"/>
    <x v="6"/>
    <x v="0"/>
    <x v="223"/>
    <x v="190"/>
    <x v="43"/>
    <s v="Sep'24"/>
    <x v="11"/>
    <s v="Dhaka"/>
    <s v="Present"/>
    <n v="1"/>
    <n v="0"/>
    <s v="Unpaid"/>
  </r>
  <r>
    <x v="36"/>
    <x v="8"/>
    <x v="2"/>
    <x v="160"/>
    <x v="190"/>
    <x v="43"/>
    <s v="Sep'24"/>
    <x v="11"/>
    <s v="Dhaka"/>
    <s v="Present"/>
    <n v="1"/>
    <n v="10000"/>
    <s v="Paid"/>
  </r>
  <r>
    <x v="35"/>
    <x v="7"/>
    <x v="2"/>
    <x v="160"/>
    <x v="190"/>
    <x v="43"/>
    <s v="Sep'24"/>
    <x v="11"/>
    <s v="Dhaka"/>
    <s v="Present"/>
    <n v="1"/>
    <n v="10000"/>
    <s v="Paid"/>
  </r>
  <r>
    <x v="37"/>
    <x v="9"/>
    <x v="2"/>
    <x v="160"/>
    <x v="190"/>
    <x v="43"/>
    <s v="Sep'24"/>
    <x v="11"/>
    <s v="Dhaka"/>
    <s v="Present"/>
    <n v="1"/>
    <n v="10000"/>
    <s v="Paid"/>
  </r>
  <r>
    <x v="31"/>
    <x v="6"/>
    <x v="2"/>
    <x v="160"/>
    <x v="190"/>
    <x v="43"/>
    <s v="Sep'24"/>
    <x v="11"/>
    <s v="Dhaka"/>
    <s v="Present"/>
    <n v="1"/>
    <n v="0"/>
    <s v="Unpaid"/>
  </r>
  <r>
    <x v="35"/>
    <x v="7"/>
    <x v="0"/>
    <x v="224"/>
    <x v="191"/>
    <x v="44"/>
    <s v="Oct'24"/>
    <x v="11"/>
    <s v="Dhaka"/>
    <s v="Present"/>
    <n v="1"/>
    <n v="10000"/>
    <s v="Paid"/>
  </r>
  <r>
    <x v="36"/>
    <x v="8"/>
    <x v="0"/>
    <x v="224"/>
    <x v="191"/>
    <x v="44"/>
    <s v="Oct'24"/>
    <x v="11"/>
    <s v="Dhaka"/>
    <s v="Present"/>
    <n v="1"/>
    <n v="10000"/>
    <s v="Paid"/>
  </r>
  <r>
    <x v="37"/>
    <x v="9"/>
    <x v="0"/>
    <x v="224"/>
    <x v="191"/>
    <x v="44"/>
    <s v="Oct'24"/>
    <x v="11"/>
    <s v="Dhaka"/>
    <s v="Present"/>
    <n v="1"/>
    <n v="10000"/>
    <s v="Paid"/>
  </r>
  <r>
    <x v="38"/>
    <x v="10"/>
    <x v="0"/>
    <x v="224"/>
    <x v="191"/>
    <x v="44"/>
    <s v="Oct'24"/>
    <x v="11"/>
    <s v="Dhaka"/>
    <s v="Present"/>
    <n v="1"/>
    <n v="10000"/>
    <s v="Paid"/>
  </r>
  <r>
    <x v="39"/>
    <x v="10"/>
    <x v="0"/>
    <x v="224"/>
    <x v="191"/>
    <x v="44"/>
    <s v="Oct'24"/>
    <x v="11"/>
    <s v="Dhaka"/>
    <s v="Present"/>
    <n v="1"/>
    <n v="10000"/>
    <s v="Paid"/>
  </r>
  <r>
    <x v="40"/>
    <x v="11"/>
    <x v="0"/>
    <x v="224"/>
    <x v="191"/>
    <x v="44"/>
    <s v="Oct'24"/>
    <x v="11"/>
    <s v="Dhaka"/>
    <s v="Present"/>
    <n v="1"/>
    <n v="10000"/>
    <s v="Pai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location ref="I4:J9" firstHeaderRow="1" firstDataRow="1" firstDataCol="2" rowPageCount="2" colPageCount="1"/>
  <pivotFields count="14">
    <pivotField compact="0" outline="0" showAll="0" defaultSubtotal="0"/>
    <pivotField compact="0" outline="0" showAll="0" defaultSubtotal="0"/>
    <pivotField axis="axisPage" compact="0" outline="0" showAll="0" defaultSubtotal="0">
      <items count="6">
        <item x="1"/>
        <item x="0"/>
        <item x="2"/>
        <item x="4"/>
        <item x="3"/>
        <item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06"/>
        <item x="209"/>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208"/>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7"/>
        <item x="186"/>
        <item x="210"/>
        <item x="211"/>
        <item x="212"/>
        <item x="214"/>
        <item x="215"/>
        <item x="203"/>
        <item x="213"/>
        <item x="216"/>
        <item x="217"/>
        <item x="218"/>
        <item x="219"/>
        <item x="220"/>
        <item x="221"/>
        <item x="222"/>
        <item x="223"/>
        <item x="224"/>
      </items>
    </pivotField>
    <pivotField axis="axisRow" compact="0" numFmtId="165" outline="0" showAll="0" defaultSubtota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192"/>
        <item x="148"/>
        <item x="149"/>
        <item x="150"/>
        <item x="151"/>
        <item x="152"/>
        <item x="153"/>
        <item x="154"/>
        <item x="155"/>
        <item x="156"/>
        <item x="157"/>
        <item x="158"/>
        <item x="159"/>
        <item x="160"/>
        <item x="161"/>
        <item x="162"/>
        <item x="163"/>
        <item x="164"/>
        <item x="165"/>
        <item x="166"/>
        <item x="167"/>
        <item x="168"/>
        <item x="169"/>
        <item x="170"/>
        <item x="171"/>
        <item x="172"/>
        <item x="173"/>
        <item x="175"/>
        <item x="176"/>
        <item x="177"/>
        <item x="178"/>
        <item x="179"/>
        <item x="180"/>
        <item x="182"/>
        <item x="174"/>
        <item x="181"/>
        <item x="183"/>
        <item x="184"/>
        <item x="185"/>
        <item x="186"/>
        <item x="187"/>
        <item x="188"/>
        <item x="189"/>
        <item x="190"/>
        <item x="191"/>
      </items>
    </pivotField>
    <pivotField compact="0" outline="0" showAll="0" defaultSubtotal="0"/>
    <pivotField compact="0" outline="0" showAll="0" defaultSubtotal="0"/>
    <pivotField axis="axisPage" compact="0" outline="0" showAll="0" defaultSubtotal="0">
      <items count="13">
        <item x="0"/>
        <item x="1"/>
        <item x="2"/>
        <item x="3"/>
        <item x="4"/>
        <item x="5"/>
        <item x="6"/>
        <item x="7"/>
        <item x="8"/>
        <item x="9"/>
        <item x="10"/>
        <item x="11"/>
        <item m="1" x="12"/>
      </items>
    </pivotField>
    <pivotField compact="0" outline="0" showAll="0" defaultSubtotal="0"/>
    <pivotField compact="0" outline="0" showAll="0" defaultSubtotal="0"/>
    <pivotField compact="0" outline="0" showAll="0" defaultSubtotal="0"/>
    <pivotField compact="0" numFmtId="3" outline="0" showAll="0" defaultSubtotal="0"/>
    <pivotField compact="0" outline="0" showAll="0" defaultSubtotal="0"/>
    <pivotField compact="0" outline="0" dragToRow="0" dragToCol="0" dragToPage="0" showAll="0" defaultSubtotal="0"/>
  </pivotFields>
  <rowFields count="2">
    <field x="3"/>
    <field x="4"/>
  </rowFields>
  <rowItems count="5">
    <i>
      <x v="184"/>
      <x v="173"/>
    </i>
    <i>
      <x v="185"/>
      <x v="177"/>
    </i>
    <i>
      <x v="186"/>
      <x v="180"/>
    </i>
    <i>
      <x v="187"/>
      <x v="187"/>
    </i>
    <i>
      <x v="188"/>
      <x v="191"/>
    </i>
  </rowItems>
  <colItems count="1">
    <i/>
  </colItems>
  <pageFields count="2">
    <pageField fld="2" item="2" hier="-1"/>
    <pageField fld="7" item="11" hier="-1"/>
  </pageFields>
  <formats count="6">
    <format dxfId="132">
      <pivotArea type="all" dataOnly="0" outline="0" fieldPosition="0"/>
    </format>
    <format dxfId="131">
      <pivotArea field="3" type="button" dataOnly="0" labelOnly="1" outline="0" axis="axisRow" fieldPosition="0"/>
    </format>
    <format dxfId="130">
      <pivotArea field="4" type="button" dataOnly="0" labelOnly="1" outline="0" axis="axisRow" fieldPosition="1"/>
    </format>
    <format dxfId="129">
      <pivotArea dataOnly="0" labelOnly="1" outline="0" fieldPosition="0">
        <references count="1">
          <reference field="3" count="2">
            <x v="184"/>
            <x v="185"/>
          </reference>
        </references>
      </pivotArea>
    </format>
    <format dxfId="128">
      <pivotArea dataOnly="0" labelOnly="1" outline="0" fieldPosition="0">
        <references count="2">
          <reference field="3" count="1" selected="0">
            <x v="184"/>
          </reference>
          <reference field="4" count="1">
            <x v="173"/>
          </reference>
        </references>
      </pivotArea>
    </format>
    <format dxfId="127">
      <pivotArea dataOnly="0" labelOnly="1" outline="0" fieldPosition="0">
        <references count="2">
          <reference field="3" count="1" selected="0">
            <x v="185"/>
          </reference>
          <reference field="4" count="1">
            <x v="177"/>
          </reference>
        </references>
      </pivotArea>
    </format>
  </formats>
  <pivotTableStyleInfo name="PivotStyleLight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N6:O10" firstHeaderRow="1" firstDataRow="1" firstDataCol="2" rowPageCount="1" colPageCount="1"/>
  <pivotFields count="14">
    <pivotField compact="0" outline="0" showAll="0" defaultSubtotal="0"/>
    <pivotField compact="0" outline="0" showAll="0" defaultSubtotal="0"/>
    <pivotField axis="axisRow" compact="0" outline="0" showAll="0" defaultSubtotal="0">
      <items count="6">
        <item h="1" x="1"/>
        <item h="1" x="0"/>
        <item h="1" x="2"/>
        <item h="1" x="4"/>
        <item h="1" x="3"/>
        <item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6"/>
        <item x="186"/>
        <item x="207"/>
        <item x="208"/>
        <item x="209"/>
        <item x="210"/>
        <item x="211"/>
        <item x="212"/>
        <item x="214"/>
        <item x="215"/>
        <item x="203"/>
        <item x="213"/>
        <item x="216"/>
        <item x="217"/>
        <item x="218"/>
        <item x="219"/>
        <item x="220"/>
        <item x="221"/>
        <item x="222"/>
        <item x="223"/>
        <item x="224"/>
      </items>
    </pivotField>
    <pivotField compact="0" numFmtId="165" outline="0" showAll="0" defaultSubtotal="0"/>
    <pivotField axis="axisPage" compact="0" outline="0" multipleItemSelectionAllowed="1" showAll="0" defaultSubtotal="0">
      <items count="46">
        <item h="1" x="3"/>
        <item h="1" x="7"/>
        <item h="1" x="11"/>
        <item h="1" x="15"/>
        <item h="1" x="19"/>
        <item h="1" x="23"/>
        <item h="1" x="25"/>
        <item h="1" x="29"/>
        <item h="1" x="33"/>
        <item x="37"/>
        <item h="1" x="41"/>
        <item h="1" x="0"/>
        <item h="1" x="4"/>
        <item h="1" x="8"/>
        <item h="1" x="12"/>
        <item h="1" x="16"/>
        <item h="1" x="20"/>
        <item h="1" x="24"/>
        <item h="1" x="26"/>
        <item h="1" x="30"/>
        <item h="1" x="34"/>
        <item x="38"/>
        <item h="1" x="42"/>
        <item h="1" x="1"/>
        <item h="1" x="5"/>
        <item h="1" x="9"/>
        <item h="1" x="13"/>
        <item h="1" x="17"/>
        <item h="1" x="21"/>
        <item h="1" x="27"/>
        <item h="1" x="31"/>
        <item h="1" x="35"/>
        <item x="39"/>
        <item h="1" x="2"/>
        <item h="1" x="6"/>
        <item h="1" x="10"/>
        <item h="1" x="14"/>
        <item h="1" x="18"/>
        <item h="1" x="22"/>
        <item h="1" x="28"/>
        <item h="1" x="32"/>
        <item h="1" x="36"/>
        <item x="40"/>
        <item h="1" m="1" x="45"/>
        <item h="1" x="43"/>
        <item h="1" x="44"/>
      </items>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2">
    <field x="2"/>
    <field x="3"/>
  </rowFields>
  <rowItems count="4">
    <i>
      <x v="5"/>
      <x v="7"/>
    </i>
    <i r="1">
      <x v="8"/>
    </i>
    <i r="1">
      <x v="9"/>
    </i>
    <i r="1">
      <x v="10"/>
    </i>
  </rowItems>
  <colItems count="1">
    <i/>
  </colItems>
  <pageFields count="1">
    <pageField fld="5" hier="-1"/>
  </pageFields>
  <formats count="6">
    <format dxfId="96">
      <pivotArea field="2" type="button" dataOnly="0" labelOnly="1" outline="0" axis="axisRow" fieldPosition="0"/>
    </format>
    <format dxfId="95">
      <pivotArea dataOnly="0" labelOnly="1" outline="0" axis="axisValues" fieldPosition="0"/>
    </format>
    <format dxfId="94">
      <pivotArea dataOnly="0" labelOnly="1" outline="0" axis="axisValues" fieldPosition="0"/>
    </format>
    <format dxfId="93">
      <pivotArea field="2" type="button" dataOnly="0" labelOnly="1" outline="0" axis="axisRow" fieldPosition="0"/>
    </format>
    <format dxfId="92">
      <pivotArea dataOnly="0" labelOnly="1" outline="0" axis="axisValues" fieldPosition="0"/>
    </format>
    <format dxfId="9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K6:L10" firstHeaderRow="1" firstDataRow="1" firstDataCol="2" rowPageCount="1" colPageCount="1"/>
  <pivotFields count="14">
    <pivotField compact="0" outline="0" showAll="0" defaultSubtotal="0"/>
    <pivotField compact="0" outline="0" showAll="0" defaultSubtotal="0"/>
    <pivotField axis="axisRow" compact="0" outline="0" showAll="0" defaultSubtotal="0">
      <items count="6">
        <item h="1" x="1"/>
        <item h="1" x="0"/>
        <item h="1" x="2"/>
        <item h="1" x="4"/>
        <item x="3"/>
        <item h="1"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6"/>
        <item x="186"/>
        <item x="207"/>
        <item x="208"/>
        <item x="209"/>
        <item x="210"/>
        <item x="211"/>
        <item x="212"/>
        <item x="214"/>
        <item x="215"/>
        <item x="203"/>
        <item x="213"/>
        <item x="216"/>
        <item x="217"/>
        <item x="218"/>
        <item x="219"/>
        <item x="220"/>
        <item x="221"/>
        <item x="222"/>
        <item x="223"/>
        <item x="224"/>
      </items>
    </pivotField>
    <pivotField compact="0" numFmtId="165" outline="0" showAll="0" defaultSubtotal="0"/>
    <pivotField axis="axisPage" compact="0" outline="0" multipleItemSelectionAllowed="1" showAll="0" defaultSubtotal="0">
      <items count="46">
        <item h="1" x="3"/>
        <item h="1" x="7"/>
        <item h="1" x="11"/>
        <item h="1" x="15"/>
        <item h="1" x="19"/>
        <item h="1" x="23"/>
        <item h="1" x="25"/>
        <item h="1" x="29"/>
        <item h="1" x="33"/>
        <item x="37"/>
        <item h="1" x="41"/>
        <item h="1" x="0"/>
        <item h="1" x="4"/>
        <item h="1" x="8"/>
        <item h="1" x="12"/>
        <item h="1" x="16"/>
        <item h="1" x="20"/>
        <item h="1" x="24"/>
        <item h="1" x="26"/>
        <item h="1" x="30"/>
        <item h="1" x="34"/>
        <item x="38"/>
        <item h="1" x="42"/>
        <item h="1" x="1"/>
        <item h="1" x="5"/>
        <item h="1" x="9"/>
        <item h="1" x="13"/>
        <item h="1" x="17"/>
        <item h="1" x="21"/>
        <item h="1" x="27"/>
        <item h="1" x="31"/>
        <item h="1" x="35"/>
        <item x="39"/>
        <item h="1" x="2"/>
        <item h="1" x="6"/>
        <item h="1" x="10"/>
        <item h="1" x="14"/>
        <item h="1" x="18"/>
        <item h="1" x="22"/>
        <item h="1" x="28"/>
        <item h="1" x="32"/>
        <item h="1" x="36"/>
        <item x="40"/>
        <item h="1" m="1" x="45"/>
        <item h="1" x="43"/>
        <item h="1" x="44"/>
      </items>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2">
    <field x="2"/>
    <field x="3"/>
  </rowFields>
  <rowItems count="4">
    <i>
      <x v="4"/>
      <x v="23"/>
    </i>
    <i r="1">
      <x v="24"/>
    </i>
    <i r="1">
      <x v="25"/>
    </i>
    <i r="1">
      <x v="26"/>
    </i>
  </rowItems>
  <colItems count="1">
    <i/>
  </colItems>
  <pageFields count="1">
    <pageField fld="5" hier="-1"/>
  </pageFields>
  <formats count="6">
    <format dxfId="102">
      <pivotArea field="2" type="button" dataOnly="0" labelOnly="1" outline="0" axis="axisRow" fieldPosition="0"/>
    </format>
    <format dxfId="101">
      <pivotArea dataOnly="0" labelOnly="1" outline="0" axis="axisValues" fieldPosition="0"/>
    </format>
    <format dxfId="100">
      <pivotArea dataOnly="0" labelOnly="1" outline="0" axis="axisValues" fieldPosition="0"/>
    </format>
    <format dxfId="99">
      <pivotArea field="2" type="button" dataOnly="0" labelOnly="1" outline="0" axis="axisRow" fieldPosition="0"/>
    </format>
    <format dxfId="98">
      <pivotArea dataOnly="0" labelOnly="1" outline="0" axis="axisValues" fieldPosition="0"/>
    </format>
    <format dxfId="9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H6:I16" firstHeaderRow="1" firstDataRow="1" firstDataCol="2" rowPageCount="1" colPageCount="1"/>
  <pivotFields count="14">
    <pivotField compact="0" outline="0" showAll="0" defaultSubtotal="0"/>
    <pivotField compact="0" outline="0" showAll="0" defaultSubtotal="0"/>
    <pivotField axis="axisRow" compact="0" outline="0" showAll="0" defaultSubtotal="0">
      <items count="6">
        <item h="1" x="1"/>
        <item h="1" x="0"/>
        <item x="2"/>
        <item h="1" x="4"/>
        <item h="1" x="3"/>
        <item h="1"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6"/>
        <item x="186"/>
        <item x="207"/>
        <item x="208"/>
        <item x="209"/>
        <item x="210"/>
        <item x="211"/>
        <item x="212"/>
        <item x="214"/>
        <item x="215"/>
        <item x="203"/>
        <item x="213"/>
        <item x="216"/>
        <item x="217"/>
        <item x="218"/>
        <item x="219"/>
        <item x="220"/>
        <item x="221"/>
        <item x="222"/>
        <item x="223"/>
        <item x="224"/>
      </items>
    </pivotField>
    <pivotField compact="0" numFmtId="165" outline="0" showAll="0" defaultSubtotal="0"/>
    <pivotField axis="axisPage" compact="0" outline="0" multipleItemSelectionAllowed="1" showAll="0" defaultSubtotal="0">
      <items count="46">
        <item h="1" x="3"/>
        <item h="1" x="7"/>
        <item h="1" x="11"/>
        <item h="1" x="15"/>
        <item h="1" x="19"/>
        <item h="1" x="23"/>
        <item h="1" x="25"/>
        <item h="1" x="29"/>
        <item h="1" x="33"/>
        <item x="37"/>
        <item h="1" x="41"/>
        <item h="1" x="0"/>
        <item h="1" x="4"/>
        <item h="1" x="8"/>
        <item h="1" x="12"/>
        <item h="1" x="16"/>
        <item h="1" x="20"/>
        <item h="1" x="24"/>
        <item h="1" x="26"/>
        <item h="1" x="30"/>
        <item h="1" x="34"/>
        <item x="38"/>
        <item h="1" x="42"/>
        <item h="1" x="1"/>
        <item h="1" x="5"/>
        <item h="1" x="9"/>
        <item h="1" x="13"/>
        <item h="1" x="17"/>
        <item h="1" x="21"/>
        <item h="1" x="27"/>
        <item h="1" x="31"/>
        <item h="1" x="35"/>
        <item x="39"/>
        <item h="1" x="2"/>
        <item h="1" x="6"/>
        <item h="1" x="10"/>
        <item h="1" x="14"/>
        <item h="1" x="18"/>
        <item h="1" x="22"/>
        <item h="1" x="28"/>
        <item h="1" x="32"/>
        <item h="1" x="36"/>
        <item x="40"/>
        <item h="1" m="1" x="45"/>
        <item h="1" x="43"/>
        <item h="1" x="44"/>
      </items>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2">
    <field x="2"/>
    <field x="3"/>
  </rowFields>
  <rowItems count="10">
    <i>
      <x v="2"/>
      <x v="171"/>
    </i>
    <i r="1">
      <x v="172"/>
    </i>
    <i r="1">
      <x v="173"/>
    </i>
    <i r="1">
      <x v="174"/>
    </i>
    <i r="1">
      <x v="175"/>
    </i>
    <i r="1">
      <x v="176"/>
    </i>
    <i r="1">
      <x v="177"/>
    </i>
    <i r="1">
      <x v="178"/>
    </i>
    <i r="1">
      <x v="179"/>
    </i>
    <i r="1">
      <x v="180"/>
    </i>
  </rowItems>
  <colItems count="1">
    <i/>
  </colItems>
  <pageFields count="1">
    <pageField fld="5" hier="-1"/>
  </pageFields>
  <formats count="6">
    <format dxfId="108">
      <pivotArea field="2" type="button" dataOnly="0" labelOnly="1" outline="0" axis="axisRow" fieldPosition="0"/>
    </format>
    <format dxfId="107">
      <pivotArea dataOnly="0" labelOnly="1" outline="0" axis="axisValues" fieldPosition="0"/>
    </format>
    <format dxfId="106">
      <pivotArea dataOnly="0" labelOnly="1" outline="0" axis="axisValues" fieldPosition="0"/>
    </format>
    <format dxfId="105">
      <pivotArea field="2" type="button" dataOnly="0" labelOnly="1" outline="0" axis="axisRow" fieldPosition="0"/>
    </format>
    <format dxfId="104">
      <pivotArea dataOnly="0" labelOnly="1" outline="0" axis="axisValues" fieldPosition="0"/>
    </format>
    <format dxfId="10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E6:F16" firstHeaderRow="1" firstDataRow="1" firstDataCol="2" rowPageCount="1" colPageCount="1"/>
  <pivotFields count="14">
    <pivotField compact="0" outline="0" showAll="0" defaultSubtotal="0"/>
    <pivotField compact="0" outline="0" showAll="0" defaultSubtotal="0"/>
    <pivotField axis="axisRow" compact="0" outline="0" showAll="0" defaultSubtotal="0">
      <items count="6">
        <item h="1" x="1"/>
        <item x="0"/>
        <item h="1" x="2"/>
        <item h="1" x="4"/>
        <item h="1" x="3"/>
        <item h="1"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6"/>
        <item x="186"/>
        <item x="207"/>
        <item x="208"/>
        <item x="209"/>
        <item x="210"/>
        <item x="211"/>
        <item x="212"/>
        <item x="214"/>
        <item x="215"/>
        <item x="203"/>
        <item x="213"/>
        <item x="216"/>
        <item x="217"/>
        <item x="218"/>
        <item x="219"/>
        <item x="220"/>
        <item x="221"/>
        <item x="222"/>
        <item x="223"/>
        <item x="224"/>
      </items>
    </pivotField>
    <pivotField compact="0" numFmtId="165" outline="0" showAll="0" defaultSubtotal="0"/>
    <pivotField axis="axisPage" compact="0" outline="0" multipleItemSelectionAllowed="1" showAll="0" defaultSubtotal="0">
      <items count="46">
        <item h="1" x="3"/>
        <item h="1" x="7"/>
        <item h="1" x="11"/>
        <item h="1" x="15"/>
        <item h="1" x="19"/>
        <item h="1" x="23"/>
        <item h="1" x="25"/>
        <item h="1" x="29"/>
        <item h="1" x="33"/>
        <item x="37"/>
        <item h="1" x="41"/>
        <item h="1" x="0"/>
        <item h="1" x="4"/>
        <item h="1" x="8"/>
        <item h="1" x="12"/>
        <item h="1" x="16"/>
        <item h="1" x="20"/>
        <item h="1" x="24"/>
        <item h="1" x="26"/>
        <item h="1" x="30"/>
        <item h="1" x="34"/>
        <item x="38"/>
        <item h="1" x="42"/>
        <item h="1" x="1"/>
        <item h="1" x="5"/>
        <item h="1" x="9"/>
        <item h="1" x="13"/>
        <item h="1" x="17"/>
        <item h="1" x="21"/>
        <item h="1" x="27"/>
        <item h="1" x="31"/>
        <item h="1" x="35"/>
        <item x="39"/>
        <item h="1" x="2"/>
        <item h="1" x="6"/>
        <item h="1" x="10"/>
        <item h="1" x="14"/>
        <item h="1" x="18"/>
        <item h="1" x="22"/>
        <item h="1" x="28"/>
        <item h="1" x="32"/>
        <item h="1" x="36"/>
        <item x="40"/>
        <item h="1" m="1" x="45"/>
        <item h="1" x="43"/>
        <item h="1" x="44"/>
      </items>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2">
    <field x="2"/>
    <field x="3"/>
  </rowFields>
  <rowItems count="10">
    <i>
      <x v="1"/>
      <x v="193"/>
    </i>
    <i r="1">
      <x v="194"/>
    </i>
    <i r="1">
      <x v="195"/>
    </i>
    <i r="1">
      <x v="196"/>
    </i>
    <i r="1">
      <x v="198"/>
    </i>
    <i r="1">
      <x v="199"/>
    </i>
    <i r="1">
      <x v="200"/>
    </i>
    <i r="1">
      <x v="201"/>
    </i>
    <i r="1">
      <x v="202"/>
    </i>
    <i r="1">
      <x v="206"/>
    </i>
  </rowItems>
  <colItems count="1">
    <i/>
  </colItems>
  <pageFields count="1">
    <pageField fld="5" hier="-1"/>
  </pageFields>
  <formats count="6">
    <format dxfId="114">
      <pivotArea field="2" type="button" dataOnly="0" labelOnly="1" outline="0" axis="axisRow" fieldPosition="0"/>
    </format>
    <format dxfId="113">
      <pivotArea dataOnly="0" labelOnly="1" outline="0" axis="axisValues" fieldPosition="0"/>
    </format>
    <format dxfId="112">
      <pivotArea dataOnly="0" labelOnly="1" outline="0" axis="axisValues" fieldPosition="0"/>
    </format>
    <format dxfId="111">
      <pivotArea field="2" type="button" dataOnly="0" labelOnly="1" outline="0" axis="axisRow" fieldPosition="0"/>
    </format>
    <format dxfId="110">
      <pivotArea dataOnly="0" labelOnly="1" outline="0" axis="axisValues" fieldPosition="0"/>
    </format>
    <format dxfId="10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B6:C12" firstHeaderRow="1" firstDataRow="1" firstDataCol="2" rowPageCount="1" colPageCount="1"/>
  <pivotFields count="14">
    <pivotField compact="0" outline="0" showAll="0" defaultSubtotal="0"/>
    <pivotField compact="0" outline="0" showAll="0" defaultSubtotal="0"/>
    <pivotField axis="axisRow" compact="0" outline="0" showAll="0" defaultSubtotal="0">
      <items count="6">
        <item x="1"/>
        <item h="1" x="0"/>
        <item h="1" x="2"/>
        <item h="1" x="4"/>
        <item h="1" x="3"/>
        <item h="1"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6"/>
        <item x="186"/>
        <item x="207"/>
        <item x="208"/>
        <item x="209"/>
        <item x="210"/>
        <item x="211"/>
        <item x="212"/>
        <item x="214"/>
        <item x="215"/>
        <item x="203"/>
        <item x="213"/>
        <item x="216"/>
        <item x="217"/>
        <item x="218"/>
        <item x="219"/>
        <item x="220"/>
        <item x="221"/>
        <item x="222"/>
        <item x="223"/>
        <item x="224"/>
      </items>
    </pivotField>
    <pivotField compact="0" numFmtId="165" outline="0" showAll="0" defaultSubtotal="0"/>
    <pivotField axis="axisPage" compact="0" outline="0" multipleItemSelectionAllowed="1" showAll="0" defaultSubtotal="0">
      <items count="46">
        <item h="1" x="3"/>
        <item h="1" x="7"/>
        <item h="1" x="11"/>
        <item h="1" x="15"/>
        <item h="1" x="19"/>
        <item h="1" x="23"/>
        <item h="1" x="25"/>
        <item h="1" x="29"/>
        <item h="1" x="33"/>
        <item x="37"/>
        <item h="1" x="41"/>
        <item h="1" x="0"/>
        <item h="1" x="4"/>
        <item h="1" x="8"/>
        <item h="1" x="12"/>
        <item h="1" x="16"/>
        <item h="1" x="20"/>
        <item h="1" x="24"/>
        <item h="1" x="26"/>
        <item h="1" x="30"/>
        <item h="1" x="34"/>
        <item x="38"/>
        <item h="1" x="42"/>
        <item h="1" x="1"/>
        <item h="1" x="5"/>
        <item h="1" x="9"/>
        <item h="1" x="13"/>
        <item h="1" x="17"/>
        <item h="1" x="21"/>
        <item h="1" x="27"/>
        <item h="1" x="31"/>
        <item h="1" x="35"/>
        <item x="39"/>
        <item h="1" x="2"/>
        <item h="1" x="6"/>
        <item h="1" x="10"/>
        <item h="1" x="14"/>
        <item h="1" x="18"/>
        <item h="1" x="22"/>
        <item h="1" x="28"/>
        <item h="1" x="32"/>
        <item h="1" x="36"/>
        <item x="40"/>
        <item h="1" m="1" x="45"/>
        <item h="1" x="43"/>
        <item h="1" x="44"/>
      </items>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2">
    <field x="2"/>
    <field x="3"/>
  </rowFields>
  <rowItems count="6">
    <i>
      <x/>
      <x v="70"/>
    </i>
    <i r="1">
      <x v="71"/>
    </i>
    <i r="1">
      <x v="72"/>
    </i>
    <i r="1">
      <x v="73"/>
    </i>
    <i r="1">
      <x v="74"/>
    </i>
    <i r="1">
      <x v="75"/>
    </i>
  </rowItems>
  <colItems count="1">
    <i/>
  </colItems>
  <pageFields count="1">
    <pageField fld="5" hier="-1"/>
  </pageFields>
  <formats count="6">
    <format dxfId="120">
      <pivotArea field="2" type="button" dataOnly="0" labelOnly="1" outline="0" axis="axisRow" fieldPosition="0"/>
    </format>
    <format dxfId="119">
      <pivotArea dataOnly="0" labelOnly="1" outline="0" axis="axisValues" fieldPosition="0"/>
    </format>
    <format dxfId="118">
      <pivotArea dataOnly="0" labelOnly="1" outline="0" axis="axisValues" fieldPosition="0"/>
    </format>
    <format dxfId="117">
      <pivotArea field="2" type="button" dataOnly="0" labelOnly="1" outline="0" axis="axisRow" fieldPosition="0"/>
    </format>
    <format dxfId="116">
      <pivotArea dataOnly="0" labelOnly="1" outline="0" axis="axisValues" fieldPosition="0"/>
    </format>
    <format dxfId="1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Q6:R6" firstHeaderRow="1" firstDataRow="1" firstDataCol="2" rowPageCount="1" colPageCount="1"/>
  <pivotFields count="14">
    <pivotField compact="0" outline="0" showAll="0" defaultSubtotal="0"/>
    <pivotField compact="0" outline="0" showAll="0" defaultSubtotal="0"/>
    <pivotField axis="axisRow" compact="0" outline="0" showAll="0" defaultSubtotal="0">
      <items count="6">
        <item h="1" x="1"/>
        <item h="1" x="0"/>
        <item h="1" x="2"/>
        <item x="4"/>
        <item h="1" x="3"/>
        <item h="1" x="5"/>
      </items>
    </pivotField>
    <pivotField axis="axisRow" compact="0" outline="0" showAll="0" defaultSubtotal="0">
      <items count="226">
        <item x="105"/>
        <item x="126"/>
        <item x="148"/>
        <item x="156"/>
        <item x="164"/>
        <item x="172"/>
        <item x="176"/>
        <item x="181"/>
        <item x="190"/>
        <item x="197"/>
        <item x="201"/>
        <item x="102"/>
        <item x="106"/>
        <item x="111"/>
        <item x="121"/>
        <item x="132"/>
        <item x="135"/>
        <item x="145"/>
        <item x="150"/>
        <item x="155"/>
        <item x="167"/>
        <item x="173"/>
        <item x="175"/>
        <item x="180"/>
        <item x="189"/>
        <item x="198"/>
        <item x="200"/>
        <item x="2"/>
        <item x="5"/>
        <item x="8"/>
        <item x="11"/>
        <item x="14"/>
        <item x="16"/>
        <item x="17"/>
        <item x="20"/>
        <item x="22"/>
        <item x="27"/>
        <item x="30"/>
        <item x="34"/>
        <item x="36"/>
        <item x="40"/>
        <item x="41"/>
        <item x="44"/>
        <item x="45"/>
        <item x="49"/>
        <item x="51"/>
        <item x="54"/>
        <item x="57"/>
        <item x="58"/>
        <item x="60"/>
        <item x="99"/>
        <item x="104"/>
        <item x="108"/>
        <item x="110"/>
        <item x="113"/>
        <item x="115"/>
        <item x="120"/>
        <item x="127"/>
        <item x="134"/>
        <item x="138"/>
        <item x="139"/>
        <item x="144"/>
        <item x="147"/>
        <item x="152"/>
        <item x="154"/>
        <item x="158"/>
        <item x="161"/>
        <item x="163"/>
        <item x="171"/>
        <item x="174"/>
        <item x="183"/>
        <item x="185"/>
        <item x="187"/>
        <item x="191"/>
        <item x="194"/>
        <item x="196"/>
        <item x="205"/>
        <item x="0"/>
        <item x="1"/>
        <item x="3"/>
        <item x="4"/>
        <item x="6"/>
        <item x="7"/>
        <item x="9"/>
        <item x="10"/>
        <item x="12"/>
        <item x="13"/>
        <item x="15"/>
        <item x="18"/>
        <item x="19"/>
        <item x="21"/>
        <item x="23"/>
        <item x="24"/>
        <item x="25"/>
        <item x="26"/>
        <item x="28"/>
        <item x="29"/>
        <item x="31"/>
        <item x="32"/>
        <item x="33"/>
        <item x="35"/>
        <item x="37"/>
        <item x="38"/>
        <item x="39"/>
        <item x="42"/>
        <item x="43"/>
        <item x="46"/>
        <item x="47"/>
        <item x="48"/>
        <item x="50"/>
        <item x="52"/>
        <item x="53"/>
        <item x="55"/>
        <item x="56"/>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4"/>
        <item x="116"/>
        <item x="119"/>
        <item x="122"/>
        <item x="124"/>
        <item x="128"/>
        <item x="131"/>
        <item x="136"/>
        <item x="142"/>
        <item x="97"/>
        <item x="98"/>
        <item x="100"/>
        <item x="101"/>
        <item x="103"/>
        <item x="107"/>
        <item x="109"/>
        <item x="112"/>
        <item x="117"/>
        <item x="118"/>
        <item x="123"/>
        <item x="125"/>
        <item x="129"/>
        <item x="130"/>
        <item x="133"/>
        <item x="137"/>
        <item x="140"/>
        <item x="141"/>
        <item x="143"/>
        <item x="146"/>
        <item x="149"/>
        <item x="151"/>
        <item x="153"/>
        <item x="157"/>
        <item x="159"/>
        <item x="160"/>
        <item x="162"/>
        <item x="165"/>
        <item x="166"/>
        <item x="168"/>
        <item x="169"/>
        <item x="170"/>
        <item x="177"/>
        <item x="178"/>
        <item x="179"/>
        <item x="182"/>
        <item x="184"/>
        <item m="1" x="225"/>
        <item x="188"/>
        <item x="192"/>
        <item x="193"/>
        <item x="195"/>
        <item x="199"/>
        <item x="202"/>
        <item x="204"/>
        <item x="206"/>
        <item x="186"/>
        <item x="207"/>
        <item x="208"/>
        <item x="209"/>
        <item x="210"/>
        <item x="211"/>
        <item x="212"/>
        <item x="214"/>
        <item x="215"/>
        <item x="203"/>
        <item x="213"/>
        <item x="216"/>
        <item x="217"/>
        <item x="218"/>
        <item x="219"/>
        <item x="220"/>
        <item x="221"/>
        <item x="222"/>
        <item x="223"/>
        <item x="224"/>
      </items>
    </pivotField>
    <pivotField compact="0" numFmtId="165" outline="0" showAll="0" defaultSubtotal="0"/>
    <pivotField axis="axisPage" compact="0" outline="0" multipleItemSelectionAllowed="1" showAll="0" defaultSubtotal="0">
      <items count="46">
        <item h="1" x="3"/>
        <item h="1" x="7"/>
        <item h="1" x="11"/>
        <item h="1" x="15"/>
        <item h="1" x="19"/>
        <item h="1" x="23"/>
        <item h="1" x="25"/>
        <item h="1" x="29"/>
        <item h="1" x="33"/>
        <item x="37"/>
        <item h="1" x="41"/>
        <item h="1" x="0"/>
        <item h="1" x="4"/>
        <item h="1" x="8"/>
        <item h="1" x="12"/>
        <item h="1" x="16"/>
        <item h="1" x="20"/>
        <item h="1" x="24"/>
        <item h="1" x="26"/>
        <item h="1" x="30"/>
        <item h="1" x="34"/>
        <item x="38"/>
        <item h="1" x="42"/>
        <item h="1" x="1"/>
        <item h="1" x="5"/>
        <item h="1" x="9"/>
        <item h="1" x="13"/>
        <item h="1" x="17"/>
        <item h="1" x="21"/>
        <item h="1" x="27"/>
        <item h="1" x="31"/>
        <item h="1" x="35"/>
        <item x="39"/>
        <item h="1" x="2"/>
        <item h="1" x="6"/>
        <item h="1" x="10"/>
        <item h="1" x="14"/>
        <item h="1" x="18"/>
        <item h="1" x="22"/>
        <item h="1" x="28"/>
        <item h="1" x="32"/>
        <item h="1" x="36"/>
        <item x="40"/>
        <item h="1" m="1" x="45"/>
        <item h="1" x="43"/>
        <item h="1" x="44"/>
      </items>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2">
    <field x="2"/>
    <field x="3"/>
  </rowFields>
  <colItems count="1">
    <i/>
  </colItems>
  <pageFields count="1">
    <pageField fld="5" hier="-1"/>
  </pageFields>
  <formats count="6">
    <format dxfId="126">
      <pivotArea field="2" type="button" dataOnly="0" labelOnly="1" outline="0" axis="axisRow" fieldPosition="0"/>
    </format>
    <format dxfId="125">
      <pivotArea dataOnly="0" labelOnly="1" outline="0" axis="axisValues" fieldPosition="0"/>
    </format>
    <format dxfId="124">
      <pivotArea dataOnly="0" labelOnly="1" outline="0" axis="axisValues" fieldPosition="0"/>
    </format>
    <format dxfId="123">
      <pivotArea field="2" type="button" dataOnly="0" labelOnly="1" outline="0" axis="axisRow" fieldPosition="0"/>
    </format>
    <format dxfId="122">
      <pivotArea dataOnly="0" labelOnly="1" outline="0" axis="axisValues" fieldPosition="0"/>
    </format>
    <format dxfId="1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7000000}" name="Summary"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D28" firstHeaderRow="0" firstDataRow="1" firstDataCol="2" rowPageCount="1" colPageCount="1"/>
  <pivotFields count="14">
    <pivotField axis="axisRow" compact="0" outline="0" showAll="0" defaultSubtotal="0">
      <items count="46">
        <item x="13"/>
        <item m="1" x="45"/>
        <item m="1" x="44"/>
        <item x="0"/>
        <item m="1" x="43"/>
        <item x="18"/>
        <item x="3"/>
        <item h="1" x="21"/>
        <item x="9"/>
        <item x="2"/>
        <item x="6"/>
        <item x="19"/>
        <item x="15"/>
        <item x="14"/>
        <item x="27"/>
        <item x="5"/>
        <item x="28"/>
        <item x="32"/>
        <item x="20"/>
        <item x="12"/>
        <item x="7"/>
        <item h="1" x="31"/>
        <item x="11"/>
        <item x="17"/>
        <item x="4"/>
        <item x="29"/>
        <item m="1" x="42"/>
        <item x="1"/>
        <item x="10"/>
        <item x="22"/>
        <item x="30"/>
        <item x="24"/>
        <item x="16"/>
        <item m="1" x="41"/>
        <item x="23"/>
        <item x="25"/>
        <item x="26"/>
        <item x="33"/>
        <item x="8"/>
        <item h="1" x="34"/>
        <item x="35"/>
        <item x="36"/>
        <item x="37"/>
        <item x="38"/>
        <item x="39"/>
        <item h="1" x="40"/>
      </items>
    </pivotField>
    <pivotField axis="axisRow" compact="0" outline="0" showAll="0" defaultSubtotal="0">
      <items count="12">
        <item x="6"/>
        <item x="7"/>
        <item x="5"/>
        <item x="8"/>
        <item x="1"/>
        <item x="0"/>
        <item x="3"/>
        <item x="10"/>
        <item x="11"/>
        <item x="4"/>
        <item x="9"/>
        <item x="2"/>
      </items>
    </pivotField>
    <pivotField axis="axisPage" compact="0" outline="0" showAll="0" defaultSubtotal="0">
      <items count="6">
        <item x="1"/>
        <item x="0"/>
        <item x="2"/>
        <item x="4"/>
        <item x="3"/>
        <item x="5"/>
      </items>
    </pivotField>
    <pivotField compact="0" outline="0" showAll="0" defaultSubtotal="0"/>
    <pivotField compact="0" numFmtId="165" outline="0" showAll="0" defaultSubtotal="0">
      <items count="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m="1" x="192"/>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s>
    </pivotField>
    <pivotField compact="0" outline="0" showAll="0" defaultSubtotal="0"/>
    <pivotField compact="0" outline="0" showAll="0" defaultSubtotal="0"/>
    <pivotField compact="0" outline="0" showAl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dataField="1" compact="0" outline="0" dragToRow="0" dragToCol="0" dragToPage="0" showAll="0" defaultSubtotal="0"/>
  </pivotFields>
  <rowFields count="2">
    <field x="0"/>
    <field x="1"/>
  </rowFields>
  <rowItems count="25">
    <i>
      <x/>
      <x v="5"/>
    </i>
    <i>
      <x v="6"/>
      <x v="4"/>
    </i>
    <i>
      <x v="8"/>
      <x v="4"/>
    </i>
    <i>
      <x v="9"/>
      <x v="11"/>
    </i>
    <i>
      <x v="10"/>
      <x v="4"/>
    </i>
    <i>
      <x v="14"/>
      <x v="4"/>
    </i>
    <i>
      <x v="15"/>
      <x v="4"/>
    </i>
    <i>
      <x v="16"/>
      <x v="4"/>
    </i>
    <i>
      <x v="17"/>
      <x v="4"/>
    </i>
    <i>
      <x v="19"/>
      <x v="4"/>
    </i>
    <i>
      <x v="20"/>
      <x v="4"/>
    </i>
    <i>
      <x v="22"/>
      <x v="4"/>
    </i>
    <i>
      <x v="24"/>
      <x v="5"/>
    </i>
    <i>
      <x v="25"/>
      <x v="4"/>
    </i>
    <i>
      <x v="27"/>
      <x v="4"/>
    </i>
    <i>
      <x v="28"/>
      <x v="4"/>
    </i>
    <i>
      <x v="29"/>
      <x v="9"/>
    </i>
    <i>
      <x v="30"/>
      <x v="5"/>
    </i>
    <i>
      <x v="31"/>
      <x v="9"/>
    </i>
    <i>
      <x v="34"/>
      <x v="2"/>
    </i>
    <i>
      <x v="35"/>
      <x v="9"/>
    </i>
    <i>
      <x v="36"/>
      <x v="9"/>
    </i>
    <i>
      <x v="37"/>
      <x v="5"/>
    </i>
    <i>
      <x v="38"/>
      <x v="4"/>
    </i>
    <i t="grand">
      <x/>
    </i>
  </rowItems>
  <colFields count="1">
    <field x="-2"/>
  </colFields>
  <colItems count="2">
    <i>
      <x/>
    </i>
    <i i="1">
      <x v="1"/>
    </i>
  </colItems>
  <pageFields count="1">
    <pageField fld="2" hier="-1"/>
  </pageFields>
  <dataFields count="2">
    <dataField name="Honorium " fld="11" baseField="1" baseItem="7" numFmtId="3"/>
    <dataField name="TDS " fld="13" baseField="0" baseItem="0" numFmtId="3"/>
  </dataFields>
  <formats count="49">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field="1" type="button" dataOnly="0" labelOnly="1" outline="0" axis="axisRow" fieldPosition="1"/>
    </format>
    <format dxfId="86">
      <pivotArea dataOnly="0" labelOnly="1" outline="0" axis="axisValues" fieldPosition="0"/>
    </format>
    <format dxfId="85">
      <pivotArea dataOnly="0" labelOnly="1" outline="0" fieldPosition="0">
        <references count="1">
          <reference field="0" count="0"/>
        </references>
      </pivotArea>
    </format>
    <format dxfId="84">
      <pivotArea dataOnly="0" labelOnly="1" grandRow="1" outline="0" fieldPosition="0"/>
    </format>
    <format dxfId="83">
      <pivotArea dataOnly="0" labelOnly="1" outline="0" fieldPosition="0">
        <references count="2">
          <reference field="0" count="1" selected="0">
            <x v="0"/>
          </reference>
          <reference field="1" count="1">
            <x v="7"/>
          </reference>
        </references>
      </pivotArea>
    </format>
    <format dxfId="82">
      <pivotArea dataOnly="0" labelOnly="1" outline="0" fieldPosition="0">
        <references count="2">
          <reference field="0" count="1" selected="0">
            <x v="1"/>
          </reference>
          <reference field="1" count="1">
            <x v="9"/>
          </reference>
        </references>
      </pivotArea>
    </format>
    <format dxfId="81">
      <pivotArea dataOnly="0" labelOnly="1" outline="0" fieldPosition="0">
        <references count="2">
          <reference field="0" count="1" selected="0">
            <x v="2"/>
          </reference>
          <reference field="1" count="1">
            <x v="9"/>
          </reference>
        </references>
      </pivotArea>
    </format>
    <format dxfId="80">
      <pivotArea dataOnly="0" labelOnly="1" outline="0" fieldPosition="0">
        <references count="2">
          <reference field="0" count="1" selected="0">
            <x v="3"/>
          </reference>
          <reference field="1" count="1">
            <x v="5"/>
          </reference>
        </references>
      </pivotArea>
    </format>
    <format dxfId="79">
      <pivotArea dataOnly="0" labelOnly="1" outline="0" fieldPosition="0">
        <references count="2">
          <reference field="0" count="1" selected="0">
            <x v="4"/>
          </reference>
          <reference field="1" count="1">
            <x v="7"/>
          </reference>
        </references>
      </pivotArea>
    </format>
    <format dxfId="78">
      <pivotArea dataOnly="0" labelOnly="1" outline="0" fieldPosition="0">
        <references count="2">
          <reference field="0" count="1" selected="0">
            <x v="5"/>
          </reference>
          <reference field="1" count="1">
            <x v="5"/>
          </reference>
        </references>
      </pivotArea>
    </format>
    <format dxfId="77">
      <pivotArea dataOnly="0" labelOnly="1" outline="0" fieldPosition="0">
        <references count="2">
          <reference field="0" count="1" selected="0">
            <x v="6"/>
          </reference>
          <reference field="1" count="1">
            <x v="3"/>
          </reference>
        </references>
      </pivotArea>
    </format>
    <format dxfId="76">
      <pivotArea dataOnly="0" labelOnly="1" outline="0" fieldPosition="0">
        <references count="2">
          <reference field="0" count="1" selected="0">
            <x v="7"/>
          </reference>
          <reference field="1" count="1">
            <x v="8"/>
          </reference>
        </references>
      </pivotArea>
    </format>
    <format dxfId="75">
      <pivotArea dataOnly="0" labelOnly="1" outline="0" fieldPosition="0">
        <references count="2">
          <reference field="0" count="1" selected="0">
            <x v="8"/>
          </reference>
          <reference field="1" count="1">
            <x v="3"/>
          </reference>
        </references>
      </pivotArea>
    </format>
    <format dxfId="74">
      <pivotArea dataOnly="0" labelOnly="1" outline="0" fieldPosition="0">
        <references count="2">
          <reference field="0" count="1" selected="0">
            <x v="9"/>
          </reference>
          <reference field="1" count="1">
            <x v="10"/>
          </reference>
        </references>
      </pivotArea>
    </format>
    <format dxfId="73">
      <pivotArea dataOnly="0" labelOnly="1" outline="0" fieldPosition="0">
        <references count="2">
          <reference field="0" count="1" selected="0">
            <x v="10"/>
          </reference>
          <reference field="1" count="1">
            <x v="3"/>
          </reference>
        </references>
      </pivotArea>
    </format>
    <format dxfId="72">
      <pivotArea dataOnly="0" labelOnly="1" outline="0" fieldPosition="0">
        <references count="2">
          <reference field="0" count="1" selected="0">
            <x v="11"/>
          </reference>
          <reference field="1" count="1">
            <x v="4"/>
          </reference>
        </references>
      </pivotArea>
    </format>
    <format dxfId="71">
      <pivotArea dataOnly="0" labelOnly="1" outline="0" fieldPosition="0">
        <references count="2">
          <reference field="0" count="1" selected="0">
            <x v="12"/>
          </reference>
          <reference field="1" count="1">
            <x v="4"/>
          </reference>
        </references>
      </pivotArea>
    </format>
    <format dxfId="70">
      <pivotArea dataOnly="0" labelOnly="1" outline="0" fieldPosition="0">
        <references count="2">
          <reference field="0" count="1" selected="0">
            <x v="13"/>
          </reference>
          <reference field="1" count="1">
            <x v="4"/>
          </reference>
        </references>
      </pivotArea>
    </format>
    <format dxfId="69">
      <pivotArea dataOnly="0" labelOnly="1" outline="0" fieldPosition="0">
        <references count="2">
          <reference field="0" count="1" selected="0">
            <x v="14"/>
          </reference>
          <reference field="1" count="1">
            <x v="3"/>
          </reference>
        </references>
      </pivotArea>
    </format>
    <format dxfId="68">
      <pivotArea dataOnly="0" labelOnly="1" outline="0" fieldPosition="0">
        <references count="2">
          <reference field="0" count="1" selected="0">
            <x v="15"/>
          </reference>
          <reference field="1" count="1">
            <x v="3"/>
          </reference>
        </references>
      </pivotArea>
    </format>
    <format dxfId="67">
      <pivotArea dataOnly="0" labelOnly="1" outline="0" fieldPosition="0">
        <references count="2">
          <reference field="0" count="1" selected="0">
            <x v="16"/>
          </reference>
          <reference field="1" count="1">
            <x v="3"/>
          </reference>
        </references>
      </pivotArea>
    </format>
    <format dxfId="66">
      <pivotArea dataOnly="0" labelOnly="1" outline="0" fieldPosition="0">
        <references count="2">
          <reference field="0" count="1" selected="0">
            <x v="17"/>
          </reference>
          <reference field="1" count="1">
            <x v="3"/>
          </reference>
        </references>
      </pivotArea>
    </format>
    <format dxfId="65">
      <pivotArea dataOnly="0" labelOnly="1" outline="0" fieldPosition="0">
        <references count="2">
          <reference field="0" count="1" selected="0">
            <x v="18"/>
          </reference>
          <reference field="1" count="1">
            <x v="6"/>
          </reference>
        </references>
      </pivotArea>
    </format>
    <format dxfId="64">
      <pivotArea dataOnly="0" labelOnly="1" outline="0" fieldPosition="0">
        <references count="2">
          <reference field="0" count="1" selected="0">
            <x v="19"/>
          </reference>
          <reference field="1" count="1">
            <x v="3"/>
          </reference>
        </references>
      </pivotArea>
    </format>
    <format dxfId="63">
      <pivotArea dataOnly="0" labelOnly="1" outline="0" fieldPosition="0">
        <references count="2">
          <reference field="0" count="1" selected="0">
            <x v="20"/>
          </reference>
          <reference field="1" count="1">
            <x v="3"/>
          </reference>
        </references>
      </pivotArea>
    </format>
    <format dxfId="62">
      <pivotArea dataOnly="0" labelOnly="1" outline="0" fieldPosition="0">
        <references count="2">
          <reference field="0" count="1" selected="0">
            <x v="21"/>
          </reference>
          <reference field="1" count="1">
            <x v="0"/>
          </reference>
        </references>
      </pivotArea>
    </format>
    <format dxfId="61">
      <pivotArea dataOnly="0" labelOnly="1" outline="0" fieldPosition="0">
        <references count="2">
          <reference field="0" count="1" selected="0">
            <x v="22"/>
          </reference>
          <reference field="1" count="1">
            <x v="3"/>
          </reference>
        </references>
      </pivotArea>
    </format>
    <format dxfId="60">
      <pivotArea dataOnly="0" labelOnly="1" outline="0" fieldPosition="0">
        <references count="2">
          <reference field="0" count="1" selected="0">
            <x v="23"/>
          </reference>
          <reference field="1" count="1">
            <x v="4"/>
          </reference>
        </references>
      </pivotArea>
    </format>
    <format dxfId="59">
      <pivotArea dataOnly="0" labelOnly="1" outline="0" fieldPosition="0">
        <references count="2">
          <reference field="0" count="1" selected="0">
            <x v="24"/>
          </reference>
          <reference field="1" count="1">
            <x v="7"/>
          </reference>
        </references>
      </pivotArea>
    </format>
    <format dxfId="58">
      <pivotArea dataOnly="0" labelOnly="1" outline="0" fieldPosition="0">
        <references count="2">
          <reference field="0" count="1" selected="0">
            <x v="25"/>
          </reference>
          <reference field="1" count="1">
            <x v="3"/>
          </reference>
        </references>
      </pivotArea>
    </format>
    <format dxfId="57">
      <pivotArea dataOnly="0" labelOnly="1" outline="0" fieldPosition="0">
        <references count="2">
          <reference field="0" count="1" selected="0">
            <x v="26"/>
          </reference>
          <reference field="1" count="1">
            <x v="3"/>
          </reference>
        </references>
      </pivotArea>
    </format>
    <format dxfId="56">
      <pivotArea dataOnly="0" labelOnly="1" outline="0" fieldPosition="0">
        <references count="2">
          <reference field="0" count="1" selected="0">
            <x v="27"/>
          </reference>
          <reference field="1" count="1">
            <x v="1"/>
          </reference>
        </references>
      </pivotArea>
    </format>
    <format dxfId="55">
      <pivotArea dataOnly="0" labelOnly="1" outline="0" fieldPosition="0">
        <references count="2">
          <reference field="0" count="1" selected="0">
            <x v="28"/>
          </reference>
          <reference field="1" count="1">
            <x v="3"/>
          </reference>
        </references>
      </pivotArea>
    </format>
    <format dxfId="54">
      <pivotArea dataOnly="0" labelOnly="1" outline="0" fieldPosition="0">
        <references count="2">
          <reference field="0" count="1" selected="0">
            <x v="29"/>
          </reference>
          <reference field="1" count="1">
            <x v="9"/>
          </reference>
        </references>
      </pivotArea>
    </format>
    <format dxfId="53">
      <pivotArea dataOnly="0" labelOnly="1" outline="0" fieldPosition="0">
        <references count="2">
          <reference field="0" count="1" selected="0">
            <x v="30"/>
          </reference>
          <reference field="1" count="1">
            <x v="7"/>
          </reference>
        </references>
      </pivotArea>
    </format>
    <format dxfId="52">
      <pivotArea dataOnly="0" labelOnly="1" outline="0" fieldPosition="0">
        <references count="2">
          <reference field="0" count="1" selected="0">
            <x v="31"/>
          </reference>
          <reference field="1" count="1">
            <x v="9"/>
          </reference>
        </references>
      </pivotArea>
    </format>
    <format dxfId="51">
      <pivotArea dataOnly="0" labelOnly="1" outline="0" fieldPosition="0">
        <references count="2">
          <reference field="0" count="1" selected="0">
            <x v="32"/>
          </reference>
          <reference field="1" count="1">
            <x v="4"/>
          </reference>
        </references>
      </pivotArea>
    </format>
    <format dxfId="50">
      <pivotArea dataOnly="0" labelOnly="1" outline="0" fieldPosition="0">
        <references count="2">
          <reference field="0" count="1" selected="0">
            <x v="33"/>
          </reference>
          <reference field="1" count="1">
            <x v="2"/>
          </reference>
        </references>
      </pivotArea>
    </format>
    <format dxfId="49">
      <pivotArea dataOnly="0" labelOnly="1" outline="0" axis="axisValues" fieldPosition="0"/>
    </format>
    <format dxfId="48">
      <pivotArea outline="0" fieldPosition="0">
        <references count="1">
          <reference field="4294967294" count="1">
            <x v="0"/>
          </reference>
        </references>
      </pivotArea>
    </format>
    <format dxfId="47">
      <pivotArea field="0" type="button" dataOnly="0" labelOnly="1" outline="0" axis="axisRow" fieldPosition="0"/>
    </format>
    <format dxfId="46">
      <pivotArea field="1" type="button" dataOnly="0" labelOnly="1" outline="0" axis="axisRow" fieldPosition="1"/>
    </format>
    <format dxfId="45">
      <pivotArea dataOnly="0" labelOnly="1" outline="0" fieldPosition="0">
        <references count="1">
          <reference field="4294967294" count="2">
            <x v="0"/>
            <x v="1"/>
          </reference>
        </references>
      </pivotArea>
    </format>
    <format dxfId="44">
      <pivotArea field="0" type="button" dataOnly="0" labelOnly="1" outline="0" axis="axisRow" fieldPosition="0"/>
    </format>
    <format dxfId="43">
      <pivotArea field="1" type="button" dataOnly="0" labelOnly="1" outline="0" axis="axisRow" fieldPosition="1"/>
    </format>
    <format dxfId="42">
      <pivotArea dataOnly="0" labelOnly="1" outline="0" fieldPosition="0">
        <references count="1">
          <reference field="4294967294" count="2">
            <x v="0"/>
            <x v="1"/>
          </reference>
        </references>
      </pivotArea>
    </format>
  </formats>
  <pivotTableStyleInfo name="PivotStyleLight14" showRowHeaders="1" showColHeaders="1" showRowStripes="0" showColStripes="0" showLastColumn="1"/>
  <filters count="1">
    <filter fld="4" type="dateBetween" evalOrder="-1" id="283" name="Date">
      <autoFilter ref="A1">
        <filterColumn colId="0">
          <customFilters and="1">
            <customFilter operator="greaterThanOrEqual" val="45108"/>
            <customFilter operator="lessThanOrEqual" val="4547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Name">
  <location ref="A3:A26" firstHeaderRow="1" firstDataRow="1" firstDataCol="1" rowPageCount="1" colPageCount="1"/>
  <pivotFields count="14">
    <pivotField axis="axisRow" showAll="0">
      <items count="47">
        <item x="13"/>
        <item m="1" x="45"/>
        <item m="1" x="44"/>
        <item x="0"/>
        <item m="1" x="43"/>
        <item x="18"/>
        <item x="3"/>
        <item h="1" x="21"/>
        <item x="9"/>
        <item x="2"/>
        <item x="6"/>
        <item x="19"/>
        <item x="15"/>
        <item x="14"/>
        <item x="27"/>
        <item x="5"/>
        <item x="28"/>
        <item x="32"/>
        <item x="20"/>
        <item x="12"/>
        <item x="7"/>
        <item h="1" x="31"/>
        <item x="11"/>
        <item x="17"/>
        <item x="4"/>
        <item x="29"/>
        <item m="1" x="42"/>
        <item x="1"/>
        <item x="10"/>
        <item x="22"/>
        <item x="30"/>
        <item x="24"/>
        <item x="16"/>
        <item m="1" x="41"/>
        <item x="23"/>
        <item x="25"/>
        <item x="26"/>
        <item x="33"/>
        <item h="1" x="8"/>
        <item h="1" x="34"/>
        <item h="1" x="35"/>
        <item h="1" x="36"/>
        <item h="1" x="37"/>
        <item h="1" x="38"/>
        <item h="1" x="39"/>
        <item h="1" x="40"/>
        <item t="default"/>
      </items>
    </pivotField>
    <pivotField showAll="0"/>
    <pivotField showAll="0"/>
    <pivotField showAll="0"/>
    <pivotField numFmtId="165" showAll="0"/>
    <pivotField axis="axisPage" multipleItemSelectionAllowed="1" showAll="0">
      <items count="47">
        <item h="1" x="3"/>
        <item h="1" x="7"/>
        <item h="1" x="11"/>
        <item h="1" x="15"/>
        <item h="1" x="19"/>
        <item h="1" x="23"/>
        <item h="1" x="25"/>
        <item h="1" x="29"/>
        <item h="1" x="33"/>
        <item h="1" x="37"/>
        <item x="41"/>
        <item h="1" x="0"/>
        <item h="1" x="4"/>
        <item h="1" x="8"/>
        <item h="1" x="12"/>
        <item h="1" x="16"/>
        <item h="1" x="20"/>
        <item h="1" x="24"/>
        <item h="1" x="26"/>
        <item h="1" x="30"/>
        <item h="1" x="34"/>
        <item h="1" x="38"/>
        <item x="42"/>
        <item h="1" x="1"/>
        <item h="1" x="5"/>
        <item h="1" x="9"/>
        <item h="1" x="13"/>
        <item h="1" x="17"/>
        <item h="1" x="21"/>
        <item h="1" x="27"/>
        <item h="1" x="31"/>
        <item h="1" x="35"/>
        <item x="39"/>
        <item h="1" x="2"/>
        <item h="1" x="6"/>
        <item h="1" x="10"/>
        <item h="1" x="14"/>
        <item h="1" x="18"/>
        <item h="1" x="22"/>
        <item h="1" x="28"/>
        <item h="1" x="32"/>
        <item h="1" x="36"/>
        <item x="40"/>
        <item h="1" m="1" x="45"/>
        <item h="1" x="43"/>
        <item h="1" x="44"/>
        <item t="default"/>
      </items>
    </pivotField>
    <pivotField showAll="0"/>
    <pivotField showAll="0"/>
    <pivotField showAll="0"/>
    <pivotField showAll="0"/>
    <pivotField showAll="0"/>
    <pivotField showAll="0"/>
    <pivotField showAll="0" defaultSubtotal="0"/>
    <pivotField dragToRow="0" dragToCol="0" dragToPage="0" showAll="0" defaultSubtotal="0"/>
  </pivotFields>
  <rowFields count="1">
    <field x="0"/>
  </rowFields>
  <rowItems count="23">
    <i>
      <x/>
    </i>
    <i>
      <x v="6"/>
    </i>
    <i>
      <x v="8"/>
    </i>
    <i>
      <x v="9"/>
    </i>
    <i>
      <x v="10"/>
    </i>
    <i>
      <x v="14"/>
    </i>
    <i>
      <x v="15"/>
    </i>
    <i>
      <x v="16"/>
    </i>
    <i>
      <x v="17"/>
    </i>
    <i>
      <x v="19"/>
    </i>
    <i>
      <x v="20"/>
    </i>
    <i>
      <x v="22"/>
    </i>
    <i>
      <x v="24"/>
    </i>
    <i>
      <x v="25"/>
    </i>
    <i>
      <x v="27"/>
    </i>
    <i>
      <x v="28"/>
    </i>
    <i>
      <x v="29"/>
    </i>
    <i>
      <x v="30"/>
    </i>
    <i>
      <x v="31"/>
    </i>
    <i>
      <x v="34"/>
    </i>
    <i>
      <x v="35"/>
    </i>
    <i>
      <x v="36"/>
    </i>
    <i>
      <x v="37"/>
    </i>
  </rowItems>
  <colItems count="1">
    <i/>
  </colItems>
  <pageFields count="1">
    <pageField fld="5" hier="-1"/>
  </pageFields>
  <formats count="9">
    <format dxfId="41">
      <pivotArea type="all" dataOnly="0" outline="0"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field="0" type="button" dataOnly="0" labelOnly="1" outline="0" axis="axisRow" fieldPosition="0"/>
    </format>
    <format dxfId="37">
      <pivotArea field="0" type="button" dataOnly="0" labelOnly="1" outline="0" axis="axisRow" fieldPosition="0"/>
    </format>
    <format dxfId="36">
      <pivotArea field="0" type="button" dataOnly="0" labelOnly="1" outline="0" axis="axisRow" fieldPosition="0"/>
    </format>
    <format dxfId="35">
      <pivotArea type="all" dataOnly="0" outline="0" fieldPosition="0"/>
    </format>
    <format dxfId="34">
      <pivotArea field="0" type="button" dataOnly="0" labelOnly="1" outline="0" axis="axisRow" fieldPosition="0"/>
    </format>
    <format dxfId="33">
      <pivotArea dataOnly="0" labelOnly="1" fieldPosition="0">
        <references count="1">
          <reference field="0" count="25">
            <x v="0"/>
            <x v="1"/>
            <x v="2"/>
            <x v="4"/>
            <x v="6"/>
            <x v="7"/>
            <x v="8"/>
            <x v="9"/>
            <x v="10"/>
            <x v="14"/>
            <x v="15"/>
            <x v="16"/>
            <x v="17"/>
            <x v="19"/>
            <x v="20"/>
            <x v="22"/>
            <x v="24"/>
            <x v="25"/>
            <x v="26"/>
            <x v="27"/>
            <x v="28"/>
            <x v="29"/>
            <x v="30"/>
            <x v="31"/>
            <x v="3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eting" xr10:uid="{00000000-0013-0000-FFFF-FFFF01000000}" sourceName="Meeting">
  <extLst>
    <x:ext xmlns:x15="http://schemas.microsoft.com/office/spreadsheetml/2010/11/main" uri="{2F2917AC-EB37-4324-AD4E-5DD8C200BD13}">
      <x15:tableSlicerCache tableId="2"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eting" xr10:uid="{00000000-0014-0000-FFFF-FFFF01000000}" cache="Slicer_Meeting" caption="Meeting" columnCount="6" style="SlicerStyleDark6"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RawData" displayName="RawData" ref="A5:M1729" totalsRowShown="0" headerRowDxfId="150" dataDxfId="148" headerRowBorderDxfId="149" tableBorderDxfId="147" totalsRowBorderDxfId="146">
  <autoFilter ref="A5:M1729" xr:uid="{00000000-0009-0000-0100-000002000000}"/>
  <sortState xmlns:xlrd2="http://schemas.microsoft.com/office/spreadsheetml/2017/richdata2" ref="A6:L1673">
    <sortCondition ref="E5:E1673"/>
  </sortState>
  <tableColumns count="13">
    <tableColumn id="1" xr3:uid="{00000000-0010-0000-0000-000001000000}" name="Name" dataDxfId="145"/>
    <tableColumn id="2" xr3:uid="{00000000-0010-0000-0000-000002000000}" name="Designation" dataDxfId="144">
      <calculatedColumnFormula>IFERROR(VLOOKUP($A6, NameDesignation[], 2,FALSE), " ")</calculatedColumnFormula>
    </tableColumn>
    <tableColumn id="3" xr3:uid="{00000000-0010-0000-0000-000003000000}" name="Meeting" dataDxfId="143"/>
    <tableColumn id="4" xr3:uid="{00000000-0010-0000-0000-000004000000}" name="Meeting Number" dataDxfId="142"/>
    <tableColumn id="5" xr3:uid="{00000000-0010-0000-0000-000005000000}" name="Date" dataDxfId="141"/>
    <tableColumn id="6" xr3:uid="{00000000-0010-0000-0000-000006000000}" name="Quarter" dataDxfId="140">
      <calculatedColumnFormula>CONCATENATE("Q", ROUNDUP(MONTH($E6)/3,0),"-",TEXT($E6, "yy"))</calculatedColumnFormula>
    </tableColumn>
    <tableColumn id="7" xr3:uid="{00000000-0010-0000-0000-000007000000}" name="Month" dataDxfId="139">
      <calculatedColumnFormula>CONCATENATE(TEXT($E6, "mmm"),"'", TEXT($E6, "yy"))</calculatedColumnFormula>
    </tableColumn>
    <tableColumn id="12" xr3:uid="{00000000-0010-0000-0000-00000C000000}" name="Year" dataDxfId="138">
      <calculatedColumnFormula>TEXT(RawData[[#This Row],[Date]], "YYYY")</calculatedColumnFormula>
    </tableColumn>
    <tableColumn id="8" xr3:uid="{00000000-0010-0000-0000-000008000000}" name="Place" dataDxfId="137"/>
    <tableColumn id="9" xr3:uid="{00000000-0010-0000-0000-000009000000}" name="Status" dataDxfId="136"/>
    <tableColumn id="10" xr3:uid="{00000000-0010-0000-0000-00000A000000}" name="Status1" dataDxfId="135">
      <calculatedColumnFormula>IF($J6="Present", 1, 0)</calculatedColumnFormula>
    </tableColumn>
    <tableColumn id="11" xr3:uid="{00000000-0010-0000-0000-00000B000000}" name="Honorium" dataDxfId="134">
      <calculatedColumnFormula>IF(RawData[[#This Row],[Paid/Unpaid]]="Paid", IF(VALUE($E6)&gt;VALUE($D$3),$K6* 10000,$K6* 8000), 0)</calculatedColumnFormula>
    </tableColumn>
    <tableColumn id="13" xr3:uid="{00000000-0010-0000-0000-00000D000000}" name="Paid/Unpaid" dataDxfId="133"/>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eetingAttn" displayName="MeetingAttn" ref="B3:J39" totalsRowShown="0" headerRowDxfId="32" dataDxfId="30" headerRowBorderDxfId="31" tableBorderDxfId="29" totalsRowBorderDxfId="28" dataCellStyle="Comma">
  <autoFilter ref="B3:J39" xr:uid="{00000000-0009-0000-0100-000003000000}"/>
  <tableColumns count="9">
    <tableColumn id="1" xr3:uid="{00000000-0010-0000-0100-000001000000}" name="Designation" dataDxfId="27" dataCellStyle="Comma">
      <calculatedColumnFormula>IFERROR(VLOOKUP($A4,NameDesignation[], 2,FALSE), " ")</calculatedColumnFormula>
    </tableColumn>
    <tableColumn id="2" xr3:uid="{00000000-0010-0000-0100-000002000000}" name="Board" dataDxfId="26" dataCellStyle="Comma">
      <calculatedColumnFormula array="1">SUM(IF((RawData[Name]=$A4)*(RawData[Meeting]=C$3)*(RawData[Quarter]={"Q3-23","Q4-23","Q1-24","Q2-24"}),RawData[Status1],0))</calculatedColumnFormula>
    </tableColumn>
    <tableColumn id="3" xr3:uid="{00000000-0010-0000-0100-000003000000}" name="EC" dataDxfId="25" dataCellStyle="Comma">
      <calculatedColumnFormula array="1">SUM(IF((RawData[Name]=$A4)*(RawData[Meeting]=D$3)*(RawData[Quarter]={"Q3-23","Q4-23","Q1-24","Q2-24"}),RawData[Status1],0))</calculatedColumnFormula>
    </tableColumn>
    <tableColumn id="4" xr3:uid="{00000000-0010-0000-0100-000004000000}" name="AC" dataDxfId="24" dataCellStyle="Comma">
      <calculatedColumnFormula array="1">SUM(IF((RawData[Name]=$A4)*(RawData[Meeting]=E$3)*(RawData[Quarter]={"Q3-23","Q4-23","Q1-24","Q2-24"}),RawData[Status1],0))</calculatedColumnFormula>
    </tableColumn>
    <tableColumn id="5" xr3:uid="{00000000-0010-0000-0100-000005000000}" name="RMC" dataDxfId="23" dataCellStyle="Comma">
      <calculatedColumnFormula array="1">SUM(IF((RawData[Name]=$A4)*(RawData[Meeting]=F$3)*(RawData[Quarter]={"Q3-23","Q4-23","Q1-24","Q2-24"}),RawData[Status1],0))</calculatedColumnFormula>
    </tableColumn>
    <tableColumn id="6" xr3:uid="{00000000-0010-0000-0100-000006000000}" name="SSC" dataDxfId="22" dataCellStyle="Comma">
      <calculatedColumnFormula array="1">SUM(IF((RawData[Name]=$A4)*(RawData[Meeting]=G$3)*(RawData[Quarter]={"Q3-23","Q4-23","Q1-24","Q2-24"}),RawData[Status1],0))</calculatedColumnFormula>
    </tableColumn>
    <tableColumn id="7" xr3:uid="{00000000-0010-0000-0100-000007000000}" name="NRC" dataDxfId="21" dataCellStyle="Comma">
      <calculatedColumnFormula array="1">SUM(IF((RawData[Name]=$A4)*(RawData[Meeting]=H$3)*(RawData[Quarter]={"Q3-23","Q4-23","Q1-24","Q2-24"}),RawData[Status1],0))</calculatedColumnFormula>
    </tableColumn>
    <tableColumn id="8" xr3:uid="{00000000-0010-0000-0100-000008000000}" name="Total" dataDxfId="20" dataCellStyle="Comma">
      <calculatedColumnFormula>SUM(MeetingAttn[[#This Row],[Board]:[NRC]])</calculatedColumnFormula>
    </tableColumn>
    <tableColumn id="9" xr3:uid="{00000000-0010-0000-0100-000009000000}" name="Total Tk" dataDxfId="19" dataCellStyle="Comma">
      <calculatedColumnFormula>SUMIF(Summary!A:A, 'Meeting Attdnc'!$A4, Summary!C:C)</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eetingAttnMail" displayName="MeetingAttnMail" ref="A1:K34" totalsRowShown="0" headerRowDxfId="18" dataDxfId="16" headerRowBorderDxfId="17" tableBorderDxfId="15" totalsRowBorderDxfId="14" headerRowCellStyle="Comma">
  <autoFilter ref="A1:K34" xr:uid="{00000000-0009-0000-0100-000004000000}"/>
  <sortState xmlns:xlrd2="http://schemas.microsoft.com/office/spreadsheetml/2017/richdata2" ref="A2:K34">
    <sortCondition ref="A1:A34"/>
  </sortState>
  <tableColumns count="11">
    <tableColumn id="1" xr3:uid="{00000000-0010-0000-0200-000001000000}" name="Sl No" dataDxfId="13">
      <calculatedColumnFormula>IF(C2="Chairman",1,IF(C2="Vice-Chairman",2,IF(C2="Director",3,IF(C2="Independent Director",4,IF(C2="Member, Shariah Supervisory Committee",6,IF(C2="Former Director",7,IF(C2="Managing Director &amp; CEO", 8, IF(C2= "Acting Managing Director &amp; CEO", 9, IF(C2="Chairman, Shariah Supervisory Committee",5, "")))))))))</calculatedColumnFormula>
    </tableColumn>
    <tableColumn id="2" xr3:uid="{00000000-0010-0000-0200-000002000000}" name="Names" dataDxfId="12">
      <calculatedColumnFormula>'Meeting Attdnc'!A4</calculatedColumnFormula>
    </tableColumn>
    <tableColumn id="3" xr3:uid="{00000000-0010-0000-0200-000003000000}" name="Designation" dataDxfId="11">
      <calculatedColumnFormula>'Meeting Attdnc'!B4</calculatedColumnFormula>
    </tableColumn>
    <tableColumn id="4" xr3:uid="{00000000-0010-0000-0200-000004000000}" name="Board" dataDxfId="10" dataCellStyle="Comma">
      <calculatedColumnFormula>'Meeting Attdnc'!C4</calculatedColumnFormula>
    </tableColumn>
    <tableColumn id="5" xr3:uid="{00000000-0010-0000-0200-000005000000}" name="EC" dataDxfId="9" dataCellStyle="Comma">
      <calculatedColumnFormula>'Meeting Attdnc'!D4</calculatedColumnFormula>
    </tableColumn>
    <tableColumn id="6" xr3:uid="{00000000-0010-0000-0200-000006000000}" name="AC" dataDxfId="8" dataCellStyle="Comma">
      <calculatedColumnFormula>'Meeting Attdnc'!E4</calculatedColumnFormula>
    </tableColumn>
    <tableColumn id="7" xr3:uid="{00000000-0010-0000-0200-000007000000}" name="RMC" dataDxfId="7" dataCellStyle="Comma">
      <calculatedColumnFormula>'Meeting Attdnc'!F4</calculatedColumnFormula>
    </tableColumn>
    <tableColumn id="8" xr3:uid="{00000000-0010-0000-0200-000008000000}" name="SSC" dataDxfId="6" dataCellStyle="Comma">
      <calculatedColumnFormula>'Meeting Attdnc'!G4</calculatedColumnFormula>
    </tableColumn>
    <tableColumn id="9" xr3:uid="{00000000-0010-0000-0200-000009000000}" name="NRC" dataDxfId="5" dataCellStyle="Comma">
      <calculatedColumnFormula>'Meeting Attdnc'!H4</calculatedColumnFormula>
    </tableColumn>
    <tableColumn id="10" xr3:uid="{00000000-0010-0000-0200-00000A000000}" name="Total" dataDxfId="4" dataCellStyle="Comma">
      <calculatedColumnFormula>'Meeting Attdnc'!I4</calculatedColumnFormula>
    </tableColumn>
    <tableColumn id="11" xr3:uid="{00000000-0010-0000-0200-00000B000000}" name="Total Remuneration" dataDxfId="3" dataCellStyle="Comma">
      <calculatedColumnFormula>'Meeting Attdnc'!J4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NameDesignation" displayName="NameDesignation" ref="A1:B42" totalsRowShown="0" headerRowDxfId="2">
  <autoFilter ref="A1:B42" xr:uid="{00000000-0009-0000-0100-000001000000}"/>
  <tableColumns count="2">
    <tableColumn id="1" xr3:uid="{00000000-0010-0000-0300-000001000000}" name="Name" dataDxfId="1"/>
    <tableColumn id="2" xr3:uid="{00000000-0010-0000-0300-000002000000}" name="Designa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2000000}" sourceName="Date">
  <pivotTables>
    <pivotTable tabId="3" name="Summary"/>
  </pivotTables>
  <state minimalRefreshVersion="6" lastRefreshVersion="6" pivotCacheId="1" filterType="dateBetween">
    <selection startDate="2023-07-01T00:00:00" endDate="2024-06-30T00:00:00"/>
    <bounds startDate="201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2000000}" cache="NativeTimeline_Date" caption="Date" level="0" selectionLevel="1" scrollPosition="2018-12-07T00:00:00" style="TimeSlicerStyleDark6"/>
  <timeline name="Date 1" xr10:uid="{00000000-0014-0000-FFFF-FFFF03000000}" cache="NativeTimeline_Date" caption="Date" level="1" selectionLevel="1" scrollPosition="2022-08-17T00:00:00" style="TimeSlicerStyleDark6"/>
  <timeline name="Date 2" xr10:uid="{00000000-0014-0000-FFFF-FFFF04000000}" cache="NativeTimeline_Date" caption="Date" level="2" selectionLevel="1" scrollPosition="2023-03-22T00:00:00" style="TimeSlicerStyleDark6"/>
  <timeline name="Date 3" xr10:uid="{00000000-0014-0000-FFFF-FFFF05000000}" cache="NativeTimeline_Date" caption="Date" level="3" selectionLevel="1" scrollPosition="2023-12-26T00:00:00" style="TimeSlicerStyleDark6"/>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rinterSettings" Target="../printerSettings/printerSettings3.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8.xml"/><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5.bin"/><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3:M1729"/>
  <sheetViews>
    <sheetView showGridLines="0" zoomScaleNormal="100" workbookViewId="0">
      <pane ySplit="5" topLeftCell="A1535" activePane="bottomLeft" state="frozen"/>
      <selection pane="bottomLeft" activeCell="O1564" sqref="O1564"/>
    </sheetView>
  </sheetViews>
  <sheetFormatPr defaultColWidth="9.109375" defaultRowHeight="13.8" outlineLevelCol="1" x14ac:dyDescent="0.3"/>
  <cols>
    <col min="1" max="1" width="45.109375" style="53" bestFit="1" customWidth="1"/>
    <col min="2" max="2" width="35" style="53" customWidth="1"/>
    <col min="3" max="3" width="12.109375" style="53" customWidth="1"/>
    <col min="4" max="4" width="19.33203125" style="53" bestFit="1" customWidth="1"/>
    <col min="5" max="5" width="9.5546875" style="53" customWidth="1"/>
    <col min="6" max="6" width="11.88671875" style="53" hidden="1" customWidth="1" outlineLevel="1"/>
    <col min="7" max="7" width="10.88671875" style="53" hidden="1" customWidth="1" outlineLevel="1"/>
    <col min="8" max="8" width="9.109375" style="53" hidden="1" customWidth="1" outlineLevel="1"/>
    <col min="9" max="9" width="9.5546875" style="53" customWidth="1" collapsed="1"/>
    <col min="10" max="10" width="10.44140625" style="53" bestFit="1" customWidth="1"/>
    <col min="11" max="11" width="11.44140625" style="53" hidden="1" customWidth="1" outlineLevel="1"/>
    <col min="12" max="12" width="13.44140625" style="56" hidden="1" customWidth="1" outlineLevel="1"/>
    <col min="13" max="13" width="15.109375" style="53" customWidth="1" collapsed="1"/>
    <col min="14" max="16384" width="9.109375" style="53"/>
  </cols>
  <sheetData>
    <row r="3" spans="1:13" ht="16.2" x14ac:dyDescent="0.3">
      <c r="C3" s="147" t="s">
        <v>122</v>
      </c>
      <c r="D3" s="148">
        <v>45369</v>
      </c>
    </row>
    <row r="4" spans="1:13" ht="16.2" x14ac:dyDescent="0.3">
      <c r="A4" s="135"/>
      <c r="B4" s="135"/>
      <c r="D4" s="136"/>
      <c r="E4" s="137"/>
      <c r="F4" s="135"/>
      <c r="G4" s="137"/>
      <c r="H4" s="137"/>
      <c r="I4" s="138"/>
      <c r="J4" s="138"/>
    </row>
    <row r="5" spans="1:13" ht="17.25" customHeight="1" x14ac:dyDescent="0.3">
      <c r="A5" s="139" t="s">
        <v>0</v>
      </c>
      <c r="B5" s="139" t="s">
        <v>6</v>
      </c>
      <c r="C5" s="139" t="s">
        <v>1</v>
      </c>
      <c r="D5" s="139" t="s">
        <v>2</v>
      </c>
      <c r="E5" s="140" t="s">
        <v>4</v>
      </c>
      <c r="F5" s="139" t="s">
        <v>88</v>
      </c>
      <c r="G5" s="140" t="s">
        <v>82</v>
      </c>
      <c r="H5" s="140" t="s">
        <v>125</v>
      </c>
      <c r="I5" s="141" t="s">
        <v>3</v>
      </c>
      <c r="J5" s="141" t="s">
        <v>5</v>
      </c>
      <c r="K5" s="139" t="s">
        <v>89</v>
      </c>
      <c r="L5" s="142" t="s">
        <v>121</v>
      </c>
      <c r="M5" s="139" t="s">
        <v>145</v>
      </c>
    </row>
    <row r="6" spans="1:13" ht="12.75" customHeight="1" x14ac:dyDescent="0.3">
      <c r="A6" s="143" t="s">
        <v>80</v>
      </c>
      <c r="B6" s="139" t="str">
        <f>IFERROR(VLOOKUP($A6, NameDesignation[], 2,FALSE), " ")</f>
        <v>Former Independent Director</v>
      </c>
      <c r="C6" s="139" t="s">
        <v>29</v>
      </c>
      <c r="D6" s="139">
        <v>349</v>
      </c>
      <c r="E6" s="140">
        <v>41408</v>
      </c>
      <c r="F6" s="139" t="str">
        <f t="shared" ref="F6:F69" si="0">CONCATENATE("Q", ROUNDUP(MONTH($E6)/3,0),"-",TEXT($E6, "yy"))</f>
        <v>Q2-13</v>
      </c>
      <c r="G6" s="140" t="str">
        <f t="shared" ref="G6:G69" si="1">CONCATENATE(TEXT($E6, "mmm"),"'", TEXT($E6, "yy"))</f>
        <v>May'13</v>
      </c>
      <c r="H6" s="140" t="str">
        <f>TEXT(RawData[[#This Row],[Date]], "YYYY")</f>
        <v>2013</v>
      </c>
      <c r="I6" s="141" t="s">
        <v>32</v>
      </c>
      <c r="J6" s="141" t="s">
        <v>90</v>
      </c>
      <c r="K6" s="139">
        <f t="shared" ref="K6:K69" si="2">IF($J6="Present", 1, 0)</f>
        <v>1</v>
      </c>
      <c r="L6" s="142">
        <f>IF(RawData[[#This Row],[Paid/Unpaid]]="Paid", IF(VALUE($E6)&gt;VALUE($D$3),$K6* 10000,$K6* 8000), 0)</f>
        <v>8000</v>
      </c>
      <c r="M6" s="53" t="s">
        <v>146</v>
      </c>
    </row>
    <row r="7" spans="1:13" ht="12.75" customHeight="1" x14ac:dyDescent="0.3">
      <c r="A7" s="143" t="s">
        <v>80</v>
      </c>
      <c r="B7" s="139" t="str">
        <f>IFERROR(VLOOKUP($A7, NameDesignation[], 2,FALSE), " ")</f>
        <v>Former Independent Director</v>
      </c>
      <c r="C7" s="139" t="s">
        <v>29</v>
      </c>
      <c r="D7" s="139">
        <v>350</v>
      </c>
      <c r="E7" s="140">
        <v>41441</v>
      </c>
      <c r="F7" s="139" t="str">
        <f t="shared" si="0"/>
        <v>Q2-13</v>
      </c>
      <c r="G7" s="140" t="str">
        <f t="shared" si="1"/>
        <v>Jun'13</v>
      </c>
      <c r="H7" s="140" t="str">
        <f>TEXT(RawData[[#This Row],[Date]], "YYYY")</f>
        <v>2013</v>
      </c>
      <c r="I7" s="141" t="s">
        <v>32</v>
      </c>
      <c r="J7" s="141" t="s">
        <v>90</v>
      </c>
      <c r="K7" s="139">
        <f t="shared" si="2"/>
        <v>1</v>
      </c>
      <c r="L7" s="142">
        <f>IF(RawData[[#This Row],[Paid/Unpaid]]="Paid", IF(VALUE($E7)&gt;VALUE($D$3),$K7* 10000,$K7* 8000), 0)</f>
        <v>8000</v>
      </c>
      <c r="M7" s="53" t="s">
        <v>146</v>
      </c>
    </row>
    <row r="8" spans="1:13" ht="12.75" customHeight="1" x14ac:dyDescent="0.3">
      <c r="A8" s="143" t="s">
        <v>80</v>
      </c>
      <c r="B8" s="139" t="str">
        <f>IFERROR(VLOOKUP($A8, NameDesignation[], 2,FALSE), " ")</f>
        <v>Former Independent Director</v>
      </c>
      <c r="C8" s="139" t="s">
        <v>37</v>
      </c>
      <c r="D8" s="139">
        <v>49</v>
      </c>
      <c r="E8" s="140">
        <v>41483</v>
      </c>
      <c r="F8" s="139" t="str">
        <f t="shared" si="0"/>
        <v>Q3-13</v>
      </c>
      <c r="G8" s="140" t="str">
        <f t="shared" si="1"/>
        <v>Jul'13</v>
      </c>
      <c r="H8" s="140" t="str">
        <f>TEXT(RawData[[#This Row],[Date]], "YYYY")</f>
        <v>2013</v>
      </c>
      <c r="I8" s="141" t="s">
        <v>32</v>
      </c>
      <c r="J8" s="141" t="s">
        <v>90</v>
      </c>
      <c r="K8" s="139">
        <f t="shared" si="2"/>
        <v>1</v>
      </c>
      <c r="L8" s="142">
        <f>IF(RawData[[#This Row],[Paid/Unpaid]]="Paid", IF(VALUE($E8)&gt;VALUE($D$3),$K8* 10000,$K8* 8000), 0)</f>
        <v>8000</v>
      </c>
      <c r="M8" s="53" t="s">
        <v>146</v>
      </c>
    </row>
    <row r="9" spans="1:13" ht="12.75" customHeight="1" x14ac:dyDescent="0.3">
      <c r="A9" s="143" t="s">
        <v>80</v>
      </c>
      <c r="B9" s="139" t="str">
        <f>IFERROR(VLOOKUP($A9, NameDesignation[], 2,FALSE), " ")</f>
        <v>Former Independent Director</v>
      </c>
      <c r="C9" s="139" t="s">
        <v>29</v>
      </c>
      <c r="D9" s="139">
        <v>352</v>
      </c>
      <c r="E9" s="140">
        <v>41484</v>
      </c>
      <c r="F9" s="139" t="str">
        <f t="shared" si="0"/>
        <v>Q3-13</v>
      </c>
      <c r="G9" s="140" t="str">
        <f t="shared" si="1"/>
        <v>Jul'13</v>
      </c>
      <c r="H9" s="140" t="str">
        <f>TEXT(RawData[[#This Row],[Date]], "YYYY")</f>
        <v>2013</v>
      </c>
      <c r="I9" s="141" t="s">
        <v>32</v>
      </c>
      <c r="J9" s="141" t="s">
        <v>90</v>
      </c>
      <c r="K9" s="139">
        <f t="shared" si="2"/>
        <v>1</v>
      </c>
      <c r="L9" s="142">
        <f>IF(RawData[[#This Row],[Paid/Unpaid]]="Paid", IF(VALUE($E9)&gt;VALUE($D$3),$K9* 10000,$K9* 8000), 0)</f>
        <v>8000</v>
      </c>
      <c r="M9" s="53" t="s">
        <v>146</v>
      </c>
    </row>
    <row r="10" spans="1:13" ht="12.75" customHeight="1" x14ac:dyDescent="0.3">
      <c r="A10" s="143" t="s">
        <v>80</v>
      </c>
      <c r="B10" s="139" t="str">
        <f>IFERROR(VLOOKUP($A10, NameDesignation[], 2,FALSE), " ")</f>
        <v>Former Independent Director</v>
      </c>
      <c r="C10" s="139" t="s">
        <v>29</v>
      </c>
      <c r="D10" s="139">
        <v>353</v>
      </c>
      <c r="E10" s="140">
        <v>41517</v>
      </c>
      <c r="F10" s="139" t="str">
        <f t="shared" si="0"/>
        <v>Q3-13</v>
      </c>
      <c r="G10" s="140" t="str">
        <f t="shared" si="1"/>
        <v>Aug'13</v>
      </c>
      <c r="H10" s="140" t="str">
        <f>TEXT(RawData[[#This Row],[Date]], "YYYY")</f>
        <v>2013</v>
      </c>
      <c r="I10" s="141" t="s">
        <v>32</v>
      </c>
      <c r="J10" s="141" t="s">
        <v>90</v>
      </c>
      <c r="K10" s="139">
        <f t="shared" si="2"/>
        <v>1</v>
      </c>
      <c r="L10" s="142">
        <f>IF(RawData[[#This Row],[Paid/Unpaid]]="Paid", IF(VALUE($E10)&gt;VALUE($D$3),$K10* 10000,$K10* 8000), 0)</f>
        <v>8000</v>
      </c>
      <c r="M10" s="53" t="s">
        <v>146</v>
      </c>
    </row>
    <row r="11" spans="1:13" ht="12.75" customHeight="1" x14ac:dyDescent="0.3">
      <c r="A11" s="143" t="s">
        <v>80</v>
      </c>
      <c r="B11" s="139" t="str">
        <f>IFERROR(VLOOKUP($A11, NameDesignation[], 2,FALSE), " ")</f>
        <v>Former Independent Director</v>
      </c>
      <c r="C11" s="139" t="s">
        <v>37</v>
      </c>
      <c r="D11" s="139">
        <v>50</v>
      </c>
      <c r="E11" s="140">
        <v>41522</v>
      </c>
      <c r="F11" s="139" t="str">
        <f t="shared" si="0"/>
        <v>Q3-13</v>
      </c>
      <c r="G11" s="140" t="str">
        <f t="shared" si="1"/>
        <v>Sep'13</v>
      </c>
      <c r="H11" s="140" t="str">
        <f>TEXT(RawData[[#This Row],[Date]], "YYYY")</f>
        <v>2013</v>
      </c>
      <c r="I11" s="141" t="s">
        <v>32</v>
      </c>
      <c r="J11" s="141" t="s">
        <v>90</v>
      </c>
      <c r="K11" s="139">
        <f t="shared" si="2"/>
        <v>1</v>
      </c>
      <c r="L11" s="142">
        <f>IF(RawData[[#This Row],[Paid/Unpaid]]="Paid", IF(VALUE($E11)&gt;VALUE($D$3),$K11* 10000,$K11* 8000), 0)</f>
        <v>8000</v>
      </c>
      <c r="M11" s="53" t="s">
        <v>146</v>
      </c>
    </row>
    <row r="12" spans="1:13" ht="12.75" customHeight="1" x14ac:dyDescent="0.3">
      <c r="A12" s="143" t="s">
        <v>80</v>
      </c>
      <c r="B12" s="139" t="str">
        <f>IFERROR(VLOOKUP($A12, NameDesignation[], 2,FALSE), " ")</f>
        <v>Former Independent Director</v>
      </c>
      <c r="C12" s="139" t="s">
        <v>29</v>
      </c>
      <c r="D12" s="139">
        <v>354</v>
      </c>
      <c r="E12" s="140">
        <v>41547</v>
      </c>
      <c r="F12" s="139" t="str">
        <f t="shared" si="0"/>
        <v>Q3-13</v>
      </c>
      <c r="G12" s="140" t="str">
        <f t="shared" si="1"/>
        <v>Sep'13</v>
      </c>
      <c r="H12" s="140" t="str">
        <f>TEXT(RawData[[#This Row],[Date]], "YYYY")</f>
        <v>2013</v>
      </c>
      <c r="I12" s="141" t="s">
        <v>32</v>
      </c>
      <c r="J12" s="141" t="s">
        <v>90</v>
      </c>
      <c r="K12" s="139">
        <f t="shared" si="2"/>
        <v>1</v>
      </c>
      <c r="L12" s="142">
        <f>IF(RawData[[#This Row],[Paid/Unpaid]]="Paid", IF(VALUE($E12)&gt;VALUE($D$3),$K12* 10000,$K12* 8000), 0)</f>
        <v>8000</v>
      </c>
      <c r="M12" s="53" t="s">
        <v>146</v>
      </c>
    </row>
    <row r="13" spans="1:13" ht="12.75" customHeight="1" x14ac:dyDescent="0.3">
      <c r="A13" s="143" t="s">
        <v>80</v>
      </c>
      <c r="B13" s="139" t="str">
        <f>IFERROR(VLOOKUP($A13, NameDesignation[], 2,FALSE), " ")</f>
        <v>Former Independent Director</v>
      </c>
      <c r="C13" s="139" t="s">
        <v>29</v>
      </c>
      <c r="D13" s="139">
        <v>355</v>
      </c>
      <c r="E13" s="140">
        <v>41556</v>
      </c>
      <c r="F13" s="139" t="str">
        <f t="shared" si="0"/>
        <v>Q4-13</v>
      </c>
      <c r="G13" s="140" t="str">
        <f t="shared" si="1"/>
        <v>Oct'13</v>
      </c>
      <c r="H13" s="140" t="str">
        <f>TEXT(RawData[[#This Row],[Date]], "YYYY")</f>
        <v>2013</v>
      </c>
      <c r="I13" s="141" t="s">
        <v>32</v>
      </c>
      <c r="J13" s="141" t="s">
        <v>90</v>
      </c>
      <c r="K13" s="139">
        <f t="shared" si="2"/>
        <v>1</v>
      </c>
      <c r="L13" s="142">
        <f>IF(RawData[[#This Row],[Paid/Unpaid]]="Paid", IF(VALUE($E13)&gt;VALUE($D$3),$K13* 10000,$K13* 8000), 0)</f>
        <v>8000</v>
      </c>
      <c r="M13" s="53" t="s">
        <v>146</v>
      </c>
    </row>
    <row r="14" spans="1:13" ht="12.75" customHeight="1" x14ac:dyDescent="0.3">
      <c r="A14" s="143" t="s">
        <v>80</v>
      </c>
      <c r="B14" s="139" t="str">
        <f>IFERROR(VLOOKUP($A14, NameDesignation[], 2,FALSE), " ")</f>
        <v>Former Independent Director</v>
      </c>
      <c r="C14" s="139" t="s">
        <v>37</v>
      </c>
      <c r="D14" s="139">
        <v>51</v>
      </c>
      <c r="E14" s="140">
        <v>41576</v>
      </c>
      <c r="F14" s="139" t="str">
        <f t="shared" si="0"/>
        <v>Q4-13</v>
      </c>
      <c r="G14" s="140" t="str">
        <f t="shared" si="1"/>
        <v>Oct'13</v>
      </c>
      <c r="H14" s="140" t="str">
        <f>TEXT(RawData[[#This Row],[Date]], "YYYY")</f>
        <v>2013</v>
      </c>
      <c r="I14" s="141" t="s">
        <v>32</v>
      </c>
      <c r="J14" s="141" t="s">
        <v>90</v>
      </c>
      <c r="K14" s="139">
        <f t="shared" si="2"/>
        <v>1</v>
      </c>
      <c r="L14" s="142">
        <f>IF(RawData[[#This Row],[Paid/Unpaid]]="Paid", IF(VALUE($E14)&gt;VALUE($D$3),$K14* 10000,$K14* 8000), 0)</f>
        <v>8000</v>
      </c>
      <c r="M14" s="53" t="s">
        <v>146</v>
      </c>
    </row>
    <row r="15" spans="1:13" ht="12.75" customHeight="1" x14ac:dyDescent="0.3">
      <c r="A15" s="143" t="s">
        <v>80</v>
      </c>
      <c r="B15" s="139" t="str">
        <f>IFERROR(VLOOKUP($A15, NameDesignation[], 2,FALSE), " ")</f>
        <v>Former Independent Director</v>
      </c>
      <c r="C15" s="139" t="s">
        <v>29</v>
      </c>
      <c r="D15" s="139">
        <v>356</v>
      </c>
      <c r="E15" s="140">
        <v>41576</v>
      </c>
      <c r="F15" s="139" t="str">
        <f t="shared" si="0"/>
        <v>Q4-13</v>
      </c>
      <c r="G15" s="140" t="str">
        <f t="shared" si="1"/>
        <v>Oct'13</v>
      </c>
      <c r="H15" s="140" t="str">
        <f>TEXT(RawData[[#This Row],[Date]], "YYYY")</f>
        <v>2013</v>
      </c>
      <c r="I15" s="141" t="s">
        <v>32</v>
      </c>
      <c r="J15" s="141" t="s">
        <v>90</v>
      </c>
      <c r="K15" s="139">
        <f t="shared" si="2"/>
        <v>1</v>
      </c>
      <c r="L15" s="142">
        <f>IF(RawData[[#This Row],[Paid/Unpaid]]="Paid", IF(VALUE($E15)&gt;VALUE($D$3),$K15* 10000,$K15* 8000), 0)</f>
        <v>8000</v>
      </c>
      <c r="M15" s="53" t="s">
        <v>146</v>
      </c>
    </row>
    <row r="16" spans="1:13" ht="12.75" customHeight="1" x14ac:dyDescent="0.3">
      <c r="A16" s="143" t="s">
        <v>80</v>
      </c>
      <c r="B16" s="139" t="str">
        <f>IFERROR(VLOOKUP($A16, NameDesignation[], 2,FALSE), " ")</f>
        <v>Former Independent Director</v>
      </c>
      <c r="C16" s="139" t="s">
        <v>29</v>
      </c>
      <c r="D16" s="139">
        <v>357</v>
      </c>
      <c r="E16" s="140">
        <v>41605</v>
      </c>
      <c r="F16" s="139" t="str">
        <f t="shared" si="0"/>
        <v>Q4-13</v>
      </c>
      <c r="G16" s="140" t="str">
        <f t="shared" si="1"/>
        <v>Nov'13</v>
      </c>
      <c r="H16" s="140" t="str">
        <f>TEXT(RawData[[#This Row],[Date]], "YYYY")</f>
        <v>2013</v>
      </c>
      <c r="I16" s="141" t="s">
        <v>32</v>
      </c>
      <c r="J16" s="141" t="s">
        <v>90</v>
      </c>
      <c r="K16" s="139">
        <f t="shared" si="2"/>
        <v>1</v>
      </c>
      <c r="L16" s="142">
        <f>IF(RawData[[#This Row],[Paid/Unpaid]]="Paid", IF(VALUE($E16)&gt;VALUE($D$3),$K16* 10000,$K16* 8000), 0)</f>
        <v>8000</v>
      </c>
      <c r="M16" s="53" t="s">
        <v>146</v>
      </c>
    </row>
    <row r="17" spans="1:13" ht="12.75" customHeight="1" x14ac:dyDescent="0.3">
      <c r="A17" s="143" t="s">
        <v>80</v>
      </c>
      <c r="B17" s="139" t="str">
        <f>IFERROR(VLOOKUP($A17, NameDesignation[], 2,FALSE), " ")</f>
        <v>Former Independent Director</v>
      </c>
      <c r="C17" s="139" t="s">
        <v>37</v>
      </c>
      <c r="D17" s="139">
        <v>52</v>
      </c>
      <c r="E17" s="140">
        <v>41617</v>
      </c>
      <c r="F17" s="139" t="str">
        <f t="shared" si="0"/>
        <v>Q4-13</v>
      </c>
      <c r="G17" s="140" t="str">
        <f t="shared" si="1"/>
        <v>Dec'13</v>
      </c>
      <c r="H17" s="140" t="str">
        <f>TEXT(RawData[[#This Row],[Date]], "YYYY")</f>
        <v>2013</v>
      </c>
      <c r="I17" s="141" t="s">
        <v>32</v>
      </c>
      <c r="J17" s="141" t="s">
        <v>90</v>
      </c>
      <c r="K17" s="139">
        <f t="shared" si="2"/>
        <v>1</v>
      </c>
      <c r="L17" s="142">
        <f>IF(RawData[[#This Row],[Paid/Unpaid]]="Paid", IF(VALUE($E17)&gt;VALUE($D$3),$K17* 10000,$K17* 8000), 0)</f>
        <v>8000</v>
      </c>
      <c r="M17" s="53" t="s">
        <v>146</v>
      </c>
    </row>
    <row r="18" spans="1:13" ht="12.75" customHeight="1" x14ac:dyDescent="0.3">
      <c r="A18" s="143" t="s">
        <v>80</v>
      </c>
      <c r="B18" s="139" t="str">
        <f>IFERROR(VLOOKUP($A18, NameDesignation[], 2,FALSE), " ")</f>
        <v>Former Independent Director</v>
      </c>
      <c r="C18" s="139" t="s">
        <v>29</v>
      </c>
      <c r="D18" s="139">
        <v>358</v>
      </c>
      <c r="E18" s="140">
        <v>41636</v>
      </c>
      <c r="F18" s="139" t="str">
        <f t="shared" si="0"/>
        <v>Q4-13</v>
      </c>
      <c r="G18" s="140" t="str">
        <f t="shared" si="1"/>
        <v>Dec'13</v>
      </c>
      <c r="H18" s="140" t="str">
        <f>TEXT(RawData[[#This Row],[Date]], "YYYY")</f>
        <v>2013</v>
      </c>
      <c r="I18" s="141" t="s">
        <v>32</v>
      </c>
      <c r="J18" s="141" t="s">
        <v>90</v>
      </c>
      <c r="K18" s="139">
        <f t="shared" si="2"/>
        <v>1</v>
      </c>
      <c r="L18" s="142">
        <f>IF(RawData[[#This Row],[Paid/Unpaid]]="Paid", IF(VALUE($E18)&gt;VALUE($D$3),$K18* 10000,$K18* 8000), 0)</f>
        <v>8000</v>
      </c>
      <c r="M18" s="53" t="s">
        <v>146</v>
      </c>
    </row>
    <row r="19" spans="1:13" ht="12.75" customHeight="1" x14ac:dyDescent="0.3">
      <c r="A19" s="143" t="s">
        <v>80</v>
      </c>
      <c r="B19" s="139" t="str">
        <f>IFERROR(VLOOKUP($A19, NameDesignation[], 2,FALSE), " ")</f>
        <v>Former Independent Director</v>
      </c>
      <c r="C19" s="139" t="s">
        <v>29</v>
      </c>
      <c r="D19" s="139">
        <v>359</v>
      </c>
      <c r="E19" s="140">
        <v>41648</v>
      </c>
      <c r="F19" s="139" t="str">
        <f t="shared" si="0"/>
        <v>Q1-14</v>
      </c>
      <c r="G19" s="140" t="str">
        <f t="shared" si="1"/>
        <v>Jan'14</v>
      </c>
      <c r="H19" s="140" t="str">
        <f>TEXT(RawData[[#This Row],[Date]], "YYYY")</f>
        <v>2014</v>
      </c>
      <c r="I19" s="141" t="s">
        <v>32</v>
      </c>
      <c r="J19" s="141" t="s">
        <v>90</v>
      </c>
      <c r="K19" s="139">
        <f t="shared" si="2"/>
        <v>1</v>
      </c>
      <c r="L19" s="142">
        <f>IF(RawData[[#This Row],[Paid/Unpaid]]="Paid", IF(VALUE($E19)&gt;VALUE($D$3),$K19* 10000,$K19* 8000), 0)</f>
        <v>8000</v>
      </c>
      <c r="M19" s="53" t="s">
        <v>146</v>
      </c>
    </row>
    <row r="20" spans="1:13" ht="12.75" customHeight="1" x14ac:dyDescent="0.3">
      <c r="A20" s="143" t="s">
        <v>80</v>
      </c>
      <c r="B20" s="139" t="str">
        <f>IFERROR(VLOOKUP($A20, NameDesignation[], 2,FALSE), " ")</f>
        <v>Former Independent Director</v>
      </c>
      <c r="C20" s="139" t="s">
        <v>37</v>
      </c>
      <c r="D20" s="139">
        <v>53</v>
      </c>
      <c r="E20" s="140">
        <v>41665</v>
      </c>
      <c r="F20" s="139" t="str">
        <f t="shared" si="0"/>
        <v>Q1-14</v>
      </c>
      <c r="G20" s="140" t="str">
        <f t="shared" si="1"/>
        <v>Jan'14</v>
      </c>
      <c r="H20" s="140" t="str">
        <f>TEXT(RawData[[#This Row],[Date]], "YYYY")</f>
        <v>2014</v>
      </c>
      <c r="I20" s="141" t="s">
        <v>32</v>
      </c>
      <c r="J20" s="141" t="s">
        <v>90</v>
      </c>
      <c r="K20" s="139">
        <f t="shared" si="2"/>
        <v>1</v>
      </c>
      <c r="L20" s="142">
        <f>IF(RawData[[#This Row],[Paid/Unpaid]]="Paid", IF(VALUE($E20)&gt;VALUE($D$3),$K20* 10000,$K20* 8000), 0)</f>
        <v>8000</v>
      </c>
      <c r="M20" s="53" t="s">
        <v>146</v>
      </c>
    </row>
    <row r="21" spans="1:13" ht="12.75" customHeight="1" x14ac:dyDescent="0.3">
      <c r="A21" s="143" t="s">
        <v>80</v>
      </c>
      <c r="B21" s="139" t="str">
        <f>IFERROR(VLOOKUP($A21, NameDesignation[], 2,FALSE), " ")</f>
        <v>Former Independent Director</v>
      </c>
      <c r="C21" s="139" t="s">
        <v>29</v>
      </c>
      <c r="D21" s="139">
        <v>360</v>
      </c>
      <c r="E21" s="140">
        <v>41665</v>
      </c>
      <c r="F21" s="139" t="str">
        <f t="shared" si="0"/>
        <v>Q1-14</v>
      </c>
      <c r="G21" s="140" t="str">
        <f t="shared" si="1"/>
        <v>Jan'14</v>
      </c>
      <c r="H21" s="140" t="str">
        <f>TEXT(RawData[[#This Row],[Date]], "YYYY")</f>
        <v>2014</v>
      </c>
      <c r="I21" s="141" t="s">
        <v>32</v>
      </c>
      <c r="J21" s="141" t="s">
        <v>90</v>
      </c>
      <c r="K21" s="139">
        <f t="shared" si="2"/>
        <v>1</v>
      </c>
      <c r="L21" s="142">
        <f>IF(RawData[[#This Row],[Paid/Unpaid]]="Paid", IF(VALUE($E21)&gt;VALUE($D$3),$K21* 10000,$K21* 8000), 0)</f>
        <v>8000</v>
      </c>
      <c r="M21" s="53" t="s">
        <v>146</v>
      </c>
    </row>
    <row r="22" spans="1:13" ht="12.75" customHeight="1" x14ac:dyDescent="0.3">
      <c r="A22" s="143" t="s">
        <v>80</v>
      </c>
      <c r="B22" s="139" t="str">
        <f>IFERROR(VLOOKUP($A22, NameDesignation[], 2,FALSE), " ")</f>
        <v>Former Independent Director</v>
      </c>
      <c r="C22" s="139" t="s">
        <v>37</v>
      </c>
      <c r="D22" s="139">
        <v>54</v>
      </c>
      <c r="E22" s="140">
        <v>41681</v>
      </c>
      <c r="F22" s="139" t="str">
        <f t="shared" si="0"/>
        <v>Q1-14</v>
      </c>
      <c r="G22" s="140" t="str">
        <f t="shared" si="1"/>
        <v>Feb'14</v>
      </c>
      <c r="H22" s="140" t="str">
        <f>TEXT(RawData[[#This Row],[Date]], "YYYY")</f>
        <v>2014</v>
      </c>
      <c r="I22" s="141" t="s">
        <v>32</v>
      </c>
      <c r="J22" s="141" t="s">
        <v>90</v>
      </c>
      <c r="K22" s="139">
        <f t="shared" si="2"/>
        <v>1</v>
      </c>
      <c r="L22" s="142">
        <f>IF(RawData[[#This Row],[Paid/Unpaid]]="Paid", IF(VALUE($E22)&gt;VALUE($D$3),$K22* 10000,$K22* 8000), 0)</f>
        <v>8000</v>
      </c>
      <c r="M22" s="53" t="s">
        <v>146</v>
      </c>
    </row>
    <row r="23" spans="1:13" ht="12.75" customHeight="1" x14ac:dyDescent="0.3">
      <c r="A23" s="143" t="s">
        <v>80</v>
      </c>
      <c r="B23" s="139" t="str">
        <f>IFERROR(VLOOKUP($A23, NameDesignation[], 2,FALSE), " ")</f>
        <v>Former Independent Director</v>
      </c>
      <c r="C23" s="139" t="s">
        <v>37</v>
      </c>
      <c r="D23" s="139">
        <v>55</v>
      </c>
      <c r="E23" s="140">
        <v>41697</v>
      </c>
      <c r="F23" s="139" t="str">
        <f t="shared" si="0"/>
        <v>Q1-14</v>
      </c>
      <c r="G23" s="140" t="str">
        <f t="shared" si="1"/>
        <v>Feb'14</v>
      </c>
      <c r="H23" s="140" t="str">
        <f>TEXT(RawData[[#This Row],[Date]], "YYYY")</f>
        <v>2014</v>
      </c>
      <c r="I23" s="141" t="s">
        <v>32</v>
      </c>
      <c r="J23" s="141" t="s">
        <v>90</v>
      </c>
      <c r="K23" s="139">
        <f t="shared" si="2"/>
        <v>1</v>
      </c>
      <c r="L23" s="142">
        <f>IF(RawData[[#This Row],[Paid/Unpaid]]="Paid", IF(VALUE($E23)&gt;VALUE($D$3),$K23* 10000,$K23* 8000), 0)</f>
        <v>8000</v>
      </c>
      <c r="M23" s="53" t="s">
        <v>146</v>
      </c>
    </row>
    <row r="24" spans="1:13" ht="12.75" customHeight="1" x14ac:dyDescent="0.3">
      <c r="A24" s="143" t="s">
        <v>80</v>
      </c>
      <c r="B24" s="139" t="str">
        <f>IFERROR(VLOOKUP($A24, NameDesignation[], 2,FALSE), " ")</f>
        <v>Former Independent Director</v>
      </c>
      <c r="C24" s="139" t="s">
        <v>29</v>
      </c>
      <c r="D24" s="139">
        <v>361</v>
      </c>
      <c r="E24" s="140">
        <v>41697</v>
      </c>
      <c r="F24" s="139" t="str">
        <f t="shared" si="0"/>
        <v>Q1-14</v>
      </c>
      <c r="G24" s="140" t="str">
        <f t="shared" si="1"/>
        <v>Feb'14</v>
      </c>
      <c r="H24" s="140" t="str">
        <f>TEXT(RawData[[#This Row],[Date]], "YYYY")</f>
        <v>2014</v>
      </c>
      <c r="I24" s="141" t="s">
        <v>32</v>
      </c>
      <c r="J24" s="141" t="s">
        <v>90</v>
      </c>
      <c r="K24" s="139">
        <f t="shared" si="2"/>
        <v>1</v>
      </c>
      <c r="L24" s="142">
        <f>IF(RawData[[#This Row],[Paid/Unpaid]]="Paid", IF(VALUE($E24)&gt;VALUE($D$3),$K24* 10000,$K24* 8000), 0)</f>
        <v>8000</v>
      </c>
      <c r="M24" s="53" t="s">
        <v>146</v>
      </c>
    </row>
    <row r="25" spans="1:13" ht="12.75" customHeight="1" x14ac:dyDescent="0.3">
      <c r="A25" s="143" t="s">
        <v>80</v>
      </c>
      <c r="B25" s="139" t="str">
        <f>IFERROR(VLOOKUP($A25, NameDesignation[], 2,FALSE), " ")</f>
        <v>Former Independent Director</v>
      </c>
      <c r="C25" s="139" t="s">
        <v>29</v>
      </c>
      <c r="D25" s="139">
        <v>362</v>
      </c>
      <c r="E25" s="140">
        <v>41729</v>
      </c>
      <c r="F25" s="139" t="str">
        <f t="shared" si="0"/>
        <v>Q1-14</v>
      </c>
      <c r="G25" s="140" t="str">
        <f t="shared" si="1"/>
        <v>Mar'14</v>
      </c>
      <c r="H25" s="140" t="str">
        <f>TEXT(RawData[[#This Row],[Date]], "YYYY")</f>
        <v>2014</v>
      </c>
      <c r="I25" s="141" t="s">
        <v>32</v>
      </c>
      <c r="J25" s="141" t="s">
        <v>90</v>
      </c>
      <c r="K25" s="139">
        <f t="shared" si="2"/>
        <v>1</v>
      </c>
      <c r="L25" s="142">
        <f>IF(RawData[[#This Row],[Paid/Unpaid]]="Paid", IF(VALUE($E25)&gt;VALUE($D$3),$K25* 10000,$K25* 8000), 0)</f>
        <v>8000</v>
      </c>
      <c r="M25" s="53" t="s">
        <v>146</v>
      </c>
    </row>
    <row r="26" spans="1:13" ht="12.75" customHeight="1" x14ac:dyDescent="0.3">
      <c r="A26" s="143" t="s">
        <v>80</v>
      </c>
      <c r="B26" s="139" t="str">
        <f>IFERROR(VLOOKUP($A26, NameDesignation[], 2,FALSE), " ")</f>
        <v>Former Independent Director</v>
      </c>
      <c r="C26" s="139" t="s">
        <v>37</v>
      </c>
      <c r="D26" s="139">
        <v>56</v>
      </c>
      <c r="E26" s="140">
        <v>41764</v>
      </c>
      <c r="F26" s="139" t="str">
        <f t="shared" si="0"/>
        <v>Q2-14</v>
      </c>
      <c r="G26" s="140" t="str">
        <f t="shared" si="1"/>
        <v>May'14</v>
      </c>
      <c r="H26" s="140" t="str">
        <f>TEXT(RawData[[#This Row],[Date]], "YYYY")</f>
        <v>2014</v>
      </c>
      <c r="I26" s="141" t="s">
        <v>32</v>
      </c>
      <c r="J26" s="141" t="s">
        <v>90</v>
      </c>
      <c r="K26" s="139">
        <f t="shared" si="2"/>
        <v>1</v>
      </c>
      <c r="L26" s="142">
        <f>IF(RawData[[#This Row],[Paid/Unpaid]]="Paid", IF(VALUE($E26)&gt;VALUE($D$3),$K26* 10000,$K26* 8000), 0)</f>
        <v>8000</v>
      </c>
      <c r="M26" s="53" t="s">
        <v>146</v>
      </c>
    </row>
    <row r="27" spans="1:13" ht="12.75" customHeight="1" x14ac:dyDescent="0.3">
      <c r="A27" s="143" t="s">
        <v>80</v>
      </c>
      <c r="B27" s="139" t="str">
        <f>IFERROR(VLOOKUP($A27, NameDesignation[], 2,FALSE), " ")</f>
        <v>Former Independent Director</v>
      </c>
      <c r="C27" s="139" t="s">
        <v>29</v>
      </c>
      <c r="D27" s="139">
        <v>363</v>
      </c>
      <c r="E27" s="140">
        <v>41764</v>
      </c>
      <c r="F27" s="139" t="str">
        <f t="shared" si="0"/>
        <v>Q2-14</v>
      </c>
      <c r="G27" s="140" t="str">
        <f t="shared" si="1"/>
        <v>May'14</v>
      </c>
      <c r="H27" s="140" t="str">
        <f>TEXT(RawData[[#This Row],[Date]], "YYYY")</f>
        <v>2014</v>
      </c>
      <c r="I27" s="141" t="s">
        <v>32</v>
      </c>
      <c r="J27" s="141" t="s">
        <v>90</v>
      </c>
      <c r="K27" s="139">
        <f t="shared" si="2"/>
        <v>1</v>
      </c>
      <c r="L27" s="142">
        <f>IF(RawData[[#This Row],[Paid/Unpaid]]="Paid", IF(VALUE($E27)&gt;VALUE($D$3),$K27* 10000,$K27* 8000), 0)</f>
        <v>8000</v>
      </c>
      <c r="M27" s="53" t="s">
        <v>146</v>
      </c>
    </row>
    <row r="28" spans="1:13" ht="12.75" customHeight="1" x14ac:dyDescent="0.3">
      <c r="A28" s="143" t="s">
        <v>80</v>
      </c>
      <c r="B28" s="139" t="str">
        <f>IFERROR(VLOOKUP($A28, NameDesignation[], 2,FALSE), " ")</f>
        <v>Former Independent Director</v>
      </c>
      <c r="C28" s="139" t="s">
        <v>37</v>
      </c>
      <c r="D28" s="139">
        <v>57</v>
      </c>
      <c r="E28" s="140">
        <v>41787</v>
      </c>
      <c r="F28" s="139" t="str">
        <f t="shared" si="0"/>
        <v>Q2-14</v>
      </c>
      <c r="G28" s="140" t="str">
        <f t="shared" si="1"/>
        <v>May'14</v>
      </c>
      <c r="H28" s="140" t="str">
        <f>TEXT(RawData[[#This Row],[Date]], "YYYY")</f>
        <v>2014</v>
      </c>
      <c r="I28" s="141" t="s">
        <v>32</v>
      </c>
      <c r="J28" s="141" t="s">
        <v>90</v>
      </c>
      <c r="K28" s="139">
        <f t="shared" si="2"/>
        <v>1</v>
      </c>
      <c r="L28" s="142">
        <f>IF(RawData[[#This Row],[Paid/Unpaid]]="Paid", IF(VALUE($E28)&gt;VALUE($D$3),$K28* 10000,$K28* 8000), 0)</f>
        <v>8000</v>
      </c>
      <c r="M28" s="53" t="s">
        <v>146</v>
      </c>
    </row>
    <row r="29" spans="1:13" ht="12.75" customHeight="1" x14ac:dyDescent="0.3">
      <c r="A29" s="143" t="s">
        <v>80</v>
      </c>
      <c r="B29" s="139" t="str">
        <f>IFERROR(VLOOKUP($A29, NameDesignation[], 2,FALSE), " ")</f>
        <v>Former Independent Director</v>
      </c>
      <c r="C29" s="139" t="s">
        <v>29</v>
      </c>
      <c r="D29" s="139">
        <v>364</v>
      </c>
      <c r="E29" s="140">
        <v>41791</v>
      </c>
      <c r="F29" s="139" t="str">
        <f t="shared" si="0"/>
        <v>Q2-14</v>
      </c>
      <c r="G29" s="140" t="str">
        <f t="shared" si="1"/>
        <v>Jun'14</v>
      </c>
      <c r="H29" s="140" t="str">
        <f>TEXT(RawData[[#This Row],[Date]], "YYYY")</f>
        <v>2014</v>
      </c>
      <c r="I29" s="141" t="s">
        <v>32</v>
      </c>
      <c r="J29" s="141" t="s">
        <v>90</v>
      </c>
      <c r="K29" s="139">
        <f t="shared" si="2"/>
        <v>1</v>
      </c>
      <c r="L29" s="142">
        <f>IF(RawData[[#This Row],[Paid/Unpaid]]="Paid", IF(VALUE($E29)&gt;VALUE($D$3),$K29* 10000,$K29* 8000), 0)</f>
        <v>8000</v>
      </c>
      <c r="M29" s="53" t="s">
        <v>146</v>
      </c>
    </row>
    <row r="30" spans="1:13" ht="12.75" customHeight="1" x14ac:dyDescent="0.3">
      <c r="A30" s="143" t="s">
        <v>80</v>
      </c>
      <c r="B30" s="139" t="str">
        <f>IFERROR(VLOOKUP($A30, NameDesignation[], 2,FALSE), " ")</f>
        <v>Former Independent Director</v>
      </c>
      <c r="C30" s="139" t="s">
        <v>29</v>
      </c>
      <c r="D30" s="139">
        <v>365</v>
      </c>
      <c r="E30" s="140">
        <v>41805</v>
      </c>
      <c r="F30" s="139" t="str">
        <f t="shared" si="0"/>
        <v>Q2-14</v>
      </c>
      <c r="G30" s="140" t="str">
        <f t="shared" si="1"/>
        <v>Jun'14</v>
      </c>
      <c r="H30" s="140" t="str">
        <f>TEXT(RawData[[#This Row],[Date]], "YYYY")</f>
        <v>2014</v>
      </c>
      <c r="I30" s="141" t="s">
        <v>32</v>
      </c>
      <c r="J30" s="141" t="s">
        <v>90</v>
      </c>
      <c r="K30" s="139">
        <f t="shared" si="2"/>
        <v>1</v>
      </c>
      <c r="L30" s="142">
        <f>IF(RawData[[#This Row],[Paid/Unpaid]]="Paid", IF(VALUE($E30)&gt;VALUE($D$3),$K30* 10000,$K30* 8000), 0)</f>
        <v>8000</v>
      </c>
      <c r="M30" s="53" t="s">
        <v>146</v>
      </c>
    </row>
    <row r="31" spans="1:13" ht="12.75" customHeight="1" x14ac:dyDescent="0.3">
      <c r="A31" s="143" t="s">
        <v>80</v>
      </c>
      <c r="B31" s="139" t="str">
        <f>IFERROR(VLOOKUP($A31, NameDesignation[], 2,FALSE), " ")</f>
        <v>Former Independent Director</v>
      </c>
      <c r="C31" s="139" t="s">
        <v>29</v>
      </c>
      <c r="D31" s="139">
        <v>366</v>
      </c>
      <c r="E31" s="140">
        <v>41819</v>
      </c>
      <c r="F31" s="139" t="str">
        <f t="shared" si="0"/>
        <v>Q2-14</v>
      </c>
      <c r="G31" s="140" t="str">
        <f t="shared" si="1"/>
        <v>Jun'14</v>
      </c>
      <c r="H31" s="140" t="str">
        <f>TEXT(RawData[[#This Row],[Date]], "YYYY")</f>
        <v>2014</v>
      </c>
      <c r="I31" s="141" t="s">
        <v>32</v>
      </c>
      <c r="J31" s="141" t="s">
        <v>90</v>
      </c>
      <c r="K31" s="139">
        <f t="shared" si="2"/>
        <v>1</v>
      </c>
      <c r="L31" s="142">
        <f>IF(RawData[[#This Row],[Paid/Unpaid]]="Paid", IF(VALUE($E31)&gt;VALUE($D$3),$K31* 10000,$K31* 8000), 0)</f>
        <v>8000</v>
      </c>
      <c r="M31" s="53" t="s">
        <v>146</v>
      </c>
    </row>
    <row r="32" spans="1:13" ht="12.75" customHeight="1" x14ac:dyDescent="0.3">
      <c r="A32" s="143" t="s">
        <v>80</v>
      </c>
      <c r="B32" s="139" t="str">
        <f>IFERROR(VLOOKUP($A32, NameDesignation[], 2,FALSE), " ")</f>
        <v>Former Independent Director</v>
      </c>
      <c r="C32" s="139" t="s">
        <v>29</v>
      </c>
      <c r="D32" s="139">
        <v>368</v>
      </c>
      <c r="E32" s="140">
        <v>41879</v>
      </c>
      <c r="F32" s="139" t="str">
        <f t="shared" si="0"/>
        <v>Q3-14</v>
      </c>
      <c r="G32" s="140" t="str">
        <f t="shared" si="1"/>
        <v>Aug'14</v>
      </c>
      <c r="H32" s="140" t="str">
        <f>TEXT(RawData[[#This Row],[Date]], "YYYY")</f>
        <v>2014</v>
      </c>
      <c r="I32" s="141" t="s">
        <v>32</v>
      </c>
      <c r="J32" s="141" t="s">
        <v>90</v>
      </c>
      <c r="K32" s="139">
        <f t="shared" si="2"/>
        <v>1</v>
      </c>
      <c r="L32" s="142">
        <f>IF(RawData[[#This Row],[Paid/Unpaid]]="Paid", IF(VALUE($E32)&gt;VALUE($D$3),$K32* 10000,$K32* 8000), 0)</f>
        <v>8000</v>
      </c>
      <c r="M32" s="53" t="s">
        <v>146</v>
      </c>
    </row>
    <row r="33" spans="1:13" ht="12.75" customHeight="1" x14ac:dyDescent="0.3">
      <c r="A33" s="143" t="s">
        <v>80</v>
      </c>
      <c r="B33" s="139" t="str">
        <f>IFERROR(VLOOKUP($A33, NameDesignation[], 2,FALSE), " ")</f>
        <v>Former Independent Director</v>
      </c>
      <c r="C33" s="139" t="s">
        <v>37</v>
      </c>
      <c r="D33" s="139">
        <v>59</v>
      </c>
      <c r="E33" s="140">
        <v>41884</v>
      </c>
      <c r="F33" s="139" t="str">
        <f t="shared" si="0"/>
        <v>Q3-14</v>
      </c>
      <c r="G33" s="140" t="str">
        <f t="shared" si="1"/>
        <v>Sep'14</v>
      </c>
      <c r="H33" s="140" t="str">
        <f>TEXT(RawData[[#This Row],[Date]], "YYYY")</f>
        <v>2014</v>
      </c>
      <c r="I33" s="141" t="s">
        <v>32</v>
      </c>
      <c r="J33" s="141" t="s">
        <v>90</v>
      </c>
      <c r="K33" s="139">
        <f t="shared" si="2"/>
        <v>1</v>
      </c>
      <c r="L33" s="142">
        <f>IF(RawData[[#This Row],[Paid/Unpaid]]="Paid", IF(VALUE($E33)&gt;VALUE($D$3),$K33* 10000,$K33* 8000), 0)</f>
        <v>8000</v>
      </c>
      <c r="M33" s="53" t="s">
        <v>146</v>
      </c>
    </row>
    <row r="34" spans="1:13" ht="12.75" customHeight="1" x14ac:dyDescent="0.3">
      <c r="A34" s="143" t="s">
        <v>80</v>
      </c>
      <c r="B34" s="139" t="str">
        <f>IFERROR(VLOOKUP($A34, NameDesignation[], 2,FALSE), " ")</f>
        <v>Former Independent Director</v>
      </c>
      <c r="C34" s="139" t="s">
        <v>29</v>
      </c>
      <c r="D34" s="139">
        <v>369</v>
      </c>
      <c r="E34" s="140">
        <v>41910</v>
      </c>
      <c r="F34" s="139" t="str">
        <f t="shared" si="0"/>
        <v>Q3-14</v>
      </c>
      <c r="G34" s="140" t="str">
        <f t="shared" si="1"/>
        <v>Sep'14</v>
      </c>
      <c r="H34" s="140" t="str">
        <f>TEXT(RawData[[#This Row],[Date]], "YYYY")</f>
        <v>2014</v>
      </c>
      <c r="I34" s="141" t="s">
        <v>32</v>
      </c>
      <c r="J34" s="141" t="s">
        <v>90</v>
      </c>
      <c r="K34" s="139">
        <f t="shared" si="2"/>
        <v>1</v>
      </c>
      <c r="L34" s="142">
        <f>IF(RawData[[#This Row],[Paid/Unpaid]]="Paid", IF(VALUE($E34)&gt;VALUE($D$3),$K34* 10000,$K34* 8000), 0)</f>
        <v>8000</v>
      </c>
      <c r="M34" s="53" t="s">
        <v>146</v>
      </c>
    </row>
    <row r="35" spans="1:13" ht="12.75" customHeight="1" x14ac:dyDescent="0.3">
      <c r="A35" s="143" t="s">
        <v>80</v>
      </c>
      <c r="B35" s="139" t="str">
        <f>IFERROR(VLOOKUP($A35, NameDesignation[], 2,FALSE), " ")</f>
        <v>Former Independent Director</v>
      </c>
      <c r="C35" s="139" t="s">
        <v>29</v>
      </c>
      <c r="D35" s="139">
        <v>370</v>
      </c>
      <c r="E35" s="140">
        <v>41910</v>
      </c>
      <c r="F35" s="139" t="str">
        <f t="shared" si="0"/>
        <v>Q3-14</v>
      </c>
      <c r="G35" s="140" t="str">
        <f t="shared" si="1"/>
        <v>Sep'14</v>
      </c>
      <c r="H35" s="140" t="str">
        <f>TEXT(RawData[[#This Row],[Date]], "YYYY")</f>
        <v>2014</v>
      </c>
      <c r="I35" s="141" t="s">
        <v>32</v>
      </c>
      <c r="J35" s="141" t="s">
        <v>90</v>
      </c>
      <c r="K35" s="139">
        <f t="shared" si="2"/>
        <v>1</v>
      </c>
      <c r="L35" s="142">
        <f>IF(RawData[[#This Row],[Paid/Unpaid]]="Paid", IF(VALUE($E35)&gt;VALUE($D$3),$K35* 10000,$K35* 8000), 0)</f>
        <v>8000</v>
      </c>
      <c r="M35" s="53" t="s">
        <v>146</v>
      </c>
    </row>
    <row r="36" spans="1:13" ht="12.75" customHeight="1" x14ac:dyDescent="0.3">
      <c r="A36" s="143" t="s">
        <v>80</v>
      </c>
      <c r="B36" s="139" t="str">
        <f>IFERROR(VLOOKUP($A36, NameDesignation[], 2,FALSE), " ")</f>
        <v>Former Independent Director</v>
      </c>
      <c r="C36" s="139" t="s">
        <v>37</v>
      </c>
      <c r="D36" s="139">
        <v>61</v>
      </c>
      <c r="E36" s="140">
        <v>41973</v>
      </c>
      <c r="F36" s="139" t="str">
        <f t="shared" si="0"/>
        <v>Q4-14</v>
      </c>
      <c r="G36" s="140" t="str">
        <f t="shared" si="1"/>
        <v>Nov'14</v>
      </c>
      <c r="H36" s="140" t="str">
        <f>TEXT(RawData[[#This Row],[Date]], "YYYY")</f>
        <v>2014</v>
      </c>
      <c r="I36" s="141" t="s">
        <v>32</v>
      </c>
      <c r="J36" s="141" t="s">
        <v>90</v>
      </c>
      <c r="K36" s="139">
        <f t="shared" si="2"/>
        <v>1</v>
      </c>
      <c r="L36" s="142">
        <f>IF(RawData[[#This Row],[Paid/Unpaid]]="Paid", IF(VALUE($E36)&gt;VALUE($D$3),$K36* 10000,$K36* 8000), 0)</f>
        <v>8000</v>
      </c>
      <c r="M36" s="53" t="s">
        <v>146</v>
      </c>
    </row>
    <row r="37" spans="1:13" ht="12.75" customHeight="1" x14ac:dyDescent="0.3">
      <c r="A37" s="143" t="s">
        <v>80</v>
      </c>
      <c r="B37" s="139" t="str">
        <f>IFERROR(VLOOKUP($A37, NameDesignation[], 2,FALSE), " ")</f>
        <v>Former Independent Director</v>
      </c>
      <c r="C37" s="139" t="s">
        <v>29</v>
      </c>
      <c r="D37" s="139">
        <v>372</v>
      </c>
      <c r="E37" s="140">
        <v>41973</v>
      </c>
      <c r="F37" s="139" t="str">
        <f t="shared" si="0"/>
        <v>Q4-14</v>
      </c>
      <c r="G37" s="140" t="str">
        <f t="shared" si="1"/>
        <v>Nov'14</v>
      </c>
      <c r="H37" s="140" t="str">
        <f>TEXT(RawData[[#This Row],[Date]], "YYYY")</f>
        <v>2014</v>
      </c>
      <c r="I37" s="141" t="s">
        <v>32</v>
      </c>
      <c r="J37" s="141" t="s">
        <v>90</v>
      </c>
      <c r="K37" s="139">
        <f t="shared" si="2"/>
        <v>1</v>
      </c>
      <c r="L37" s="142">
        <f>IF(RawData[[#This Row],[Paid/Unpaid]]="Paid", IF(VALUE($E37)&gt;VALUE($D$3),$K37* 10000,$K37* 8000), 0)</f>
        <v>8000</v>
      </c>
      <c r="M37" s="53" t="s">
        <v>146</v>
      </c>
    </row>
    <row r="38" spans="1:13" ht="12.75" customHeight="1" x14ac:dyDescent="0.3">
      <c r="A38" s="143" t="s">
        <v>80</v>
      </c>
      <c r="B38" s="139" t="str">
        <f>IFERROR(VLOOKUP($A38, NameDesignation[], 2,FALSE), " ")</f>
        <v>Former Independent Director</v>
      </c>
      <c r="C38" s="139" t="s">
        <v>29</v>
      </c>
      <c r="D38" s="139">
        <v>373</v>
      </c>
      <c r="E38" s="140">
        <v>41997</v>
      </c>
      <c r="F38" s="139" t="str">
        <f t="shared" si="0"/>
        <v>Q4-14</v>
      </c>
      <c r="G38" s="140" t="str">
        <f t="shared" si="1"/>
        <v>Dec'14</v>
      </c>
      <c r="H38" s="140" t="str">
        <f>TEXT(RawData[[#This Row],[Date]], "YYYY")</f>
        <v>2014</v>
      </c>
      <c r="I38" s="141" t="s">
        <v>32</v>
      </c>
      <c r="J38" s="141" t="s">
        <v>90</v>
      </c>
      <c r="K38" s="139">
        <f t="shared" si="2"/>
        <v>1</v>
      </c>
      <c r="L38" s="142">
        <f>IF(RawData[[#This Row],[Paid/Unpaid]]="Paid", IF(VALUE($E38)&gt;VALUE($D$3),$K38* 10000,$K38* 8000), 0)</f>
        <v>8000</v>
      </c>
      <c r="M38" s="53" t="s">
        <v>146</v>
      </c>
    </row>
    <row r="39" spans="1:13" ht="12.75" customHeight="1" x14ac:dyDescent="0.3">
      <c r="A39" s="143" t="s">
        <v>80</v>
      </c>
      <c r="B39" s="139" t="str">
        <f>IFERROR(VLOOKUP($A39, NameDesignation[], 2,FALSE), " ")</f>
        <v>Former Independent Director</v>
      </c>
      <c r="C39" s="139" t="s">
        <v>29</v>
      </c>
      <c r="D39" s="139">
        <v>374</v>
      </c>
      <c r="E39" s="140">
        <v>42003</v>
      </c>
      <c r="F39" s="139" t="str">
        <f t="shared" si="0"/>
        <v>Q4-14</v>
      </c>
      <c r="G39" s="140" t="str">
        <f t="shared" si="1"/>
        <v>Dec'14</v>
      </c>
      <c r="H39" s="140" t="str">
        <f>TEXT(RawData[[#This Row],[Date]], "YYYY")</f>
        <v>2014</v>
      </c>
      <c r="I39" s="141" t="s">
        <v>32</v>
      </c>
      <c r="J39" s="141" t="s">
        <v>90</v>
      </c>
      <c r="K39" s="139">
        <f t="shared" si="2"/>
        <v>1</v>
      </c>
      <c r="L39" s="142">
        <f>IF(RawData[[#This Row],[Paid/Unpaid]]="Paid", IF(VALUE($E39)&gt;VALUE($D$3),$K39* 10000,$K39* 8000), 0)</f>
        <v>8000</v>
      </c>
      <c r="M39" s="53" t="s">
        <v>146</v>
      </c>
    </row>
    <row r="40" spans="1:13" ht="12.75" customHeight="1" x14ac:dyDescent="0.3">
      <c r="A40" s="143" t="s">
        <v>80</v>
      </c>
      <c r="B40" s="139" t="str">
        <f>IFERROR(VLOOKUP($A40, NameDesignation[], 2,FALSE), " ")</f>
        <v>Former Independent Director</v>
      </c>
      <c r="C40" s="139" t="s">
        <v>37</v>
      </c>
      <c r="D40" s="139">
        <v>62</v>
      </c>
      <c r="E40" s="140">
        <v>42032</v>
      </c>
      <c r="F40" s="139" t="str">
        <f t="shared" si="0"/>
        <v>Q1-15</v>
      </c>
      <c r="G40" s="140" t="str">
        <f t="shared" si="1"/>
        <v>Jan'15</v>
      </c>
      <c r="H40" s="140" t="str">
        <f>TEXT(RawData[[#This Row],[Date]], "YYYY")</f>
        <v>2015</v>
      </c>
      <c r="I40" s="141" t="s">
        <v>32</v>
      </c>
      <c r="J40" s="141" t="s">
        <v>90</v>
      </c>
      <c r="K40" s="139">
        <f t="shared" si="2"/>
        <v>1</v>
      </c>
      <c r="L40" s="142">
        <f>IF(RawData[[#This Row],[Paid/Unpaid]]="Paid", IF(VALUE($E40)&gt;VALUE($D$3),$K40* 10000,$K40* 8000), 0)</f>
        <v>8000</v>
      </c>
      <c r="M40" s="53" t="s">
        <v>146</v>
      </c>
    </row>
    <row r="41" spans="1:13" ht="12.75" customHeight="1" x14ac:dyDescent="0.3">
      <c r="A41" s="143" t="s">
        <v>80</v>
      </c>
      <c r="B41" s="139" t="str">
        <f>IFERROR(VLOOKUP($A41, NameDesignation[], 2,FALSE), " ")</f>
        <v>Former Independent Director</v>
      </c>
      <c r="C41" s="139" t="s">
        <v>29</v>
      </c>
      <c r="D41" s="139">
        <v>375</v>
      </c>
      <c r="E41" s="140">
        <v>42033</v>
      </c>
      <c r="F41" s="139" t="str">
        <f t="shared" si="0"/>
        <v>Q1-15</v>
      </c>
      <c r="G41" s="140" t="str">
        <f t="shared" si="1"/>
        <v>Jan'15</v>
      </c>
      <c r="H41" s="140" t="str">
        <f>TEXT(RawData[[#This Row],[Date]], "YYYY")</f>
        <v>2015</v>
      </c>
      <c r="I41" s="141" t="s">
        <v>32</v>
      </c>
      <c r="J41" s="141" t="s">
        <v>90</v>
      </c>
      <c r="K41" s="139">
        <f t="shared" si="2"/>
        <v>1</v>
      </c>
      <c r="L41" s="142">
        <f>IF(RawData[[#This Row],[Paid/Unpaid]]="Paid", IF(VALUE($E41)&gt;VALUE($D$3),$K41* 10000,$K41* 8000), 0)</f>
        <v>8000</v>
      </c>
      <c r="M41" s="53" t="s">
        <v>146</v>
      </c>
    </row>
    <row r="42" spans="1:13" ht="12.75" customHeight="1" x14ac:dyDescent="0.3">
      <c r="A42" s="143" t="s">
        <v>80</v>
      </c>
      <c r="B42" s="139" t="str">
        <f>IFERROR(VLOOKUP($A42, NameDesignation[], 2,FALSE), " ")</f>
        <v>Former Independent Director</v>
      </c>
      <c r="C42" s="139" t="s">
        <v>37</v>
      </c>
      <c r="D42" s="139">
        <v>63</v>
      </c>
      <c r="E42" s="140">
        <v>42057</v>
      </c>
      <c r="F42" s="139" t="str">
        <f t="shared" si="0"/>
        <v>Q1-15</v>
      </c>
      <c r="G42" s="140" t="str">
        <f t="shared" si="1"/>
        <v>Feb'15</v>
      </c>
      <c r="H42" s="140" t="str">
        <f>TEXT(RawData[[#This Row],[Date]], "YYYY")</f>
        <v>2015</v>
      </c>
      <c r="I42" s="141" t="s">
        <v>32</v>
      </c>
      <c r="J42" s="141" t="s">
        <v>90</v>
      </c>
      <c r="K42" s="139">
        <f t="shared" si="2"/>
        <v>1</v>
      </c>
      <c r="L42" s="142">
        <f>IF(RawData[[#This Row],[Paid/Unpaid]]="Paid", IF(VALUE($E42)&gt;VALUE($D$3),$K42* 10000,$K42* 8000), 0)</f>
        <v>8000</v>
      </c>
      <c r="M42" s="53" t="s">
        <v>146</v>
      </c>
    </row>
    <row r="43" spans="1:13" ht="12.75" customHeight="1" x14ac:dyDescent="0.3">
      <c r="A43" s="143" t="s">
        <v>80</v>
      </c>
      <c r="B43" s="139" t="str">
        <f>IFERROR(VLOOKUP($A43, NameDesignation[], 2,FALSE), " ")</f>
        <v>Former Independent Director</v>
      </c>
      <c r="C43" s="139" t="s">
        <v>29</v>
      </c>
      <c r="D43" s="139">
        <v>376</v>
      </c>
      <c r="E43" s="140">
        <v>42057</v>
      </c>
      <c r="F43" s="139" t="str">
        <f t="shared" si="0"/>
        <v>Q1-15</v>
      </c>
      <c r="G43" s="140" t="str">
        <f t="shared" si="1"/>
        <v>Feb'15</v>
      </c>
      <c r="H43" s="140" t="str">
        <f>TEXT(RawData[[#This Row],[Date]], "YYYY")</f>
        <v>2015</v>
      </c>
      <c r="I43" s="141" t="s">
        <v>32</v>
      </c>
      <c r="J43" s="141" t="s">
        <v>90</v>
      </c>
      <c r="K43" s="139">
        <f t="shared" si="2"/>
        <v>1</v>
      </c>
      <c r="L43" s="142">
        <f>IF(RawData[[#This Row],[Paid/Unpaid]]="Paid", IF(VALUE($E43)&gt;VALUE($D$3),$K43* 10000,$K43* 8000), 0)</f>
        <v>8000</v>
      </c>
      <c r="M43" s="53" t="s">
        <v>146</v>
      </c>
    </row>
    <row r="44" spans="1:13" ht="12.75" customHeight="1" x14ac:dyDescent="0.3">
      <c r="A44" s="143" t="s">
        <v>80</v>
      </c>
      <c r="B44" s="139" t="str">
        <f>IFERROR(VLOOKUP($A44, NameDesignation[], 2,FALSE), " ")</f>
        <v>Former Independent Director</v>
      </c>
      <c r="C44" s="139" t="s">
        <v>29</v>
      </c>
      <c r="D44" s="139">
        <v>377</v>
      </c>
      <c r="E44" s="140">
        <v>42092</v>
      </c>
      <c r="F44" s="139" t="str">
        <f t="shared" si="0"/>
        <v>Q1-15</v>
      </c>
      <c r="G44" s="140" t="str">
        <f t="shared" si="1"/>
        <v>Mar'15</v>
      </c>
      <c r="H44" s="140" t="str">
        <f>TEXT(RawData[[#This Row],[Date]], "YYYY")</f>
        <v>2015</v>
      </c>
      <c r="I44" s="141" t="s">
        <v>32</v>
      </c>
      <c r="J44" s="141" t="s">
        <v>90</v>
      </c>
      <c r="K44" s="139">
        <f t="shared" si="2"/>
        <v>1</v>
      </c>
      <c r="L44" s="142">
        <f>IF(RawData[[#This Row],[Paid/Unpaid]]="Paid", IF(VALUE($E44)&gt;VALUE($D$3),$K44* 10000,$K44* 8000), 0)</f>
        <v>8000</v>
      </c>
      <c r="M44" s="53" t="s">
        <v>146</v>
      </c>
    </row>
    <row r="45" spans="1:13" ht="12.75" customHeight="1" x14ac:dyDescent="0.3">
      <c r="A45" s="143" t="s">
        <v>80</v>
      </c>
      <c r="B45" s="139" t="str">
        <f>IFERROR(VLOOKUP($A45, NameDesignation[], 2,FALSE), " ")</f>
        <v>Former Independent Director</v>
      </c>
      <c r="C45" s="139" t="s">
        <v>29</v>
      </c>
      <c r="D45" s="139">
        <v>378</v>
      </c>
      <c r="E45" s="140">
        <v>42110</v>
      </c>
      <c r="F45" s="139" t="str">
        <f t="shared" si="0"/>
        <v>Q2-15</v>
      </c>
      <c r="G45" s="140" t="str">
        <f t="shared" si="1"/>
        <v>Apr'15</v>
      </c>
      <c r="H45" s="140" t="str">
        <f>TEXT(RawData[[#This Row],[Date]], "YYYY")</f>
        <v>2015</v>
      </c>
      <c r="I45" s="141" t="s">
        <v>32</v>
      </c>
      <c r="J45" s="141" t="s">
        <v>90</v>
      </c>
      <c r="K45" s="139">
        <f t="shared" si="2"/>
        <v>1</v>
      </c>
      <c r="L45" s="142">
        <f>IF(RawData[[#This Row],[Paid/Unpaid]]="Paid", IF(VALUE($E45)&gt;VALUE($D$3),$K45* 10000,$K45* 8000), 0)</f>
        <v>8000</v>
      </c>
      <c r="M45" s="53" t="s">
        <v>146</v>
      </c>
    </row>
    <row r="46" spans="1:13" ht="12.75" customHeight="1" x14ac:dyDescent="0.3">
      <c r="A46" s="143" t="s">
        <v>80</v>
      </c>
      <c r="B46" s="139" t="str">
        <f>IFERROR(VLOOKUP($A46, NameDesignation[], 2,FALSE), " ")</f>
        <v>Former Independent Director</v>
      </c>
      <c r="C46" s="139" t="s">
        <v>37</v>
      </c>
      <c r="D46" s="139">
        <v>64</v>
      </c>
      <c r="E46" s="140">
        <v>42116</v>
      </c>
      <c r="F46" s="139" t="str">
        <f t="shared" si="0"/>
        <v>Q2-15</v>
      </c>
      <c r="G46" s="140" t="str">
        <f t="shared" si="1"/>
        <v>Apr'15</v>
      </c>
      <c r="H46" s="140" t="str">
        <f>TEXT(RawData[[#This Row],[Date]], "YYYY")</f>
        <v>2015</v>
      </c>
      <c r="I46" s="141" t="s">
        <v>32</v>
      </c>
      <c r="J46" s="141" t="s">
        <v>90</v>
      </c>
      <c r="K46" s="139">
        <f t="shared" si="2"/>
        <v>1</v>
      </c>
      <c r="L46" s="142">
        <f>IF(RawData[[#This Row],[Paid/Unpaid]]="Paid", IF(VALUE($E46)&gt;VALUE($D$3),$K46* 10000,$K46* 8000), 0)</f>
        <v>8000</v>
      </c>
      <c r="M46" s="53" t="s">
        <v>146</v>
      </c>
    </row>
    <row r="47" spans="1:13" ht="12.75" customHeight="1" x14ac:dyDescent="0.3">
      <c r="A47" s="143" t="s">
        <v>80</v>
      </c>
      <c r="B47" s="139" t="str">
        <f>IFERROR(VLOOKUP($A47, NameDesignation[], 2,FALSE), " ")</f>
        <v>Former Independent Director</v>
      </c>
      <c r="C47" s="139" t="s">
        <v>37</v>
      </c>
      <c r="D47" s="139">
        <v>65</v>
      </c>
      <c r="E47" s="140">
        <v>42138</v>
      </c>
      <c r="F47" s="139" t="str">
        <f t="shared" si="0"/>
        <v>Q2-15</v>
      </c>
      <c r="G47" s="140" t="str">
        <f t="shared" si="1"/>
        <v>May'15</v>
      </c>
      <c r="H47" s="140" t="str">
        <f>TEXT(RawData[[#This Row],[Date]], "YYYY")</f>
        <v>2015</v>
      </c>
      <c r="I47" s="141" t="s">
        <v>32</v>
      </c>
      <c r="J47" s="141" t="s">
        <v>90</v>
      </c>
      <c r="K47" s="139">
        <f t="shared" si="2"/>
        <v>1</v>
      </c>
      <c r="L47" s="142">
        <f>IF(RawData[[#This Row],[Paid/Unpaid]]="Paid", IF(VALUE($E47)&gt;VALUE($D$3),$K47* 10000,$K47* 8000), 0)</f>
        <v>8000</v>
      </c>
      <c r="M47" s="53" t="s">
        <v>146</v>
      </c>
    </row>
    <row r="48" spans="1:13" ht="12.75" customHeight="1" x14ac:dyDescent="0.3">
      <c r="A48" s="143" t="s">
        <v>80</v>
      </c>
      <c r="B48" s="139" t="str">
        <f>IFERROR(VLOOKUP($A48, NameDesignation[], 2,FALSE), " ")</f>
        <v>Former Independent Director</v>
      </c>
      <c r="C48" s="139" t="s">
        <v>29</v>
      </c>
      <c r="D48" s="139">
        <v>379</v>
      </c>
      <c r="E48" s="140">
        <v>42138</v>
      </c>
      <c r="F48" s="139" t="str">
        <f t="shared" si="0"/>
        <v>Q2-15</v>
      </c>
      <c r="G48" s="140" t="str">
        <f t="shared" si="1"/>
        <v>May'15</v>
      </c>
      <c r="H48" s="140" t="str">
        <f>TEXT(RawData[[#This Row],[Date]], "YYYY")</f>
        <v>2015</v>
      </c>
      <c r="I48" s="141" t="s">
        <v>32</v>
      </c>
      <c r="J48" s="141" t="s">
        <v>90</v>
      </c>
      <c r="K48" s="139">
        <f t="shared" si="2"/>
        <v>1</v>
      </c>
      <c r="L48" s="142">
        <f>IF(RawData[[#This Row],[Paid/Unpaid]]="Paid", IF(VALUE($E48)&gt;VALUE($D$3),$K48* 10000,$K48* 8000), 0)</f>
        <v>8000</v>
      </c>
      <c r="M48" s="53" t="s">
        <v>146</v>
      </c>
    </row>
    <row r="49" spans="1:13" ht="12.75" customHeight="1" x14ac:dyDescent="0.3">
      <c r="A49" s="143" t="s">
        <v>80</v>
      </c>
      <c r="B49" s="139" t="str">
        <f>IFERROR(VLOOKUP($A49, NameDesignation[], 2,FALSE), " ")</f>
        <v>Former Independent Director</v>
      </c>
      <c r="C49" s="139" t="s">
        <v>29</v>
      </c>
      <c r="D49" s="139">
        <v>380</v>
      </c>
      <c r="E49" s="140">
        <v>42184</v>
      </c>
      <c r="F49" s="139" t="str">
        <f t="shared" si="0"/>
        <v>Q2-15</v>
      </c>
      <c r="G49" s="140" t="str">
        <f t="shared" si="1"/>
        <v>Jun'15</v>
      </c>
      <c r="H49" s="140" t="str">
        <f>TEXT(RawData[[#This Row],[Date]], "YYYY")</f>
        <v>2015</v>
      </c>
      <c r="I49" s="141" t="s">
        <v>32</v>
      </c>
      <c r="J49" s="141" t="s">
        <v>90</v>
      </c>
      <c r="K49" s="139">
        <f t="shared" si="2"/>
        <v>1</v>
      </c>
      <c r="L49" s="142">
        <f>IF(RawData[[#This Row],[Paid/Unpaid]]="Paid", IF(VALUE($E49)&gt;VALUE($D$3),$K49* 10000,$K49* 8000), 0)</f>
        <v>8000</v>
      </c>
      <c r="M49" s="53" t="s">
        <v>146</v>
      </c>
    </row>
    <row r="50" spans="1:13" ht="12.75" customHeight="1" x14ac:dyDescent="0.3">
      <c r="A50" s="143" t="s">
        <v>80</v>
      </c>
      <c r="B50" s="139" t="str">
        <f>IFERROR(VLOOKUP($A50, NameDesignation[], 2,FALSE), " ")</f>
        <v>Former Independent Director</v>
      </c>
      <c r="C50" s="139" t="s">
        <v>37</v>
      </c>
      <c r="D50" s="139">
        <v>66</v>
      </c>
      <c r="E50" s="140">
        <v>42191</v>
      </c>
      <c r="F50" s="139" t="str">
        <f t="shared" si="0"/>
        <v>Q3-15</v>
      </c>
      <c r="G50" s="140" t="str">
        <f t="shared" si="1"/>
        <v>Jul'15</v>
      </c>
      <c r="H50" s="140" t="str">
        <f>TEXT(RawData[[#This Row],[Date]], "YYYY")</f>
        <v>2015</v>
      </c>
      <c r="I50" s="141" t="s">
        <v>32</v>
      </c>
      <c r="J50" s="141" t="s">
        <v>90</v>
      </c>
      <c r="K50" s="139">
        <f t="shared" si="2"/>
        <v>1</v>
      </c>
      <c r="L50" s="142">
        <f>IF(RawData[[#This Row],[Paid/Unpaid]]="Paid", IF(VALUE($E50)&gt;VALUE($D$3),$K50* 10000,$K50* 8000), 0)</f>
        <v>8000</v>
      </c>
      <c r="M50" s="53" t="s">
        <v>146</v>
      </c>
    </row>
    <row r="51" spans="1:13" ht="12.75" customHeight="1" x14ac:dyDescent="0.3">
      <c r="A51" s="143" t="s">
        <v>80</v>
      </c>
      <c r="B51" s="139" t="str">
        <f>IFERROR(VLOOKUP($A51, NameDesignation[], 2,FALSE), " ")</f>
        <v>Former Independent Director</v>
      </c>
      <c r="C51" s="139" t="s">
        <v>37</v>
      </c>
      <c r="D51" s="139">
        <v>67</v>
      </c>
      <c r="E51" s="140">
        <v>42213</v>
      </c>
      <c r="F51" s="139" t="str">
        <f t="shared" si="0"/>
        <v>Q3-15</v>
      </c>
      <c r="G51" s="140" t="str">
        <f t="shared" si="1"/>
        <v>Jul'15</v>
      </c>
      <c r="H51" s="140" t="str">
        <f>TEXT(RawData[[#This Row],[Date]], "YYYY")</f>
        <v>2015</v>
      </c>
      <c r="I51" s="141" t="s">
        <v>32</v>
      </c>
      <c r="J51" s="141" t="s">
        <v>90</v>
      </c>
      <c r="K51" s="139">
        <f t="shared" si="2"/>
        <v>1</v>
      </c>
      <c r="L51" s="142">
        <f>IF(RawData[[#This Row],[Paid/Unpaid]]="Paid", IF(VALUE($E51)&gt;VALUE($D$3),$K51* 10000,$K51* 8000), 0)</f>
        <v>8000</v>
      </c>
      <c r="M51" s="53" t="s">
        <v>146</v>
      </c>
    </row>
    <row r="52" spans="1:13" ht="12.75" customHeight="1" x14ac:dyDescent="0.3">
      <c r="A52" s="143" t="s">
        <v>80</v>
      </c>
      <c r="B52" s="139" t="str">
        <f>IFERROR(VLOOKUP($A52, NameDesignation[], 2,FALSE), " ")</f>
        <v>Former Independent Director</v>
      </c>
      <c r="C52" s="139" t="s">
        <v>29</v>
      </c>
      <c r="D52" s="139">
        <v>381</v>
      </c>
      <c r="E52" s="140">
        <v>42213</v>
      </c>
      <c r="F52" s="139" t="str">
        <f t="shared" si="0"/>
        <v>Q3-15</v>
      </c>
      <c r="G52" s="140" t="str">
        <f t="shared" si="1"/>
        <v>Jul'15</v>
      </c>
      <c r="H52" s="140" t="str">
        <f>TEXT(RawData[[#This Row],[Date]], "YYYY")</f>
        <v>2015</v>
      </c>
      <c r="I52" s="141" t="s">
        <v>32</v>
      </c>
      <c r="J52" s="141" t="s">
        <v>90</v>
      </c>
      <c r="K52" s="139">
        <f t="shared" si="2"/>
        <v>1</v>
      </c>
      <c r="L52" s="142">
        <f>IF(RawData[[#This Row],[Paid/Unpaid]]="Paid", IF(VALUE($E52)&gt;VALUE($D$3),$K52* 10000,$K52* 8000), 0)</f>
        <v>8000</v>
      </c>
      <c r="M52" s="53" t="s">
        <v>146</v>
      </c>
    </row>
    <row r="53" spans="1:13" ht="12.75" customHeight="1" x14ac:dyDescent="0.3">
      <c r="A53" s="143" t="s">
        <v>80</v>
      </c>
      <c r="B53" s="139" t="str">
        <f>IFERROR(VLOOKUP($A53, NameDesignation[], 2,FALSE), " ")</f>
        <v>Former Independent Director</v>
      </c>
      <c r="C53" s="139" t="s">
        <v>29</v>
      </c>
      <c r="D53" s="139">
        <v>382</v>
      </c>
      <c r="E53" s="140">
        <v>42247</v>
      </c>
      <c r="F53" s="139" t="str">
        <f t="shared" si="0"/>
        <v>Q3-15</v>
      </c>
      <c r="G53" s="140" t="str">
        <f t="shared" si="1"/>
        <v>Aug'15</v>
      </c>
      <c r="H53" s="140" t="str">
        <f>TEXT(RawData[[#This Row],[Date]], "YYYY")</f>
        <v>2015</v>
      </c>
      <c r="I53" s="141" t="s">
        <v>32</v>
      </c>
      <c r="J53" s="141" t="s">
        <v>90</v>
      </c>
      <c r="K53" s="139">
        <f t="shared" si="2"/>
        <v>1</v>
      </c>
      <c r="L53" s="142">
        <f>IF(RawData[[#This Row],[Paid/Unpaid]]="Paid", IF(VALUE($E53)&gt;VALUE($D$3),$K53* 10000,$K53* 8000), 0)</f>
        <v>8000</v>
      </c>
      <c r="M53" s="53" t="s">
        <v>146</v>
      </c>
    </row>
    <row r="54" spans="1:13" ht="12.75" customHeight="1" x14ac:dyDescent="0.3">
      <c r="A54" s="143" t="s">
        <v>80</v>
      </c>
      <c r="B54" s="139" t="str">
        <f>IFERROR(VLOOKUP($A54, NameDesignation[], 2,FALSE), " ")</f>
        <v>Former Independent Director</v>
      </c>
      <c r="C54" s="139" t="s">
        <v>29</v>
      </c>
      <c r="D54" s="139">
        <v>383</v>
      </c>
      <c r="E54" s="140">
        <v>42257</v>
      </c>
      <c r="F54" s="139" t="str">
        <f t="shared" si="0"/>
        <v>Q3-15</v>
      </c>
      <c r="G54" s="140" t="str">
        <f t="shared" si="1"/>
        <v>Sep'15</v>
      </c>
      <c r="H54" s="140" t="str">
        <f>TEXT(RawData[[#This Row],[Date]], "YYYY")</f>
        <v>2015</v>
      </c>
      <c r="I54" s="141" t="s">
        <v>32</v>
      </c>
      <c r="J54" s="141" t="s">
        <v>90</v>
      </c>
      <c r="K54" s="139">
        <f t="shared" si="2"/>
        <v>1</v>
      </c>
      <c r="L54" s="142">
        <f>IF(RawData[[#This Row],[Paid/Unpaid]]="Paid", IF(VALUE($E54)&gt;VALUE($D$3),$K54* 10000,$K54* 8000), 0)</f>
        <v>8000</v>
      </c>
      <c r="M54" s="53" t="s">
        <v>146</v>
      </c>
    </row>
    <row r="55" spans="1:13" ht="12.75" customHeight="1" x14ac:dyDescent="0.3">
      <c r="A55" s="143" t="s">
        <v>80</v>
      </c>
      <c r="B55" s="139" t="str">
        <f>IFERROR(VLOOKUP($A55, NameDesignation[], 2,FALSE), " ")</f>
        <v>Former Independent Director</v>
      </c>
      <c r="C55" s="139" t="s">
        <v>37</v>
      </c>
      <c r="D55" s="139">
        <v>68</v>
      </c>
      <c r="E55" s="140">
        <v>42269</v>
      </c>
      <c r="F55" s="139" t="str">
        <f t="shared" si="0"/>
        <v>Q3-15</v>
      </c>
      <c r="G55" s="140" t="str">
        <f t="shared" si="1"/>
        <v>Sep'15</v>
      </c>
      <c r="H55" s="140" t="str">
        <f>TEXT(RawData[[#This Row],[Date]], "YYYY")</f>
        <v>2015</v>
      </c>
      <c r="I55" s="141" t="s">
        <v>32</v>
      </c>
      <c r="J55" s="141" t="s">
        <v>90</v>
      </c>
      <c r="K55" s="139">
        <f t="shared" si="2"/>
        <v>1</v>
      </c>
      <c r="L55" s="142">
        <f>IF(RawData[[#This Row],[Paid/Unpaid]]="Paid", IF(VALUE($E55)&gt;VALUE($D$3),$K55* 10000,$K55* 8000), 0)</f>
        <v>8000</v>
      </c>
      <c r="M55" s="53" t="s">
        <v>146</v>
      </c>
    </row>
    <row r="56" spans="1:13" ht="12.75" customHeight="1" x14ac:dyDescent="0.3">
      <c r="A56" s="143" t="s">
        <v>80</v>
      </c>
      <c r="B56" s="139" t="str">
        <f>IFERROR(VLOOKUP($A56, NameDesignation[], 2,FALSE), " ")</f>
        <v>Former Independent Director</v>
      </c>
      <c r="C56" s="139" t="s">
        <v>29</v>
      </c>
      <c r="D56" s="139">
        <v>384</v>
      </c>
      <c r="E56" s="140">
        <v>42277</v>
      </c>
      <c r="F56" s="139" t="str">
        <f t="shared" si="0"/>
        <v>Q3-15</v>
      </c>
      <c r="G56" s="140" t="str">
        <f t="shared" si="1"/>
        <v>Sep'15</v>
      </c>
      <c r="H56" s="140" t="str">
        <f>TEXT(RawData[[#This Row],[Date]], "YYYY")</f>
        <v>2015</v>
      </c>
      <c r="I56" s="141" t="s">
        <v>32</v>
      </c>
      <c r="J56" s="141" t="s">
        <v>90</v>
      </c>
      <c r="K56" s="139">
        <f t="shared" si="2"/>
        <v>1</v>
      </c>
      <c r="L56" s="142">
        <f>IF(RawData[[#This Row],[Paid/Unpaid]]="Paid", IF(VALUE($E56)&gt;VALUE($D$3),$K56* 10000,$K56* 8000), 0)</f>
        <v>8000</v>
      </c>
      <c r="M56" s="53" t="s">
        <v>146</v>
      </c>
    </row>
    <row r="57" spans="1:13" ht="12.75" customHeight="1" x14ac:dyDescent="0.3">
      <c r="A57" s="143" t="s">
        <v>80</v>
      </c>
      <c r="B57" s="139" t="str">
        <f>IFERROR(VLOOKUP($A57, NameDesignation[], 2,FALSE), " ")</f>
        <v>Former Independent Director</v>
      </c>
      <c r="C57" s="139" t="s">
        <v>37</v>
      </c>
      <c r="D57" s="139">
        <v>69</v>
      </c>
      <c r="E57" s="140">
        <v>42304</v>
      </c>
      <c r="F57" s="139" t="str">
        <f t="shared" si="0"/>
        <v>Q4-15</v>
      </c>
      <c r="G57" s="140" t="str">
        <f t="shared" si="1"/>
        <v>Oct'15</v>
      </c>
      <c r="H57" s="140" t="str">
        <f>TEXT(RawData[[#This Row],[Date]], "YYYY")</f>
        <v>2015</v>
      </c>
      <c r="I57" s="141" t="s">
        <v>32</v>
      </c>
      <c r="J57" s="141" t="s">
        <v>90</v>
      </c>
      <c r="K57" s="139">
        <f t="shared" si="2"/>
        <v>1</v>
      </c>
      <c r="L57" s="142">
        <f>IF(RawData[[#This Row],[Paid/Unpaid]]="Paid", IF(VALUE($E57)&gt;VALUE($D$3),$K57* 10000,$K57* 8000), 0)</f>
        <v>8000</v>
      </c>
      <c r="M57" s="53" t="s">
        <v>146</v>
      </c>
    </row>
    <row r="58" spans="1:13" ht="12.75" customHeight="1" x14ac:dyDescent="0.3">
      <c r="A58" s="143" t="s">
        <v>80</v>
      </c>
      <c r="B58" s="139" t="str">
        <f>IFERROR(VLOOKUP($A58, NameDesignation[], 2,FALSE), " ")</f>
        <v>Former Independent Director</v>
      </c>
      <c r="C58" s="139" t="s">
        <v>29</v>
      </c>
      <c r="D58" s="139">
        <v>385</v>
      </c>
      <c r="E58" s="140">
        <v>42304</v>
      </c>
      <c r="F58" s="139" t="str">
        <f t="shared" si="0"/>
        <v>Q4-15</v>
      </c>
      <c r="G58" s="140" t="str">
        <f t="shared" si="1"/>
        <v>Oct'15</v>
      </c>
      <c r="H58" s="140" t="str">
        <f>TEXT(RawData[[#This Row],[Date]], "YYYY")</f>
        <v>2015</v>
      </c>
      <c r="I58" s="141" t="s">
        <v>32</v>
      </c>
      <c r="J58" s="141" t="s">
        <v>90</v>
      </c>
      <c r="K58" s="139">
        <f t="shared" si="2"/>
        <v>1</v>
      </c>
      <c r="L58" s="142">
        <f>IF(RawData[[#This Row],[Paid/Unpaid]]="Paid", IF(VALUE($E58)&gt;VALUE($D$3),$K58* 10000,$K58* 8000), 0)</f>
        <v>8000</v>
      </c>
      <c r="M58" s="53" t="s">
        <v>146</v>
      </c>
    </row>
    <row r="59" spans="1:13" ht="12.75" customHeight="1" x14ac:dyDescent="0.3">
      <c r="A59" s="143" t="s">
        <v>80</v>
      </c>
      <c r="B59" s="139" t="str">
        <f>IFERROR(VLOOKUP($A59, NameDesignation[], 2,FALSE), " ")</f>
        <v>Former Independent Director</v>
      </c>
      <c r="C59" s="139" t="s">
        <v>29</v>
      </c>
      <c r="D59" s="139">
        <v>386</v>
      </c>
      <c r="E59" s="140">
        <v>42337</v>
      </c>
      <c r="F59" s="139" t="str">
        <f t="shared" si="0"/>
        <v>Q4-15</v>
      </c>
      <c r="G59" s="140" t="str">
        <f t="shared" si="1"/>
        <v>Nov'15</v>
      </c>
      <c r="H59" s="140" t="str">
        <f>TEXT(RawData[[#This Row],[Date]], "YYYY")</f>
        <v>2015</v>
      </c>
      <c r="I59" s="141" t="s">
        <v>32</v>
      </c>
      <c r="J59" s="141" t="s">
        <v>90</v>
      </c>
      <c r="K59" s="139">
        <f t="shared" si="2"/>
        <v>1</v>
      </c>
      <c r="L59" s="142">
        <f>IF(RawData[[#This Row],[Paid/Unpaid]]="Paid", IF(VALUE($E59)&gt;VALUE($D$3),$K59* 10000,$K59* 8000), 0)</f>
        <v>8000</v>
      </c>
      <c r="M59" s="53" t="s">
        <v>146</v>
      </c>
    </row>
    <row r="60" spans="1:13" ht="12.75" customHeight="1" x14ac:dyDescent="0.3">
      <c r="A60" s="143" t="s">
        <v>80</v>
      </c>
      <c r="B60" s="139" t="str">
        <f>IFERROR(VLOOKUP($A60, NameDesignation[], 2,FALSE), " ")</f>
        <v>Former Independent Director</v>
      </c>
      <c r="C60" s="139" t="s">
        <v>37</v>
      </c>
      <c r="D60" s="139">
        <v>70</v>
      </c>
      <c r="E60" s="140">
        <v>42361</v>
      </c>
      <c r="F60" s="139" t="str">
        <f t="shared" si="0"/>
        <v>Q4-15</v>
      </c>
      <c r="G60" s="140" t="str">
        <f t="shared" si="1"/>
        <v>Dec'15</v>
      </c>
      <c r="H60" s="140" t="str">
        <f>TEXT(RawData[[#This Row],[Date]], "YYYY")</f>
        <v>2015</v>
      </c>
      <c r="I60" s="141" t="s">
        <v>32</v>
      </c>
      <c r="J60" s="141" t="s">
        <v>90</v>
      </c>
      <c r="K60" s="139">
        <f t="shared" si="2"/>
        <v>1</v>
      </c>
      <c r="L60" s="142">
        <f>IF(RawData[[#This Row],[Paid/Unpaid]]="Paid", IF(VALUE($E60)&gt;VALUE($D$3),$K60* 10000,$K60* 8000), 0)</f>
        <v>8000</v>
      </c>
      <c r="M60" s="53" t="s">
        <v>146</v>
      </c>
    </row>
    <row r="61" spans="1:13" ht="12.75" customHeight="1" x14ac:dyDescent="0.3">
      <c r="A61" s="143" t="s">
        <v>80</v>
      </c>
      <c r="B61" s="139" t="str">
        <f>IFERROR(VLOOKUP($A61, NameDesignation[], 2,FALSE), " ")</f>
        <v>Former Independent Director</v>
      </c>
      <c r="C61" s="139" t="s">
        <v>29</v>
      </c>
      <c r="D61" s="139">
        <v>387</v>
      </c>
      <c r="E61" s="140">
        <v>42367</v>
      </c>
      <c r="F61" s="139" t="str">
        <f t="shared" si="0"/>
        <v>Q4-15</v>
      </c>
      <c r="G61" s="140" t="str">
        <f t="shared" si="1"/>
        <v>Dec'15</v>
      </c>
      <c r="H61" s="140" t="str">
        <f>TEXT(RawData[[#This Row],[Date]], "YYYY")</f>
        <v>2015</v>
      </c>
      <c r="I61" s="141" t="s">
        <v>32</v>
      </c>
      <c r="J61" s="141" t="s">
        <v>90</v>
      </c>
      <c r="K61" s="139">
        <f t="shared" si="2"/>
        <v>1</v>
      </c>
      <c r="L61" s="142">
        <f>IF(RawData[[#This Row],[Paid/Unpaid]]="Paid", IF(VALUE($E61)&gt;VALUE($D$3),$K61* 10000,$K61* 8000), 0)</f>
        <v>8000</v>
      </c>
      <c r="M61" s="53" t="s">
        <v>146</v>
      </c>
    </row>
    <row r="62" spans="1:13" ht="12.75" customHeight="1" x14ac:dyDescent="0.3">
      <c r="A62" s="143" t="s">
        <v>80</v>
      </c>
      <c r="B62" s="139" t="str">
        <f>IFERROR(VLOOKUP($A62, NameDesignation[], 2,FALSE), " ")</f>
        <v>Former Independent Director</v>
      </c>
      <c r="C62" s="139" t="s">
        <v>29</v>
      </c>
      <c r="D62" s="139">
        <v>388</v>
      </c>
      <c r="E62" s="140">
        <v>42397</v>
      </c>
      <c r="F62" s="139" t="str">
        <f t="shared" si="0"/>
        <v>Q1-16</v>
      </c>
      <c r="G62" s="140" t="str">
        <f t="shared" si="1"/>
        <v>Jan'16</v>
      </c>
      <c r="H62" s="140" t="str">
        <f>TEXT(RawData[[#This Row],[Date]], "YYYY")</f>
        <v>2016</v>
      </c>
      <c r="I62" s="141" t="s">
        <v>32</v>
      </c>
      <c r="J62" s="141" t="s">
        <v>90</v>
      </c>
      <c r="K62" s="139">
        <f t="shared" si="2"/>
        <v>1</v>
      </c>
      <c r="L62" s="142">
        <f>IF(RawData[[#This Row],[Paid/Unpaid]]="Paid", IF(VALUE($E62)&gt;VALUE($D$3),$K62* 10000,$K62* 8000), 0)</f>
        <v>8000</v>
      </c>
      <c r="M62" s="53" t="s">
        <v>146</v>
      </c>
    </row>
    <row r="63" spans="1:13" ht="12.75" customHeight="1" x14ac:dyDescent="0.3">
      <c r="A63" s="143" t="s">
        <v>80</v>
      </c>
      <c r="B63" s="139" t="str">
        <f>IFERROR(VLOOKUP($A63, NameDesignation[], 2,FALSE), " ")</f>
        <v>Former Independent Director</v>
      </c>
      <c r="C63" s="139" t="s">
        <v>37</v>
      </c>
      <c r="D63" s="139">
        <v>71</v>
      </c>
      <c r="E63" s="140">
        <v>42400</v>
      </c>
      <c r="F63" s="139" t="str">
        <f t="shared" si="0"/>
        <v>Q1-16</v>
      </c>
      <c r="G63" s="140" t="str">
        <f t="shared" si="1"/>
        <v>Jan'16</v>
      </c>
      <c r="H63" s="140" t="str">
        <f>TEXT(RawData[[#This Row],[Date]], "YYYY")</f>
        <v>2016</v>
      </c>
      <c r="I63" s="141" t="s">
        <v>32</v>
      </c>
      <c r="J63" s="141" t="s">
        <v>90</v>
      </c>
      <c r="K63" s="139">
        <f t="shared" si="2"/>
        <v>1</v>
      </c>
      <c r="L63" s="142">
        <f>IF(RawData[[#This Row],[Paid/Unpaid]]="Paid", IF(VALUE($E63)&gt;VALUE($D$3),$K63* 10000,$K63* 8000), 0)</f>
        <v>8000</v>
      </c>
      <c r="M63" s="53" t="s">
        <v>146</v>
      </c>
    </row>
    <row r="64" spans="1:13" ht="12.75" customHeight="1" x14ac:dyDescent="0.3">
      <c r="A64" s="143" t="s">
        <v>80</v>
      </c>
      <c r="B64" s="139" t="str">
        <f>IFERROR(VLOOKUP($A64, NameDesignation[], 2,FALSE), " ")</f>
        <v>Former Independent Director</v>
      </c>
      <c r="C64" s="139" t="s">
        <v>37</v>
      </c>
      <c r="D64" s="139">
        <v>72</v>
      </c>
      <c r="E64" s="140">
        <v>42423</v>
      </c>
      <c r="F64" s="139" t="str">
        <f t="shared" si="0"/>
        <v>Q1-16</v>
      </c>
      <c r="G64" s="140" t="str">
        <f t="shared" si="1"/>
        <v>Feb'16</v>
      </c>
      <c r="H64" s="140" t="str">
        <f>TEXT(RawData[[#This Row],[Date]], "YYYY")</f>
        <v>2016</v>
      </c>
      <c r="I64" s="141" t="s">
        <v>32</v>
      </c>
      <c r="J64" s="141" t="s">
        <v>90</v>
      </c>
      <c r="K64" s="139">
        <f t="shared" si="2"/>
        <v>1</v>
      </c>
      <c r="L64" s="142">
        <f>IF(RawData[[#This Row],[Paid/Unpaid]]="Paid", IF(VALUE($E64)&gt;VALUE($D$3),$K64* 10000,$K64* 8000), 0)</f>
        <v>8000</v>
      </c>
      <c r="M64" s="53" t="s">
        <v>146</v>
      </c>
    </row>
    <row r="65" spans="1:13" ht="12.75" customHeight="1" x14ac:dyDescent="0.3">
      <c r="A65" s="143" t="s">
        <v>80</v>
      </c>
      <c r="B65" s="139" t="str">
        <f>IFERROR(VLOOKUP($A65, NameDesignation[], 2,FALSE), " ")</f>
        <v>Former Independent Director</v>
      </c>
      <c r="C65" s="139" t="s">
        <v>29</v>
      </c>
      <c r="D65" s="139">
        <v>389</v>
      </c>
      <c r="E65" s="140">
        <v>42423</v>
      </c>
      <c r="F65" s="139" t="str">
        <f t="shared" si="0"/>
        <v>Q1-16</v>
      </c>
      <c r="G65" s="140" t="str">
        <f t="shared" si="1"/>
        <v>Feb'16</v>
      </c>
      <c r="H65" s="140" t="str">
        <f>TEXT(RawData[[#This Row],[Date]], "YYYY")</f>
        <v>2016</v>
      </c>
      <c r="I65" s="141" t="s">
        <v>32</v>
      </c>
      <c r="J65" s="141" t="s">
        <v>90</v>
      </c>
      <c r="K65" s="139">
        <f t="shared" si="2"/>
        <v>1</v>
      </c>
      <c r="L65" s="142">
        <f>IF(RawData[[#This Row],[Paid/Unpaid]]="Paid", IF(VALUE($E65)&gt;VALUE($D$3),$K65* 10000,$K65* 8000), 0)</f>
        <v>8000</v>
      </c>
      <c r="M65" s="53" t="s">
        <v>146</v>
      </c>
    </row>
    <row r="66" spans="1:13" ht="12.75" customHeight="1" x14ac:dyDescent="0.3">
      <c r="A66" s="143" t="s">
        <v>80</v>
      </c>
      <c r="B66" s="139" t="str">
        <f>IFERROR(VLOOKUP($A66, NameDesignation[], 2,FALSE), " ")</f>
        <v>Former Independent Director</v>
      </c>
      <c r="C66" s="139" t="s">
        <v>37</v>
      </c>
      <c r="D66" s="139">
        <v>73</v>
      </c>
      <c r="E66" s="140">
        <v>42458</v>
      </c>
      <c r="F66" s="139" t="str">
        <f t="shared" si="0"/>
        <v>Q1-16</v>
      </c>
      <c r="G66" s="140" t="str">
        <f t="shared" si="1"/>
        <v>Mar'16</v>
      </c>
      <c r="H66" s="140" t="str">
        <f>TEXT(RawData[[#This Row],[Date]], "YYYY")</f>
        <v>2016</v>
      </c>
      <c r="I66" s="141" t="s">
        <v>32</v>
      </c>
      <c r="J66" s="141" t="s">
        <v>90</v>
      </c>
      <c r="K66" s="139">
        <f t="shared" si="2"/>
        <v>1</v>
      </c>
      <c r="L66" s="142">
        <f>IF(RawData[[#This Row],[Paid/Unpaid]]="Paid", IF(VALUE($E66)&gt;VALUE($D$3),$K66* 10000,$K66* 8000), 0)</f>
        <v>8000</v>
      </c>
      <c r="M66" s="53" t="s">
        <v>146</v>
      </c>
    </row>
    <row r="67" spans="1:13" ht="12.75" customHeight="1" x14ac:dyDescent="0.3">
      <c r="A67" s="143" t="s">
        <v>80</v>
      </c>
      <c r="B67" s="139" t="str">
        <f>IFERROR(VLOOKUP($A67, NameDesignation[], 2,FALSE), " ")</f>
        <v>Former Independent Director</v>
      </c>
      <c r="C67" s="139" t="s">
        <v>29</v>
      </c>
      <c r="D67" s="139">
        <v>390</v>
      </c>
      <c r="E67" s="140">
        <v>42459</v>
      </c>
      <c r="F67" s="139" t="str">
        <f t="shared" si="0"/>
        <v>Q1-16</v>
      </c>
      <c r="G67" s="140" t="str">
        <f t="shared" si="1"/>
        <v>Mar'16</v>
      </c>
      <c r="H67" s="140" t="str">
        <f>TEXT(RawData[[#This Row],[Date]], "YYYY")</f>
        <v>2016</v>
      </c>
      <c r="I67" s="141" t="s">
        <v>32</v>
      </c>
      <c r="J67" s="141" t="s">
        <v>90</v>
      </c>
      <c r="K67" s="139">
        <f t="shared" si="2"/>
        <v>1</v>
      </c>
      <c r="L67" s="142">
        <f>IF(RawData[[#This Row],[Paid/Unpaid]]="Paid", IF(VALUE($E67)&gt;VALUE($D$3),$K67* 10000,$K67* 8000), 0)</f>
        <v>8000</v>
      </c>
      <c r="M67" s="53" t="s">
        <v>146</v>
      </c>
    </row>
    <row r="68" spans="1:13" ht="12.75" customHeight="1" x14ac:dyDescent="0.3">
      <c r="A68" s="143" t="s">
        <v>80</v>
      </c>
      <c r="B68" s="139" t="str">
        <f>IFERROR(VLOOKUP($A68, NameDesignation[], 2,FALSE), " ")</f>
        <v>Former Independent Director</v>
      </c>
      <c r="C68" s="139" t="s">
        <v>29</v>
      </c>
      <c r="D68" s="139">
        <v>392</v>
      </c>
      <c r="E68" s="140">
        <v>42467</v>
      </c>
      <c r="F68" s="139" t="str">
        <f t="shared" si="0"/>
        <v>Q2-16</v>
      </c>
      <c r="G68" s="140" t="str">
        <f t="shared" si="1"/>
        <v>Apr'16</v>
      </c>
      <c r="H68" s="140" t="str">
        <f>TEXT(RawData[[#This Row],[Date]], "YYYY")</f>
        <v>2016</v>
      </c>
      <c r="I68" s="141" t="s">
        <v>32</v>
      </c>
      <c r="J68" s="141" t="s">
        <v>90</v>
      </c>
      <c r="K68" s="139">
        <f t="shared" si="2"/>
        <v>1</v>
      </c>
      <c r="L68" s="142">
        <f>IF(RawData[[#This Row],[Paid/Unpaid]]="Paid", IF(VALUE($E68)&gt;VALUE($D$3),$K68* 10000,$K68* 8000), 0)</f>
        <v>8000</v>
      </c>
      <c r="M68" s="53" t="s">
        <v>146</v>
      </c>
    </row>
    <row r="69" spans="1:13" ht="12.75" customHeight="1" x14ac:dyDescent="0.3">
      <c r="A69" s="143" t="s">
        <v>80</v>
      </c>
      <c r="B69" s="139" t="str">
        <f>IFERROR(VLOOKUP($A69, NameDesignation[], 2,FALSE), " ")</f>
        <v>Former Independent Director</v>
      </c>
      <c r="C69" s="139" t="s">
        <v>29</v>
      </c>
      <c r="D69" s="139">
        <v>396</v>
      </c>
      <c r="E69" s="140">
        <v>42579</v>
      </c>
      <c r="F69" s="139" t="str">
        <f t="shared" si="0"/>
        <v>Q3-16</v>
      </c>
      <c r="G69" s="140" t="str">
        <f t="shared" si="1"/>
        <v>Jul'16</v>
      </c>
      <c r="H69" s="140" t="str">
        <f>TEXT(RawData[[#This Row],[Date]], "YYYY")</f>
        <v>2016</v>
      </c>
      <c r="I69" s="141" t="s">
        <v>32</v>
      </c>
      <c r="J69" s="141" t="s">
        <v>90</v>
      </c>
      <c r="K69" s="139">
        <f t="shared" si="2"/>
        <v>1</v>
      </c>
      <c r="L69" s="142">
        <f>IF(RawData[[#This Row],[Paid/Unpaid]]="Paid", IF(VALUE($E69)&gt;VALUE($D$3),$K69* 10000,$K69* 8000), 0)</f>
        <v>8000</v>
      </c>
      <c r="M69" s="53" t="s">
        <v>146</v>
      </c>
    </row>
    <row r="70" spans="1:13" ht="12.75" customHeight="1" x14ac:dyDescent="0.3">
      <c r="A70" s="143" t="s">
        <v>80</v>
      </c>
      <c r="B70" s="139" t="str">
        <f>IFERROR(VLOOKUP($A70, NameDesignation[], 2,FALSE), " ")</f>
        <v>Former Independent Director</v>
      </c>
      <c r="C70" s="139" t="s">
        <v>29</v>
      </c>
      <c r="D70" s="139">
        <v>397</v>
      </c>
      <c r="E70" s="140">
        <v>42606</v>
      </c>
      <c r="F70" s="139" t="str">
        <f t="shared" ref="F70:F133" si="3">CONCATENATE("Q", ROUNDUP(MONTH($E70)/3,0),"-",TEXT($E70, "yy"))</f>
        <v>Q3-16</v>
      </c>
      <c r="G70" s="140" t="str">
        <f t="shared" ref="G70:G133" si="4">CONCATENATE(TEXT($E70, "mmm"),"'", TEXT($E70, "yy"))</f>
        <v>Aug'16</v>
      </c>
      <c r="H70" s="140" t="str">
        <f>TEXT(RawData[[#This Row],[Date]], "YYYY")</f>
        <v>2016</v>
      </c>
      <c r="I70" s="141" t="s">
        <v>32</v>
      </c>
      <c r="J70" s="141" t="s">
        <v>90</v>
      </c>
      <c r="K70" s="139">
        <f t="shared" ref="K70:K133" si="5">IF($J70="Present", 1, 0)</f>
        <v>1</v>
      </c>
      <c r="L70" s="142">
        <f>IF(RawData[[#This Row],[Paid/Unpaid]]="Paid", IF(VALUE($E70)&gt;VALUE($D$3),$K70* 10000,$K70* 8000), 0)</f>
        <v>8000</v>
      </c>
      <c r="M70" s="53" t="s">
        <v>146</v>
      </c>
    </row>
    <row r="71" spans="1:13" ht="12.75" customHeight="1" x14ac:dyDescent="0.3">
      <c r="A71" s="143" t="s">
        <v>80</v>
      </c>
      <c r="B71" s="139" t="str">
        <f>IFERROR(VLOOKUP($A71, NameDesignation[], 2,FALSE), " ")</f>
        <v>Former Independent Director</v>
      </c>
      <c r="C71" s="139" t="s">
        <v>29</v>
      </c>
      <c r="D71" s="139">
        <v>398</v>
      </c>
      <c r="E71" s="140">
        <v>42638</v>
      </c>
      <c r="F71" s="139" t="str">
        <f t="shared" si="3"/>
        <v>Q3-16</v>
      </c>
      <c r="G71" s="140" t="str">
        <f t="shared" si="4"/>
        <v>Sep'16</v>
      </c>
      <c r="H71" s="140" t="str">
        <f>TEXT(RawData[[#This Row],[Date]], "YYYY")</f>
        <v>2016</v>
      </c>
      <c r="I71" s="141" t="s">
        <v>32</v>
      </c>
      <c r="J71" s="141" t="s">
        <v>90</v>
      </c>
      <c r="K71" s="139">
        <f t="shared" si="5"/>
        <v>1</v>
      </c>
      <c r="L71" s="142">
        <f>IF(RawData[[#This Row],[Paid/Unpaid]]="Paid", IF(VALUE($E71)&gt;VALUE($D$3),$K71* 10000,$K71* 8000), 0)</f>
        <v>8000</v>
      </c>
      <c r="M71" s="53" t="s">
        <v>146</v>
      </c>
    </row>
    <row r="72" spans="1:13" ht="12.75" customHeight="1" x14ac:dyDescent="0.3">
      <c r="A72" s="143" t="s">
        <v>80</v>
      </c>
      <c r="B72" s="139" t="str">
        <f>IFERROR(VLOOKUP($A72, NameDesignation[], 2,FALSE), " ")</f>
        <v>Former Independent Director</v>
      </c>
      <c r="C72" s="139" t="s">
        <v>29</v>
      </c>
      <c r="D72" s="139">
        <v>399</v>
      </c>
      <c r="E72" s="140">
        <v>42638</v>
      </c>
      <c r="F72" s="139" t="str">
        <f t="shared" si="3"/>
        <v>Q3-16</v>
      </c>
      <c r="G72" s="140" t="str">
        <f t="shared" si="4"/>
        <v>Sep'16</v>
      </c>
      <c r="H72" s="140" t="str">
        <f>TEXT(RawData[[#This Row],[Date]], "YYYY")</f>
        <v>2016</v>
      </c>
      <c r="I72" s="141" t="s">
        <v>32</v>
      </c>
      <c r="J72" s="141" t="s">
        <v>90</v>
      </c>
      <c r="K72" s="139">
        <f t="shared" si="5"/>
        <v>1</v>
      </c>
      <c r="L72" s="142">
        <f>IF(RawData[[#This Row],[Paid/Unpaid]]="Paid", IF(VALUE($E72)&gt;VALUE($D$3),$K72* 10000,$K72* 8000), 0)</f>
        <v>8000</v>
      </c>
      <c r="M72" s="53" t="s">
        <v>146</v>
      </c>
    </row>
    <row r="73" spans="1:13" ht="12.75" customHeight="1" x14ac:dyDescent="0.3">
      <c r="A73" s="143" t="s">
        <v>80</v>
      </c>
      <c r="B73" s="139" t="str">
        <f>IFERROR(VLOOKUP($A73, NameDesignation[], 2,FALSE), " ")</f>
        <v>Former Independent Director</v>
      </c>
      <c r="C73" s="139" t="s">
        <v>29</v>
      </c>
      <c r="D73" s="139">
        <v>400</v>
      </c>
      <c r="E73" s="140">
        <v>42666</v>
      </c>
      <c r="F73" s="139" t="str">
        <f t="shared" si="3"/>
        <v>Q4-16</v>
      </c>
      <c r="G73" s="140" t="str">
        <f t="shared" si="4"/>
        <v>Oct'16</v>
      </c>
      <c r="H73" s="140" t="str">
        <f>TEXT(RawData[[#This Row],[Date]], "YYYY")</f>
        <v>2016</v>
      </c>
      <c r="I73" s="141" t="s">
        <v>32</v>
      </c>
      <c r="J73" s="141" t="s">
        <v>90</v>
      </c>
      <c r="K73" s="139">
        <f t="shared" si="5"/>
        <v>1</v>
      </c>
      <c r="L73" s="142">
        <f>IF(RawData[[#This Row],[Paid/Unpaid]]="Paid", IF(VALUE($E73)&gt;VALUE($D$3),$K73* 10000,$K73* 8000), 0)</f>
        <v>8000</v>
      </c>
      <c r="M73" s="53" t="s">
        <v>146</v>
      </c>
    </row>
    <row r="74" spans="1:13" ht="12.75" customHeight="1" x14ac:dyDescent="0.3">
      <c r="A74" s="143" t="s">
        <v>80</v>
      </c>
      <c r="B74" s="139" t="str">
        <f>IFERROR(VLOOKUP($A74, NameDesignation[], 2,FALSE), " ")</f>
        <v>Former Independent Director</v>
      </c>
      <c r="C74" s="139" t="s">
        <v>29</v>
      </c>
      <c r="D74" s="139">
        <v>401</v>
      </c>
      <c r="E74" s="140">
        <v>42701</v>
      </c>
      <c r="F74" s="139" t="str">
        <f t="shared" si="3"/>
        <v>Q4-16</v>
      </c>
      <c r="G74" s="140" t="str">
        <f t="shared" si="4"/>
        <v>Nov'16</v>
      </c>
      <c r="H74" s="140" t="str">
        <f>TEXT(RawData[[#This Row],[Date]], "YYYY")</f>
        <v>2016</v>
      </c>
      <c r="I74" s="141" t="s">
        <v>32</v>
      </c>
      <c r="J74" s="141" t="s">
        <v>90</v>
      </c>
      <c r="K74" s="139">
        <f t="shared" si="5"/>
        <v>1</v>
      </c>
      <c r="L74" s="142">
        <f>IF(RawData[[#This Row],[Paid/Unpaid]]="Paid", IF(VALUE($E74)&gt;VALUE($D$3),$K74* 10000,$K74* 8000), 0)</f>
        <v>8000</v>
      </c>
      <c r="M74" s="53" t="s">
        <v>146</v>
      </c>
    </row>
    <row r="75" spans="1:13" ht="12.75" customHeight="1" x14ac:dyDescent="0.3">
      <c r="A75" s="143" t="s">
        <v>80</v>
      </c>
      <c r="B75" s="139" t="str">
        <f>IFERROR(VLOOKUP($A75, NameDesignation[], 2,FALSE), " ")</f>
        <v>Former Independent Director</v>
      </c>
      <c r="C75" s="139" t="s">
        <v>29</v>
      </c>
      <c r="D75" s="139">
        <v>402</v>
      </c>
      <c r="E75" s="140">
        <v>42726</v>
      </c>
      <c r="F75" s="139" t="str">
        <f t="shared" si="3"/>
        <v>Q4-16</v>
      </c>
      <c r="G75" s="140" t="str">
        <f t="shared" si="4"/>
        <v>Dec'16</v>
      </c>
      <c r="H75" s="140" t="str">
        <f>TEXT(RawData[[#This Row],[Date]], "YYYY")</f>
        <v>2016</v>
      </c>
      <c r="I75" s="141" t="s">
        <v>32</v>
      </c>
      <c r="J75" s="141" t="s">
        <v>90</v>
      </c>
      <c r="K75" s="139">
        <f t="shared" si="5"/>
        <v>1</v>
      </c>
      <c r="L75" s="142">
        <f>IF(RawData[[#This Row],[Paid/Unpaid]]="Paid", IF(VALUE($E75)&gt;VALUE($D$3),$K75* 10000,$K75* 8000), 0)</f>
        <v>8000</v>
      </c>
      <c r="M75" s="53" t="s">
        <v>146</v>
      </c>
    </row>
    <row r="76" spans="1:13" ht="12.75" customHeight="1" x14ac:dyDescent="0.3">
      <c r="A76" s="143" t="s">
        <v>80</v>
      </c>
      <c r="B76" s="139" t="str">
        <f>IFERROR(VLOOKUP($A76, NameDesignation[], 2,FALSE), " ")</f>
        <v>Former Independent Director</v>
      </c>
      <c r="C76" s="139" t="s">
        <v>29</v>
      </c>
      <c r="D76" s="139">
        <v>404</v>
      </c>
      <c r="E76" s="140">
        <v>42773</v>
      </c>
      <c r="F76" s="139" t="str">
        <f t="shared" si="3"/>
        <v>Q1-17</v>
      </c>
      <c r="G76" s="140" t="str">
        <f t="shared" si="4"/>
        <v>Feb'17</v>
      </c>
      <c r="H76" s="140" t="str">
        <f>TEXT(RawData[[#This Row],[Date]], "YYYY")</f>
        <v>2017</v>
      </c>
      <c r="I76" s="141" t="s">
        <v>32</v>
      </c>
      <c r="J76" s="141" t="s">
        <v>90</v>
      </c>
      <c r="K76" s="139">
        <f t="shared" si="5"/>
        <v>1</v>
      </c>
      <c r="L76" s="142">
        <f>IF(RawData[[#This Row],[Paid/Unpaid]]="Paid", IF(VALUE($E76)&gt;VALUE($D$3),$K76* 10000,$K76* 8000), 0)</f>
        <v>8000</v>
      </c>
      <c r="M76" s="53" t="s">
        <v>146</v>
      </c>
    </row>
    <row r="77" spans="1:13" ht="12.75" customHeight="1" x14ac:dyDescent="0.3">
      <c r="A77" s="143" t="s">
        <v>80</v>
      </c>
      <c r="B77" s="139" t="str">
        <f>IFERROR(VLOOKUP($A77, NameDesignation[], 2,FALSE), " ")</f>
        <v>Former Independent Director</v>
      </c>
      <c r="C77" s="139" t="s">
        <v>29</v>
      </c>
      <c r="D77" s="139">
        <v>405</v>
      </c>
      <c r="E77" s="140">
        <v>42809</v>
      </c>
      <c r="F77" s="139" t="str">
        <f t="shared" si="3"/>
        <v>Q1-17</v>
      </c>
      <c r="G77" s="140" t="str">
        <f t="shared" si="4"/>
        <v>Mar'17</v>
      </c>
      <c r="H77" s="140" t="str">
        <f>TEXT(RawData[[#This Row],[Date]], "YYYY")</f>
        <v>2017</v>
      </c>
      <c r="I77" s="141" t="s">
        <v>32</v>
      </c>
      <c r="J77" s="141" t="s">
        <v>90</v>
      </c>
      <c r="K77" s="139">
        <f t="shared" si="5"/>
        <v>1</v>
      </c>
      <c r="L77" s="142">
        <f>IF(RawData[[#This Row],[Paid/Unpaid]]="Paid", IF(VALUE($E77)&gt;VALUE($D$3),$K77* 10000,$K77* 8000), 0)</f>
        <v>8000</v>
      </c>
      <c r="M77" s="53" t="s">
        <v>146</v>
      </c>
    </row>
    <row r="78" spans="1:13" ht="12.75" customHeight="1" x14ac:dyDescent="0.3">
      <c r="A78" s="143" t="s">
        <v>80</v>
      </c>
      <c r="B78" s="139" t="str">
        <f>IFERROR(VLOOKUP($A78, NameDesignation[], 2,FALSE), " ")</f>
        <v>Former Independent Director</v>
      </c>
      <c r="C78" s="139" t="s">
        <v>29</v>
      </c>
      <c r="D78" s="139">
        <v>406</v>
      </c>
      <c r="E78" s="140">
        <v>42829</v>
      </c>
      <c r="F78" s="139" t="str">
        <f t="shared" si="3"/>
        <v>Q2-17</v>
      </c>
      <c r="G78" s="140" t="str">
        <f t="shared" si="4"/>
        <v>Apr'17</v>
      </c>
      <c r="H78" s="140" t="str">
        <f>TEXT(RawData[[#This Row],[Date]], "YYYY")</f>
        <v>2017</v>
      </c>
      <c r="I78" s="141" t="s">
        <v>32</v>
      </c>
      <c r="J78" s="141" t="s">
        <v>90</v>
      </c>
      <c r="K78" s="139">
        <f t="shared" si="5"/>
        <v>1</v>
      </c>
      <c r="L78" s="142">
        <f>IF(RawData[[#This Row],[Paid/Unpaid]]="Paid", IF(VALUE($E78)&gt;VALUE($D$3),$K78* 10000,$K78* 8000), 0)</f>
        <v>8000</v>
      </c>
      <c r="M78" s="53" t="s">
        <v>146</v>
      </c>
    </row>
    <row r="79" spans="1:13" ht="12.75" customHeight="1" x14ac:dyDescent="0.3">
      <c r="A79" s="143" t="s">
        <v>80</v>
      </c>
      <c r="B79" s="139" t="str">
        <f>IFERROR(VLOOKUP($A79, NameDesignation[], 2,FALSE), " ")</f>
        <v>Former Independent Director</v>
      </c>
      <c r="C79" s="139" t="s">
        <v>29</v>
      </c>
      <c r="D79" s="139">
        <v>408</v>
      </c>
      <c r="E79" s="140">
        <v>42866</v>
      </c>
      <c r="F79" s="139" t="str">
        <f t="shared" si="3"/>
        <v>Q2-17</v>
      </c>
      <c r="G79" s="140" t="str">
        <f t="shared" si="4"/>
        <v>May'17</v>
      </c>
      <c r="H79" s="140" t="str">
        <f>TEXT(RawData[[#This Row],[Date]], "YYYY")</f>
        <v>2017</v>
      </c>
      <c r="I79" s="141" t="s">
        <v>32</v>
      </c>
      <c r="J79" s="141" t="s">
        <v>90</v>
      </c>
      <c r="K79" s="139">
        <f t="shared" si="5"/>
        <v>1</v>
      </c>
      <c r="L79" s="142">
        <f>IF(RawData[[#This Row],[Paid/Unpaid]]="Paid", IF(VALUE($E79)&gt;VALUE($D$3),$K79* 10000,$K79* 8000), 0)</f>
        <v>8000</v>
      </c>
      <c r="M79" s="53" t="s">
        <v>146</v>
      </c>
    </row>
    <row r="80" spans="1:13" ht="12.75" customHeight="1" x14ac:dyDescent="0.3">
      <c r="A80" s="143" t="s">
        <v>80</v>
      </c>
      <c r="B80" s="139" t="str">
        <f>IFERROR(VLOOKUP($A80, NameDesignation[], 2,FALSE), " ")</f>
        <v>Former Independent Director</v>
      </c>
      <c r="C80" s="139" t="s">
        <v>29</v>
      </c>
      <c r="D80" s="139">
        <v>409</v>
      </c>
      <c r="E80" s="140">
        <v>42869</v>
      </c>
      <c r="F80" s="139" t="str">
        <f t="shared" si="3"/>
        <v>Q2-17</v>
      </c>
      <c r="G80" s="140" t="str">
        <f t="shared" si="4"/>
        <v>May'17</v>
      </c>
      <c r="H80" s="140" t="str">
        <f>TEXT(RawData[[#This Row],[Date]], "YYYY")</f>
        <v>2017</v>
      </c>
      <c r="I80" s="141" t="s">
        <v>32</v>
      </c>
      <c r="J80" s="141" t="s">
        <v>90</v>
      </c>
      <c r="K80" s="139">
        <f t="shared" si="5"/>
        <v>1</v>
      </c>
      <c r="L80" s="142">
        <f>IF(RawData[[#This Row],[Paid/Unpaid]]="Paid", IF(VALUE($E80)&gt;VALUE($D$3),$K80* 10000,$K80* 8000), 0)</f>
        <v>8000</v>
      </c>
      <c r="M80" s="53" t="s">
        <v>146</v>
      </c>
    </row>
    <row r="81" spans="1:13" ht="12.75" customHeight="1" x14ac:dyDescent="0.3">
      <c r="A81" s="143" t="s">
        <v>80</v>
      </c>
      <c r="B81" s="139" t="str">
        <f>IFERROR(VLOOKUP($A81, NameDesignation[], 2,FALSE), " ")</f>
        <v>Former Independent Director</v>
      </c>
      <c r="C81" s="139" t="s">
        <v>29</v>
      </c>
      <c r="D81" s="139">
        <v>410</v>
      </c>
      <c r="E81" s="140">
        <v>42899</v>
      </c>
      <c r="F81" s="139" t="str">
        <f t="shared" si="3"/>
        <v>Q2-17</v>
      </c>
      <c r="G81" s="140" t="str">
        <f t="shared" si="4"/>
        <v>Jun'17</v>
      </c>
      <c r="H81" s="140" t="str">
        <f>TEXT(RawData[[#This Row],[Date]], "YYYY")</f>
        <v>2017</v>
      </c>
      <c r="I81" s="141" t="s">
        <v>32</v>
      </c>
      <c r="J81" s="141" t="s">
        <v>90</v>
      </c>
      <c r="K81" s="139">
        <f t="shared" si="5"/>
        <v>1</v>
      </c>
      <c r="L81" s="142">
        <f>IF(RawData[[#This Row],[Paid/Unpaid]]="Paid", IF(VALUE($E81)&gt;VALUE($D$3),$K81* 10000,$K81* 8000), 0)</f>
        <v>8000</v>
      </c>
      <c r="M81" s="53" t="s">
        <v>146</v>
      </c>
    </row>
    <row r="82" spans="1:13" ht="12.75" customHeight="1" x14ac:dyDescent="0.3">
      <c r="A82" s="143" t="s">
        <v>80</v>
      </c>
      <c r="B82" s="139" t="str">
        <f>IFERROR(VLOOKUP($A82, NameDesignation[], 2,FALSE), " ")</f>
        <v>Former Independent Director</v>
      </c>
      <c r="C82" s="139" t="s">
        <v>29</v>
      </c>
      <c r="D82" s="139">
        <v>411</v>
      </c>
      <c r="E82" s="140">
        <v>42941</v>
      </c>
      <c r="F82" s="139" t="str">
        <f t="shared" si="3"/>
        <v>Q3-17</v>
      </c>
      <c r="G82" s="140" t="str">
        <f t="shared" si="4"/>
        <v>Jul'17</v>
      </c>
      <c r="H82" s="140" t="str">
        <f>TEXT(RawData[[#This Row],[Date]], "YYYY")</f>
        <v>2017</v>
      </c>
      <c r="I82" s="141" t="s">
        <v>32</v>
      </c>
      <c r="J82" s="141" t="s">
        <v>90</v>
      </c>
      <c r="K82" s="139">
        <f t="shared" si="5"/>
        <v>1</v>
      </c>
      <c r="L82" s="142">
        <f>IF(RawData[[#This Row],[Paid/Unpaid]]="Paid", IF(VALUE($E82)&gt;VALUE($D$3),$K82* 10000,$K82* 8000), 0)</f>
        <v>8000</v>
      </c>
      <c r="M82" s="53" t="s">
        <v>146</v>
      </c>
    </row>
    <row r="83" spans="1:13" ht="12.75" customHeight="1" x14ac:dyDescent="0.3">
      <c r="A83" s="143" t="s">
        <v>80</v>
      </c>
      <c r="B83" s="139" t="str">
        <f>IFERROR(VLOOKUP($A83, NameDesignation[], 2,FALSE), " ")</f>
        <v>Former Independent Director</v>
      </c>
      <c r="C83" s="139" t="s">
        <v>29</v>
      </c>
      <c r="D83" s="139">
        <v>412</v>
      </c>
      <c r="E83" s="140">
        <v>42969</v>
      </c>
      <c r="F83" s="139" t="str">
        <f t="shared" si="3"/>
        <v>Q3-17</v>
      </c>
      <c r="G83" s="140" t="str">
        <f t="shared" si="4"/>
        <v>Aug'17</v>
      </c>
      <c r="H83" s="140" t="str">
        <f>TEXT(RawData[[#This Row],[Date]], "YYYY")</f>
        <v>2017</v>
      </c>
      <c r="I83" s="141" t="s">
        <v>32</v>
      </c>
      <c r="J83" s="141" t="s">
        <v>90</v>
      </c>
      <c r="K83" s="139">
        <f t="shared" si="5"/>
        <v>1</v>
      </c>
      <c r="L83" s="142">
        <f>IF(RawData[[#This Row],[Paid/Unpaid]]="Paid", IF(VALUE($E83)&gt;VALUE($D$3),$K83* 10000,$K83* 8000), 0)</f>
        <v>8000</v>
      </c>
      <c r="M83" s="53" t="s">
        <v>146</v>
      </c>
    </row>
    <row r="84" spans="1:13" ht="12.75" customHeight="1" x14ac:dyDescent="0.3">
      <c r="A84" s="143" t="s">
        <v>80</v>
      </c>
      <c r="B84" s="139" t="str">
        <f>IFERROR(VLOOKUP($A84, NameDesignation[], 2,FALSE), " ")</f>
        <v>Former Independent Director</v>
      </c>
      <c r="C84" s="139" t="s">
        <v>29</v>
      </c>
      <c r="D84" s="139">
        <v>413</v>
      </c>
      <c r="E84" s="140">
        <v>42998</v>
      </c>
      <c r="F84" s="139" t="str">
        <f t="shared" si="3"/>
        <v>Q3-17</v>
      </c>
      <c r="G84" s="140" t="str">
        <f t="shared" si="4"/>
        <v>Sep'17</v>
      </c>
      <c r="H84" s="140" t="str">
        <f>TEXT(RawData[[#This Row],[Date]], "YYYY")</f>
        <v>2017</v>
      </c>
      <c r="I84" s="141" t="s">
        <v>32</v>
      </c>
      <c r="J84" s="141" t="s">
        <v>90</v>
      </c>
      <c r="K84" s="139">
        <f t="shared" si="5"/>
        <v>1</v>
      </c>
      <c r="L84" s="142">
        <f>IF(RawData[[#This Row],[Paid/Unpaid]]="Paid", IF(VALUE($E84)&gt;VALUE($D$3),$K84* 10000,$K84* 8000), 0)</f>
        <v>8000</v>
      </c>
      <c r="M84" s="53" t="s">
        <v>146</v>
      </c>
    </row>
    <row r="85" spans="1:13" ht="12.75" customHeight="1" x14ac:dyDescent="0.3">
      <c r="A85" s="143" t="s">
        <v>80</v>
      </c>
      <c r="B85" s="139" t="str">
        <f>IFERROR(VLOOKUP($A85, NameDesignation[], 2,FALSE), " ")</f>
        <v>Former Independent Director</v>
      </c>
      <c r="C85" s="139" t="s">
        <v>29</v>
      </c>
      <c r="D85" s="139">
        <v>414</v>
      </c>
      <c r="E85" s="140">
        <v>43039</v>
      </c>
      <c r="F85" s="139" t="str">
        <f t="shared" si="3"/>
        <v>Q4-17</v>
      </c>
      <c r="G85" s="140" t="str">
        <f t="shared" si="4"/>
        <v>Oct'17</v>
      </c>
      <c r="H85" s="140" t="str">
        <f>TEXT(RawData[[#This Row],[Date]], "YYYY")</f>
        <v>2017</v>
      </c>
      <c r="I85" s="141" t="s">
        <v>32</v>
      </c>
      <c r="J85" s="141" t="s">
        <v>90</v>
      </c>
      <c r="K85" s="139">
        <f t="shared" si="5"/>
        <v>1</v>
      </c>
      <c r="L85" s="142">
        <f>IF(RawData[[#This Row],[Paid/Unpaid]]="Paid", IF(VALUE($E85)&gt;VALUE($D$3),$K85* 10000,$K85* 8000), 0)</f>
        <v>8000</v>
      </c>
      <c r="M85" s="53" t="s">
        <v>146</v>
      </c>
    </row>
    <row r="86" spans="1:13" ht="12.75" customHeight="1" x14ac:dyDescent="0.3">
      <c r="A86" s="143" t="s">
        <v>80</v>
      </c>
      <c r="B86" s="139" t="str">
        <f>IFERROR(VLOOKUP($A86, NameDesignation[], 2,FALSE), " ")</f>
        <v>Former Independent Director</v>
      </c>
      <c r="C86" s="139" t="s">
        <v>29</v>
      </c>
      <c r="D86" s="139">
        <v>415</v>
      </c>
      <c r="E86" s="140">
        <v>43067</v>
      </c>
      <c r="F86" s="139" t="str">
        <f t="shared" si="3"/>
        <v>Q4-17</v>
      </c>
      <c r="G86" s="140" t="str">
        <f t="shared" si="4"/>
        <v>Nov'17</v>
      </c>
      <c r="H86" s="140" t="str">
        <f>TEXT(RawData[[#This Row],[Date]], "YYYY")</f>
        <v>2017</v>
      </c>
      <c r="I86" s="141" t="s">
        <v>32</v>
      </c>
      <c r="J86" s="141" t="s">
        <v>90</v>
      </c>
      <c r="K86" s="139">
        <f t="shared" si="5"/>
        <v>1</v>
      </c>
      <c r="L86" s="142">
        <f>IF(RawData[[#This Row],[Paid/Unpaid]]="Paid", IF(VALUE($E86)&gt;VALUE($D$3),$K86* 10000,$K86* 8000), 0)</f>
        <v>8000</v>
      </c>
      <c r="M86" s="53" t="s">
        <v>146</v>
      </c>
    </row>
    <row r="87" spans="1:13" ht="12.75" customHeight="1" x14ac:dyDescent="0.3">
      <c r="A87" s="143" t="s">
        <v>80</v>
      </c>
      <c r="B87" s="139" t="str">
        <f>IFERROR(VLOOKUP($A87, NameDesignation[], 2,FALSE), " ")</f>
        <v>Former Independent Director</v>
      </c>
      <c r="C87" s="139" t="s">
        <v>29</v>
      </c>
      <c r="D87" s="139">
        <v>416</v>
      </c>
      <c r="E87" s="140">
        <v>43068</v>
      </c>
      <c r="F87" s="139" t="str">
        <f t="shared" si="3"/>
        <v>Q4-17</v>
      </c>
      <c r="G87" s="140" t="str">
        <f t="shared" si="4"/>
        <v>Nov'17</v>
      </c>
      <c r="H87" s="140" t="str">
        <f>TEXT(RawData[[#This Row],[Date]], "YYYY")</f>
        <v>2017</v>
      </c>
      <c r="I87" s="141" t="s">
        <v>32</v>
      </c>
      <c r="J87" s="141" t="s">
        <v>90</v>
      </c>
      <c r="K87" s="139">
        <f t="shared" si="5"/>
        <v>1</v>
      </c>
      <c r="L87" s="142">
        <f>IF(RawData[[#This Row],[Paid/Unpaid]]="Paid", IF(VALUE($E87)&gt;VALUE($D$3),$K87* 10000,$K87* 8000), 0)</f>
        <v>8000</v>
      </c>
      <c r="M87" s="53" t="s">
        <v>146</v>
      </c>
    </row>
    <row r="88" spans="1:13" ht="12.75" customHeight="1" x14ac:dyDescent="0.3">
      <c r="A88" s="143" t="s">
        <v>80</v>
      </c>
      <c r="B88" s="139" t="str">
        <f>IFERROR(VLOOKUP($A88, NameDesignation[], 2,FALSE), " ")</f>
        <v>Former Independent Director</v>
      </c>
      <c r="C88" s="139" t="s">
        <v>29</v>
      </c>
      <c r="D88" s="139">
        <v>418</v>
      </c>
      <c r="E88" s="140">
        <v>43145</v>
      </c>
      <c r="F88" s="139" t="str">
        <f t="shared" si="3"/>
        <v>Q1-18</v>
      </c>
      <c r="G88" s="140" t="str">
        <f t="shared" si="4"/>
        <v>Feb'18</v>
      </c>
      <c r="H88" s="140" t="str">
        <f>TEXT(RawData[[#This Row],[Date]], "YYYY")</f>
        <v>2018</v>
      </c>
      <c r="I88" s="141" t="s">
        <v>32</v>
      </c>
      <c r="J88" s="141" t="s">
        <v>90</v>
      </c>
      <c r="K88" s="139">
        <f t="shared" si="5"/>
        <v>1</v>
      </c>
      <c r="L88" s="142">
        <f>IF(RawData[[#This Row],[Paid/Unpaid]]="Paid", IF(VALUE($E88)&gt;VALUE($D$3),$K88* 10000,$K88* 8000), 0)</f>
        <v>8000</v>
      </c>
      <c r="M88" s="53" t="s">
        <v>146</v>
      </c>
    </row>
    <row r="89" spans="1:13" ht="12.75" customHeight="1" x14ac:dyDescent="0.3">
      <c r="A89" s="143" t="s">
        <v>80</v>
      </c>
      <c r="B89" s="139" t="str">
        <f>IFERROR(VLOOKUP($A89, NameDesignation[], 2,FALSE), " ")</f>
        <v>Former Independent Director</v>
      </c>
      <c r="C89" s="139" t="s">
        <v>29</v>
      </c>
      <c r="D89" s="139">
        <v>419</v>
      </c>
      <c r="E89" s="140">
        <v>43173</v>
      </c>
      <c r="F89" s="139" t="str">
        <f t="shared" si="3"/>
        <v>Q1-18</v>
      </c>
      <c r="G89" s="140" t="str">
        <f t="shared" si="4"/>
        <v>Mar'18</v>
      </c>
      <c r="H89" s="140" t="str">
        <f>TEXT(RawData[[#This Row],[Date]], "YYYY")</f>
        <v>2018</v>
      </c>
      <c r="I89" s="141" t="s">
        <v>32</v>
      </c>
      <c r="J89" s="141" t="s">
        <v>90</v>
      </c>
      <c r="K89" s="139">
        <f t="shared" si="5"/>
        <v>1</v>
      </c>
      <c r="L89" s="142">
        <f>IF(RawData[[#This Row],[Paid/Unpaid]]="Paid", IF(VALUE($E89)&gt;VALUE($D$3),$K89* 10000,$K89* 8000), 0)</f>
        <v>8000</v>
      </c>
      <c r="M89" s="53" t="s">
        <v>146</v>
      </c>
    </row>
    <row r="90" spans="1:13" ht="12.75" customHeight="1" x14ac:dyDescent="0.3">
      <c r="A90" s="143" t="s">
        <v>80</v>
      </c>
      <c r="B90" s="139" t="str">
        <f>IFERROR(VLOOKUP($A90, NameDesignation[], 2,FALSE), " ")</f>
        <v>Former Independent Director</v>
      </c>
      <c r="C90" s="139" t="s">
        <v>29</v>
      </c>
      <c r="D90" s="139">
        <v>420</v>
      </c>
      <c r="E90" s="140">
        <v>43179</v>
      </c>
      <c r="F90" s="139" t="str">
        <f t="shared" si="3"/>
        <v>Q1-18</v>
      </c>
      <c r="G90" s="140" t="str">
        <f t="shared" si="4"/>
        <v>Mar'18</v>
      </c>
      <c r="H90" s="140" t="str">
        <f>TEXT(RawData[[#This Row],[Date]], "YYYY")</f>
        <v>2018</v>
      </c>
      <c r="I90" s="141" t="s">
        <v>32</v>
      </c>
      <c r="J90" s="141" t="s">
        <v>90</v>
      </c>
      <c r="K90" s="139">
        <f t="shared" si="5"/>
        <v>1</v>
      </c>
      <c r="L90" s="142">
        <f>IF(RawData[[#This Row],[Paid/Unpaid]]="Paid", IF(VALUE($E90)&gt;VALUE($D$3),$K90* 10000,$K90* 8000), 0)</f>
        <v>8000</v>
      </c>
      <c r="M90" s="53" t="s">
        <v>146</v>
      </c>
    </row>
    <row r="91" spans="1:13" ht="12.75" customHeight="1" x14ac:dyDescent="0.3">
      <c r="A91" s="143" t="s">
        <v>80</v>
      </c>
      <c r="B91" s="139" t="str">
        <f>IFERROR(VLOOKUP($A91, NameDesignation[], 2,FALSE), " ")</f>
        <v>Former Independent Director</v>
      </c>
      <c r="C91" s="139" t="s">
        <v>29</v>
      </c>
      <c r="D91" s="139">
        <v>421</v>
      </c>
      <c r="E91" s="140">
        <v>43214</v>
      </c>
      <c r="F91" s="139" t="str">
        <f t="shared" si="3"/>
        <v>Q2-18</v>
      </c>
      <c r="G91" s="140" t="str">
        <f t="shared" si="4"/>
        <v>Apr'18</v>
      </c>
      <c r="H91" s="140" t="str">
        <f>TEXT(RawData[[#This Row],[Date]], "YYYY")</f>
        <v>2018</v>
      </c>
      <c r="I91" s="141" t="s">
        <v>32</v>
      </c>
      <c r="J91" s="141" t="s">
        <v>90</v>
      </c>
      <c r="K91" s="139">
        <f t="shared" si="5"/>
        <v>1</v>
      </c>
      <c r="L91" s="142">
        <f>IF(RawData[[#This Row],[Paid/Unpaid]]="Paid", IF(VALUE($E91)&gt;VALUE($D$3),$K91* 10000,$K91* 8000), 0)</f>
        <v>8000</v>
      </c>
      <c r="M91" s="53" t="s">
        <v>146</v>
      </c>
    </row>
    <row r="92" spans="1:13" ht="12.75" customHeight="1" x14ac:dyDescent="0.3">
      <c r="A92" s="143" t="s">
        <v>80</v>
      </c>
      <c r="B92" s="139" t="str">
        <f>IFERROR(VLOOKUP($A92, NameDesignation[], 2,FALSE), " ")</f>
        <v>Former Independent Director</v>
      </c>
      <c r="C92" s="139" t="s">
        <v>29</v>
      </c>
      <c r="D92" s="139">
        <v>422</v>
      </c>
      <c r="E92" s="140">
        <v>43220</v>
      </c>
      <c r="F92" s="139" t="str">
        <f t="shared" si="3"/>
        <v>Q2-18</v>
      </c>
      <c r="G92" s="140" t="str">
        <f t="shared" si="4"/>
        <v>Apr'18</v>
      </c>
      <c r="H92" s="140" t="str">
        <f>TEXT(RawData[[#This Row],[Date]], "YYYY")</f>
        <v>2018</v>
      </c>
      <c r="I92" s="141" t="s">
        <v>32</v>
      </c>
      <c r="J92" s="141" t="s">
        <v>90</v>
      </c>
      <c r="K92" s="139">
        <f t="shared" si="5"/>
        <v>1</v>
      </c>
      <c r="L92" s="142">
        <f>IF(RawData[[#This Row],[Paid/Unpaid]]="Paid", IF(VALUE($E92)&gt;VALUE($D$3),$K92* 10000,$K92* 8000), 0)</f>
        <v>8000</v>
      </c>
      <c r="M92" s="53" t="s">
        <v>146</v>
      </c>
    </row>
    <row r="93" spans="1:13" ht="12.75" customHeight="1" x14ac:dyDescent="0.3">
      <c r="A93" s="143" t="s">
        <v>80</v>
      </c>
      <c r="B93" s="139" t="str">
        <f>IFERROR(VLOOKUP($A93, NameDesignation[], 2,FALSE), " ")</f>
        <v>Former Independent Director</v>
      </c>
      <c r="C93" s="139" t="s">
        <v>29</v>
      </c>
      <c r="D93" s="139">
        <v>424</v>
      </c>
      <c r="E93" s="140">
        <v>43255</v>
      </c>
      <c r="F93" s="139" t="str">
        <f t="shared" si="3"/>
        <v>Q2-18</v>
      </c>
      <c r="G93" s="140" t="str">
        <f t="shared" si="4"/>
        <v>Jun'18</v>
      </c>
      <c r="H93" s="140" t="str">
        <f>TEXT(RawData[[#This Row],[Date]], "YYYY")</f>
        <v>2018</v>
      </c>
      <c r="I93" s="141" t="s">
        <v>32</v>
      </c>
      <c r="J93" s="141" t="s">
        <v>90</v>
      </c>
      <c r="K93" s="139">
        <f t="shared" si="5"/>
        <v>1</v>
      </c>
      <c r="L93" s="142">
        <f>IF(RawData[[#This Row],[Paid/Unpaid]]="Paid", IF(VALUE($E93)&gt;VALUE($D$3),$K93* 10000,$K93* 8000), 0)</f>
        <v>8000</v>
      </c>
      <c r="M93" s="53" t="s">
        <v>146</v>
      </c>
    </row>
    <row r="94" spans="1:13" ht="12.75" customHeight="1" x14ac:dyDescent="0.3">
      <c r="A94" s="143" t="s">
        <v>80</v>
      </c>
      <c r="B94" s="139" t="str">
        <f>IFERROR(VLOOKUP($A94, NameDesignation[], 2,FALSE), " ")</f>
        <v>Former Independent Director</v>
      </c>
      <c r="C94" s="139" t="s">
        <v>29</v>
      </c>
      <c r="D94" s="139">
        <v>425</v>
      </c>
      <c r="E94" s="140">
        <v>43290</v>
      </c>
      <c r="F94" s="139" t="str">
        <f t="shared" si="3"/>
        <v>Q3-18</v>
      </c>
      <c r="G94" s="140" t="str">
        <f t="shared" si="4"/>
        <v>Jul'18</v>
      </c>
      <c r="H94" s="140" t="str">
        <f>TEXT(RawData[[#This Row],[Date]], "YYYY")</f>
        <v>2018</v>
      </c>
      <c r="I94" s="141" t="s">
        <v>32</v>
      </c>
      <c r="J94" s="141" t="s">
        <v>90</v>
      </c>
      <c r="K94" s="139">
        <f t="shared" si="5"/>
        <v>1</v>
      </c>
      <c r="L94" s="142">
        <f>IF(RawData[[#This Row],[Paid/Unpaid]]="Paid", IF(VALUE($E94)&gt;VALUE($D$3),$K94* 10000,$K94* 8000), 0)</f>
        <v>8000</v>
      </c>
      <c r="M94" s="53" t="s">
        <v>146</v>
      </c>
    </row>
    <row r="95" spans="1:13" ht="12.75" customHeight="1" x14ac:dyDescent="0.3">
      <c r="A95" s="143" t="s">
        <v>80</v>
      </c>
      <c r="B95" s="139" t="str">
        <f>IFERROR(VLOOKUP($A95, NameDesignation[], 2,FALSE), " ")</f>
        <v>Former Independent Director</v>
      </c>
      <c r="C95" s="139" t="s">
        <v>29</v>
      </c>
      <c r="D95" s="139">
        <v>427</v>
      </c>
      <c r="E95" s="140">
        <v>43362</v>
      </c>
      <c r="F95" s="139" t="str">
        <f t="shared" si="3"/>
        <v>Q3-18</v>
      </c>
      <c r="G95" s="140" t="str">
        <f t="shared" si="4"/>
        <v>Sep'18</v>
      </c>
      <c r="H95" s="140" t="str">
        <f>TEXT(RawData[[#This Row],[Date]], "YYYY")</f>
        <v>2018</v>
      </c>
      <c r="I95" s="141" t="s">
        <v>32</v>
      </c>
      <c r="J95" s="141" t="s">
        <v>90</v>
      </c>
      <c r="K95" s="139">
        <f t="shared" si="5"/>
        <v>1</v>
      </c>
      <c r="L95" s="142">
        <f>IF(RawData[[#This Row],[Paid/Unpaid]]="Paid", IF(VALUE($E95)&gt;VALUE($D$3),$K95* 10000,$K95* 8000), 0)</f>
        <v>8000</v>
      </c>
      <c r="M95" s="53" t="s">
        <v>146</v>
      </c>
    </row>
    <row r="96" spans="1:13" ht="12.75" customHeight="1" x14ac:dyDescent="0.3">
      <c r="A96" s="143" t="s">
        <v>80</v>
      </c>
      <c r="B96" s="139" t="str">
        <f>IFERROR(VLOOKUP($A96, NameDesignation[], 2,FALSE), " ")</f>
        <v>Former Independent Director</v>
      </c>
      <c r="C96" s="139" t="s">
        <v>29</v>
      </c>
      <c r="D96" s="139">
        <v>428</v>
      </c>
      <c r="E96" s="140">
        <v>43396</v>
      </c>
      <c r="F96" s="139" t="str">
        <f t="shared" si="3"/>
        <v>Q4-18</v>
      </c>
      <c r="G96" s="140" t="str">
        <f t="shared" si="4"/>
        <v>Oct'18</v>
      </c>
      <c r="H96" s="140" t="str">
        <f>TEXT(RawData[[#This Row],[Date]], "YYYY")</f>
        <v>2018</v>
      </c>
      <c r="I96" s="141" t="s">
        <v>32</v>
      </c>
      <c r="J96" s="141" t="s">
        <v>90</v>
      </c>
      <c r="K96" s="139">
        <f t="shared" si="5"/>
        <v>1</v>
      </c>
      <c r="L96" s="142">
        <f>IF(RawData[[#This Row],[Paid/Unpaid]]="Paid", IF(VALUE($E96)&gt;VALUE($D$3),$K96* 10000,$K96* 8000), 0)</f>
        <v>8000</v>
      </c>
      <c r="M96" s="53" t="s">
        <v>146</v>
      </c>
    </row>
    <row r="97" spans="1:13" ht="12.75" customHeight="1" x14ac:dyDescent="0.3">
      <c r="A97" s="143" t="s">
        <v>80</v>
      </c>
      <c r="B97" s="139" t="str">
        <f>IFERROR(VLOOKUP($A97, NameDesignation[], 2,FALSE), " ")</f>
        <v>Former Independent Director</v>
      </c>
      <c r="C97" s="139" t="s">
        <v>29</v>
      </c>
      <c r="D97" s="139">
        <v>430</v>
      </c>
      <c r="E97" s="140">
        <v>43422</v>
      </c>
      <c r="F97" s="139" t="str">
        <f t="shared" si="3"/>
        <v>Q4-18</v>
      </c>
      <c r="G97" s="140" t="str">
        <f t="shared" si="4"/>
        <v>Nov'18</v>
      </c>
      <c r="H97" s="140" t="str">
        <f>TEXT(RawData[[#This Row],[Date]], "YYYY")</f>
        <v>2018</v>
      </c>
      <c r="I97" s="141" t="s">
        <v>32</v>
      </c>
      <c r="J97" s="141" t="s">
        <v>90</v>
      </c>
      <c r="K97" s="139">
        <f t="shared" si="5"/>
        <v>1</v>
      </c>
      <c r="L97" s="142">
        <f>IF(RawData[[#This Row],[Paid/Unpaid]]="Paid", IF(VALUE($E97)&gt;VALUE($D$3),$K97* 10000,$K97* 8000), 0)</f>
        <v>8000</v>
      </c>
      <c r="M97" s="53" t="s">
        <v>146</v>
      </c>
    </row>
    <row r="98" spans="1:13" ht="12.75" customHeight="1" x14ac:dyDescent="0.3">
      <c r="A98" s="143" t="s">
        <v>80</v>
      </c>
      <c r="B98" s="139" t="str">
        <f>IFERROR(VLOOKUP($A98, NameDesignation[], 2,FALSE), " ")</f>
        <v>Former Independent Director</v>
      </c>
      <c r="C98" s="139" t="s">
        <v>29</v>
      </c>
      <c r="D98" s="139">
        <v>432</v>
      </c>
      <c r="E98" s="140">
        <v>43481</v>
      </c>
      <c r="F98" s="139" t="str">
        <f t="shared" si="3"/>
        <v>Q1-19</v>
      </c>
      <c r="G98" s="140" t="str">
        <f t="shared" si="4"/>
        <v>Jan'19</v>
      </c>
      <c r="H98" s="140" t="str">
        <f>TEXT(RawData[[#This Row],[Date]], "YYYY")</f>
        <v>2019</v>
      </c>
      <c r="I98" s="141" t="s">
        <v>32</v>
      </c>
      <c r="J98" s="141" t="s">
        <v>90</v>
      </c>
      <c r="K98" s="139">
        <f t="shared" si="5"/>
        <v>1</v>
      </c>
      <c r="L98" s="142">
        <f>IF(RawData[[#This Row],[Paid/Unpaid]]="Paid", IF(VALUE($E98)&gt;VALUE($D$3),$K98* 10000,$K98* 8000), 0)</f>
        <v>8000</v>
      </c>
      <c r="M98" s="53" t="s">
        <v>146</v>
      </c>
    </row>
    <row r="99" spans="1:13" ht="12.75" customHeight="1" x14ac:dyDescent="0.3">
      <c r="A99" s="143" t="s">
        <v>80</v>
      </c>
      <c r="B99" s="139" t="str">
        <f>IFERROR(VLOOKUP($A99, NameDesignation[], 2,FALSE), " ")</f>
        <v>Former Independent Director</v>
      </c>
      <c r="C99" s="139" t="s">
        <v>29</v>
      </c>
      <c r="D99" s="139">
        <v>433</v>
      </c>
      <c r="E99" s="140">
        <v>43515</v>
      </c>
      <c r="F99" s="139" t="str">
        <f t="shared" si="3"/>
        <v>Q1-19</v>
      </c>
      <c r="G99" s="140" t="str">
        <f t="shared" si="4"/>
        <v>Feb'19</v>
      </c>
      <c r="H99" s="140" t="str">
        <f>TEXT(RawData[[#This Row],[Date]], "YYYY")</f>
        <v>2019</v>
      </c>
      <c r="I99" s="141" t="s">
        <v>32</v>
      </c>
      <c r="J99" s="141" t="s">
        <v>90</v>
      </c>
      <c r="K99" s="139">
        <f t="shared" si="5"/>
        <v>1</v>
      </c>
      <c r="L99" s="142">
        <f>IF(RawData[[#This Row],[Paid/Unpaid]]="Paid", IF(VALUE($E99)&gt;VALUE($D$3),$K99* 10000,$K99* 8000), 0)</f>
        <v>8000</v>
      </c>
      <c r="M99" s="53" t="s">
        <v>146</v>
      </c>
    </row>
    <row r="100" spans="1:13" ht="12.75" customHeight="1" x14ac:dyDescent="0.3">
      <c r="A100" s="143" t="s">
        <v>80</v>
      </c>
      <c r="B100" s="139" t="str">
        <f>IFERROR(VLOOKUP($A100, NameDesignation[], 2,FALSE), " ")</f>
        <v>Former Independent Director</v>
      </c>
      <c r="C100" s="139" t="s">
        <v>29</v>
      </c>
      <c r="D100" s="139">
        <v>434</v>
      </c>
      <c r="E100" s="140">
        <v>43530</v>
      </c>
      <c r="F100" s="139" t="str">
        <f t="shared" si="3"/>
        <v>Q1-19</v>
      </c>
      <c r="G100" s="140" t="str">
        <f t="shared" si="4"/>
        <v>Mar'19</v>
      </c>
      <c r="H100" s="140" t="str">
        <f>TEXT(RawData[[#This Row],[Date]], "YYYY")</f>
        <v>2019</v>
      </c>
      <c r="I100" s="141" t="s">
        <v>32</v>
      </c>
      <c r="J100" s="141" t="s">
        <v>90</v>
      </c>
      <c r="K100" s="139">
        <f t="shared" si="5"/>
        <v>1</v>
      </c>
      <c r="L100" s="142">
        <f>IF(RawData[[#This Row],[Paid/Unpaid]]="Paid", IF(VALUE($E100)&gt;VALUE($D$3),$K100* 10000,$K100* 8000), 0)</f>
        <v>8000</v>
      </c>
      <c r="M100" s="53" t="s">
        <v>146</v>
      </c>
    </row>
    <row r="101" spans="1:13" ht="12.75" customHeight="1" x14ac:dyDescent="0.3">
      <c r="A101" s="143" t="s">
        <v>80</v>
      </c>
      <c r="B101" s="139" t="str">
        <f>IFERROR(VLOOKUP($A101, NameDesignation[], 2,FALSE), " ")</f>
        <v>Former Independent Director</v>
      </c>
      <c r="C101" s="139" t="s">
        <v>29</v>
      </c>
      <c r="D101" s="139">
        <v>435</v>
      </c>
      <c r="E101" s="140">
        <v>43557</v>
      </c>
      <c r="F101" s="139" t="str">
        <f t="shared" si="3"/>
        <v>Q2-19</v>
      </c>
      <c r="G101" s="140" t="str">
        <f t="shared" si="4"/>
        <v>Apr'19</v>
      </c>
      <c r="H101" s="140" t="str">
        <f>TEXT(RawData[[#This Row],[Date]], "YYYY")</f>
        <v>2019</v>
      </c>
      <c r="I101" s="141" t="s">
        <v>32</v>
      </c>
      <c r="J101" s="141" t="s">
        <v>90</v>
      </c>
      <c r="K101" s="139">
        <f t="shared" si="5"/>
        <v>1</v>
      </c>
      <c r="L101" s="142">
        <f>IF(RawData[[#This Row],[Paid/Unpaid]]="Paid", IF(VALUE($E101)&gt;VALUE($D$3),$K101* 10000,$K101* 8000), 0)</f>
        <v>8000</v>
      </c>
      <c r="M101" s="53" t="s">
        <v>146</v>
      </c>
    </row>
    <row r="102" spans="1:13" ht="12.75" customHeight="1" x14ac:dyDescent="0.3">
      <c r="A102" s="143" t="s">
        <v>80</v>
      </c>
      <c r="B102" s="139" t="str">
        <f>IFERROR(VLOOKUP($A102, NameDesignation[], 2,FALSE), " ")</f>
        <v>Former Independent Director</v>
      </c>
      <c r="C102" s="139" t="s">
        <v>29</v>
      </c>
      <c r="D102" s="139">
        <v>436</v>
      </c>
      <c r="E102" s="140">
        <v>43585</v>
      </c>
      <c r="F102" s="139" t="str">
        <f t="shared" si="3"/>
        <v>Q2-19</v>
      </c>
      <c r="G102" s="140" t="str">
        <f t="shared" si="4"/>
        <v>Apr'19</v>
      </c>
      <c r="H102" s="140" t="str">
        <f>TEXT(RawData[[#This Row],[Date]], "YYYY")</f>
        <v>2019</v>
      </c>
      <c r="I102" s="141" t="s">
        <v>32</v>
      </c>
      <c r="J102" s="141" t="s">
        <v>90</v>
      </c>
      <c r="K102" s="139">
        <f t="shared" si="5"/>
        <v>1</v>
      </c>
      <c r="L102" s="142">
        <f>IF(RawData[[#This Row],[Paid/Unpaid]]="Paid", IF(VALUE($E102)&gt;VALUE($D$3),$K102* 10000,$K102* 8000), 0)</f>
        <v>8000</v>
      </c>
      <c r="M102" s="53" t="s">
        <v>146</v>
      </c>
    </row>
    <row r="103" spans="1:13" ht="12.75" customHeight="1" x14ac:dyDescent="0.3">
      <c r="A103" s="71" t="s">
        <v>7</v>
      </c>
      <c r="B103" s="139" t="str">
        <f>IFERROR(VLOOKUP($A103, NameDesignation[], 2,FALSE), " ")</f>
        <v>Former Director</v>
      </c>
      <c r="C103" s="139" t="s">
        <v>29</v>
      </c>
      <c r="D103" s="139">
        <v>446</v>
      </c>
      <c r="E103" s="140">
        <v>43856</v>
      </c>
      <c r="F103" s="139" t="str">
        <f t="shared" si="3"/>
        <v>Q1-20</v>
      </c>
      <c r="G103" s="140" t="str">
        <f t="shared" si="4"/>
        <v>Jan'20</v>
      </c>
      <c r="H103" s="140" t="str">
        <f>TEXT(RawData[[#This Row],[Date]], "YYYY")</f>
        <v>2020</v>
      </c>
      <c r="I103" s="141" t="s">
        <v>32</v>
      </c>
      <c r="J103" s="141" t="s">
        <v>90</v>
      </c>
      <c r="K103" s="139">
        <f t="shared" si="5"/>
        <v>1</v>
      </c>
      <c r="L103" s="142">
        <f>IF(RawData[[#This Row],[Paid/Unpaid]]="Paid", IF(VALUE($E103)&gt;VALUE($D$3),$K103* 10000,$K103* 8000), 0)</f>
        <v>8000</v>
      </c>
      <c r="M103" s="53" t="s">
        <v>146</v>
      </c>
    </row>
    <row r="104" spans="1:13" ht="12.75" customHeight="1" x14ac:dyDescent="0.3">
      <c r="A104" s="71" t="s">
        <v>8</v>
      </c>
      <c r="B104" s="139" t="str">
        <f>IFERROR(VLOOKUP($A104, NameDesignation[], 2,FALSE), " ")</f>
        <v>Former Vice-Chairman</v>
      </c>
      <c r="C104" s="139" t="s">
        <v>29</v>
      </c>
      <c r="D104" s="139">
        <v>446</v>
      </c>
      <c r="E104" s="140">
        <v>43856</v>
      </c>
      <c r="F104" s="139" t="str">
        <f t="shared" si="3"/>
        <v>Q1-20</v>
      </c>
      <c r="G104" s="140" t="str">
        <f t="shared" si="4"/>
        <v>Jan'20</v>
      </c>
      <c r="H104" s="140" t="str">
        <f>TEXT(RawData[[#This Row],[Date]], "YYYY")</f>
        <v>2020</v>
      </c>
      <c r="I104" s="141" t="s">
        <v>32</v>
      </c>
      <c r="J104" s="141" t="s">
        <v>90</v>
      </c>
      <c r="K104" s="139">
        <f t="shared" si="5"/>
        <v>1</v>
      </c>
      <c r="L104" s="142">
        <f>IF(RawData[[#This Row],[Paid/Unpaid]]="Paid", IF(VALUE($E104)&gt;VALUE($D$3),$K104* 10000,$K104* 8000), 0)</f>
        <v>8000</v>
      </c>
      <c r="M104" s="53" t="s">
        <v>146</v>
      </c>
    </row>
    <row r="105" spans="1:13" ht="12.75" customHeight="1" x14ac:dyDescent="0.3">
      <c r="A105" s="71" t="s">
        <v>9</v>
      </c>
      <c r="B105" s="139" t="str">
        <f>IFERROR(VLOOKUP($A105, NameDesignation[], 2,FALSE), " ")</f>
        <v>Former Director</v>
      </c>
      <c r="C105" s="139" t="s">
        <v>29</v>
      </c>
      <c r="D105" s="139">
        <v>446</v>
      </c>
      <c r="E105" s="140">
        <v>43856</v>
      </c>
      <c r="F105" s="139" t="str">
        <f t="shared" si="3"/>
        <v>Q1-20</v>
      </c>
      <c r="G105" s="140" t="str">
        <f t="shared" si="4"/>
        <v>Jan'20</v>
      </c>
      <c r="H105" s="140" t="str">
        <f>TEXT(RawData[[#This Row],[Date]], "YYYY")</f>
        <v>2020</v>
      </c>
      <c r="I105" s="141" t="s">
        <v>32</v>
      </c>
      <c r="J105" s="141" t="s">
        <v>91</v>
      </c>
      <c r="K105" s="139">
        <f t="shared" si="5"/>
        <v>0</v>
      </c>
      <c r="L105" s="142">
        <f>IF(RawData[[#This Row],[Paid/Unpaid]]="Paid", IF(VALUE($E105)&gt;VALUE($D$3),$K105* 10000,$K105* 8000), 0)</f>
        <v>0</v>
      </c>
      <c r="M105" s="53" t="s">
        <v>146</v>
      </c>
    </row>
    <row r="106" spans="1:13" ht="12.75" customHeight="1" x14ac:dyDescent="0.3">
      <c r="A106" s="71" t="s">
        <v>20</v>
      </c>
      <c r="B106" s="139" t="str">
        <f>IFERROR(VLOOKUP($A106, NameDesignation[], 2,FALSE), " ")</f>
        <v>Former Independent Director</v>
      </c>
      <c r="C106" s="139" t="s">
        <v>29</v>
      </c>
      <c r="D106" s="139">
        <v>446</v>
      </c>
      <c r="E106" s="140">
        <v>43856</v>
      </c>
      <c r="F106" s="139" t="str">
        <f t="shared" si="3"/>
        <v>Q1-20</v>
      </c>
      <c r="G106" s="140" t="str">
        <f t="shared" si="4"/>
        <v>Jan'20</v>
      </c>
      <c r="H106" s="140" t="str">
        <f>TEXT(RawData[[#This Row],[Date]], "YYYY")</f>
        <v>2020</v>
      </c>
      <c r="I106" s="141" t="s">
        <v>32</v>
      </c>
      <c r="J106" s="141" t="s">
        <v>90</v>
      </c>
      <c r="K106" s="139">
        <f t="shared" si="5"/>
        <v>1</v>
      </c>
      <c r="L106" s="142">
        <f>IF(RawData[[#This Row],[Paid/Unpaid]]="Paid", IF(VALUE($E106)&gt;VALUE($D$3),$K106* 10000,$K106* 8000), 0)</f>
        <v>8000</v>
      </c>
      <c r="M106" s="53" t="s">
        <v>146</v>
      </c>
    </row>
    <row r="107" spans="1:13" ht="12.75" customHeight="1" x14ac:dyDescent="0.3">
      <c r="A107" s="71" t="s">
        <v>49</v>
      </c>
      <c r="B107" s="139" t="str">
        <f>IFERROR(VLOOKUP($A107, NameDesignation[], 2,FALSE), " ")</f>
        <v>Former Director</v>
      </c>
      <c r="C107" s="139" t="s">
        <v>29</v>
      </c>
      <c r="D107" s="139">
        <v>446</v>
      </c>
      <c r="E107" s="140">
        <v>43856</v>
      </c>
      <c r="F107" s="139" t="str">
        <f t="shared" si="3"/>
        <v>Q1-20</v>
      </c>
      <c r="G107" s="140" t="str">
        <f t="shared" si="4"/>
        <v>Jan'20</v>
      </c>
      <c r="H107" s="140" t="str">
        <f>TEXT(RawData[[#This Row],[Date]], "YYYY")</f>
        <v>2020</v>
      </c>
      <c r="I107" s="141" t="s">
        <v>32</v>
      </c>
      <c r="J107" s="141" t="s">
        <v>90</v>
      </c>
      <c r="K107" s="139">
        <f t="shared" si="5"/>
        <v>1</v>
      </c>
      <c r="L107" s="142">
        <f>IF(RawData[[#This Row],[Paid/Unpaid]]="Paid", IF(VALUE($E107)&gt;VALUE($D$3),$K107* 10000,$K107* 8000), 0)</f>
        <v>8000</v>
      </c>
      <c r="M107" s="53" t="s">
        <v>146</v>
      </c>
    </row>
    <row r="108" spans="1:13" ht="12.75" customHeight="1" x14ac:dyDescent="0.3">
      <c r="A108" s="71" t="s">
        <v>11</v>
      </c>
      <c r="B108" s="139" t="str">
        <f>IFERROR(VLOOKUP($A108, NameDesignation[], 2,FALSE), " ")</f>
        <v>Former Director</v>
      </c>
      <c r="C108" s="139" t="s">
        <v>29</v>
      </c>
      <c r="D108" s="139">
        <v>446</v>
      </c>
      <c r="E108" s="140">
        <v>43856</v>
      </c>
      <c r="F108" s="139" t="str">
        <f t="shared" si="3"/>
        <v>Q1-20</v>
      </c>
      <c r="G108" s="140" t="str">
        <f t="shared" si="4"/>
        <v>Jan'20</v>
      </c>
      <c r="H108" s="140" t="str">
        <f>TEXT(RawData[[#This Row],[Date]], "YYYY")</f>
        <v>2020</v>
      </c>
      <c r="I108" s="141" t="s">
        <v>32</v>
      </c>
      <c r="J108" s="141" t="s">
        <v>90</v>
      </c>
      <c r="K108" s="139">
        <f t="shared" si="5"/>
        <v>1</v>
      </c>
      <c r="L108" s="142">
        <f>IF(RawData[[#This Row],[Paid/Unpaid]]="Paid", IF(VALUE($E108)&gt;VALUE($D$3),$K108* 10000,$K108* 8000), 0)</f>
        <v>8000</v>
      </c>
      <c r="M108" s="53" t="s">
        <v>146</v>
      </c>
    </row>
    <row r="109" spans="1:13" ht="12.75" customHeight="1" x14ac:dyDescent="0.3">
      <c r="A109" s="71" t="s">
        <v>12</v>
      </c>
      <c r="B109" s="139" t="str">
        <f>IFERROR(VLOOKUP($A109, NameDesignation[], 2,FALSE), " ")</f>
        <v>Former Director</v>
      </c>
      <c r="C109" s="139" t="s">
        <v>29</v>
      </c>
      <c r="D109" s="139">
        <v>446</v>
      </c>
      <c r="E109" s="140">
        <v>43856</v>
      </c>
      <c r="F109" s="139" t="str">
        <f t="shared" si="3"/>
        <v>Q1-20</v>
      </c>
      <c r="G109" s="140" t="str">
        <f t="shared" si="4"/>
        <v>Jan'20</v>
      </c>
      <c r="H109" s="140" t="str">
        <f>TEXT(RawData[[#This Row],[Date]], "YYYY")</f>
        <v>2020</v>
      </c>
      <c r="I109" s="141" t="s">
        <v>32</v>
      </c>
      <c r="J109" s="141" t="s">
        <v>90</v>
      </c>
      <c r="K109" s="139">
        <f t="shared" si="5"/>
        <v>1</v>
      </c>
      <c r="L109" s="142">
        <f>IF(RawData[[#This Row],[Paid/Unpaid]]="Paid", IF(VALUE($E109)&gt;VALUE($D$3),$K109* 10000,$K109* 8000), 0)</f>
        <v>8000</v>
      </c>
      <c r="M109" s="53" t="s">
        <v>146</v>
      </c>
    </row>
    <row r="110" spans="1:13" ht="12.75" customHeight="1" x14ac:dyDescent="0.3">
      <c r="A110" s="71" t="s">
        <v>137</v>
      </c>
      <c r="B110" s="139" t="str">
        <f>IFERROR(VLOOKUP($A110, NameDesignation[], 2,FALSE), " ")</f>
        <v>Former Director</v>
      </c>
      <c r="C110" s="139" t="s">
        <v>29</v>
      </c>
      <c r="D110" s="139">
        <v>446</v>
      </c>
      <c r="E110" s="140">
        <v>43856</v>
      </c>
      <c r="F110" s="139" t="str">
        <f t="shared" si="3"/>
        <v>Q1-20</v>
      </c>
      <c r="G110" s="140" t="str">
        <f t="shared" si="4"/>
        <v>Jan'20</v>
      </c>
      <c r="H110" s="140" t="str">
        <f>TEXT(RawData[[#This Row],[Date]], "YYYY")</f>
        <v>2020</v>
      </c>
      <c r="I110" s="141" t="s">
        <v>32</v>
      </c>
      <c r="J110" s="141" t="s">
        <v>90</v>
      </c>
      <c r="K110" s="139">
        <f t="shared" si="5"/>
        <v>1</v>
      </c>
      <c r="L110" s="142">
        <f>IF(RawData[[#This Row],[Paid/Unpaid]]="Paid", IF(VALUE($E110)&gt;VALUE($D$3),$K110* 10000,$K110* 8000), 0)</f>
        <v>8000</v>
      </c>
      <c r="M110" s="53" t="s">
        <v>146</v>
      </c>
    </row>
    <row r="111" spans="1:13" ht="12.75" customHeight="1" x14ac:dyDescent="0.3">
      <c r="A111" s="71" t="s">
        <v>13</v>
      </c>
      <c r="B111" s="139" t="str">
        <f>IFERROR(VLOOKUP($A111, NameDesignation[], 2,FALSE), " ")</f>
        <v>Former Director</v>
      </c>
      <c r="C111" s="139" t="s">
        <v>29</v>
      </c>
      <c r="D111" s="139">
        <v>446</v>
      </c>
      <c r="E111" s="140">
        <v>43856</v>
      </c>
      <c r="F111" s="139" t="str">
        <f t="shared" si="3"/>
        <v>Q1-20</v>
      </c>
      <c r="G111" s="140" t="str">
        <f t="shared" si="4"/>
        <v>Jan'20</v>
      </c>
      <c r="H111" s="140" t="str">
        <f>TEXT(RawData[[#This Row],[Date]], "YYYY")</f>
        <v>2020</v>
      </c>
      <c r="I111" s="141" t="s">
        <v>32</v>
      </c>
      <c r="J111" s="141" t="s">
        <v>91</v>
      </c>
      <c r="K111" s="139">
        <f t="shared" si="5"/>
        <v>0</v>
      </c>
      <c r="L111" s="142">
        <f>IF(RawData[[#This Row],[Paid/Unpaid]]="Paid", IF(VALUE($E111)&gt;VALUE($D$3),$K111* 10000,$K111* 8000), 0)</f>
        <v>0</v>
      </c>
      <c r="M111" s="53" t="s">
        <v>146</v>
      </c>
    </row>
    <row r="112" spans="1:13" ht="12.75" customHeight="1" x14ac:dyDescent="0.3">
      <c r="A112" s="71" t="s">
        <v>61</v>
      </c>
      <c r="B112" s="139" t="str">
        <f>IFERROR(VLOOKUP($A112, NameDesignation[], 2,FALSE), " ")</f>
        <v>Former Director</v>
      </c>
      <c r="C112" s="139" t="s">
        <v>29</v>
      </c>
      <c r="D112" s="139">
        <v>446</v>
      </c>
      <c r="E112" s="140">
        <v>43856</v>
      </c>
      <c r="F112" s="139" t="str">
        <f t="shared" si="3"/>
        <v>Q1-20</v>
      </c>
      <c r="G112" s="140" t="str">
        <f t="shared" si="4"/>
        <v>Jan'20</v>
      </c>
      <c r="H112" s="140" t="str">
        <f>TEXT(RawData[[#This Row],[Date]], "YYYY")</f>
        <v>2020</v>
      </c>
      <c r="I112" s="141" t="s">
        <v>32</v>
      </c>
      <c r="J112" s="141" t="s">
        <v>90</v>
      </c>
      <c r="K112" s="139">
        <f t="shared" si="5"/>
        <v>1</v>
      </c>
      <c r="L112" s="142">
        <f>IF(RawData[[#This Row],[Paid/Unpaid]]="Paid", IF(VALUE($E112)&gt;VALUE($D$3),$K112* 10000,$K112* 8000), 0)</f>
        <v>8000</v>
      </c>
      <c r="M112" s="53" t="s">
        <v>146</v>
      </c>
    </row>
    <row r="113" spans="1:13" ht="12.75" customHeight="1" x14ac:dyDescent="0.3">
      <c r="A113" s="71" t="s">
        <v>23</v>
      </c>
      <c r="B113" s="139" t="str">
        <f>IFERROR(VLOOKUP($A113, NameDesignation[], 2,FALSE), " ")</f>
        <v>Former Director</v>
      </c>
      <c r="C113" s="139" t="s">
        <v>29</v>
      </c>
      <c r="D113" s="139">
        <v>446</v>
      </c>
      <c r="E113" s="140">
        <v>43856</v>
      </c>
      <c r="F113" s="139" t="str">
        <f t="shared" si="3"/>
        <v>Q1-20</v>
      </c>
      <c r="G113" s="140" t="str">
        <f t="shared" si="4"/>
        <v>Jan'20</v>
      </c>
      <c r="H113" s="140" t="str">
        <f>TEXT(RawData[[#This Row],[Date]], "YYYY")</f>
        <v>2020</v>
      </c>
      <c r="I113" s="141" t="s">
        <v>32</v>
      </c>
      <c r="J113" s="141" t="s">
        <v>90</v>
      </c>
      <c r="K113" s="139">
        <f t="shared" si="5"/>
        <v>1</v>
      </c>
      <c r="L113" s="142">
        <f>IF(RawData[[#This Row],[Paid/Unpaid]]="Paid", IF(VALUE($E113)&gt;VALUE($D$3),$K113* 10000,$K113* 8000), 0)</f>
        <v>8000</v>
      </c>
      <c r="M113" s="53" t="s">
        <v>146</v>
      </c>
    </row>
    <row r="114" spans="1:13" ht="12.75" customHeight="1" x14ac:dyDescent="0.3">
      <c r="A114" s="71" t="s">
        <v>24</v>
      </c>
      <c r="B114" s="139" t="str">
        <f>IFERROR(VLOOKUP($A114, NameDesignation[], 2,FALSE), " ")</f>
        <v>Former Director</v>
      </c>
      <c r="C114" s="139" t="s">
        <v>29</v>
      </c>
      <c r="D114" s="139">
        <v>446</v>
      </c>
      <c r="E114" s="140">
        <v>43856</v>
      </c>
      <c r="F114" s="139" t="str">
        <f t="shared" si="3"/>
        <v>Q1-20</v>
      </c>
      <c r="G114" s="140" t="str">
        <f t="shared" si="4"/>
        <v>Jan'20</v>
      </c>
      <c r="H114" s="140" t="str">
        <f>TEXT(RawData[[#This Row],[Date]], "YYYY")</f>
        <v>2020</v>
      </c>
      <c r="I114" s="141" t="s">
        <v>32</v>
      </c>
      <c r="J114" s="141" t="s">
        <v>90</v>
      </c>
      <c r="K114" s="139">
        <f t="shared" si="5"/>
        <v>1</v>
      </c>
      <c r="L114" s="142">
        <f>IF(RawData[[#This Row],[Paid/Unpaid]]="Paid", IF(VALUE($E114)&gt;VALUE($D$3),$K114* 10000,$K114* 8000), 0)</f>
        <v>8000</v>
      </c>
      <c r="M114" s="53" t="s">
        <v>146</v>
      </c>
    </row>
    <row r="115" spans="1:13" ht="12.75" customHeight="1" x14ac:dyDescent="0.3">
      <c r="A115" s="71" t="s">
        <v>21</v>
      </c>
      <c r="B115" s="139" t="str">
        <f>IFERROR(VLOOKUP($A115, NameDesignation[], 2,FALSE), " ")</f>
        <v>Former Independent Director</v>
      </c>
      <c r="C115" s="139" t="s">
        <v>29</v>
      </c>
      <c r="D115" s="139">
        <v>446</v>
      </c>
      <c r="E115" s="140">
        <v>43856</v>
      </c>
      <c r="F115" s="139" t="str">
        <f t="shared" si="3"/>
        <v>Q1-20</v>
      </c>
      <c r="G115" s="140" t="str">
        <f t="shared" si="4"/>
        <v>Jan'20</v>
      </c>
      <c r="H115" s="140" t="str">
        <f>TEXT(RawData[[#This Row],[Date]], "YYYY")</f>
        <v>2020</v>
      </c>
      <c r="I115" s="141" t="s">
        <v>32</v>
      </c>
      <c r="J115" s="141" t="s">
        <v>90</v>
      </c>
      <c r="K115" s="139">
        <f t="shared" si="5"/>
        <v>1</v>
      </c>
      <c r="L115" s="142">
        <f>IF(RawData[[#This Row],[Paid/Unpaid]]="Paid", IF(VALUE($E115)&gt;VALUE($D$3),$K115* 10000,$K115* 8000), 0)</f>
        <v>8000</v>
      </c>
      <c r="M115" s="53" t="s">
        <v>146</v>
      </c>
    </row>
    <row r="116" spans="1:13" ht="12.75" customHeight="1" x14ac:dyDescent="0.3">
      <c r="A116" s="71" t="s">
        <v>25</v>
      </c>
      <c r="B116" s="139" t="str">
        <f>IFERROR(VLOOKUP($A116, NameDesignation[], 2,FALSE), " ")</f>
        <v>Former Director</v>
      </c>
      <c r="C116" s="139" t="s">
        <v>29</v>
      </c>
      <c r="D116" s="139">
        <v>446</v>
      </c>
      <c r="E116" s="140">
        <v>43856</v>
      </c>
      <c r="F116" s="139" t="str">
        <f t="shared" si="3"/>
        <v>Q1-20</v>
      </c>
      <c r="G116" s="140" t="str">
        <f t="shared" si="4"/>
        <v>Jan'20</v>
      </c>
      <c r="H116" s="140" t="str">
        <f>TEXT(RawData[[#This Row],[Date]], "YYYY")</f>
        <v>2020</v>
      </c>
      <c r="I116" s="141" t="s">
        <v>32</v>
      </c>
      <c r="J116" s="141" t="s">
        <v>91</v>
      </c>
      <c r="K116" s="139">
        <f t="shared" si="5"/>
        <v>0</v>
      </c>
      <c r="L116" s="142">
        <f>IF(RawData[[#This Row],[Paid/Unpaid]]="Paid", IF(VALUE($E116)&gt;VALUE($D$3),$K116* 10000,$K116* 8000), 0)</f>
        <v>0</v>
      </c>
      <c r="M116" s="53" t="s">
        <v>146</v>
      </c>
    </row>
    <row r="117" spans="1:13" ht="12.75" customHeight="1" x14ac:dyDescent="0.3">
      <c r="A117" s="71" t="s">
        <v>50</v>
      </c>
      <c r="B117" s="139" t="str">
        <f>IFERROR(VLOOKUP($A117, NameDesignation[], 2,FALSE), " ")</f>
        <v>Former Director</v>
      </c>
      <c r="C117" s="139" t="s">
        <v>29</v>
      </c>
      <c r="D117" s="139">
        <v>446</v>
      </c>
      <c r="E117" s="140">
        <v>43856</v>
      </c>
      <c r="F117" s="139" t="str">
        <f t="shared" si="3"/>
        <v>Q1-20</v>
      </c>
      <c r="G117" s="140" t="str">
        <f t="shared" si="4"/>
        <v>Jan'20</v>
      </c>
      <c r="H117" s="140" t="str">
        <f>TEXT(RawData[[#This Row],[Date]], "YYYY")</f>
        <v>2020</v>
      </c>
      <c r="I117" s="141" t="s">
        <v>32</v>
      </c>
      <c r="J117" s="141" t="s">
        <v>90</v>
      </c>
      <c r="K117" s="139">
        <f t="shared" si="5"/>
        <v>1</v>
      </c>
      <c r="L117" s="142">
        <f>IF(RawData[[#This Row],[Paid/Unpaid]]="Paid", IF(VALUE($E117)&gt;VALUE($D$3),$K117* 10000,$K117* 8000), 0)</f>
        <v>8000</v>
      </c>
      <c r="M117" s="53" t="s">
        <v>146</v>
      </c>
    </row>
    <row r="118" spans="1:13" ht="12.75" customHeight="1" x14ac:dyDescent="0.3">
      <c r="A118" s="71" t="s">
        <v>51</v>
      </c>
      <c r="B118" s="139" t="str">
        <f>IFERROR(VLOOKUP($A118, NameDesignation[], 2,FALSE), " ")</f>
        <v>Former Director</v>
      </c>
      <c r="C118" s="139" t="s">
        <v>29</v>
      </c>
      <c r="D118" s="139">
        <v>446</v>
      </c>
      <c r="E118" s="140">
        <v>43856</v>
      </c>
      <c r="F118" s="139" t="str">
        <f t="shared" si="3"/>
        <v>Q1-20</v>
      </c>
      <c r="G118" s="140" t="str">
        <f t="shared" si="4"/>
        <v>Jan'20</v>
      </c>
      <c r="H118" s="140" t="str">
        <f>TEXT(RawData[[#This Row],[Date]], "YYYY")</f>
        <v>2020</v>
      </c>
      <c r="I118" s="141" t="s">
        <v>32</v>
      </c>
      <c r="J118" s="141" t="s">
        <v>90</v>
      </c>
      <c r="K118" s="139">
        <f t="shared" si="5"/>
        <v>1</v>
      </c>
      <c r="L118" s="142">
        <f>IF(RawData[[#This Row],[Paid/Unpaid]]="Paid", IF(VALUE($E118)&gt;VALUE($D$3),$K118* 10000,$K118* 8000), 0)</f>
        <v>8000</v>
      </c>
      <c r="M118" s="53" t="s">
        <v>146</v>
      </c>
    </row>
    <row r="119" spans="1:13" ht="12.75" customHeight="1" x14ac:dyDescent="0.3">
      <c r="A119" s="71" t="s">
        <v>27</v>
      </c>
      <c r="B119" s="139" t="str">
        <f>IFERROR(VLOOKUP($A119, NameDesignation[], 2,FALSE), " ")</f>
        <v>Former Director</v>
      </c>
      <c r="C119" s="139" t="s">
        <v>29</v>
      </c>
      <c r="D119" s="139">
        <v>446</v>
      </c>
      <c r="E119" s="140">
        <v>43856</v>
      </c>
      <c r="F119" s="139" t="str">
        <f t="shared" si="3"/>
        <v>Q1-20</v>
      </c>
      <c r="G119" s="140" t="str">
        <f t="shared" si="4"/>
        <v>Jan'20</v>
      </c>
      <c r="H119" s="140" t="str">
        <f>TEXT(RawData[[#This Row],[Date]], "YYYY")</f>
        <v>2020</v>
      </c>
      <c r="I119" s="141" t="s">
        <v>32</v>
      </c>
      <c r="J119" s="141" t="s">
        <v>90</v>
      </c>
      <c r="K119" s="139">
        <f t="shared" si="5"/>
        <v>1</v>
      </c>
      <c r="L119" s="142">
        <f>IF(RawData[[#This Row],[Paid/Unpaid]]="Paid", IF(VALUE($E119)&gt;VALUE($D$3),$K119* 10000,$K119* 8000), 0)</f>
        <v>8000</v>
      </c>
      <c r="M119" s="53" t="s">
        <v>146</v>
      </c>
    </row>
    <row r="120" spans="1:13" ht="12.75" customHeight="1" x14ac:dyDescent="0.3">
      <c r="A120" s="71" t="s">
        <v>18</v>
      </c>
      <c r="B120" s="139" t="str">
        <f>IFERROR(VLOOKUP($A120, NameDesignation[], 2,FALSE), " ")</f>
        <v>Former Independent Director</v>
      </c>
      <c r="C120" s="139" t="s">
        <v>29</v>
      </c>
      <c r="D120" s="139">
        <v>446</v>
      </c>
      <c r="E120" s="140">
        <v>43856</v>
      </c>
      <c r="F120" s="139" t="str">
        <f t="shared" si="3"/>
        <v>Q1-20</v>
      </c>
      <c r="G120" s="140" t="str">
        <f t="shared" si="4"/>
        <v>Jan'20</v>
      </c>
      <c r="H120" s="140" t="str">
        <f>TEXT(RawData[[#This Row],[Date]], "YYYY")</f>
        <v>2020</v>
      </c>
      <c r="I120" s="141" t="s">
        <v>32</v>
      </c>
      <c r="J120" s="141" t="s">
        <v>91</v>
      </c>
      <c r="K120" s="139">
        <f t="shared" si="5"/>
        <v>0</v>
      </c>
      <c r="L120" s="142">
        <f>IF(RawData[[#This Row],[Paid/Unpaid]]="Paid", IF(VALUE($E120)&gt;VALUE($D$3),$K120* 10000,$K120* 8000), 0)</f>
        <v>0</v>
      </c>
      <c r="M120" s="53" t="s">
        <v>146</v>
      </c>
    </row>
    <row r="121" spans="1:13" ht="12.75" customHeight="1" x14ac:dyDescent="0.3">
      <c r="A121" s="71" t="s">
        <v>28</v>
      </c>
      <c r="B121" s="139" t="str">
        <f>IFERROR(VLOOKUP($A121, NameDesignation[], 2,FALSE), " ")</f>
        <v>Former Director</v>
      </c>
      <c r="C121" s="139" t="s">
        <v>29</v>
      </c>
      <c r="D121" s="139">
        <v>446</v>
      </c>
      <c r="E121" s="140">
        <v>43856</v>
      </c>
      <c r="F121" s="139" t="str">
        <f t="shared" si="3"/>
        <v>Q1-20</v>
      </c>
      <c r="G121" s="140" t="str">
        <f t="shared" si="4"/>
        <v>Jan'20</v>
      </c>
      <c r="H121" s="140" t="str">
        <f>TEXT(RawData[[#This Row],[Date]], "YYYY")</f>
        <v>2020</v>
      </c>
      <c r="I121" s="141" t="s">
        <v>32</v>
      </c>
      <c r="J121" s="141" t="s">
        <v>90</v>
      </c>
      <c r="K121" s="139">
        <f t="shared" si="5"/>
        <v>1</v>
      </c>
      <c r="L121" s="142">
        <f>IF(RawData[[#This Row],[Paid/Unpaid]]="Paid", IF(VALUE($E121)&gt;VALUE($D$3),$K121* 10000,$K121* 8000), 0)</f>
        <v>8000</v>
      </c>
      <c r="M121" s="53" t="s">
        <v>146</v>
      </c>
    </row>
    <row r="122" spans="1:13" ht="12.75" customHeight="1" x14ac:dyDescent="0.3">
      <c r="A122" s="143" t="s">
        <v>35</v>
      </c>
      <c r="B122" s="139" t="str">
        <f>IFERROR(VLOOKUP($A122, NameDesignation[], 2,FALSE), " ")</f>
        <v>Former Managing Director &amp; CEO</v>
      </c>
      <c r="C122" s="139" t="s">
        <v>29</v>
      </c>
      <c r="D122" s="139">
        <v>446</v>
      </c>
      <c r="E122" s="140">
        <v>43856</v>
      </c>
      <c r="F122" s="139" t="str">
        <f t="shared" si="3"/>
        <v>Q1-20</v>
      </c>
      <c r="G122" s="140" t="str">
        <f t="shared" si="4"/>
        <v>Jan'20</v>
      </c>
      <c r="H122" s="140" t="str">
        <f>TEXT(RawData[[#This Row],[Date]], "YYYY")</f>
        <v>2020</v>
      </c>
      <c r="I122" s="141" t="s">
        <v>32</v>
      </c>
      <c r="J122" s="141" t="s">
        <v>90</v>
      </c>
      <c r="K122" s="139">
        <f t="shared" si="5"/>
        <v>1</v>
      </c>
      <c r="L122" s="142">
        <f>IF(RawData[[#This Row],[Paid/Unpaid]]="Paid", IF(VALUE($E122)&gt;VALUE($D$3),$K122* 10000,$K122* 8000), 0)</f>
        <v>8000</v>
      </c>
      <c r="M122" s="53" t="s">
        <v>146</v>
      </c>
    </row>
    <row r="123" spans="1:13" ht="12.75" customHeight="1" x14ac:dyDescent="0.3">
      <c r="A123" s="71" t="s">
        <v>9</v>
      </c>
      <c r="B123" s="139" t="str">
        <f>IFERROR(VLOOKUP($A123, NameDesignation[], 2,FALSE), " ")</f>
        <v>Former Director</v>
      </c>
      <c r="C123" s="139" t="s">
        <v>30</v>
      </c>
      <c r="D123" s="139">
        <v>433</v>
      </c>
      <c r="E123" s="140">
        <v>43857</v>
      </c>
      <c r="F123" s="139" t="str">
        <f t="shared" si="3"/>
        <v>Q1-20</v>
      </c>
      <c r="G123" s="140" t="str">
        <f t="shared" si="4"/>
        <v>Jan'20</v>
      </c>
      <c r="H123" s="140" t="str">
        <f>TEXT(RawData[[#This Row],[Date]], "YYYY")</f>
        <v>2020</v>
      </c>
      <c r="I123" s="141" t="s">
        <v>32</v>
      </c>
      <c r="J123" s="141" t="s">
        <v>91</v>
      </c>
      <c r="K123" s="139">
        <f t="shared" si="5"/>
        <v>0</v>
      </c>
      <c r="L123" s="142">
        <f>IF(RawData[[#This Row],[Paid/Unpaid]]="Paid", IF(VALUE($E123)&gt;VALUE($D$3),$K123* 10000,$K123* 8000), 0)</f>
        <v>0</v>
      </c>
      <c r="M123" s="53" t="s">
        <v>146</v>
      </c>
    </row>
    <row r="124" spans="1:13" ht="12.75" customHeight="1" x14ac:dyDescent="0.3">
      <c r="A124" s="71" t="s">
        <v>8</v>
      </c>
      <c r="B124" s="139" t="str">
        <f>IFERROR(VLOOKUP($A124, NameDesignation[], 2,FALSE), " ")</f>
        <v>Former Vice-Chairman</v>
      </c>
      <c r="C124" s="139" t="s">
        <v>30</v>
      </c>
      <c r="D124" s="139">
        <v>433</v>
      </c>
      <c r="E124" s="140">
        <v>43857</v>
      </c>
      <c r="F124" s="139" t="str">
        <f t="shared" si="3"/>
        <v>Q1-20</v>
      </c>
      <c r="G124" s="140" t="str">
        <f t="shared" si="4"/>
        <v>Jan'20</v>
      </c>
      <c r="H124" s="140" t="str">
        <f>TEXT(RawData[[#This Row],[Date]], "YYYY")</f>
        <v>2020</v>
      </c>
      <c r="I124" s="141" t="s">
        <v>32</v>
      </c>
      <c r="J124" s="141" t="s">
        <v>90</v>
      </c>
      <c r="K124" s="139">
        <f t="shared" si="5"/>
        <v>1</v>
      </c>
      <c r="L124" s="142">
        <f>IF(RawData[[#This Row],[Paid/Unpaid]]="Paid", IF(VALUE($E124)&gt;VALUE($D$3),$K124* 10000,$K124* 8000), 0)</f>
        <v>8000</v>
      </c>
      <c r="M124" s="53" t="s">
        <v>146</v>
      </c>
    </row>
    <row r="125" spans="1:13" ht="12.75" customHeight="1" x14ac:dyDescent="0.3">
      <c r="A125" s="71" t="s">
        <v>49</v>
      </c>
      <c r="B125" s="139" t="str">
        <f>IFERROR(VLOOKUP($A125, NameDesignation[], 2,FALSE), " ")</f>
        <v>Former Director</v>
      </c>
      <c r="C125" s="139" t="s">
        <v>30</v>
      </c>
      <c r="D125" s="139">
        <v>433</v>
      </c>
      <c r="E125" s="140">
        <v>43857</v>
      </c>
      <c r="F125" s="139" t="str">
        <f t="shared" si="3"/>
        <v>Q1-20</v>
      </c>
      <c r="G125" s="140" t="str">
        <f t="shared" si="4"/>
        <v>Jan'20</v>
      </c>
      <c r="H125" s="140" t="str">
        <f>TEXT(RawData[[#This Row],[Date]], "YYYY")</f>
        <v>2020</v>
      </c>
      <c r="I125" s="141" t="s">
        <v>32</v>
      </c>
      <c r="J125" s="141" t="s">
        <v>90</v>
      </c>
      <c r="K125" s="139">
        <f t="shared" si="5"/>
        <v>1</v>
      </c>
      <c r="L125" s="142">
        <f>IF(RawData[[#This Row],[Paid/Unpaid]]="Paid", IF(VALUE($E125)&gt;VALUE($D$3),$K125* 10000,$K125* 8000), 0)</f>
        <v>8000</v>
      </c>
      <c r="M125" s="53" t="s">
        <v>146</v>
      </c>
    </row>
    <row r="126" spans="1:13" ht="12.75" customHeight="1" x14ac:dyDescent="0.3">
      <c r="A126" s="71" t="s">
        <v>11</v>
      </c>
      <c r="B126" s="139" t="str">
        <f>IFERROR(VLOOKUP($A126, NameDesignation[], 2,FALSE), " ")</f>
        <v>Former Director</v>
      </c>
      <c r="C126" s="139" t="s">
        <v>30</v>
      </c>
      <c r="D126" s="139">
        <v>433</v>
      </c>
      <c r="E126" s="140">
        <v>43857</v>
      </c>
      <c r="F126" s="139" t="str">
        <f t="shared" si="3"/>
        <v>Q1-20</v>
      </c>
      <c r="G126" s="140" t="str">
        <f t="shared" si="4"/>
        <v>Jan'20</v>
      </c>
      <c r="H126" s="140" t="str">
        <f>TEXT(RawData[[#This Row],[Date]], "YYYY")</f>
        <v>2020</v>
      </c>
      <c r="I126" s="141" t="s">
        <v>32</v>
      </c>
      <c r="J126" s="141" t="s">
        <v>90</v>
      </c>
      <c r="K126" s="139">
        <f t="shared" si="5"/>
        <v>1</v>
      </c>
      <c r="L126" s="142">
        <f>IF(RawData[[#This Row],[Paid/Unpaid]]="Paid", IF(VALUE($E126)&gt;VALUE($D$3),$K126* 10000,$K126* 8000), 0)</f>
        <v>8000</v>
      </c>
      <c r="M126" s="53" t="s">
        <v>146</v>
      </c>
    </row>
    <row r="127" spans="1:13" ht="12.75" customHeight="1" x14ac:dyDescent="0.3">
      <c r="A127" s="71" t="s">
        <v>13</v>
      </c>
      <c r="B127" s="139" t="str">
        <f>IFERROR(VLOOKUP($A127, NameDesignation[], 2,FALSE), " ")</f>
        <v>Former Director</v>
      </c>
      <c r="C127" s="139" t="s">
        <v>30</v>
      </c>
      <c r="D127" s="139">
        <v>433</v>
      </c>
      <c r="E127" s="140">
        <v>43857</v>
      </c>
      <c r="F127" s="139" t="str">
        <f t="shared" si="3"/>
        <v>Q1-20</v>
      </c>
      <c r="G127" s="140" t="str">
        <f t="shared" si="4"/>
        <v>Jan'20</v>
      </c>
      <c r="H127" s="140" t="str">
        <f>TEXT(RawData[[#This Row],[Date]], "YYYY")</f>
        <v>2020</v>
      </c>
      <c r="I127" s="141" t="s">
        <v>32</v>
      </c>
      <c r="J127" s="141" t="s">
        <v>91</v>
      </c>
      <c r="K127" s="139">
        <f t="shared" si="5"/>
        <v>0</v>
      </c>
      <c r="L127" s="142">
        <f>IF(RawData[[#This Row],[Paid/Unpaid]]="Paid", IF(VALUE($E127)&gt;VALUE($D$3),$K127* 10000,$K127* 8000), 0)</f>
        <v>0</v>
      </c>
      <c r="M127" s="53" t="s">
        <v>146</v>
      </c>
    </row>
    <row r="128" spans="1:13" ht="12.75" customHeight="1" x14ac:dyDescent="0.3">
      <c r="A128" s="71" t="s">
        <v>12</v>
      </c>
      <c r="B128" s="139" t="str">
        <f>IFERROR(VLOOKUP($A128, NameDesignation[], 2,FALSE), " ")</f>
        <v>Former Director</v>
      </c>
      <c r="C128" s="139" t="s">
        <v>30</v>
      </c>
      <c r="D128" s="139">
        <v>433</v>
      </c>
      <c r="E128" s="140">
        <v>43857</v>
      </c>
      <c r="F128" s="139" t="str">
        <f t="shared" si="3"/>
        <v>Q1-20</v>
      </c>
      <c r="G128" s="140" t="str">
        <f t="shared" si="4"/>
        <v>Jan'20</v>
      </c>
      <c r="H128" s="140" t="str">
        <f>TEXT(RawData[[#This Row],[Date]], "YYYY")</f>
        <v>2020</v>
      </c>
      <c r="I128" s="141" t="s">
        <v>32</v>
      </c>
      <c r="J128" s="141" t="s">
        <v>90</v>
      </c>
      <c r="K128" s="139">
        <f t="shared" si="5"/>
        <v>1</v>
      </c>
      <c r="L128" s="142">
        <f>IF(RawData[[#This Row],[Paid/Unpaid]]="Paid", IF(VALUE($E128)&gt;VALUE($D$3),$K128* 10000,$K128* 8000), 0)</f>
        <v>8000</v>
      </c>
      <c r="M128" s="53" t="s">
        <v>146</v>
      </c>
    </row>
    <row r="129" spans="1:13" ht="12.75" customHeight="1" x14ac:dyDescent="0.3">
      <c r="A129" s="71" t="s">
        <v>25</v>
      </c>
      <c r="B129" s="139" t="str">
        <f>IFERROR(VLOOKUP($A129, NameDesignation[], 2,FALSE), " ")</f>
        <v>Former Director</v>
      </c>
      <c r="C129" s="139" t="s">
        <v>30</v>
      </c>
      <c r="D129" s="139">
        <v>433</v>
      </c>
      <c r="E129" s="140">
        <v>43857</v>
      </c>
      <c r="F129" s="139" t="str">
        <f t="shared" si="3"/>
        <v>Q1-20</v>
      </c>
      <c r="G129" s="140" t="str">
        <f t="shared" si="4"/>
        <v>Jan'20</v>
      </c>
      <c r="H129" s="140" t="str">
        <f>TEXT(RawData[[#This Row],[Date]], "YYYY")</f>
        <v>2020</v>
      </c>
      <c r="I129" s="141" t="s">
        <v>32</v>
      </c>
      <c r="J129" s="141" t="s">
        <v>91</v>
      </c>
      <c r="K129" s="139">
        <f t="shared" si="5"/>
        <v>0</v>
      </c>
      <c r="L129" s="142">
        <f>IF(RawData[[#This Row],[Paid/Unpaid]]="Paid", IF(VALUE($E129)&gt;VALUE($D$3),$K129* 10000,$K129* 8000), 0)</f>
        <v>0</v>
      </c>
      <c r="M129" s="53" t="s">
        <v>146</v>
      </c>
    </row>
    <row r="130" spans="1:13" ht="12.75" customHeight="1" x14ac:dyDescent="0.3">
      <c r="A130" s="71" t="s">
        <v>7</v>
      </c>
      <c r="B130" s="139" t="str">
        <f>IFERROR(VLOOKUP($A130, NameDesignation[], 2,FALSE), " ")</f>
        <v>Former Director</v>
      </c>
      <c r="C130" s="139" t="s">
        <v>29</v>
      </c>
      <c r="D130" s="139">
        <v>447</v>
      </c>
      <c r="E130" s="140">
        <v>43877</v>
      </c>
      <c r="F130" s="139" t="str">
        <f t="shared" si="3"/>
        <v>Q1-20</v>
      </c>
      <c r="G130" s="140" t="str">
        <f t="shared" si="4"/>
        <v>Feb'20</v>
      </c>
      <c r="H130" s="140" t="str">
        <f>TEXT(RawData[[#This Row],[Date]], "YYYY")</f>
        <v>2020</v>
      </c>
      <c r="I130" s="141" t="s">
        <v>32</v>
      </c>
      <c r="J130" s="141" t="s">
        <v>90</v>
      </c>
      <c r="K130" s="139">
        <f t="shared" si="5"/>
        <v>1</v>
      </c>
      <c r="L130" s="142">
        <f>IF(RawData[[#This Row],[Paid/Unpaid]]="Paid", IF(VALUE($E130)&gt;VALUE($D$3),$K130* 10000,$K130* 8000), 0)</f>
        <v>8000</v>
      </c>
      <c r="M130" s="53" t="s">
        <v>146</v>
      </c>
    </row>
    <row r="131" spans="1:13" ht="12.75" customHeight="1" x14ac:dyDescent="0.3">
      <c r="A131" s="71" t="s">
        <v>8</v>
      </c>
      <c r="B131" s="139" t="str">
        <f>IFERROR(VLOOKUP($A131, NameDesignation[], 2,FALSE), " ")</f>
        <v>Former Vice-Chairman</v>
      </c>
      <c r="C131" s="139" t="s">
        <v>29</v>
      </c>
      <c r="D131" s="139">
        <v>447</v>
      </c>
      <c r="E131" s="140">
        <v>43877</v>
      </c>
      <c r="F131" s="139" t="str">
        <f t="shared" si="3"/>
        <v>Q1-20</v>
      </c>
      <c r="G131" s="140" t="str">
        <f t="shared" si="4"/>
        <v>Feb'20</v>
      </c>
      <c r="H131" s="140" t="str">
        <f>TEXT(RawData[[#This Row],[Date]], "YYYY")</f>
        <v>2020</v>
      </c>
      <c r="I131" s="141" t="s">
        <v>32</v>
      </c>
      <c r="J131" s="141" t="s">
        <v>90</v>
      </c>
      <c r="K131" s="139">
        <f t="shared" si="5"/>
        <v>1</v>
      </c>
      <c r="L131" s="142">
        <f>IF(RawData[[#This Row],[Paid/Unpaid]]="Paid", IF(VALUE($E131)&gt;VALUE($D$3),$K131* 10000,$K131* 8000), 0)</f>
        <v>8000</v>
      </c>
      <c r="M131" s="53" t="s">
        <v>146</v>
      </c>
    </row>
    <row r="132" spans="1:13" ht="12.75" customHeight="1" x14ac:dyDescent="0.3">
      <c r="A132" s="71" t="s">
        <v>9</v>
      </c>
      <c r="B132" s="139" t="str">
        <f>IFERROR(VLOOKUP($A132, NameDesignation[], 2,FALSE), " ")</f>
        <v>Former Director</v>
      </c>
      <c r="C132" s="139" t="s">
        <v>29</v>
      </c>
      <c r="D132" s="139">
        <v>447</v>
      </c>
      <c r="E132" s="140">
        <v>43877</v>
      </c>
      <c r="F132" s="139" t="str">
        <f t="shared" si="3"/>
        <v>Q1-20</v>
      </c>
      <c r="G132" s="140" t="str">
        <f t="shared" si="4"/>
        <v>Feb'20</v>
      </c>
      <c r="H132" s="140" t="str">
        <f>TEXT(RawData[[#This Row],[Date]], "YYYY")</f>
        <v>2020</v>
      </c>
      <c r="I132" s="141" t="s">
        <v>32</v>
      </c>
      <c r="J132" s="141" t="s">
        <v>91</v>
      </c>
      <c r="K132" s="139">
        <f t="shared" si="5"/>
        <v>0</v>
      </c>
      <c r="L132" s="142">
        <f>IF(RawData[[#This Row],[Paid/Unpaid]]="Paid", IF(VALUE($E132)&gt;VALUE($D$3),$K132* 10000,$K132* 8000), 0)</f>
        <v>0</v>
      </c>
      <c r="M132" s="53" t="s">
        <v>146</v>
      </c>
    </row>
    <row r="133" spans="1:13" ht="12.75" customHeight="1" x14ac:dyDescent="0.3">
      <c r="A133" s="71" t="s">
        <v>20</v>
      </c>
      <c r="B133" s="139" t="str">
        <f>IFERROR(VLOOKUP($A133, NameDesignation[], 2,FALSE), " ")</f>
        <v>Former Independent Director</v>
      </c>
      <c r="C133" s="139" t="s">
        <v>29</v>
      </c>
      <c r="D133" s="139">
        <v>447</v>
      </c>
      <c r="E133" s="140">
        <v>43877</v>
      </c>
      <c r="F133" s="139" t="str">
        <f t="shared" si="3"/>
        <v>Q1-20</v>
      </c>
      <c r="G133" s="140" t="str">
        <f t="shared" si="4"/>
        <v>Feb'20</v>
      </c>
      <c r="H133" s="140" t="str">
        <f>TEXT(RawData[[#This Row],[Date]], "YYYY")</f>
        <v>2020</v>
      </c>
      <c r="I133" s="141" t="s">
        <v>32</v>
      </c>
      <c r="J133" s="141" t="s">
        <v>90</v>
      </c>
      <c r="K133" s="139">
        <f t="shared" si="5"/>
        <v>1</v>
      </c>
      <c r="L133" s="142">
        <f>IF(RawData[[#This Row],[Paid/Unpaid]]="Paid", IF(VALUE($E133)&gt;VALUE($D$3),$K133* 10000,$K133* 8000), 0)</f>
        <v>8000</v>
      </c>
      <c r="M133" s="53" t="s">
        <v>146</v>
      </c>
    </row>
    <row r="134" spans="1:13" ht="12.75" customHeight="1" x14ac:dyDescent="0.3">
      <c r="A134" s="71" t="s">
        <v>49</v>
      </c>
      <c r="B134" s="139" t="str">
        <f>IFERROR(VLOOKUP($A134, NameDesignation[], 2,FALSE), " ")</f>
        <v>Former Director</v>
      </c>
      <c r="C134" s="139" t="s">
        <v>29</v>
      </c>
      <c r="D134" s="139">
        <v>447</v>
      </c>
      <c r="E134" s="140">
        <v>43877</v>
      </c>
      <c r="F134" s="139" t="str">
        <f t="shared" ref="F134:F197" si="6">CONCATENATE("Q", ROUNDUP(MONTH($E134)/3,0),"-",TEXT($E134, "yy"))</f>
        <v>Q1-20</v>
      </c>
      <c r="G134" s="140" t="str">
        <f t="shared" ref="G134:G197" si="7">CONCATENATE(TEXT($E134, "mmm"),"'", TEXT($E134, "yy"))</f>
        <v>Feb'20</v>
      </c>
      <c r="H134" s="140" t="str">
        <f>TEXT(RawData[[#This Row],[Date]], "YYYY")</f>
        <v>2020</v>
      </c>
      <c r="I134" s="141" t="s">
        <v>32</v>
      </c>
      <c r="J134" s="141" t="s">
        <v>90</v>
      </c>
      <c r="K134" s="139">
        <f t="shared" ref="K134:K197" si="8">IF($J134="Present", 1, 0)</f>
        <v>1</v>
      </c>
      <c r="L134" s="142">
        <f>IF(RawData[[#This Row],[Paid/Unpaid]]="Paid", IF(VALUE($E134)&gt;VALUE($D$3),$K134* 10000,$K134* 8000), 0)</f>
        <v>8000</v>
      </c>
      <c r="M134" s="53" t="s">
        <v>146</v>
      </c>
    </row>
    <row r="135" spans="1:13" ht="12.75" customHeight="1" x14ac:dyDescent="0.3">
      <c r="A135" s="71" t="s">
        <v>11</v>
      </c>
      <c r="B135" s="139" t="str">
        <f>IFERROR(VLOOKUP($A135, NameDesignation[], 2,FALSE), " ")</f>
        <v>Former Director</v>
      </c>
      <c r="C135" s="139" t="s">
        <v>29</v>
      </c>
      <c r="D135" s="139">
        <v>447</v>
      </c>
      <c r="E135" s="140">
        <v>43877</v>
      </c>
      <c r="F135" s="139" t="str">
        <f t="shared" si="6"/>
        <v>Q1-20</v>
      </c>
      <c r="G135" s="140" t="str">
        <f t="shared" si="7"/>
        <v>Feb'20</v>
      </c>
      <c r="H135" s="140" t="str">
        <f>TEXT(RawData[[#This Row],[Date]], "YYYY")</f>
        <v>2020</v>
      </c>
      <c r="I135" s="141" t="s">
        <v>32</v>
      </c>
      <c r="J135" s="141" t="s">
        <v>90</v>
      </c>
      <c r="K135" s="139">
        <f t="shared" si="8"/>
        <v>1</v>
      </c>
      <c r="L135" s="142">
        <f>IF(RawData[[#This Row],[Paid/Unpaid]]="Paid", IF(VALUE($E135)&gt;VALUE($D$3),$K135* 10000,$K135* 8000), 0)</f>
        <v>8000</v>
      </c>
      <c r="M135" s="53" t="s">
        <v>146</v>
      </c>
    </row>
    <row r="136" spans="1:13" ht="12.75" customHeight="1" x14ac:dyDescent="0.3">
      <c r="A136" s="71" t="s">
        <v>12</v>
      </c>
      <c r="B136" s="139" t="str">
        <f>IFERROR(VLOOKUP($A136, NameDesignation[], 2,FALSE), " ")</f>
        <v>Former Director</v>
      </c>
      <c r="C136" s="139" t="s">
        <v>29</v>
      </c>
      <c r="D136" s="139">
        <v>447</v>
      </c>
      <c r="E136" s="140">
        <v>43877</v>
      </c>
      <c r="F136" s="139" t="str">
        <f t="shared" si="6"/>
        <v>Q1-20</v>
      </c>
      <c r="G136" s="140" t="str">
        <f t="shared" si="7"/>
        <v>Feb'20</v>
      </c>
      <c r="H136" s="140" t="str">
        <f>TEXT(RawData[[#This Row],[Date]], "YYYY")</f>
        <v>2020</v>
      </c>
      <c r="I136" s="141" t="s">
        <v>32</v>
      </c>
      <c r="J136" s="141" t="s">
        <v>90</v>
      </c>
      <c r="K136" s="139">
        <f t="shared" si="8"/>
        <v>1</v>
      </c>
      <c r="L136" s="142">
        <f>IF(RawData[[#This Row],[Paid/Unpaid]]="Paid", IF(VALUE($E136)&gt;VALUE($D$3),$K136* 10000,$K136* 8000), 0)</f>
        <v>8000</v>
      </c>
      <c r="M136" s="53" t="s">
        <v>146</v>
      </c>
    </row>
    <row r="137" spans="1:13" ht="12.75" customHeight="1" x14ac:dyDescent="0.3">
      <c r="A137" s="71" t="s">
        <v>137</v>
      </c>
      <c r="B137" s="139" t="str">
        <f>IFERROR(VLOOKUP($A137, NameDesignation[], 2,FALSE), " ")</f>
        <v>Former Director</v>
      </c>
      <c r="C137" s="139" t="s">
        <v>29</v>
      </c>
      <c r="D137" s="139">
        <v>447</v>
      </c>
      <c r="E137" s="140">
        <v>43877</v>
      </c>
      <c r="F137" s="139" t="str">
        <f t="shared" si="6"/>
        <v>Q1-20</v>
      </c>
      <c r="G137" s="140" t="str">
        <f t="shared" si="7"/>
        <v>Feb'20</v>
      </c>
      <c r="H137" s="140" t="str">
        <f>TEXT(RawData[[#This Row],[Date]], "YYYY")</f>
        <v>2020</v>
      </c>
      <c r="I137" s="141" t="s">
        <v>32</v>
      </c>
      <c r="J137" s="141" t="s">
        <v>90</v>
      </c>
      <c r="K137" s="139">
        <f t="shared" si="8"/>
        <v>1</v>
      </c>
      <c r="L137" s="142">
        <f>IF(RawData[[#This Row],[Paid/Unpaid]]="Paid", IF(VALUE($E137)&gt;VALUE($D$3),$K137* 10000,$K137* 8000), 0)</f>
        <v>8000</v>
      </c>
      <c r="M137" s="53" t="s">
        <v>146</v>
      </c>
    </row>
    <row r="138" spans="1:13" ht="12.75" customHeight="1" x14ac:dyDescent="0.3">
      <c r="A138" s="71" t="s">
        <v>13</v>
      </c>
      <c r="B138" s="139" t="str">
        <f>IFERROR(VLOOKUP($A138, NameDesignation[], 2,FALSE), " ")</f>
        <v>Former Director</v>
      </c>
      <c r="C138" s="139" t="s">
        <v>29</v>
      </c>
      <c r="D138" s="139">
        <v>447</v>
      </c>
      <c r="E138" s="140">
        <v>43877</v>
      </c>
      <c r="F138" s="139" t="str">
        <f t="shared" si="6"/>
        <v>Q1-20</v>
      </c>
      <c r="G138" s="140" t="str">
        <f t="shared" si="7"/>
        <v>Feb'20</v>
      </c>
      <c r="H138" s="140" t="str">
        <f>TEXT(RawData[[#This Row],[Date]], "YYYY")</f>
        <v>2020</v>
      </c>
      <c r="I138" s="141" t="s">
        <v>32</v>
      </c>
      <c r="J138" s="141" t="s">
        <v>91</v>
      </c>
      <c r="K138" s="139">
        <f t="shared" si="8"/>
        <v>0</v>
      </c>
      <c r="L138" s="142">
        <f>IF(RawData[[#This Row],[Paid/Unpaid]]="Paid", IF(VALUE($E138)&gt;VALUE($D$3),$K138* 10000,$K138* 8000), 0)</f>
        <v>0</v>
      </c>
      <c r="M138" s="53" t="s">
        <v>146</v>
      </c>
    </row>
    <row r="139" spans="1:13" ht="12.75" customHeight="1" x14ac:dyDescent="0.3">
      <c r="A139" s="71" t="s">
        <v>61</v>
      </c>
      <c r="B139" s="139" t="str">
        <f>IFERROR(VLOOKUP($A139, NameDesignation[], 2,FALSE), " ")</f>
        <v>Former Director</v>
      </c>
      <c r="C139" s="139" t="s">
        <v>29</v>
      </c>
      <c r="D139" s="139">
        <v>447</v>
      </c>
      <c r="E139" s="140">
        <v>43877</v>
      </c>
      <c r="F139" s="139" t="str">
        <f t="shared" si="6"/>
        <v>Q1-20</v>
      </c>
      <c r="G139" s="140" t="str">
        <f t="shared" si="7"/>
        <v>Feb'20</v>
      </c>
      <c r="H139" s="140" t="str">
        <f>TEXT(RawData[[#This Row],[Date]], "YYYY")</f>
        <v>2020</v>
      </c>
      <c r="I139" s="141" t="s">
        <v>32</v>
      </c>
      <c r="J139" s="141" t="s">
        <v>90</v>
      </c>
      <c r="K139" s="139">
        <f t="shared" si="8"/>
        <v>1</v>
      </c>
      <c r="L139" s="142">
        <f>IF(RawData[[#This Row],[Paid/Unpaid]]="Paid", IF(VALUE($E139)&gt;VALUE($D$3),$K139* 10000,$K139* 8000), 0)</f>
        <v>8000</v>
      </c>
      <c r="M139" s="53" t="s">
        <v>146</v>
      </c>
    </row>
    <row r="140" spans="1:13" ht="12.75" customHeight="1" x14ac:dyDescent="0.3">
      <c r="A140" s="71" t="s">
        <v>23</v>
      </c>
      <c r="B140" s="139" t="str">
        <f>IFERROR(VLOOKUP($A140, NameDesignation[], 2,FALSE), " ")</f>
        <v>Former Director</v>
      </c>
      <c r="C140" s="139" t="s">
        <v>29</v>
      </c>
      <c r="D140" s="139">
        <v>447</v>
      </c>
      <c r="E140" s="140">
        <v>43877</v>
      </c>
      <c r="F140" s="139" t="str">
        <f t="shared" si="6"/>
        <v>Q1-20</v>
      </c>
      <c r="G140" s="140" t="str">
        <f t="shared" si="7"/>
        <v>Feb'20</v>
      </c>
      <c r="H140" s="140" t="str">
        <f>TEXT(RawData[[#This Row],[Date]], "YYYY")</f>
        <v>2020</v>
      </c>
      <c r="I140" s="141" t="s">
        <v>32</v>
      </c>
      <c r="J140" s="141" t="s">
        <v>90</v>
      </c>
      <c r="K140" s="139">
        <f t="shared" si="8"/>
        <v>1</v>
      </c>
      <c r="L140" s="142">
        <f>IF(RawData[[#This Row],[Paid/Unpaid]]="Paid", IF(VALUE($E140)&gt;VALUE($D$3),$K140* 10000,$K140* 8000), 0)</f>
        <v>8000</v>
      </c>
      <c r="M140" s="53" t="s">
        <v>146</v>
      </c>
    </row>
    <row r="141" spans="1:13" ht="12.75" customHeight="1" x14ac:dyDescent="0.3">
      <c r="A141" s="71" t="s">
        <v>24</v>
      </c>
      <c r="B141" s="139" t="str">
        <f>IFERROR(VLOOKUP($A141, NameDesignation[], 2,FALSE), " ")</f>
        <v>Former Director</v>
      </c>
      <c r="C141" s="139" t="s">
        <v>29</v>
      </c>
      <c r="D141" s="139">
        <v>447</v>
      </c>
      <c r="E141" s="140">
        <v>43877</v>
      </c>
      <c r="F141" s="139" t="str">
        <f t="shared" si="6"/>
        <v>Q1-20</v>
      </c>
      <c r="G141" s="140" t="str">
        <f t="shared" si="7"/>
        <v>Feb'20</v>
      </c>
      <c r="H141" s="140" t="str">
        <f>TEXT(RawData[[#This Row],[Date]], "YYYY")</f>
        <v>2020</v>
      </c>
      <c r="I141" s="141" t="s">
        <v>32</v>
      </c>
      <c r="J141" s="141" t="s">
        <v>90</v>
      </c>
      <c r="K141" s="139">
        <f t="shared" si="8"/>
        <v>1</v>
      </c>
      <c r="L141" s="142">
        <f>IF(RawData[[#This Row],[Paid/Unpaid]]="Paid", IF(VALUE($E141)&gt;VALUE($D$3),$K141* 10000,$K141* 8000), 0)</f>
        <v>8000</v>
      </c>
      <c r="M141" s="53" t="s">
        <v>146</v>
      </c>
    </row>
    <row r="142" spans="1:13" ht="12.75" customHeight="1" x14ac:dyDescent="0.3">
      <c r="A142" s="71" t="s">
        <v>21</v>
      </c>
      <c r="B142" s="139" t="str">
        <f>IFERROR(VLOOKUP($A142, NameDesignation[], 2,FALSE), " ")</f>
        <v>Former Independent Director</v>
      </c>
      <c r="C142" s="139" t="s">
        <v>29</v>
      </c>
      <c r="D142" s="139">
        <v>447</v>
      </c>
      <c r="E142" s="140">
        <v>43877</v>
      </c>
      <c r="F142" s="139" t="str">
        <f t="shared" si="6"/>
        <v>Q1-20</v>
      </c>
      <c r="G142" s="140" t="str">
        <f t="shared" si="7"/>
        <v>Feb'20</v>
      </c>
      <c r="H142" s="140" t="str">
        <f>TEXT(RawData[[#This Row],[Date]], "YYYY")</f>
        <v>2020</v>
      </c>
      <c r="I142" s="141" t="s">
        <v>32</v>
      </c>
      <c r="J142" s="141" t="s">
        <v>91</v>
      </c>
      <c r="K142" s="139">
        <f t="shared" si="8"/>
        <v>0</v>
      </c>
      <c r="L142" s="142">
        <f>IF(RawData[[#This Row],[Paid/Unpaid]]="Paid", IF(VALUE($E142)&gt;VALUE($D$3),$K142* 10000,$K142* 8000), 0)</f>
        <v>0</v>
      </c>
      <c r="M142" s="53" t="s">
        <v>146</v>
      </c>
    </row>
    <row r="143" spans="1:13" ht="12.75" customHeight="1" x14ac:dyDescent="0.3">
      <c r="A143" s="71" t="s">
        <v>25</v>
      </c>
      <c r="B143" s="139" t="str">
        <f>IFERROR(VLOOKUP($A143, NameDesignation[], 2,FALSE), " ")</f>
        <v>Former Director</v>
      </c>
      <c r="C143" s="139" t="s">
        <v>29</v>
      </c>
      <c r="D143" s="139">
        <v>447</v>
      </c>
      <c r="E143" s="140">
        <v>43877</v>
      </c>
      <c r="F143" s="139" t="str">
        <f t="shared" si="6"/>
        <v>Q1-20</v>
      </c>
      <c r="G143" s="140" t="str">
        <f t="shared" si="7"/>
        <v>Feb'20</v>
      </c>
      <c r="H143" s="140" t="str">
        <f>TEXT(RawData[[#This Row],[Date]], "YYYY")</f>
        <v>2020</v>
      </c>
      <c r="I143" s="141" t="s">
        <v>32</v>
      </c>
      <c r="J143" s="141" t="s">
        <v>90</v>
      </c>
      <c r="K143" s="139">
        <f t="shared" si="8"/>
        <v>1</v>
      </c>
      <c r="L143" s="142">
        <f>IF(RawData[[#This Row],[Paid/Unpaid]]="Paid", IF(VALUE($E143)&gt;VALUE($D$3),$K143* 10000,$K143* 8000), 0)</f>
        <v>8000</v>
      </c>
      <c r="M143" s="53" t="s">
        <v>146</v>
      </c>
    </row>
    <row r="144" spans="1:13" ht="12.75" customHeight="1" x14ac:dyDescent="0.3">
      <c r="A144" s="71" t="s">
        <v>50</v>
      </c>
      <c r="B144" s="139" t="str">
        <f>IFERROR(VLOOKUP($A144, NameDesignation[], 2,FALSE), " ")</f>
        <v>Former Director</v>
      </c>
      <c r="C144" s="139" t="s">
        <v>29</v>
      </c>
      <c r="D144" s="139">
        <v>447</v>
      </c>
      <c r="E144" s="140">
        <v>43877</v>
      </c>
      <c r="F144" s="139" t="str">
        <f t="shared" si="6"/>
        <v>Q1-20</v>
      </c>
      <c r="G144" s="140" t="str">
        <f t="shared" si="7"/>
        <v>Feb'20</v>
      </c>
      <c r="H144" s="140" t="str">
        <f>TEXT(RawData[[#This Row],[Date]], "YYYY")</f>
        <v>2020</v>
      </c>
      <c r="I144" s="141" t="s">
        <v>32</v>
      </c>
      <c r="J144" s="141" t="s">
        <v>90</v>
      </c>
      <c r="K144" s="139">
        <f t="shared" si="8"/>
        <v>1</v>
      </c>
      <c r="L144" s="142">
        <f>IF(RawData[[#This Row],[Paid/Unpaid]]="Paid", IF(VALUE($E144)&gt;VALUE($D$3),$K144* 10000,$K144* 8000), 0)</f>
        <v>8000</v>
      </c>
      <c r="M144" s="53" t="s">
        <v>146</v>
      </c>
    </row>
    <row r="145" spans="1:13" ht="12.75" customHeight="1" x14ac:dyDescent="0.3">
      <c r="A145" s="71" t="s">
        <v>51</v>
      </c>
      <c r="B145" s="139" t="str">
        <f>IFERROR(VLOOKUP($A145, NameDesignation[], 2,FALSE), " ")</f>
        <v>Former Director</v>
      </c>
      <c r="C145" s="139" t="s">
        <v>29</v>
      </c>
      <c r="D145" s="139">
        <v>447</v>
      </c>
      <c r="E145" s="140">
        <v>43877</v>
      </c>
      <c r="F145" s="139" t="str">
        <f t="shared" si="6"/>
        <v>Q1-20</v>
      </c>
      <c r="G145" s="140" t="str">
        <f t="shared" si="7"/>
        <v>Feb'20</v>
      </c>
      <c r="H145" s="140" t="str">
        <f>TEXT(RawData[[#This Row],[Date]], "YYYY")</f>
        <v>2020</v>
      </c>
      <c r="I145" s="141" t="s">
        <v>32</v>
      </c>
      <c r="J145" s="141" t="s">
        <v>90</v>
      </c>
      <c r="K145" s="139">
        <f t="shared" si="8"/>
        <v>1</v>
      </c>
      <c r="L145" s="142">
        <f>IF(RawData[[#This Row],[Paid/Unpaid]]="Paid", IF(VALUE($E145)&gt;VALUE($D$3),$K145* 10000,$K145* 8000), 0)</f>
        <v>8000</v>
      </c>
      <c r="M145" s="53" t="s">
        <v>146</v>
      </c>
    </row>
    <row r="146" spans="1:13" ht="12.75" customHeight="1" x14ac:dyDescent="0.3">
      <c r="A146" s="71" t="s">
        <v>27</v>
      </c>
      <c r="B146" s="139" t="str">
        <f>IFERROR(VLOOKUP($A146, NameDesignation[], 2,FALSE), " ")</f>
        <v>Former Director</v>
      </c>
      <c r="C146" s="139" t="s">
        <v>29</v>
      </c>
      <c r="D146" s="139">
        <v>447</v>
      </c>
      <c r="E146" s="140">
        <v>43877</v>
      </c>
      <c r="F146" s="139" t="str">
        <f t="shared" si="6"/>
        <v>Q1-20</v>
      </c>
      <c r="G146" s="140" t="str">
        <f t="shared" si="7"/>
        <v>Feb'20</v>
      </c>
      <c r="H146" s="140" t="str">
        <f>TEXT(RawData[[#This Row],[Date]], "YYYY")</f>
        <v>2020</v>
      </c>
      <c r="I146" s="141" t="s">
        <v>32</v>
      </c>
      <c r="J146" s="141" t="s">
        <v>90</v>
      </c>
      <c r="K146" s="139">
        <f t="shared" si="8"/>
        <v>1</v>
      </c>
      <c r="L146" s="142">
        <f>IF(RawData[[#This Row],[Paid/Unpaid]]="Paid", IF(VALUE($E146)&gt;VALUE($D$3),$K146* 10000,$K146* 8000), 0)</f>
        <v>8000</v>
      </c>
      <c r="M146" s="53" t="s">
        <v>146</v>
      </c>
    </row>
    <row r="147" spans="1:13" ht="12.75" customHeight="1" x14ac:dyDescent="0.3">
      <c r="A147" s="71" t="s">
        <v>18</v>
      </c>
      <c r="B147" s="139" t="str">
        <f>IFERROR(VLOOKUP($A147, NameDesignation[], 2,FALSE), " ")</f>
        <v>Former Independent Director</v>
      </c>
      <c r="C147" s="139" t="s">
        <v>29</v>
      </c>
      <c r="D147" s="139">
        <v>447</v>
      </c>
      <c r="E147" s="140">
        <v>43877</v>
      </c>
      <c r="F147" s="139" t="str">
        <f t="shared" si="6"/>
        <v>Q1-20</v>
      </c>
      <c r="G147" s="140" t="str">
        <f t="shared" si="7"/>
        <v>Feb'20</v>
      </c>
      <c r="H147" s="140" t="str">
        <f>TEXT(RawData[[#This Row],[Date]], "YYYY")</f>
        <v>2020</v>
      </c>
      <c r="I147" s="141" t="s">
        <v>32</v>
      </c>
      <c r="J147" s="141" t="s">
        <v>91</v>
      </c>
      <c r="K147" s="139">
        <f t="shared" si="8"/>
        <v>0</v>
      </c>
      <c r="L147" s="142">
        <f>IF(RawData[[#This Row],[Paid/Unpaid]]="Paid", IF(VALUE($E147)&gt;VALUE($D$3),$K147* 10000,$K147* 8000), 0)</f>
        <v>0</v>
      </c>
      <c r="M147" s="53" t="s">
        <v>146</v>
      </c>
    </row>
    <row r="148" spans="1:13" ht="12.75" customHeight="1" x14ac:dyDescent="0.3">
      <c r="A148" s="71" t="s">
        <v>28</v>
      </c>
      <c r="B148" s="139" t="str">
        <f>IFERROR(VLOOKUP($A148, NameDesignation[], 2,FALSE), " ")</f>
        <v>Former Director</v>
      </c>
      <c r="C148" s="139" t="s">
        <v>29</v>
      </c>
      <c r="D148" s="139">
        <v>447</v>
      </c>
      <c r="E148" s="140">
        <v>43877</v>
      </c>
      <c r="F148" s="139" t="str">
        <f t="shared" si="6"/>
        <v>Q1-20</v>
      </c>
      <c r="G148" s="140" t="str">
        <f t="shared" si="7"/>
        <v>Feb'20</v>
      </c>
      <c r="H148" s="140" t="str">
        <f>TEXT(RawData[[#This Row],[Date]], "YYYY")</f>
        <v>2020</v>
      </c>
      <c r="I148" s="141" t="s">
        <v>32</v>
      </c>
      <c r="J148" s="141" t="s">
        <v>90</v>
      </c>
      <c r="K148" s="139">
        <f t="shared" si="8"/>
        <v>1</v>
      </c>
      <c r="L148" s="142">
        <f>IF(RawData[[#This Row],[Paid/Unpaid]]="Paid", IF(VALUE($E148)&gt;VALUE($D$3),$K148* 10000,$K148* 8000), 0)</f>
        <v>8000</v>
      </c>
      <c r="M148" s="53" t="s">
        <v>146</v>
      </c>
    </row>
    <row r="149" spans="1:13" ht="12.75" customHeight="1" x14ac:dyDescent="0.3">
      <c r="A149" s="143" t="s">
        <v>35</v>
      </c>
      <c r="B149" s="139" t="str">
        <f>IFERROR(VLOOKUP($A149, NameDesignation[], 2,FALSE), " ")</f>
        <v>Former Managing Director &amp; CEO</v>
      </c>
      <c r="C149" s="139" t="s">
        <v>29</v>
      </c>
      <c r="D149" s="139">
        <v>447</v>
      </c>
      <c r="E149" s="140">
        <v>43877</v>
      </c>
      <c r="F149" s="139" t="str">
        <f t="shared" si="6"/>
        <v>Q1-20</v>
      </c>
      <c r="G149" s="140" t="str">
        <f t="shared" si="7"/>
        <v>Feb'20</v>
      </c>
      <c r="H149" s="140" t="str">
        <f>TEXT(RawData[[#This Row],[Date]], "YYYY")</f>
        <v>2020</v>
      </c>
      <c r="I149" s="141" t="s">
        <v>32</v>
      </c>
      <c r="J149" s="141" t="s">
        <v>90</v>
      </c>
      <c r="K149" s="139">
        <f t="shared" si="8"/>
        <v>1</v>
      </c>
      <c r="L149" s="142">
        <f>IF(RawData[[#This Row],[Paid/Unpaid]]="Paid", IF(VALUE($E149)&gt;VALUE($D$3),$K149* 10000,$K149* 8000), 0)</f>
        <v>8000</v>
      </c>
      <c r="M149" s="53" t="s">
        <v>146</v>
      </c>
    </row>
    <row r="150" spans="1:13" ht="12.75" customHeight="1" x14ac:dyDescent="0.3">
      <c r="A150" s="143" t="s">
        <v>20</v>
      </c>
      <c r="B150" s="139" t="str">
        <f>IFERROR(VLOOKUP($A150, NameDesignation[], 2,FALSE), " ")</f>
        <v>Former Independent Director</v>
      </c>
      <c r="C150" s="139" t="s">
        <v>37</v>
      </c>
      <c r="D150" s="139">
        <v>108</v>
      </c>
      <c r="E150" s="140">
        <v>43900</v>
      </c>
      <c r="F150" s="139" t="str">
        <f t="shared" si="6"/>
        <v>Q1-20</v>
      </c>
      <c r="G150" s="140" t="str">
        <f t="shared" si="7"/>
        <v>Mar'20</v>
      </c>
      <c r="H150" s="140" t="str">
        <f>TEXT(RawData[[#This Row],[Date]], "YYYY")</f>
        <v>2020</v>
      </c>
      <c r="I150" s="141" t="s">
        <v>32</v>
      </c>
      <c r="J150" s="141" t="s">
        <v>90</v>
      </c>
      <c r="K150" s="139">
        <f t="shared" si="8"/>
        <v>1</v>
      </c>
      <c r="L150" s="142">
        <f>IF(RawData[[#This Row],[Paid/Unpaid]]="Paid", IF(VALUE($E150)&gt;VALUE($D$3),$K150* 10000,$K150* 8000), 0)</f>
        <v>8000</v>
      </c>
      <c r="M150" s="53" t="s">
        <v>146</v>
      </c>
    </row>
    <row r="151" spans="1:13" ht="12.75" customHeight="1" x14ac:dyDescent="0.3">
      <c r="A151" s="143" t="s">
        <v>23</v>
      </c>
      <c r="B151" s="139" t="str">
        <f>IFERROR(VLOOKUP($A151, NameDesignation[], 2,FALSE), " ")</f>
        <v>Former Director</v>
      </c>
      <c r="C151" s="139" t="s">
        <v>37</v>
      </c>
      <c r="D151" s="139">
        <v>108</v>
      </c>
      <c r="E151" s="140">
        <v>43900</v>
      </c>
      <c r="F151" s="139" t="str">
        <f t="shared" si="6"/>
        <v>Q1-20</v>
      </c>
      <c r="G151" s="140" t="str">
        <f t="shared" si="7"/>
        <v>Mar'20</v>
      </c>
      <c r="H151" s="140" t="str">
        <f>TEXT(RawData[[#This Row],[Date]], "YYYY")</f>
        <v>2020</v>
      </c>
      <c r="I151" s="141" t="s">
        <v>32</v>
      </c>
      <c r="J151" s="141" t="s">
        <v>90</v>
      </c>
      <c r="K151" s="139">
        <f t="shared" si="8"/>
        <v>1</v>
      </c>
      <c r="L151" s="142">
        <f>IF(RawData[[#This Row],[Paid/Unpaid]]="Paid", IF(VALUE($E151)&gt;VALUE($D$3),$K151* 10000,$K151* 8000), 0)</f>
        <v>8000</v>
      </c>
      <c r="M151" s="53" t="s">
        <v>146</v>
      </c>
    </row>
    <row r="152" spans="1:13" ht="12.75" customHeight="1" x14ac:dyDescent="0.3">
      <c r="A152" s="143" t="s">
        <v>24</v>
      </c>
      <c r="B152" s="139" t="str">
        <f>IFERROR(VLOOKUP($A152, NameDesignation[], 2,FALSE), " ")</f>
        <v>Former Director</v>
      </c>
      <c r="C152" s="139" t="s">
        <v>37</v>
      </c>
      <c r="D152" s="139">
        <v>108</v>
      </c>
      <c r="E152" s="140">
        <v>43900</v>
      </c>
      <c r="F152" s="139" t="str">
        <f t="shared" si="6"/>
        <v>Q1-20</v>
      </c>
      <c r="G152" s="140" t="str">
        <f t="shared" si="7"/>
        <v>Mar'20</v>
      </c>
      <c r="H152" s="140" t="str">
        <f>TEXT(RawData[[#This Row],[Date]], "YYYY")</f>
        <v>2020</v>
      </c>
      <c r="I152" s="141" t="s">
        <v>32</v>
      </c>
      <c r="J152" s="141" t="s">
        <v>90</v>
      </c>
      <c r="K152" s="139">
        <f t="shared" si="8"/>
        <v>1</v>
      </c>
      <c r="L152" s="142">
        <f>IF(RawData[[#This Row],[Paid/Unpaid]]="Paid", IF(VALUE($E152)&gt;VALUE($D$3),$K152* 10000,$K152* 8000), 0)</f>
        <v>8000</v>
      </c>
      <c r="M152" s="53" t="s">
        <v>146</v>
      </c>
    </row>
    <row r="153" spans="1:13" ht="12.75" customHeight="1" x14ac:dyDescent="0.3">
      <c r="A153" s="143" t="s">
        <v>18</v>
      </c>
      <c r="B153" s="139" t="str">
        <f>IFERROR(VLOOKUP($A153, NameDesignation[], 2,FALSE), " ")</f>
        <v>Former Independent Director</v>
      </c>
      <c r="C153" s="139" t="s">
        <v>37</v>
      </c>
      <c r="D153" s="139">
        <v>108</v>
      </c>
      <c r="E153" s="140">
        <v>43900</v>
      </c>
      <c r="F153" s="139" t="str">
        <f t="shared" si="6"/>
        <v>Q1-20</v>
      </c>
      <c r="G153" s="140" t="str">
        <f t="shared" si="7"/>
        <v>Mar'20</v>
      </c>
      <c r="H153" s="140" t="str">
        <f>TEXT(RawData[[#This Row],[Date]], "YYYY")</f>
        <v>2020</v>
      </c>
      <c r="I153" s="141" t="s">
        <v>32</v>
      </c>
      <c r="J153" s="141" t="s">
        <v>90</v>
      </c>
      <c r="K153" s="139">
        <f t="shared" si="8"/>
        <v>1</v>
      </c>
      <c r="L153" s="142">
        <f>IF(RawData[[#This Row],[Paid/Unpaid]]="Paid", IF(VALUE($E153)&gt;VALUE($D$3),$K153* 10000,$K153* 8000), 0)</f>
        <v>8000</v>
      </c>
      <c r="M153" s="53" t="s">
        <v>146</v>
      </c>
    </row>
    <row r="154" spans="1:13" ht="12.75" customHeight="1" x14ac:dyDescent="0.3">
      <c r="A154" s="143" t="s">
        <v>27</v>
      </c>
      <c r="B154" s="139" t="str">
        <f>IFERROR(VLOOKUP($A154, NameDesignation[], 2,FALSE), " ")</f>
        <v>Former Director</v>
      </c>
      <c r="C154" s="139" t="s">
        <v>37</v>
      </c>
      <c r="D154" s="139">
        <v>108</v>
      </c>
      <c r="E154" s="140">
        <v>43900</v>
      </c>
      <c r="F154" s="139" t="str">
        <f t="shared" si="6"/>
        <v>Q1-20</v>
      </c>
      <c r="G154" s="140" t="str">
        <f t="shared" si="7"/>
        <v>Mar'20</v>
      </c>
      <c r="H154" s="140" t="str">
        <f>TEXT(RawData[[#This Row],[Date]], "YYYY")</f>
        <v>2020</v>
      </c>
      <c r="I154" s="141" t="s">
        <v>32</v>
      </c>
      <c r="J154" s="141" t="s">
        <v>90</v>
      </c>
      <c r="K154" s="139">
        <f t="shared" si="8"/>
        <v>1</v>
      </c>
      <c r="L154" s="142">
        <f>IF(RawData[[#This Row],[Paid/Unpaid]]="Paid", IF(VALUE($E154)&gt;VALUE($D$3),$K154* 10000,$K154* 8000), 0)</f>
        <v>8000</v>
      </c>
      <c r="M154" s="53" t="s">
        <v>146</v>
      </c>
    </row>
    <row r="155" spans="1:13" ht="12.75" customHeight="1" x14ac:dyDescent="0.3">
      <c r="A155" s="71" t="s">
        <v>7</v>
      </c>
      <c r="B155" s="139" t="str">
        <f>IFERROR(VLOOKUP($A155, NameDesignation[], 2,FALSE), " ")</f>
        <v>Former Director</v>
      </c>
      <c r="C155" s="139" t="s">
        <v>29</v>
      </c>
      <c r="D155" s="139">
        <v>448</v>
      </c>
      <c r="E155" s="140">
        <v>43902</v>
      </c>
      <c r="F155" s="139" t="str">
        <f t="shared" si="6"/>
        <v>Q1-20</v>
      </c>
      <c r="G155" s="140" t="str">
        <f t="shared" si="7"/>
        <v>Mar'20</v>
      </c>
      <c r="H155" s="140" t="str">
        <f>TEXT(RawData[[#This Row],[Date]], "YYYY")</f>
        <v>2020</v>
      </c>
      <c r="I155" s="141" t="s">
        <v>32</v>
      </c>
      <c r="J155" s="141" t="s">
        <v>90</v>
      </c>
      <c r="K155" s="139">
        <f t="shared" si="8"/>
        <v>1</v>
      </c>
      <c r="L155" s="142">
        <f>IF(RawData[[#This Row],[Paid/Unpaid]]="Paid", IF(VALUE($E155)&gt;VALUE($D$3),$K155* 10000,$K155* 8000), 0)</f>
        <v>8000</v>
      </c>
      <c r="M155" s="53" t="s">
        <v>146</v>
      </c>
    </row>
    <row r="156" spans="1:13" ht="12.75" customHeight="1" x14ac:dyDescent="0.3">
      <c r="A156" s="71" t="s">
        <v>8</v>
      </c>
      <c r="B156" s="139" t="str">
        <f>IFERROR(VLOOKUP($A156, NameDesignation[], 2,FALSE), " ")</f>
        <v>Former Vice-Chairman</v>
      </c>
      <c r="C156" s="139" t="s">
        <v>29</v>
      </c>
      <c r="D156" s="139">
        <v>448</v>
      </c>
      <c r="E156" s="140">
        <v>43902</v>
      </c>
      <c r="F156" s="139" t="str">
        <f t="shared" si="6"/>
        <v>Q1-20</v>
      </c>
      <c r="G156" s="140" t="str">
        <f t="shared" si="7"/>
        <v>Mar'20</v>
      </c>
      <c r="H156" s="140" t="str">
        <f>TEXT(RawData[[#This Row],[Date]], "YYYY")</f>
        <v>2020</v>
      </c>
      <c r="I156" s="141" t="s">
        <v>32</v>
      </c>
      <c r="J156" s="141" t="s">
        <v>90</v>
      </c>
      <c r="K156" s="139">
        <f t="shared" si="8"/>
        <v>1</v>
      </c>
      <c r="L156" s="142">
        <f>IF(RawData[[#This Row],[Paid/Unpaid]]="Paid", IF(VALUE($E156)&gt;VALUE($D$3),$K156* 10000,$K156* 8000), 0)</f>
        <v>8000</v>
      </c>
      <c r="M156" s="53" t="s">
        <v>146</v>
      </c>
    </row>
    <row r="157" spans="1:13" ht="12.75" customHeight="1" x14ac:dyDescent="0.3">
      <c r="A157" s="71" t="s">
        <v>9</v>
      </c>
      <c r="B157" s="139" t="str">
        <f>IFERROR(VLOOKUP($A157, NameDesignation[], 2,FALSE), " ")</f>
        <v>Former Director</v>
      </c>
      <c r="C157" s="139" t="s">
        <v>29</v>
      </c>
      <c r="D157" s="139">
        <v>448</v>
      </c>
      <c r="E157" s="140">
        <v>43902</v>
      </c>
      <c r="F157" s="139" t="str">
        <f t="shared" si="6"/>
        <v>Q1-20</v>
      </c>
      <c r="G157" s="140" t="str">
        <f t="shared" si="7"/>
        <v>Mar'20</v>
      </c>
      <c r="H157" s="140" t="str">
        <f>TEXT(RawData[[#This Row],[Date]], "YYYY")</f>
        <v>2020</v>
      </c>
      <c r="I157" s="141" t="s">
        <v>32</v>
      </c>
      <c r="J157" s="141" t="s">
        <v>91</v>
      </c>
      <c r="K157" s="139">
        <f t="shared" si="8"/>
        <v>0</v>
      </c>
      <c r="L157" s="142">
        <f>IF(RawData[[#This Row],[Paid/Unpaid]]="Paid", IF(VALUE($E157)&gt;VALUE($D$3),$K157* 10000,$K157* 8000), 0)</f>
        <v>0</v>
      </c>
      <c r="M157" s="53" t="s">
        <v>146</v>
      </c>
    </row>
    <row r="158" spans="1:13" ht="12.75" customHeight="1" x14ac:dyDescent="0.3">
      <c r="A158" s="71" t="s">
        <v>20</v>
      </c>
      <c r="B158" s="139" t="str">
        <f>IFERROR(VLOOKUP($A158, NameDesignation[], 2,FALSE), " ")</f>
        <v>Former Independent Director</v>
      </c>
      <c r="C158" s="139" t="s">
        <v>29</v>
      </c>
      <c r="D158" s="139">
        <v>448</v>
      </c>
      <c r="E158" s="140">
        <v>43902</v>
      </c>
      <c r="F158" s="139" t="str">
        <f t="shared" si="6"/>
        <v>Q1-20</v>
      </c>
      <c r="G158" s="140" t="str">
        <f t="shared" si="7"/>
        <v>Mar'20</v>
      </c>
      <c r="H158" s="140" t="str">
        <f>TEXT(RawData[[#This Row],[Date]], "YYYY")</f>
        <v>2020</v>
      </c>
      <c r="I158" s="141" t="s">
        <v>32</v>
      </c>
      <c r="J158" s="141" t="s">
        <v>90</v>
      </c>
      <c r="K158" s="139">
        <f t="shared" si="8"/>
        <v>1</v>
      </c>
      <c r="L158" s="142">
        <f>IF(RawData[[#This Row],[Paid/Unpaid]]="Paid", IF(VALUE($E158)&gt;VALUE($D$3),$K158* 10000,$K158* 8000), 0)</f>
        <v>8000</v>
      </c>
      <c r="M158" s="53" t="s">
        <v>146</v>
      </c>
    </row>
    <row r="159" spans="1:13" ht="12.75" customHeight="1" x14ac:dyDescent="0.3">
      <c r="A159" s="71" t="s">
        <v>49</v>
      </c>
      <c r="B159" s="139" t="str">
        <f>IFERROR(VLOOKUP($A159, NameDesignation[], 2,FALSE), " ")</f>
        <v>Former Director</v>
      </c>
      <c r="C159" s="139" t="s">
        <v>29</v>
      </c>
      <c r="D159" s="139">
        <v>448</v>
      </c>
      <c r="E159" s="140">
        <v>43902</v>
      </c>
      <c r="F159" s="139" t="str">
        <f t="shared" si="6"/>
        <v>Q1-20</v>
      </c>
      <c r="G159" s="140" t="str">
        <f t="shared" si="7"/>
        <v>Mar'20</v>
      </c>
      <c r="H159" s="140" t="str">
        <f>TEXT(RawData[[#This Row],[Date]], "YYYY")</f>
        <v>2020</v>
      </c>
      <c r="I159" s="141" t="s">
        <v>32</v>
      </c>
      <c r="J159" s="141" t="s">
        <v>90</v>
      </c>
      <c r="K159" s="139">
        <f t="shared" si="8"/>
        <v>1</v>
      </c>
      <c r="L159" s="142">
        <f>IF(RawData[[#This Row],[Paid/Unpaid]]="Paid", IF(VALUE($E159)&gt;VALUE($D$3),$K159* 10000,$K159* 8000), 0)</f>
        <v>8000</v>
      </c>
      <c r="M159" s="53" t="s">
        <v>146</v>
      </c>
    </row>
    <row r="160" spans="1:13" ht="12.75" customHeight="1" x14ac:dyDescent="0.3">
      <c r="A160" s="71" t="s">
        <v>11</v>
      </c>
      <c r="B160" s="139" t="str">
        <f>IFERROR(VLOOKUP($A160, NameDesignation[], 2,FALSE), " ")</f>
        <v>Former Director</v>
      </c>
      <c r="C160" s="139" t="s">
        <v>29</v>
      </c>
      <c r="D160" s="139">
        <v>448</v>
      </c>
      <c r="E160" s="140">
        <v>43902</v>
      </c>
      <c r="F160" s="139" t="str">
        <f t="shared" si="6"/>
        <v>Q1-20</v>
      </c>
      <c r="G160" s="140" t="str">
        <f t="shared" si="7"/>
        <v>Mar'20</v>
      </c>
      <c r="H160" s="140" t="str">
        <f>TEXT(RawData[[#This Row],[Date]], "YYYY")</f>
        <v>2020</v>
      </c>
      <c r="I160" s="141" t="s">
        <v>32</v>
      </c>
      <c r="J160" s="141" t="s">
        <v>90</v>
      </c>
      <c r="K160" s="139">
        <f t="shared" si="8"/>
        <v>1</v>
      </c>
      <c r="L160" s="142">
        <f>IF(RawData[[#This Row],[Paid/Unpaid]]="Paid", IF(VALUE($E160)&gt;VALUE($D$3),$K160* 10000,$K160* 8000), 0)</f>
        <v>8000</v>
      </c>
      <c r="M160" s="53" t="s">
        <v>146</v>
      </c>
    </row>
    <row r="161" spans="1:13" ht="12.75" customHeight="1" x14ac:dyDescent="0.3">
      <c r="A161" s="71" t="s">
        <v>12</v>
      </c>
      <c r="B161" s="139" t="str">
        <f>IFERROR(VLOOKUP($A161, NameDesignation[], 2,FALSE), " ")</f>
        <v>Former Director</v>
      </c>
      <c r="C161" s="139" t="s">
        <v>29</v>
      </c>
      <c r="D161" s="139">
        <v>448</v>
      </c>
      <c r="E161" s="140">
        <v>43902</v>
      </c>
      <c r="F161" s="139" t="str">
        <f t="shared" si="6"/>
        <v>Q1-20</v>
      </c>
      <c r="G161" s="140" t="str">
        <f t="shared" si="7"/>
        <v>Mar'20</v>
      </c>
      <c r="H161" s="140" t="str">
        <f>TEXT(RawData[[#This Row],[Date]], "YYYY")</f>
        <v>2020</v>
      </c>
      <c r="I161" s="141" t="s">
        <v>32</v>
      </c>
      <c r="J161" s="141" t="s">
        <v>90</v>
      </c>
      <c r="K161" s="139">
        <f t="shared" si="8"/>
        <v>1</v>
      </c>
      <c r="L161" s="142">
        <f>IF(RawData[[#This Row],[Paid/Unpaid]]="Paid", IF(VALUE($E161)&gt;VALUE($D$3),$K161* 10000,$K161* 8000), 0)</f>
        <v>8000</v>
      </c>
      <c r="M161" s="53" t="s">
        <v>146</v>
      </c>
    </row>
    <row r="162" spans="1:13" ht="12.75" customHeight="1" x14ac:dyDescent="0.3">
      <c r="A162" s="71" t="s">
        <v>137</v>
      </c>
      <c r="B162" s="139" t="str">
        <f>IFERROR(VLOOKUP($A162, NameDesignation[], 2,FALSE), " ")</f>
        <v>Former Director</v>
      </c>
      <c r="C162" s="139" t="s">
        <v>29</v>
      </c>
      <c r="D162" s="139">
        <v>448</v>
      </c>
      <c r="E162" s="140">
        <v>43902</v>
      </c>
      <c r="F162" s="139" t="str">
        <f t="shared" si="6"/>
        <v>Q1-20</v>
      </c>
      <c r="G162" s="140" t="str">
        <f t="shared" si="7"/>
        <v>Mar'20</v>
      </c>
      <c r="H162" s="140" t="str">
        <f>TEXT(RawData[[#This Row],[Date]], "YYYY")</f>
        <v>2020</v>
      </c>
      <c r="I162" s="141" t="s">
        <v>32</v>
      </c>
      <c r="J162" s="141" t="s">
        <v>90</v>
      </c>
      <c r="K162" s="139">
        <f t="shared" si="8"/>
        <v>1</v>
      </c>
      <c r="L162" s="142">
        <f>IF(RawData[[#This Row],[Paid/Unpaid]]="Paid", IF(VALUE($E162)&gt;VALUE($D$3),$K162* 10000,$K162* 8000), 0)</f>
        <v>8000</v>
      </c>
      <c r="M162" s="53" t="s">
        <v>146</v>
      </c>
    </row>
    <row r="163" spans="1:13" ht="12.75" customHeight="1" x14ac:dyDescent="0.3">
      <c r="A163" s="71" t="s">
        <v>13</v>
      </c>
      <c r="B163" s="139" t="str">
        <f>IFERROR(VLOOKUP($A163, NameDesignation[], 2,FALSE), " ")</f>
        <v>Former Director</v>
      </c>
      <c r="C163" s="139" t="s">
        <v>29</v>
      </c>
      <c r="D163" s="139">
        <v>448</v>
      </c>
      <c r="E163" s="140">
        <v>43902</v>
      </c>
      <c r="F163" s="139" t="str">
        <f t="shared" si="6"/>
        <v>Q1-20</v>
      </c>
      <c r="G163" s="140" t="str">
        <f t="shared" si="7"/>
        <v>Mar'20</v>
      </c>
      <c r="H163" s="140" t="str">
        <f>TEXT(RawData[[#This Row],[Date]], "YYYY")</f>
        <v>2020</v>
      </c>
      <c r="I163" s="141" t="s">
        <v>32</v>
      </c>
      <c r="J163" s="141" t="s">
        <v>90</v>
      </c>
      <c r="K163" s="139">
        <f t="shared" si="8"/>
        <v>1</v>
      </c>
      <c r="L163" s="142">
        <f>IF(RawData[[#This Row],[Paid/Unpaid]]="Paid", IF(VALUE($E163)&gt;VALUE($D$3),$K163* 10000,$K163* 8000), 0)</f>
        <v>8000</v>
      </c>
      <c r="M163" s="53" t="s">
        <v>146</v>
      </c>
    </row>
    <row r="164" spans="1:13" ht="12.75" customHeight="1" x14ac:dyDescent="0.3">
      <c r="A164" s="71" t="s">
        <v>61</v>
      </c>
      <c r="B164" s="139" t="str">
        <f>IFERROR(VLOOKUP($A164, NameDesignation[], 2,FALSE), " ")</f>
        <v>Former Director</v>
      </c>
      <c r="C164" s="139" t="s">
        <v>29</v>
      </c>
      <c r="D164" s="139">
        <v>448</v>
      </c>
      <c r="E164" s="140">
        <v>43902</v>
      </c>
      <c r="F164" s="139" t="str">
        <f t="shared" si="6"/>
        <v>Q1-20</v>
      </c>
      <c r="G164" s="140" t="str">
        <f t="shared" si="7"/>
        <v>Mar'20</v>
      </c>
      <c r="H164" s="140" t="str">
        <f>TEXT(RawData[[#This Row],[Date]], "YYYY")</f>
        <v>2020</v>
      </c>
      <c r="I164" s="141" t="s">
        <v>32</v>
      </c>
      <c r="J164" s="141" t="s">
        <v>90</v>
      </c>
      <c r="K164" s="139">
        <f t="shared" si="8"/>
        <v>1</v>
      </c>
      <c r="L164" s="142">
        <f>IF(RawData[[#This Row],[Paid/Unpaid]]="Paid", IF(VALUE($E164)&gt;VALUE($D$3),$K164* 10000,$K164* 8000), 0)</f>
        <v>8000</v>
      </c>
      <c r="M164" s="53" t="s">
        <v>146</v>
      </c>
    </row>
    <row r="165" spans="1:13" ht="12.75" customHeight="1" x14ac:dyDescent="0.3">
      <c r="A165" s="71" t="s">
        <v>23</v>
      </c>
      <c r="B165" s="139" t="str">
        <f>IFERROR(VLOOKUP($A165, NameDesignation[], 2,FALSE), " ")</f>
        <v>Former Director</v>
      </c>
      <c r="C165" s="139" t="s">
        <v>29</v>
      </c>
      <c r="D165" s="139">
        <v>448</v>
      </c>
      <c r="E165" s="140">
        <v>43902</v>
      </c>
      <c r="F165" s="139" t="str">
        <f t="shared" si="6"/>
        <v>Q1-20</v>
      </c>
      <c r="G165" s="140" t="str">
        <f t="shared" si="7"/>
        <v>Mar'20</v>
      </c>
      <c r="H165" s="140" t="str">
        <f>TEXT(RawData[[#This Row],[Date]], "YYYY")</f>
        <v>2020</v>
      </c>
      <c r="I165" s="141" t="s">
        <v>32</v>
      </c>
      <c r="J165" s="141" t="s">
        <v>90</v>
      </c>
      <c r="K165" s="139">
        <f t="shared" si="8"/>
        <v>1</v>
      </c>
      <c r="L165" s="142">
        <f>IF(RawData[[#This Row],[Paid/Unpaid]]="Paid", IF(VALUE($E165)&gt;VALUE($D$3),$K165* 10000,$K165* 8000), 0)</f>
        <v>8000</v>
      </c>
      <c r="M165" s="53" t="s">
        <v>146</v>
      </c>
    </row>
    <row r="166" spans="1:13" ht="12.75" customHeight="1" x14ac:dyDescent="0.3">
      <c r="A166" s="71" t="s">
        <v>24</v>
      </c>
      <c r="B166" s="139" t="str">
        <f>IFERROR(VLOOKUP($A166, NameDesignation[], 2,FALSE), " ")</f>
        <v>Former Director</v>
      </c>
      <c r="C166" s="139" t="s">
        <v>29</v>
      </c>
      <c r="D166" s="139">
        <v>448</v>
      </c>
      <c r="E166" s="140">
        <v>43902</v>
      </c>
      <c r="F166" s="139" t="str">
        <f t="shared" si="6"/>
        <v>Q1-20</v>
      </c>
      <c r="G166" s="140" t="str">
        <f t="shared" si="7"/>
        <v>Mar'20</v>
      </c>
      <c r="H166" s="140" t="str">
        <f>TEXT(RawData[[#This Row],[Date]], "YYYY")</f>
        <v>2020</v>
      </c>
      <c r="I166" s="141" t="s">
        <v>32</v>
      </c>
      <c r="J166" s="141" t="s">
        <v>90</v>
      </c>
      <c r="K166" s="139">
        <f t="shared" si="8"/>
        <v>1</v>
      </c>
      <c r="L166" s="142">
        <f>IF(RawData[[#This Row],[Paid/Unpaid]]="Paid", IF(VALUE($E166)&gt;VALUE($D$3),$K166* 10000,$K166* 8000), 0)</f>
        <v>8000</v>
      </c>
      <c r="M166" s="53" t="s">
        <v>146</v>
      </c>
    </row>
    <row r="167" spans="1:13" ht="12.75" customHeight="1" x14ac:dyDescent="0.3">
      <c r="A167" s="71" t="s">
        <v>21</v>
      </c>
      <c r="B167" s="139" t="str">
        <f>IFERROR(VLOOKUP($A167, NameDesignation[], 2,FALSE), " ")</f>
        <v>Former Independent Director</v>
      </c>
      <c r="C167" s="139" t="s">
        <v>29</v>
      </c>
      <c r="D167" s="139">
        <v>448</v>
      </c>
      <c r="E167" s="140">
        <v>43902</v>
      </c>
      <c r="F167" s="139" t="str">
        <f t="shared" si="6"/>
        <v>Q1-20</v>
      </c>
      <c r="G167" s="140" t="str">
        <f t="shared" si="7"/>
        <v>Mar'20</v>
      </c>
      <c r="H167" s="140" t="str">
        <f>TEXT(RawData[[#This Row],[Date]], "YYYY")</f>
        <v>2020</v>
      </c>
      <c r="I167" s="141" t="s">
        <v>32</v>
      </c>
      <c r="J167" s="141" t="s">
        <v>90</v>
      </c>
      <c r="K167" s="139">
        <f t="shared" si="8"/>
        <v>1</v>
      </c>
      <c r="L167" s="142">
        <f>IF(RawData[[#This Row],[Paid/Unpaid]]="Paid", IF(VALUE($E167)&gt;VALUE($D$3),$K167* 10000,$K167* 8000), 0)</f>
        <v>8000</v>
      </c>
      <c r="M167" s="53" t="s">
        <v>146</v>
      </c>
    </row>
    <row r="168" spans="1:13" ht="12.75" customHeight="1" x14ac:dyDescent="0.3">
      <c r="A168" s="71" t="s">
        <v>25</v>
      </c>
      <c r="B168" s="139" t="str">
        <f>IFERROR(VLOOKUP($A168, NameDesignation[], 2,FALSE), " ")</f>
        <v>Former Director</v>
      </c>
      <c r="C168" s="139" t="s">
        <v>29</v>
      </c>
      <c r="D168" s="139">
        <v>448</v>
      </c>
      <c r="E168" s="140">
        <v>43902</v>
      </c>
      <c r="F168" s="139" t="str">
        <f t="shared" si="6"/>
        <v>Q1-20</v>
      </c>
      <c r="G168" s="140" t="str">
        <f t="shared" si="7"/>
        <v>Mar'20</v>
      </c>
      <c r="H168" s="140" t="str">
        <f>TEXT(RawData[[#This Row],[Date]], "YYYY")</f>
        <v>2020</v>
      </c>
      <c r="I168" s="141" t="s">
        <v>32</v>
      </c>
      <c r="J168" s="141" t="s">
        <v>90</v>
      </c>
      <c r="K168" s="139">
        <f t="shared" si="8"/>
        <v>1</v>
      </c>
      <c r="L168" s="142">
        <f>IF(RawData[[#This Row],[Paid/Unpaid]]="Paid", IF(VALUE($E168)&gt;VALUE($D$3),$K168* 10000,$K168* 8000), 0)</f>
        <v>8000</v>
      </c>
      <c r="M168" s="53" t="s">
        <v>146</v>
      </c>
    </row>
    <row r="169" spans="1:13" ht="12.75" customHeight="1" x14ac:dyDescent="0.3">
      <c r="A169" s="71" t="s">
        <v>50</v>
      </c>
      <c r="B169" s="139" t="str">
        <f>IFERROR(VLOOKUP($A169, NameDesignation[], 2,FALSE), " ")</f>
        <v>Former Director</v>
      </c>
      <c r="C169" s="139" t="s">
        <v>29</v>
      </c>
      <c r="D169" s="139">
        <v>448</v>
      </c>
      <c r="E169" s="140">
        <v>43902</v>
      </c>
      <c r="F169" s="139" t="str">
        <f t="shared" si="6"/>
        <v>Q1-20</v>
      </c>
      <c r="G169" s="140" t="str">
        <f t="shared" si="7"/>
        <v>Mar'20</v>
      </c>
      <c r="H169" s="140" t="str">
        <f>TEXT(RawData[[#This Row],[Date]], "YYYY")</f>
        <v>2020</v>
      </c>
      <c r="I169" s="141" t="s">
        <v>32</v>
      </c>
      <c r="J169" s="141" t="s">
        <v>90</v>
      </c>
      <c r="K169" s="139">
        <f t="shared" si="8"/>
        <v>1</v>
      </c>
      <c r="L169" s="142">
        <f>IF(RawData[[#This Row],[Paid/Unpaid]]="Paid", IF(VALUE($E169)&gt;VALUE($D$3),$K169* 10000,$K169* 8000), 0)</f>
        <v>8000</v>
      </c>
      <c r="M169" s="53" t="s">
        <v>146</v>
      </c>
    </row>
    <row r="170" spans="1:13" ht="12.75" customHeight="1" x14ac:dyDescent="0.3">
      <c r="A170" s="71" t="s">
        <v>51</v>
      </c>
      <c r="B170" s="139" t="str">
        <f>IFERROR(VLOOKUP($A170, NameDesignation[], 2,FALSE), " ")</f>
        <v>Former Director</v>
      </c>
      <c r="C170" s="139" t="s">
        <v>29</v>
      </c>
      <c r="D170" s="139">
        <v>448</v>
      </c>
      <c r="E170" s="140">
        <v>43902</v>
      </c>
      <c r="F170" s="139" t="str">
        <f t="shared" si="6"/>
        <v>Q1-20</v>
      </c>
      <c r="G170" s="140" t="str">
        <f t="shared" si="7"/>
        <v>Mar'20</v>
      </c>
      <c r="H170" s="140" t="str">
        <f>TEXT(RawData[[#This Row],[Date]], "YYYY")</f>
        <v>2020</v>
      </c>
      <c r="I170" s="141" t="s">
        <v>32</v>
      </c>
      <c r="J170" s="141" t="s">
        <v>90</v>
      </c>
      <c r="K170" s="139">
        <f t="shared" si="8"/>
        <v>1</v>
      </c>
      <c r="L170" s="142">
        <f>IF(RawData[[#This Row],[Paid/Unpaid]]="Paid", IF(VALUE($E170)&gt;VALUE($D$3),$K170* 10000,$K170* 8000), 0)</f>
        <v>8000</v>
      </c>
      <c r="M170" s="53" t="s">
        <v>146</v>
      </c>
    </row>
    <row r="171" spans="1:13" ht="12.75" customHeight="1" x14ac:dyDescent="0.3">
      <c r="A171" s="71" t="s">
        <v>27</v>
      </c>
      <c r="B171" s="139" t="str">
        <f>IFERROR(VLOOKUP($A171, NameDesignation[], 2,FALSE), " ")</f>
        <v>Former Director</v>
      </c>
      <c r="C171" s="139" t="s">
        <v>29</v>
      </c>
      <c r="D171" s="139">
        <v>448</v>
      </c>
      <c r="E171" s="140">
        <v>43902</v>
      </c>
      <c r="F171" s="139" t="str">
        <f t="shared" si="6"/>
        <v>Q1-20</v>
      </c>
      <c r="G171" s="140" t="str">
        <f t="shared" si="7"/>
        <v>Mar'20</v>
      </c>
      <c r="H171" s="140" t="str">
        <f>TEXT(RawData[[#This Row],[Date]], "YYYY")</f>
        <v>2020</v>
      </c>
      <c r="I171" s="141" t="s">
        <v>32</v>
      </c>
      <c r="J171" s="141" t="s">
        <v>91</v>
      </c>
      <c r="K171" s="139">
        <f t="shared" si="8"/>
        <v>0</v>
      </c>
      <c r="L171" s="142">
        <f>IF(RawData[[#This Row],[Paid/Unpaid]]="Paid", IF(VALUE($E171)&gt;VALUE($D$3),$K171* 10000,$K171* 8000), 0)</f>
        <v>0</v>
      </c>
      <c r="M171" s="53" t="s">
        <v>146</v>
      </c>
    </row>
    <row r="172" spans="1:13" ht="12.75" customHeight="1" x14ac:dyDescent="0.3">
      <c r="A172" s="71" t="s">
        <v>18</v>
      </c>
      <c r="B172" s="139" t="str">
        <f>IFERROR(VLOOKUP($A172, NameDesignation[], 2,FALSE), " ")</f>
        <v>Former Independent Director</v>
      </c>
      <c r="C172" s="139" t="s">
        <v>29</v>
      </c>
      <c r="D172" s="139">
        <v>448</v>
      </c>
      <c r="E172" s="140">
        <v>43902</v>
      </c>
      <c r="F172" s="139" t="str">
        <f t="shared" si="6"/>
        <v>Q1-20</v>
      </c>
      <c r="G172" s="140" t="str">
        <f t="shared" si="7"/>
        <v>Mar'20</v>
      </c>
      <c r="H172" s="140" t="str">
        <f>TEXT(RawData[[#This Row],[Date]], "YYYY")</f>
        <v>2020</v>
      </c>
      <c r="I172" s="141" t="s">
        <v>32</v>
      </c>
      <c r="J172" s="141" t="s">
        <v>91</v>
      </c>
      <c r="K172" s="139">
        <f t="shared" si="8"/>
        <v>0</v>
      </c>
      <c r="L172" s="142">
        <f>IF(RawData[[#This Row],[Paid/Unpaid]]="Paid", IF(VALUE($E172)&gt;VALUE($D$3),$K172* 10000,$K172* 8000), 0)</f>
        <v>0</v>
      </c>
      <c r="M172" s="53" t="s">
        <v>146</v>
      </c>
    </row>
    <row r="173" spans="1:13" ht="12.75" customHeight="1" x14ac:dyDescent="0.3">
      <c r="A173" s="71" t="s">
        <v>28</v>
      </c>
      <c r="B173" s="139" t="str">
        <f>IFERROR(VLOOKUP($A173, NameDesignation[], 2,FALSE), " ")</f>
        <v>Former Director</v>
      </c>
      <c r="C173" s="139" t="s">
        <v>29</v>
      </c>
      <c r="D173" s="139">
        <v>448</v>
      </c>
      <c r="E173" s="140">
        <v>43902</v>
      </c>
      <c r="F173" s="139" t="str">
        <f t="shared" si="6"/>
        <v>Q1-20</v>
      </c>
      <c r="G173" s="140" t="str">
        <f t="shared" si="7"/>
        <v>Mar'20</v>
      </c>
      <c r="H173" s="140" t="str">
        <f>TEXT(RawData[[#This Row],[Date]], "YYYY")</f>
        <v>2020</v>
      </c>
      <c r="I173" s="141" t="s">
        <v>32</v>
      </c>
      <c r="J173" s="141" t="s">
        <v>90</v>
      </c>
      <c r="K173" s="139">
        <f t="shared" si="8"/>
        <v>1</v>
      </c>
      <c r="L173" s="142">
        <f>IF(RawData[[#This Row],[Paid/Unpaid]]="Paid", IF(VALUE($E173)&gt;VALUE($D$3),$K173* 10000,$K173* 8000), 0)</f>
        <v>8000</v>
      </c>
      <c r="M173" s="53" t="s">
        <v>146</v>
      </c>
    </row>
    <row r="174" spans="1:13" ht="12.75" customHeight="1" x14ac:dyDescent="0.3">
      <c r="A174" s="71" t="s">
        <v>7</v>
      </c>
      <c r="B174" s="139" t="str">
        <f>IFERROR(VLOOKUP($A174, NameDesignation[], 2,FALSE), " ")</f>
        <v>Former Director</v>
      </c>
      <c r="C174" s="139" t="s">
        <v>29</v>
      </c>
      <c r="D174" s="139">
        <v>449</v>
      </c>
      <c r="E174" s="140">
        <v>43902</v>
      </c>
      <c r="F174" s="139" t="str">
        <f t="shared" si="6"/>
        <v>Q1-20</v>
      </c>
      <c r="G174" s="140" t="str">
        <f t="shared" si="7"/>
        <v>Mar'20</v>
      </c>
      <c r="H174" s="140" t="str">
        <f>TEXT(RawData[[#This Row],[Date]], "YYYY")</f>
        <v>2020</v>
      </c>
      <c r="I174" s="141" t="s">
        <v>32</v>
      </c>
      <c r="J174" s="141" t="s">
        <v>90</v>
      </c>
      <c r="K174" s="139">
        <f t="shared" si="8"/>
        <v>1</v>
      </c>
      <c r="L174" s="142">
        <f>IF(RawData[[#This Row],[Paid/Unpaid]]="Paid", IF(VALUE($E174)&gt;VALUE($D$3),$K174* 10000,$K174* 8000), 0)</f>
        <v>8000</v>
      </c>
      <c r="M174" s="53" t="s">
        <v>146</v>
      </c>
    </row>
    <row r="175" spans="1:13" ht="12.75" customHeight="1" x14ac:dyDescent="0.3">
      <c r="A175" s="143" t="s">
        <v>34</v>
      </c>
      <c r="B175" s="139" t="str">
        <f>IFERROR(VLOOKUP($A175, NameDesignation[], 2,FALSE), " ")</f>
        <v>Former Managing Director &amp; CEO</v>
      </c>
      <c r="C175" s="139" t="s">
        <v>29</v>
      </c>
      <c r="D175" s="139">
        <v>448</v>
      </c>
      <c r="E175" s="140">
        <v>43902</v>
      </c>
      <c r="F175" s="139" t="str">
        <f t="shared" si="6"/>
        <v>Q1-20</v>
      </c>
      <c r="G175" s="140" t="str">
        <f t="shared" si="7"/>
        <v>Mar'20</v>
      </c>
      <c r="H175" s="140" t="str">
        <f>TEXT(RawData[[#This Row],[Date]], "YYYY")</f>
        <v>2020</v>
      </c>
      <c r="I175" s="141" t="s">
        <v>32</v>
      </c>
      <c r="J175" s="141" t="s">
        <v>90</v>
      </c>
      <c r="K175" s="139">
        <f t="shared" si="8"/>
        <v>1</v>
      </c>
      <c r="L175" s="142">
        <f>IF(RawData[[#This Row],[Paid/Unpaid]]="Paid", IF(VALUE($E175)&gt;VALUE($D$3),$K175* 10000,$K175* 8000), 0)</f>
        <v>8000</v>
      </c>
      <c r="M175" s="53" t="s">
        <v>146</v>
      </c>
    </row>
    <row r="176" spans="1:13" ht="12.75" customHeight="1" x14ac:dyDescent="0.3">
      <c r="A176" s="143" t="s">
        <v>49</v>
      </c>
      <c r="B176" s="139" t="str">
        <f>IFERROR(VLOOKUP($A176, NameDesignation[], 2,FALSE), " ")</f>
        <v>Former Director</v>
      </c>
      <c r="C176" s="139" t="s">
        <v>38</v>
      </c>
      <c r="D176" s="139">
        <v>26</v>
      </c>
      <c r="E176" s="140">
        <v>43902</v>
      </c>
      <c r="F176" s="139" t="str">
        <f t="shared" si="6"/>
        <v>Q1-20</v>
      </c>
      <c r="G176" s="140" t="str">
        <f t="shared" si="7"/>
        <v>Mar'20</v>
      </c>
      <c r="H176" s="140" t="str">
        <f>TEXT(RawData[[#This Row],[Date]], "YYYY")</f>
        <v>2020</v>
      </c>
      <c r="I176" s="141" t="s">
        <v>32</v>
      </c>
      <c r="J176" s="141" t="s">
        <v>90</v>
      </c>
      <c r="K176" s="139">
        <f t="shared" si="8"/>
        <v>1</v>
      </c>
      <c r="L176" s="142">
        <f>IF(RawData[[#This Row],[Paid/Unpaid]]="Paid", IF(VALUE($E176)&gt;VALUE($D$3),$K176* 10000,$K176* 8000), 0)</f>
        <v>8000</v>
      </c>
      <c r="M176" s="53" t="s">
        <v>146</v>
      </c>
    </row>
    <row r="177" spans="1:13" ht="12.75" customHeight="1" x14ac:dyDescent="0.3">
      <c r="A177" s="143" t="s">
        <v>9</v>
      </c>
      <c r="B177" s="139" t="str">
        <f>IFERROR(VLOOKUP($A177, NameDesignation[], 2,FALSE), " ")</f>
        <v>Former Director</v>
      </c>
      <c r="C177" s="139" t="s">
        <v>38</v>
      </c>
      <c r="D177" s="139">
        <v>26</v>
      </c>
      <c r="E177" s="140">
        <v>43902</v>
      </c>
      <c r="F177" s="139" t="str">
        <f t="shared" si="6"/>
        <v>Q1-20</v>
      </c>
      <c r="G177" s="140" t="str">
        <f t="shared" si="7"/>
        <v>Mar'20</v>
      </c>
      <c r="H177" s="140" t="str">
        <f>TEXT(RawData[[#This Row],[Date]], "YYYY")</f>
        <v>2020</v>
      </c>
      <c r="I177" s="141" t="s">
        <v>32</v>
      </c>
      <c r="J177" s="141" t="s">
        <v>91</v>
      </c>
      <c r="K177" s="139">
        <f t="shared" si="8"/>
        <v>0</v>
      </c>
      <c r="L177" s="142">
        <f>IF(RawData[[#This Row],[Paid/Unpaid]]="Paid", IF(VALUE($E177)&gt;VALUE($D$3),$K177* 10000,$K177* 8000), 0)</f>
        <v>0</v>
      </c>
      <c r="M177" s="53" t="s">
        <v>146</v>
      </c>
    </row>
    <row r="178" spans="1:13" ht="12.75" customHeight="1" x14ac:dyDescent="0.3">
      <c r="A178" s="143" t="s">
        <v>61</v>
      </c>
      <c r="B178" s="139" t="str">
        <f>IFERROR(VLOOKUP($A178, NameDesignation[], 2,FALSE), " ")</f>
        <v>Former Director</v>
      </c>
      <c r="C178" s="139" t="s">
        <v>38</v>
      </c>
      <c r="D178" s="139">
        <v>26</v>
      </c>
      <c r="E178" s="140">
        <v>43902</v>
      </c>
      <c r="F178" s="139" t="str">
        <f t="shared" si="6"/>
        <v>Q1-20</v>
      </c>
      <c r="G178" s="140" t="str">
        <f t="shared" si="7"/>
        <v>Mar'20</v>
      </c>
      <c r="H178" s="140" t="str">
        <f>TEXT(RawData[[#This Row],[Date]], "YYYY")</f>
        <v>2020</v>
      </c>
      <c r="I178" s="141" t="s">
        <v>32</v>
      </c>
      <c r="J178" s="141" t="s">
        <v>90</v>
      </c>
      <c r="K178" s="139">
        <f t="shared" si="8"/>
        <v>1</v>
      </c>
      <c r="L178" s="142">
        <f>IF(RawData[[#This Row],[Paid/Unpaid]]="Paid", IF(VALUE($E178)&gt;VALUE($D$3),$K178* 10000,$K178* 8000), 0)</f>
        <v>8000</v>
      </c>
      <c r="M178" s="53" t="s">
        <v>146</v>
      </c>
    </row>
    <row r="179" spans="1:13" ht="12.75" customHeight="1" x14ac:dyDescent="0.3">
      <c r="A179" s="143" t="s">
        <v>137</v>
      </c>
      <c r="B179" s="139" t="str">
        <f>IFERROR(VLOOKUP($A179, NameDesignation[], 2,FALSE), " ")</f>
        <v>Former Director</v>
      </c>
      <c r="C179" s="139" t="s">
        <v>38</v>
      </c>
      <c r="D179" s="139">
        <v>26</v>
      </c>
      <c r="E179" s="140">
        <v>43902</v>
      </c>
      <c r="F179" s="139" t="str">
        <f t="shared" si="6"/>
        <v>Q1-20</v>
      </c>
      <c r="G179" s="140" t="str">
        <f t="shared" si="7"/>
        <v>Mar'20</v>
      </c>
      <c r="H179" s="140" t="str">
        <f>TEXT(RawData[[#This Row],[Date]], "YYYY")</f>
        <v>2020</v>
      </c>
      <c r="I179" s="141" t="s">
        <v>32</v>
      </c>
      <c r="J179" s="141" t="s">
        <v>90</v>
      </c>
      <c r="K179" s="139">
        <f t="shared" si="8"/>
        <v>1</v>
      </c>
      <c r="L179" s="142">
        <f>IF(RawData[[#This Row],[Paid/Unpaid]]="Paid", IF(VALUE($E179)&gt;VALUE($D$3),$K179* 10000,$K179* 8000), 0)</f>
        <v>8000</v>
      </c>
      <c r="M179" s="53" t="s">
        <v>146</v>
      </c>
    </row>
    <row r="180" spans="1:13" ht="12.75" customHeight="1" x14ac:dyDescent="0.3">
      <c r="A180" s="143" t="s">
        <v>28</v>
      </c>
      <c r="B180" s="139" t="str">
        <f>IFERROR(VLOOKUP($A180, NameDesignation[], 2,FALSE), " ")</f>
        <v>Former Director</v>
      </c>
      <c r="C180" s="139" t="s">
        <v>38</v>
      </c>
      <c r="D180" s="139">
        <v>26</v>
      </c>
      <c r="E180" s="140">
        <v>43902</v>
      </c>
      <c r="F180" s="139" t="str">
        <f t="shared" si="6"/>
        <v>Q1-20</v>
      </c>
      <c r="G180" s="140" t="str">
        <f t="shared" si="7"/>
        <v>Mar'20</v>
      </c>
      <c r="H180" s="140" t="str">
        <f>TEXT(RawData[[#This Row],[Date]], "YYYY")</f>
        <v>2020</v>
      </c>
      <c r="I180" s="141" t="s">
        <v>32</v>
      </c>
      <c r="J180" s="141" t="s">
        <v>90</v>
      </c>
      <c r="K180" s="139">
        <f t="shared" si="8"/>
        <v>1</v>
      </c>
      <c r="L180" s="142">
        <f>IF(RawData[[#This Row],[Paid/Unpaid]]="Paid", IF(VALUE($E180)&gt;VALUE($D$3),$K180* 10000,$K180* 8000), 0)</f>
        <v>8000</v>
      </c>
      <c r="M180" s="53" t="s">
        <v>146</v>
      </c>
    </row>
    <row r="181" spans="1:13" ht="12.75" customHeight="1" x14ac:dyDescent="0.3">
      <c r="A181" s="71" t="s">
        <v>9</v>
      </c>
      <c r="B181" s="139" t="str">
        <f>IFERROR(VLOOKUP($A181, NameDesignation[], 2,FALSE), " ")</f>
        <v>Former Director</v>
      </c>
      <c r="C181" s="139" t="s">
        <v>30</v>
      </c>
      <c r="D181" s="139">
        <v>434</v>
      </c>
      <c r="E181" s="140">
        <v>43952</v>
      </c>
      <c r="F181" s="139" t="str">
        <f t="shared" si="6"/>
        <v>Q2-20</v>
      </c>
      <c r="G181" s="140" t="str">
        <f t="shared" si="7"/>
        <v>May'20</v>
      </c>
      <c r="H181" s="140" t="str">
        <f>TEXT(RawData[[#This Row],[Date]], "YYYY")</f>
        <v>2020</v>
      </c>
      <c r="I181" s="141" t="s">
        <v>32</v>
      </c>
      <c r="J181" s="141" t="s">
        <v>91</v>
      </c>
      <c r="K181" s="139">
        <f t="shared" si="8"/>
        <v>0</v>
      </c>
      <c r="L181" s="142">
        <f>IF(RawData[[#This Row],[Paid/Unpaid]]="Paid", IF(VALUE($E181)&gt;VALUE($D$3),$K181* 10000,$K181* 8000), 0)</f>
        <v>0</v>
      </c>
      <c r="M181" s="53" t="s">
        <v>146</v>
      </c>
    </row>
    <row r="182" spans="1:13" ht="12.75" customHeight="1" x14ac:dyDescent="0.3">
      <c r="A182" s="71" t="s">
        <v>8</v>
      </c>
      <c r="B182" s="139" t="str">
        <f>IFERROR(VLOOKUP($A182, NameDesignation[], 2,FALSE), " ")</f>
        <v>Former Vice-Chairman</v>
      </c>
      <c r="C182" s="139" t="s">
        <v>30</v>
      </c>
      <c r="D182" s="139">
        <v>434</v>
      </c>
      <c r="E182" s="140">
        <v>43952</v>
      </c>
      <c r="F182" s="139" t="str">
        <f t="shared" si="6"/>
        <v>Q2-20</v>
      </c>
      <c r="G182" s="140" t="str">
        <f t="shared" si="7"/>
        <v>May'20</v>
      </c>
      <c r="H182" s="140" t="str">
        <f>TEXT(RawData[[#This Row],[Date]], "YYYY")</f>
        <v>2020</v>
      </c>
      <c r="I182" s="141" t="s">
        <v>32</v>
      </c>
      <c r="J182" s="141" t="s">
        <v>90</v>
      </c>
      <c r="K182" s="139">
        <f t="shared" si="8"/>
        <v>1</v>
      </c>
      <c r="L182" s="142">
        <f>IF(RawData[[#This Row],[Paid/Unpaid]]="Paid", IF(VALUE($E182)&gt;VALUE($D$3),$K182* 10000,$K182* 8000), 0)</f>
        <v>8000</v>
      </c>
      <c r="M182" s="53" t="s">
        <v>146</v>
      </c>
    </row>
    <row r="183" spans="1:13" ht="12.75" customHeight="1" x14ac:dyDescent="0.3">
      <c r="A183" s="71" t="s">
        <v>49</v>
      </c>
      <c r="B183" s="139" t="str">
        <f>IFERROR(VLOOKUP($A183, NameDesignation[], 2,FALSE), " ")</f>
        <v>Former Director</v>
      </c>
      <c r="C183" s="139" t="s">
        <v>30</v>
      </c>
      <c r="D183" s="139">
        <v>434</v>
      </c>
      <c r="E183" s="140">
        <v>43952</v>
      </c>
      <c r="F183" s="139" t="str">
        <f t="shared" si="6"/>
        <v>Q2-20</v>
      </c>
      <c r="G183" s="140" t="str">
        <f t="shared" si="7"/>
        <v>May'20</v>
      </c>
      <c r="H183" s="140" t="str">
        <f>TEXT(RawData[[#This Row],[Date]], "YYYY")</f>
        <v>2020</v>
      </c>
      <c r="I183" s="141" t="s">
        <v>32</v>
      </c>
      <c r="J183" s="141" t="s">
        <v>90</v>
      </c>
      <c r="K183" s="139">
        <f t="shared" si="8"/>
        <v>1</v>
      </c>
      <c r="L183" s="142">
        <f>IF(RawData[[#This Row],[Paid/Unpaid]]="Paid", IF(VALUE($E183)&gt;VALUE($D$3),$K183* 10000,$K183* 8000), 0)</f>
        <v>8000</v>
      </c>
      <c r="M183" s="53" t="s">
        <v>146</v>
      </c>
    </row>
    <row r="184" spans="1:13" ht="12.75" customHeight="1" x14ac:dyDescent="0.3">
      <c r="A184" s="71" t="s">
        <v>11</v>
      </c>
      <c r="B184" s="139" t="str">
        <f>IFERROR(VLOOKUP($A184, NameDesignation[], 2,FALSE), " ")</f>
        <v>Former Director</v>
      </c>
      <c r="C184" s="139" t="s">
        <v>30</v>
      </c>
      <c r="D184" s="139">
        <v>434</v>
      </c>
      <c r="E184" s="140">
        <v>43952</v>
      </c>
      <c r="F184" s="139" t="str">
        <f t="shared" si="6"/>
        <v>Q2-20</v>
      </c>
      <c r="G184" s="140" t="str">
        <f t="shared" si="7"/>
        <v>May'20</v>
      </c>
      <c r="H184" s="140" t="str">
        <f>TEXT(RawData[[#This Row],[Date]], "YYYY")</f>
        <v>2020</v>
      </c>
      <c r="I184" s="141" t="s">
        <v>32</v>
      </c>
      <c r="J184" s="141" t="s">
        <v>90</v>
      </c>
      <c r="K184" s="139">
        <f t="shared" si="8"/>
        <v>1</v>
      </c>
      <c r="L184" s="142">
        <f>IF(RawData[[#This Row],[Paid/Unpaid]]="Paid", IF(VALUE($E184)&gt;VALUE($D$3),$K184* 10000,$K184* 8000), 0)</f>
        <v>8000</v>
      </c>
      <c r="M184" s="53" t="s">
        <v>146</v>
      </c>
    </row>
    <row r="185" spans="1:13" ht="12.75" customHeight="1" x14ac:dyDescent="0.3">
      <c r="A185" s="71" t="s">
        <v>13</v>
      </c>
      <c r="B185" s="139" t="str">
        <f>IFERROR(VLOOKUP($A185, NameDesignation[], 2,FALSE), " ")</f>
        <v>Former Director</v>
      </c>
      <c r="C185" s="139" t="s">
        <v>30</v>
      </c>
      <c r="D185" s="139">
        <v>434</v>
      </c>
      <c r="E185" s="140">
        <v>43952</v>
      </c>
      <c r="F185" s="139" t="str">
        <f t="shared" si="6"/>
        <v>Q2-20</v>
      </c>
      <c r="G185" s="140" t="str">
        <f t="shared" si="7"/>
        <v>May'20</v>
      </c>
      <c r="H185" s="140" t="str">
        <f>TEXT(RawData[[#This Row],[Date]], "YYYY")</f>
        <v>2020</v>
      </c>
      <c r="I185" s="141" t="s">
        <v>32</v>
      </c>
      <c r="J185" s="141" t="s">
        <v>90</v>
      </c>
      <c r="K185" s="139">
        <f t="shared" si="8"/>
        <v>1</v>
      </c>
      <c r="L185" s="142">
        <f>IF(RawData[[#This Row],[Paid/Unpaid]]="Paid", IF(VALUE($E185)&gt;VALUE($D$3),$K185* 10000,$K185* 8000), 0)</f>
        <v>8000</v>
      </c>
      <c r="M185" s="53" t="s">
        <v>146</v>
      </c>
    </row>
    <row r="186" spans="1:13" ht="12.75" customHeight="1" x14ac:dyDescent="0.3">
      <c r="A186" s="71" t="s">
        <v>12</v>
      </c>
      <c r="B186" s="139" t="str">
        <f>IFERROR(VLOOKUP($A186, NameDesignation[], 2,FALSE), " ")</f>
        <v>Former Director</v>
      </c>
      <c r="C186" s="139" t="s">
        <v>30</v>
      </c>
      <c r="D186" s="139">
        <v>434</v>
      </c>
      <c r="E186" s="140">
        <v>43952</v>
      </c>
      <c r="F186" s="139" t="str">
        <f t="shared" si="6"/>
        <v>Q2-20</v>
      </c>
      <c r="G186" s="140" t="str">
        <f t="shared" si="7"/>
        <v>May'20</v>
      </c>
      <c r="H186" s="140" t="str">
        <f>TEXT(RawData[[#This Row],[Date]], "YYYY")</f>
        <v>2020</v>
      </c>
      <c r="I186" s="141" t="s">
        <v>32</v>
      </c>
      <c r="J186" s="141" t="s">
        <v>90</v>
      </c>
      <c r="K186" s="139">
        <f t="shared" si="8"/>
        <v>1</v>
      </c>
      <c r="L186" s="142">
        <f>IF(RawData[[#This Row],[Paid/Unpaid]]="Paid", IF(VALUE($E186)&gt;VALUE($D$3),$K186* 10000,$K186* 8000), 0)</f>
        <v>8000</v>
      </c>
      <c r="M186" s="53" t="s">
        <v>146</v>
      </c>
    </row>
    <row r="187" spans="1:13" ht="12.75" customHeight="1" x14ac:dyDescent="0.3">
      <c r="A187" s="71" t="s">
        <v>25</v>
      </c>
      <c r="B187" s="139" t="str">
        <f>IFERROR(VLOOKUP($A187, NameDesignation[], 2,FALSE), " ")</f>
        <v>Former Director</v>
      </c>
      <c r="C187" s="139" t="s">
        <v>30</v>
      </c>
      <c r="D187" s="139">
        <v>434</v>
      </c>
      <c r="E187" s="140">
        <v>43952</v>
      </c>
      <c r="F187" s="139" t="str">
        <f t="shared" si="6"/>
        <v>Q2-20</v>
      </c>
      <c r="G187" s="140" t="str">
        <f t="shared" si="7"/>
        <v>May'20</v>
      </c>
      <c r="H187" s="140" t="str">
        <f>TEXT(RawData[[#This Row],[Date]], "YYYY")</f>
        <v>2020</v>
      </c>
      <c r="I187" s="141" t="s">
        <v>32</v>
      </c>
      <c r="J187" s="141" t="s">
        <v>91</v>
      </c>
      <c r="K187" s="139">
        <f t="shared" si="8"/>
        <v>0</v>
      </c>
      <c r="L187" s="142">
        <f>IF(RawData[[#This Row],[Paid/Unpaid]]="Paid", IF(VALUE($E187)&gt;VALUE($D$3),$K187* 10000,$K187* 8000), 0)</f>
        <v>0</v>
      </c>
      <c r="M187" s="53" t="s">
        <v>146</v>
      </c>
    </row>
    <row r="188" spans="1:13" ht="12.75" customHeight="1" x14ac:dyDescent="0.3">
      <c r="A188" s="71" t="s">
        <v>8</v>
      </c>
      <c r="B188" s="139" t="str">
        <f>IFERROR(VLOOKUP($A188, NameDesignation[], 2,FALSE), " ")</f>
        <v>Former Vice-Chairman</v>
      </c>
      <c r="C188" s="139" t="s">
        <v>29</v>
      </c>
      <c r="D188" s="139">
        <v>449</v>
      </c>
      <c r="E188" s="140">
        <v>43962</v>
      </c>
      <c r="F188" s="139" t="str">
        <f t="shared" si="6"/>
        <v>Q2-20</v>
      </c>
      <c r="G188" s="140" t="str">
        <f t="shared" si="7"/>
        <v>May'20</v>
      </c>
      <c r="H188" s="140" t="str">
        <f>TEXT(RawData[[#This Row],[Date]], "YYYY")</f>
        <v>2020</v>
      </c>
      <c r="I188" s="141" t="s">
        <v>32</v>
      </c>
      <c r="J188" s="141" t="s">
        <v>90</v>
      </c>
      <c r="K188" s="139">
        <f t="shared" si="8"/>
        <v>1</v>
      </c>
      <c r="L188" s="142">
        <f>IF(RawData[[#This Row],[Paid/Unpaid]]="Paid", IF(VALUE($E188)&gt;VALUE($D$3),$K188* 10000,$K188* 8000), 0)</f>
        <v>8000</v>
      </c>
      <c r="M188" s="53" t="s">
        <v>146</v>
      </c>
    </row>
    <row r="189" spans="1:13" ht="12.75" customHeight="1" x14ac:dyDescent="0.3">
      <c r="A189" s="71" t="s">
        <v>9</v>
      </c>
      <c r="B189" s="139" t="str">
        <f>IFERROR(VLOOKUP($A189, NameDesignation[], 2,FALSE), " ")</f>
        <v>Former Director</v>
      </c>
      <c r="C189" s="139" t="s">
        <v>29</v>
      </c>
      <c r="D189" s="139">
        <v>449</v>
      </c>
      <c r="E189" s="140">
        <v>43962</v>
      </c>
      <c r="F189" s="139" t="str">
        <f t="shared" si="6"/>
        <v>Q2-20</v>
      </c>
      <c r="G189" s="140" t="str">
        <f t="shared" si="7"/>
        <v>May'20</v>
      </c>
      <c r="H189" s="140" t="str">
        <f>TEXT(RawData[[#This Row],[Date]], "YYYY")</f>
        <v>2020</v>
      </c>
      <c r="I189" s="141" t="s">
        <v>32</v>
      </c>
      <c r="J189" s="141" t="s">
        <v>91</v>
      </c>
      <c r="K189" s="139">
        <f t="shared" si="8"/>
        <v>0</v>
      </c>
      <c r="L189" s="142">
        <f>IF(RawData[[#This Row],[Paid/Unpaid]]="Paid", IF(VALUE($E189)&gt;VALUE($D$3),$K189* 10000,$K189* 8000), 0)</f>
        <v>0</v>
      </c>
      <c r="M189" s="53" t="s">
        <v>146</v>
      </c>
    </row>
    <row r="190" spans="1:13" ht="12.75" customHeight="1" x14ac:dyDescent="0.3">
      <c r="A190" s="71" t="s">
        <v>20</v>
      </c>
      <c r="B190" s="139" t="str">
        <f>IFERROR(VLOOKUP($A190, NameDesignation[], 2,FALSE), " ")</f>
        <v>Former Independent Director</v>
      </c>
      <c r="C190" s="139" t="s">
        <v>29</v>
      </c>
      <c r="D190" s="139">
        <v>449</v>
      </c>
      <c r="E190" s="140">
        <v>43962</v>
      </c>
      <c r="F190" s="139" t="str">
        <f t="shared" si="6"/>
        <v>Q2-20</v>
      </c>
      <c r="G190" s="140" t="str">
        <f t="shared" si="7"/>
        <v>May'20</v>
      </c>
      <c r="H190" s="140" t="str">
        <f>TEXT(RawData[[#This Row],[Date]], "YYYY")</f>
        <v>2020</v>
      </c>
      <c r="I190" s="141" t="s">
        <v>32</v>
      </c>
      <c r="J190" s="141" t="s">
        <v>91</v>
      </c>
      <c r="K190" s="139">
        <f t="shared" si="8"/>
        <v>0</v>
      </c>
      <c r="L190" s="142">
        <f>IF(RawData[[#This Row],[Paid/Unpaid]]="Paid", IF(VALUE($E190)&gt;VALUE($D$3),$K190* 10000,$K190* 8000), 0)</f>
        <v>0</v>
      </c>
      <c r="M190" s="53" t="s">
        <v>146</v>
      </c>
    </row>
    <row r="191" spans="1:13" ht="12.75" customHeight="1" x14ac:dyDescent="0.3">
      <c r="A191" s="71" t="s">
        <v>49</v>
      </c>
      <c r="B191" s="139" t="str">
        <f>IFERROR(VLOOKUP($A191, NameDesignation[], 2,FALSE), " ")</f>
        <v>Former Director</v>
      </c>
      <c r="C191" s="139" t="s">
        <v>29</v>
      </c>
      <c r="D191" s="139">
        <v>449</v>
      </c>
      <c r="E191" s="140">
        <v>43962</v>
      </c>
      <c r="F191" s="139" t="str">
        <f t="shared" si="6"/>
        <v>Q2-20</v>
      </c>
      <c r="G191" s="140" t="str">
        <f t="shared" si="7"/>
        <v>May'20</v>
      </c>
      <c r="H191" s="140" t="str">
        <f>TEXT(RawData[[#This Row],[Date]], "YYYY")</f>
        <v>2020</v>
      </c>
      <c r="I191" s="141" t="s">
        <v>32</v>
      </c>
      <c r="J191" s="141" t="s">
        <v>90</v>
      </c>
      <c r="K191" s="139">
        <f t="shared" si="8"/>
        <v>1</v>
      </c>
      <c r="L191" s="142">
        <f>IF(RawData[[#This Row],[Paid/Unpaid]]="Paid", IF(VALUE($E191)&gt;VALUE($D$3),$K191* 10000,$K191* 8000), 0)</f>
        <v>8000</v>
      </c>
      <c r="M191" s="53" t="s">
        <v>146</v>
      </c>
    </row>
    <row r="192" spans="1:13" ht="12.75" customHeight="1" x14ac:dyDescent="0.3">
      <c r="A192" s="71" t="s">
        <v>11</v>
      </c>
      <c r="B192" s="139" t="str">
        <f>IFERROR(VLOOKUP($A192, NameDesignation[], 2,FALSE), " ")</f>
        <v>Former Director</v>
      </c>
      <c r="C192" s="139" t="s">
        <v>29</v>
      </c>
      <c r="D192" s="139">
        <v>449</v>
      </c>
      <c r="E192" s="140">
        <v>43962</v>
      </c>
      <c r="F192" s="139" t="str">
        <f t="shared" si="6"/>
        <v>Q2-20</v>
      </c>
      <c r="G192" s="140" t="str">
        <f t="shared" si="7"/>
        <v>May'20</v>
      </c>
      <c r="H192" s="140" t="str">
        <f>TEXT(RawData[[#This Row],[Date]], "YYYY")</f>
        <v>2020</v>
      </c>
      <c r="I192" s="141" t="s">
        <v>32</v>
      </c>
      <c r="J192" s="141" t="s">
        <v>90</v>
      </c>
      <c r="K192" s="139">
        <f t="shared" si="8"/>
        <v>1</v>
      </c>
      <c r="L192" s="142">
        <f>IF(RawData[[#This Row],[Paid/Unpaid]]="Paid", IF(VALUE($E192)&gt;VALUE($D$3),$K192* 10000,$K192* 8000), 0)</f>
        <v>8000</v>
      </c>
      <c r="M192" s="53" t="s">
        <v>146</v>
      </c>
    </row>
    <row r="193" spans="1:13" ht="12.75" customHeight="1" x14ac:dyDescent="0.3">
      <c r="A193" s="71" t="s">
        <v>12</v>
      </c>
      <c r="B193" s="139" t="str">
        <f>IFERROR(VLOOKUP($A193, NameDesignation[], 2,FALSE), " ")</f>
        <v>Former Director</v>
      </c>
      <c r="C193" s="139" t="s">
        <v>29</v>
      </c>
      <c r="D193" s="139">
        <v>449</v>
      </c>
      <c r="E193" s="140">
        <v>43962</v>
      </c>
      <c r="F193" s="139" t="str">
        <f t="shared" si="6"/>
        <v>Q2-20</v>
      </c>
      <c r="G193" s="140" t="str">
        <f t="shared" si="7"/>
        <v>May'20</v>
      </c>
      <c r="H193" s="140" t="str">
        <f>TEXT(RawData[[#This Row],[Date]], "YYYY")</f>
        <v>2020</v>
      </c>
      <c r="I193" s="141" t="s">
        <v>32</v>
      </c>
      <c r="J193" s="141" t="s">
        <v>90</v>
      </c>
      <c r="K193" s="139">
        <f t="shared" si="8"/>
        <v>1</v>
      </c>
      <c r="L193" s="142">
        <f>IF(RawData[[#This Row],[Paid/Unpaid]]="Paid", IF(VALUE($E193)&gt;VALUE($D$3),$K193* 10000,$K193* 8000), 0)</f>
        <v>8000</v>
      </c>
      <c r="M193" s="53" t="s">
        <v>146</v>
      </c>
    </row>
    <row r="194" spans="1:13" ht="12.75" customHeight="1" x14ac:dyDescent="0.3">
      <c r="A194" s="71" t="s">
        <v>137</v>
      </c>
      <c r="B194" s="139" t="str">
        <f>IFERROR(VLOOKUP($A194, NameDesignation[], 2,FALSE), " ")</f>
        <v>Former Director</v>
      </c>
      <c r="C194" s="139" t="s">
        <v>29</v>
      </c>
      <c r="D194" s="139">
        <v>449</v>
      </c>
      <c r="E194" s="140">
        <v>43962</v>
      </c>
      <c r="F194" s="139" t="str">
        <f t="shared" si="6"/>
        <v>Q2-20</v>
      </c>
      <c r="G194" s="140" t="str">
        <f t="shared" si="7"/>
        <v>May'20</v>
      </c>
      <c r="H194" s="140" t="str">
        <f>TEXT(RawData[[#This Row],[Date]], "YYYY")</f>
        <v>2020</v>
      </c>
      <c r="I194" s="141" t="s">
        <v>32</v>
      </c>
      <c r="J194" s="141" t="s">
        <v>90</v>
      </c>
      <c r="K194" s="139">
        <f t="shared" si="8"/>
        <v>1</v>
      </c>
      <c r="L194" s="142">
        <f>IF(RawData[[#This Row],[Paid/Unpaid]]="Paid", IF(VALUE($E194)&gt;VALUE($D$3),$K194* 10000,$K194* 8000), 0)</f>
        <v>8000</v>
      </c>
      <c r="M194" s="53" t="s">
        <v>146</v>
      </c>
    </row>
    <row r="195" spans="1:13" ht="12.75" customHeight="1" x14ac:dyDescent="0.3">
      <c r="A195" s="71" t="s">
        <v>13</v>
      </c>
      <c r="B195" s="139" t="str">
        <f>IFERROR(VLOOKUP($A195, NameDesignation[], 2,FALSE), " ")</f>
        <v>Former Director</v>
      </c>
      <c r="C195" s="139" t="s">
        <v>29</v>
      </c>
      <c r="D195" s="139">
        <v>449</v>
      </c>
      <c r="E195" s="140">
        <v>43962</v>
      </c>
      <c r="F195" s="139" t="str">
        <f t="shared" si="6"/>
        <v>Q2-20</v>
      </c>
      <c r="G195" s="140" t="str">
        <f t="shared" si="7"/>
        <v>May'20</v>
      </c>
      <c r="H195" s="140" t="str">
        <f>TEXT(RawData[[#This Row],[Date]], "YYYY")</f>
        <v>2020</v>
      </c>
      <c r="I195" s="141" t="s">
        <v>32</v>
      </c>
      <c r="J195" s="141" t="s">
        <v>90</v>
      </c>
      <c r="K195" s="139">
        <f t="shared" si="8"/>
        <v>1</v>
      </c>
      <c r="L195" s="142">
        <f>IF(RawData[[#This Row],[Paid/Unpaid]]="Paid", IF(VALUE($E195)&gt;VALUE($D$3),$K195* 10000,$K195* 8000), 0)</f>
        <v>8000</v>
      </c>
      <c r="M195" s="53" t="s">
        <v>146</v>
      </c>
    </row>
    <row r="196" spans="1:13" ht="12.75" customHeight="1" x14ac:dyDescent="0.3">
      <c r="A196" s="71" t="s">
        <v>61</v>
      </c>
      <c r="B196" s="139" t="str">
        <f>IFERROR(VLOOKUP($A196, NameDesignation[], 2,FALSE), " ")</f>
        <v>Former Director</v>
      </c>
      <c r="C196" s="139" t="s">
        <v>29</v>
      </c>
      <c r="D196" s="139">
        <v>449</v>
      </c>
      <c r="E196" s="140">
        <v>43962</v>
      </c>
      <c r="F196" s="139" t="str">
        <f t="shared" si="6"/>
        <v>Q2-20</v>
      </c>
      <c r="G196" s="140" t="str">
        <f t="shared" si="7"/>
        <v>May'20</v>
      </c>
      <c r="H196" s="140" t="str">
        <f>TEXT(RawData[[#This Row],[Date]], "YYYY")</f>
        <v>2020</v>
      </c>
      <c r="I196" s="141" t="s">
        <v>32</v>
      </c>
      <c r="J196" s="141" t="s">
        <v>90</v>
      </c>
      <c r="K196" s="139">
        <f t="shared" si="8"/>
        <v>1</v>
      </c>
      <c r="L196" s="142">
        <f>IF(RawData[[#This Row],[Paid/Unpaid]]="Paid", IF(VALUE($E196)&gt;VALUE($D$3),$K196* 10000,$K196* 8000), 0)</f>
        <v>8000</v>
      </c>
      <c r="M196" s="53" t="s">
        <v>146</v>
      </c>
    </row>
    <row r="197" spans="1:13" ht="12.75" customHeight="1" x14ac:dyDescent="0.3">
      <c r="A197" s="71" t="s">
        <v>23</v>
      </c>
      <c r="B197" s="139" t="str">
        <f>IFERROR(VLOOKUP($A197, NameDesignation[], 2,FALSE), " ")</f>
        <v>Former Director</v>
      </c>
      <c r="C197" s="139" t="s">
        <v>29</v>
      </c>
      <c r="D197" s="139">
        <v>449</v>
      </c>
      <c r="E197" s="140">
        <v>43962</v>
      </c>
      <c r="F197" s="139" t="str">
        <f t="shared" si="6"/>
        <v>Q2-20</v>
      </c>
      <c r="G197" s="140" t="str">
        <f t="shared" si="7"/>
        <v>May'20</v>
      </c>
      <c r="H197" s="140" t="str">
        <f>TEXT(RawData[[#This Row],[Date]], "YYYY")</f>
        <v>2020</v>
      </c>
      <c r="I197" s="141" t="s">
        <v>32</v>
      </c>
      <c r="J197" s="141" t="s">
        <v>90</v>
      </c>
      <c r="K197" s="139">
        <f t="shared" si="8"/>
        <v>1</v>
      </c>
      <c r="L197" s="142">
        <f>IF(RawData[[#This Row],[Paid/Unpaid]]="Paid", IF(VALUE($E197)&gt;VALUE($D$3),$K197* 10000,$K197* 8000), 0)</f>
        <v>8000</v>
      </c>
      <c r="M197" s="53" t="s">
        <v>146</v>
      </c>
    </row>
    <row r="198" spans="1:13" ht="12.75" customHeight="1" x14ac:dyDescent="0.3">
      <c r="A198" s="71" t="s">
        <v>24</v>
      </c>
      <c r="B198" s="139" t="str">
        <f>IFERROR(VLOOKUP($A198, NameDesignation[], 2,FALSE), " ")</f>
        <v>Former Director</v>
      </c>
      <c r="C198" s="139" t="s">
        <v>29</v>
      </c>
      <c r="D198" s="139">
        <v>449</v>
      </c>
      <c r="E198" s="140">
        <v>43962</v>
      </c>
      <c r="F198" s="139" t="str">
        <f t="shared" ref="F198:F261" si="9">CONCATENATE("Q", ROUNDUP(MONTH($E198)/3,0),"-",TEXT($E198, "yy"))</f>
        <v>Q2-20</v>
      </c>
      <c r="G198" s="140" t="str">
        <f t="shared" ref="G198:G261" si="10">CONCATENATE(TEXT($E198, "mmm"),"'", TEXT($E198, "yy"))</f>
        <v>May'20</v>
      </c>
      <c r="H198" s="140" t="str">
        <f>TEXT(RawData[[#This Row],[Date]], "YYYY")</f>
        <v>2020</v>
      </c>
      <c r="I198" s="141" t="s">
        <v>32</v>
      </c>
      <c r="J198" s="141" t="s">
        <v>90</v>
      </c>
      <c r="K198" s="139">
        <f t="shared" ref="K198:K261" si="11">IF($J198="Present", 1, 0)</f>
        <v>1</v>
      </c>
      <c r="L198" s="142">
        <f>IF(RawData[[#This Row],[Paid/Unpaid]]="Paid", IF(VALUE($E198)&gt;VALUE($D$3),$K198* 10000,$K198* 8000), 0)</f>
        <v>8000</v>
      </c>
      <c r="M198" s="53" t="s">
        <v>146</v>
      </c>
    </row>
    <row r="199" spans="1:13" ht="12.75" customHeight="1" x14ac:dyDescent="0.3">
      <c r="A199" s="71" t="s">
        <v>21</v>
      </c>
      <c r="B199" s="139" t="str">
        <f>IFERROR(VLOOKUP($A199, NameDesignation[], 2,FALSE), " ")</f>
        <v>Former Independent Director</v>
      </c>
      <c r="C199" s="139" t="s">
        <v>29</v>
      </c>
      <c r="D199" s="139">
        <v>449</v>
      </c>
      <c r="E199" s="140">
        <v>43962</v>
      </c>
      <c r="F199" s="139" t="str">
        <f t="shared" si="9"/>
        <v>Q2-20</v>
      </c>
      <c r="G199" s="140" t="str">
        <f t="shared" si="10"/>
        <v>May'20</v>
      </c>
      <c r="H199" s="140" t="str">
        <f>TEXT(RawData[[#This Row],[Date]], "YYYY")</f>
        <v>2020</v>
      </c>
      <c r="I199" s="141" t="s">
        <v>32</v>
      </c>
      <c r="J199" s="141" t="s">
        <v>90</v>
      </c>
      <c r="K199" s="139">
        <f t="shared" si="11"/>
        <v>1</v>
      </c>
      <c r="L199" s="142">
        <f>IF(RawData[[#This Row],[Paid/Unpaid]]="Paid", IF(VALUE($E199)&gt;VALUE($D$3),$K199* 10000,$K199* 8000), 0)</f>
        <v>8000</v>
      </c>
      <c r="M199" s="53" t="s">
        <v>146</v>
      </c>
    </row>
    <row r="200" spans="1:13" ht="12.75" customHeight="1" x14ac:dyDescent="0.3">
      <c r="A200" s="71" t="s">
        <v>25</v>
      </c>
      <c r="B200" s="139" t="str">
        <f>IFERROR(VLOOKUP($A200, NameDesignation[], 2,FALSE), " ")</f>
        <v>Former Director</v>
      </c>
      <c r="C200" s="139" t="s">
        <v>29</v>
      </c>
      <c r="D200" s="139">
        <v>449</v>
      </c>
      <c r="E200" s="140">
        <v>43962</v>
      </c>
      <c r="F200" s="139" t="str">
        <f t="shared" si="9"/>
        <v>Q2-20</v>
      </c>
      <c r="G200" s="140" t="str">
        <f t="shared" si="10"/>
        <v>May'20</v>
      </c>
      <c r="H200" s="140" t="str">
        <f>TEXT(RawData[[#This Row],[Date]], "YYYY")</f>
        <v>2020</v>
      </c>
      <c r="I200" s="141" t="s">
        <v>32</v>
      </c>
      <c r="J200" s="141" t="s">
        <v>91</v>
      </c>
      <c r="K200" s="139">
        <f t="shared" si="11"/>
        <v>0</v>
      </c>
      <c r="L200" s="142">
        <f>IF(RawData[[#This Row],[Paid/Unpaid]]="Paid", IF(VALUE($E200)&gt;VALUE($D$3),$K200* 10000,$K200* 8000), 0)</f>
        <v>0</v>
      </c>
      <c r="M200" s="53" t="s">
        <v>146</v>
      </c>
    </row>
    <row r="201" spans="1:13" ht="12.75" customHeight="1" x14ac:dyDescent="0.3">
      <c r="A201" s="71" t="s">
        <v>50</v>
      </c>
      <c r="B201" s="139" t="str">
        <f>IFERROR(VLOOKUP($A201, NameDesignation[], 2,FALSE), " ")</f>
        <v>Former Director</v>
      </c>
      <c r="C201" s="139" t="s">
        <v>29</v>
      </c>
      <c r="D201" s="139">
        <v>449</v>
      </c>
      <c r="E201" s="140">
        <v>43962</v>
      </c>
      <c r="F201" s="139" t="str">
        <f t="shared" si="9"/>
        <v>Q2-20</v>
      </c>
      <c r="G201" s="140" t="str">
        <f t="shared" si="10"/>
        <v>May'20</v>
      </c>
      <c r="H201" s="140" t="str">
        <f>TEXT(RawData[[#This Row],[Date]], "YYYY")</f>
        <v>2020</v>
      </c>
      <c r="I201" s="141" t="s">
        <v>32</v>
      </c>
      <c r="J201" s="141" t="s">
        <v>90</v>
      </c>
      <c r="K201" s="139">
        <f t="shared" si="11"/>
        <v>1</v>
      </c>
      <c r="L201" s="142">
        <f>IF(RawData[[#This Row],[Paid/Unpaid]]="Paid", IF(VALUE($E201)&gt;VALUE($D$3),$K201* 10000,$K201* 8000), 0)</f>
        <v>8000</v>
      </c>
      <c r="M201" s="53" t="s">
        <v>146</v>
      </c>
    </row>
    <row r="202" spans="1:13" ht="12.75" customHeight="1" x14ac:dyDescent="0.3">
      <c r="A202" s="71" t="s">
        <v>51</v>
      </c>
      <c r="B202" s="139" t="str">
        <f>IFERROR(VLOOKUP($A202, NameDesignation[], 2,FALSE), " ")</f>
        <v>Former Director</v>
      </c>
      <c r="C202" s="139" t="s">
        <v>29</v>
      </c>
      <c r="D202" s="139">
        <v>449</v>
      </c>
      <c r="E202" s="140">
        <v>43962</v>
      </c>
      <c r="F202" s="139" t="str">
        <f t="shared" si="9"/>
        <v>Q2-20</v>
      </c>
      <c r="G202" s="140" t="str">
        <f t="shared" si="10"/>
        <v>May'20</v>
      </c>
      <c r="H202" s="140" t="str">
        <f>TEXT(RawData[[#This Row],[Date]], "YYYY")</f>
        <v>2020</v>
      </c>
      <c r="I202" s="141" t="s">
        <v>32</v>
      </c>
      <c r="J202" s="141" t="s">
        <v>91</v>
      </c>
      <c r="K202" s="139">
        <f t="shared" si="11"/>
        <v>0</v>
      </c>
      <c r="L202" s="142">
        <f>IF(RawData[[#This Row],[Paid/Unpaid]]="Paid", IF(VALUE($E202)&gt;VALUE($D$3),$K202* 10000,$K202* 8000), 0)</f>
        <v>0</v>
      </c>
      <c r="M202" s="53" t="s">
        <v>146</v>
      </c>
    </row>
    <row r="203" spans="1:13" ht="12.75" customHeight="1" x14ac:dyDescent="0.3">
      <c r="A203" s="71" t="s">
        <v>27</v>
      </c>
      <c r="B203" s="139" t="str">
        <f>IFERROR(VLOOKUP($A203, NameDesignation[], 2,FALSE), " ")</f>
        <v>Former Director</v>
      </c>
      <c r="C203" s="139" t="s">
        <v>29</v>
      </c>
      <c r="D203" s="139">
        <v>449</v>
      </c>
      <c r="E203" s="140">
        <v>43962</v>
      </c>
      <c r="F203" s="139" t="str">
        <f t="shared" si="9"/>
        <v>Q2-20</v>
      </c>
      <c r="G203" s="140" t="str">
        <f t="shared" si="10"/>
        <v>May'20</v>
      </c>
      <c r="H203" s="140" t="str">
        <f>TEXT(RawData[[#This Row],[Date]], "YYYY")</f>
        <v>2020</v>
      </c>
      <c r="I203" s="141" t="s">
        <v>32</v>
      </c>
      <c r="J203" s="141" t="s">
        <v>91</v>
      </c>
      <c r="K203" s="139">
        <f t="shared" si="11"/>
        <v>0</v>
      </c>
      <c r="L203" s="142">
        <f>IF(RawData[[#This Row],[Paid/Unpaid]]="Paid", IF(VALUE($E203)&gt;VALUE($D$3),$K203* 10000,$K203* 8000), 0)</f>
        <v>0</v>
      </c>
      <c r="M203" s="53" t="s">
        <v>146</v>
      </c>
    </row>
    <row r="204" spans="1:13" ht="12.75" customHeight="1" x14ac:dyDescent="0.3">
      <c r="A204" s="71" t="s">
        <v>18</v>
      </c>
      <c r="B204" s="139" t="str">
        <f>IFERROR(VLOOKUP($A204, NameDesignation[], 2,FALSE), " ")</f>
        <v>Former Independent Director</v>
      </c>
      <c r="C204" s="139" t="s">
        <v>29</v>
      </c>
      <c r="D204" s="139">
        <v>449</v>
      </c>
      <c r="E204" s="140">
        <v>43962</v>
      </c>
      <c r="F204" s="139" t="str">
        <f t="shared" si="9"/>
        <v>Q2-20</v>
      </c>
      <c r="G204" s="140" t="str">
        <f t="shared" si="10"/>
        <v>May'20</v>
      </c>
      <c r="H204" s="140" t="str">
        <f>TEXT(RawData[[#This Row],[Date]], "YYYY")</f>
        <v>2020</v>
      </c>
      <c r="I204" s="141" t="s">
        <v>32</v>
      </c>
      <c r="J204" s="141" t="s">
        <v>90</v>
      </c>
      <c r="K204" s="139">
        <f t="shared" si="11"/>
        <v>1</v>
      </c>
      <c r="L204" s="142">
        <f>IF(RawData[[#This Row],[Paid/Unpaid]]="Paid", IF(VALUE($E204)&gt;VALUE($D$3),$K204* 10000,$K204* 8000), 0)</f>
        <v>8000</v>
      </c>
      <c r="M204" s="53" t="s">
        <v>146</v>
      </c>
    </row>
    <row r="205" spans="1:13" ht="12.75" customHeight="1" x14ac:dyDescent="0.3">
      <c r="A205" s="71" t="s">
        <v>28</v>
      </c>
      <c r="B205" s="139" t="str">
        <f>IFERROR(VLOOKUP($A205, NameDesignation[], 2,FALSE), " ")</f>
        <v>Former Director</v>
      </c>
      <c r="C205" s="139" t="s">
        <v>29</v>
      </c>
      <c r="D205" s="139">
        <v>449</v>
      </c>
      <c r="E205" s="140">
        <v>43962</v>
      </c>
      <c r="F205" s="139" t="str">
        <f t="shared" si="9"/>
        <v>Q2-20</v>
      </c>
      <c r="G205" s="140" t="str">
        <f t="shared" si="10"/>
        <v>May'20</v>
      </c>
      <c r="H205" s="140" t="str">
        <f>TEXT(RawData[[#This Row],[Date]], "YYYY")</f>
        <v>2020</v>
      </c>
      <c r="I205" s="141" t="s">
        <v>32</v>
      </c>
      <c r="J205" s="141" t="s">
        <v>91</v>
      </c>
      <c r="K205" s="139">
        <f t="shared" si="11"/>
        <v>0</v>
      </c>
      <c r="L205" s="142">
        <f>IF(RawData[[#This Row],[Paid/Unpaid]]="Paid", IF(VALUE($E205)&gt;VALUE($D$3),$K205* 10000,$K205* 8000), 0)</f>
        <v>0</v>
      </c>
      <c r="M205" s="53" t="s">
        <v>146</v>
      </c>
    </row>
    <row r="206" spans="1:13" ht="12.75" customHeight="1" x14ac:dyDescent="0.3">
      <c r="A206" s="143" t="s">
        <v>34</v>
      </c>
      <c r="B206" s="139" t="str">
        <f>IFERROR(VLOOKUP($A206, NameDesignation[], 2,FALSE), " ")</f>
        <v>Former Managing Director &amp; CEO</v>
      </c>
      <c r="C206" s="139" t="s">
        <v>29</v>
      </c>
      <c r="D206" s="139">
        <v>449</v>
      </c>
      <c r="E206" s="140">
        <v>43962</v>
      </c>
      <c r="F206" s="139" t="str">
        <f t="shared" si="9"/>
        <v>Q2-20</v>
      </c>
      <c r="G206" s="140" t="str">
        <f t="shared" si="10"/>
        <v>May'20</v>
      </c>
      <c r="H206" s="140" t="str">
        <f>TEXT(RawData[[#This Row],[Date]], "YYYY")</f>
        <v>2020</v>
      </c>
      <c r="I206" s="141" t="s">
        <v>32</v>
      </c>
      <c r="J206" s="141" t="s">
        <v>91</v>
      </c>
      <c r="K206" s="139">
        <f t="shared" si="11"/>
        <v>0</v>
      </c>
      <c r="L206" s="142">
        <f>IF(RawData[[#This Row],[Paid/Unpaid]]="Paid", IF(VALUE($E206)&gt;VALUE($D$3),$K206* 10000,$K206* 8000), 0)</f>
        <v>0</v>
      </c>
      <c r="M206" s="53" t="s">
        <v>146</v>
      </c>
    </row>
    <row r="207" spans="1:13" ht="12.75" customHeight="1" x14ac:dyDescent="0.3">
      <c r="A207" s="71" t="s">
        <v>7</v>
      </c>
      <c r="B207" s="139" t="str">
        <f>IFERROR(VLOOKUP($A207, NameDesignation[], 2,FALSE), " ")</f>
        <v>Former Director</v>
      </c>
      <c r="C207" s="139" t="s">
        <v>29</v>
      </c>
      <c r="D207" s="139">
        <v>450</v>
      </c>
      <c r="E207" s="140">
        <v>44010</v>
      </c>
      <c r="F207" s="139" t="str">
        <f t="shared" si="9"/>
        <v>Q2-20</v>
      </c>
      <c r="G207" s="140" t="str">
        <f t="shared" si="10"/>
        <v>Jun'20</v>
      </c>
      <c r="H207" s="140" t="str">
        <f>TEXT(RawData[[#This Row],[Date]], "YYYY")</f>
        <v>2020</v>
      </c>
      <c r="I207" s="141" t="s">
        <v>32</v>
      </c>
      <c r="J207" s="141" t="s">
        <v>90</v>
      </c>
      <c r="K207" s="139">
        <f t="shared" si="11"/>
        <v>1</v>
      </c>
      <c r="L207" s="142">
        <f>IF(RawData[[#This Row],[Paid/Unpaid]]="Paid", IF(VALUE($E207)&gt;VALUE($D$3),$K207* 10000,$K207* 8000), 0)</f>
        <v>8000</v>
      </c>
      <c r="M207" s="53" t="s">
        <v>146</v>
      </c>
    </row>
    <row r="208" spans="1:13" ht="12.75" customHeight="1" x14ac:dyDescent="0.3">
      <c r="A208" s="71" t="s">
        <v>8</v>
      </c>
      <c r="B208" s="139" t="str">
        <f>IFERROR(VLOOKUP($A208, NameDesignation[], 2,FALSE), " ")</f>
        <v>Former Vice-Chairman</v>
      </c>
      <c r="C208" s="139" t="s">
        <v>29</v>
      </c>
      <c r="D208" s="139">
        <v>450</v>
      </c>
      <c r="E208" s="140">
        <v>44010</v>
      </c>
      <c r="F208" s="139" t="str">
        <f t="shared" si="9"/>
        <v>Q2-20</v>
      </c>
      <c r="G208" s="140" t="str">
        <f t="shared" si="10"/>
        <v>Jun'20</v>
      </c>
      <c r="H208" s="140" t="str">
        <f>TEXT(RawData[[#This Row],[Date]], "YYYY")</f>
        <v>2020</v>
      </c>
      <c r="I208" s="141" t="s">
        <v>32</v>
      </c>
      <c r="J208" s="141" t="s">
        <v>90</v>
      </c>
      <c r="K208" s="139">
        <f t="shared" si="11"/>
        <v>1</v>
      </c>
      <c r="L208" s="142">
        <f>IF(RawData[[#This Row],[Paid/Unpaid]]="Paid", IF(VALUE($E208)&gt;VALUE($D$3),$K208* 10000,$K208* 8000), 0)</f>
        <v>8000</v>
      </c>
      <c r="M208" s="53" t="s">
        <v>146</v>
      </c>
    </row>
    <row r="209" spans="1:13" ht="12.75" customHeight="1" x14ac:dyDescent="0.3">
      <c r="A209" s="71" t="s">
        <v>9</v>
      </c>
      <c r="B209" s="139" t="str">
        <f>IFERROR(VLOOKUP($A209, NameDesignation[], 2,FALSE), " ")</f>
        <v>Former Director</v>
      </c>
      <c r="C209" s="139" t="s">
        <v>29</v>
      </c>
      <c r="D209" s="139">
        <v>450</v>
      </c>
      <c r="E209" s="140">
        <v>44010</v>
      </c>
      <c r="F209" s="139" t="str">
        <f t="shared" si="9"/>
        <v>Q2-20</v>
      </c>
      <c r="G209" s="140" t="str">
        <f t="shared" si="10"/>
        <v>Jun'20</v>
      </c>
      <c r="H209" s="140" t="str">
        <f>TEXT(RawData[[#This Row],[Date]], "YYYY")</f>
        <v>2020</v>
      </c>
      <c r="I209" s="141" t="s">
        <v>32</v>
      </c>
      <c r="J209" s="141" t="s">
        <v>90</v>
      </c>
      <c r="K209" s="139">
        <f t="shared" si="11"/>
        <v>1</v>
      </c>
      <c r="L209" s="142">
        <f>IF(RawData[[#This Row],[Paid/Unpaid]]="Paid", IF(VALUE($E209)&gt;VALUE($D$3),$K209* 10000,$K209* 8000), 0)</f>
        <v>8000</v>
      </c>
      <c r="M209" s="53" t="s">
        <v>146</v>
      </c>
    </row>
    <row r="210" spans="1:13" ht="12.75" customHeight="1" x14ac:dyDescent="0.3">
      <c r="A210" s="71" t="s">
        <v>20</v>
      </c>
      <c r="B210" s="139" t="str">
        <f>IFERROR(VLOOKUP($A210, NameDesignation[], 2,FALSE), " ")</f>
        <v>Former Independent Director</v>
      </c>
      <c r="C210" s="139" t="s">
        <v>29</v>
      </c>
      <c r="D210" s="139">
        <v>450</v>
      </c>
      <c r="E210" s="140">
        <v>44010</v>
      </c>
      <c r="F210" s="139" t="str">
        <f t="shared" si="9"/>
        <v>Q2-20</v>
      </c>
      <c r="G210" s="140" t="str">
        <f t="shared" si="10"/>
        <v>Jun'20</v>
      </c>
      <c r="H210" s="140" t="str">
        <f>TEXT(RawData[[#This Row],[Date]], "YYYY")</f>
        <v>2020</v>
      </c>
      <c r="I210" s="141" t="s">
        <v>32</v>
      </c>
      <c r="J210" s="141" t="s">
        <v>91</v>
      </c>
      <c r="K210" s="139">
        <f t="shared" si="11"/>
        <v>0</v>
      </c>
      <c r="L210" s="142">
        <f>IF(RawData[[#This Row],[Paid/Unpaid]]="Paid", IF(VALUE($E210)&gt;VALUE($D$3),$K210* 10000,$K210* 8000), 0)</f>
        <v>0</v>
      </c>
      <c r="M210" s="53" t="s">
        <v>146</v>
      </c>
    </row>
    <row r="211" spans="1:13" ht="12.75" customHeight="1" x14ac:dyDescent="0.3">
      <c r="A211" s="71" t="s">
        <v>49</v>
      </c>
      <c r="B211" s="139" t="str">
        <f>IFERROR(VLOOKUP($A211, NameDesignation[], 2,FALSE), " ")</f>
        <v>Former Director</v>
      </c>
      <c r="C211" s="139" t="s">
        <v>29</v>
      </c>
      <c r="D211" s="139">
        <v>450</v>
      </c>
      <c r="E211" s="140">
        <v>44010</v>
      </c>
      <c r="F211" s="139" t="str">
        <f t="shared" si="9"/>
        <v>Q2-20</v>
      </c>
      <c r="G211" s="140" t="str">
        <f t="shared" si="10"/>
        <v>Jun'20</v>
      </c>
      <c r="H211" s="140" t="str">
        <f>TEXT(RawData[[#This Row],[Date]], "YYYY")</f>
        <v>2020</v>
      </c>
      <c r="I211" s="141" t="s">
        <v>32</v>
      </c>
      <c r="J211" s="141" t="s">
        <v>90</v>
      </c>
      <c r="K211" s="139">
        <f t="shared" si="11"/>
        <v>1</v>
      </c>
      <c r="L211" s="142">
        <f>IF(RawData[[#This Row],[Paid/Unpaid]]="Paid", IF(VALUE($E211)&gt;VALUE($D$3),$K211* 10000,$K211* 8000), 0)</f>
        <v>8000</v>
      </c>
      <c r="M211" s="53" t="s">
        <v>146</v>
      </c>
    </row>
    <row r="212" spans="1:13" ht="12.75" customHeight="1" x14ac:dyDescent="0.3">
      <c r="A212" s="71" t="s">
        <v>11</v>
      </c>
      <c r="B212" s="139" t="str">
        <f>IFERROR(VLOOKUP($A212, NameDesignation[], 2,FALSE), " ")</f>
        <v>Former Director</v>
      </c>
      <c r="C212" s="139" t="s">
        <v>29</v>
      </c>
      <c r="D212" s="139">
        <v>450</v>
      </c>
      <c r="E212" s="140">
        <v>44010</v>
      </c>
      <c r="F212" s="139" t="str">
        <f t="shared" si="9"/>
        <v>Q2-20</v>
      </c>
      <c r="G212" s="140" t="str">
        <f t="shared" si="10"/>
        <v>Jun'20</v>
      </c>
      <c r="H212" s="140" t="str">
        <f>TEXT(RawData[[#This Row],[Date]], "YYYY")</f>
        <v>2020</v>
      </c>
      <c r="I212" s="141" t="s">
        <v>32</v>
      </c>
      <c r="J212" s="141" t="s">
        <v>90</v>
      </c>
      <c r="K212" s="139">
        <f t="shared" si="11"/>
        <v>1</v>
      </c>
      <c r="L212" s="142">
        <f>IF(RawData[[#This Row],[Paid/Unpaid]]="Paid", IF(VALUE($E212)&gt;VALUE($D$3),$K212* 10000,$K212* 8000), 0)</f>
        <v>8000</v>
      </c>
      <c r="M212" s="53" t="s">
        <v>146</v>
      </c>
    </row>
    <row r="213" spans="1:13" ht="12.75" customHeight="1" x14ac:dyDescent="0.3">
      <c r="A213" s="71" t="s">
        <v>12</v>
      </c>
      <c r="B213" s="139" t="str">
        <f>IFERROR(VLOOKUP($A213, NameDesignation[], 2,FALSE), " ")</f>
        <v>Former Director</v>
      </c>
      <c r="C213" s="139" t="s">
        <v>29</v>
      </c>
      <c r="D213" s="139">
        <v>450</v>
      </c>
      <c r="E213" s="140">
        <v>44010</v>
      </c>
      <c r="F213" s="139" t="str">
        <f t="shared" si="9"/>
        <v>Q2-20</v>
      </c>
      <c r="G213" s="140" t="str">
        <f t="shared" si="10"/>
        <v>Jun'20</v>
      </c>
      <c r="H213" s="140" t="str">
        <f>TEXT(RawData[[#This Row],[Date]], "YYYY")</f>
        <v>2020</v>
      </c>
      <c r="I213" s="141" t="s">
        <v>32</v>
      </c>
      <c r="J213" s="141" t="s">
        <v>90</v>
      </c>
      <c r="K213" s="139">
        <f t="shared" si="11"/>
        <v>1</v>
      </c>
      <c r="L213" s="142">
        <f>IF(RawData[[#This Row],[Paid/Unpaid]]="Paid", IF(VALUE($E213)&gt;VALUE($D$3),$K213* 10000,$K213* 8000), 0)</f>
        <v>8000</v>
      </c>
      <c r="M213" s="53" t="s">
        <v>146</v>
      </c>
    </row>
    <row r="214" spans="1:13" ht="12.75" customHeight="1" x14ac:dyDescent="0.3">
      <c r="A214" s="71" t="s">
        <v>137</v>
      </c>
      <c r="B214" s="139" t="str">
        <f>IFERROR(VLOOKUP($A214, NameDesignation[], 2,FALSE), " ")</f>
        <v>Former Director</v>
      </c>
      <c r="C214" s="139" t="s">
        <v>29</v>
      </c>
      <c r="D214" s="139">
        <v>450</v>
      </c>
      <c r="E214" s="140">
        <v>44010</v>
      </c>
      <c r="F214" s="139" t="str">
        <f t="shared" si="9"/>
        <v>Q2-20</v>
      </c>
      <c r="G214" s="140" t="str">
        <f t="shared" si="10"/>
        <v>Jun'20</v>
      </c>
      <c r="H214" s="140" t="str">
        <f>TEXT(RawData[[#This Row],[Date]], "YYYY")</f>
        <v>2020</v>
      </c>
      <c r="I214" s="141" t="s">
        <v>32</v>
      </c>
      <c r="J214" s="141" t="s">
        <v>90</v>
      </c>
      <c r="K214" s="139">
        <f t="shared" si="11"/>
        <v>1</v>
      </c>
      <c r="L214" s="142">
        <f>IF(RawData[[#This Row],[Paid/Unpaid]]="Paid", IF(VALUE($E214)&gt;VALUE($D$3),$K214* 10000,$K214* 8000), 0)</f>
        <v>8000</v>
      </c>
      <c r="M214" s="53" t="s">
        <v>146</v>
      </c>
    </row>
    <row r="215" spans="1:13" ht="12.75" customHeight="1" x14ac:dyDescent="0.3">
      <c r="A215" s="71" t="s">
        <v>13</v>
      </c>
      <c r="B215" s="139" t="str">
        <f>IFERROR(VLOOKUP($A215, NameDesignation[], 2,FALSE), " ")</f>
        <v>Former Director</v>
      </c>
      <c r="C215" s="139" t="s">
        <v>29</v>
      </c>
      <c r="D215" s="139">
        <v>450</v>
      </c>
      <c r="E215" s="140">
        <v>44010</v>
      </c>
      <c r="F215" s="139" t="str">
        <f t="shared" si="9"/>
        <v>Q2-20</v>
      </c>
      <c r="G215" s="140" t="str">
        <f t="shared" si="10"/>
        <v>Jun'20</v>
      </c>
      <c r="H215" s="140" t="str">
        <f>TEXT(RawData[[#This Row],[Date]], "YYYY")</f>
        <v>2020</v>
      </c>
      <c r="I215" s="141" t="s">
        <v>32</v>
      </c>
      <c r="J215" s="141" t="s">
        <v>90</v>
      </c>
      <c r="K215" s="139">
        <f t="shared" si="11"/>
        <v>1</v>
      </c>
      <c r="L215" s="142">
        <f>IF(RawData[[#This Row],[Paid/Unpaid]]="Paid", IF(VALUE($E215)&gt;VALUE($D$3),$K215* 10000,$K215* 8000), 0)</f>
        <v>8000</v>
      </c>
      <c r="M215" s="53" t="s">
        <v>146</v>
      </c>
    </row>
    <row r="216" spans="1:13" ht="12.75" customHeight="1" x14ac:dyDescent="0.3">
      <c r="A216" s="71" t="s">
        <v>61</v>
      </c>
      <c r="B216" s="139" t="str">
        <f>IFERROR(VLOOKUP($A216, NameDesignation[], 2,FALSE), " ")</f>
        <v>Former Director</v>
      </c>
      <c r="C216" s="139" t="s">
        <v>29</v>
      </c>
      <c r="D216" s="139">
        <v>450</v>
      </c>
      <c r="E216" s="140">
        <v>44010</v>
      </c>
      <c r="F216" s="139" t="str">
        <f t="shared" si="9"/>
        <v>Q2-20</v>
      </c>
      <c r="G216" s="140" t="str">
        <f t="shared" si="10"/>
        <v>Jun'20</v>
      </c>
      <c r="H216" s="140" t="str">
        <f>TEXT(RawData[[#This Row],[Date]], "YYYY")</f>
        <v>2020</v>
      </c>
      <c r="I216" s="141" t="s">
        <v>32</v>
      </c>
      <c r="J216" s="141" t="s">
        <v>90</v>
      </c>
      <c r="K216" s="139">
        <f t="shared" si="11"/>
        <v>1</v>
      </c>
      <c r="L216" s="142">
        <f>IF(RawData[[#This Row],[Paid/Unpaid]]="Paid", IF(VALUE($E216)&gt;VALUE($D$3),$K216* 10000,$K216* 8000), 0)</f>
        <v>8000</v>
      </c>
      <c r="M216" s="53" t="s">
        <v>146</v>
      </c>
    </row>
    <row r="217" spans="1:13" ht="12.75" customHeight="1" x14ac:dyDescent="0.3">
      <c r="A217" s="71" t="s">
        <v>23</v>
      </c>
      <c r="B217" s="139" t="str">
        <f>IFERROR(VLOOKUP($A217, NameDesignation[], 2,FALSE), " ")</f>
        <v>Former Director</v>
      </c>
      <c r="C217" s="139" t="s">
        <v>29</v>
      </c>
      <c r="D217" s="139">
        <v>450</v>
      </c>
      <c r="E217" s="140">
        <v>44010</v>
      </c>
      <c r="F217" s="139" t="str">
        <f t="shared" si="9"/>
        <v>Q2-20</v>
      </c>
      <c r="G217" s="140" t="str">
        <f t="shared" si="10"/>
        <v>Jun'20</v>
      </c>
      <c r="H217" s="140" t="str">
        <f>TEXT(RawData[[#This Row],[Date]], "YYYY")</f>
        <v>2020</v>
      </c>
      <c r="I217" s="141" t="s">
        <v>32</v>
      </c>
      <c r="J217" s="141" t="s">
        <v>90</v>
      </c>
      <c r="K217" s="139">
        <f t="shared" si="11"/>
        <v>1</v>
      </c>
      <c r="L217" s="142">
        <f>IF(RawData[[#This Row],[Paid/Unpaid]]="Paid", IF(VALUE($E217)&gt;VALUE($D$3),$K217* 10000,$K217* 8000), 0)</f>
        <v>8000</v>
      </c>
      <c r="M217" s="53" t="s">
        <v>146</v>
      </c>
    </row>
    <row r="218" spans="1:13" ht="12.75" customHeight="1" x14ac:dyDescent="0.3">
      <c r="A218" s="71" t="s">
        <v>24</v>
      </c>
      <c r="B218" s="139" t="str">
        <f>IFERROR(VLOOKUP($A218, NameDesignation[], 2,FALSE), " ")</f>
        <v>Former Director</v>
      </c>
      <c r="C218" s="139" t="s">
        <v>29</v>
      </c>
      <c r="D218" s="139">
        <v>450</v>
      </c>
      <c r="E218" s="140">
        <v>44010</v>
      </c>
      <c r="F218" s="139" t="str">
        <f t="shared" si="9"/>
        <v>Q2-20</v>
      </c>
      <c r="G218" s="140" t="str">
        <f t="shared" si="10"/>
        <v>Jun'20</v>
      </c>
      <c r="H218" s="140" t="str">
        <f>TEXT(RawData[[#This Row],[Date]], "YYYY")</f>
        <v>2020</v>
      </c>
      <c r="I218" s="141" t="s">
        <v>32</v>
      </c>
      <c r="J218" s="141" t="s">
        <v>90</v>
      </c>
      <c r="K218" s="139">
        <f t="shared" si="11"/>
        <v>1</v>
      </c>
      <c r="L218" s="142">
        <f>IF(RawData[[#This Row],[Paid/Unpaid]]="Paid", IF(VALUE($E218)&gt;VALUE($D$3),$K218* 10000,$K218* 8000), 0)</f>
        <v>8000</v>
      </c>
      <c r="M218" s="53" t="s">
        <v>146</v>
      </c>
    </row>
    <row r="219" spans="1:13" ht="12.75" customHeight="1" x14ac:dyDescent="0.3">
      <c r="A219" s="71" t="s">
        <v>21</v>
      </c>
      <c r="B219" s="139" t="str">
        <f>IFERROR(VLOOKUP($A219, NameDesignation[], 2,FALSE), " ")</f>
        <v>Former Independent Director</v>
      </c>
      <c r="C219" s="139" t="s">
        <v>29</v>
      </c>
      <c r="D219" s="139">
        <v>450</v>
      </c>
      <c r="E219" s="140">
        <v>44010</v>
      </c>
      <c r="F219" s="139" t="str">
        <f t="shared" si="9"/>
        <v>Q2-20</v>
      </c>
      <c r="G219" s="140" t="str">
        <f t="shared" si="10"/>
        <v>Jun'20</v>
      </c>
      <c r="H219" s="140" t="str">
        <f>TEXT(RawData[[#This Row],[Date]], "YYYY")</f>
        <v>2020</v>
      </c>
      <c r="I219" s="141" t="s">
        <v>32</v>
      </c>
      <c r="J219" s="141" t="s">
        <v>90</v>
      </c>
      <c r="K219" s="139">
        <f t="shared" si="11"/>
        <v>1</v>
      </c>
      <c r="L219" s="142">
        <f>IF(RawData[[#This Row],[Paid/Unpaid]]="Paid", IF(VALUE($E219)&gt;VALUE($D$3),$K219* 10000,$K219* 8000), 0)</f>
        <v>8000</v>
      </c>
      <c r="M219" s="53" t="s">
        <v>146</v>
      </c>
    </row>
    <row r="220" spans="1:13" ht="12.75" customHeight="1" x14ac:dyDescent="0.3">
      <c r="A220" s="71" t="s">
        <v>25</v>
      </c>
      <c r="B220" s="139" t="str">
        <f>IFERROR(VLOOKUP($A220, NameDesignation[], 2,FALSE), " ")</f>
        <v>Former Director</v>
      </c>
      <c r="C220" s="139" t="s">
        <v>29</v>
      </c>
      <c r="D220" s="139">
        <v>450</v>
      </c>
      <c r="E220" s="140">
        <v>44010</v>
      </c>
      <c r="F220" s="139" t="str">
        <f t="shared" si="9"/>
        <v>Q2-20</v>
      </c>
      <c r="G220" s="140" t="str">
        <f t="shared" si="10"/>
        <v>Jun'20</v>
      </c>
      <c r="H220" s="140" t="str">
        <f>TEXT(RawData[[#This Row],[Date]], "YYYY")</f>
        <v>2020</v>
      </c>
      <c r="I220" s="141" t="s">
        <v>32</v>
      </c>
      <c r="J220" s="141" t="s">
        <v>91</v>
      </c>
      <c r="K220" s="139">
        <f t="shared" si="11"/>
        <v>0</v>
      </c>
      <c r="L220" s="142">
        <f>IF(RawData[[#This Row],[Paid/Unpaid]]="Paid", IF(VALUE($E220)&gt;VALUE($D$3),$K220* 10000,$K220* 8000), 0)</f>
        <v>0</v>
      </c>
      <c r="M220" s="53" t="s">
        <v>146</v>
      </c>
    </row>
    <row r="221" spans="1:13" ht="12.75" customHeight="1" x14ac:dyDescent="0.3">
      <c r="A221" s="71" t="s">
        <v>50</v>
      </c>
      <c r="B221" s="139" t="str">
        <f>IFERROR(VLOOKUP($A221, NameDesignation[], 2,FALSE), " ")</f>
        <v>Former Director</v>
      </c>
      <c r="C221" s="139" t="s">
        <v>29</v>
      </c>
      <c r="D221" s="139">
        <v>450</v>
      </c>
      <c r="E221" s="140">
        <v>44010</v>
      </c>
      <c r="F221" s="139" t="str">
        <f t="shared" si="9"/>
        <v>Q2-20</v>
      </c>
      <c r="G221" s="140" t="str">
        <f t="shared" si="10"/>
        <v>Jun'20</v>
      </c>
      <c r="H221" s="140" t="str">
        <f>TEXT(RawData[[#This Row],[Date]], "YYYY")</f>
        <v>2020</v>
      </c>
      <c r="I221" s="141" t="s">
        <v>32</v>
      </c>
      <c r="J221" s="141" t="s">
        <v>90</v>
      </c>
      <c r="K221" s="139">
        <f t="shared" si="11"/>
        <v>1</v>
      </c>
      <c r="L221" s="142">
        <f>IF(RawData[[#This Row],[Paid/Unpaid]]="Paid", IF(VALUE($E221)&gt;VALUE($D$3),$K221* 10000,$K221* 8000), 0)</f>
        <v>8000</v>
      </c>
      <c r="M221" s="53" t="s">
        <v>146</v>
      </c>
    </row>
    <row r="222" spans="1:13" ht="12.75" customHeight="1" x14ac:dyDescent="0.3">
      <c r="A222" s="71" t="s">
        <v>51</v>
      </c>
      <c r="B222" s="139" t="str">
        <f>IFERROR(VLOOKUP($A222, NameDesignation[], 2,FALSE), " ")</f>
        <v>Former Director</v>
      </c>
      <c r="C222" s="139" t="s">
        <v>29</v>
      </c>
      <c r="D222" s="139">
        <v>450</v>
      </c>
      <c r="E222" s="140">
        <v>44010</v>
      </c>
      <c r="F222" s="139" t="str">
        <f t="shared" si="9"/>
        <v>Q2-20</v>
      </c>
      <c r="G222" s="140" t="str">
        <f t="shared" si="10"/>
        <v>Jun'20</v>
      </c>
      <c r="H222" s="140" t="str">
        <f>TEXT(RawData[[#This Row],[Date]], "YYYY")</f>
        <v>2020</v>
      </c>
      <c r="I222" s="141" t="s">
        <v>32</v>
      </c>
      <c r="J222" s="141" t="s">
        <v>91</v>
      </c>
      <c r="K222" s="139">
        <f t="shared" si="11"/>
        <v>0</v>
      </c>
      <c r="L222" s="142">
        <f>IF(RawData[[#This Row],[Paid/Unpaid]]="Paid", IF(VALUE($E222)&gt;VALUE($D$3),$K222* 10000,$K222* 8000), 0)</f>
        <v>0</v>
      </c>
      <c r="M222" s="53" t="s">
        <v>146</v>
      </c>
    </row>
    <row r="223" spans="1:13" ht="12.75" customHeight="1" x14ac:dyDescent="0.3">
      <c r="A223" s="71" t="s">
        <v>27</v>
      </c>
      <c r="B223" s="139" t="str">
        <f>IFERROR(VLOOKUP($A223, NameDesignation[], 2,FALSE), " ")</f>
        <v>Former Director</v>
      </c>
      <c r="C223" s="139" t="s">
        <v>29</v>
      </c>
      <c r="D223" s="139">
        <v>450</v>
      </c>
      <c r="E223" s="140">
        <v>44010</v>
      </c>
      <c r="F223" s="139" t="str">
        <f t="shared" si="9"/>
        <v>Q2-20</v>
      </c>
      <c r="G223" s="140" t="str">
        <f t="shared" si="10"/>
        <v>Jun'20</v>
      </c>
      <c r="H223" s="140" t="str">
        <f>TEXT(RawData[[#This Row],[Date]], "YYYY")</f>
        <v>2020</v>
      </c>
      <c r="I223" s="141" t="s">
        <v>32</v>
      </c>
      <c r="J223" s="141" t="s">
        <v>91</v>
      </c>
      <c r="K223" s="139">
        <f t="shared" si="11"/>
        <v>0</v>
      </c>
      <c r="L223" s="142">
        <f>IF(RawData[[#This Row],[Paid/Unpaid]]="Paid", IF(VALUE($E223)&gt;VALUE($D$3),$K223* 10000,$K223* 8000), 0)</f>
        <v>0</v>
      </c>
      <c r="M223" s="53" t="s">
        <v>146</v>
      </c>
    </row>
    <row r="224" spans="1:13" ht="12.75" customHeight="1" x14ac:dyDescent="0.3">
      <c r="A224" s="71" t="s">
        <v>18</v>
      </c>
      <c r="B224" s="139" t="str">
        <f>IFERROR(VLOOKUP($A224, NameDesignation[], 2,FALSE), " ")</f>
        <v>Former Independent Director</v>
      </c>
      <c r="C224" s="139" t="s">
        <v>29</v>
      </c>
      <c r="D224" s="139">
        <v>450</v>
      </c>
      <c r="E224" s="140">
        <v>44010</v>
      </c>
      <c r="F224" s="139" t="str">
        <f t="shared" si="9"/>
        <v>Q2-20</v>
      </c>
      <c r="G224" s="140" t="str">
        <f t="shared" si="10"/>
        <v>Jun'20</v>
      </c>
      <c r="H224" s="140" t="str">
        <f>TEXT(RawData[[#This Row],[Date]], "YYYY")</f>
        <v>2020</v>
      </c>
      <c r="I224" s="141" t="s">
        <v>32</v>
      </c>
      <c r="J224" s="141" t="s">
        <v>90</v>
      </c>
      <c r="K224" s="139">
        <f t="shared" si="11"/>
        <v>1</v>
      </c>
      <c r="L224" s="142">
        <f>IF(RawData[[#This Row],[Paid/Unpaid]]="Paid", IF(VALUE($E224)&gt;VALUE($D$3),$K224* 10000,$K224* 8000), 0)</f>
        <v>8000</v>
      </c>
      <c r="M224" s="53" t="s">
        <v>146</v>
      </c>
    </row>
    <row r="225" spans="1:13" ht="12.75" customHeight="1" x14ac:dyDescent="0.3">
      <c r="A225" s="143" t="s">
        <v>35</v>
      </c>
      <c r="B225" s="139" t="str">
        <f>IFERROR(VLOOKUP($A225, NameDesignation[], 2,FALSE), " ")</f>
        <v>Former Managing Director &amp; CEO</v>
      </c>
      <c r="C225" s="139" t="s">
        <v>29</v>
      </c>
      <c r="D225" s="139">
        <v>450</v>
      </c>
      <c r="E225" s="140">
        <v>44010</v>
      </c>
      <c r="F225" s="139" t="str">
        <f t="shared" si="9"/>
        <v>Q2-20</v>
      </c>
      <c r="G225" s="140" t="str">
        <f t="shared" si="10"/>
        <v>Jun'20</v>
      </c>
      <c r="H225" s="140" t="str">
        <f>TEXT(RawData[[#This Row],[Date]], "YYYY")</f>
        <v>2020</v>
      </c>
      <c r="I225" s="141" t="s">
        <v>32</v>
      </c>
      <c r="J225" s="141" t="s">
        <v>90</v>
      </c>
      <c r="K225" s="139">
        <f t="shared" si="11"/>
        <v>1</v>
      </c>
      <c r="L225" s="142">
        <f>IF(RawData[[#This Row],[Paid/Unpaid]]="Paid", IF(VALUE($E225)&gt;VALUE($D$3),$K225* 10000,$K225* 8000), 0)</f>
        <v>8000</v>
      </c>
      <c r="M225" s="53" t="s">
        <v>146</v>
      </c>
    </row>
    <row r="226" spans="1:13" ht="12.75" customHeight="1" x14ac:dyDescent="0.3">
      <c r="A226" s="143" t="s">
        <v>20</v>
      </c>
      <c r="B226" s="139" t="str">
        <f>IFERROR(VLOOKUP($A226, NameDesignation[], 2,FALSE), " ")</f>
        <v>Former Independent Director</v>
      </c>
      <c r="C226" s="139" t="s">
        <v>37</v>
      </c>
      <c r="D226" s="139">
        <v>109</v>
      </c>
      <c r="E226" s="140">
        <v>44010</v>
      </c>
      <c r="F226" s="139" t="str">
        <f t="shared" si="9"/>
        <v>Q2-20</v>
      </c>
      <c r="G226" s="140" t="str">
        <f t="shared" si="10"/>
        <v>Jun'20</v>
      </c>
      <c r="H226" s="140" t="str">
        <f>TEXT(RawData[[#This Row],[Date]], "YYYY")</f>
        <v>2020</v>
      </c>
      <c r="I226" s="141" t="s">
        <v>32</v>
      </c>
      <c r="J226" s="141" t="s">
        <v>90</v>
      </c>
      <c r="K226" s="139">
        <f t="shared" si="11"/>
        <v>1</v>
      </c>
      <c r="L226" s="142">
        <f>IF(RawData[[#This Row],[Paid/Unpaid]]="Paid", IF(VALUE($E226)&gt;VALUE($D$3),$K226* 10000,$K226* 8000), 0)</f>
        <v>8000</v>
      </c>
      <c r="M226" s="53" t="s">
        <v>146</v>
      </c>
    </row>
    <row r="227" spans="1:13" ht="12.75" customHeight="1" x14ac:dyDescent="0.3">
      <c r="A227" s="143" t="s">
        <v>23</v>
      </c>
      <c r="B227" s="139" t="str">
        <f>IFERROR(VLOOKUP($A227, NameDesignation[], 2,FALSE), " ")</f>
        <v>Former Director</v>
      </c>
      <c r="C227" s="139" t="s">
        <v>37</v>
      </c>
      <c r="D227" s="139">
        <v>109</v>
      </c>
      <c r="E227" s="140">
        <v>44010</v>
      </c>
      <c r="F227" s="139" t="str">
        <f t="shared" si="9"/>
        <v>Q2-20</v>
      </c>
      <c r="G227" s="140" t="str">
        <f t="shared" si="10"/>
        <v>Jun'20</v>
      </c>
      <c r="H227" s="140" t="str">
        <f>TEXT(RawData[[#This Row],[Date]], "YYYY")</f>
        <v>2020</v>
      </c>
      <c r="I227" s="141" t="s">
        <v>32</v>
      </c>
      <c r="J227" s="141" t="s">
        <v>90</v>
      </c>
      <c r="K227" s="139">
        <f t="shared" si="11"/>
        <v>1</v>
      </c>
      <c r="L227" s="142">
        <f>IF(RawData[[#This Row],[Paid/Unpaid]]="Paid", IF(VALUE($E227)&gt;VALUE($D$3),$K227* 10000,$K227* 8000), 0)</f>
        <v>8000</v>
      </c>
      <c r="M227" s="53" t="s">
        <v>146</v>
      </c>
    </row>
    <row r="228" spans="1:13" ht="12.75" customHeight="1" x14ac:dyDescent="0.3">
      <c r="A228" s="143" t="s">
        <v>24</v>
      </c>
      <c r="B228" s="139" t="str">
        <f>IFERROR(VLOOKUP($A228, NameDesignation[], 2,FALSE), " ")</f>
        <v>Former Director</v>
      </c>
      <c r="C228" s="139" t="s">
        <v>37</v>
      </c>
      <c r="D228" s="139">
        <v>109</v>
      </c>
      <c r="E228" s="140">
        <v>44010</v>
      </c>
      <c r="F228" s="139" t="str">
        <f t="shared" si="9"/>
        <v>Q2-20</v>
      </c>
      <c r="G228" s="140" t="str">
        <f t="shared" si="10"/>
        <v>Jun'20</v>
      </c>
      <c r="H228" s="140" t="str">
        <f>TEXT(RawData[[#This Row],[Date]], "YYYY")</f>
        <v>2020</v>
      </c>
      <c r="I228" s="141" t="s">
        <v>32</v>
      </c>
      <c r="J228" s="141" t="s">
        <v>90</v>
      </c>
      <c r="K228" s="139">
        <f t="shared" si="11"/>
        <v>1</v>
      </c>
      <c r="L228" s="142">
        <f>IF(RawData[[#This Row],[Paid/Unpaid]]="Paid", IF(VALUE($E228)&gt;VALUE($D$3),$K228* 10000,$K228* 8000), 0)</f>
        <v>8000</v>
      </c>
      <c r="M228" s="53" t="s">
        <v>146</v>
      </c>
    </row>
    <row r="229" spans="1:13" ht="12.75" customHeight="1" x14ac:dyDescent="0.3">
      <c r="A229" s="143" t="s">
        <v>18</v>
      </c>
      <c r="B229" s="139" t="str">
        <f>IFERROR(VLOOKUP($A229, NameDesignation[], 2,FALSE), " ")</f>
        <v>Former Independent Director</v>
      </c>
      <c r="C229" s="139" t="s">
        <v>37</v>
      </c>
      <c r="D229" s="139">
        <v>109</v>
      </c>
      <c r="E229" s="140">
        <v>44010</v>
      </c>
      <c r="F229" s="139" t="str">
        <f t="shared" si="9"/>
        <v>Q2-20</v>
      </c>
      <c r="G229" s="140" t="str">
        <f t="shared" si="10"/>
        <v>Jun'20</v>
      </c>
      <c r="H229" s="140" t="str">
        <f>TEXT(RawData[[#This Row],[Date]], "YYYY")</f>
        <v>2020</v>
      </c>
      <c r="I229" s="141" t="s">
        <v>32</v>
      </c>
      <c r="J229" s="141" t="s">
        <v>90</v>
      </c>
      <c r="K229" s="139">
        <f t="shared" si="11"/>
        <v>1</v>
      </c>
      <c r="L229" s="142">
        <f>IF(RawData[[#This Row],[Paid/Unpaid]]="Paid", IF(VALUE($E229)&gt;VALUE($D$3),$K229* 10000,$K229* 8000), 0)</f>
        <v>8000</v>
      </c>
      <c r="M229" s="53" t="s">
        <v>146</v>
      </c>
    </row>
    <row r="230" spans="1:13" ht="12.75" customHeight="1" x14ac:dyDescent="0.3">
      <c r="A230" s="143" t="s">
        <v>27</v>
      </c>
      <c r="B230" s="139" t="str">
        <f>IFERROR(VLOOKUP($A230, NameDesignation[], 2,FALSE), " ")</f>
        <v>Former Director</v>
      </c>
      <c r="C230" s="139" t="s">
        <v>37</v>
      </c>
      <c r="D230" s="139">
        <v>109</v>
      </c>
      <c r="E230" s="140">
        <v>44010</v>
      </c>
      <c r="F230" s="139" t="str">
        <f t="shared" si="9"/>
        <v>Q2-20</v>
      </c>
      <c r="G230" s="140" t="str">
        <f t="shared" si="10"/>
        <v>Jun'20</v>
      </c>
      <c r="H230" s="140" t="str">
        <f>TEXT(RawData[[#This Row],[Date]], "YYYY")</f>
        <v>2020</v>
      </c>
      <c r="I230" s="141" t="s">
        <v>32</v>
      </c>
      <c r="J230" s="141" t="s">
        <v>91</v>
      </c>
      <c r="K230" s="139">
        <f t="shared" si="11"/>
        <v>0</v>
      </c>
      <c r="L230" s="142">
        <f>IF(RawData[[#This Row],[Paid/Unpaid]]="Paid", IF(VALUE($E230)&gt;VALUE($D$3),$K230* 10000,$K230* 8000), 0)</f>
        <v>0</v>
      </c>
      <c r="M230" s="53" t="s">
        <v>146</v>
      </c>
    </row>
    <row r="231" spans="1:13" ht="12.75" customHeight="1" x14ac:dyDescent="0.3">
      <c r="A231" s="143" t="s">
        <v>21</v>
      </c>
      <c r="B231" s="139" t="str">
        <f>IFERROR(VLOOKUP($A231, NameDesignation[], 2,FALSE), " ")</f>
        <v>Former Independent Director</v>
      </c>
      <c r="C231" s="139" t="s">
        <v>43</v>
      </c>
      <c r="D231" s="139">
        <v>1</v>
      </c>
      <c r="E231" s="140">
        <v>44010</v>
      </c>
      <c r="F231" s="139" t="str">
        <f t="shared" si="9"/>
        <v>Q2-20</v>
      </c>
      <c r="G231" s="140" t="str">
        <f t="shared" si="10"/>
        <v>Jun'20</v>
      </c>
      <c r="H231" s="140" t="str">
        <f>TEXT(RawData[[#This Row],[Date]], "YYYY")</f>
        <v>2020</v>
      </c>
      <c r="I231" s="141" t="s">
        <v>32</v>
      </c>
      <c r="J231" s="141" t="s">
        <v>90</v>
      </c>
      <c r="K231" s="139">
        <f t="shared" si="11"/>
        <v>1</v>
      </c>
      <c r="L231" s="142">
        <f>IF(RawData[[#This Row],[Paid/Unpaid]]="Paid", IF(VALUE($E231)&gt;VALUE($D$3),$K231* 10000,$K231* 8000), 0)</f>
        <v>8000</v>
      </c>
      <c r="M231" s="53" t="s">
        <v>146</v>
      </c>
    </row>
    <row r="232" spans="1:13" ht="12.75" customHeight="1" x14ac:dyDescent="0.3">
      <c r="A232" s="143" t="s">
        <v>13</v>
      </c>
      <c r="B232" s="139" t="str">
        <f>IFERROR(VLOOKUP($A232, NameDesignation[], 2,FALSE), " ")</f>
        <v>Former Director</v>
      </c>
      <c r="C232" s="139" t="s">
        <v>43</v>
      </c>
      <c r="D232" s="139">
        <v>1</v>
      </c>
      <c r="E232" s="140">
        <v>44010</v>
      </c>
      <c r="F232" s="139" t="str">
        <f t="shared" si="9"/>
        <v>Q2-20</v>
      </c>
      <c r="G232" s="140" t="str">
        <f t="shared" si="10"/>
        <v>Jun'20</v>
      </c>
      <c r="H232" s="140" t="str">
        <f>TEXT(RawData[[#This Row],[Date]], "YYYY")</f>
        <v>2020</v>
      </c>
      <c r="I232" s="141" t="s">
        <v>32</v>
      </c>
      <c r="J232" s="141" t="s">
        <v>90</v>
      </c>
      <c r="K232" s="139">
        <f t="shared" si="11"/>
        <v>1</v>
      </c>
      <c r="L232" s="142">
        <f>IF(RawData[[#This Row],[Paid/Unpaid]]="Paid", IF(VALUE($E232)&gt;VALUE($D$3),$K232* 10000,$K232* 8000), 0)</f>
        <v>8000</v>
      </c>
      <c r="M232" s="53" t="s">
        <v>146</v>
      </c>
    </row>
    <row r="233" spans="1:13" ht="12.75" customHeight="1" x14ac:dyDescent="0.3">
      <c r="A233" s="143" t="s">
        <v>12</v>
      </c>
      <c r="B233" s="139" t="str">
        <f>IFERROR(VLOOKUP($A233, NameDesignation[], 2,FALSE), " ")</f>
        <v>Former Director</v>
      </c>
      <c r="C233" s="139" t="s">
        <v>43</v>
      </c>
      <c r="D233" s="139">
        <v>1</v>
      </c>
      <c r="E233" s="140">
        <v>44010</v>
      </c>
      <c r="F233" s="139" t="str">
        <f t="shared" si="9"/>
        <v>Q2-20</v>
      </c>
      <c r="G233" s="140" t="str">
        <f t="shared" si="10"/>
        <v>Jun'20</v>
      </c>
      <c r="H233" s="140" t="str">
        <f>TEXT(RawData[[#This Row],[Date]], "YYYY")</f>
        <v>2020</v>
      </c>
      <c r="I233" s="141" t="s">
        <v>32</v>
      </c>
      <c r="J233" s="141" t="s">
        <v>90</v>
      </c>
      <c r="K233" s="139">
        <f t="shared" si="11"/>
        <v>1</v>
      </c>
      <c r="L233" s="142">
        <f>IF(RawData[[#This Row],[Paid/Unpaid]]="Paid", IF(VALUE($E233)&gt;VALUE($D$3),$K233* 10000,$K233* 8000), 0)</f>
        <v>8000</v>
      </c>
      <c r="M233" s="53" t="s">
        <v>146</v>
      </c>
    </row>
    <row r="234" spans="1:13" ht="12.75" customHeight="1" x14ac:dyDescent="0.3">
      <c r="A234" s="143" t="s">
        <v>137</v>
      </c>
      <c r="B234" s="139" t="str">
        <f>IFERROR(VLOOKUP($A234, NameDesignation[], 2,FALSE), " ")</f>
        <v>Former Director</v>
      </c>
      <c r="C234" s="139" t="s">
        <v>43</v>
      </c>
      <c r="D234" s="139">
        <v>1</v>
      </c>
      <c r="E234" s="140">
        <v>44010</v>
      </c>
      <c r="F234" s="139" t="str">
        <f t="shared" si="9"/>
        <v>Q2-20</v>
      </c>
      <c r="G234" s="140" t="str">
        <f t="shared" si="10"/>
        <v>Jun'20</v>
      </c>
      <c r="H234" s="140" t="str">
        <f>TEXT(RawData[[#This Row],[Date]], "YYYY")</f>
        <v>2020</v>
      </c>
      <c r="I234" s="141" t="s">
        <v>32</v>
      </c>
      <c r="J234" s="141" t="s">
        <v>90</v>
      </c>
      <c r="K234" s="139">
        <f t="shared" si="11"/>
        <v>1</v>
      </c>
      <c r="L234" s="142">
        <f>IF(RawData[[#This Row],[Paid/Unpaid]]="Paid", IF(VALUE($E234)&gt;VALUE($D$3),$K234* 10000,$K234* 8000), 0)</f>
        <v>8000</v>
      </c>
      <c r="M234" s="53" t="s">
        <v>146</v>
      </c>
    </row>
    <row r="235" spans="1:13" ht="12.75" customHeight="1" x14ac:dyDescent="0.3">
      <c r="A235" s="143" t="s">
        <v>51</v>
      </c>
      <c r="B235" s="139" t="str">
        <f>IFERROR(VLOOKUP($A235, NameDesignation[], 2,FALSE), " ")</f>
        <v>Former Director</v>
      </c>
      <c r="C235" s="139" t="s">
        <v>43</v>
      </c>
      <c r="D235" s="139">
        <v>1</v>
      </c>
      <c r="E235" s="140">
        <v>44010</v>
      </c>
      <c r="F235" s="139" t="str">
        <f t="shared" si="9"/>
        <v>Q2-20</v>
      </c>
      <c r="G235" s="140" t="str">
        <f t="shared" si="10"/>
        <v>Jun'20</v>
      </c>
      <c r="H235" s="140" t="str">
        <f>TEXT(RawData[[#This Row],[Date]], "YYYY")</f>
        <v>2020</v>
      </c>
      <c r="I235" s="141" t="s">
        <v>32</v>
      </c>
      <c r="J235" s="141" t="s">
        <v>91</v>
      </c>
      <c r="K235" s="139">
        <f t="shared" si="11"/>
        <v>0</v>
      </c>
      <c r="L235" s="142">
        <f>IF(RawData[[#This Row],[Paid/Unpaid]]="Paid", IF(VALUE($E235)&gt;VALUE($D$3),$K235* 10000,$K235* 8000), 0)</f>
        <v>0</v>
      </c>
      <c r="M235" s="53" t="s">
        <v>146</v>
      </c>
    </row>
    <row r="236" spans="1:13" ht="12.75" customHeight="1" x14ac:dyDescent="0.3">
      <c r="A236" s="143" t="s">
        <v>49</v>
      </c>
      <c r="B236" s="139" t="str">
        <f>IFERROR(VLOOKUP($A236, NameDesignation[], 2,FALSE), " ")</f>
        <v>Former Director</v>
      </c>
      <c r="C236" s="139" t="s">
        <v>38</v>
      </c>
      <c r="D236" s="139">
        <v>27</v>
      </c>
      <c r="E236" s="140">
        <v>44012</v>
      </c>
      <c r="F236" s="139" t="str">
        <f t="shared" si="9"/>
        <v>Q2-20</v>
      </c>
      <c r="G236" s="140" t="str">
        <f t="shared" si="10"/>
        <v>Jun'20</v>
      </c>
      <c r="H236" s="140" t="str">
        <f>TEXT(RawData[[#This Row],[Date]], "YYYY")</f>
        <v>2020</v>
      </c>
      <c r="I236" s="141" t="s">
        <v>32</v>
      </c>
      <c r="J236" s="141" t="s">
        <v>90</v>
      </c>
      <c r="K236" s="139">
        <f t="shared" si="11"/>
        <v>1</v>
      </c>
      <c r="L236" s="142">
        <f>IF(RawData[[#This Row],[Paid/Unpaid]]="Paid", IF(VALUE($E236)&gt;VALUE($D$3),$K236* 10000,$K236* 8000), 0)</f>
        <v>8000</v>
      </c>
      <c r="M236" s="53" t="s">
        <v>146</v>
      </c>
    </row>
    <row r="237" spans="1:13" ht="12.75" customHeight="1" x14ac:dyDescent="0.3">
      <c r="A237" s="143" t="s">
        <v>9</v>
      </c>
      <c r="B237" s="139" t="str">
        <f>IFERROR(VLOOKUP($A237, NameDesignation[], 2,FALSE), " ")</f>
        <v>Former Director</v>
      </c>
      <c r="C237" s="139" t="s">
        <v>38</v>
      </c>
      <c r="D237" s="139">
        <v>27</v>
      </c>
      <c r="E237" s="140">
        <v>44012</v>
      </c>
      <c r="F237" s="139" t="str">
        <f t="shared" si="9"/>
        <v>Q2-20</v>
      </c>
      <c r="G237" s="140" t="str">
        <f t="shared" si="10"/>
        <v>Jun'20</v>
      </c>
      <c r="H237" s="140" t="str">
        <f>TEXT(RawData[[#This Row],[Date]], "YYYY")</f>
        <v>2020</v>
      </c>
      <c r="I237" s="141" t="s">
        <v>32</v>
      </c>
      <c r="J237" s="141" t="s">
        <v>90</v>
      </c>
      <c r="K237" s="139">
        <f t="shared" si="11"/>
        <v>1</v>
      </c>
      <c r="L237" s="142">
        <f>IF(RawData[[#This Row],[Paid/Unpaid]]="Paid", IF(VALUE($E237)&gt;VALUE($D$3),$K237* 10000,$K237* 8000), 0)</f>
        <v>8000</v>
      </c>
      <c r="M237" s="53" t="s">
        <v>146</v>
      </c>
    </row>
    <row r="238" spans="1:13" ht="12.75" customHeight="1" x14ac:dyDescent="0.3">
      <c r="A238" s="143" t="s">
        <v>61</v>
      </c>
      <c r="B238" s="139" t="str">
        <f>IFERROR(VLOOKUP($A238, NameDesignation[], 2,FALSE), " ")</f>
        <v>Former Director</v>
      </c>
      <c r="C238" s="139" t="s">
        <v>38</v>
      </c>
      <c r="D238" s="139">
        <v>27</v>
      </c>
      <c r="E238" s="140">
        <v>44012</v>
      </c>
      <c r="F238" s="139" t="str">
        <f t="shared" si="9"/>
        <v>Q2-20</v>
      </c>
      <c r="G238" s="140" t="str">
        <f t="shared" si="10"/>
        <v>Jun'20</v>
      </c>
      <c r="H238" s="140" t="str">
        <f>TEXT(RawData[[#This Row],[Date]], "YYYY")</f>
        <v>2020</v>
      </c>
      <c r="I238" s="141" t="s">
        <v>32</v>
      </c>
      <c r="J238" s="141" t="s">
        <v>90</v>
      </c>
      <c r="K238" s="139">
        <f t="shared" si="11"/>
        <v>1</v>
      </c>
      <c r="L238" s="142">
        <f>IF(RawData[[#This Row],[Paid/Unpaid]]="Paid", IF(VALUE($E238)&gt;VALUE($D$3),$K238* 10000,$K238* 8000), 0)</f>
        <v>8000</v>
      </c>
      <c r="M238" s="53" t="s">
        <v>146</v>
      </c>
    </row>
    <row r="239" spans="1:13" ht="12.75" customHeight="1" x14ac:dyDescent="0.3">
      <c r="A239" s="143" t="s">
        <v>137</v>
      </c>
      <c r="B239" s="139" t="str">
        <f>IFERROR(VLOOKUP($A239, NameDesignation[], 2,FALSE), " ")</f>
        <v>Former Director</v>
      </c>
      <c r="C239" s="139" t="s">
        <v>38</v>
      </c>
      <c r="D239" s="139">
        <v>27</v>
      </c>
      <c r="E239" s="140">
        <v>44012</v>
      </c>
      <c r="F239" s="139" t="str">
        <f t="shared" si="9"/>
        <v>Q2-20</v>
      </c>
      <c r="G239" s="140" t="str">
        <f t="shared" si="10"/>
        <v>Jun'20</v>
      </c>
      <c r="H239" s="140" t="str">
        <f>TEXT(RawData[[#This Row],[Date]], "YYYY")</f>
        <v>2020</v>
      </c>
      <c r="I239" s="141" t="s">
        <v>32</v>
      </c>
      <c r="J239" s="141" t="s">
        <v>90</v>
      </c>
      <c r="K239" s="139">
        <f t="shared" si="11"/>
        <v>1</v>
      </c>
      <c r="L239" s="142">
        <f>IF(RawData[[#This Row],[Paid/Unpaid]]="Paid", IF(VALUE($E239)&gt;VALUE($D$3),$K239* 10000,$K239* 8000), 0)</f>
        <v>8000</v>
      </c>
      <c r="M239" s="53" t="s">
        <v>146</v>
      </c>
    </row>
    <row r="240" spans="1:13" ht="12.75" customHeight="1" x14ac:dyDescent="0.3">
      <c r="A240" s="71" t="s">
        <v>9</v>
      </c>
      <c r="B240" s="139" t="str">
        <f>IFERROR(VLOOKUP($A240, NameDesignation[], 2,FALSE), " ")</f>
        <v>Former Director</v>
      </c>
      <c r="C240" s="139" t="s">
        <v>30</v>
      </c>
      <c r="D240" s="139">
        <v>435</v>
      </c>
      <c r="E240" s="140">
        <v>44020</v>
      </c>
      <c r="F240" s="139" t="str">
        <f t="shared" si="9"/>
        <v>Q3-20</v>
      </c>
      <c r="G240" s="140" t="str">
        <f t="shared" si="10"/>
        <v>Jul'20</v>
      </c>
      <c r="H240" s="140" t="str">
        <f>TEXT(RawData[[#This Row],[Date]], "YYYY")</f>
        <v>2020</v>
      </c>
      <c r="I240" s="141" t="s">
        <v>32</v>
      </c>
      <c r="J240" s="141" t="s">
        <v>90</v>
      </c>
      <c r="K240" s="139">
        <f t="shared" si="11"/>
        <v>1</v>
      </c>
      <c r="L240" s="142">
        <f>IF(RawData[[#This Row],[Paid/Unpaid]]="Paid", IF(VALUE($E240)&gt;VALUE($D$3),$K240* 10000,$K240* 8000), 0)</f>
        <v>8000</v>
      </c>
      <c r="M240" s="53" t="s">
        <v>146</v>
      </c>
    </row>
    <row r="241" spans="1:13" ht="12.75" customHeight="1" x14ac:dyDescent="0.3">
      <c r="A241" s="71" t="s">
        <v>8</v>
      </c>
      <c r="B241" s="139" t="str">
        <f>IFERROR(VLOOKUP($A241, NameDesignation[], 2,FALSE), " ")</f>
        <v>Former Vice-Chairman</v>
      </c>
      <c r="C241" s="139" t="s">
        <v>30</v>
      </c>
      <c r="D241" s="139">
        <v>435</v>
      </c>
      <c r="E241" s="140">
        <v>44020</v>
      </c>
      <c r="F241" s="139" t="str">
        <f t="shared" si="9"/>
        <v>Q3-20</v>
      </c>
      <c r="G241" s="140" t="str">
        <f t="shared" si="10"/>
        <v>Jul'20</v>
      </c>
      <c r="H241" s="140" t="str">
        <f>TEXT(RawData[[#This Row],[Date]], "YYYY")</f>
        <v>2020</v>
      </c>
      <c r="I241" s="141" t="s">
        <v>32</v>
      </c>
      <c r="J241" s="141" t="s">
        <v>90</v>
      </c>
      <c r="K241" s="139">
        <f t="shared" si="11"/>
        <v>1</v>
      </c>
      <c r="L241" s="142">
        <f>IF(RawData[[#This Row],[Paid/Unpaid]]="Paid", IF(VALUE($E241)&gt;VALUE($D$3),$K241* 10000,$K241* 8000), 0)</f>
        <v>8000</v>
      </c>
      <c r="M241" s="53" t="s">
        <v>146</v>
      </c>
    </row>
    <row r="242" spans="1:13" ht="12.75" customHeight="1" x14ac:dyDescent="0.3">
      <c r="A242" s="71" t="s">
        <v>49</v>
      </c>
      <c r="B242" s="139" t="str">
        <f>IFERROR(VLOOKUP($A242, NameDesignation[], 2,FALSE), " ")</f>
        <v>Former Director</v>
      </c>
      <c r="C242" s="139" t="s">
        <v>30</v>
      </c>
      <c r="D242" s="139">
        <v>435</v>
      </c>
      <c r="E242" s="140">
        <v>44020</v>
      </c>
      <c r="F242" s="139" t="str">
        <f t="shared" si="9"/>
        <v>Q3-20</v>
      </c>
      <c r="G242" s="140" t="str">
        <f t="shared" si="10"/>
        <v>Jul'20</v>
      </c>
      <c r="H242" s="140" t="str">
        <f>TEXT(RawData[[#This Row],[Date]], "YYYY")</f>
        <v>2020</v>
      </c>
      <c r="I242" s="141" t="s">
        <v>32</v>
      </c>
      <c r="J242" s="141" t="s">
        <v>90</v>
      </c>
      <c r="K242" s="139">
        <f t="shared" si="11"/>
        <v>1</v>
      </c>
      <c r="L242" s="142">
        <f>IF(RawData[[#This Row],[Paid/Unpaid]]="Paid", IF(VALUE($E242)&gt;VALUE($D$3),$K242* 10000,$K242* 8000), 0)</f>
        <v>8000</v>
      </c>
      <c r="M242" s="53" t="s">
        <v>146</v>
      </c>
    </row>
    <row r="243" spans="1:13" ht="12.75" customHeight="1" x14ac:dyDescent="0.3">
      <c r="A243" s="71" t="s">
        <v>11</v>
      </c>
      <c r="B243" s="139" t="str">
        <f>IFERROR(VLOOKUP($A243, NameDesignation[], 2,FALSE), " ")</f>
        <v>Former Director</v>
      </c>
      <c r="C243" s="139" t="s">
        <v>30</v>
      </c>
      <c r="D243" s="139">
        <v>435</v>
      </c>
      <c r="E243" s="140">
        <v>44020</v>
      </c>
      <c r="F243" s="139" t="str">
        <f t="shared" si="9"/>
        <v>Q3-20</v>
      </c>
      <c r="G243" s="140" t="str">
        <f t="shared" si="10"/>
        <v>Jul'20</v>
      </c>
      <c r="H243" s="140" t="str">
        <f>TEXT(RawData[[#This Row],[Date]], "YYYY")</f>
        <v>2020</v>
      </c>
      <c r="I243" s="141" t="s">
        <v>32</v>
      </c>
      <c r="J243" s="141" t="s">
        <v>90</v>
      </c>
      <c r="K243" s="139">
        <f t="shared" si="11"/>
        <v>1</v>
      </c>
      <c r="L243" s="142">
        <f>IF(RawData[[#This Row],[Paid/Unpaid]]="Paid", IF(VALUE($E243)&gt;VALUE($D$3),$K243* 10000,$K243* 8000), 0)</f>
        <v>8000</v>
      </c>
      <c r="M243" s="53" t="s">
        <v>146</v>
      </c>
    </row>
    <row r="244" spans="1:13" ht="12.75" customHeight="1" x14ac:dyDescent="0.3">
      <c r="A244" s="71" t="s">
        <v>13</v>
      </c>
      <c r="B244" s="139" t="str">
        <f>IFERROR(VLOOKUP($A244, NameDesignation[], 2,FALSE), " ")</f>
        <v>Former Director</v>
      </c>
      <c r="C244" s="139" t="s">
        <v>30</v>
      </c>
      <c r="D244" s="139">
        <v>435</v>
      </c>
      <c r="E244" s="140">
        <v>44020</v>
      </c>
      <c r="F244" s="139" t="str">
        <f t="shared" si="9"/>
        <v>Q3-20</v>
      </c>
      <c r="G244" s="140" t="str">
        <f t="shared" si="10"/>
        <v>Jul'20</v>
      </c>
      <c r="H244" s="140" t="str">
        <f>TEXT(RawData[[#This Row],[Date]], "YYYY")</f>
        <v>2020</v>
      </c>
      <c r="I244" s="141" t="s">
        <v>32</v>
      </c>
      <c r="J244" s="141" t="s">
        <v>90</v>
      </c>
      <c r="K244" s="139">
        <f t="shared" si="11"/>
        <v>1</v>
      </c>
      <c r="L244" s="142">
        <f>IF(RawData[[#This Row],[Paid/Unpaid]]="Paid", IF(VALUE($E244)&gt;VALUE($D$3),$K244* 10000,$K244* 8000), 0)</f>
        <v>8000</v>
      </c>
      <c r="M244" s="53" t="s">
        <v>146</v>
      </c>
    </row>
    <row r="245" spans="1:13" ht="12.75" customHeight="1" x14ac:dyDescent="0.3">
      <c r="A245" s="71" t="s">
        <v>12</v>
      </c>
      <c r="B245" s="139" t="str">
        <f>IFERROR(VLOOKUP($A245, NameDesignation[], 2,FALSE), " ")</f>
        <v>Former Director</v>
      </c>
      <c r="C245" s="139" t="s">
        <v>30</v>
      </c>
      <c r="D245" s="139">
        <v>435</v>
      </c>
      <c r="E245" s="140">
        <v>44020</v>
      </c>
      <c r="F245" s="139" t="str">
        <f t="shared" si="9"/>
        <v>Q3-20</v>
      </c>
      <c r="G245" s="140" t="str">
        <f t="shared" si="10"/>
        <v>Jul'20</v>
      </c>
      <c r="H245" s="140" t="str">
        <f>TEXT(RawData[[#This Row],[Date]], "YYYY")</f>
        <v>2020</v>
      </c>
      <c r="I245" s="141" t="s">
        <v>32</v>
      </c>
      <c r="J245" s="141" t="s">
        <v>90</v>
      </c>
      <c r="K245" s="139">
        <f t="shared" si="11"/>
        <v>1</v>
      </c>
      <c r="L245" s="142">
        <f>IF(RawData[[#This Row],[Paid/Unpaid]]="Paid", IF(VALUE($E245)&gt;VALUE($D$3),$K245* 10000,$K245* 8000), 0)</f>
        <v>8000</v>
      </c>
      <c r="M245" s="53" t="s">
        <v>146</v>
      </c>
    </row>
    <row r="246" spans="1:13" ht="12.75" customHeight="1" x14ac:dyDescent="0.3">
      <c r="A246" s="71" t="s">
        <v>25</v>
      </c>
      <c r="B246" s="139" t="str">
        <f>IFERROR(VLOOKUP($A246, NameDesignation[], 2,FALSE), " ")</f>
        <v>Former Director</v>
      </c>
      <c r="C246" s="139" t="s">
        <v>30</v>
      </c>
      <c r="D246" s="139">
        <v>435</v>
      </c>
      <c r="E246" s="140">
        <v>44020</v>
      </c>
      <c r="F246" s="139" t="str">
        <f t="shared" si="9"/>
        <v>Q3-20</v>
      </c>
      <c r="G246" s="140" t="str">
        <f t="shared" si="10"/>
        <v>Jul'20</v>
      </c>
      <c r="H246" s="140" t="str">
        <f>TEXT(RawData[[#This Row],[Date]], "YYYY")</f>
        <v>2020</v>
      </c>
      <c r="I246" s="141" t="s">
        <v>32</v>
      </c>
      <c r="J246" s="141" t="s">
        <v>91</v>
      </c>
      <c r="K246" s="139">
        <f t="shared" si="11"/>
        <v>0</v>
      </c>
      <c r="L246" s="142">
        <f>IF(RawData[[#This Row],[Paid/Unpaid]]="Paid", IF(VALUE($E246)&gt;VALUE($D$3),$K246* 10000,$K246* 8000), 0)</f>
        <v>0</v>
      </c>
      <c r="M246" s="53" t="s">
        <v>146</v>
      </c>
    </row>
    <row r="247" spans="1:13" ht="12.75" customHeight="1" x14ac:dyDescent="0.3">
      <c r="A247" s="71" t="s">
        <v>7</v>
      </c>
      <c r="B247" s="139" t="str">
        <f>IFERROR(VLOOKUP($A247, NameDesignation[], 2,FALSE), " ")</f>
        <v>Former Director</v>
      </c>
      <c r="C247" s="139" t="s">
        <v>29</v>
      </c>
      <c r="D247" s="139">
        <v>451</v>
      </c>
      <c r="E247" s="140">
        <v>44031</v>
      </c>
      <c r="F247" s="139" t="str">
        <f t="shared" si="9"/>
        <v>Q3-20</v>
      </c>
      <c r="G247" s="140" t="str">
        <f t="shared" si="10"/>
        <v>Jul'20</v>
      </c>
      <c r="H247" s="140" t="str">
        <f>TEXT(RawData[[#This Row],[Date]], "YYYY")</f>
        <v>2020</v>
      </c>
      <c r="I247" s="141" t="s">
        <v>32</v>
      </c>
      <c r="J247" s="141" t="s">
        <v>90</v>
      </c>
      <c r="K247" s="139">
        <f t="shared" si="11"/>
        <v>1</v>
      </c>
      <c r="L247" s="142">
        <f>IF(RawData[[#This Row],[Paid/Unpaid]]="Paid", IF(VALUE($E247)&gt;VALUE($D$3),$K247* 10000,$K247* 8000), 0)</f>
        <v>8000</v>
      </c>
      <c r="M247" s="53" t="s">
        <v>146</v>
      </c>
    </row>
    <row r="248" spans="1:13" ht="12.75" customHeight="1" x14ac:dyDescent="0.3">
      <c r="A248" s="71" t="s">
        <v>8</v>
      </c>
      <c r="B248" s="139" t="str">
        <f>IFERROR(VLOOKUP($A248, NameDesignation[], 2,FALSE), " ")</f>
        <v>Former Vice-Chairman</v>
      </c>
      <c r="C248" s="139" t="s">
        <v>29</v>
      </c>
      <c r="D248" s="139">
        <v>451</v>
      </c>
      <c r="E248" s="140">
        <v>44031</v>
      </c>
      <c r="F248" s="139" t="str">
        <f t="shared" si="9"/>
        <v>Q3-20</v>
      </c>
      <c r="G248" s="140" t="str">
        <f t="shared" si="10"/>
        <v>Jul'20</v>
      </c>
      <c r="H248" s="140" t="str">
        <f>TEXT(RawData[[#This Row],[Date]], "YYYY")</f>
        <v>2020</v>
      </c>
      <c r="I248" s="141" t="s">
        <v>32</v>
      </c>
      <c r="J248" s="141" t="s">
        <v>90</v>
      </c>
      <c r="K248" s="139">
        <f t="shared" si="11"/>
        <v>1</v>
      </c>
      <c r="L248" s="142">
        <f>IF(RawData[[#This Row],[Paid/Unpaid]]="Paid", IF(VALUE($E248)&gt;VALUE($D$3),$K248* 10000,$K248* 8000), 0)</f>
        <v>8000</v>
      </c>
      <c r="M248" s="53" t="s">
        <v>146</v>
      </c>
    </row>
    <row r="249" spans="1:13" ht="12.75" customHeight="1" x14ac:dyDescent="0.3">
      <c r="A249" s="71" t="s">
        <v>9</v>
      </c>
      <c r="B249" s="139" t="str">
        <f>IFERROR(VLOOKUP($A249, NameDesignation[], 2,FALSE), " ")</f>
        <v>Former Director</v>
      </c>
      <c r="C249" s="139" t="s">
        <v>29</v>
      </c>
      <c r="D249" s="139">
        <v>451</v>
      </c>
      <c r="E249" s="140">
        <v>44031</v>
      </c>
      <c r="F249" s="139" t="str">
        <f t="shared" si="9"/>
        <v>Q3-20</v>
      </c>
      <c r="G249" s="140" t="str">
        <f t="shared" si="10"/>
        <v>Jul'20</v>
      </c>
      <c r="H249" s="140" t="str">
        <f>TEXT(RawData[[#This Row],[Date]], "YYYY")</f>
        <v>2020</v>
      </c>
      <c r="I249" s="141" t="s">
        <v>32</v>
      </c>
      <c r="J249" s="141" t="s">
        <v>90</v>
      </c>
      <c r="K249" s="139">
        <f t="shared" si="11"/>
        <v>1</v>
      </c>
      <c r="L249" s="142">
        <f>IF(RawData[[#This Row],[Paid/Unpaid]]="Paid", IF(VALUE($E249)&gt;VALUE($D$3),$K249* 10000,$K249* 8000), 0)</f>
        <v>8000</v>
      </c>
      <c r="M249" s="53" t="s">
        <v>146</v>
      </c>
    </row>
    <row r="250" spans="1:13" ht="12.75" customHeight="1" x14ac:dyDescent="0.3">
      <c r="A250" s="71" t="s">
        <v>20</v>
      </c>
      <c r="B250" s="139" t="str">
        <f>IFERROR(VLOOKUP($A250, NameDesignation[], 2,FALSE), " ")</f>
        <v>Former Independent Director</v>
      </c>
      <c r="C250" s="139" t="s">
        <v>29</v>
      </c>
      <c r="D250" s="139">
        <v>451</v>
      </c>
      <c r="E250" s="140">
        <v>44031</v>
      </c>
      <c r="F250" s="139" t="str">
        <f t="shared" si="9"/>
        <v>Q3-20</v>
      </c>
      <c r="G250" s="140" t="str">
        <f t="shared" si="10"/>
        <v>Jul'20</v>
      </c>
      <c r="H250" s="140" t="str">
        <f>TEXT(RawData[[#This Row],[Date]], "YYYY")</f>
        <v>2020</v>
      </c>
      <c r="I250" s="141" t="s">
        <v>32</v>
      </c>
      <c r="J250" s="141" t="s">
        <v>90</v>
      </c>
      <c r="K250" s="139">
        <f t="shared" si="11"/>
        <v>1</v>
      </c>
      <c r="L250" s="142">
        <f>IF(RawData[[#This Row],[Paid/Unpaid]]="Paid", IF(VALUE($E250)&gt;VALUE($D$3),$K250* 10000,$K250* 8000), 0)</f>
        <v>8000</v>
      </c>
      <c r="M250" s="53" t="s">
        <v>146</v>
      </c>
    </row>
    <row r="251" spans="1:13" ht="12.75" customHeight="1" x14ac:dyDescent="0.3">
      <c r="A251" s="71" t="s">
        <v>49</v>
      </c>
      <c r="B251" s="139" t="str">
        <f>IFERROR(VLOOKUP($A251, NameDesignation[], 2,FALSE), " ")</f>
        <v>Former Director</v>
      </c>
      <c r="C251" s="139" t="s">
        <v>29</v>
      </c>
      <c r="D251" s="139">
        <v>451</v>
      </c>
      <c r="E251" s="140">
        <v>44031</v>
      </c>
      <c r="F251" s="139" t="str">
        <f t="shared" si="9"/>
        <v>Q3-20</v>
      </c>
      <c r="G251" s="140" t="str">
        <f t="shared" si="10"/>
        <v>Jul'20</v>
      </c>
      <c r="H251" s="140" t="str">
        <f>TEXT(RawData[[#This Row],[Date]], "YYYY")</f>
        <v>2020</v>
      </c>
      <c r="I251" s="141" t="s">
        <v>32</v>
      </c>
      <c r="J251" s="141" t="s">
        <v>90</v>
      </c>
      <c r="K251" s="139">
        <f t="shared" si="11"/>
        <v>1</v>
      </c>
      <c r="L251" s="142">
        <f>IF(RawData[[#This Row],[Paid/Unpaid]]="Paid", IF(VALUE($E251)&gt;VALUE($D$3),$K251* 10000,$K251* 8000), 0)</f>
        <v>8000</v>
      </c>
      <c r="M251" s="53" t="s">
        <v>146</v>
      </c>
    </row>
    <row r="252" spans="1:13" ht="12.75" customHeight="1" x14ac:dyDescent="0.3">
      <c r="A252" s="71" t="s">
        <v>11</v>
      </c>
      <c r="B252" s="139" t="str">
        <f>IFERROR(VLOOKUP($A252, NameDesignation[], 2,FALSE), " ")</f>
        <v>Former Director</v>
      </c>
      <c r="C252" s="139" t="s">
        <v>29</v>
      </c>
      <c r="D252" s="139">
        <v>451</v>
      </c>
      <c r="E252" s="140">
        <v>44031</v>
      </c>
      <c r="F252" s="139" t="str">
        <f t="shared" si="9"/>
        <v>Q3-20</v>
      </c>
      <c r="G252" s="140" t="str">
        <f t="shared" si="10"/>
        <v>Jul'20</v>
      </c>
      <c r="H252" s="140" t="str">
        <f>TEXT(RawData[[#This Row],[Date]], "YYYY")</f>
        <v>2020</v>
      </c>
      <c r="I252" s="141" t="s">
        <v>32</v>
      </c>
      <c r="J252" s="141" t="s">
        <v>90</v>
      </c>
      <c r="K252" s="139">
        <f t="shared" si="11"/>
        <v>1</v>
      </c>
      <c r="L252" s="142">
        <f>IF(RawData[[#This Row],[Paid/Unpaid]]="Paid", IF(VALUE($E252)&gt;VALUE($D$3),$K252* 10000,$K252* 8000), 0)</f>
        <v>8000</v>
      </c>
      <c r="M252" s="53" t="s">
        <v>146</v>
      </c>
    </row>
    <row r="253" spans="1:13" ht="12.75" customHeight="1" x14ac:dyDescent="0.3">
      <c r="A253" s="71" t="s">
        <v>12</v>
      </c>
      <c r="B253" s="139" t="str">
        <f>IFERROR(VLOOKUP($A253, NameDesignation[], 2,FALSE), " ")</f>
        <v>Former Director</v>
      </c>
      <c r="C253" s="139" t="s">
        <v>29</v>
      </c>
      <c r="D253" s="139">
        <v>451</v>
      </c>
      <c r="E253" s="140">
        <v>44031</v>
      </c>
      <c r="F253" s="139" t="str">
        <f t="shared" si="9"/>
        <v>Q3-20</v>
      </c>
      <c r="G253" s="140" t="str">
        <f t="shared" si="10"/>
        <v>Jul'20</v>
      </c>
      <c r="H253" s="140" t="str">
        <f>TEXT(RawData[[#This Row],[Date]], "YYYY")</f>
        <v>2020</v>
      </c>
      <c r="I253" s="141" t="s">
        <v>32</v>
      </c>
      <c r="J253" s="141" t="s">
        <v>90</v>
      </c>
      <c r="K253" s="139">
        <f t="shared" si="11"/>
        <v>1</v>
      </c>
      <c r="L253" s="142">
        <f>IF(RawData[[#This Row],[Paid/Unpaid]]="Paid", IF(VALUE($E253)&gt;VALUE($D$3),$K253* 10000,$K253* 8000), 0)</f>
        <v>8000</v>
      </c>
      <c r="M253" s="53" t="s">
        <v>146</v>
      </c>
    </row>
    <row r="254" spans="1:13" ht="12.75" customHeight="1" x14ac:dyDescent="0.3">
      <c r="A254" s="71" t="s">
        <v>137</v>
      </c>
      <c r="B254" s="139" t="str">
        <f>IFERROR(VLOOKUP($A254, NameDesignation[], 2,FALSE), " ")</f>
        <v>Former Director</v>
      </c>
      <c r="C254" s="139" t="s">
        <v>29</v>
      </c>
      <c r="D254" s="139">
        <v>451</v>
      </c>
      <c r="E254" s="140">
        <v>44031</v>
      </c>
      <c r="F254" s="139" t="str">
        <f t="shared" si="9"/>
        <v>Q3-20</v>
      </c>
      <c r="G254" s="140" t="str">
        <f t="shared" si="10"/>
        <v>Jul'20</v>
      </c>
      <c r="H254" s="140" t="str">
        <f>TEXT(RawData[[#This Row],[Date]], "YYYY")</f>
        <v>2020</v>
      </c>
      <c r="I254" s="141" t="s">
        <v>32</v>
      </c>
      <c r="J254" s="141" t="s">
        <v>90</v>
      </c>
      <c r="K254" s="139">
        <f t="shared" si="11"/>
        <v>1</v>
      </c>
      <c r="L254" s="142">
        <f>IF(RawData[[#This Row],[Paid/Unpaid]]="Paid", IF(VALUE($E254)&gt;VALUE($D$3),$K254* 10000,$K254* 8000), 0)</f>
        <v>8000</v>
      </c>
      <c r="M254" s="53" t="s">
        <v>146</v>
      </c>
    </row>
    <row r="255" spans="1:13" ht="12.75" customHeight="1" x14ac:dyDescent="0.3">
      <c r="A255" s="71" t="s">
        <v>13</v>
      </c>
      <c r="B255" s="139" t="str">
        <f>IFERROR(VLOOKUP($A255, NameDesignation[], 2,FALSE), " ")</f>
        <v>Former Director</v>
      </c>
      <c r="C255" s="139" t="s">
        <v>29</v>
      </c>
      <c r="D255" s="139">
        <v>451</v>
      </c>
      <c r="E255" s="140">
        <v>44031</v>
      </c>
      <c r="F255" s="139" t="str">
        <f t="shared" si="9"/>
        <v>Q3-20</v>
      </c>
      <c r="G255" s="140" t="str">
        <f t="shared" si="10"/>
        <v>Jul'20</v>
      </c>
      <c r="H255" s="140" t="str">
        <f>TEXT(RawData[[#This Row],[Date]], "YYYY")</f>
        <v>2020</v>
      </c>
      <c r="I255" s="141" t="s">
        <v>32</v>
      </c>
      <c r="J255" s="141" t="s">
        <v>90</v>
      </c>
      <c r="K255" s="139">
        <f t="shared" si="11"/>
        <v>1</v>
      </c>
      <c r="L255" s="142">
        <f>IF(RawData[[#This Row],[Paid/Unpaid]]="Paid", IF(VALUE($E255)&gt;VALUE($D$3),$K255* 10000,$K255* 8000), 0)</f>
        <v>8000</v>
      </c>
      <c r="M255" s="53" t="s">
        <v>146</v>
      </c>
    </row>
    <row r="256" spans="1:13" ht="12.75" customHeight="1" x14ac:dyDescent="0.3">
      <c r="A256" s="71" t="s">
        <v>61</v>
      </c>
      <c r="B256" s="139" t="str">
        <f>IFERROR(VLOOKUP($A256, NameDesignation[], 2,FALSE), " ")</f>
        <v>Former Director</v>
      </c>
      <c r="C256" s="139" t="s">
        <v>29</v>
      </c>
      <c r="D256" s="139">
        <v>451</v>
      </c>
      <c r="E256" s="140">
        <v>44031</v>
      </c>
      <c r="F256" s="139" t="str">
        <f t="shared" si="9"/>
        <v>Q3-20</v>
      </c>
      <c r="G256" s="140" t="str">
        <f t="shared" si="10"/>
        <v>Jul'20</v>
      </c>
      <c r="H256" s="140" t="str">
        <f>TEXT(RawData[[#This Row],[Date]], "YYYY")</f>
        <v>2020</v>
      </c>
      <c r="I256" s="141" t="s">
        <v>32</v>
      </c>
      <c r="J256" s="141" t="s">
        <v>90</v>
      </c>
      <c r="K256" s="139">
        <f t="shared" si="11"/>
        <v>1</v>
      </c>
      <c r="L256" s="142">
        <f>IF(RawData[[#This Row],[Paid/Unpaid]]="Paid", IF(VALUE($E256)&gt;VALUE($D$3),$K256* 10000,$K256* 8000), 0)</f>
        <v>8000</v>
      </c>
      <c r="M256" s="53" t="s">
        <v>146</v>
      </c>
    </row>
    <row r="257" spans="1:13" ht="12.75" customHeight="1" x14ac:dyDescent="0.3">
      <c r="A257" s="71" t="s">
        <v>23</v>
      </c>
      <c r="B257" s="139" t="str">
        <f>IFERROR(VLOOKUP($A257, NameDesignation[], 2,FALSE), " ")</f>
        <v>Former Director</v>
      </c>
      <c r="C257" s="139" t="s">
        <v>29</v>
      </c>
      <c r="D257" s="139">
        <v>451</v>
      </c>
      <c r="E257" s="140">
        <v>44031</v>
      </c>
      <c r="F257" s="139" t="str">
        <f t="shared" si="9"/>
        <v>Q3-20</v>
      </c>
      <c r="G257" s="140" t="str">
        <f t="shared" si="10"/>
        <v>Jul'20</v>
      </c>
      <c r="H257" s="140" t="str">
        <f>TEXT(RawData[[#This Row],[Date]], "YYYY")</f>
        <v>2020</v>
      </c>
      <c r="I257" s="141" t="s">
        <v>32</v>
      </c>
      <c r="J257" s="141" t="s">
        <v>90</v>
      </c>
      <c r="K257" s="139">
        <f t="shared" si="11"/>
        <v>1</v>
      </c>
      <c r="L257" s="142">
        <f>IF(RawData[[#This Row],[Paid/Unpaid]]="Paid", IF(VALUE($E257)&gt;VALUE($D$3),$K257* 10000,$K257* 8000), 0)</f>
        <v>8000</v>
      </c>
      <c r="M257" s="53" t="s">
        <v>146</v>
      </c>
    </row>
    <row r="258" spans="1:13" ht="12.75" customHeight="1" x14ac:dyDescent="0.3">
      <c r="A258" s="71" t="s">
        <v>24</v>
      </c>
      <c r="B258" s="139" t="str">
        <f>IFERROR(VLOOKUP($A258, NameDesignation[], 2,FALSE), " ")</f>
        <v>Former Director</v>
      </c>
      <c r="C258" s="139" t="s">
        <v>29</v>
      </c>
      <c r="D258" s="139">
        <v>451</v>
      </c>
      <c r="E258" s="140">
        <v>44031</v>
      </c>
      <c r="F258" s="139" t="str">
        <f t="shared" si="9"/>
        <v>Q3-20</v>
      </c>
      <c r="G258" s="140" t="str">
        <f t="shared" si="10"/>
        <v>Jul'20</v>
      </c>
      <c r="H258" s="140" t="str">
        <f>TEXT(RawData[[#This Row],[Date]], "YYYY")</f>
        <v>2020</v>
      </c>
      <c r="I258" s="141" t="s">
        <v>32</v>
      </c>
      <c r="J258" s="141" t="s">
        <v>90</v>
      </c>
      <c r="K258" s="139">
        <f t="shared" si="11"/>
        <v>1</v>
      </c>
      <c r="L258" s="142">
        <f>IF(RawData[[#This Row],[Paid/Unpaid]]="Paid", IF(VALUE($E258)&gt;VALUE($D$3),$K258* 10000,$K258* 8000), 0)</f>
        <v>8000</v>
      </c>
      <c r="M258" s="53" t="s">
        <v>146</v>
      </c>
    </row>
    <row r="259" spans="1:13" ht="12.75" customHeight="1" x14ac:dyDescent="0.3">
      <c r="A259" s="71" t="s">
        <v>21</v>
      </c>
      <c r="B259" s="139" t="str">
        <f>IFERROR(VLOOKUP($A259, NameDesignation[], 2,FALSE), " ")</f>
        <v>Former Independent Director</v>
      </c>
      <c r="C259" s="139" t="s">
        <v>29</v>
      </c>
      <c r="D259" s="139">
        <v>451</v>
      </c>
      <c r="E259" s="140">
        <v>44031</v>
      </c>
      <c r="F259" s="139" t="str">
        <f t="shared" si="9"/>
        <v>Q3-20</v>
      </c>
      <c r="G259" s="140" t="str">
        <f t="shared" si="10"/>
        <v>Jul'20</v>
      </c>
      <c r="H259" s="140" t="str">
        <f>TEXT(RawData[[#This Row],[Date]], "YYYY")</f>
        <v>2020</v>
      </c>
      <c r="I259" s="141" t="s">
        <v>32</v>
      </c>
      <c r="J259" s="141" t="s">
        <v>90</v>
      </c>
      <c r="K259" s="139">
        <f t="shared" si="11"/>
        <v>1</v>
      </c>
      <c r="L259" s="142">
        <f>IF(RawData[[#This Row],[Paid/Unpaid]]="Paid", IF(VALUE($E259)&gt;VALUE($D$3),$K259* 10000,$K259* 8000), 0)</f>
        <v>8000</v>
      </c>
      <c r="M259" s="53" t="s">
        <v>146</v>
      </c>
    </row>
    <row r="260" spans="1:13" ht="12.75" customHeight="1" x14ac:dyDescent="0.3">
      <c r="A260" s="71" t="s">
        <v>25</v>
      </c>
      <c r="B260" s="139" t="str">
        <f>IFERROR(VLOOKUP($A260, NameDesignation[], 2,FALSE), " ")</f>
        <v>Former Director</v>
      </c>
      <c r="C260" s="139" t="s">
        <v>29</v>
      </c>
      <c r="D260" s="139">
        <v>451</v>
      </c>
      <c r="E260" s="140">
        <v>44031</v>
      </c>
      <c r="F260" s="139" t="str">
        <f t="shared" si="9"/>
        <v>Q3-20</v>
      </c>
      <c r="G260" s="140" t="str">
        <f t="shared" si="10"/>
        <v>Jul'20</v>
      </c>
      <c r="H260" s="140" t="str">
        <f>TEXT(RawData[[#This Row],[Date]], "YYYY")</f>
        <v>2020</v>
      </c>
      <c r="I260" s="141" t="s">
        <v>32</v>
      </c>
      <c r="J260" s="141" t="s">
        <v>91</v>
      </c>
      <c r="K260" s="139">
        <f t="shared" si="11"/>
        <v>0</v>
      </c>
      <c r="L260" s="142">
        <f>IF(RawData[[#This Row],[Paid/Unpaid]]="Paid", IF(VALUE($E260)&gt;VALUE($D$3),$K260* 10000,$K260* 8000), 0)</f>
        <v>0</v>
      </c>
      <c r="M260" s="53" t="s">
        <v>146</v>
      </c>
    </row>
    <row r="261" spans="1:13" ht="12.75" customHeight="1" x14ac:dyDescent="0.3">
      <c r="A261" s="71" t="s">
        <v>50</v>
      </c>
      <c r="B261" s="139" t="str">
        <f>IFERROR(VLOOKUP($A261, NameDesignation[], 2,FALSE), " ")</f>
        <v>Former Director</v>
      </c>
      <c r="C261" s="139" t="s">
        <v>29</v>
      </c>
      <c r="D261" s="139">
        <v>451</v>
      </c>
      <c r="E261" s="140">
        <v>44031</v>
      </c>
      <c r="F261" s="139" t="str">
        <f t="shared" si="9"/>
        <v>Q3-20</v>
      </c>
      <c r="G261" s="140" t="str">
        <f t="shared" si="10"/>
        <v>Jul'20</v>
      </c>
      <c r="H261" s="140" t="str">
        <f>TEXT(RawData[[#This Row],[Date]], "YYYY")</f>
        <v>2020</v>
      </c>
      <c r="I261" s="141" t="s">
        <v>32</v>
      </c>
      <c r="J261" s="141" t="s">
        <v>91</v>
      </c>
      <c r="K261" s="139">
        <f t="shared" si="11"/>
        <v>0</v>
      </c>
      <c r="L261" s="142">
        <f>IF(RawData[[#This Row],[Paid/Unpaid]]="Paid", IF(VALUE($E261)&gt;VALUE($D$3),$K261* 10000,$K261* 8000), 0)</f>
        <v>0</v>
      </c>
      <c r="M261" s="53" t="s">
        <v>146</v>
      </c>
    </row>
    <row r="262" spans="1:13" ht="12.75" customHeight="1" x14ac:dyDescent="0.3">
      <c r="A262" s="71" t="s">
        <v>51</v>
      </c>
      <c r="B262" s="139" t="str">
        <f>IFERROR(VLOOKUP($A262, NameDesignation[], 2,FALSE), " ")</f>
        <v>Former Director</v>
      </c>
      <c r="C262" s="139" t="s">
        <v>29</v>
      </c>
      <c r="D262" s="139">
        <v>451</v>
      </c>
      <c r="E262" s="140">
        <v>44031</v>
      </c>
      <c r="F262" s="139" t="str">
        <f t="shared" ref="F262:F325" si="12">CONCATENATE("Q", ROUNDUP(MONTH($E262)/3,0),"-",TEXT($E262, "yy"))</f>
        <v>Q3-20</v>
      </c>
      <c r="G262" s="140" t="str">
        <f t="shared" ref="G262:G325" si="13">CONCATENATE(TEXT($E262, "mmm"),"'", TEXT($E262, "yy"))</f>
        <v>Jul'20</v>
      </c>
      <c r="H262" s="140" t="str">
        <f>TEXT(RawData[[#This Row],[Date]], "YYYY")</f>
        <v>2020</v>
      </c>
      <c r="I262" s="141" t="s">
        <v>32</v>
      </c>
      <c r="J262" s="141" t="s">
        <v>90</v>
      </c>
      <c r="K262" s="139">
        <f t="shared" ref="K262:K325" si="14">IF($J262="Present", 1, 0)</f>
        <v>1</v>
      </c>
      <c r="L262" s="142">
        <f>IF(RawData[[#This Row],[Paid/Unpaid]]="Paid", IF(VALUE($E262)&gt;VALUE($D$3),$K262* 10000,$K262* 8000), 0)</f>
        <v>8000</v>
      </c>
      <c r="M262" s="53" t="s">
        <v>146</v>
      </c>
    </row>
    <row r="263" spans="1:13" ht="12.75" customHeight="1" x14ac:dyDescent="0.3">
      <c r="A263" s="71" t="s">
        <v>27</v>
      </c>
      <c r="B263" s="139" t="str">
        <f>IFERROR(VLOOKUP($A263, NameDesignation[], 2,FALSE), " ")</f>
        <v>Former Director</v>
      </c>
      <c r="C263" s="139" t="s">
        <v>29</v>
      </c>
      <c r="D263" s="139">
        <v>451</v>
      </c>
      <c r="E263" s="140">
        <v>44031</v>
      </c>
      <c r="F263" s="139" t="str">
        <f t="shared" si="12"/>
        <v>Q3-20</v>
      </c>
      <c r="G263" s="140" t="str">
        <f t="shared" si="13"/>
        <v>Jul'20</v>
      </c>
      <c r="H263" s="140" t="str">
        <f>TEXT(RawData[[#This Row],[Date]], "YYYY")</f>
        <v>2020</v>
      </c>
      <c r="I263" s="141" t="s">
        <v>32</v>
      </c>
      <c r="J263" s="141" t="s">
        <v>91</v>
      </c>
      <c r="K263" s="139">
        <f t="shared" si="14"/>
        <v>0</v>
      </c>
      <c r="L263" s="142">
        <f>IF(RawData[[#This Row],[Paid/Unpaid]]="Paid", IF(VALUE($E263)&gt;VALUE($D$3),$K263* 10000,$K263* 8000), 0)</f>
        <v>0</v>
      </c>
      <c r="M263" s="53" t="s">
        <v>146</v>
      </c>
    </row>
    <row r="264" spans="1:13" ht="12.75" customHeight="1" x14ac:dyDescent="0.3">
      <c r="A264" s="71" t="s">
        <v>18</v>
      </c>
      <c r="B264" s="139" t="str">
        <f>IFERROR(VLOOKUP($A264, NameDesignation[], 2,FALSE), " ")</f>
        <v>Former Independent Director</v>
      </c>
      <c r="C264" s="139" t="s">
        <v>29</v>
      </c>
      <c r="D264" s="139">
        <v>451</v>
      </c>
      <c r="E264" s="140">
        <v>44031</v>
      </c>
      <c r="F264" s="139" t="str">
        <f t="shared" si="12"/>
        <v>Q3-20</v>
      </c>
      <c r="G264" s="140" t="str">
        <f t="shared" si="13"/>
        <v>Jul'20</v>
      </c>
      <c r="H264" s="140" t="str">
        <f>TEXT(RawData[[#This Row],[Date]], "YYYY")</f>
        <v>2020</v>
      </c>
      <c r="I264" s="141" t="s">
        <v>32</v>
      </c>
      <c r="J264" s="141" t="s">
        <v>90</v>
      </c>
      <c r="K264" s="139">
        <f t="shared" si="14"/>
        <v>1</v>
      </c>
      <c r="L264" s="142">
        <f>IF(RawData[[#This Row],[Paid/Unpaid]]="Paid", IF(VALUE($E264)&gt;VALUE($D$3),$K264* 10000,$K264* 8000), 0)</f>
        <v>8000</v>
      </c>
      <c r="M264" s="53" t="s">
        <v>146</v>
      </c>
    </row>
    <row r="265" spans="1:13" ht="12.75" customHeight="1" x14ac:dyDescent="0.3">
      <c r="A265" s="143" t="s">
        <v>35</v>
      </c>
      <c r="B265" s="139" t="str">
        <f>IFERROR(VLOOKUP($A265, NameDesignation[], 2,FALSE), " ")</f>
        <v>Former Managing Director &amp; CEO</v>
      </c>
      <c r="C265" s="139" t="s">
        <v>29</v>
      </c>
      <c r="D265" s="139">
        <v>451</v>
      </c>
      <c r="E265" s="140">
        <v>44031</v>
      </c>
      <c r="F265" s="139" t="str">
        <f t="shared" si="12"/>
        <v>Q3-20</v>
      </c>
      <c r="G265" s="140" t="str">
        <f t="shared" si="13"/>
        <v>Jul'20</v>
      </c>
      <c r="H265" s="140" t="str">
        <f>TEXT(RawData[[#This Row],[Date]], "YYYY")</f>
        <v>2020</v>
      </c>
      <c r="I265" s="141" t="s">
        <v>32</v>
      </c>
      <c r="J265" s="141" t="s">
        <v>90</v>
      </c>
      <c r="K265" s="139">
        <f t="shared" si="14"/>
        <v>1</v>
      </c>
      <c r="L265" s="142">
        <f>IF(RawData[[#This Row],[Paid/Unpaid]]="Paid", IF(VALUE($E265)&gt;VALUE($D$3),$K265* 10000,$K265* 8000), 0)</f>
        <v>8000</v>
      </c>
      <c r="M265" s="53" t="s">
        <v>146</v>
      </c>
    </row>
    <row r="266" spans="1:13" ht="12.75" customHeight="1" x14ac:dyDescent="0.3">
      <c r="A266" s="143" t="s">
        <v>20</v>
      </c>
      <c r="B266" s="139" t="str">
        <f>IFERROR(VLOOKUP($A266, NameDesignation[], 2,FALSE), " ")</f>
        <v>Former Independent Director</v>
      </c>
      <c r="C266" s="139" t="s">
        <v>37</v>
      </c>
      <c r="D266" s="139">
        <v>110</v>
      </c>
      <c r="E266" s="140">
        <v>44031</v>
      </c>
      <c r="F266" s="139" t="str">
        <f t="shared" si="12"/>
        <v>Q3-20</v>
      </c>
      <c r="G266" s="140" t="str">
        <f t="shared" si="13"/>
        <v>Jul'20</v>
      </c>
      <c r="H266" s="140" t="str">
        <f>TEXT(RawData[[#This Row],[Date]], "YYYY")</f>
        <v>2020</v>
      </c>
      <c r="I266" s="141" t="s">
        <v>32</v>
      </c>
      <c r="J266" s="141" t="s">
        <v>90</v>
      </c>
      <c r="K266" s="139">
        <f t="shared" si="14"/>
        <v>1</v>
      </c>
      <c r="L266" s="142">
        <f>IF(RawData[[#This Row],[Paid/Unpaid]]="Paid", IF(VALUE($E266)&gt;VALUE($D$3),$K266* 10000,$K266* 8000), 0)</f>
        <v>8000</v>
      </c>
      <c r="M266" s="53" t="s">
        <v>146</v>
      </c>
    </row>
    <row r="267" spans="1:13" ht="12.75" customHeight="1" x14ac:dyDescent="0.3">
      <c r="A267" s="143" t="s">
        <v>23</v>
      </c>
      <c r="B267" s="139" t="str">
        <f>IFERROR(VLOOKUP($A267, NameDesignation[], 2,FALSE), " ")</f>
        <v>Former Director</v>
      </c>
      <c r="C267" s="139" t="s">
        <v>37</v>
      </c>
      <c r="D267" s="139">
        <v>110</v>
      </c>
      <c r="E267" s="140">
        <v>44031</v>
      </c>
      <c r="F267" s="139" t="str">
        <f t="shared" si="12"/>
        <v>Q3-20</v>
      </c>
      <c r="G267" s="140" t="str">
        <f t="shared" si="13"/>
        <v>Jul'20</v>
      </c>
      <c r="H267" s="140" t="str">
        <f>TEXT(RawData[[#This Row],[Date]], "YYYY")</f>
        <v>2020</v>
      </c>
      <c r="I267" s="141" t="s">
        <v>32</v>
      </c>
      <c r="J267" s="141" t="s">
        <v>90</v>
      </c>
      <c r="K267" s="139">
        <f t="shared" si="14"/>
        <v>1</v>
      </c>
      <c r="L267" s="142">
        <f>IF(RawData[[#This Row],[Paid/Unpaid]]="Paid", IF(VALUE($E267)&gt;VALUE($D$3),$K267* 10000,$K267* 8000), 0)</f>
        <v>8000</v>
      </c>
      <c r="M267" s="53" t="s">
        <v>146</v>
      </c>
    </row>
    <row r="268" spans="1:13" ht="12.75" customHeight="1" x14ac:dyDescent="0.3">
      <c r="A268" s="143" t="s">
        <v>24</v>
      </c>
      <c r="B268" s="139" t="str">
        <f>IFERROR(VLOOKUP($A268, NameDesignation[], 2,FALSE), " ")</f>
        <v>Former Director</v>
      </c>
      <c r="C268" s="139" t="s">
        <v>37</v>
      </c>
      <c r="D268" s="139">
        <v>110</v>
      </c>
      <c r="E268" s="140">
        <v>44031</v>
      </c>
      <c r="F268" s="139" t="str">
        <f t="shared" si="12"/>
        <v>Q3-20</v>
      </c>
      <c r="G268" s="140" t="str">
        <f t="shared" si="13"/>
        <v>Jul'20</v>
      </c>
      <c r="H268" s="140" t="str">
        <f>TEXT(RawData[[#This Row],[Date]], "YYYY")</f>
        <v>2020</v>
      </c>
      <c r="I268" s="141" t="s">
        <v>32</v>
      </c>
      <c r="J268" s="141" t="s">
        <v>90</v>
      </c>
      <c r="K268" s="139">
        <f t="shared" si="14"/>
        <v>1</v>
      </c>
      <c r="L268" s="142">
        <f>IF(RawData[[#This Row],[Paid/Unpaid]]="Paid", IF(VALUE($E268)&gt;VALUE($D$3),$K268* 10000,$K268* 8000), 0)</f>
        <v>8000</v>
      </c>
      <c r="M268" s="53" t="s">
        <v>146</v>
      </c>
    </row>
    <row r="269" spans="1:13" ht="12.75" customHeight="1" x14ac:dyDescent="0.3">
      <c r="A269" s="143" t="s">
        <v>18</v>
      </c>
      <c r="B269" s="139" t="str">
        <f>IFERROR(VLOOKUP($A269, NameDesignation[], 2,FALSE), " ")</f>
        <v>Former Independent Director</v>
      </c>
      <c r="C269" s="139" t="s">
        <v>37</v>
      </c>
      <c r="D269" s="139">
        <v>110</v>
      </c>
      <c r="E269" s="140">
        <v>44031</v>
      </c>
      <c r="F269" s="139" t="str">
        <f t="shared" si="12"/>
        <v>Q3-20</v>
      </c>
      <c r="G269" s="140" t="str">
        <f t="shared" si="13"/>
        <v>Jul'20</v>
      </c>
      <c r="H269" s="140" t="str">
        <f>TEXT(RawData[[#This Row],[Date]], "YYYY")</f>
        <v>2020</v>
      </c>
      <c r="I269" s="141" t="s">
        <v>32</v>
      </c>
      <c r="J269" s="141" t="s">
        <v>90</v>
      </c>
      <c r="K269" s="139">
        <f t="shared" si="14"/>
        <v>1</v>
      </c>
      <c r="L269" s="142">
        <f>IF(RawData[[#This Row],[Paid/Unpaid]]="Paid", IF(VALUE($E269)&gt;VALUE($D$3),$K269* 10000,$K269* 8000), 0)</f>
        <v>8000</v>
      </c>
      <c r="M269" s="53" t="s">
        <v>146</v>
      </c>
    </row>
    <row r="270" spans="1:13" ht="12.75" customHeight="1" x14ac:dyDescent="0.3">
      <c r="A270" s="143" t="s">
        <v>27</v>
      </c>
      <c r="B270" s="139" t="str">
        <f>IFERROR(VLOOKUP($A270, NameDesignation[], 2,FALSE), " ")</f>
        <v>Former Director</v>
      </c>
      <c r="C270" s="139" t="s">
        <v>37</v>
      </c>
      <c r="D270" s="139">
        <v>110</v>
      </c>
      <c r="E270" s="140">
        <v>44031</v>
      </c>
      <c r="F270" s="139" t="str">
        <f t="shared" si="12"/>
        <v>Q3-20</v>
      </c>
      <c r="G270" s="140" t="str">
        <f t="shared" si="13"/>
        <v>Jul'20</v>
      </c>
      <c r="H270" s="140" t="str">
        <f>TEXT(RawData[[#This Row],[Date]], "YYYY")</f>
        <v>2020</v>
      </c>
      <c r="I270" s="141" t="s">
        <v>32</v>
      </c>
      <c r="J270" s="141" t="s">
        <v>91</v>
      </c>
      <c r="K270" s="139">
        <f t="shared" si="14"/>
        <v>0</v>
      </c>
      <c r="L270" s="142">
        <f>IF(RawData[[#This Row],[Paid/Unpaid]]="Paid", IF(VALUE($E270)&gt;VALUE($D$3),$K270* 10000,$K270* 8000), 0)</f>
        <v>0</v>
      </c>
      <c r="M270" s="53" t="s">
        <v>146</v>
      </c>
    </row>
    <row r="271" spans="1:13" ht="12.75" customHeight="1" x14ac:dyDescent="0.3">
      <c r="A271" s="143" t="s">
        <v>11</v>
      </c>
      <c r="B271" s="139" t="str">
        <f>IFERROR(VLOOKUP($A271, NameDesignation[], 2,FALSE), " ")</f>
        <v>Former Director</v>
      </c>
      <c r="C271" s="139" t="s">
        <v>41</v>
      </c>
      <c r="D271" s="139">
        <v>1</v>
      </c>
      <c r="E271" s="140">
        <v>44102</v>
      </c>
      <c r="F271" s="139" t="str">
        <f t="shared" si="12"/>
        <v>Q3-20</v>
      </c>
      <c r="G271" s="140" t="str">
        <f t="shared" si="13"/>
        <v>Sep'20</v>
      </c>
      <c r="H271" s="140" t="str">
        <f>TEXT(RawData[[#This Row],[Date]], "YYYY")</f>
        <v>2020</v>
      </c>
      <c r="I271" s="141" t="s">
        <v>32</v>
      </c>
      <c r="J271" s="141" t="s">
        <v>90</v>
      </c>
      <c r="K271" s="139">
        <f t="shared" si="14"/>
        <v>1</v>
      </c>
      <c r="L271" s="142">
        <f>IF(RawData[[#This Row],[Paid/Unpaid]]="Paid", IF(VALUE($E271)&gt;VALUE($D$3),$K271* 10000,$K271* 8000), 0)</f>
        <v>8000</v>
      </c>
      <c r="M271" s="53" t="s">
        <v>146</v>
      </c>
    </row>
    <row r="272" spans="1:13" ht="12.75" customHeight="1" x14ac:dyDescent="0.3">
      <c r="A272" s="143" t="s">
        <v>50</v>
      </c>
      <c r="B272" s="139" t="str">
        <f>IFERROR(VLOOKUP($A272, NameDesignation[], 2,FALSE), " ")</f>
        <v>Former Director</v>
      </c>
      <c r="C272" s="139" t="s">
        <v>41</v>
      </c>
      <c r="D272" s="139">
        <v>1</v>
      </c>
      <c r="E272" s="140">
        <v>44102</v>
      </c>
      <c r="F272" s="139" t="str">
        <f t="shared" si="12"/>
        <v>Q3-20</v>
      </c>
      <c r="G272" s="140" t="str">
        <f t="shared" si="13"/>
        <v>Sep'20</v>
      </c>
      <c r="H272" s="140" t="str">
        <f>TEXT(RawData[[#This Row],[Date]], "YYYY")</f>
        <v>2020</v>
      </c>
      <c r="I272" s="141" t="s">
        <v>32</v>
      </c>
      <c r="J272" s="141" t="s">
        <v>91</v>
      </c>
      <c r="K272" s="139">
        <f t="shared" si="14"/>
        <v>0</v>
      </c>
      <c r="L272" s="142">
        <f>IF(RawData[[#This Row],[Paid/Unpaid]]="Paid", IF(VALUE($E272)&gt;VALUE($D$3),$K272* 10000,$K272* 8000), 0)</f>
        <v>0</v>
      </c>
      <c r="M272" s="53" t="s">
        <v>146</v>
      </c>
    </row>
    <row r="273" spans="1:13" ht="12.75" customHeight="1" x14ac:dyDescent="0.3">
      <c r="A273" s="143" t="s">
        <v>54</v>
      </c>
      <c r="B273" s="139" t="str">
        <f>IFERROR(VLOOKUP($A273, NameDesignation[], 2,FALSE), " ")</f>
        <v>Member, Shariah Supervisory Committee</v>
      </c>
      <c r="C273" s="139" t="s">
        <v>41</v>
      </c>
      <c r="D273" s="139">
        <v>1</v>
      </c>
      <c r="E273" s="140">
        <v>44102</v>
      </c>
      <c r="F273" s="139" t="str">
        <f t="shared" si="12"/>
        <v>Q3-20</v>
      </c>
      <c r="G273" s="140" t="str">
        <f t="shared" si="13"/>
        <v>Sep'20</v>
      </c>
      <c r="H273" s="140" t="str">
        <f>TEXT(RawData[[#This Row],[Date]], "YYYY")</f>
        <v>2020</v>
      </c>
      <c r="I273" s="141" t="s">
        <v>32</v>
      </c>
      <c r="J273" s="141" t="s">
        <v>90</v>
      </c>
      <c r="K273" s="139">
        <f t="shared" si="14"/>
        <v>1</v>
      </c>
      <c r="L273" s="142">
        <f>IF(RawData[[#This Row],[Paid/Unpaid]]="Paid", IF(VALUE($E273)&gt;VALUE($D$3),$K273* 10000,$K273* 8000), 0)</f>
        <v>8000</v>
      </c>
      <c r="M273" s="53" t="s">
        <v>146</v>
      </c>
    </row>
    <row r="274" spans="1:13" ht="12.75" customHeight="1" x14ac:dyDescent="0.3">
      <c r="A274" s="143" t="s">
        <v>127</v>
      </c>
      <c r="B274" s="139" t="str">
        <f>IFERROR(VLOOKUP($A274, NameDesignation[], 2,FALSE), " ")</f>
        <v>Chairman, Shariah Supervisory Committee</v>
      </c>
      <c r="C274" s="139" t="s">
        <v>41</v>
      </c>
      <c r="D274" s="139">
        <v>1</v>
      </c>
      <c r="E274" s="140">
        <v>44102</v>
      </c>
      <c r="F274" s="139" t="str">
        <f t="shared" si="12"/>
        <v>Q3-20</v>
      </c>
      <c r="G274" s="140" t="str">
        <f t="shared" si="13"/>
        <v>Sep'20</v>
      </c>
      <c r="H274" s="140" t="str">
        <f>TEXT(RawData[[#This Row],[Date]], "YYYY")</f>
        <v>2020</v>
      </c>
      <c r="I274" s="141" t="s">
        <v>32</v>
      </c>
      <c r="J274" s="141" t="s">
        <v>90</v>
      </c>
      <c r="K274" s="139">
        <f t="shared" si="14"/>
        <v>1</v>
      </c>
      <c r="L274" s="142">
        <f>IF(RawData[[#This Row],[Paid/Unpaid]]="Paid", IF(VALUE($E274)&gt;VALUE($D$3),$K274* 10000,$K274* 8000), 0)</f>
        <v>8000</v>
      </c>
      <c r="M274" s="53" t="s">
        <v>146</v>
      </c>
    </row>
    <row r="275" spans="1:13" ht="12.75" customHeight="1" x14ac:dyDescent="0.3">
      <c r="A275" s="143" t="s">
        <v>52</v>
      </c>
      <c r="B275" s="139" t="str">
        <f>IFERROR(VLOOKUP($A275, NameDesignation[], 2,FALSE), " ")</f>
        <v>Member, Shariah Supervisory Committee</v>
      </c>
      <c r="C275" s="139" t="s">
        <v>41</v>
      </c>
      <c r="D275" s="139">
        <v>1</v>
      </c>
      <c r="E275" s="140">
        <v>44102</v>
      </c>
      <c r="F275" s="139" t="str">
        <f t="shared" si="12"/>
        <v>Q3-20</v>
      </c>
      <c r="G275" s="140" t="str">
        <f t="shared" si="13"/>
        <v>Sep'20</v>
      </c>
      <c r="H275" s="140" t="str">
        <f>TEXT(RawData[[#This Row],[Date]], "YYYY")</f>
        <v>2020</v>
      </c>
      <c r="I275" s="141" t="s">
        <v>32</v>
      </c>
      <c r="J275" s="141" t="s">
        <v>90</v>
      </c>
      <c r="K275" s="139">
        <f t="shared" si="14"/>
        <v>1</v>
      </c>
      <c r="L275" s="142">
        <f>IF(RawData[[#This Row],[Paid/Unpaid]]="Paid", IF(VALUE($E275)&gt;VALUE($D$3),$K275* 10000,$K275* 8000), 0)</f>
        <v>8000</v>
      </c>
      <c r="M275" s="53" t="s">
        <v>146</v>
      </c>
    </row>
    <row r="276" spans="1:13" ht="12.75" customHeight="1" x14ac:dyDescent="0.3">
      <c r="A276" s="143" t="s">
        <v>128</v>
      </c>
      <c r="B276" s="139" t="str">
        <f>IFERROR(VLOOKUP($A276, NameDesignation[], 2,FALSE), " ")</f>
        <v>Member, Shariah Supervisory Committee</v>
      </c>
      <c r="C276" s="139" t="s">
        <v>41</v>
      </c>
      <c r="D276" s="139">
        <v>1</v>
      </c>
      <c r="E276" s="140">
        <v>44102</v>
      </c>
      <c r="F276" s="139" t="str">
        <f t="shared" si="12"/>
        <v>Q3-20</v>
      </c>
      <c r="G276" s="140" t="str">
        <f t="shared" si="13"/>
        <v>Sep'20</v>
      </c>
      <c r="H276" s="140" t="str">
        <f>TEXT(RawData[[#This Row],[Date]], "YYYY")</f>
        <v>2020</v>
      </c>
      <c r="I276" s="141" t="s">
        <v>32</v>
      </c>
      <c r="J276" s="141" t="s">
        <v>90</v>
      </c>
      <c r="K276" s="139">
        <f t="shared" si="14"/>
        <v>1</v>
      </c>
      <c r="L276" s="142">
        <f>IF(RawData[[#This Row],[Paid/Unpaid]]="Paid", IF(VALUE($E276)&gt;VALUE($D$3),$K276* 10000,$K276* 8000), 0)</f>
        <v>8000</v>
      </c>
      <c r="M276" s="53" t="s">
        <v>146</v>
      </c>
    </row>
    <row r="277" spans="1:13" ht="12.75" customHeight="1" x14ac:dyDescent="0.3">
      <c r="A277" s="143" t="s">
        <v>126</v>
      </c>
      <c r="B277" s="139" t="str">
        <f>IFERROR(VLOOKUP($A277, NameDesignation[], 2,FALSE), " ")</f>
        <v>Member, Shariah Supervisory Committee</v>
      </c>
      <c r="C277" s="139" t="s">
        <v>41</v>
      </c>
      <c r="D277" s="139">
        <v>1</v>
      </c>
      <c r="E277" s="140">
        <v>44102</v>
      </c>
      <c r="F277" s="139" t="str">
        <f t="shared" si="12"/>
        <v>Q3-20</v>
      </c>
      <c r="G277" s="140" t="str">
        <f t="shared" si="13"/>
        <v>Sep'20</v>
      </c>
      <c r="H277" s="140" t="str">
        <f>TEXT(RawData[[#This Row],[Date]], "YYYY")</f>
        <v>2020</v>
      </c>
      <c r="I277" s="141" t="s">
        <v>32</v>
      </c>
      <c r="J277" s="141" t="s">
        <v>90</v>
      </c>
      <c r="K277" s="139">
        <f t="shared" si="14"/>
        <v>1</v>
      </c>
      <c r="L277" s="142">
        <f>IF(RawData[[#This Row],[Paid/Unpaid]]="Paid", IF(VALUE($E277)&gt;VALUE($D$3),$K277* 10000,$K277* 8000), 0)</f>
        <v>8000</v>
      </c>
      <c r="M277" s="53" t="s">
        <v>146</v>
      </c>
    </row>
    <row r="278" spans="1:13" ht="12.75" customHeight="1" x14ac:dyDescent="0.3">
      <c r="A278" s="143" t="s">
        <v>35</v>
      </c>
      <c r="B278" s="139" t="str">
        <f>IFERROR(VLOOKUP($A278, NameDesignation[], 2,FALSE), " ")</f>
        <v>Former Managing Director &amp; CEO</v>
      </c>
      <c r="C278" s="139" t="s">
        <v>41</v>
      </c>
      <c r="D278" s="139">
        <v>1</v>
      </c>
      <c r="E278" s="140">
        <v>44102</v>
      </c>
      <c r="F278" s="139" t="str">
        <f t="shared" si="12"/>
        <v>Q3-20</v>
      </c>
      <c r="G278" s="140" t="str">
        <f t="shared" si="13"/>
        <v>Sep'20</v>
      </c>
      <c r="H278" s="140" t="str">
        <f>TEXT(RawData[[#This Row],[Date]], "YYYY")</f>
        <v>2020</v>
      </c>
      <c r="I278" s="141" t="s">
        <v>32</v>
      </c>
      <c r="J278" s="141" t="s">
        <v>90</v>
      </c>
      <c r="K278" s="139">
        <f t="shared" si="14"/>
        <v>1</v>
      </c>
      <c r="L278" s="142">
        <f>IF(RawData[[#This Row],[Paid/Unpaid]]="Paid", IF(VALUE($E278)&gt;VALUE($D$3),$K278* 10000,$K278* 8000), 0)</f>
        <v>8000</v>
      </c>
      <c r="M278" s="53" t="s">
        <v>146</v>
      </c>
    </row>
    <row r="279" spans="1:13" ht="12.75" customHeight="1" x14ac:dyDescent="0.3">
      <c r="A279" s="71" t="s">
        <v>7</v>
      </c>
      <c r="B279" s="139" t="str">
        <f>IFERROR(VLOOKUP($A279, NameDesignation[], 2,FALSE), " ")</f>
        <v>Former Director</v>
      </c>
      <c r="C279" s="139" t="s">
        <v>29</v>
      </c>
      <c r="D279" s="139">
        <v>452</v>
      </c>
      <c r="E279" s="140">
        <v>44103</v>
      </c>
      <c r="F279" s="139" t="str">
        <f t="shared" si="12"/>
        <v>Q3-20</v>
      </c>
      <c r="G279" s="140" t="str">
        <f t="shared" si="13"/>
        <v>Sep'20</v>
      </c>
      <c r="H279" s="140" t="str">
        <f>TEXT(RawData[[#This Row],[Date]], "YYYY")</f>
        <v>2020</v>
      </c>
      <c r="I279" s="141" t="s">
        <v>32</v>
      </c>
      <c r="J279" s="141" t="s">
        <v>90</v>
      </c>
      <c r="K279" s="139">
        <f t="shared" si="14"/>
        <v>1</v>
      </c>
      <c r="L279" s="142">
        <f>IF(RawData[[#This Row],[Paid/Unpaid]]="Paid", IF(VALUE($E279)&gt;VALUE($D$3),$K279* 10000,$K279* 8000), 0)</f>
        <v>8000</v>
      </c>
      <c r="M279" s="53" t="s">
        <v>146</v>
      </c>
    </row>
    <row r="280" spans="1:13" ht="12.75" customHeight="1" x14ac:dyDescent="0.3">
      <c r="A280" s="71" t="s">
        <v>9</v>
      </c>
      <c r="B280" s="139" t="str">
        <f>IFERROR(VLOOKUP($A280, NameDesignation[], 2,FALSE), " ")</f>
        <v>Former Director</v>
      </c>
      <c r="C280" s="139" t="s">
        <v>29</v>
      </c>
      <c r="D280" s="139">
        <v>452</v>
      </c>
      <c r="E280" s="140">
        <v>44103</v>
      </c>
      <c r="F280" s="139" t="str">
        <f t="shared" si="12"/>
        <v>Q3-20</v>
      </c>
      <c r="G280" s="140" t="str">
        <f t="shared" si="13"/>
        <v>Sep'20</v>
      </c>
      <c r="H280" s="140" t="str">
        <f>TEXT(RawData[[#This Row],[Date]], "YYYY")</f>
        <v>2020</v>
      </c>
      <c r="I280" s="141" t="s">
        <v>32</v>
      </c>
      <c r="J280" s="141" t="s">
        <v>91</v>
      </c>
      <c r="K280" s="139">
        <f t="shared" si="14"/>
        <v>0</v>
      </c>
      <c r="L280" s="142">
        <f>IF(RawData[[#This Row],[Paid/Unpaid]]="Paid", IF(VALUE($E280)&gt;VALUE($D$3),$K280* 10000,$K280* 8000), 0)</f>
        <v>0</v>
      </c>
      <c r="M280" s="53" t="s">
        <v>146</v>
      </c>
    </row>
    <row r="281" spans="1:13" ht="12.75" customHeight="1" x14ac:dyDescent="0.3">
      <c r="A281" s="71" t="s">
        <v>20</v>
      </c>
      <c r="B281" s="139" t="str">
        <f>IFERROR(VLOOKUP($A281, NameDesignation[], 2,FALSE), " ")</f>
        <v>Former Independent Director</v>
      </c>
      <c r="C281" s="139" t="s">
        <v>29</v>
      </c>
      <c r="D281" s="139">
        <v>452</v>
      </c>
      <c r="E281" s="140">
        <v>44103</v>
      </c>
      <c r="F281" s="139" t="str">
        <f t="shared" si="12"/>
        <v>Q3-20</v>
      </c>
      <c r="G281" s="140" t="str">
        <f t="shared" si="13"/>
        <v>Sep'20</v>
      </c>
      <c r="H281" s="140" t="str">
        <f>TEXT(RawData[[#This Row],[Date]], "YYYY")</f>
        <v>2020</v>
      </c>
      <c r="I281" s="141" t="s">
        <v>32</v>
      </c>
      <c r="J281" s="141" t="s">
        <v>90</v>
      </c>
      <c r="K281" s="139">
        <f t="shared" si="14"/>
        <v>1</v>
      </c>
      <c r="L281" s="142">
        <f>IF(RawData[[#This Row],[Paid/Unpaid]]="Paid", IF(VALUE($E281)&gt;VALUE($D$3),$K281* 10000,$K281* 8000), 0)</f>
        <v>8000</v>
      </c>
      <c r="M281" s="53" t="s">
        <v>146</v>
      </c>
    </row>
    <row r="282" spans="1:13" ht="12.75" customHeight="1" x14ac:dyDescent="0.3">
      <c r="A282" s="71" t="s">
        <v>49</v>
      </c>
      <c r="B282" s="139" t="str">
        <f>IFERROR(VLOOKUP($A282, NameDesignation[], 2,FALSE), " ")</f>
        <v>Former Director</v>
      </c>
      <c r="C282" s="139" t="s">
        <v>29</v>
      </c>
      <c r="D282" s="139">
        <v>452</v>
      </c>
      <c r="E282" s="140">
        <v>44103</v>
      </c>
      <c r="F282" s="139" t="str">
        <f t="shared" si="12"/>
        <v>Q3-20</v>
      </c>
      <c r="G282" s="140" t="str">
        <f t="shared" si="13"/>
        <v>Sep'20</v>
      </c>
      <c r="H282" s="140" t="str">
        <f>TEXT(RawData[[#This Row],[Date]], "YYYY")</f>
        <v>2020</v>
      </c>
      <c r="I282" s="141" t="s">
        <v>32</v>
      </c>
      <c r="J282" s="141" t="s">
        <v>90</v>
      </c>
      <c r="K282" s="139">
        <f t="shared" si="14"/>
        <v>1</v>
      </c>
      <c r="L282" s="142">
        <f>IF(RawData[[#This Row],[Paid/Unpaid]]="Paid", IF(VALUE($E282)&gt;VALUE($D$3),$K282* 10000,$K282* 8000), 0)</f>
        <v>8000</v>
      </c>
      <c r="M282" s="53" t="s">
        <v>146</v>
      </c>
    </row>
    <row r="283" spans="1:13" ht="12.75" customHeight="1" x14ac:dyDescent="0.3">
      <c r="A283" s="71" t="s">
        <v>11</v>
      </c>
      <c r="B283" s="139" t="str">
        <f>IFERROR(VLOOKUP($A283, NameDesignation[], 2,FALSE), " ")</f>
        <v>Former Director</v>
      </c>
      <c r="C283" s="139" t="s">
        <v>29</v>
      </c>
      <c r="D283" s="139">
        <v>452</v>
      </c>
      <c r="E283" s="140">
        <v>44103</v>
      </c>
      <c r="F283" s="139" t="str">
        <f t="shared" si="12"/>
        <v>Q3-20</v>
      </c>
      <c r="G283" s="140" t="str">
        <f t="shared" si="13"/>
        <v>Sep'20</v>
      </c>
      <c r="H283" s="140" t="str">
        <f>TEXT(RawData[[#This Row],[Date]], "YYYY")</f>
        <v>2020</v>
      </c>
      <c r="I283" s="141" t="s">
        <v>32</v>
      </c>
      <c r="J283" s="141" t="s">
        <v>90</v>
      </c>
      <c r="K283" s="139">
        <f t="shared" si="14"/>
        <v>1</v>
      </c>
      <c r="L283" s="142">
        <f>IF(RawData[[#This Row],[Paid/Unpaid]]="Paid", IF(VALUE($E283)&gt;VALUE($D$3),$K283* 10000,$K283* 8000), 0)</f>
        <v>8000</v>
      </c>
      <c r="M283" s="53" t="s">
        <v>146</v>
      </c>
    </row>
    <row r="284" spans="1:13" ht="12.75" customHeight="1" x14ac:dyDescent="0.3">
      <c r="A284" s="71" t="s">
        <v>137</v>
      </c>
      <c r="B284" s="139" t="str">
        <f>IFERROR(VLOOKUP($A284, NameDesignation[], 2,FALSE), " ")</f>
        <v>Former Director</v>
      </c>
      <c r="C284" s="139" t="s">
        <v>29</v>
      </c>
      <c r="D284" s="139">
        <v>452</v>
      </c>
      <c r="E284" s="140">
        <v>44103</v>
      </c>
      <c r="F284" s="139" t="str">
        <f t="shared" si="12"/>
        <v>Q3-20</v>
      </c>
      <c r="G284" s="140" t="str">
        <f t="shared" si="13"/>
        <v>Sep'20</v>
      </c>
      <c r="H284" s="140" t="str">
        <f>TEXT(RawData[[#This Row],[Date]], "YYYY")</f>
        <v>2020</v>
      </c>
      <c r="I284" s="141" t="s">
        <v>32</v>
      </c>
      <c r="J284" s="141" t="s">
        <v>91</v>
      </c>
      <c r="K284" s="139">
        <f t="shared" si="14"/>
        <v>0</v>
      </c>
      <c r="L284" s="142">
        <f>IF(RawData[[#This Row],[Paid/Unpaid]]="Paid", IF(VALUE($E284)&gt;VALUE($D$3),$K284* 10000,$K284* 8000), 0)</f>
        <v>0</v>
      </c>
      <c r="M284" s="53" t="s">
        <v>146</v>
      </c>
    </row>
    <row r="285" spans="1:13" ht="12.75" customHeight="1" x14ac:dyDescent="0.3">
      <c r="A285" s="71" t="s">
        <v>13</v>
      </c>
      <c r="B285" s="139" t="str">
        <f>IFERROR(VLOOKUP($A285, NameDesignation[], 2,FALSE), " ")</f>
        <v>Former Director</v>
      </c>
      <c r="C285" s="139" t="s">
        <v>29</v>
      </c>
      <c r="D285" s="139">
        <v>452</v>
      </c>
      <c r="E285" s="140">
        <v>44103</v>
      </c>
      <c r="F285" s="139" t="str">
        <f t="shared" si="12"/>
        <v>Q3-20</v>
      </c>
      <c r="G285" s="140" t="str">
        <f t="shared" si="13"/>
        <v>Sep'20</v>
      </c>
      <c r="H285" s="140" t="str">
        <f>TEXT(RawData[[#This Row],[Date]], "YYYY")</f>
        <v>2020</v>
      </c>
      <c r="I285" s="141" t="s">
        <v>32</v>
      </c>
      <c r="J285" s="141" t="s">
        <v>90</v>
      </c>
      <c r="K285" s="139">
        <f t="shared" si="14"/>
        <v>1</v>
      </c>
      <c r="L285" s="142">
        <f>IF(RawData[[#This Row],[Paid/Unpaid]]="Paid", IF(VALUE($E285)&gt;VALUE($D$3),$K285* 10000,$K285* 8000), 0)</f>
        <v>8000</v>
      </c>
      <c r="M285" s="53" t="s">
        <v>146</v>
      </c>
    </row>
    <row r="286" spans="1:13" ht="12.75" customHeight="1" x14ac:dyDescent="0.3">
      <c r="A286" s="71" t="s">
        <v>61</v>
      </c>
      <c r="B286" s="139" t="str">
        <f>IFERROR(VLOOKUP($A286, NameDesignation[], 2,FALSE), " ")</f>
        <v>Former Director</v>
      </c>
      <c r="C286" s="139" t="s">
        <v>29</v>
      </c>
      <c r="D286" s="139">
        <v>452</v>
      </c>
      <c r="E286" s="140">
        <v>44103</v>
      </c>
      <c r="F286" s="139" t="str">
        <f t="shared" si="12"/>
        <v>Q3-20</v>
      </c>
      <c r="G286" s="140" t="str">
        <f t="shared" si="13"/>
        <v>Sep'20</v>
      </c>
      <c r="H286" s="140" t="str">
        <f>TEXT(RawData[[#This Row],[Date]], "YYYY")</f>
        <v>2020</v>
      </c>
      <c r="I286" s="141" t="s">
        <v>32</v>
      </c>
      <c r="J286" s="141" t="s">
        <v>91</v>
      </c>
      <c r="K286" s="139">
        <f t="shared" si="14"/>
        <v>0</v>
      </c>
      <c r="L286" s="142">
        <f>IF(RawData[[#This Row],[Paid/Unpaid]]="Paid", IF(VALUE($E286)&gt;VALUE($D$3),$K286* 10000,$K286* 8000), 0)</f>
        <v>0</v>
      </c>
      <c r="M286" s="53" t="s">
        <v>146</v>
      </c>
    </row>
    <row r="287" spans="1:13" ht="12.75" customHeight="1" x14ac:dyDescent="0.3">
      <c r="A287" s="71" t="s">
        <v>21</v>
      </c>
      <c r="B287" s="139" t="str">
        <f>IFERROR(VLOOKUP($A287, NameDesignation[], 2,FALSE), " ")</f>
        <v>Former Independent Director</v>
      </c>
      <c r="C287" s="139" t="s">
        <v>29</v>
      </c>
      <c r="D287" s="139">
        <v>452</v>
      </c>
      <c r="E287" s="140">
        <v>44103</v>
      </c>
      <c r="F287" s="139" t="str">
        <f t="shared" si="12"/>
        <v>Q3-20</v>
      </c>
      <c r="G287" s="140" t="str">
        <f t="shared" si="13"/>
        <v>Sep'20</v>
      </c>
      <c r="H287" s="140" t="str">
        <f>TEXT(RawData[[#This Row],[Date]], "YYYY")</f>
        <v>2020</v>
      </c>
      <c r="I287" s="141" t="s">
        <v>32</v>
      </c>
      <c r="J287" s="141" t="s">
        <v>90</v>
      </c>
      <c r="K287" s="139">
        <f t="shared" si="14"/>
        <v>1</v>
      </c>
      <c r="L287" s="142">
        <f>IF(RawData[[#This Row],[Paid/Unpaid]]="Paid", IF(VALUE($E287)&gt;VALUE($D$3),$K287* 10000,$K287* 8000), 0)</f>
        <v>8000</v>
      </c>
      <c r="M287" s="53" t="s">
        <v>146</v>
      </c>
    </row>
    <row r="288" spans="1:13" ht="12.75" customHeight="1" x14ac:dyDescent="0.3">
      <c r="A288" s="71" t="s">
        <v>25</v>
      </c>
      <c r="B288" s="139" t="str">
        <f>IFERROR(VLOOKUP($A288, NameDesignation[], 2,FALSE), " ")</f>
        <v>Former Director</v>
      </c>
      <c r="C288" s="139" t="s">
        <v>29</v>
      </c>
      <c r="D288" s="139">
        <v>452</v>
      </c>
      <c r="E288" s="140">
        <v>44103</v>
      </c>
      <c r="F288" s="139" t="str">
        <f t="shared" si="12"/>
        <v>Q3-20</v>
      </c>
      <c r="G288" s="140" t="str">
        <f t="shared" si="13"/>
        <v>Sep'20</v>
      </c>
      <c r="H288" s="140" t="str">
        <f>TEXT(RawData[[#This Row],[Date]], "YYYY")</f>
        <v>2020</v>
      </c>
      <c r="I288" s="141" t="s">
        <v>32</v>
      </c>
      <c r="J288" s="141" t="s">
        <v>90</v>
      </c>
      <c r="K288" s="139">
        <f t="shared" si="14"/>
        <v>1</v>
      </c>
      <c r="L288" s="142">
        <f>IF(RawData[[#This Row],[Paid/Unpaid]]="Paid", IF(VALUE($E288)&gt;VALUE($D$3),$K288* 10000,$K288* 8000), 0)</f>
        <v>8000</v>
      </c>
      <c r="M288" s="53" t="s">
        <v>146</v>
      </c>
    </row>
    <row r="289" spans="1:13" ht="12.75" customHeight="1" x14ac:dyDescent="0.3">
      <c r="A289" s="71" t="s">
        <v>50</v>
      </c>
      <c r="B289" s="139" t="str">
        <f>IFERROR(VLOOKUP($A289, NameDesignation[], 2,FALSE), " ")</f>
        <v>Former Director</v>
      </c>
      <c r="C289" s="139" t="s">
        <v>29</v>
      </c>
      <c r="D289" s="139">
        <v>452</v>
      </c>
      <c r="E289" s="140">
        <v>44103</v>
      </c>
      <c r="F289" s="139" t="str">
        <f t="shared" si="12"/>
        <v>Q3-20</v>
      </c>
      <c r="G289" s="140" t="str">
        <f t="shared" si="13"/>
        <v>Sep'20</v>
      </c>
      <c r="H289" s="140" t="str">
        <f>TEXT(RawData[[#This Row],[Date]], "YYYY")</f>
        <v>2020</v>
      </c>
      <c r="I289" s="141" t="s">
        <v>32</v>
      </c>
      <c r="J289" s="141" t="s">
        <v>91</v>
      </c>
      <c r="K289" s="139">
        <f t="shared" si="14"/>
        <v>0</v>
      </c>
      <c r="L289" s="142">
        <f>IF(RawData[[#This Row],[Paid/Unpaid]]="Paid", IF(VALUE($E289)&gt;VALUE($D$3),$K289* 10000,$K289* 8000), 0)</f>
        <v>0</v>
      </c>
      <c r="M289" s="53" t="s">
        <v>146</v>
      </c>
    </row>
    <row r="290" spans="1:13" ht="12.75" customHeight="1" x14ac:dyDescent="0.3">
      <c r="A290" s="71" t="s">
        <v>51</v>
      </c>
      <c r="B290" s="139" t="str">
        <f>IFERROR(VLOOKUP($A290, NameDesignation[], 2,FALSE), " ")</f>
        <v>Former Director</v>
      </c>
      <c r="C290" s="139" t="s">
        <v>29</v>
      </c>
      <c r="D290" s="139">
        <v>452</v>
      </c>
      <c r="E290" s="140">
        <v>44103</v>
      </c>
      <c r="F290" s="139" t="str">
        <f t="shared" si="12"/>
        <v>Q3-20</v>
      </c>
      <c r="G290" s="140" t="str">
        <f t="shared" si="13"/>
        <v>Sep'20</v>
      </c>
      <c r="H290" s="140" t="str">
        <f>TEXT(RawData[[#This Row],[Date]], "YYYY")</f>
        <v>2020</v>
      </c>
      <c r="I290" s="141" t="s">
        <v>32</v>
      </c>
      <c r="J290" s="141" t="s">
        <v>90</v>
      </c>
      <c r="K290" s="139">
        <f t="shared" si="14"/>
        <v>1</v>
      </c>
      <c r="L290" s="142">
        <f>IF(RawData[[#This Row],[Paid/Unpaid]]="Paid", IF(VALUE($E290)&gt;VALUE($D$3),$K290* 10000,$K290* 8000), 0)</f>
        <v>8000</v>
      </c>
      <c r="M290" s="53" t="s">
        <v>146</v>
      </c>
    </row>
    <row r="291" spans="1:13" ht="12.75" customHeight="1" x14ac:dyDescent="0.3">
      <c r="A291" s="71" t="s">
        <v>27</v>
      </c>
      <c r="B291" s="139" t="str">
        <f>IFERROR(VLOOKUP($A291, NameDesignation[], 2,FALSE), " ")</f>
        <v>Former Director</v>
      </c>
      <c r="C291" s="139" t="s">
        <v>29</v>
      </c>
      <c r="D291" s="139">
        <v>452</v>
      </c>
      <c r="E291" s="140">
        <v>44103</v>
      </c>
      <c r="F291" s="139" t="str">
        <f t="shared" si="12"/>
        <v>Q3-20</v>
      </c>
      <c r="G291" s="140" t="str">
        <f t="shared" si="13"/>
        <v>Sep'20</v>
      </c>
      <c r="H291" s="140" t="str">
        <f>TEXT(RawData[[#This Row],[Date]], "YYYY")</f>
        <v>2020</v>
      </c>
      <c r="I291" s="141" t="s">
        <v>32</v>
      </c>
      <c r="J291" s="141" t="s">
        <v>91</v>
      </c>
      <c r="K291" s="139">
        <f t="shared" si="14"/>
        <v>0</v>
      </c>
      <c r="L291" s="142">
        <f>IF(RawData[[#This Row],[Paid/Unpaid]]="Paid", IF(VALUE($E291)&gt;VALUE($D$3),$K291* 10000,$K291* 8000), 0)</f>
        <v>0</v>
      </c>
      <c r="M291" s="53" t="s">
        <v>146</v>
      </c>
    </row>
    <row r="292" spans="1:13" ht="12.75" customHeight="1" x14ac:dyDescent="0.3">
      <c r="A292" s="71" t="s">
        <v>18</v>
      </c>
      <c r="B292" s="139" t="str">
        <f>IFERROR(VLOOKUP($A292, NameDesignation[], 2,FALSE), " ")</f>
        <v>Former Independent Director</v>
      </c>
      <c r="C292" s="139" t="s">
        <v>29</v>
      </c>
      <c r="D292" s="139">
        <v>452</v>
      </c>
      <c r="E292" s="140">
        <v>44103</v>
      </c>
      <c r="F292" s="139" t="str">
        <f t="shared" si="12"/>
        <v>Q3-20</v>
      </c>
      <c r="G292" s="140" t="str">
        <f t="shared" si="13"/>
        <v>Sep'20</v>
      </c>
      <c r="H292" s="140" t="str">
        <f>TEXT(RawData[[#This Row],[Date]], "YYYY")</f>
        <v>2020</v>
      </c>
      <c r="I292" s="141" t="s">
        <v>32</v>
      </c>
      <c r="J292" s="141" t="s">
        <v>91</v>
      </c>
      <c r="K292" s="139">
        <f t="shared" si="14"/>
        <v>0</v>
      </c>
      <c r="L292" s="142">
        <f>IF(RawData[[#This Row],[Paid/Unpaid]]="Paid", IF(VALUE($E292)&gt;VALUE($D$3),$K292* 10000,$K292* 8000), 0)</f>
        <v>0</v>
      </c>
      <c r="M292" s="53" t="s">
        <v>146</v>
      </c>
    </row>
    <row r="293" spans="1:13" ht="12.75" customHeight="1" x14ac:dyDescent="0.3">
      <c r="A293" s="143" t="s">
        <v>35</v>
      </c>
      <c r="B293" s="139" t="str">
        <f>IFERROR(VLOOKUP($A293, NameDesignation[], 2,FALSE), " ")</f>
        <v>Former Managing Director &amp; CEO</v>
      </c>
      <c r="C293" s="139" t="s">
        <v>29</v>
      </c>
      <c r="D293" s="139">
        <v>452</v>
      </c>
      <c r="E293" s="140">
        <v>44103</v>
      </c>
      <c r="F293" s="139" t="str">
        <f t="shared" si="12"/>
        <v>Q3-20</v>
      </c>
      <c r="G293" s="140" t="str">
        <f t="shared" si="13"/>
        <v>Sep'20</v>
      </c>
      <c r="H293" s="140" t="str">
        <f>TEXT(RawData[[#This Row],[Date]], "YYYY")</f>
        <v>2020</v>
      </c>
      <c r="I293" s="141" t="s">
        <v>32</v>
      </c>
      <c r="J293" s="141" t="s">
        <v>90</v>
      </c>
      <c r="K293" s="139">
        <f t="shared" si="14"/>
        <v>1</v>
      </c>
      <c r="L293" s="142">
        <f>IF(RawData[[#This Row],[Paid/Unpaid]]="Paid", IF(VALUE($E293)&gt;VALUE($D$3),$K293* 10000,$K293* 8000), 0)</f>
        <v>8000</v>
      </c>
      <c r="M293" s="53" t="s">
        <v>146</v>
      </c>
    </row>
    <row r="294" spans="1:13" ht="12.75" customHeight="1" x14ac:dyDescent="0.3">
      <c r="A294" s="143" t="s">
        <v>20</v>
      </c>
      <c r="B294" s="139" t="str">
        <f>IFERROR(VLOOKUP($A294, NameDesignation[], 2,FALSE), " ")</f>
        <v>Former Independent Director</v>
      </c>
      <c r="C294" s="139" t="s">
        <v>37</v>
      </c>
      <c r="D294" s="139">
        <v>111</v>
      </c>
      <c r="E294" s="140">
        <v>44103</v>
      </c>
      <c r="F294" s="139" t="str">
        <f t="shared" si="12"/>
        <v>Q3-20</v>
      </c>
      <c r="G294" s="140" t="str">
        <f t="shared" si="13"/>
        <v>Sep'20</v>
      </c>
      <c r="H294" s="140" t="str">
        <f>TEXT(RawData[[#This Row],[Date]], "YYYY")</f>
        <v>2020</v>
      </c>
      <c r="I294" s="141" t="s">
        <v>32</v>
      </c>
      <c r="J294" s="141" t="s">
        <v>90</v>
      </c>
      <c r="K294" s="139">
        <f t="shared" si="14"/>
        <v>1</v>
      </c>
      <c r="L294" s="142">
        <f>IF(RawData[[#This Row],[Paid/Unpaid]]="Paid", IF(VALUE($E294)&gt;VALUE($D$3),$K294* 10000,$K294* 8000), 0)</f>
        <v>8000</v>
      </c>
      <c r="M294" s="53" t="s">
        <v>146</v>
      </c>
    </row>
    <row r="295" spans="1:13" ht="12.75" customHeight="1" x14ac:dyDescent="0.3">
      <c r="A295" s="143" t="s">
        <v>23</v>
      </c>
      <c r="B295" s="139" t="str">
        <f>IFERROR(VLOOKUP($A295, NameDesignation[], 2,FALSE), " ")</f>
        <v>Former Director</v>
      </c>
      <c r="C295" s="139" t="s">
        <v>37</v>
      </c>
      <c r="D295" s="139">
        <v>111</v>
      </c>
      <c r="E295" s="140">
        <v>44103</v>
      </c>
      <c r="F295" s="139" t="str">
        <f t="shared" si="12"/>
        <v>Q3-20</v>
      </c>
      <c r="G295" s="140" t="str">
        <f t="shared" si="13"/>
        <v>Sep'20</v>
      </c>
      <c r="H295" s="140" t="str">
        <f>TEXT(RawData[[#This Row],[Date]], "YYYY")</f>
        <v>2020</v>
      </c>
      <c r="I295" s="141" t="s">
        <v>32</v>
      </c>
      <c r="J295" s="141" t="s">
        <v>91</v>
      </c>
      <c r="K295" s="139">
        <f t="shared" si="14"/>
        <v>0</v>
      </c>
      <c r="L295" s="142">
        <f>IF(RawData[[#This Row],[Paid/Unpaid]]="Paid", IF(VALUE($E295)&gt;VALUE($D$3),$K295* 10000,$K295* 8000), 0)</f>
        <v>0</v>
      </c>
      <c r="M295" s="53" t="s">
        <v>146</v>
      </c>
    </row>
    <row r="296" spans="1:13" ht="12.75" customHeight="1" x14ac:dyDescent="0.3">
      <c r="A296" s="143" t="s">
        <v>24</v>
      </c>
      <c r="B296" s="139" t="str">
        <f>IFERROR(VLOOKUP($A296, NameDesignation[], 2,FALSE), " ")</f>
        <v>Former Director</v>
      </c>
      <c r="C296" s="139" t="s">
        <v>37</v>
      </c>
      <c r="D296" s="139">
        <v>111</v>
      </c>
      <c r="E296" s="140">
        <v>44103</v>
      </c>
      <c r="F296" s="139" t="str">
        <f t="shared" si="12"/>
        <v>Q3-20</v>
      </c>
      <c r="G296" s="140" t="str">
        <f t="shared" si="13"/>
        <v>Sep'20</v>
      </c>
      <c r="H296" s="140" t="str">
        <f>TEXT(RawData[[#This Row],[Date]], "YYYY")</f>
        <v>2020</v>
      </c>
      <c r="I296" s="141" t="s">
        <v>32</v>
      </c>
      <c r="J296" s="141" t="s">
        <v>91</v>
      </c>
      <c r="K296" s="139">
        <f t="shared" si="14"/>
        <v>0</v>
      </c>
      <c r="L296" s="142">
        <f>IF(RawData[[#This Row],[Paid/Unpaid]]="Paid", IF(VALUE($E296)&gt;VALUE($D$3),$K296* 10000,$K296* 8000), 0)</f>
        <v>0</v>
      </c>
      <c r="M296" s="53" t="s">
        <v>146</v>
      </c>
    </row>
    <row r="297" spans="1:13" ht="12.75" customHeight="1" x14ac:dyDescent="0.3">
      <c r="A297" s="143" t="s">
        <v>18</v>
      </c>
      <c r="B297" s="139" t="str">
        <f>IFERROR(VLOOKUP($A297, NameDesignation[], 2,FALSE), " ")</f>
        <v>Former Independent Director</v>
      </c>
      <c r="C297" s="139" t="s">
        <v>37</v>
      </c>
      <c r="D297" s="139">
        <v>111</v>
      </c>
      <c r="E297" s="140">
        <v>44103</v>
      </c>
      <c r="F297" s="139" t="str">
        <f t="shared" si="12"/>
        <v>Q3-20</v>
      </c>
      <c r="G297" s="140" t="str">
        <f t="shared" si="13"/>
        <v>Sep'20</v>
      </c>
      <c r="H297" s="140" t="str">
        <f>TEXT(RawData[[#This Row],[Date]], "YYYY")</f>
        <v>2020</v>
      </c>
      <c r="I297" s="141" t="s">
        <v>32</v>
      </c>
      <c r="J297" s="141" t="s">
        <v>90</v>
      </c>
      <c r="K297" s="139">
        <f t="shared" si="14"/>
        <v>1</v>
      </c>
      <c r="L297" s="142">
        <f>IF(RawData[[#This Row],[Paid/Unpaid]]="Paid", IF(VALUE($E297)&gt;VALUE($D$3),$K297* 10000,$K297* 8000), 0)</f>
        <v>8000</v>
      </c>
      <c r="M297" s="53" t="s">
        <v>146</v>
      </c>
    </row>
    <row r="298" spans="1:13" ht="12.75" customHeight="1" x14ac:dyDescent="0.3">
      <c r="A298" s="143" t="s">
        <v>27</v>
      </c>
      <c r="B298" s="139" t="str">
        <f>IFERROR(VLOOKUP($A298, NameDesignation[], 2,FALSE), " ")</f>
        <v>Former Director</v>
      </c>
      <c r="C298" s="139" t="s">
        <v>37</v>
      </c>
      <c r="D298" s="139">
        <v>111</v>
      </c>
      <c r="E298" s="140">
        <v>44103</v>
      </c>
      <c r="F298" s="139" t="str">
        <f t="shared" si="12"/>
        <v>Q3-20</v>
      </c>
      <c r="G298" s="140" t="str">
        <f t="shared" si="13"/>
        <v>Sep'20</v>
      </c>
      <c r="H298" s="140" t="str">
        <f>TEXT(RawData[[#This Row],[Date]], "YYYY")</f>
        <v>2020</v>
      </c>
      <c r="I298" s="141" t="s">
        <v>32</v>
      </c>
      <c r="J298" s="141" t="s">
        <v>91</v>
      </c>
      <c r="K298" s="139">
        <f t="shared" si="14"/>
        <v>0</v>
      </c>
      <c r="L298" s="142">
        <f>IF(RawData[[#This Row],[Paid/Unpaid]]="Paid", IF(VALUE($E298)&gt;VALUE($D$3),$K298* 10000,$K298* 8000), 0)</f>
        <v>0</v>
      </c>
      <c r="M298" s="53" t="s">
        <v>146</v>
      </c>
    </row>
    <row r="299" spans="1:13" ht="12.75" customHeight="1" x14ac:dyDescent="0.3">
      <c r="A299" s="71" t="s">
        <v>9</v>
      </c>
      <c r="B299" s="139" t="str">
        <f>IFERROR(VLOOKUP($A299, NameDesignation[], 2,FALSE), " ")</f>
        <v>Former Director</v>
      </c>
      <c r="C299" s="139" t="s">
        <v>30</v>
      </c>
      <c r="D299" s="139">
        <v>436</v>
      </c>
      <c r="E299" s="140">
        <v>44104</v>
      </c>
      <c r="F299" s="139" t="str">
        <f t="shared" si="12"/>
        <v>Q3-20</v>
      </c>
      <c r="G299" s="140" t="str">
        <f t="shared" si="13"/>
        <v>Sep'20</v>
      </c>
      <c r="H299" s="140" t="str">
        <f>TEXT(RawData[[#This Row],[Date]], "YYYY")</f>
        <v>2020</v>
      </c>
      <c r="I299" s="141" t="s">
        <v>32</v>
      </c>
      <c r="J299" s="141" t="s">
        <v>90</v>
      </c>
      <c r="K299" s="139">
        <f t="shared" si="14"/>
        <v>1</v>
      </c>
      <c r="L299" s="142">
        <f>IF(RawData[[#This Row],[Paid/Unpaid]]="Paid", IF(VALUE($E299)&gt;VALUE($D$3),$K299* 10000,$K299* 8000), 0)</f>
        <v>8000</v>
      </c>
      <c r="M299" s="53" t="s">
        <v>146</v>
      </c>
    </row>
    <row r="300" spans="1:13" ht="12.75" customHeight="1" x14ac:dyDescent="0.3">
      <c r="A300" s="71" t="s">
        <v>8</v>
      </c>
      <c r="B300" s="139" t="str">
        <f>IFERROR(VLOOKUP($A300, NameDesignation[], 2,FALSE), " ")</f>
        <v>Former Vice-Chairman</v>
      </c>
      <c r="C300" s="139" t="s">
        <v>30</v>
      </c>
      <c r="D300" s="139">
        <v>436</v>
      </c>
      <c r="E300" s="140">
        <v>44104</v>
      </c>
      <c r="F300" s="139" t="str">
        <f t="shared" si="12"/>
        <v>Q3-20</v>
      </c>
      <c r="G300" s="140" t="str">
        <f t="shared" si="13"/>
        <v>Sep'20</v>
      </c>
      <c r="H300" s="140" t="str">
        <f>TEXT(RawData[[#This Row],[Date]], "YYYY")</f>
        <v>2020</v>
      </c>
      <c r="I300" s="141" t="s">
        <v>32</v>
      </c>
      <c r="J300" s="141" t="s">
        <v>90</v>
      </c>
      <c r="K300" s="139">
        <f t="shared" si="14"/>
        <v>1</v>
      </c>
      <c r="L300" s="142">
        <f>IF(RawData[[#This Row],[Paid/Unpaid]]="Paid", IF(VALUE($E300)&gt;VALUE($D$3),$K300* 10000,$K300* 8000), 0)</f>
        <v>8000</v>
      </c>
      <c r="M300" s="53" t="s">
        <v>146</v>
      </c>
    </row>
    <row r="301" spans="1:13" ht="12.75" customHeight="1" x14ac:dyDescent="0.3">
      <c r="A301" s="71" t="s">
        <v>49</v>
      </c>
      <c r="B301" s="139" t="str">
        <f>IFERROR(VLOOKUP($A301, NameDesignation[], 2,FALSE), " ")</f>
        <v>Former Director</v>
      </c>
      <c r="C301" s="139" t="s">
        <v>30</v>
      </c>
      <c r="D301" s="139">
        <v>436</v>
      </c>
      <c r="E301" s="140">
        <v>44104</v>
      </c>
      <c r="F301" s="139" t="str">
        <f t="shared" si="12"/>
        <v>Q3-20</v>
      </c>
      <c r="G301" s="140" t="str">
        <f t="shared" si="13"/>
        <v>Sep'20</v>
      </c>
      <c r="H301" s="140" t="str">
        <f>TEXT(RawData[[#This Row],[Date]], "YYYY")</f>
        <v>2020</v>
      </c>
      <c r="I301" s="141" t="s">
        <v>32</v>
      </c>
      <c r="J301" s="141" t="s">
        <v>90</v>
      </c>
      <c r="K301" s="139">
        <f t="shared" si="14"/>
        <v>1</v>
      </c>
      <c r="L301" s="142">
        <f>IF(RawData[[#This Row],[Paid/Unpaid]]="Paid", IF(VALUE($E301)&gt;VALUE($D$3),$K301* 10000,$K301* 8000), 0)</f>
        <v>8000</v>
      </c>
      <c r="M301" s="53" t="s">
        <v>146</v>
      </c>
    </row>
    <row r="302" spans="1:13" ht="12.75" customHeight="1" x14ac:dyDescent="0.3">
      <c r="A302" s="71" t="s">
        <v>11</v>
      </c>
      <c r="B302" s="139" t="str">
        <f>IFERROR(VLOOKUP($A302, NameDesignation[], 2,FALSE), " ")</f>
        <v>Former Director</v>
      </c>
      <c r="C302" s="139" t="s">
        <v>30</v>
      </c>
      <c r="D302" s="139">
        <v>436</v>
      </c>
      <c r="E302" s="140">
        <v>44104</v>
      </c>
      <c r="F302" s="139" t="str">
        <f t="shared" si="12"/>
        <v>Q3-20</v>
      </c>
      <c r="G302" s="140" t="str">
        <f t="shared" si="13"/>
        <v>Sep'20</v>
      </c>
      <c r="H302" s="140" t="str">
        <f>TEXT(RawData[[#This Row],[Date]], "YYYY")</f>
        <v>2020</v>
      </c>
      <c r="I302" s="141" t="s">
        <v>32</v>
      </c>
      <c r="J302" s="141" t="s">
        <v>91</v>
      </c>
      <c r="K302" s="139">
        <f t="shared" si="14"/>
        <v>0</v>
      </c>
      <c r="L302" s="142">
        <f>IF(RawData[[#This Row],[Paid/Unpaid]]="Paid", IF(VALUE($E302)&gt;VALUE($D$3),$K302* 10000,$K302* 8000), 0)</f>
        <v>0</v>
      </c>
      <c r="M302" s="53" t="s">
        <v>146</v>
      </c>
    </row>
    <row r="303" spans="1:13" ht="12.75" customHeight="1" x14ac:dyDescent="0.3">
      <c r="A303" s="71" t="s">
        <v>13</v>
      </c>
      <c r="B303" s="139" t="str">
        <f>IFERROR(VLOOKUP($A303, NameDesignation[], 2,FALSE), " ")</f>
        <v>Former Director</v>
      </c>
      <c r="C303" s="139" t="s">
        <v>30</v>
      </c>
      <c r="D303" s="139">
        <v>436</v>
      </c>
      <c r="E303" s="140">
        <v>44104</v>
      </c>
      <c r="F303" s="139" t="str">
        <f t="shared" si="12"/>
        <v>Q3-20</v>
      </c>
      <c r="G303" s="140" t="str">
        <f t="shared" si="13"/>
        <v>Sep'20</v>
      </c>
      <c r="H303" s="140" t="str">
        <f>TEXT(RawData[[#This Row],[Date]], "YYYY")</f>
        <v>2020</v>
      </c>
      <c r="I303" s="141" t="s">
        <v>32</v>
      </c>
      <c r="J303" s="141" t="s">
        <v>90</v>
      </c>
      <c r="K303" s="139">
        <f t="shared" si="14"/>
        <v>1</v>
      </c>
      <c r="L303" s="142">
        <f>IF(RawData[[#This Row],[Paid/Unpaid]]="Paid", IF(VALUE($E303)&gt;VALUE($D$3),$K303* 10000,$K303* 8000), 0)</f>
        <v>8000</v>
      </c>
      <c r="M303" s="53" t="s">
        <v>146</v>
      </c>
    </row>
    <row r="304" spans="1:13" ht="12.75" customHeight="1" x14ac:dyDescent="0.3">
      <c r="A304" s="71" t="s">
        <v>25</v>
      </c>
      <c r="B304" s="139" t="str">
        <f>IFERROR(VLOOKUP($A304, NameDesignation[], 2,FALSE), " ")</f>
        <v>Former Director</v>
      </c>
      <c r="C304" s="139" t="s">
        <v>30</v>
      </c>
      <c r="D304" s="139">
        <v>436</v>
      </c>
      <c r="E304" s="140">
        <v>44104</v>
      </c>
      <c r="F304" s="139" t="str">
        <f t="shared" si="12"/>
        <v>Q3-20</v>
      </c>
      <c r="G304" s="140" t="str">
        <f t="shared" si="13"/>
        <v>Sep'20</v>
      </c>
      <c r="H304" s="140" t="str">
        <f>TEXT(RawData[[#This Row],[Date]], "YYYY")</f>
        <v>2020</v>
      </c>
      <c r="I304" s="141" t="s">
        <v>32</v>
      </c>
      <c r="J304" s="141" t="s">
        <v>90</v>
      </c>
      <c r="K304" s="139">
        <f t="shared" si="14"/>
        <v>1</v>
      </c>
      <c r="L304" s="142">
        <f>IF(RawData[[#This Row],[Paid/Unpaid]]="Paid", IF(VALUE($E304)&gt;VALUE($D$3),$K304* 10000,$K304* 8000), 0)</f>
        <v>8000</v>
      </c>
      <c r="M304" s="53" t="s">
        <v>146</v>
      </c>
    </row>
    <row r="305" spans="1:13" ht="12.75" customHeight="1" x14ac:dyDescent="0.3">
      <c r="A305" s="143" t="s">
        <v>49</v>
      </c>
      <c r="B305" s="139" t="str">
        <f>IFERROR(VLOOKUP($A305, NameDesignation[], 2,FALSE), " ")</f>
        <v>Former Director</v>
      </c>
      <c r="C305" s="139" t="s">
        <v>38</v>
      </c>
      <c r="D305" s="139">
        <v>28</v>
      </c>
      <c r="E305" s="140">
        <v>44104</v>
      </c>
      <c r="F305" s="139" t="str">
        <f t="shared" si="12"/>
        <v>Q3-20</v>
      </c>
      <c r="G305" s="140" t="str">
        <f t="shared" si="13"/>
        <v>Sep'20</v>
      </c>
      <c r="H305" s="140" t="str">
        <f>TEXT(RawData[[#This Row],[Date]], "YYYY")</f>
        <v>2020</v>
      </c>
      <c r="I305" s="141" t="s">
        <v>32</v>
      </c>
      <c r="J305" s="141" t="s">
        <v>90</v>
      </c>
      <c r="K305" s="139">
        <f t="shared" si="14"/>
        <v>1</v>
      </c>
      <c r="L305" s="142">
        <f>IF(RawData[[#This Row],[Paid/Unpaid]]="Paid", IF(VALUE($E305)&gt;VALUE($D$3),$K305* 10000,$K305* 8000), 0)</f>
        <v>8000</v>
      </c>
      <c r="M305" s="53" t="s">
        <v>146</v>
      </c>
    </row>
    <row r="306" spans="1:13" ht="12.75" customHeight="1" x14ac:dyDescent="0.3">
      <c r="A306" s="143" t="s">
        <v>9</v>
      </c>
      <c r="B306" s="139" t="str">
        <f>IFERROR(VLOOKUP($A306, NameDesignation[], 2,FALSE), " ")</f>
        <v>Former Director</v>
      </c>
      <c r="C306" s="139" t="s">
        <v>38</v>
      </c>
      <c r="D306" s="139">
        <v>28</v>
      </c>
      <c r="E306" s="140">
        <v>44104</v>
      </c>
      <c r="F306" s="139" t="str">
        <f t="shared" si="12"/>
        <v>Q3-20</v>
      </c>
      <c r="G306" s="140" t="str">
        <f t="shared" si="13"/>
        <v>Sep'20</v>
      </c>
      <c r="H306" s="140" t="str">
        <f>TEXT(RawData[[#This Row],[Date]], "YYYY")</f>
        <v>2020</v>
      </c>
      <c r="I306" s="141" t="s">
        <v>32</v>
      </c>
      <c r="J306" s="141" t="s">
        <v>90</v>
      </c>
      <c r="K306" s="139">
        <f t="shared" si="14"/>
        <v>1</v>
      </c>
      <c r="L306" s="142">
        <f>IF(RawData[[#This Row],[Paid/Unpaid]]="Paid", IF(VALUE($E306)&gt;VALUE($D$3),$K306* 10000,$K306* 8000), 0)</f>
        <v>8000</v>
      </c>
      <c r="M306" s="53" t="s">
        <v>146</v>
      </c>
    </row>
    <row r="307" spans="1:13" ht="12.75" customHeight="1" x14ac:dyDescent="0.3">
      <c r="A307" s="143" t="s">
        <v>61</v>
      </c>
      <c r="B307" s="139" t="str">
        <f>IFERROR(VLOOKUP($A307, NameDesignation[], 2,FALSE), " ")</f>
        <v>Former Director</v>
      </c>
      <c r="C307" s="139" t="s">
        <v>38</v>
      </c>
      <c r="D307" s="139">
        <v>28</v>
      </c>
      <c r="E307" s="140">
        <v>44104</v>
      </c>
      <c r="F307" s="139" t="str">
        <f t="shared" si="12"/>
        <v>Q3-20</v>
      </c>
      <c r="G307" s="140" t="str">
        <f t="shared" si="13"/>
        <v>Sep'20</v>
      </c>
      <c r="H307" s="140" t="str">
        <f>TEXT(RawData[[#This Row],[Date]], "YYYY")</f>
        <v>2020</v>
      </c>
      <c r="I307" s="141" t="s">
        <v>32</v>
      </c>
      <c r="J307" s="141" t="s">
        <v>91</v>
      </c>
      <c r="K307" s="139">
        <f t="shared" si="14"/>
        <v>0</v>
      </c>
      <c r="L307" s="142">
        <f>IF(RawData[[#This Row],[Paid/Unpaid]]="Paid", IF(VALUE($E307)&gt;VALUE($D$3),$K307* 10000,$K307* 8000), 0)</f>
        <v>0</v>
      </c>
      <c r="M307" s="53" t="s">
        <v>146</v>
      </c>
    </row>
    <row r="308" spans="1:13" ht="12.75" customHeight="1" x14ac:dyDescent="0.3">
      <c r="A308" s="143" t="s">
        <v>137</v>
      </c>
      <c r="B308" s="139" t="str">
        <f>IFERROR(VLOOKUP($A308, NameDesignation[], 2,FALSE), " ")</f>
        <v>Former Director</v>
      </c>
      <c r="C308" s="139" t="s">
        <v>38</v>
      </c>
      <c r="D308" s="139">
        <v>28</v>
      </c>
      <c r="E308" s="140">
        <v>44104</v>
      </c>
      <c r="F308" s="139" t="str">
        <f t="shared" si="12"/>
        <v>Q3-20</v>
      </c>
      <c r="G308" s="140" t="str">
        <f t="shared" si="13"/>
        <v>Sep'20</v>
      </c>
      <c r="H308" s="140" t="str">
        <f>TEXT(RawData[[#This Row],[Date]], "YYYY")</f>
        <v>2020</v>
      </c>
      <c r="I308" s="141" t="s">
        <v>32</v>
      </c>
      <c r="J308" s="141" t="s">
        <v>91</v>
      </c>
      <c r="K308" s="139">
        <f t="shared" si="14"/>
        <v>0</v>
      </c>
      <c r="L308" s="142">
        <f>IF(RawData[[#This Row],[Paid/Unpaid]]="Paid", IF(VALUE($E308)&gt;VALUE($D$3),$K308* 10000,$K308* 8000), 0)</f>
        <v>0</v>
      </c>
      <c r="M308" s="53" t="s">
        <v>146</v>
      </c>
    </row>
    <row r="309" spans="1:13" ht="12.75" customHeight="1" x14ac:dyDescent="0.3">
      <c r="A309" s="71" t="s">
        <v>7</v>
      </c>
      <c r="B309" s="139" t="str">
        <f>IFERROR(VLOOKUP($A309, NameDesignation[], 2,FALSE), " ")</f>
        <v>Former Director</v>
      </c>
      <c r="C309" s="139" t="s">
        <v>29</v>
      </c>
      <c r="D309" s="139">
        <v>453</v>
      </c>
      <c r="E309" s="140">
        <v>44125</v>
      </c>
      <c r="F309" s="139" t="str">
        <f t="shared" si="12"/>
        <v>Q4-20</v>
      </c>
      <c r="G309" s="140" t="str">
        <f t="shared" si="13"/>
        <v>Oct'20</v>
      </c>
      <c r="H309" s="140" t="str">
        <f>TEXT(RawData[[#This Row],[Date]], "YYYY")</f>
        <v>2020</v>
      </c>
      <c r="I309" s="141" t="s">
        <v>32</v>
      </c>
      <c r="J309" s="141" t="s">
        <v>90</v>
      </c>
      <c r="K309" s="139">
        <f t="shared" si="14"/>
        <v>1</v>
      </c>
      <c r="L309" s="142">
        <f>IF(RawData[[#This Row],[Paid/Unpaid]]="Paid", IF(VALUE($E309)&gt;VALUE($D$3),$K309* 10000,$K309* 8000), 0)</f>
        <v>8000</v>
      </c>
      <c r="M309" s="53" t="s">
        <v>146</v>
      </c>
    </row>
    <row r="310" spans="1:13" ht="12.75" customHeight="1" x14ac:dyDescent="0.3">
      <c r="A310" s="71" t="s">
        <v>8</v>
      </c>
      <c r="B310" s="139" t="str">
        <f>IFERROR(VLOOKUP($A310, NameDesignation[], 2,FALSE), " ")</f>
        <v>Former Vice-Chairman</v>
      </c>
      <c r="C310" s="139" t="s">
        <v>29</v>
      </c>
      <c r="D310" s="139">
        <v>453</v>
      </c>
      <c r="E310" s="140">
        <v>44125</v>
      </c>
      <c r="F310" s="139" t="str">
        <f t="shared" si="12"/>
        <v>Q4-20</v>
      </c>
      <c r="G310" s="140" t="str">
        <f t="shared" si="13"/>
        <v>Oct'20</v>
      </c>
      <c r="H310" s="140" t="str">
        <f>TEXT(RawData[[#This Row],[Date]], "YYYY")</f>
        <v>2020</v>
      </c>
      <c r="I310" s="141" t="s">
        <v>32</v>
      </c>
      <c r="J310" s="141" t="s">
        <v>91</v>
      </c>
      <c r="K310" s="139">
        <f t="shared" si="14"/>
        <v>0</v>
      </c>
      <c r="L310" s="142">
        <f>IF(RawData[[#This Row],[Paid/Unpaid]]="Paid", IF(VALUE($E310)&gt;VALUE($D$3),$K310* 10000,$K310* 8000), 0)</f>
        <v>0</v>
      </c>
      <c r="M310" s="53" t="s">
        <v>146</v>
      </c>
    </row>
    <row r="311" spans="1:13" ht="12.75" customHeight="1" x14ac:dyDescent="0.3">
      <c r="A311" s="71" t="s">
        <v>9</v>
      </c>
      <c r="B311" s="139" t="str">
        <f>IFERROR(VLOOKUP($A311, NameDesignation[], 2,FALSE), " ")</f>
        <v>Former Director</v>
      </c>
      <c r="C311" s="139" t="s">
        <v>29</v>
      </c>
      <c r="D311" s="139">
        <v>453</v>
      </c>
      <c r="E311" s="140">
        <v>44125</v>
      </c>
      <c r="F311" s="139" t="str">
        <f t="shared" si="12"/>
        <v>Q4-20</v>
      </c>
      <c r="G311" s="140" t="str">
        <f t="shared" si="13"/>
        <v>Oct'20</v>
      </c>
      <c r="H311" s="140" t="str">
        <f>TEXT(RawData[[#This Row],[Date]], "YYYY")</f>
        <v>2020</v>
      </c>
      <c r="I311" s="141" t="s">
        <v>32</v>
      </c>
      <c r="J311" s="141" t="s">
        <v>90</v>
      </c>
      <c r="K311" s="139">
        <f t="shared" si="14"/>
        <v>1</v>
      </c>
      <c r="L311" s="142">
        <f>IF(RawData[[#This Row],[Paid/Unpaid]]="Paid", IF(VALUE($E311)&gt;VALUE($D$3),$K311* 10000,$K311* 8000), 0)</f>
        <v>8000</v>
      </c>
      <c r="M311" s="53" t="s">
        <v>146</v>
      </c>
    </row>
    <row r="312" spans="1:13" ht="12.75" customHeight="1" x14ac:dyDescent="0.3">
      <c r="A312" s="71" t="s">
        <v>20</v>
      </c>
      <c r="B312" s="139" t="str">
        <f>IFERROR(VLOOKUP($A312, NameDesignation[], 2,FALSE), " ")</f>
        <v>Former Independent Director</v>
      </c>
      <c r="C312" s="139" t="s">
        <v>29</v>
      </c>
      <c r="D312" s="139">
        <v>453</v>
      </c>
      <c r="E312" s="140">
        <v>44125</v>
      </c>
      <c r="F312" s="139" t="str">
        <f t="shared" si="12"/>
        <v>Q4-20</v>
      </c>
      <c r="G312" s="140" t="str">
        <f t="shared" si="13"/>
        <v>Oct'20</v>
      </c>
      <c r="H312" s="140" t="str">
        <f>TEXT(RawData[[#This Row],[Date]], "YYYY")</f>
        <v>2020</v>
      </c>
      <c r="I312" s="141" t="s">
        <v>32</v>
      </c>
      <c r="J312" s="141" t="s">
        <v>91</v>
      </c>
      <c r="K312" s="139">
        <f t="shared" si="14"/>
        <v>0</v>
      </c>
      <c r="L312" s="142">
        <f>IF(RawData[[#This Row],[Paid/Unpaid]]="Paid", IF(VALUE($E312)&gt;VALUE($D$3),$K312* 10000,$K312* 8000), 0)</f>
        <v>0</v>
      </c>
      <c r="M312" s="53" t="s">
        <v>146</v>
      </c>
    </row>
    <row r="313" spans="1:13" ht="12.75" customHeight="1" x14ac:dyDescent="0.3">
      <c r="A313" s="71" t="s">
        <v>49</v>
      </c>
      <c r="B313" s="139" t="str">
        <f>IFERROR(VLOOKUP($A313, NameDesignation[], 2,FALSE), " ")</f>
        <v>Former Director</v>
      </c>
      <c r="C313" s="139" t="s">
        <v>29</v>
      </c>
      <c r="D313" s="139">
        <v>453</v>
      </c>
      <c r="E313" s="140">
        <v>44125</v>
      </c>
      <c r="F313" s="139" t="str">
        <f t="shared" si="12"/>
        <v>Q4-20</v>
      </c>
      <c r="G313" s="140" t="str">
        <f t="shared" si="13"/>
        <v>Oct'20</v>
      </c>
      <c r="H313" s="140" t="str">
        <f>TEXT(RawData[[#This Row],[Date]], "YYYY")</f>
        <v>2020</v>
      </c>
      <c r="I313" s="141" t="s">
        <v>32</v>
      </c>
      <c r="J313" s="141" t="s">
        <v>90</v>
      </c>
      <c r="K313" s="139">
        <f t="shared" si="14"/>
        <v>1</v>
      </c>
      <c r="L313" s="142">
        <f>IF(RawData[[#This Row],[Paid/Unpaid]]="Paid", IF(VALUE($E313)&gt;VALUE($D$3),$K313* 10000,$K313* 8000), 0)</f>
        <v>8000</v>
      </c>
      <c r="M313" s="53" t="s">
        <v>146</v>
      </c>
    </row>
    <row r="314" spans="1:13" ht="12.75" customHeight="1" x14ac:dyDescent="0.3">
      <c r="A314" s="71" t="s">
        <v>11</v>
      </c>
      <c r="B314" s="139" t="str">
        <f>IFERROR(VLOOKUP($A314, NameDesignation[], 2,FALSE), " ")</f>
        <v>Former Director</v>
      </c>
      <c r="C314" s="139" t="s">
        <v>29</v>
      </c>
      <c r="D314" s="139">
        <v>453</v>
      </c>
      <c r="E314" s="140">
        <v>44125</v>
      </c>
      <c r="F314" s="139" t="str">
        <f t="shared" si="12"/>
        <v>Q4-20</v>
      </c>
      <c r="G314" s="140" t="str">
        <f t="shared" si="13"/>
        <v>Oct'20</v>
      </c>
      <c r="H314" s="140" t="str">
        <f>TEXT(RawData[[#This Row],[Date]], "YYYY")</f>
        <v>2020</v>
      </c>
      <c r="I314" s="141" t="s">
        <v>32</v>
      </c>
      <c r="J314" s="141" t="s">
        <v>90</v>
      </c>
      <c r="K314" s="139">
        <f t="shared" si="14"/>
        <v>1</v>
      </c>
      <c r="L314" s="142">
        <f>IF(RawData[[#This Row],[Paid/Unpaid]]="Paid", IF(VALUE($E314)&gt;VALUE($D$3),$K314* 10000,$K314* 8000), 0)</f>
        <v>8000</v>
      </c>
      <c r="M314" s="53" t="s">
        <v>146</v>
      </c>
    </row>
    <row r="315" spans="1:13" ht="12.75" customHeight="1" x14ac:dyDescent="0.3">
      <c r="A315" s="71" t="s">
        <v>137</v>
      </c>
      <c r="B315" s="139" t="str">
        <f>IFERROR(VLOOKUP($A315, NameDesignation[], 2,FALSE), " ")</f>
        <v>Former Director</v>
      </c>
      <c r="C315" s="139" t="s">
        <v>29</v>
      </c>
      <c r="D315" s="139">
        <v>453</v>
      </c>
      <c r="E315" s="140">
        <v>44125</v>
      </c>
      <c r="F315" s="139" t="str">
        <f t="shared" si="12"/>
        <v>Q4-20</v>
      </c>
      <c r="G315" s="140" t="str">
        <f t="shared" si="13"/>
        <v>Oct'20</v>
      </c>
      <c r="H315" s="140" t="str">
        <f>TEXT(RawData[[#This Row],[Date]], "YYYY")</f>
        <v>2020</v>
      </c>
      <c r="I315" s="141" t="s">
        <v>32</v>
      </c>
      <c r="J315" s="141" t="s">
        <v>90</v>
      </c>
      <c r="K315" s="139">
        <f t="shared" si="14"/>
        <v>1</v>
      </c>
      <c r="L315" s="142">
        <f>IF(RawData[[#This Row],[Paid/Unpaid]]="Paid", IF(VALUE($E315)&gt;VALUE($D$3),$K315* 10000,$K315* 8000), 0)</f>
        <v>8000</v>
      </c>
      <c r="M315" s="53" t="s">
        <v>146</v>
      </c>
    </row>
    <row r="316" spans="1:13" ht="12.75" customHeight="1" x14ac:dyDescent="0.3">
      <c r="A316" s="71" t="s">
        <v>13</v>
      </c>
      <c r="B316" s="139" t="str">
        <f>IFERROR(VLOOKUP($A316, NameDesignation[], 2,FALSE), " ")</f>
        <v>Former Director</v>
      </c>
      <c r="C316" s="139" t="s">
        <v>29</v>
      </c>
      <c r="D316" s="139">
        <v>453</v>
      </c>
      <c r="E316" s="140">
        <v>44125</v>
      </c>
      <c r="F316" s="139" t="str">
        <f t="shared" si="12"/>
        <v>Q4-20</v>
      </c>
      <c r="G316" s="140" t="str">
        <f t="shared" si="13"/>
        <v>Oct'20</v>
      </c>
      <c r="H316" s="140" t="str">
        <f>TEXT(RawData[[#This Row],[Date]], "YYYY")</f>
        <v>2020</v>
      </c>
      <c r="I316" s="141" t="s">
        <v>32</v>
      </c>
      <c r="J316" s="141" t="s">
        <v>90</v>
      </c>
      <c r="K316" s="139">
        <f t="shared" si="14"/>
        <v>1</v>
      </c>
      <c r="L316" s="142">
        <f>IF(RawData[[#This Row],[Paid/Unpaid]]="Paid", IF(VALUE($E316)&gt;VALUE($D$3),$K316* 10000,$K316* 8000), 0)</f>
        <v>8000</v>
      </c>
      <c r="M316" s="53" t="s">
        <v>146</v>
      </c>
    </row>
    <row r="317" spans="1:13" ht="12.75" customHeight="1" x14ac:dyDescent="0.3">
      <c r="A317" s="71" t="s">
        <v>61</v>
      </c>
      <c r="B317" s="139" t="str">
        <f>IFERROR(VLOOKUP($A317, NameDesignation[], 2,FALSE), " ")</f>
        <v>Former Director</v>
      </c>
      <c r="C317" s="139" t="s">
        <v>29</v>
      </c>
      <c r="D317" s="139">
        <v>453</v>
      </c>
      <c r="E317" s="140">
        <v>44125</v>
      </c>
      <c r="F317" s="139" t="str">
        <f t="shared" si="12"/>
        <v>Q4-20</v>
      </c>
      <c r="G317" s="140" t="str">
        <f t="shared" si="13"/>
        <v>Oct'20</v>
      </c>
      <c r="H317" s="140" t="str">
        <f>TEXT(RawData[[#This Row],[Date]], "YYYY")</f>
        <v>2020</v>
      </c>
      <c r="I317" s="141" t="s">
        <v>32</v>
      </c>
      <c r="J317" s="141" t="s">
        <v>90</v>
      </c>
      <c r="K317" s="139">
        <f t="shared" si="14"/>
        <v>1</v>
      </c>
      <c r="L317" s="142">
        <f>IF(RawData[[#This Row],[Paid/Unpaid]]="Paid", IF(VALUE($E317)&gt;VALUE($D$3),$K317* 10000,$K317* 8000), 0)</f>
        <v>8000</v>
      </c>
      <c r="M317" s="53" t="s">
        <v>146</v>
      </c>
    </row>
    <row r="318" spans="1:13" ht="12.75" customHeight="1" x14ac:dyDescent="0.3">
      <c r="A318" s="71" t="s">
        <v>23</v>
      </c>
      <c r="B318" s="139" t="str">
        <f>IFERROR(VLOOKUP($A318, NameDesignation[], 2,FALSE), " ")</f>
        <v>Former Director</v>
      </c>
      <c r="C318" s="139" t="s">
        <v>29</v>
      </c>
      <c r="D318" s="139">
        <v>453</v>
      </c>
      <c r="E318" s="140">
        <v>44125</v>
      </c>
      <c r="F318" s="139" t="str">
        <f t="shared" si="12"/>
        <v>Q4-20</v>
      </c>
      <c r="G318" s="140" t="str">
        <f t="shared" si="13"/>
        <v>Oct'20</v>
      </c>
      <c r="H318" s="140" t="str">
        <f>TEXT(RawData[[#This Row],[Date]], "YYYY")</f>
        <v>2020</v>
      </c>
      <c r="I318" s="141" t="s">
        <v>32</v>
      </c>
      <c r="J318" s="141" t="s">
        <v>90</v>
      </c>
      <c r="K318" s="139">
        <f t="shared" si="14"/>
        <v>1</v>
      </c>
      <c r="L318" s="142">
        <f>IF(RawData[[#This Row],[Paid/Unpaid]]="Paid", IF(VALUE($E318)&gt;VALUE($D$3),$K318* 10000,$K318* 8000), 0)</f>
        <v>8000</v>
      </c>
      <c r="M318" s="53" t="s">
        <v>146</v>
      </c>
    </row>
    <row r="319" spans="1:13" ht="12.75" customHeight="1" x14ac:dyDescent="0.3">
      <c r="A319" s="71" t="s">
        <v>24</v>
      </c>
      <c r="B319" s="139" t="str">
        <f>IFERROR(VLOOKUP($A319, NameDesignation[], 2,FALSE), " ")</f>
        <v>Former Director</v>
      </c>
      <c r="C319" s="139" t="s">
        <v>29</v>
      </c>
      <c r="D319" s="139">
        <v>453</v>
      </c>
      <c r="E319" s="140">
        <v>44125</v>
      </c>
      <c r="F319" s="139" t="str">
        <f t="shared" si="12"/>
        <v>Q4-20</v>
      </c>
      <c r="G319" s="140" t="str">
        <f t="shared" si="13"/>
        <v>Oct'20</v>
      </c>
      <c r="H319" s="140" t="str">
        <f>TEXT(RawData[[#This Row],[Date]], "YYYY")</f>
        <v>2020</v>
      </c>
      <c r="I319" s="141" t="s">
        <v>32</v>
      </c>
      <c r="J319" s="141" t="s">
        <v>90</v>
      </c>
      <c r="K319" s="139">
        <f t="shared" si="14"/>
        <v>1</v>
      </c>
      <c r="L319" s="142">
        <f>IF(RawData[[#This Row],[Paid/Unpaid]]="Paid", IF(VALUE($E319)&gt;VALUE($D$3),$K319* 10000,$K319* 8000), 0)</f>
        <v>8000</v>
      </c>
      <c r="M319" s="53" t="s">
        <v>146</v>
      </c>
    </row>
    <row r="320" spans="1:13" ht="12.75" customHeight="1" x14ac:dyDescent="0.3">
      <c r="A320" s="71" t="s">
        <v>15</v>
      </c>
      <c r="B320" s="139" t="str">
        <f>IFERROR(VLOOKUP($A320, NameDesignation[], 2,FALSE), " ")</f>
        <v>Former Director</v>
      </c>
      <c r="C320" s="139" t="s">
        <v>29</v>
      </c>
      <c r="D320" s="139">
        <v>453</v>
      </c>
      <c r="E320" s="140">
        <v>44125</v>
      </c>
      <c r="F320" s="139" t="str">
        <f t="shared" si="12"/>
        <v>Q4-20</v>
      </c>
      <c r="G320" s="140" t="str">
        <f t="shared" si="13"/>
        <v>Oct'20</v>
      </c>
      <c r="H320" s="140" t="str">
        <f>TEXT(RawData[[#This Row],[Date]], "YYYY")</f>
        <v>2020</v>
      </c>
      <c r="I320" s="141" t="s">
        <v>32</v>
      </c>
      <c r="J320" s="141" t="s">
        <v>90</v>
      </c>
      <c r="K320" s="139">
        <f t="shared" si="14"/>
        <v>1</v>
      </c>
      <c r="L320" s="142">
        <f>IF(RawData[[#This Row],[Paid/Unpaid]]="Paid", IF(VALUE($E320)&gt;VALUE($D$3),$K320* 10000,$K320* 8000), 0)</f>
        <v>8000</v>
      </c>
      <c r="M320" s="53" t="s">
        <v>146</v>
      </c>
    </row>
    <row r="321" spans="1:13" ht="12.75" customHeight="1" x14ac:dyDescent="0.3">
      <c r="A321" s="71" t="s">
        <v>21</v>
      </c>
      <c r="B321" s="139" t="str">
        <f>IFERROR(VLOOKUP($A321, NameDesignation[], 2,FALSE), " ")</f>
        <v>Former Independent Director</v>
      </c>
      <c r="C321" s="139" t="s">
        <v>29</v>
      </c>
      <c r="D321" s="139">
        <v>453</v>
      </c>
      <c r="E321" s="140">
        <v>44125</v>
      </c>
      <c r="F321" s="139" t="str">
        <f t="shared" si="12"/>
        <v>Q4-20</v>
      </c>
      <c r="G321" s="140" t="str">
        <f t="shared" si="13"/>
        <v>Oct'20</v>
      </c>
      <c r="H321" s="140" t="str">
        <f>TEXT(RawData[[#This Row],[Date]], "YYYY")</f>
        <v>2020</v>
      </c>
      <c r="I321" s="141" t="s">
        <v>32</v>
      </c>
      <c r="J321" s="141" t="s">
        <v>91</v>
      </c>
      <c r="K321" s="139">
        <f t="shared" si="14"/>
        <v>0</v>
      </c>
      <c r="L321" s="142">
        <f>IF(RawData[[#This Row],[Paid/Unpaid]]="Paid", IF(VALUE($E321)&gt;VALUE($D$3),$K321* 10000,$K321* 8000), 0)</f>
        <v>0</v>
      </c>
      <c r="M321" s="53" t="s">
        <v>146</v>
      </c>
    </row>
    <row r="322" spans="1:13" ht="12.75" customHeight="1" x14ac:dyDescent="0.3">
      <c r="A322" s="71" t="s">
        <v>25</v>
      </c>
      <c r="B322" s="139" t="str">
        <f>IFERROR(VLOOKUP($A322, NameDesignation[], 2,FALSE), " ")</f>
        <v>Former Director</v>
      </c>
      <c r="C322" s="139" t="s">
        <v>29</v>
      </c>
      <c r="D322" s="139">
        <v>453</v>
      </c>
      <c r="E322" s="140">
        <v>44125</v>
      </c>
      <c r="F322" s="139" t="str">
        <f t="shared" si="12"/>
        <v>Q4-20</v>
      </c>
      <c r="G322" s="140" t="str">
        <f t="shared" si="13"/>
        <v>Oct'20</v>
      </c>
      <c r="H322" s="140" t="str">
        <f>TEXT(RawData[[#This Row],[Date]], "YYYY")</f>
        <v>2020</v>
      </c>
      <c r="I322" s="141" t="s">
        <v>32</v>
      </c>
      <c r="J322" s="141" t="s">
        <v>90</v>
      </c>
      <c r="K322" s="139">
        <f t="shared" si="14"/>
        <v>1</v>
      </c>
      <c r="L322" s="142">
        <f>IF(RawData[[#This Row],[Paid/Unpaid]]="Paid", IF(VALUE($E322)&gt;VALUE($D$3),$K322* 10000,$K322* 8000), 0)</f>
        <v>8000</v>
      </c>
      <c r="M322" s="53" t="s">
        <v>146</v>
      </c>
    </row>
    <row r="323" spans="1:13" ht="12.75" customHeight="1" x14ac:dyDescent="0.3">
      <c r="A323" s="71" t="s">
        <v>50</v>
      </c>
      <c r="B323" s="139" t="str">
        <f>IFERROR(VLOOKUP($A323, NameDesignation[], 2,FALSE), " ")</f>
        <v>Former Director</v>
      </c>
      <c r="C323" s="139" t="s">
        <v>29</v>
      </c>
      <c r="D323" s="139">
        <v>453</v>
      </c>
      <c r="E323" s="140">
        <v>44125</v>
      </c>
      <c r="F323" s="139" t="str">
        <f t="shared" si="12"/>
        <v>Q4-20</v>
      </c>
      <c r="G323" s="140" t="str">
        <f t="shared" si="13"/>
        <v>Oct'20</v>
      </c>
      <c r="H323" s="140" t="str">
        <f>TEXT(RawData[[#This Row],[Date]], "YYYY")</f>
        <v>2020</v>
      </c>
      <c r="I323" s="141" t="s">
        <v>32</v>
      </c>
      <c r="J323" s="141" t="s">
        <v>91</v>
      </c>
      <c r="K323" s="139">
        <f t="shared" si="14"/>
        <v>0</v>
      </c>
      <c r="L323" s="142">
        <f>IF(RawData[[#This Row],[Paid/Unpaid]]="Paid", IF(VALUE($E323)&gt;VALUE($D$3),$K323* 10000,$K323* 8000), 0)</f>
        <v>0</v>
      </c>
      <c r="M323" s="53" t="s">
        <v>146</v>
      </c>
    </row>
    <row r="324" spans="1:13" ht="12.75" customHeight="1" x14ac:dyDescent="0.3">
      <c r="A324" s="71" t="s">
        <v>51</v>
      </c>
      <c r="B324" s="139" t="str">
        <f>IFERROR(VLOOKUP($A324, NameDesignation[], 2,FALSE), " ")</f>
        <v>Former Director</v>
      </c>
      <c r="C324" s="139" t="s">
        <v>29</v>
      </c>
      <c r="D324" s="139">
        <v>453</v>
      </c>
      <c r="E324" s="140">
        <v>44125</v>
      </c>
      <c r="F324" s="139" t="str">
        <f t="shared" si="12"/>
        <v>Q4-20</v>
      </c>
      <c r="G324" s="140" t="str">
        <f t="shared" si="13"/>
        <v>Oct'20</v>
      </c>
      <c r="H324" s="140" t="str">
        <f>TEXT(RawData[[#This Row],[Date]], "YYYY")</f>
        <v>2020</v>
      </c>
      <c r="I324" s="141" t="s">
        <v>32</v>
      </c>
      <c r="J324" s="141" t="s">
        <v>90</v>
      </c>
      <c r="K324" s="139">
        <f t="shared" si="14"/>
        <v>1</v>
      </c>
      <c r="L324" s="142">
        <f>IF(RawData[[#This Row],[Paid/Unpaid]]="Paid", IF(VALUE($E324)&gt;VALUE($D$3),$K324* 10000,$K324* 8000), 0)</f>
        <v>8000</v>
      </c>
      <c r="M324" s="53" t="s">
        <v>146</v>
      </c>
    </row>
    <row r="325" spans="1:13" ht="12.75" customHeight="1" x14ac:dyDescent="0.3">
      <c r="A325" s="71" t="s">
        <v>27</v>
      </c>
      <c r="B325" s="139" t="str">
        <f>IFERROR(VLOOKUP($A325, NameDesignation[], 2,FALSE), " ")</f>
        <v>Former Director</v>
      </c>
      <c r="C325" s="139" t="s">
        <v>29</v>
      </c>
      <c r="D325" s="139">
        <v>453</v>
      </c>
      <c r="E325" s="140">
        <v>44125</v>
      </c>
      <c r="F325" s="139" t="str">
        <f t="shared" si="12"/>
        <v>Q4-20</v>
      </c>
      <c r="G325" s="140" t="str">
        <f t="shared" si="13"/>
        <v>Oct'20</v>
      </c>
      <c r="H325" s="140" t="str">
        <f>TEXT(RawData[[#This Row],[Date]], "YYYY")</f>
        <v>2020</v>
      </c>
      <c r="I325" s="141" t="s">
        <v>32</v>
      </c>
      <c r="J325" s="141" t="s">
        <v>91</v>
      </c>
      <c r="K325" s="139">
        <f t="shared" si="14"/>
        <v>0</v>
      </c>
      <c r="L325" s="142">
        <f>IF(RawData[[#This Row],[Paid/Unpaid]]="Paid", IF(VALUE($E325)&gt;VALUE($D$3),$K325* 10000,$K325* 8000), 0)</f>
        <v>0</v>
      </c>
      <c r="M325" s="53" t="s">
        <v>146</v>
      </c>
    </row>
    <row r="326" spans="1:13" ht="12.75" customHeight="1" x14ac:dyDescent="0.3">
      <c r="A326" s="71" t="s">
        <v>18</v>
      </c>
      <c r="B326" s="139" t="str">
        <f>IFERROR(VLOOKUP($A326, NameDesignation[], 2,FALSE), " ")</f>
        <v>Former Independent Director</v>
      </c>
      <c r="C326" s="139" t="s">
        <v>29</v>
      </c>
      <c r="D326" s="139">
        <v>453</v>
      </c>
      <c r="E326" s="140">
        <v>44125</v>
      </c>
      <c r="F326" s="139" t="str">
        <f t="shared" ref="F326:F389" si="15">CONCATENATE("Q", ROUNDUP(MONTH($E326)/3,0),"-",TEXT($E326, "yy"))</f>
        <v>Q4-20</v>
      </c>
      <c r="G326" s="140" t="str">
        <f t="shared" ref="G326:G389" si="16">CONCATENATE(TEXT($E326, "mmm"),"'", TEXT($E326, "yy"))</f>
        <v>Oct'20</v>
      </c>
      <c r="H326" s="140" t="str">
        <f>TEXT(RawData[[#This Row],[Date]], "YYYY")</f>
        <v>2020</v>
      </c>
      <c r="I326" s="141" t="s">
        <v>32</v>
      </c>
      <c r="J326" s="141" t="s">
        <v>91</v>
      </c>
      <c r="K326" s="139">
        <f t="shared" ref="K326:K389" si="17">IF($J326="Present", 1, 0)</f>
        <v>0</v>
      </c>
      <c r="L326" s="142">
        <f>IF(RawData[[#This Row],[Paid/Unpaid]]="Paid", IF(VALUE($E326)&gt;VALUE($D$3),$K326* 10000,$K326* 8000), 0)</f>
        <v>0</v>
      </c>
      <c r="M326" s="53" t="s">
        <v>146</v>
      </c>
    </row>
    <row r="327" spans="1:13" ht="12.75" customHeight="1" x14ac:dyDescent="0.3">
      <c r="A327" s="143" t="s">
        <v>35</v>
      </c>
      <c r="B327" s="139" t="str">
        <f>IFERROR(VLOOKUP($A327, NameDesignation[], 2,FALSE), " ")</f>
        <v>Former Managing Director &amp; CEO</v>
      </c>
      <c r="C327" s="139" t="s">
        <v>29</v>
      </c>
      <c r="D327" s="139">
        <v>453</v>
      </c>
      <c r="E327" s="140">
        <v>44125</v>
      </c>
      <c r="F327" s="139" t="str">
        <f t="shared" si="15"/>
        <v>Q4-20</v>
      </c>
      <c r="G327" s="140" t="str">
        <f t="shared" si="16"/>
        <v>Oct'20</v>
      </c>
      <c r="H327" s="140" t="str">
        <f>TEXT(RawData[[#This Row],[Date]], "YYYY")</f>
        <v>2020</v>
      </c>
      <c r="I327" s="141" t="s">
        <v>32</v>
      </c>
      <c r="J327" s="141" t="s">
        <v>90</v>
      </c>
      <c r="K327" s="139">
        <f t="shared" si="17"/>
        <v>1</v>
      </c>
      <c r="L327" s="142">
        <f>IF(RawData[[#This Row],[Paid/Unpaid]]="Paid", IF(VALUE($E327)&gt;VALUE($D$3),$K327* 10000,$K327* 8000), 0)</f>
        <v>8000</v>
      </c>
      <c r="M327" s="53" t="s">
        <v>146</v>
      </c>
    </row>
    <row r="328" spans="1:13" ht="12.75" customHeight="1" x14ac:dyDescent="0.3">
      <c r="A328" s="143" t="s">
        <v>23</v>
      </c>
      <c r="B328" s="139" t="str">
        <f>IFERROR(VLOOKUP($A328, NameDesignation[], 2,FALSE), " ")</f>
        <v>Former Director</v>
      </c>
      <c r="C328" s="139" t="s">
        <v>37</v>
      </c>
      <c r="D328" s="139">
        <v>112</v>
      </c>
      <c r="E328" s="140">
        <v>44125</v>
      </c>
      <c r="F328" s="139" t="str">
        <f t="shared" si="15"/>
        <v>Q4-20</v>
      </c>
      <c r="G328" s="140" t="str">
        <f t="shared" si="16"/>
        <v>Oct'20</v>
      </c>
      <c r="H328" s="140" t="str">
        <f>TEXT(RawData[[#This Row],[Date]], "YYYY")</f>
        <v>2020</v>
      </c>
      <c r="I328" s="141" t="s">
        <v>32</v>
      </c>
      <c r="J328" s="141" t="s">
        <v>90</v>
      </c>
      <c r="K328" s="139">
        <f t="shared" si="17"/>
        <v>1</v>
      </c>
      <c r="L328" s="142">
        <f>IF(RawData[[#This Row],[Paid/Unpaid]]="Paid", IF(VALUE($E328)&gt;VALUE($D$3),$K328* 10000,$K328* 8000), 0)</f>
        <v>8000</v>
      </c>
      <c r="M328" s="53" t="s">
        <v>146</v>
      </c>
    </row>
    <row r="329" spans="1:13" ht="12.75" customHeight="1" x14ac:dyDescent="0.3">
      <c r="A329" s="143" t="s">
        <v>24</v>
      </c>
      <c r="B329" s="139" t="str">
        <f>IFERROR(VLOOKUP($A329, NameDesignation[], 2,FALSE), " ")</f>
        <v>Former Director</v>
      </c>
      <c r="C329" s="139" t="s">
        <v>37</v>
      </c>
      <c r="D329" s="139">
        <v>112</v>
      </c>
      <c r="E329" s="140">
        <v>44125</v>
      </c>
      <c r="F329" s="139" t="str">
        <f t="shared" si="15"/>
        <v>Q4-20</v>
      </c>
      <c r="G329" s="140" t="str">
        <f t="shared" si="16"/>
        <v>Oct'20</v>
      </c>
      <c r="H329" s="140" t="str">
        <f>TEXT(RawData[[#This Row],[Date]], "YYYY")</f>
        <v>2020</v>
      </c>
      <c r="I329" s="141" t="s">
        <v>32</v>
      </c>
      <c r="J329" s="141" t="s">
        <v>90</v>
      </c>
      <c r="K329" s="139">
        <f t="shared" si="17"/>
        <v>1</v>
      </c>
      <c r="L329" s="142">
        <f>IF(RawData[[#This Row],[Paid/Unpaid]]="Paid", IF(VALUE($E329)&gt;VALUE($D$3),$K329* 10000,$K329* 8000), 0)</f>
        <v>8000</v>
      </c>
      <c r="M329" s="53" t="s">
        <v>146</v>
      </c>
    </row>
    <row r="330" spans="1:13" ht="12.75" customHeight="1" x14ac:dyDescent="0.3">
      <c r="A330" s="143" t="s">
        <v>21</v>
      </c>
      <c r="B330" s="139" t="str">
        <f>IFERROR(VLOOKUP($A330, NameDesignation[], 2,FALSE), " ")</f>
        <v>Former Independent Director</v>
      </c>
      <c r="C330" s="139" t="s">
        <v>37</v>
      </c>
      <c r="D330" s="139">
        <v>112</v>
      </c>
      <c r="E330" s="140">
        <v>44125</v>
      </c>
      <c r="F330" s="139" t="str">
        <f t="shared" si="15"/>
        <v>Q4-20</v>
      </c>
      <c r="G330" s="140" t="str">
        <f t="shared" si="16"/>
        <v>Oct'20</v>
      </c>
      <c r="H330" s="140" t="str">
        <f>TEXT(RawData[[#This Row],[Date]], "YYYY")</f>
        <v>2020</v>
      </c>
      <c r="I330" s="141" t="s">
        <v>32</v>
      </c>
      <c r="J330" s="141" t="s">
        <v>91</v>
      </c>
      <c r="K330" s="139">
        <f t="shared" si="17"/>
        <v>0</v>
      </c>
      <c r="L330" s="142">
        <f>IF(RawData[[#This Row],[Paid/Unpaid]]="Paid", IF(VALUE($E330)&gt;VALUE($D$3),$K330* 10000,$K330* 8000), 0)</f>
        <v>0</v>
      </c>
      <c r="M330" s="53" t="s">
        <v>146</v>
      </c>
    </row>
    <row r="331" spans="1:13" ht="12.75" customHeight="1" x14ac:dyDescent="0.3">
      <c r="A331" s="143" t="s">
        <v>18</v>
      </c>
      <c r="B331" s="139" t="str">
        <f>IFERROR(VLOOKUP($A331, NameDesignation[], 2,FALSE), " ")</f>
        <v>Former Independent Director</v>
      </c>
      <c r="C331" s="139" t="s">
        <v>37</v>
      </c>
      <c r="D331" s="139">
        <v>112</v>
      </c>
      <c r="E331" s="140">
        <v>44125</v>
      </c>
      <c r="F331" s="139" t="str">
        <f t="shared" si="15"/>
        <v>Q4-20</v>
      </c>
      <c r="G331" s="140" t="str">
        <f t="shared" si="16"/>
        <v>Oct'20</v>
      </c>
      <c r="H331" s="140" t="str">
        <f>TEXT(RawData[[#This Row],[Date]], "YYYY")</f>
        <v>2020</v>
      </c>
      <c r="I331" s="141" t="s">
        <v>32</v>
      </c>
      <c r="J331" s="141" t="s">
        <v>90</v>
      </c>
      <c r="K331" s="139">
        <f t="shared" si="17"/>
        <v>1</v>
      </c>
      <c r="L331" s="142">
        <f>IF(RawData[[#This Row],[Paid/Unpaid]]="Paid", IF(VALUE($E331)&gt;VALUE($D$3),$K331* 10000,$K331* 8000), 0)</f>
        <v>8000</v>
      </c>
      <c r="M331" s="53" t="s">
        <v>146</v>
      </c>
    </row>
    <row r="332" spans="1:13" ht="12.75" customHeight="1" x14ac:dyDescent="0.3">
      <c r="A332" s="143" t="s">
        <v>27</v>
      </c>
      <c r="B332" s="139" t="str">
        <f>IFERROR(VLOOKUP($A332, NameDesignation[], 2,FALSE), " ")</f>
        <v>Former Director</v>
      </c>
      <c r="C332" s="139" t="s">
        <v>37</v>
      </c>
      <c r="D332" s="139">
        <v>112</v>
      </c>
      <c r="E332" s="140">
        <v>44125</v>
      </c>
      <c r="F332" s="139" t="str">
        <f t="shared" si="15"/>
        <v>Q4-20</v>
      </c>
      <c r="G332" s="140" t="str">
        <f t="shared" si="16"/>
        <v>Oct'20</v>
      </c>
      <c r="H332" s="140" t="str">
        <f>TEXT(RawData[[#This Row],[Date]], "YYYY")</f>
        <v>2020</v>
      </c>
      <c r="I332" s="141" t="s">
        <v>32</v>
      </c>
      <c r="J332" s="141" t="s">
        <v>91</v>
      </c>
      <c r="K332" s="139">
        <f t="shared" si="17"/>
        <v>0</v>
      </c>
      <c r="L332" s="142">
        <f>IF(RawData[[#This Row],[Paid/Unpaid]]="Paid", IF(VALUE($E332)&gt;VALUE($D$3),$K332* 10000,$K332* 8000), 0)</f>
        <v>0</v>
      </c>
      <c r="M332" s="53" t="s">
        <v>146</v>
      </c>
    </row>
    <row r="333" spans="1:13" ht="12.75" customHeight="1" x14ac:dyDescent="0.3">
      <c r="A333" s="71" t="s">
        <v>9</v>
      </c>
      <c r="B333" s="139" t="str">
        <f>IFERROR(VLOOKUP($A333, NameDesignation[], 2,FALSE), " ")</f>
        <v>Former Director</v>
      </c>
      <c r="C333" s="139" t="s">
        <v>30</v>
      </c>
      <c r="D333" s="139">
        <v>437</v>
      </c>
      <c r="E333" s="140">
        <v>44132</v>
      </c>
      <c r="F333" s="139" t="str">
        <f t="shared" si="15"/>
        <v>Q4-20</v>
      </c>
      <c r="G333" s="140" t="str">
        <f t="shared" si="16"/>
        <v>Oct'20</v>
      </c>
      <c r="H333" s="140" t="str">
        <f>TEXT(RawData[[#This Row],[Date]], "YYYY")</f>
        <v>2020</v>
      </c>
      <c r="I333" s="141" t="s">
        <v>32</v>
      </c>
      <c r="J333" s="141" t="s">
        <v>90</v>
      </c>
      <c r="K333" s="139">
        <f t="shared" si="17"/>
        <v>1</v>
      </c>
      <c r="L333" s="142">
        <f>IF(RawData[[#This Row],[Paid/Unpaid]]="Paid", IF(VALUE($E333)&gt;VALUE($D$3),$K333* 10000,$K333* 8000), 0)</f>
        <v>8000</v>
      </c>
      <c r="M333" s="53" t="s">
        <v>146</v>
      </c>
    </row>
    <row r="334" spans="1:13" ht="12.75" customHeight="1" x14ac:dyDescent="0.3">
      <c r="A334" s="71" t="s">
        <v>8</v>
      </c>
      <c r="B334" s="139" t="str">
        <f>IFERROR(VLOOKUP($A334, NameDesignation[], 2,FALSE), " ")</f>
        <v>Former Vice-Chairman</v>
      </c>
      <c r="C334" s="139" t="s">
        <v>30</v>
      </c>
      <c r="D334" s="139">
        <v>437</v>
      </c>
      <c r="E334" s="140">
        <v>44132</v>
      </c>
      <c r="F334" s="139" t="str">
        <f t="shared" si="15"/>
        <v>Q4-20</v>
      </c>
      <c r="G334" s="140" t="str">
        <f t="shared" si="16"/>
        <v>Oct'20</v>
      </c>
      <c r="H334" s="140" t="str">
        <f>TEXT(RawData[[#This Row],[Date]], "YYYY")</f>
        <v>2020</v>
      </c>
      <c r="I334" s="141" t="s">
        <v>32</v>
      </c>
      <c r="J334" s="141" t="s">
        <v>91</v>
      </c>
      <c r="K334" s="139">
        <f t="shared" si="17"/>
        <v>0</v>
      </c>
      <c r="L334" s="142">
        <f>IF(RawData[[#This Row],[Paid/Unpaid]]="Paid", IF(VALUE($E334)&gt;VALUE($D$3),$K334* 10000,$K334* 8000), 0)</f>
        <v>0</v>
      </c>
      <c r="M334" s="53" t="s">
        <v>146</v>
      </c>
    </row>
    <row r="335" spans="1:13" ht="12.75" customHeight="1" x14ac:dyDescent="0.3">
      <c r="A335" s="71" t="s">
        <v>49</v>
      </c>
      <c r="B335" s="139" t="str">
        <f>IFERROR(VLOOKUP($A335, NameDesignation[], 2,FALSE), " ")</f>
        <v>Former Director</v>
      </c>
      <c r="C335" s="139" t="s">
        <v>30</v>
      </c>
      <c r="D335" s="139">
        <v>437</v>
      </c>
      <c r="E335" s="140">
        <v>44132</v>
      </c>
      <c r="F335" s="139" t="str">
        <f t="shared" si="15"/>
        <v>Q4-20</v>
      </c>
      <c r="G335" s="140" t="str">
        <f t="shared" si="16"/>
        <v>Oct'20</v>
      </c>
      <c r="H335" s="140" t="str">
        <f>TEXT(RawData[[#This Row],[Date]], "YYYY")</f>
        <v>2020</v>
      </c>
      <c r="I335" s="141" t="s">
        <v>32</v>
      </c>
      <c r="J335" s="141" t="s">
        <v>90</v>
      </c>
      <c r="K335" s="139">
        <f t="shared" si="17"/>
        <v>1</v>
      </c>
      <c r="L335" s="142">
        <f>IF(RawData[[#This Row],[Paid/Unpaid]]="Paid", IF(VALUE($E335)&gt;VALUE($D$3),$K335* 10000,$K335* 8000), 0)</f>
        <v>8000</v>
      </c>
      <c r="M335" s="53" t="s">
        <v>146</v>
      </c>
    </row>
    <row r="336" spans="1:13" ht="12.75" customHeight="1" x14ac:dyDescent="0.3">
      <c r="A336" s="71" t="s">
        <v>11</v>
      </c>
      <c r="B336" s="139" t="str">
        <f>IFERROR(VLOOKUP($A336, NameDesignation[], 2,FALSE), " ")</f>
        <v>Former Director</v>
      </c>
      <c r="C336" s="139" t="s">
        <v>30</v>
      </c>
      <c r="D336" s="139">
        <v>437</v>
      </c>
      <c r="E336" s="140">
        <v>44132</v>
      </c>
      <c r="F336" s="139" t="str">
        <f t="shared" si="15"/>
        <v>Q4-20</v>
      </c>
      <c r="G336" s="140" t="str">
        <f t="shared" si="16"/>
        <v>Oct'20</v>
      </c>
      <c r="H336" s="140" t="str">
        <f>TEXT(RawData[[#This Row],[Date]], "YYYY")</f>
        <v>2020</v>
      </c>
      <c r="I336" s="141" t="s">
        <v>32</v>
      </c>
      <c r="J336" s="141" t="s">
        <v>90</v>
      </c>
      <c r="K336" s="139">
        <f t="shared" si="17"/>
        <v>1</v>
      </c>
      <c r="L336" s="142">
        <f>IF(RawData[[#This Row],[Paid/Unpaid]]="Paid", IF(VALUE($E336)&gt;VALUE($D$3),$K336* 10000,$K336* 8000), 0)</f>
        <v>8000</v>
      </c>
      <c r="M336" s="53" t="s">
        <v>146</v>
      </c>
    </row>
    <row r="337" spans="1:13" ht="12.75" customHeight="1" x14ac:dyDescent="0.3">
      <c r="A337" s="71" t="s">
        <v>13</v>
      </c>
      <c r="B337" s="139" t="str">
        <f>IFERROR(VLOOKUP($A337, NameDesignation[], 2,FALSE), " ")</f>
        <v>Former Director</v>
      </c>
      <c r="C337" s="139" t="s">
        <v>30</v>
      </c>
      <c r="D337" s="139">
        <v>437</v>
      </c>
      <c r="E337" s="140">
        <v>44132</v>
      </c>
      <c r="F337" s="139" t="str">
        <f t="shared" si="15"/>
        <v>Q4-20</v>
      </c>
      <c r="G337" s="140" t="str">
        <f t="shared" si="16"/>
        <v>Oct'20</v>
      </c>
      <c r="H337" s="140" t="str">
        <f>TEXT(RawData[[#This Row],[Date]], "YYYY")</f>
        <v>2020</v>
      </c>
      <c r="I337" s="141" t="s">
        <v>32</v>
      </c>
      <c r="J337" s="141" t="s">
        <v>91</v>
      </c>
      <c r="K337" s="139">
        <f t="shared" si="17"/>
        <v>0</v>
      </c>
      <c r="L337" s="142">
        <f>IF(RawData[[#This Row],[Paid/Unpaid]]="Paid", IF(VALUE($E337)&gt;VALUE($D$3),$K337* 10000,$K337* 8000), 0)</f>
        <v>0</v>
      </c>
      <c r="M337" s="53" t="s">
        <v>146</v>
      </c>
    </row>
    <row r="338" spans="1:13" ht="12.75" customHeight="1" x14ac:dyDescent="0.3">
      <c r="A338" s="71" t="s">
        <v>25</v>
      </c>
      <c r="B338" s="139" t="str">
        <f>IFERROR(VLOOKUP($A338, NameDesignation[], 2,FALSE), " ")</f>
        <v>Former Director</v>
      </c>
      <c r="C338" s="139" t="s">
        <v>30</v>
      </c>
      <c r="D338" s="139">
        <v>437</v>
      </c>
      <c r="E338" s="140">
        <v>44132</v>
      </c>
      <c r="F338" s="139" t="str">
        <f t="shared" si="15"/>
        <v>Q4-20</v>
      </c>
      <c r="G338" s="140" t="str">
        <f t="shared" si="16"/>
        <v>Oct'20</v>
      </c>
      <c r="H338" s="140" t="str">
        <f>TEXT(RawData[[#This Row],[Date]], "YYYY")</f>
        <v>2020</v>
      </c>
      <c r="I338" s="141" t="s">
        <v>32</v>
      </c>
      <c r="J338" s="141" t="s">
        <v>90</v>
      </c>
      <c r="K338" s="139">
        <f t="shared" si="17"/>
        <v>1</v>
      </c>
      <c r="L338" s="142">
        <f>IF(RawData[[#This Row],[Paid/Unpaid]]="Paid", IF(VALUE($E338)&gt;VALUE($D$3),$K338* 10000,$K338* 8000), 0)</f>
        <v>8000</v>
      </c>
      <c r="M338" s="53" t="s">
        <v>146</v>
      </c>
    </row>
    <row r="339" spans="1:13" ht="12.75" customHeight="1" x14ac:dyDescent="0.3">
      <c r="A339" s="143" t="s">
        <v>23</v>
      </c>
      <c r="B339" s="139" t="str">
        <f>IFERROR(VLOOKUP($A339, NameDesignation[], 2,FALSE), " ")</f>
        <v>Former Director</v>
      </c>
      <c r="C339" s="139" t="s">
        <v>37</v>
      </c>
      <c r="D339" s="139">
        <v>113</v>
      </c>
      <c r="E339" s="140">
        <v>44151</v>
      </c>
      <c r="F339" s="139" t="str">
        <f t="shared" si="15"/>
        <v>Q4-20</v>
      </c>
      <c r="G339" s="140" t="str">
        <f t="shared" si="16"/>
        <v>Nov'20</v>
      </c>
      <c r="H339" s="140" t="str">
        <f>TEXT(RawData[[#This Row],[Date]], "YYYY")</f>
        <v>2020</v>
      </c>
      <c r="I339" s="141" t="s">
        <v>32</v>
      </c>
      <c r="J339" s="141" t="s">
        <v>90</v>
      </c>
      <c r="K339" s="139">
        <f t="shared" si="17"/>
        <v>1</v>
      </c>
      <c r="L339" s="142">
        <f>IF(RawData[[#This Row],[Paid/Unpaid]]="Paid", IF(VALUE($E339)&gt;VALUE($D$3),$K339* 10000,$K339* 8000), 0)</f>
        <v>8000</v>
      </c>
      <c r="M339" s="53" t="s">
        <v>146</v>
      </c>
    </row>
    <row r="340" spans="1:13" ht="12.75" customHeight="1" x14ac:dyDescent="0.3">
      <c r="A340" s="143" t="s">
        <v>24</v>
      </c>
      <c r="B340" s="139" t="str">
        <f>IFERROR(VLOOKUP($A340, NameDesignation[], 2,FALSE), " ")</f>
        <v>Former Director</v>
      </c>
      <c r="C340" s="139" t="s">
        <v>37</v>
      </c>
      <c r="D340" s="139">
        <v>113</v>
      </c>
      <c r="E340" s="140">
        <v>44151</v>
      </c>
      <c r="F340" s="139" t="str">
        <f t="shared" si="15"/>
        <v>Q4-20</v>
      </c>
      <c r="G340" s="140" t="str">
        <f t="shared" si="16"/>
        <v>Nov'20</v>
      </c>
      <c r="H340" s="140" t="str">
        <f>TEXT(RawData[[#This Row],[Date]], "YYYY")</f>
        <v>2020</v>
      </c>
      <c r="I340" s="141" t="s">
        <v>32</v>
      </c>
      <c r="J340" s="141" t="s">
        <v>90</v>
      </c>
      <c r="K340" s="139">
        <f t="shared" si="17"/>
        <v>1</v>
      </c>
      <c r="L340" s="142">
        <f>IF(RawData[[#This Row],[Paid/Unpaid]]="Paid", IF(VALUE($E340)&gt;VALUE($D$3),$K340* 10000,$K340* 8000), 0)</f>
        <v>8000</v>
      </c>
      <c r="M340" s="53" t="s">
        <v>146</v>
      </c>
    </row>
    <row r="341" spans="1:13" ht="12.75" customHeight="1" x14ac:dyDescent="0.3">
      <c r="A341" s="143" t="s">
        <v>21</v>
      </c>
      <c r="B341" s="139" t="str">
        <f>IFERROR(VLOOKUP($A341, NameDesignation[], 2,FALSE), " ")</f>
        <v>Former Independent Director</v>
      </c>
      <c r="C341" s="139" t="s">
        <v>37</v>
      </c>
      <c r="D341" s="139">
        <v>113</v>
      </c>
      <c r="E341" s="140">
        <v>44151</v>
      </c>
      <c r="F341" s="139" t="str">
        <f t="shared" si="15"/>
        <v>Q4-20</v>
      </c>
      <c r="G341" s="140" t="str">
        <f t="shared" si="16"/>
        <v>Nov'20</v>
      </c>
      <c r="H341" s="140" t="str">
        <f>TEXT(RawData[[#This Row],[Date]], "YYYY")</f>
        <v>2020</v>
      </c>
      <c r="I341" s="141" t="s">
        <v>32</v>
      </c>
      <c r="J341" s="141" t="s">
        <v>91</v>
      </c>
      <c r="K341" s="139">
        <f t="shared" si="17"/>
        <v>0</v>
      </c>
      <c r="L341" s="142">
        <f>IF(RawData[[#This Row],[Paid/Unpaid]]="Paid", IF(VALUE($E341)&gt;VALUE($D$3),$K341* 10000,$K341* 8000), 0)</f>
        <v>0</v>
      </c>
      <c r="M341" s="53" t="s">
        <v>146</v>
      </c>
    </row>
    <row r="342" spans="1:13" ht="12.75" customHeight="1" x14ac:dyDescent="0.3">
      <c r="A342" s="143" t="s">
        <v>18</v>
      </c>
      <c r="B342" s="139" t="str">
        <f>IFERROR(VLOOKUP($A342, NameDesignation[], 2,FALSE), " ")</f>
        <v>Former Independent Director</v>
      </c>
      <c r="C342" s="139" t="s">
        <v>37</v>
      </c>
      <c r="D342" s="139">
        <v>113</v>
      </c>
      <c r="E342" s="140">
        <v>44151</v>
      </c>
      <c r="F342" s="139" t="str">
        <f t="shared" si="15"/>
        <v>Q4-20</v>
      </c>
      <c r="G342" s="140" t="str">
        <f t="shared" si="16"/>
        <v>Nov'20</v>
      </c>
      <c r="H342" s="140" t="str">
        <f>TEXT(RawData[[#This Row],[Date]], "YYYY")</f>
        <v>2020</v>
      </c>
      <c r="I342" s="141" t="s">
        <v>32</v>
      </c>
      <c r="J342" s="141" t="s">
        <v>90</v>
      </c>
      <c r="K342" s="139">
        <f t="shared" si="17"/>
        <v>1</v>
      </c>
      <c r="L342" s="142">
        <f>IF(RawData[[#This Row],[Paid/Unpaid]]="Paid", IF(VALUE($E342)&gt;VALUE($D$3),$K342* 10000,$K342* 8000), 0)</f>
        <v>8000</v>
      </c>
      <c r="M342" s="53" t="s">
        <v>146</v>
      </c>
    </row>
    <row r="343" spans="1:13" ht="12.75" customHeight="1" x14ac:dyDescent="0.3">
      <c r="A343" s="143" t="s">
        <v>27</v>
      </c>
      <c r="B343" s="139" t="str">
        <f>IFERROR(VLOOKUP($A343, NameDesignation[], 2,FALSE), " ")</f>
        <v>Former Director</v>
      </c>
      <c r="C343" s="139" t="s">
        <v>37</v>
      </c>
      <c r="D343" s="139">
        <v>113</v>
      </c>
      <c r="E343" s="140">
        <v>44151</v>
      </c>
      <c r="F343" s="139" t="str">
        <f t="shared" si="15"/>
        <v>Q4-20</v>
      </c>
      <c r="G343" s="140" t="str">
        <f t="shared" si="16"/>
        <v>Nov'20</v>
      </c>
      <c r="H343" s="140" t="str">
        <f>TEXT(RawData[[#This Row],[Date]], "YYYY")</f>
        <v>2020</v>
      </c>
      <c r="I343" s="141" t="s">
        <v>32</v>
      </c>
      <c r="J343" s="141" t="s">
        <v>91</v>
      </c>
      <c r="K343" s="139">
        <f t="shared" si="17"/>
        <v>0</v>
      </c>
      <c r="L343" s="142">
        <f>IF(RawData[[#This Row],[Paid/Unpaid]]="Paid", IF(VALUE($E343)&gt;VALUE($D$3),$K343* 10000,$K343* 8000), 0)</f>
        <v>0</v>
      </c>
      <c r="M343" s="53" t="s">
        <v>146</v>
      </c>
    </row>
    <row r="344" spans="1:13" ht="12.75" customHeight="1" x14ac:dyDescent="0.3">
      <c r="A344" s="71" t="s">
        <v>9</v>
      </c>
      <c r="B344" s="139" t="str">
        <f>IFERROR(VLOOKUP($A344, NameDesignation[], 2,FALSE), " ")</f>
        <v>Former Director</v>
      </c>
      <c r="C344" s="139" t="s">
        <v>30</v>
      </c>
      <c r="D344" s="139">
        <v>438</v>
      </c>
      <c r="E344" s="140">
        <v>44152</v>
      </c>
      <c r="F344" s="139" t="str">
        <f t="shared" si="15"/>
        <v>Q4-20</v>
      </c>
      <c r="G344" s="140" t="str">
        <f t="shared" si="16"/>
        <v>Nov'20</v>
      </c>
      <c r="H344" s="140" t="str">
        <f>TEXT(RawData[[#This Row],[Date]], "YYYY")</f>
        <v>2020</v>
      </c>
      <c r="I344" s="141" t="s">
        <v>32</v>
      </c>
      <c r="J344" s="141" t="s">
        <v>90</v>
      </c>
      <c r="K344" s="139">
        <f t="shared" si="17"/>
        <v>1</v>
      </c>
      <c r="L344" s="142">
        <f>IF(RawData[[#This Row],[Paid/Unpaid]]="Paid", IF(VALUE($E344)&gt;VALUE($D$3),$K344* 10000,$K344* 8000), 0)</f>
        <v>8000</v>
      </c>
      <c r="M344" s="53" t="s">
        <v>146</v>
      </c>
    </row>
    <row r="345" spans="1:13" ht="12.75" customHeight="1" x14ac:dyDescent="0.3">
      <c r="A345" s="71" t="s">
        <v>8</v>
      </c>
      <c r="B345" s="139" t="str">
        <f>IFERROR(VLOOKUP($A345, NameDesignation[], 2,FALSE), " ")</f>
        <v>Former Vice-Chairman</v>
      </c>
      <c r="C345" s="139" t="s">
        <v>30</v>
      </c>
      <c r="D345" s="139">
        <v>438</v>
      </c>
      <c r="E345" s="140">
        <v>44152</v>
      </c>
      <c r="F345" s="139" t="str">
        <f t="shared" si="15"/>
        <v>Q4-20</v>
      </c>
      <c r="G345" s="140" t="str">
        <f t="shared" si="16"/>
        <v>Nov'20</v>
      </c>
      <c r="H345" s="140" t="str">
        <f>TEXT(RawData[[#This Row],[Date]], "YYYY")</f>
        <v>2020</v>
      </c>
      <c r="I345" s="141" t="s">
        <v>32</v>
      </c>
      <c r="J345" s="141" t="s">
        <v>90</v>
      </c>
      <c r="K345" s="139">
        <f t="shared" si="17"/>
        <v>1</v>
      </c>
      <c r="L345" s="142">
        <f>IF(RawData[[#This Row],[Paid/Unpaid]]="Paid", IF(VALUE($E345)&gt;VALUE($D$3),$K345* 10000,$K345* 8000), 0)</f>
        <v>8000</v>
      </c>
      <c r="M345" s="53" t="s">
        <v>146</v>
      </c>
    </row>
    <row r="346" spans="1:13" ht="12.75" customHeight="1" x14ac:dyDescent="0.3">
      <c r="A346" s="71" t="s">
        <v>49</v>
      </c>
      <c r="B346" s="139" t="str">
        <f>IFERROR(VLOOKUP($A346, NameDesignation[], 2,FALSE), " ")</f>
        <v>Former Director</v>
      </c>
      <c r="C346" s="139" t="s">
        <v>30</v>
      </c>
      <c r="D346" s="139">
        <v>438</v>
      </c>
      <c r="E346" s="140">
        <v>44152</v>
      </c>
      <c r="F346" s="139" t="str">
        <f t="shared" si="15"/>
        <v>Q4-20</v>
      </c>
      <c r="G346" s="140" t="str">
        <f t="shared" si="16"/>
        <v>Nov'20</v>
      </c>
      <c r="H346" s="140" t="str">
        <f>TEXT(RawData[[#This Row],[Date]], "YYYY")</f>
        <v>2020</v>
      </c>
      <c r="I346" s="141" t="s">
        <v>32</v>
      </c>
      <c r="J346" s="141" t="s">
        <v>90</v>
      </c>
      <c r="K346" s="139">
        <f t="shared" si="17"/>
        <v>1</v>
      </c>
      <c r="L346" s="142">
        <f>IF(RawData[[#This Row],[Paid/Unpaid]]="Paid", IF(VALUE($E346)&gt;VALUE($D$3),$K346* 10000,$K346* 8000), 0)</f>
        <v>8000</v>
      </c>
      <c r="M346" s="53" t="s">
        <v>146</v>
      </c>
    </row>
    <row r="347" spans="1:13" ht="12.75" customHeight="1" x14ac:dyDescent="0.3">
      <c r="A347" s="71" t="s">
        <v>11</v>
      </c>
      <c r="B347" s="139" t="str">
        <f>IFERROR(VLOOKUP($A347, NameDesignation[], 2,FALSE), " ")</f>
        <v>Former Director</v>
      </c>
      <c r="C347" s="139" t="s">
        <v>30</v>
      </c>
      <c r="D347" s="139">
        <v>438</v>
      </c>
      <c r="E347" s="140">
        <v>44152</v>
      </c>
      <c r="F347" s="139" t="str">
        <f t="shared" si="15"/>
        <v>Q4-20</v>
      </c>
      <c r="G347" s="140" t="str">
        <f t="shared" si="16"/>
        <v>Nov'20</v>
      </c>
      <c r="H347" s="140" t="str">
        <f>TEXT(RawData[[#This Row],[Date]], "YYYY")</f>
        <v>2020</v>
      </c>
      <c r="I347" s="141" t="s">
        <v>32</v>
      </c>
      <c r="J347" s="141" t="s">
        <v>90</v>
      </c>
      <c r="K347" s="139">
        <f t="shared" si="17"/>
        <v>1</v>
      </c>
      <c r="L347" s="142">
        <f>IF(RawData[[#This Row],[Paid/Unpaid]]="Paid", IF(VALUE($E347)&gt;VALUE($D$3),$K347* 10000,$K347* 8000), 0)</f>
        <v>8000</v>
      </c>
      <c r="M347" s="53" t="s">
        <v>146</v>
      </c>
    </row>
    <row r="348" spans="1:13" ht="12.75" customHeight="1" x14ac:dyDescent="0.3">
      <c r="A348" s="71" t="s">
        <v>13</v>
      </c>
      <c r="B348" s="139" t="str">
        <f>IFERROR(VLOOKUP($A348, NameDesignation[], 2,FALSE), " ")</f>
        <v>Former Director</v>
      </c>
      <c r="C348" s="139" t="s">
        <v>30</v>
      </c>
      <c r="D348" s="139">
        <v>438</v>
      </c>
      <c r="E348" s="140">
        <v>44152</v>
      </c>
      <c r="F348" s="139" t="str">
        <f t="shared" si="15"/>
        <v>Q4-20</v>
      </c>
      <c r="G348" s="140" t="str">
        <f t="shared" si="16"/>
        <v>Nov'20</v>
      </c>
      <c r="H348" s="140" t="str">
        <f>TEXT(RawData[[#This Row],[Date]], "YYYY")</f>
        <v>2020</v>
      </c>
      <c r="I348" s="141" t="s">
        <v>32</v>
      </c>
      <c r="J348" s="141" t="s">
        <v>90</v>
      </c>
      <c r="K348" s="139">
        <f t="shared" si="17"/>
        <v>1</v>
      </c>
      <c r="L348" s="142">
        <f>IF(RawData[[#This Row],[Paid/Unpaid]]="Paid", IF(VALUE($E348)&gt;VALUE($D$3),$K348* 10000,$K348* 8000), 0)</f>
        <v>8000</v>
      </c>
      <c r="M348" s="53" t="s">
        <v>146</v>
      </c>
    </row>
    <row r="349" spans="1:13" ht="12.75" customHeight="1" x14ac:dyDescent="0.3">
      <c r="A349" s="71" t="s">
        <v>12</v>
      </c>
      <c r="B349" s="139" t="str">
        <f>IFERROR(VLOOKUP($A349, NameDesignation[], 2,FALSE), " ")</f>
        <v>Former Director</v>
      </c>
      <c r="C349" s="139" t="s">
        <v>30</v>
      </c>
      <c r="D349" s="139">
        <v>438</v>
      </c>
      <c r="E349" s="140">
        <v>44152</v>
      </c>
      <c r="F349" s="139" t="str">
        <f t="shared" si="15"/>
        <v>Q4-20</v>
      </c>
      <c r="G349" s="140" t="str">
        <f t="shared" si="16"/>
        <v>Nov'20</v>
      </c>
      <c r="H349" s="140" t="str">
        <f>TEXT(RawData[[#This Row],[Date]], "YYYY")</f>
        <v>2020</v>
      </c>
      <c r="I349" s="141" t="s">
        <v>32</v>
      </c>
      <c r="J349" s="141" t="s">
        <v>90</v>
      </c>
      <c r="K349" s="139">
        <f t="shared" si="17"/>
        <v>1</v>
      </c>
      <c r="L349" s="142">
        <f>IF(RawData[[#This Row],[Paid/Unpaid]]="Paid", IF(VALUE($E349)&gt;VALUE($D$3),$K349* 10000,$K349* 8000), 0)</f>
        <v>8000</v>
      </c>
      <c r="M349" s="53" t="s">
        <v>146</v>
      </c>
    </row>
    <row r="350" spans="1:13" ht="12.75" customHeight="1" x14ac:dyDescent="0.3">
      <c r="A350" s="71" t="s">
        <v>25</v>
      </c>
      <c r="B350" s="139" t="str">
        <f>IFERROR(VLOOKUP($A350, NameDesignation[], 2,FALSE), " ")</f>
        <v>Former Director</v>
      </c>
      <c r="C350" s="139" t="s">
        <v>30</v>
      </c>
      <c r="D350" s="139">
        <v>438</v>
      </c>
      <c r="E350" s="140">
        <v>44152</v>
      </c>
      <c r="F350" s="139" t="str">
        <f t="shared" si="15"/>
        <v>Q4-20</v>
      </c>
      <c r="G350" s="140" t="str">
        <f t="shared" si="16"/>
        <v>Nov'20</v>
      </c>
      <c r="H350" s="140" t="str">
        <f>TEXT(RawData[[#This Row],[Date]], "YYYY")</f>
        <v>2020</v>
      </c>
      <c r="I350" s="141" t="s">
        <v>32</v>
      </c>
      <c r="J350" s="141" t="s">
        <v>90</v>
      </c>
      <c r="K350" s="139">
        <f t="shared" si="17"/>
        <v>1</v>
      </c>
      <c r="L350" s="142">
        <f>IF(RawData[[#This Row],[Paid/Unpaid]]="Paid", IF(VALUE($E350)&gt;VALUE($D$3),$K350* 10000,$K350* 8000), 0)</f>
        <v>8000</v>
      </c>
      <c r="M350" s="53" t="s">
        <v>146</v>
      </c>
    </row>
    <row r="351" spans="1:13" ht="12.75" customHeight="1" x14ac:dyDescent="0.3">
      <c r="A351" s="71" t="s">
        <v>7</v>
      </c>
      <c r="B351" s="139" t="str">
        <f>IFERROR(VLOOKUP($A351, NameDesignation[], 2,FALSE), " ")</f>
        <v>Former Director</v>
      </c>
      <c r="C351" s="139" t="s">
        <v>29</v>
      </c>
      <c r="D351" s="139">
        <v>454</v>
      </c>
      <c r="E351" s="140">
        <v>44153</v>
      </c>
      <c r="F351" s="139" t="str">
        <f t="shared" si="15"/>
        <v>Q4-20</v>
      </c>
      <c r="G351" s="140" t="str">
        <f t="shared" si="16"/>
        <v>Nov'20</v>
      </c>
      <c r="H351" s="140" t="str">
        <f>TEXT(RawData[[#This Row],[Date]], "YYYY")</f>
        <v>2020</v>
      </c>
      <c r="I351" s="141" t="s">
        <v>32</v>
      </c>
      <c r="J351" s="141" t="s">
        <v>90</v>
      </c>
      <c r="K351" s="139">
        <f t="shared" si="17"/>
        <v>1</v>
      </c>
      <c r="L351" s="142">
        <f>IF(RawData[[#This Row],[Paid/Unpaid]]="Paid", IF(VALUE($E351)&gt;VALUE($D$3),$K351* 10000,$K351* 8000), 0)</f>
        <v>8000</v>
      </c>
      <c r="M351" s="53" t="s">
        <v>146</v>
      </c>
    </row>
    <row r="352" spans="1:13" ht="12.75" customHeight="1" x14ac:dyDescent="0.3">
      <c r="A352" s="71" t="s">
        <v>8</v>
      </c>
      <c r="B352" s="139" t="str">
        <f>IFERROR(VLOOKUP($A352, NameDesignation[], 2,FALSE), " ")</f>
        <v>Former Vice-Chairman</v>
      </c>
      <c r="C352" s="139" t="s">
        <v>29</v>
      </c>
      <c r="D352" s="139">
        <v>454</v>
      </c>
      <c r="E352" s="140">
        <v>44153</v>
      </c>
      <c r="F352" s="139" t="str">
        <f t="shared" si="15"/>
        <v>Q4-20</v>
      </c>
      <c r="G352" s="140" t="str">
        <f t="shared" si="16"/>
        <v>Nov'20</v>
      </c>
      <c r="H352" s="140" t="str">
        <f>TEXT(RawData[[#This Row],[Date]], "YYYY")</f>
        <v>2020</v>
      </c>
      <c r="I352" s="141" t="s">
        <v>32</v>
      </c>
      <c r="J352" s="141" t="s">
        <v>90</v>
      </c>
      <c r="K352" s="139">
        <f t="shared" si="17"/>
        <v>1</v>
      </c>
      <c r="L352" s="142">
        <f>IF(RawData[[#This Row],[Paid/Unpaid]]="Paid", IF(VALUE($E352)&gt;VALUE($D$3),$K352* 10000,$K352* 8000), 0)</f>
        <v>8000</v>
      </c>
      <c r="M352" s="53" t="s">
        <v>146</v>
      </c>
    </row>
    <row r="353" spans="1:13" ht="12.75" customHeight="1" x14ac:dyDescent="0.3">
      <c r="A353" s="71" t="s">
        <v>9</v>
      </c>
      <c r="B353" s="139" t="str">
        <f>IFERROR(VLOOKUP($A353, NameDesignation[], 2,FALSE), " ")</f>
        <v>Former Director</v>
      </c>
      <c r="C353" s="139" t="s">
        <v>29</v>
      </c>
      <c r="D353" s="139">
        <v>454</v>
      </c>
      <c r="E353" s="140">
        <v>44153</v>
      </c>
      <c r="F353" s="139" t="str">
        <f t="shared" si="15"/>
        <v>Q4-20</v>
      </c>
      <c r="G353" s="140" t="str">
        <f t="shared" si="16"/>
        <v>Nov'20</v>
      </c>
      <c r="H353" s="140" t="str">
        <f>TEXT(RawData[[#This Row],[Date]], "YYYY")</f>
        <v>2020</v>
      </c>
      <c r="I353" s="141" t="s">
        <v>32</v>
      </c>
      <c r="J353" s="141" t="s">
        <v>90</v>
      </c>
      <c r="K353" s="139">
        <f t="shared" si="17"/>
        <v>1</v>
      </c>
      <c r="L353" s="142">
        <f>IF(RawData[[#This Row],[Paid/Unpaid]]="Paid", IF(VALUE($E353)&gt;VALUE($D$3),$K353* 10000,$K353* 8000), 0)</f>
        <v>8000</v>
      </c>
      <c r="M353" s="53" t="s">
        <v>146</v>
      </c>
    </row>
    <row r="354" spans="1:13" ht="12.75" customHeight="1" x14ac:dyDescent="0.3">
      <c r="A354" s="71" t="s">
        <v>20</v>
      </c>
      <c r="B354" s="139" t="str">
        <f>IFERROR(VLOOKUP($A354, NameDesignation[], 2,FALSE), " ")</f>
        <v>Former Independent Director</v>
      </c>
      <c r="C354" s="139" t="s">
        <v>29</v>
      </c>
      <c r="D354" s="139">
        <v>454</v>
      </c>
      <c r="E354" s="140">
        <v>44153</v>
      </c>
      <c r="F354" s="139" t="str">
        <f t="shared" si="15"/>
        <v>Q4-20</v>
      </c>
      <c r="G354" s="140" t="str">
        <f t="shared" si="16"/>
        <v>Nov'20</v>
      </c>
      <c r="H354" s="140" t="str">
        <f>TEXT(RawData[[#This Row],[Date]], "YYYY")</f>
        <v>2020</v>
      </c>
      <c r="I354" s="141" t="s">
        <v>32</v>
      </c>
      <c r="J354" s="141" t="s">
        <v>90</v>
      </c>
      <c r="K354" s="139">
        <f t="shared" si="17"/>
        <v>1</v>
      </c>
      <c r="L354" s="142">
        <f>IF(RawData[[#This Row],[Paid/Unpaid]]="Paid", IF(VALUE($E354)&gt;VALUE($D$3),$K354* 10000,$K354* 8000), 0)</f>
        <v>8000</v>
      </c>
      <c r="M354" s="53" t="s">
        <v>146</v>
      </c>
    </row>
    <row r="355" spans="1:13" ht="12.75" customHeight="1" x14ac:dyDescent="0.3">
      <c r="A355" s="71" t="s">
        <v>49</v>
      </c>
      <c r="B355" s="139" t="str">
        <f>IFERROR(VLOOKUP($A355, NameDesignation[], 2,FALSE), " ")</f>
        <v>Former Director</v>
      </c>
      <c r="C355" s="139" t="s">
        <v>29</v>
      </c>
      <c r="D355" s="139">
        <v>454</v>
      </c>
      <c r="E355" s="140">
        <v>44153</v>
      </c>
      <c r="F355" s="139" t="str">
        <f t="shared" si="15"/>
        <v>Q4-20</v>
      </c>
      <c r="G355" s="140" t="str">
        <f t="shared" si="16"/>
        <v>Nov'20</v>
      </c>
      <c r="H355" s="140" t="str">
        <f>TEXT(RawData[[#This Row],[Date]], "YYYY")</f>
        <v>2020</v>
      </c>
      <c r="I355" s="141" t="s">
        <v>32</v>
      </c>
      <c r="J355" s="141" t="s">
        <v>90</v>
      </c>
      <c r="K355" s="139">
        <f t="shared" si="17"/>
        <v>1</v>
      </c>
      <c r="L355" s="142">
        <f>IF(RawData[[#This Row],[Paid/Unpaid]]="Paid", IF(VALUE($E355)&gt;VALUE($D$3),$K355* 10000,$K355* 8000), 0)</f>
        <v>8000</v>
      </c>
      <c r="M355" s="53" t="s">
        <v>146</v>
      </c>
    </row>
    <row r="356" spans="1:13" ht="12.75" customHeight="1" x14ac:dyDescent="0.3">
      <c r="A356" s="71" t="s">
        <v>11</v>
      </c>
      <c r="B356" s="139" t="str">
        <f>IFERROR(VLOOKUP($A356, NameDesignation[], 2,FALSE), " ")</f>
        <v>Former Director</v>
      </c>
      <c r="C356" s="139" t="s">
        <v>29</v>
      </c>
      <c r="D356" s="139">
        <v>454</v>
      </c>
      <c r="E356" s="140">
        <v>44153</v>
      </c>
      <c r="F356" s="139" t="str">
        <f t="shared" si="15"/>
        <v>Q4-20</v>
      </c>
      <c r="G356" s="140" t="str">
        <f t="shared" si="16"/>
        <v>Nov'20</v>
      </c>
      <c r="H356" s="140" t="str">
        <f>TEXT(RawData[[#This Row],[Date]], "YYYY")</f>
        <v>2020</v>
      </c>
      <c r="I356" s="141" t="s">
        <v>32</v>
      </c>
      <c r="J356" s="141" t="s">
        <v>90</v>
      </c>
      <c r="K356" s="139">
        <f t="shared" si="17"/>
        <v>1</v>
      </c>
      <c r="L356" s="142">
        <f>IF(RawData[[#This Row],[Paid/Unpaid]]="Paid", IF(VALUE($E356)&gt;VALUE($D$3),$K356* 10000,$K356* 8000), 0)</f>
        <v>8000</v>
      </c>
      <c r="M356" s="53" t="s">
        <v>146</v>
      </c>
    </row>
    <row r="357" spans="1:13" ht="12.75" customHeight="1" x14ac:dyDescent="0.3">
      <c r="A357" s="71" t="s">
        <v>12</v>
      </c>
      <c r="B357" s="139" t="str">
        <f>IFERROR(VLOOKUP($A357, NameDesignation[], 2,FALSE), " ")</f>
        <v>Former Director</v>
      </c>
      <c r="C357" s="139" t="s">
        <v>29</v>
      </c>
      <c r="D357" s="139">
        <v>454</v>
      </c>
      <c r="E357" s="140">
        <v>44153</v>
      </c>
      <c r="F357" s="139" t="str">
        <f t="shared" si="15"/>
        <v>Q4-20</v>
      </c>
      <c r="G357" s="140" t="str">
        <f t="shared" si="16"/>
        <v>Nov'20</v>
      </c>
      <c r="H357" s="140" t="str">
        <f>TEXT(RawData[[#This Row],[Date]], "YYYY")</f>
        <v>2020</v>
      </c>
      <c r="I357" s="141" t="s">
        <v>32</v>
      </c>
      <c r="J357" s="141" t="s">
        <v>90</v>
      </c>
      <c r="K357" s="139">
        <f t="shared" si="17"/>
        <v>1</v>
      </c>
      <c r="L357" s="142">
        <f>IF(RawData[[#This Row],[Paid/Unpaid]]="Paid", IF(VALUE($E357)&gt;VALUE($D$3),$K357* 10000,$K357* 8000), 0)</f>
        <v>8000</v>
      </c>
      <c r="M357" s="53" t="s">
        <v>146</v>
      </c>
    </row>
    <row r="358" spans="1:13" ht="12.75" customHeight="1" x14ac:dyDescent="0.3">
      <c r="A358" s="71" t="s">
        <v>137</v>
      </c>
      <c r="B358" s="139" t="str">
        <f>IFERROR(VLOOKUP($A358, NameDesignation[], 2,FALSE), " ")</f>
        <v>Former Director</v>
      </c>
      <c r="C358" s="139" t="s">
        <v>29</v>
      </c>
      <c r="D358" s="139">
        <v>454</v>
      </c>
      <c r="E358" s="140">
        <v>44153</v>
      </c>
      <c r="F358" s="139" t="str">
        <f t="shared" si="15"/>
        <v>Q4-20</v>
      </c>
      <c r="G358" s="140" t="str">
        <f t="shared" si="16"/>
        <v>Nov'20</v>
      </c>
      <c r="H358" s="140" t="str">
        <f>TEXT(RawData[[#This Row],[Date]], "YYYY")</f>
        <v>2020</v>
      </c>
      <c r="I358" s="141" t="s">
        <v>32</v>
      </c>
      <c r="J358" s="141" t="s">
        <v>90</v>
      </c>
      <c r="K358" s="139">
        <f t="shared" si="17"/>
        <v>1</v>
      </c>
      <c r="L358" s="142">
        <f>IF(RawData[[#This Row],[Paid/Unpaid]]="Paid", IF(VALUE($E358)&gt;VALUE($D$3),$K358* 10000,$K358* 8000), 0)</f>
        <v>8000</v>
      </c>
      <c r="M358" s="53" t="s">
        <v>146</v>
      </c>
    </row>
    <row r="359" spans="1:13" ht="12.75" customHeight="1" x14ac:dyDescent="0.3">
      <c r="A359" s="71" t="s">
        <v>13</v>
      </c>
      <c r="B359" s="139" t="str">
        <f>IFERROR(VLOOKUP($A359, NameDesignation[], 2,FALSE), " ")</f>
        <v>Former Director</v>
      </c>
      <c r="C359" s="139" t="s">
        <v>29</v>
      </c>
      <c r="D359" s="139">
        <v>454</v>
      </c>
      <c r="E359" s="140">
        <v>44153</v>
      </c>
      <c r="F359" s="139" t="str">
        <f t="shared" si="15"/>
        <v>Q4-20</v>
      </c>
      <c r="G359" s="140" t="str">
        <f t="shared" si="16"/>
        <v>Nov'20</v>
      </c>
      <c r="H359" s="140" t="str">
        <f>TEXT(RawData[[#This Row],[Date]], "YYYY")</f>
        <v>2020</v>
      </c>
      <c r="I359" s="141" t="s">
        <v>32</v>
      </c>
      <c r="J359" s="141" t="s">
        <v>90</v>
      </c>
      <c r="K359" s="139">
        <f t="shared" si="17"/>
        <v>1</v>
      </c>
      <c r="L359" s="142">
        <f>IF(RawData[[#This Row],[Paid/Unpaid]]="Paid", IF(VALUE($E359)&gt;VALUE($D$3),$K359* 10000,$K359* 8000), 0)</f>
        <v>8000</v>
      </c>
      <c r="M359" s="53" t="s">
        <v>146</v>
      </c>
    </row>
    <row r="360" spans="1:13" ht="12.75" customHeight="1" x14ac:dyDescent="0.3">
      <c r="A360" s="71" t="s">
        <v>61</v>
      </c>
      <c r="B360" s="139" t="str">
        <f>IFERROR(VLOOKUP($A360, NameDesignation[], 2,FALSE), " ")</f>
        <v>Former Director</v>
      </c>
      <c r="C360" s="139" t="s">
        <v>29</v>
      </c>
      <c r="D360" s="139">
        <v>454</v>
      </c>
      <c r="E360" s="140">
        <v>44153</v>
      </c>
      <c r="F360" s="139" t="str">
        <f t="shared" si="15"/>
        <v>Q4-20</v>
      </c>
      <c r="G360" s="140" t="str">
        <f t="shared" si="16"/>
        <v>Nov'20</v>
      </c>
      <c r="H360" s="140" t="str">
        <f>TEXT(RawData[[#This Row],[Date]], "YYYY")</f>
        <v>2020</v>
      </c>
      <c r="I360" s="141" t="s">
        <v>32</v>
      </c>
      <c r="J360" s="141" t="s">
        <v>90</v>
      </c>
      <c r="K360" s="139">
        <f t="shared" si="17"/>
        <v>1</v>
      </c>
      <c r="L360" s="142">
        <f>IF(RawData[[#This Row],[Paid/Unpaid]]="Paid", IF(VALUE($E360)&gt;VALUE($D$3),$K360* 10000,$K360* 8000), 0)</f>
        <v>8000</v>
      </c>
      <c r="M360" s="53" t="s">
        <v>146</v>
      </c>
    </row>
    <row r="361" spans="1:13" ht="12.75" customHeight="1" x14ac:dyDescent="0.3">
      <c r="A361" s="71" t="s">
        <v>23</v>
      </c>
      <c r="B361" s="139" t="str">
        <f>IFERROR(VLOOKUP($A361, NameDesignation[], 2,FALSE), " ")</f>
        <v>Former Director</v>
      </c>
      <c r="C361" s="139" t="s">
        <v>29</v>
      </c>
      <c r="D361" s="139">
        <v>454</v>
      </c>
      <c r="E361" s="140">
        <v>44153</v>
      </c>
      <c r="F361" s="139" t="str">
        <f t="shared" si="15"/>
        <v>Q4-20</v>
      </c>
      <c r="G361" s="140" t="str">
        <f t="shared" si="16"/>
        <v>Nov'20</v>
      </c>
      <c r="H361" s="140" t="str">
        <f>TEXT(RawData[[#This Row],[Date]], "YYYY")</f>
        <v>2020</v>
      </c>
      <c r="I361" s="141" t="s">
        <v>32</v>
      </c>
      <c r="J361" s="141" t="s">
        <v>90</v>
      </c>
      <c r="K361" s="139">
        <f t="shared" si="17"/>
        <v>1</v>
      </c>
      <c r="L361" s="142">
        <f>IF(RawData[[#This Row],[Paid/Unpaid]]="Paid", IF(VALUE($E361)&gt;VALUE($D$3),$K361* 10000,$K361* 8000), 0)</f>
        <v>8000</v>
      </c>
      <c r="M361" s="53" t="s">
        <v>146</v>
      </c>
    </row>
    <row r="362" spans="1:13" ht="12.75" customHeight="1" x14ac:dyDescent="0.3">
      <c r="A362" s="71" t="s">
        <v>24</v>
      </c>
      <c r="B362" s="139" t="str">
        <f>IFERROR(VLOOKUP($A362, NameDesignation[], 2,FALSE), " ")</f>
        <v>Former Director</v>
      </c>
      <c r="C362" s="139" t="s">
        <v>29</v>
      </c>
      <c r="D362" s="139">
        <v>454</v>
      </c>
      <c r="E362" s="140">
        <v>44153</v>
      </c>
      <c r="F362" s="139" t="str">
        <f t="shared" si="15"/>
        <v>Q4-20</v>
      </c>
      <c r="G362" s="140" t="str">
        <f t="shared" si="16"/>
        <v>Nov'20</v>
      </c>
      <c r="H362" s="140" t="str">
        <f>TEXT(RawData[[#This Row],[Date]], "YYYY")</f>
        <v>2020</v>
      </c>
      <c r="I362" s="141" t="s">
        <v>32</v>
      </c>
      <c r="J362" s="141" t="s">
        <v>90</v>
      </c>
      <c r="K362" s="139">
        <f t="shared" si="17"/>
        <v>1</v>
      </c>
      <c r="L362" s="142">
        <f>IF(RawData[[#This Row],[Paid/Unpaid]]="Paid", IF(VALUE($E362)&gt;VALUE($D$3),$K362* 10000,$K362* 8000), 0)</f>
        <v>8000</v>
      </c>
      <c r="M362" s="53" t="s">
        <v>146</v>
      </c>
    </row>
    <row r="363" spans="1:13" ht="12.75" customHeight="1" x14ac:dyDescent="0.3">
      <c r="A363" s="71" t="s">
        <v>15</v>
      </c>
      <c r="B363" s="139" t="str">
        <f>IFERROR(VLOOKUP($A363, NameDesignation[], 2,FALSE), " ")</f>
        <v>Former Director</v>
      </c>
      <c r="C363" s="139" t="s">
        <v>29</v>
      </c>
      <c r="D363" s="139">
        <v>454</v>
      </c>
      <c r="E363" s="140">
        <v>44153</v>
      </c>
      <c r="F363" s="139" t="str">
        <f t="shared" si="15"/>
        <v>Q4-20</v>
      </c>
      <c r="G363" s="140" t="str">
        <f t="shared" si="16"/>
        <v>Nov'20</v>
      </c>
      <c r="H363" s="140" t="str">
        <f>TEXT(RawData[[#This Row],[Date]], "YYYY")</f>
        <v>2020</v>
      </c>
      <c r="I363" s="141" t="s">
        <v>32</v>
      </c>
      <c r="J363" s="141" t="s">
        <v>90</v>
      </c>
      <c r="K363" s="139">
        <f t="shared" si="17"/>
        <v>1</v>
      </c>
      <c r="L363" s="142">
        <f>IF(RawData[[#This Row],[Paid/Unpaid]]="Paid", IF(VALUE($E363)&gt;VALUE($D$3),$K363* 10000,$K363* 8000), 0)</f>
        <v>8000</v>
      </c>
      <c r="M363" s="53" t="s">
        <v>146</v>
      </c>
    </row>
    <row r="364" spans="1:13" ht="12.75" customHeight="1" x14ac:dyDescent="0.3">
      <c r="A364" s="71" t="s">
        <v>21</v>
      </c>
      <c r="B364" s="139" t="str">
        <f>IFERROR(VLOOKUP($A364, NameDesignation[], 2,FALSE), " ")</f>
        <v>Former Independent Director</v>
      </c>
      <c r="C364" s="139" t="s">
        <v>29</v>
      </c>
      <c r="D364" s="139">
        <v>454</v>
      </c>
      <c r="E364" s="140">
        <v>44153</v>
      </c>
      <c r="F364" s="139" t="str">
        <f t="shared" si="15"/>
        <v>Q4-20</v>
      </c>
      <c r="G364" s="140" t="str">
        <f t="shared" si="16"/>
        <v>Nov'20</v>
      </c>
      <c r="H364" s="140" t="str">
        <f>TEXT(RawData[[#This Row],[Date]], "YYYY")</f>
        <v>2020</v>
      </c>
      <c r="I364" s="141" t="s">
        <v>32</v>
      </c>
      <c r="J364" s="141" t="s">
        <v>90</v>
      </c>
      <c r="K364" s="139">
        <f t="shared" si="17"/>
        <v>1</v>
      </c>
      <c r="L364" s="142">
        <f>IF(RawData[[#This Row],[Paid/Unpaid]]="Paid", IF(VALUE($E364)&gt;VALUE($D$3),$K364* 10000,$K364* 8000), 0)</f>
        <v>8000</v>
      </c>
      <c r="M364" s="53" t="s">
        <v>146</v>
      </c>
    </row>
    <row r="365" spans="1:13" ht="12.75" customHeight="1" x14ac:dyDescent="0.3">
      <c r="A365" s="71" t="s">
        <v>25</v>
      </c>
      <c r="B365" s="139" t="str">
        <f>IFERROR(VLOOKUP($A365, NameDesignation[], 2,FALSE), " ")</f>
        <v>Former Director</v>
      </c>
      <c r="C365" s="139" t="s">
        <v>29</v>
      </c>
      <c r="D365" s="139">
        <v>454</v>
      </c>
      <c r="E365" s="140">
        <v>44153</v>
      </c>
      <c r="F365" s="139" t="str">
        <f t="shared" si="15"/>
        <v>Q4-20</v>
      </c>
      <c r="G365" s="140" t="str">
        <f t="shared" si="16"/>
        <v>Nov'20</v>
      </c>
      <c r="H365" s="140" t="str">
        <f>TEXT(RawData[[#This Row],[Date]], "YYYY")</f>
        <v>2020</v>
      </c>
      <c r="I365" s="141" t="s">
        <v>32</v>
      </c>
      <c r="J365" s="141" t="s">
        <v>90</v>
      </c>
      <c r="K365" s="139">
        <f t="shared" si="17"/>
        <v>1</v>
      </c>
      <c r="L365" s="142">
        <f>IF(RawData[[#This Row],[Paid/Unpaid]]="Paid", IF(VALUE($E365)&gt;VALUE($D$3),$K365* 10000,$K365* 8000), 0)</f>
        <v>8000</v>
      </c>
      <c r="M365" s="53" t="s">
        <v>146</v>
      </c>
    </row>
    <row r="366" spans="1:13" ht="12.75" customHeight="1" x14ac:dyDescent="0.3">
      <c r="A366" s="71" t="s">
        <v>50</v>
      </c>
      <c r="B366" s="139" t="str">
        <f>IFERROR(VLOOKUP($A366, NameDesignation[], 2,FALSE), " ")</f>
        <v>Former Director</v>
      </c>
      <c r="C366" s="139" t="s">
        <v>29</v>
      </c>
      <c r="D366" s="139">
        <v>454</v>
      </c>
      <c r="E366" s="140">
        <v>44153</v>
      </c>
      <c r="F366" s="139" t="str">
        <f t="shared" si="15"/>
        <v>Q4-20</v>
      </c>
      <c r="G366" s="140" t="str">
        <f t="shared" si="16"/>
        <v>Nov'20</v>
      </c>
      <c r="H366" s="140" t="str">
        <f>TEXT(RawData[[#This Row],[Date]], "YYYY")</f>
        <v>2020</v>
      </c>
      <c r="I366" s="141" t="s">
        <v>32</v>
      </c>
      <c r="J366" s="141" t="s">
        <v>91</v>
      </c>
      <c r="K366" s="139">
        <f t="shared" si="17"/>
        <v>0</v>
      </c>
      <c r="L366" s="142">
        <f>IF(RawData[[#This Row],[Paid/Unpaid]]="Paid", IF(VALUE($E366)&gt;VALUE($D$3),$K366* 10000,$K366* 8000), 0)</f>
        <v>0</v>
      </c>
      <c r="M366" s="53" t="s">
        <v>146</v>
      </c>
    </row>
    <row r="367" spans="1:13" ht="12.75" customHeight="1" x14ac:dyDescent="0.3">
      <c r="A367" s="71" t="s">
        <v>51</v>
      </c>
      <c r="B367" s="139" t="str">
        <f>IFERROR(VLOOKUP($A367, NameDesignation[], 2,FALSE), " ")</f>
        <v>Former Director</v>
      </c>
      <c r="C367" s="139" t="s">
        <v>29</v>
      </c>
      <c r="D367" s="139">
        <v>454</v>
      </c>
      <c r="E367" s="140">
        <v>44153</v>
      </c>
      <c r="F367" s="139" t="str">
        <f t="shared" si="15"/>
        <v>Q4-20</v>
      </c>
      <c r="G367" s="140" t="str">
        <f t="shared" si="16"/>
        <v>Nov'20</v>
      </c>
      <c r="H367" s="140" t="str">
        <f>TEXT(RawData[[#This Row],[Date]], "YYYY")</f>
        <v>2020</v>
      </c>
      <c r="I367" s="141" t="s">
        <v>32</v>
      </c>
      <c r="J367" s="141" t="s">
        <v>90</v>
      </c>
      <c r="K367" s="139">
        <f t="shared" si="17"/>
        <v>1</v>
      </c>
      <c r="L367" s="142">
        <f>IF(RawData[[#This Row],[Paid/Unpaid]]="Paid", IF(VALUE($E367)&gt;VALUE($D$3),$K367* 10000,$K367* 8000), 0)</f>
        <v>8000</v>
      </c>
      <c r="M367" s="53" t="s">
        <v>146</v>
      </c>
    </row>
    <row r="368" spans="1:13" ht="12.75" customHeight="1" x14ac:dyDescent="0.3">
      <c r="A368" s="71" t="s">
        <v>27</v>
      </c>
      <c r="B368" s="139" t="str">
        <f>IFERROR(VLOOKUP($A368, NameDesignation[], 2,FALSE), " ")</f>
        <v>Former Director</v>
      </c>
      <c r="C368" s="139" t="s">
        <v>29</v>
      </c>
      <c r="D368" s="139">
        <v>454</v>
      </c>
      <c r="E368" s="140">
        <v>44153</v>
      </c>
      <c r="F368" s="139" t="str">
        <f t="shared" si="15"/>
        <v>Q4-20</v>
      </c>
      <c r="G368" s="140" t="str">
        <f t="shared" si="16"/>
        <v>Nov'20</v>
      </c>
      <c r="H368" s="140" t="str">
        <f>TEXT(RawData[[#This Row],[Date]], "YYYY")</f>
        <v>2020</v>
      </c>
      <c r="I368" s="141" t="s">
        <v>32</v>
      </c>
      <c r="J368" s="141" t="s">
        <v>91</v>
      </c>
      <c r="K368" s="139">
        <f t="shared" si="17"/>
        <v>0</v>
      </c>
      <c r="L368" s="142">
        <f>IF(RawData[[#This Row],[Paid/Unpaid]]="Paid", IF(VALUE($E368)&gt;VALUE($D$3),$K368* 10000,$K368* 8000), 0)</f>
        <v>0</v>
      </c>
      <c r="M368" s="53" t="s">
        <v>146</v>
      </c>
    </row>
    <row r="369" spans="1:13" ht="12.75" customHeight="1" x14ac:dyDescent="0.3">
      <c r="A369" s="71" t="s">
        <v>18</v>
      </c>
      <c r="B369" s="139" t="str">
        <f>IFERROR(VLOOKUP($A369, NameDesignation[], 2,FALSE), " ")</f>
        <v>Former Independent Director</v>
      </c>
      <c r="C369" s="139" t="s">
        <v>29</v>
      </c>
      <c r="D369" s="139">
        <v>454</v>
      </c>
      <c r="E369" s="140">
        <v>44153</v>
      </c>
      <c r="F369" s="139" t="str">
        <f t="shared" si="15"/>
        <v>Q4-20</v>
      </c>
      <c r="G369" s="140" t="str">
        <f t="shared" si="16"/>
        <v>Nov'20</v>
      </c>
      <c r="H369" s="140" t="str">
        <f>TEXT(RawData[[#This Row],[Date]], "YYYY")</f>
        <v>2020</v>
      </c>
      <c r="I369" s="141" t="s">
        <v>32</v>
      </c>
      <c r="J369" s="141" t="s">
        <v>90</v>
      </c>
      <c r="K369" s="139">
        <f t="shared" si="17"/>
        <v>1</v>
      </c>
      <c r="L369" s="142">
        <f>IF(RawData[[#This Row],[Paid/Unpaid]]="Paid", IF(VALUE($E369)&gt;VALUE($D$3),$K369* 10000,$K369* 8000), 0)</f>
        <v>8000</v>
      </c>
      <c r="M369" s="53" t="s">
        <v>146</v>
      </c>
    </row>
    <row r="370" spans="1:13" ht="12.75" customHeight="1" x14ac:dyDescent="0.3">
      <c r="A370" s="143" t="s">
        <v>34</v>
      </c>
      <c r="B370" s="139" t="str">
        <f>IFERROR(VLOOKUP($A370, NameDesignation[], 2,FALSE), " ")</f>
        <v>Former Managing Director &amp; CEO</v>
      </c>
      <c r="C370" s="139" t="s">
        <v>29</v>
      </c>
      <c r="D370" s="139">
        <v>454</v>
      </c>
      <c r="E370" s="140">
        <v>44153</v>
      </c>
      <c r="F370" s="139" t="str">
        <f t="shared" si="15"/>
        <v>Q4-20</v>
      </c>
      <c r="G370" s="140" t="str">
        <f t="shared" si="16"/>
        <v>Nov'20</v>
      </c>
      <c r="H370" s="140" t="str">
        <f>TEXT(RawData[[#This Row],[Date]], "YYYY")</f>
        <v>2020</v>
      </c>
      <c r="I370" s="141" t="s">
        <v>32</v>
      </c>
      <c r="J370" s="141" t="s">
        <v>90</v>
      </c>
      <c r="K370" s="139">
        <f t="shared" si="17"/>
        <v>1</v>
      </c>
      <c r="L370" s="142">
        <f>IF(RawData[[#This Row],[Paid/Unpaid]]="Paid", IF(VALUE($E370)&gt;VALUE($D$3),$K370* 10000,$K370* 8000), 0)</f>
        <v>8000</v>
      </c>
      <c r="M370" s="53" t="s">
        <v>146</v>
      </c>
    </row>
    <row r="371" spans="1:13" ht="12.75" customHeight="1" x14ac:dyDescent="0.3">
      <c r="A371" s="71" t="s">
        <v>7</v>
      </c>
      <c r="B371" s="139" t="str">
        <f>IFERROR(VLOOKUP($A371, NameDesignation[], 2,FALSE), " ")</f>
        <v>Former Director</v>
      </c>
      <c r="C371" s="139" t="s">
        <v>29</v>
      </c>
      <c r="D371" s="139">
        <v>455</v>
      </c>
      <c r="E371" s="140">
        <v>44192</v>
      </c>
      <c r="F371" s="139" t="str">
        <f t="shared" si="15"/>
        <v>Q4-20</v>
      </c>
      <c r="G371" s="140" t="str">
        <f t="shared" si="16"/>
        <v>Dec'20</v>
      </c>
      <c r="H371" s="140" t="str">
        <f>TEXT(RawData[[#This Row],[Date]], "YYYY")</f>
        <v>2020</v>
      </c>
      <c r="I371" s="141" t="s">
        <v>32</v>
      </c>
      <c r="J371" s="141" t="s">
        <v>90</v>
      </c>
      <c r="K371" s="139">
        <f t="shared" si="17"/>
        <v>1</v>
      </c>
      <c r="L371" s="142">
        <f>IF(RawData[[#This Row],[Paid/Unpaid]]="Paid", IF(VALUE($E371)&gt;VALUE($D$3),$K371* 10000,$K371* 8000), 0)</f>
        <v>8000</v>
      </c>
      <c r="M371" s="53" t="s">
        <v>146</v>
      </c>
    </row>
    <row r="372" spans="1:13" ht="12.75" customHeight="1" x14ac:dyDescent="0.3">
      <c r="A372" s="71" t="s">
        <v>8</v>
      </c>
      <c r="B372" s="139" t="str">
        <f>IFERROR(VLOOKUP($A372, NameDesignation[], 2,FALSE), " ")</f>
        <v>Former Vice-Chairman</v>
      </c>
      <c r="C372" s="139" t="s">
        <v>29</v>
      </c>
      <c r="D372" s="139">
        <v>455</v>
      </c>
      <c r="E372" s="140">
        <v>44192</v>
      </c>
      <c r="F372" s="139" t="str">
        <f t="shared" si="15"/>
        <v>Q4-20</v>
      </c>
      <c r="G372" s="140" t="str">
        <f t="shared" si="16"/>
        <v>Dec'20</v>
      </c>
      <c r="H372" s="140" t="str">
        <f>TEXT(RawData[[#This Row],[Date]], "YYYY")</f>
        <v>2020</v>
      </c>
      <c r="I372" s="141" t="s">
        <v>32</v>
      </c>
      <c r="J372" s="141" t="s">
        <v>90</v>
      </c>
      <c r="K372" s="139">
        <f t="shared" si="17"/>
        <v>1</v>
      </c>
      <c r="L372" s="142">
        <f>IF(RawData[[#This Row],[Paid/Unpaid]]="Paid", IF(VALUE($E372)&gt;VALUE($D$3),$K372* 10000,$K372* 8000), 0)</f>
        <v>8000</v>
      </c>
      <c r="M372" s="53" t="s">
        <v>146</v>
      </c>
    </row>
    <row r="373" spans="1:13" ht="12.75" customHeight="1" x14ac:dyDescent="0.3">
      <c r="A373" s="71" t="s">
        <v>9</v>
      </c>
      <c r="B373" s="139" t="str">
        <f>IFERROR(VLOOKUP($A373, NameDesignation[], 2,FALSE), " ")</f>
        <v>Former Director</v>
      </c>
      <c r="C373" s="139" t="s">
        <v>29</v>
      </c>
      <c r="D373" s="139">
        <v>455</v>
      </c>
      <c r="E373" s="140">
        <v>44192</v>
      </c>
      <c r="F373" s="139" t="str">
        <f t="shared" si="15"/>
        <v>Q4-20</v>
      </c>
      <c r="G373" s="140" t="str">
        <f t="shared" si="16"/>
        <v>Dec'20</v>
      </c>
      <c r="H373" s="140" t="str">
        <f>TEXT(RawData[[#This Row],[Date]], "YYYY")</f>
        <v>2020</v>
      </c>
      <c r="I373" s="141" t="s">
        <v>32</v>
      </c>
      <c r="J373" s="141" t="s">
        <v>90</v>
      </c>
      <c r="K373" s="139">
        <f t="shared" si="17"/>
        <v>1</v>
      </c>
      <c r="L373" s="142">
        <f>IF(RawData[[#This Row],[Paid/Unpaid]]="Paid", IF(VALUE($E373)&gt;VALUE($D$3),$K373* 10000,$K373* 8000), 0)</f>
        <v>8000</v>
      </c>
      <c r="M373" s="53" t="s">
        <v>146</v>
      </c>
    </row>
    <row r="374" spans="1:13" ht="12.75" customHeight="1" x14ac:dyDescent="0.3">
      <c r="A374" s="71" t="s">
        <v>20</v>
      </c>
      <c r="B374" s="139" t="str">
        <f>IFERROR(VLOOKUP($A374, NameDesignation[], 2,FALSE), " ")</f>
        <v>Former Independent Director</v>
      </c>
      <c r="C374" s="139" t="s">
        <v>29</v>
      </c>
      <c r="D374" s="139">
        <v>455</v>
      </c>
      <c r="E374" s="140">
        <v>44192</v>
      </c>
      <c r="F374" s="139" t="str">
        <f t="shared" si="15"/>
        <v>Q4-20</v>
      </c>
      <c r="G374" s="140" t="str">
        <f t="shared" si="16"/>
        <v>Dec'20</v>
      </c>
      <c r="H374" s="140" t="str">
        <f>TEXT(RawData[[#This Row],[Date]], "YYYY")</f>
        <v>2020</v>
      </c>
      <c r="I374" s="141" t="s">
        <v>32</v>
      </c>
      <c r="J374" s="141" t="s">
        <v>91</v>
      </c>
      <c r="K374" s="139">
        <f t="shared" si="17"/>
        <v>0</v>
      </c>
      <c r="L374" s="142">
        <f>IF(RawData[[#This Row],[Paid/Unpaid]]="Paid", IF(VALUE($E374)&gt;VALUE($D$3),$K374* 10000,$K374* 8000), 0)</f>
        <v>0</v>
      </c>
      <c r="M374" s="53" t="s">
        <v>146</v>
      </c>
    </row>
    <row r="375" spans="1:13" ht="12.75" customHeight="1" x14ac:dyDescent="0.3">
      <c r="A375" s="71" t="s">
        <v>49</v>
      </c>
      <c r="B375" s="139" t="str">
        <f>IFERROR(VLOOKUP($A375, NameDesignation[], 2,FALSE), " ")</f>
        <v>Former Director</v>
      </c>
      <c r="C375" s="139" t="s">
        <v>29</v>
      </c>
      <c r="D375" s="139">
        <v>455</v>
      </c>
      <c r="E375" s="140">
        <v>44192</v>
      </c>
      <c r="F375" s="139" t="str">
        <f t="shared" si="15"/>
        <v>Q4-20</v>
      </c>
      <c r="G375" s="140" t="str">
        <f t="shared" si="16"/>
        <v>Dec'20</v>
      </c>
      <c r="H375" s="140" t="str">
        <f>TEXT(RawData[[#This Row],[Date]], "YYYY")</f>
        <v>2020</v>
      </c>
      <c r="I375" s="141" t="s">
        <v>32</v>
      </c>
      <c r="J375" s="141" t="s">
        <v>90</v>
      </c>
      <c r="K375" s="139">
        <f t="shared" si="17"/>
        <v>1</v>
      </c>
      <c r="L375" s="142">
        <f>IF(RawData[[#This Row],[Paid/Unpaid]]="Paid", IF(VALUE($E375)&gt;VALUE($D$3),$K375* 10000,$K375* 8000), 0)</f>
        <v>8000</v>
      </c>
      <c r="M375" s="53" t="s">
        <v>146</v>
      </c>
    </row>
    <row r="376" spans="1:13" ht="12.75" customHeight="1" x14ac:dyDescent="0.3">
      <c r="A376" s="71" t="s">
        <v>11</v>
      </c>
      <c r="B376" s="139" t="str">
        <f>IFERROR(VLOOKUP($A376, NameDesignation[], 2,FALSE), " ")</f>
        <v>Former Director</v>
      </c>
      <c r="C376" s="139" t="s">
        <v>29</v>
      </c>
      <c r="D376" s="139">
        <v>455</v>
      </c>
      <c r="E376" s="140">
        <v>44192</v>
      </c>
      <c r="F376" s="139" t="str">
        <f t="shared" si="15"/>
        <v>Q4-20</v>
      </c>
      <c r="G376" s="140" t="str">
        <f t="shared" si="16"/>
        <v>Dec'20</v>
      </c>
      <c r="H376" s="140" t="str">
        <f>TEXT(RawData[[#This Row],[Date]], "YYYY")</f>
        <v>2020</v>
      </c>
      <c r="I376" s="141" t="s">
        <v>32</v>
      </c>
      <c r="J376" s="141" t="s">
        <v>90</v>
      </c>
      <c r="K376" s="139">
        <f t="shared" si="17"/>
        <v>1</v>
      </c>
      <c r="L376" s="142">
        <f>IF(RawData[[#This Row],[Paid/Unpaid]]="Paid", IF(VALUE($E376)&gt;VALUE($D$3),$K376* 10000,$K376* 8000), 0)</f>
        <v>8000</v>
      </c>
      <c r="M376" s="53" t="s">
        <v>146</v>
      </c>
    </row>
    <row r="377" spans="1:13" ht="12.75" customHeight="1" x14ac:dyDescent="0.3">
      <c r="A377" s="71" t="s">
        <v>12</v>
      </c>
      <c r="B377" s="139" t="str">
        <f>IFERROR(VLOOKUP($A377, NameDesignation[], 2,FALSE), " ")</f>
        <v>Former Director</v>
      </c>
      <c r="C377" s="139" t="s">
        <v>29</v>
      </c>
      <c r="D377" s="139">
        <v>455</v>
      </c>
      <c r="E377" s="140">
        <v>44192</v>
      </c>
      <c r="F377" s="139" t="str">
        <f t="shared" si="15"/>
        <v>Q4-20</v>
      </c>
      <c r="G377" s="140" t="str">
        <f t="shared" si="16"/>
        <v>Dec'20</v>
      </c>
      <c r="H377" s="140" t="str">
        <f>TEXT(RawData[[#This Row],[Date]], "YYYY")</f>
        <v>2020</v>
      </c>
      <c r="I377" s="141" t="s">
        <v>32</v>
      </c>
      <c r="J377" s="141" t="s">
        <v>90</v>
      </c>
      <c r="K377" s="139">
        <f t="shared" si="17"/>
        <v>1</v>
      </c>
      <c r="L377" s="142">
        <f>IF(RawData[[#This Row],[Paid/Unpaid]]="Paid", IF(VALUE($E377)&gt;VALUE($D$3),$K377* 10000,$K377* 8000), 0)</f>
        <v>8000</v>
      </c>
      <c r="M377" s="53" t="s">
        <v>146</v>
      </c>
    </row>
    <row r="378" spans="1:13" ht="12.75" customHeight="1" x14ac:dyDescent="0.3">
      <c r="A378" s="71" t="s">
        <v>137</v>
      </c>
      <c r="B378" s="139" t="str">
        <f>IFERROR(VLOOKUP($A378, NameDesignation[], 2,FALSE), " ")</f>
        <v>Former Director</v>
      </c>
      <c r="C378" s="139" t="s">
        <v>29</v>
      </c>
      <c r="D378" s="139">
        <v>455</v>
      </c>
      <c r="E378" s="140">
        <v>44192</v>
      </c>
      <c r="F378" s="139" t="str">
        <f t="shared" si="15"/>
        <v>Q4-20</v>
      </c>
      <c r="G378" s="140" t="str">
        <f t="shared" si="16"/>
        <v>Dec'20</v>
      </c>
      <c r="H378" s="140" t="str">
        <f>TEXT(RawData[[#This Row],[Date]], "YYYY")</f>
        <v>2020</v>
      </c>
      <c r="I378" s="141" t="s">
        <v>32</v>
      </c>
      <c r="J378" s="141" t="s">
        <v>91</v>
      </c>
      <c r="K378" s="139">
        <f t="shared" si="17"/>
        <v>0</v>
      </c>
      <c r="L378" s="142">
        <f>IF(RawData[[#This Row],[Paid/Unpaid]]="Paid", IF(VALUE($E378)&gt;VALUE($D$3),$K378* 10000,$K378* 8000), 0)</f>
        <v>0</v>
      </c>
      <c r="M378" s="53" t="s">
        <v>146</v>
      </c>
    </row>
    <row r="379" spans="1:13" ht="12.75" customHeight="1" x14ac:dyDescent="0.3">
      <c r="A379" s="71" t="s">
        <v>13</v>
      </c>
      <c r="B379" s="139" t="str">
        <f>IFERROR(VLOOKUP($A379, NameDesignation[], 2,FALSE), " ")</f>
        <v>Former Director</v>
      </c>
      <c r="C379" s="139" t="s">
        <v>29</v>
      </c>
      <c r="D379" s="139">
        <v>455</v>
      </c>
      <c r="E379" s="140">
        <v>44192</v>
      </c>
      <c r="F379" s="139" t="str">
        <f t="shared" si="15"/>
        <v>Q4-20</v>
      </c>
      <c r="G379" s="140" t="str">
        <f t="shared" si="16"/>
        <v>Dec'20</v>
      </c>
      <c r="H379" s="140" t="str">
        <f>TEXT(RawData[[#This Row],[Date]], "YYYY")</f>
        <v>2020</v>
      </c>
      <c r="I379" s="141" t="s">
        <v>32</v>
      </c>
      <c r="J379" s="141" t="s">
        <v>90</v>
      </c>
      <c r="K379" s="139">
        <f t="shared" si="17"/>
        <v>1</v>
      </c>
      <c r="L379" s="142">
        <f>IF(RawData[[#This Row],[Paid/Unpaid]]="Paid", IF(VALUE($E379)&gt;VALUE($D$3),$K379* 10000,$K379* 8000), 0)</f>
        <v>8000</v>
      </c>
      <c r="M379" s="53" t="s">
        <v>146</v>
      </c>
    </row>
    <row r="380" spans="1:13" ht="12.75" customHeight="1" x14ac:dyDescent="0.3">
      <c r="A380" s="71" t="s">
        <v>61</v>
      </c>
      <c r="B380" s="139" t="str">
        <f>IFERROR(VLOOKUP($A380, NameDesignation[], 2,FALSE), " ")</f>
        <v>Former Director</v>
      </c>
      <c r="C380" s="139" t="s">
        <v>29</v>
      </c>
      <c r="D380" s="139">
        <v>455</v>
      </c>
      <c r="E380" s="140">
        <v>44192</v>
      </c>
      <c r="F380" s="139" t="str">
        <f t="shared" si="15"/>
        <v>Q4-20</v>
      </c>
      <c r="G380" s="140" t="str">
        <f t="shared" si="16"/>
        <v>Dec'20</v>
      </c>
      <c r="H380" s="140" t="str">
        <f>TEXT(RawData[[#This Row],[Date]], "YYYY")</f>
        <v>2020</v>
      </c>
      <c r="I380" s="141" t="s">
        <v>32</v>
      </c>
      <c r="J380" s="141" t="s">
        <v>91</v>
      </c>
      <c r="K380" s="139">
        <f t="shared" si="17"/>
        <v>0</v>
      </c>
      <c r="L380" s="142">
        <f>IF(RawData[[#This Row],[Paid/Unpaid]]="Paid", IF(VALUE($E380)&gt;VALUE($D$3),$K380* 10000,$K380* 8000), 0)</f>
        <v>0</v>
      </c>
      <c r="M380" s="53" t="s">
        <v>146</v>
      </c>
    </row>
    <row r="381" spans="1:13" ht="12.75" customHeight="1" x14ac:dyDescent="0.3">
      <c r="A381" s="71" t="s">
        <v>23</v>
      </c>
      <c r="B381" s="139" t="str">
        <f>IFERROR(VLOOKUP($A381, NameDesignation[], 2,FALSE), " ")</f>
        <v>Former Director</v>
      </c>
      <c r="C381" s="139" t="s">
        <v>29</v>
      </c>
      <c r="D381" s="139">
        <v>455</v>
      </c>
      <c r="E381" s="140">
        <v>44192</v>
      </c>
      <c r="F381" s="139" t="str">
        <f t="shared" si="15"/>
        <v>Q4-20</v>
      </c>
      <c r="G381" s="140" t="str">
        <f t="shared" si="16"/>
        <v>Dec'20</v>
      </c>
      <c r="H381" s="140" t="str">
        <f>TEXT(RawData[[#This Row],[Date]], "YYYY")</f>
        <v>2020</v>
      </c>
      <c r="I381" s="141" t="s">
        <v>32</v>
      </c>
      <c r="J381" s="141" t="s">
        <v>90</v>
      </c>
      <c r="K381" s="139">
        <f t="shared" si="17"/>
        <v>1</v>
      </c>
      <c r="L381" s="142">
        <f>IF(RawData[[#This Row],[Paid/Unpaid]]="Paid", IF(VALUE($E381)&gt;VALUE($D$3),$K381* 10000,$K381* 8000), 0)</f>
        <v>8000</v>
      </c>
      <c r="M381" s="53" t="s">
        <v>146</v>
      </c>
    </row>
    <row r="382" spans="1:13" ht="12.75" customHeight="1" x14ac:dyDescent="0.3">
      <c r="A382" s="71" t="s">
        <v>24</v>
      </c>
      <c r="B382" s="139" t="str">
        <f>IFERROR(VLOOKUP($A382, NameDesignation[], 2,FALSE), " ")</f>
        <v>Former Director</v>
      </c>
      <c r="C382" s="139" t="s">
        <v>29</v>
      </c>
      <c r="D382" s="139">
        <v>455</v>
      </c>
      <c r="E382" s="140">
        <v>44192</v>
      </c>
      <c r="F382" s="139" t="str">
        <f t="shared" si="15"/>
        <v>Q4-20</v>
      </c>
      <c r="G382" s="140" t="str">
        <f t="shared" si="16"/>
        <v>Dec'20</v>
      </c>
      <c r="H382" s="140" t="str">
        <f>TEXT(RawData[[#This Row],[Date]], "YYYY")</f>
        <v>2020</v>
      </c>
      <c r="I382" s="141" t="s">
        <v>32</v>
      </c>
      <c r="J382" s="141" t="s">
        <v>90</v>
      </c>
      <c r="K382" s="139">
        <f t="shared" si="17"/>
        <v>1</v>
      </c>
      <c r="L382" s="142">
        <f>IF(RawData[[#This Row],[Paid/Unpaid]]="Paid", IF(VALUE($E382)&gt;VALUE($D$3),$K382* 10000,$K382* 8000), 0)</f>
        <v>8000</v>
      </c>
      <c r="M382" s="53" t="s">
        <v>146</v>
      </c>
    </row>
    <row r="383" spans="1:13" ht="12.75" customHeight="1" x14ac:dyDescent="0.3">
      <c r="A383" s="71" t="s">
        <v>15</v>
      </c>
      <c r="B383" s="139" t="str">
        <f>IFERROR(VLOOKUP($A383, NameDesignation[], 2,FALSE), " ")</f>
        <v>Former Director</v>
      </c>
      <c r="C383" s="139" t="s">
        <v>29</v>
      </c>
      <c r="D383" s="139">
        <v>455</v>
      </c>
      <c r="E383" s="140">
        <v>44192</v>
      </c>
      <c r="F383" s="139" t="str">
        <f t="shared" si="15"/>
        <v>Q4-20</v>
      </c>
      <c r="G383" s="140" t="str">
        <f t="shared" si="16"/>
        <v>Dec'20</v>
      </c>
      <c r="H383" s="140" t="str">
        <f>TEXT(RawData[[#This Row],[Date]], "YYYY")</f>
        <v>2020</v>
      </c>
      <c r="I383" s="141" t="s">
        <v>32</v>
      </c>
      <c r="J383" s="141" t="s">
        <v>90</v>
      </c>
      <c r="K383" s="139">
        <f t="shared" si="17"/>
        <v>1</v>
      </c>
      <c r="L383" s="142">
        <f>IF(RawData[[#This Row],[Paid/Unpaid]]="Paid", IF(VALUE($E383)&gt;VALUE($D$3),$K383* 10000,$K383* 8000), 0)</f>
        <v>8000</v>
      </c>
      <c r="M383" s="53" t="s">
        <v>146</v>
      </c>
    </row>
    <row r="384" spans="1:13" ht="12.75" customHeight="1" x14ac:dyDescent="0.3">
      <c r="A384" s="71" t="s">
        <v>21</v>
      </c>
      <c r="B384" s="139" t="str">
        <f>IFERROR(VLOOKUP($A384, NameDesignation[], 2,FALSE), " ")</f>
        <v>Former Independent Director</v>
      </c>
      <c r="C384" s="139" t="s">
        <v>29</v>
      </c>
      <c r="D384" s="139">
        <v>455</v>
      </c>
      <c r="E384" s="140">
        <v>44192</v>
      </c>
      <c r="F384" s="139" t="str">
        <f t="shared" si="15"/>
        <v>Q4-20</v>
      </c>
      <c r="G384" s="140" t="str">
        <f t="shared" si="16"/>
        <v>Dec'20</v>
      </c>
      <c r="H384" s="140" t="str">
        <f>TEXT(RawData[[#This Row],[Date]], "YYYY")</f>
        <v>2020</v>
      </c>
      <c r="I384" s="141" t="s">
        <v>32</v>
      </c>
      <c r="J384" s="141" t="s">
        <v>90</v>
      </c>
      <c r="K384" s="139">
        <f t="shared" si="17"/>
        <v>1</v>
      </c>
      <c r="L384" s="142">
        <f>IF(RawData[[#This Row],[Paid/Unpaid]]="Paid", IF(VALUE($E384)&gt;VALUE($D$3),$K384* 10000,$K384* 8000), 0)</f>
        <v>8000</v>
      </c>
      <c r="M384" s="53" t="s">
        <v>146</v>
      </c>
    </row>
    <row r="385" spans="1:13" ht="12.75" customHeight="1" x14ac:dyDescent="0.3">
      <c r="A385" s="71" t="s">
        <v>25</v>
      </c>
      <c r="B385" s="139" t="str">
        <f>IFERROR(VLOOKUP($A385, NameDesignation[], 2,FALSE), " ")</f>
        <v>Former Director</v>
      </c>
      <c r="C385" s="139" t="s">
        <v>29</v>
      </c>
      <c r="D385" s="139">
        <v>455</v>
      </c>
      <c r="E385" s="140">
        <v>44192</v>
      </c>
      <c r="F385" s="139" t="str">
        <f t="shared" si="15"/>
        <v>Q4-20</v>
      </c>
      <c r="G385" s="140" t="str">
        <f t="shared" si="16"/>
        <v>Dec'20</v>
      </c>
      <c r="H385" s="140" t="str">
        <f>TEXT(RawData[[#This Row],[Date]], "YYYY")</f>
        <v>2020</v>
      </c>
      <c r="I385" s="141" t="s">
        <v>32</v>
      </c>
      <c r="J385" s="141" t="s">
        <v>90</v>
      </c>
      <c r="K385" s="139">
        <f t="shared" si="17"/>
        <v>1</v>
      </c>
      <c r="L385" s="142">
        <f>IF(RawData[[#This Row],[Paid/Unpaid]]="Paid", IF(VALUE($E385)&gt;VALUE($D$3),$K385* 10000,$K385* 8000), 0)</f>
        <v>8000</v>
      </c>
      <c r="M385" s="53" t="s">
        <v>146</v>
      </c>
    </row>
    <row r="386" spans="1:13" ht="12.75" customHeight="1" x14ac:dyDescent="0.3">
      <c r="A386" s="71" t="s">
        <v>50</v>
      </c>
      <c r="B386" s="139" t="str">
        <f>IFERROR(VLOOKUP($A386, NameDesignation[], 2,FALSE), " ")</f>
        <v>Former Director</v>
      </c>
      <c r="C386" s="139" t="s">
        <v>29</v>
      </c>
      <c r="D386" s="139">
        <v>455</v>
      </c>
      <c r="E386" s="140">
        <v>44192</v>
      </c>
      <c r="F386" s="139" t="str">
        <f t="shared" si="15"/>
        <v>Q4-20</v>
      </c>
      <c r="G386" s="140" t="str">
        <f t="shared" si="16"/>
        <v>Dec'20</v>
      </c>
      <c r="H386" s="140" t="str">
        <f>TEXT(RawData[[#This Row],[Date]], "YYYY")</f>
        <v>2020</v>
      </c>
      <c r="I386" s="141" t="s">
        <v>32</v>
      </c>
      <c r="J386" s="141" t="s">
        <v>91</v>
      </c>
      <c r="K386" s="139">
        <f t="shared" si="17"/>
        <v>0</v>
      </c>
      <c r="L386" s="142">
        <f>IF(RawData[[#This Row],[Paid/Unpaid]]="Paid", IF(VALUE($E386)&gt;VALUE($D$3),$K386* 10000,$K386* 8000), 0)</f>
        <v>0</v>
      </c>
      <c r="M386" s="53" t="s">
        <v>146</v>
      </c>
    </row>
    <row r="387" spans="1:13" ht="12.75" customHeight="1" x14ac:dyDescent="0.3">
      <c r="A387" s="71" t="s">
        <v>51</v>
      </c>
      <c r="B387" s="139" t="str">
        <f>IFERROR(VLOOKUP($A387, NameDesignation[], 2,FALSE), " ")</f>
        <v>Former Director</v>
      </c>
      <c r="C387" s="139" t="s">
        <v>29</v>
      </c>
      <c r="D387" s="139">
        <v>455</v>
      </c>
      <c r="E387" s="140">
        <v>44192</v>
      </c>
      <c r="F387" s="139" t="str">
        <f t="shared" si="15"/>
        <v>Q4-20</v>
      </c>
      <c r="G387" s="140" t="str">
        <f t="shared" si="16"/>
        <v>Dec'20</v>
      </c>
      <c r="H387" s="140" t="str">
        <f>TEXT(RawData[[#This Row],[Date]], "YYYY")</f>
        <v>2020</v>
      </c>
      <c r="I387" s="141" t="s">
        <v>32</v>
      </c>
      <c r="J387" s="141" t="s">
        <v>90</v>
      </c>
      <c r="K387" s="139">
        <f t="shared" si="17"/>
        <v>1</v>
      </c>
      <c r="L387" s="142">
        <f>IF(RawData[[#This Row],[Paid/Unpaid]]="Paid", IF(VALUE($E387)&gt;VALUE($D$3),$K387* 10000,$K387* 8000), 0)</f>
        <v>8000</v>
      </c>
      <c r="M387" s="53" t="s">
        <v>146</v>
      </c>
    </row>
    <row r="388" spans="1:13" ht="12.75" customHeight="1" x14ac:dyDescent="0.3">
      <c r="A388" s="71" t="s">
        <v>27</v>
      </c>
      <c r="B388" s="139" t="str">
        <f>IFERROR(VLOOKUP($A388, NameDesignation[], 2,FALSE), " ")</f>
        <v>Former Director</v>
      </c>
      <c r="C388" s="139" t="s">
        <v>29</v>
      </c>
      <c r="D388" s="139">
        <v>455</v>
      </c>
      <c r="E388" s="140">
        <v>44192</v>
      </c>
      <c r="F388" s="139" t="str">
        <f t="shared" si="15"/>
        <v>Q4-20</v>
      </c>
      <c r="G388" s="140" t="str">
        <f t="shared" si="16"/>
        <v>Dec'20</v>
      </c>
      <c r="H388" s="140" t="str">
        <f>TEXT(RawData[[#This Row],[Date]], "YYYY")</f>
        <v>2020</v>
      </c>
      <c r="I388" s="141" t="s">
        <v>32</v>
      </c>
      <c r="J388" s="141" t="s">
        <v>91</v>
      </c>
      <c r="K388" s="139">
        <f t="shared" si="17"/>
        <v>0</v>
      </c>
      <c r="L388" s="142">
        <f>IF(RawData[[#This Row],[Paid/Unpaid]]="Paid", IF(VALUE($E388)&gt;VALUE($D$3),$K388* 10000,$K388* 8000), 0)</f>
        <v>0</v>
      </c>
      <c r="M388" s="53" t="s">
        <v>146</v>
      </c>
    </row>
    <row r="389" spans="1:13" ht="12.75" customHeight="1" x14ac:dyDescent="0.3">
      <c r="A389" s="71" t="s">
        <v>18</v>
      </c>
      <c r="B389" s="139" t="str">
        <f>IFERROR(VLOOKUP($A389, NameDesignation[], 2,FALSE), " ")</f>
        <v>Former Independent Director</v>
      </c>
      <c r="C389" s="139" t="s">
        <v>29</v>
      </c>
      <c r="D389" s="139">
        <v>455</v>
      </c>
      <c r="E389" s="140">
        <v>44192</v>
      </c>
      <c r="F389" s="139" t="str">
        <f t="shared" si="15"/>
        <v>Q4-20</v>
      </c>
      <c r="G389" s="140" t="str">
        <f t="shared" si="16"/>
        <v>Dec'20</v>
      </c>
      <c r="H389" s="140" t="str">
        <f>TEXT(RawData[[#This Row],[Date]], "YYYY")</f>
        <v>2020</v>
      </c>
      <c r="I389" s="141" t="s">
        <v>32</v>
      </c>
      <c r="J389" s="141" t="s">
        <v>91</v>
      </c>
      <c r="K389" s="139">
        <f t="shared" si="17"/>
        <v>0</v>
      </c>
      <c r="L389" s="142">
        <f>IF(RawData[[#This Row],[Paid/Unpaid]]="Paid", IF(VALUE($E389)&gt;VALUE($D$3),$K389* 10000,$K389* 8000), 0)</f>
        <v>0</v>
      </c>
      <c r="M389" s="53" t="s">
        <v>146</v>
      </c>
    </row>
    <row r="390" spans="1:13" ht="12.75" customHeight="1" x14ac:dyDescent="0.3">
      <c r="A390" s="71" t="s">
        <v>9</v>
      </c>
      <c r="B390" s="139" t="str">
        <f>IFERROR(VLOOKUP($A390, NameDesignation[], 2,FALSE), " ")</f>
        <v>Former Director</v>
      </c>
      <c r="C390" s="139" t="s">
        <v>30</v>
      </c>
      <c r="D390" s="139">
        <v>439</v>
      </c>
      <c r="E390" s="140">
        <v>44192</v>
      </c>
      <c r="F390" s="139" t="str">
        <f t="shared" ref="F390:F453" si="18">CONCATENATE("Q", ROUNDUP(MONTH($E390)/3,0),"-",TEXT($E390, "yy"))</f>
        <v>Q4-20</v>
      </c>
      <c r="G390" s="140" t="str">
        <f t="shared" ref="G390:G453" si="19">CONCATENATE(TEXT($E390, "mmm"),"'", TEXT($E390, "yy"))</f>
        <v>Dec'20</v>
      </c>
      <c r="H390" s="140" t="str">
        <f>TEXT(RawData[[#This Row],[Date]], "YYYY")</f>
        <v>2020</v>
      </c>
      <c r="I390" s="141" t="s">
        <v>32</v>
      </c>
      <c r="J390" s="141" t="s">
        <v>90</v>
      </c>
      <c r="K390" s="139">
        <f t="shared" ref="K390:K453" si="20">IF($J390="Present", 1, 0)</f>
        <v>1</v>
      </c>
      <c r="L390" s="142">
        <f>IF(RawData[[#This Row],[Paid/Unpaid]]="Paid", IF(VALUE($E390)&gt;VALUE($D$3),$K390* 10000,$K390* 8000), 0)</f>
        <v>8000</v>
      </c>
      <c r="M390" s="53" t="s">
        <v>146</v>
      </c>
    </row>
    <row r="391" spans="1:13" ht="12.75" customHeight="1" x14ac:dyDescent="0.3">
      <c r="A391" s="71" t="s">
        <v>8</v>
      </c>
      <c r="B391" s="139" t="str">
        <f>IFERROR(VLOOKUP($A391, NameDesignation[], 2,FALSE), " ")</f>
        <v>Former Vice-Chairman</v>
      </c>
      <c r="C391" s="139" t="s">
        <v>30</v>
      </c>
      <c r="D391" s="139">
        <v>439</v>
      </c>
      <c r="E391" s="140">
        <v>44192</v>
      </c>
      <c r="F391" s="139" t="str">
        <f t="shared" si="18"/>
        <v>Q4-20</v>
      </c>
      <c r="G391" s="140" t="str">
        <f t="shared" si="19"/>
        <v>Dec'20</v>
      </c>
      <c r="H391" s="140" t="str">
        <f>TEXT(RawData[[#This Row],[Date]], "YYYY")</f>
        <v>2020</v>
      </c>
      <c r="I391" s="141" t="s">
        <v>32</v>
      </c>
      <c r="J391" s="141" t="s">
        <v>90</v>
      </c>
      <c r="K391" s="139">
        <f t="shared" si="20"/>
        <v>1</v>
      </c>
      <c r="L391" s="142">
        <f>IF(RawData[[#This Row],[Paid/Unpaid]]="Paid", IF(VALUE($E391)&gt;VALUE($D$3),$K391* 10000,$K391* 8000), 0)</f>
        <v>8000</v>
      </c>
      <c r="M391" s="53" t="s">
        <v>146</v>
      </c>
    </row>
    <row r="392" spans="1:13" ht="12.75" customHeight="1" x14ac:dyDescent="0.3">
      <c r="A392" s="71" t="s">
        <v>49</v>
      </c>
      <c r="B392" s="139" t="str">
        <f>IFERROR(VLOOKUP($A392, NameDesignation[], 2,FALSE), " ")</f>
        <v>Former Director</v>
      </c>
      <c r="C392" s="139" t="s">
        <v>30</v>
      </c>
      <c r="D392" s="139">
        <v>439</v>
      </c>
      <c r="E392" s="140">
        <v>44192</v>
      </c>
      <c r="F392" s="139" t="str">
        <f t="shared" si="18"/>
        <v>Q4-20</v>
      </c>
      <c r="G392" s="140" t="str">
        <f t="shared" si="19"/>
        <v>Dec'20</v>
      </c>
      <c r="H392" s="140" t="str">
        <f>TEXT(RawData[[#This Row],[Date]], "YYYY")</f>
        <v>2020</v>
      </c>
      <c r="I392" s="141" t="s">
        <v>32</v>
      </c>
      <c r="J392" s="141" t="s">
        <v>90</v>
      </c>
      <c r="K392" s="139">
        <f t="shared" si="20"/>
        <v>1</v>
      </c>
      <c r="L392" s="142">
        <f>IF(RawData[[#This Row],[Paid/Unpaid]]="Paid", IF(VALUE($E392)&gt;VALUE($D$3),$K392* 10000,$K392* 8000), 0)</f>
        <v>8000</v>
      </c>
      <c r="M392" s="53" t="s">
        <v>146</v>
      </c>
    </row>
    <row r="393" spans="1:13" ht="12.75" customHeight="1" x14ac:dyDescent="0.3">
      <c r="A393" s="71" t="s">
        <v>11</v>
      </c>
      <c r="B393" s="139" t="str">
        <f>IFERROR(VLOOKUP($A393, NameDesignation[], 2,FALSE), " ")</f>
        <v>Former Director</v>
      </c>
      <c r="C393" s="139" t="s">
        <v>30</v>
      </c>
      <c r="D393" s="139">
        <v>439</v>
      </c>
      <c r="E393" s="140">
        <v>44192</v>
      </c>
      <c r="F393" s="139" t="str">
        <f t="shared" si="18"/>
        <v>Q4-20</v>
      </c>
      <c r="G393" s="140" t="str">
        <f t="shared" si="19"/>
        <v>Dec'20</v>
      </c>
      <c r="H393" s="140" t="str">
        <f>TEXT(RawData[[#This Row],[Date]], "YYYY")</f>
        <v>2020</v>
      </c>
      <c r="I393" s="141" t="s">
        <v>32</v>
      </c>
      <c r="J393" s="141" t="s">
        <v>90</v>
      </c>
      <c r="K393" s="139">
        <f t="shared" si="20"/>
        <v>1</v>
      </c>
      <c r="L393" s="142">
        <f>IF(RawData[[#This Row],[Paid/Unpaid]]="Paid", IF(VALUE($E393)&gt;VALUE($D$3),$K393* 10000,$K393* 8000), 0)</f>
        <v>8000</v>
      </c>
      <c r="M393" s="53" t="s">
        <v>146</v>
      </c>
    </row>
    <row r="394" spans="1:13" ht="12.75" customHeight="1" x14ac:dyDescent="0.3">
      <c r="A394" s="71" t="s">
        <v>13</v>
      </c>
      <c r="B394" s="139" t="str">
        <f>IFERROR(VLOOKUP($A394, NameDesignation[], 2,FALSE), " ")</f>
        <v>Former Director</v>
      </c>
      <c r="C394" s="139" t="s">
        <v>30</v>
      </c>
      <c r="D394" s="139">
        <v>439</v>
      </c>
      <c r="E394" s="140">
        <v>44192</v>
      </c>
      <c r="F394" s="139" t="str">
        <f t="shared" si="18"/>
        <v>Q4-20</v>
      </c>
      <c r="G394" s="140" t="str">
        <f t="shared" si="19"/>
        <v>Dec'20</v>
      </c>
      <c r="H394" s="140" t="str">
        <f>TEXT(RawData[[#This Row],[Date]], "YYYY")</f>
        <v>2020</v>
      </c>
      <c r="I394" s="141" t="s">
        <v>32</v>
      </c>
      <c r="J394" s="141" t="s">
        <v>90</v>
      </c>
      <c r="K394" s="139">
        <f t="shared" si="20"/>
        <v>1</v>
      </c>
      <c r="L394" s="142">
        <f>IF(RawData[[#This Row],[Paid/Unpaid]]="Paid", IF(VALUE($E394)&gt;VALUE($D$3),$K394* 10000,$K394* 8000), 0)</f>
        <v>8000</v>
      </c>
      <c r="M394" s="53" t="s">
        <v>146</v>
      </c>
    </row>
    <row r="395" spans="1:13" ht="12.75" customHeight="1" x14ac:dyDescent="0.3">
      <c r="A395" s="71" t="s">
        <v>12</v>
      </c>
      <c r="B395" s="139" t="str">
        <f>IFERROR(VLOOKUP($A395, NameDesignation[], 2,FALSE), " ")</f>
        <v>Former Director</v>
      </c>
      <c r="C395" s="139" t="s">
        <v>30</v>
      </c>
      <c r="D395" s="139">
        <v>439</v>
      </c>
      <c r="E395" s="140">
        <v>44192</v>
      </c>
      <c r="F395" s="139" t="str">
        <f t="shared" si="18"/>
        <v>Q4-20</v>
      </c>
      <c r="G395" s="140" t="str">
        <f t="shared" si="19"/>
        <v>Dec'20</v>
      </c>
      <c r="H395" s="140" t="str">
        <f>TEXT(RawData[[#This Row],[Date]], "YYYY")</f>
        <v>2020</v>
      </c>
      <c r="I395" s="141" t="s">
        <v>32</v>
      </c>
      <c r="J395" s="141" t="s">
        <v>90</v>
      </c>
      <c r="K395" s="139">
        <f t="shared" si="20"/>
        <v>1</v>
      </c>
      <c r="L395" s="142">
        <f>IF(RawData[[#This Row],[Paid/Unpaid]]="Paid", IF(VALUE($E395)&gt;VALUE($D$3),$K395* 10000,$K395* 8000), 0)</f>
        <v>8000</v>
      </c>
      <c r="M395" s="53" t="s">
        <v>146</v>
      </c>
    </row>
    <row r="396" spans="1:13" ht="12.75" customHeight="1" x14ac:dyDescent="0.3">
      <c r="A396" s="71" t="s">
        <v>25</v>
      </c>
      <c r="B396" s="139" t="str">
        <f>IFERROR(VLOOKUP($A396, NameDesignation[], 2,FALSE), " ")</f>
        <v>Former Director</v>
      </c>
      <c r="C396" s="139" t="s">
        <v>30</v>
      </c>
      <c r="D396" s="139">
        <v>439</v>
      </c>
      <c r="E396" s="140">
        <v>44192</v>
      </c>
      <c r="F396" s="139" t="str">
        <f t="shared" si="18"/>
        <v>Q4-20</v>
      </c>
      <c r="G396" s="140" t="str">
        <f t="shared" si="19"/>
        <v>Dec'20</v>
      </c>
      <c r="H396" s="140" t="str">
        <f>TEXT(RawData[[#This Row],[Date]], "YYYY")</f>
        <v>2020</v>
      </c>
      <c r="I396" s="141" t="s">
        <v>32</v>
      </c>
      <c r="J396" s="141" t="s">
        <v>90</v>
      </c>
      <c r="K396" s="139">
        <f t="shared" si="20"/>
        <v>1</v>
      </c>
      <c r="L396" s="142">
        <f>IF(RawData[[#This Row],[Paid/Unpaid]]="Paid", IF(VALUE($E396)&gt;VALUE($D$3),$K396* 10000,$K396* 8000), 0)</f>
        <v>8000</v>
      </c>
      <c r="M396" s="53" t="s">
        <v>146</v>
      </c>
    </row>
    <row r="397" spans="1:13" ht="12.75" customHeight="1" x14ac:dyDescent="0.3">
      <c r="A397" s="143" t="s">
        <v>35</v>
      </c>
      <c r="B397" s="139" t="str">
        <f>IFERROR(VLOOKUP($A397, NameDesignation[], 2,FALSE), " ")</f>
        <v>Former Managing Director &amp; CEO</v>
      </c>
      <c r="C397" s="139" t="s">
        <v>29</v>
      </c>
      <c r="D397" s="139">
        <v>455</v>
      </c>
      <c r="E397" s="140">
        <v>44192</v>
      </c>
      <c r="F397" s="139" t="str">
        <f t="shared" si="18"/>
        <v>Q4-20</v>
      </c>
      <c r="G397" s="140" t="str">
        <f t="shared" si="19"/>
        <v>Dec'20</v>
      </c>
      <c r="H397" s="140" t="str">
        <f>TEXT(RawData[[#This Row],[Date]], "YYYY")</f>
        <v>2020</v>
      </c>
      <c r="I397" s="141" t="s">
        <v>32</v>
      </c>
      <c r="J397" s="141" t="s">
        <v>90</v>
      </c>
      <c r="K397" s="139">
        <f t="shared" si="20"/>
        <v>1</v>
      </c>
      <c r="L397" s="142">
        <f>IF(RawData[[#This Row],[Paid/Unpaid]]="Paid", IF(VALUE($E397)&gt;VALUE($D$3),$K397* 10000,$K397* 8000), 0)</f>
        <v>8000</v>
      </c>
      <c r="M397" s="53" t="s">
        <v>146</v>
      </c>
    </row>
    <row r="398" spans="1:13" ht="12.75" customHeight="1" x14ac:dyDescent="0.3">
      <c r="A398" s="143" t="s">
        <v>23</v>
      </c>
      <c r="B398" s="139" t="str">
        <f>IFERROR(VLOOKUP($A398, NameDesignation[], 2,FALSE), " ")</f>
        <v>Former Director</v>
      </c>
      <c r="C398" s="139" t="s">
        <v>37</v>
      </c>
      <c r="D398" s="139">
        <v>114</v>
      </c>
      <c r="E398" s="140">
        <v>44192</v>
      </c>
      <c r="F398" s="139" t="str">
        <f t="shared" si="18"/>
        <v>Q4-20</v>
      </c>
      <c r="G398" s="140" t="str">
        <f t="shared" si="19"/>
        <v>Dec'20</v>
      </c>
      <c r="H398" s="140" t="str">
        <f>TEXT(RawData[[#This Row],[Date]], "YYYY")</f>
        <v>2020</v>
      </c>
      <c r="I398" s="141" t="s">
        <v>32</v>
      </c>
      <c r="J398" s="141" t="s">
        <v>90</v>
      </c>
      <c r="K398" s="139">
        <f t="shared" si="20"/>
        <v>1</v>
      </c>
      <c r="L398" s="142">
        <f>IF(RawData[[#This Row],[Paid/Unpaid]]="Paid", IF(VALUE($E398)&gt;VALUE($D$3),$K398* 10000,$K398* 8000), 0)</f>
        <v>8000</v>
      </c>
      <c r="M398" s="53" t="s">
        <v>146</v>
      </c>
    </row>
    <row r="399" spans="1:13" ht="12.75" customHeight="1" x14ac:dyDescent="0.3">
      <c r="A399" s="143" t="s">
        <v>24</v>
      </c>
      <c r="B399" s="139" t="str">
        <f>IFERROR(VLOOKUP($A399, NameDesignation[], 2,FALSE), " ")</f>
        <v>Former Director</v>
      </c>
      <c r="C399" s="139" t="s">
        <v>37</v>
      </c>
      <c r="D399" s="139">
        <v>114</v>
      </c>
      <c r="E399" s="140">
        <v>44192</v>
      </c>
      <c r="F399" s="139" t="str">
        <f t="shared" si="18"/>
        <v>Q4-20</v>
      </c>
      <c r="G399" s="140" t="str">
        <f t="shared" si="19"/>
        <v>Dec'20</v>
      </c>
      <c r="H399" s="140" t="str">
        <f>TEXT(RawData[[#This Row],[Date]], "YYYY")</f>
        <v>2020</v>
      </c>
      <c r="I399" s="141" t="s">
        <v>32</v>
      </c>
      <c r="J399" s="141" t="s">
        <v>90</v>
      </c>
      <c r="K399" s="139">
        <f t="shared" si="20"/>
        <v>1</v>
      </c>
      <c r="L399" s="142">
        <f>IF(RawData[[#This Row],[Paid/Unpaid]]="Paid", IF(VALUE($E399)&gt;VALUE($D$3),$K399* 10000,$K399* 8000), 0)</f>
        <v>8000</v>
      </c>
      <c r="M399" s="53" t="s">
        <v>146</v>
      </c>
    </row>
    <row r="400" spans="1:13" ht="12.75" customHeight="1" x14ac:dyDescent="0.3">
      <c r="A400" s="143" t="s">
        <v>21</v>
      </c>
      <c r="B400" s="139" t="str">
        <f>IFERROR(VLOOKUP($A400, NameDesignation[], 2,FALSE), " ")</f>
        <v>Former Independent Director</v>
      </c>
      <c r="C400" s="139" t="s">
        <v>37</v>
      </c>
      <c r="D400" s="139">
        <v>114</v>
      </c>
      <c r="E400" s="140">
        <v>44192</v>
      </c>
      <c r="F400" s="139" t="str">
        <f t="shared" si="18"/>
        <v>Q4-20</v>
      </c>
      <c r="G400" s="140" t="str">
        <f t="shared" si="19"/>
        <v>Dec'20</v>
      </c>
      <c r="H400" s="140" t="str">
        <f>TEXT(RawData[[#This Row],[Date]], "YYYY")</f>
        <v>2020</v>
      </c>
      <c r="I400" s="141" t="s">
        <v>32</v>
      </c>
      <c r="J400" s="141" t="s">
        <v>90</v>
      </c>
      <c r="K400" s="139">
        <f t="shared" si="20"/>
        <v>1</v>
      </c>
      <c r="L400" s="142">
        <f>IF(RawData[[#This Row],[Paid/Unpaid]]="Paid", IF(VALUE($E400)&gt;VALUE($D$3),$K400* 10000,$K400* 8000), 0)</f>
        <v>8000</v>
      </c>
      <c r="M400" s="53" t="s">
        <v>146</v>
      </c>
    </row>
    <row r="401" spans="1:13" ht="12.75" customHeight="1" x14ac:dyDescent="0.3">
      <c r="A401" s="143" t="s">
        <v>18</v>
      </c>
      <c r="B401" s="139" t="str">
        <f>IFERROR(VLOOKUP($A401, NameDesignation[], 2,FALSE), " ")</f>
        <v>Former Independent Director</v>
      </c>
      <c r="C401" s="139" t="s">
        <v>37</v>
      </c>
      <c r="D401" s="139">
        <v>114</v>
      </c>
      <c r="E401" s="140">
        <v>44192</v>
      </c>
      <c r="F401" s="139" t="str">
        <f t="shared" si="18"/>
        <v>Q4-20</v>
      </c>
      <c r="G401" s="140" t="str">
        <f t="shared" si="19"/>
        <v>Dec'20</v>
      </c>
      <c r="H401" s="140" t="str">
        <f>TEXT(RawData[[#This Row],[Date]], "YYYY")</f>
        <v>2020</v>
      </c>
      <c r="I401" s="141" t="s">
        <v>32</v>
      </c>
      <c r="J401" s="141" t="s">
        <v>91</v>
      </c>
      <c r="K401" s="139">
        <f t="shared" si="20"/>
        <v>0</v>
      </c>
      <c r="L401" s="142">
        <f>IF(RawData[[#This Row],[Paid/Unpaid]]="Paid", IF(VALUE($E401)&gt;VALUE($D$3),$K401* 10000,$K401* 8000), 0)</f>
        <v>0</v>
      </c>
      <c r="M401" s="53" t="s">
        <v>146</v>
      </c>
    </row>
    <row r="402" spans="1:13" ht="12.75" customHeight="1" x14ac:dyDescent="0.3">
      <c r="A402" s="143" t="s">
        <v>27</v>
      </c>
      <c r="B402" s="139" t="str">
        <f>IFERROR(VLOOKUP($A402, NameDesignation[], 2,FALSE), " ")</f>
        <v>Former Director</v>
      </c>
      <c r="C402" s="139" t="s">
        <v>37</v>
      </c>
      <c r="D402" s="139">
        <v>114</v>
      </c>
      <c r="E402" s="140">
        <v>44192</v>
      </c>
      <c r="F402" s="139" t="str">
        <f t="shared" si="18"/>
        <v>Q4-20</v>
      </c>
      <c r="G402" s="140" t="str">
        <f t="shared" si="19"/>
        <v>Dec'20</v>
      </c>
      <c r="H402" s="140" t="str">
        <f>TEXT(RawData[[#This Row],[Date]], "YYYY")</f>
        <v>2020</v>
      </c>
      <c r="I402" s="141" t="s">
        <v>32</v>
      </c>
      <c r="J402" s="141" t="s">
        <v>91</v>
      </c>
      <c r="K402" s="139">
        <f t="shared" si="20"/>
        <v>0</v>
      </c>
      <c r="L402" s="142">
        <f>IF(RawData[[#This Row],[Paid/Unpaid]]="Paid", IF(VALUE($E402)&gt;VALUE($D$3),$K402* 10000,$K402* 8000), 0)</f>
        <v>0</v>
      </c>
      <c r="M402" s="53" t="s">
        <v>146</v>
      </c>
    </row>
    <row r="403" spans="1:13" ht="12.75" customHeight="1" x14ac:dyDescent="0.3">
      <c r="A403" s="143" t="s">
        <v>49</v>
      </c>
      <c r="B403" s="139" t="str">
        <f>IFERROR(VLOOKUP($A403, NameDesignation[], 2,FALSE), " ")</f>
        <v>Former Director</v>
      </c>
      <c r="C403" s="139" t="s">
        <v>38</v>
      </c>
      <c r="D403" s="139">
        <v>29</v>
      </c>
      <c r="E403" s="140">
        <v>44192</v>
      </c>
      <c r="F403" s="139" t="str">
        <f t="shared" si="18"/>
        <v>Q4-20</v>
      </c>
      <c r="G403" s="140" t="str">
        <f t="shared" si="19"/>
        <v>Dec'20</v>
      </c>
      <c r="H403" s="140" t="str">
        <f>TEXT(RawData[[#This Row],[Date]], "YYYY")</f>
        <v>2020</v>
      </c>
      <c r="I403" s="141" t="s">
        <v>32</v>
      </c>
      <c r="J403" s="141" t="s">
        <v>90</v>
      </c>
      <c r="K403" s="139">
        <f t="shared" si="20"/>
        <v>1</v>
      </c>
      <c r="L403" s="142">
        <f>IF(RawData[[#This Row],[Paid/Unpaid]]="Paid", IF(VALUE($E403)&gt;VALUE($D$3),$K403* 10000,$K403* 8000), 0)</f>
        <v>8000</v>
      </c>
      <c r="M403" s="53" t="s">
        <v>146</v>
      </c>
    </row>
    <row r="404" spans="1:13" ht="12.75" customHeight="1" x14ac:dyDescent="0.3">
      <c r="A404" s="143" t="s">
        <v>9</v>
      </c>
      <c r="B404" s="139" t="str">
        <f>IFERROR(VLOOKUP($A404, NameDesignation[], 2,FALSE), " ")</f>
        <v>Former Director</v>
      </c>
      <c r="C404" s="139" t="s">
        <v>38</v>
      </c>
      <c r="D404" s="139">
        <v>29</v>
      </c>
      <c r="E404" s="140">
        <v>44192</v>
      </c>
      <c r="F404" s="139" t="str">
        <f t="shared" si="18"/>
        <v>Q4-20</v>
      </c>
      <c r="G404" s="140" t="str">
        <f t="shared" si="19"/>
        <v>Dec'20</v>
      </c>
      <c r="H404" s="140" t="str">
        <f>TEXT(RawData[[#This Row],[Date]], "YYYY")</f>
        <v>2020</v>
      </c>
      <c r="I404" s="141" t="s">
        <v>32</v>
      </c>
      <c r="J404" s="141" t="s">
        <v>90</v>
      </c>
      <c r="K404" s="139">
        <f t="shared" si="20"/>
        <v>1</v>
      </c>
      <c r="L404" s="142">
        <f>IF(RawData[[#This Row],[Paid/Unpaid]]="Paid", IF(VALUE($E404)&gt;VALUE($D$3),$K404* 10000,$K404* 8000), 0)</f>
        <v>8000</v>
      </c>
      <c r="M404" s="53" t="s">
        <v>146</v>
      </c>
    </row>
    <row r="405" spans="1:13" ht="12.75" customHeight="1" x14ac:dyDescent="0.3">
      <c r="A405" s="143" t="s">
        <v>61</v>
      </c>
      <c r="B405" s="139" t="str">
        <f>IFERROR(VLOOKUP($A405, NameDesignation[], 2,FALSE), " ")</f>
        <v>Former Director</v>
      </c>
      <c r="C405" s="139" t="s">
        <v>38</v>
      </c>
      <c r="D405" s="139">
        <v>29</v>
      </c>
      <c r="E405" s="140">
        <v>44192</v>
      </c>
      <c r="F405" s="139" t="str">
        <f t="shared" si="18"/>
        <v>Q4-20</v>
      </c>
      <c r="G405" s="140" t="str">
        <f t="shared" si="19"/>
        <v>Dec'20</v>
      </c>
      <c r="H405" s="140" t="str">
        <f>TEXT(RawData[[#This Row],[Date]], "YYYY")</f>
        <v>2020</v>
      </c>
      <c r="I405" s="141" t="s">
        <v>32</v>
      </c>
      <c r="J405" s="141" t="s">
        <v>91</v>
      </c>
      <c r="K405" s="139">
        <f t="shared" si="20"/>
        <v>0</v>
      </c>
      <c r="L405" s="142">
        <f>IF(RawData[[#This Row],[Paid/Unpaid]]="Paid", IF(VALUE($E405)&gt;VALUE($D$3),$K405* 10000,$K405* 8000), 0)</f>
        <v>0</v>
      </c>
      <c r="M405" s="53" t="s">
        <v>146</v>
      </c>
    </row>
    <row r="406" spans="1:13" ht="12.75" customHeight="1" x14ac:dyDescent="0.3">
      <c r="A406" s="143" t="s">
        <v>15</v>
      </c>
      <c r="B406" s="139" t="str">
        <f>IFERROR(VLOOKUP($A406, NameDesignation[], 2,FALSE), " ")</f>
        <v>Former Director</v>
      </c>
      <c r="C406" s="139" t="s">
        <v>38</v>
      </c>
      <c r="D406" s="139">
        <v>29</v>
      </c>
      <c r="E406" s="140">
        <v>44192</v>
      </c>
      <c r="F406" s="139" t="str">
        <f t="shared" si="18"/>
        <v>Q4-20</v>
      </c>
      <c r="G406" s="140" t="str">
        <f t="shared" si="19"/>
        <v>Dec'20</v>
      </c>
      <c r="H406" s="140" t="str">
        <f>TEXT(RawData[[#This Row],[Date]], "YYYY")</f>
        <v>2020</v>
      </c>
      <c r="I406" s="141" t="s">
        <v>32</v>
      </c>
      <c r="J406" s="141" t="s">
        <v>90</v>
      </c>
      <c r="K406" s="139">
        <f t="shared" si="20"/>
        <v>1</v>
      </c>
      <c r="L406" s="142">
        <f>IF(RawData[[#This Row],[Paid/Unpaid]]="Paid", IF(VALUE($E406)&gt;VALUE($D$3),$K406* 10000,$K406* 8000), 0)</f>
        <v>8000</v>
      </c>
      <c r="M406" s="53" t="s">
        <v>146</v>
      </c>
    </row>
    <row r="407" spans="1:13" ht="12.75" customHeight="1" x14ac:dyDescent="0.3">
      <c r="A407" s="143" t="s">
        <v>137</v>
      </c>
      <c r="B407" s="139" t="str">
        <f>IFERROR(VLOOKUP($A407, NameDesignation[], 2,FALSE), " ")</f>
        <v>Former Director</v>
      </c>
      <c r="C407" s="139" t="s">
        <v>38</v>
      </c>
      <c r="D407" s="139">
        <v>29</v>
      </c>
      <c r="E407" s="140">
        <v>44192</v>
      </c>
      <c r="F407" s="139" t="str">
        <f t="shared" si="18"/>
        <v>Q4-20</v>
      </c>
      <c r="G407" s="140" t="str">
        <f t="shared" si="19"/>
        <v>Dec'20</v>
      </c>
      <c r="H407" s="140" t="str">
        <f>TEXT(RawData[[#This Row],[Date]], "YYYY")</f>
        <v>2020</v>
      </c>
      <c r="I407" s="141" t="s">
        <v>32</v>
      </c>
      <c r="J407" s="141" t="s">
        <v>91</v>
      </c>
      <c r="K407" s="139">
        <f t="shared" si="20"/>
        <v>0</v>
      </c>
      <c r="L407" s="142">
        <f>IF(RawData[[#This Row],[Paid/Unpaid]]="Paid", IF(VALUE($E407)&gt;VALUE($D$3),$K407* 10000,$K407* 8000), 0)</f>
        <v>0</v>
      </c>
      <c r="M407" s="53" t="s">
        <v>146</v>
      </c>
    </row>
    <row r="408" spans="1:13" ht="12.75" customHeight="1" x14ac:dyDescent="0.3">
      <c r="A408" s="71" t="s">
        <v>9</v>
      </c>
      <c r="B408" s="139" t="str">
        <f>IFERROR(VLOOKUP($A408, NameDesignation[], 2,FALSE), " ")</f>
        <v>Former Director</v>
      </c>
      <c r="C408" s="139" t="s">
        <v>30</v>
      </c>
      <c r="D408" s="139">
        <v>440</v>
      </c>
      <c r="E408" s="140">
        <v>44220</v>
      </c>
      <c r="F408" s="139" t="str">
        <f t="shared" si="18"/>
        <v>Q1-21</v>
      </c>
      <c r="G408" s="140" t="str">
        <f t="shared" si="19"/>
        <v>Jan'21</v>
      </c>
      <c r="H408" s="140" t="str">
        <f>TEXT(RawData[[#This Row],[Date]], "YYYY")</f>
        <v>2021</v>
      </c>
      <c r="I408" s="141" t="s">
        <v>32</v>
      </c>
      <c r="J408" s="141" t="s">
        <v>90</v>
      </c>
      <c r="K408" s="139">
        <f t="shared" si="20"/>
        <v>1</v>
      </c>
      <c r="L408" s="142">
        <f>IF(RawData[[#This Row],[Paid/Unpaid]]="Paid", IF(VALUE($E408)&gt;VALUE($D$3),$K408* 10000,$K408* 8000), 0)</f>
        <v>8000</v>
      </c>
      <c r="M408" s="53" t="s">
        <v>146</v>
      </c>
    </row>
    <row r="409" spans="1:13" ht="12.75" customHeight="1" x14ac:dyDescent="0.3">
      <c r="A409" s="71" t="s">
        <v>8</v>
      </c>
      <c r="B409" s="139" t="str">
        <f>IFERROR(VLOOKUP($A409, NameDesignation[], 2,FALSE), " ")</f>
        <v>Former Vice-Chairman</v>
      </c>
      <c r="C409" s="139" t="s">
        <v>30</v>
      </c>
      <c r="D409" s="139">
        <v>440</v>
      </c>
      <c r="E409" s="140">
        <v>44220</v>
      </c>
      <c r="F409" s="139" t="str">
        <f t="shared" si="18"/>
        <v>Q1-21</v>
      </c>
      <c r="G409" s="140" t="str">
        <f t="shared" si="19"/>
        <v>Jan'21</v>
      </c>
      <c r="H409" s="140" t="str">
        <f>TEXT(RawData[[#This Row],[Date]], "YYYY")</f>
        <v>2021</v>
      </c>
      <c r="I409" s="141" t="s">
        <v>32</v>
      </c>
      <c r="J409" s="141" t="s">
        <v>90</v>
      </c>
      <c r="K409" s="139">
        <f t="shared" si="20"/>
        <v>1</v>
      </c>
      <c r="L409" s="142">
        <f>IF(RawData[[#This Row],[Paid/Unpaid]]="Paid", IF(VALUE($E409)&gt;VALUE($D$3),$K409* 10000,$K409* 8000), 0)</f>
        <v>8000</v>
      </c>
      <c r="M409" s="53" t="s">
        <v>146</v>
      </c>
    </row>
    <row r="410" spans="1:13" ht="12.75" customHeight="1" x14ac:dyDescent="0.3">
      <c r="A410" s="71" t="s">
        <v>49</v>
      </c>
      <c r="B410" s="139" t="str">
        <f>IFERROR(VLOOKUP($A410, NameDesignation[], 2,FALSE), " ")</f>
        <v>Former Director</v>
      </c>
      <c r="C410" s="139" t="s">
        <v>30</v>
      </c>
      <c r="D410" s="139">
        <v>440</v>
      </c>
      <c r="E410" s="140">
        <v>44220</v>
      </c>
      <c r="F410" s="139" t="str">
        <f t="shared" si="18"/>
        <v>Q1-21</v>
      </c>
      <c r="G410" s="140" t="str">
        <f t="shared" si="19"/>
        <v>Jan'21</v>
      </c>
      <c r="H410" s="140" t="str">
        <f>TEXT(RawData[[#This Row],[Date]], "YYYY")</f>
        <v>2021</v>
      </c>
      <c r="I410" s="141" t="s">
        <v>32</v>
      </c>
      <c r="J410" s="141" t="s">
        <v>90</v>
      </c>
      <c r="K410" s="139">
        <f t="shared" si="20"/>
        <v>1</v>
      </c>
      <c r="L410" s="142">
        <f>IF(RawData[[#This Row],[Paid/Unpaid]]="Paid", IF(VALUE($E410)&gt;VALUE($D$3),$K410* 10000,$K410* 8000), 0)</f>
        <v>8000</v>
      </c>
      <c r="M410" s="53" t="s">
        <v>146</v>
      </c>
    </row>
    <row r="411" spans="1:13" ht="12.75" customHeight="1" x14ac:dyDescent="0.3">
      <c r="A411" s="71" t="s">
        <v>11</v>
      </c>
      <c r="B411" s="139" t="str">
        <f>IFERROR(VLOOKUP($A411, NameDesignation[], 2,FALSE), " ")</f>
        <v>Former Director</v>
      </c>
      <c r="C411" s="139" t="s">
        <v>30</v>
      </c>
      <c r="D411" s="139">
        <v>440</v>
      </c>
      <c r="E411" s="140">
        <v>44220</v>
      </c>
      <c r="F411" s="139" t="str">
        <f t="shared" si="18"/>
        <v>Q1-21</v>
      </c>
      <c r="G411" s="140" t="str">
        <f t="shared" si="19"/>
        <v>Jan'21</v>
      </c>
      <c r="H411" s="140" t="str">
        <f>TEXT(RawData[[#This Row],[Date]], "YYYY")</f>
        <v>2021</v>
      </c>
      <c r="I411" s="141" t="s">
        <v>32</v>
      </c>
      <c r="J411" s="141" t="s">
        <v>90</v>
      </c>
      <c r="K411" s="139">
        <f t="shared" si="20"/>
        <v>1</v>
      </c>
      <c r="L411" s="142">
        <f>IF(RawData[[#This Row],[Paid/Unpaid]]="Paid", IF(VALUE($E411)&gt;VALUE($D$3),$K411* 10000,$K411* 8000), 0)</f>
        <v>8000</v>
      </c>
      <c r="M411" s="53" t="s">
        <v>146</v>
      </c>
    </row>
    <row r="412" spans="1:13" ht="12.75" customHeight="1" x14ac:dyDescent="0.3">
      <c r="A412" s="71" t="s">
        <v>13</v>
      </c>
      <c r="B412" s="139" t="str">
        <f>IFERROR(VLOOKUP($A412, NameDesignation[], 2,FALSE), " ")</f>
        <v>Former Director</v>
      </c>
      <c r="C412" s="139" t="s">
        <v>30</v>
      </c>
      <c r="D412" s="139">
        <v>440</v>
      </c>
      <c r="E412" s="140">
        <v>44220</v>
      </c>
      <c r="F412" s="139" t="str">
        <f t="shared" si="18"/>
        <v>Q1-21</v>
      </c>
      <c r="G412" s="140" t="str">
        <f t="shared" si="19"/>
        <v>Jan'21</v>
      </c>
      <c r="H412" s="140" t="str">
        <f>TEXT(RawData[[#This Row],[Date]], "YYYY")</f>
        <v>2021</v>
      </c>
      <c r="I412" s="141" t="s">
        <v>32</v>
      </c>
      <c r="J412" s="141" t="s">
        <v>90</v>
      </c>
      <c r="K412" s="139">
        <f t="shared" si="20"/>
        <v>1</v>
      </c>
      <c r="L412" s="142">
        <f>IF(RawData[[#This Row],[Paid/Unpaid]]="Paid", IF(VALUE($E412)&gt;VALUE($D$3),$K412* 10000,$K412* 8000), 0)</f>
        <v>8000</v>
      </c>
      <c r="M412" s="53" t="s">
        <v>146</v>
      </c>
    </row>
    <row r="413" spans="1:13" ht="12.75" customHeight="1" x14ac:dyDescent="0.3">
      <c r="A413" s="71" t="s">
        <v>12</v>
      </c>
      <c r="B413" s="139" t="str">
        <f>IFERROR(VLOOKUP($A413, NameDesignation[], 2,FALSE), " ")</f>
        <v>Former Director</v>
      </c>
      <c r="C413" s="139" t="s">
        <v>30</v>
      </c>
      <c r="D413" s="139">
        <v>440</v>
      </c>
      <c r="E413" s="140">
        <v>44220</v>
      </c>
      <c r="F413" s="139" t="str">
        <f t="shared" si="18"/>
        <v>Q1-21</v>
      </c>
      <c r="G413" s="140" t="str">
        <f t="shared" si="19"/>
        <v>Jan'21</v>
      </c>
      <c r="H413" s="140" t="str">
        <f>TEXT(RawData[[#This Row],[Date]], "YYYY")</f>
        <v>2021</v>
      </c>
      <c r="I413" s="141" t="s">
        <v>32</v>
      </c>
      <c r="J413" s="141" t="s">
        <v>90</v>
      </c>
      <c r="K413" s="139">
        <f t="shared" si="20"/>
        <v>1</v>
      </c>
      <c r="L413" s="142">
        <f>IF(RawData[[#This Row],[Paid/Unpaid]]="Paid", IF(VALUE($E413)&gt;VALUE($D$3),$K413* 10000,$K413* 8000), 0)</f>
        <v>8000</v>
      </c>
      <c r="M413" s="53" t="s">
        <v>146</v>
      </c>
    </row>
    <row r="414" spans="1:13" ht="12.75" customHeight="1" x14ac:dyDescent="0.3">
      <c r="A414" s="71" t="s">
        <v>25</v>
      </c>
      <c r="B414" s="139" t="str">
        <f>IFERROR(VLOOKUP($A414, NameDesignation[], 2,FALSE), " ")</f>
        <v>Former Director</v>
      </c>
      <c r="C414" s="139" t="s">
        <v>30</v>
      </c>
      <c r="D414" s="139">
        <v>440</v>
      </c>
      <c r="E414" s="140">
        <v>44220</v>
      </c>
      <c r="F414" s="139" t="str">
        <f t="shared" si="18"/>
        <v>Q1-21</v>
      </c>
      <c r="G414" s="140" t="str">
        <f t="shared" si="19"/>
        <v>Jan'21</v>
      </c>
      <c r="H414" s="140" t="str">
        <f>TEXT(RawData[[#This Row],[Date]], "YYYY")</f>
        <v>2021</v>
      </c>
      <c r="I414" s="141" t="s">
        <v>32</v>
      </c>
      <c r="J414" s="141" t="s">
        <v>91</v>
      </c>
      <c r="K414" s="139">
        <f t="shared" si="20"/>
        <v>0</v>
      </c>
      <c r="L414" s="142">
        <f>IF(RawData[[#This Row],[Paid/Unpaid]]="Paid", IF(VALUE($E414)&gt;VALUE($D$3),$K414* 10000,$K414* 8000), 0)</f>
        <v>0</v>
      </c>
      <c r="M414" s="53" t="s">
        <v>146</v>
      </c>
    </row>
    <row r="415" spans="1:13" ht="12.75" customHeight="1" x14ac:dyDescent="0.3">
      <c r="A415" s="143" t="s">
        <v>7</v>
      </c>
      <c r="B415" s="139" t="str">
        <f>IFERROR(VLOOKUP($A415, NameDesignation[], 2,FALSE), " ")</f>
        <v>Former Director</v>
      </c>
      <c r="C415" s="139" t="s">
        <v>29</v>
      </c>
      <c r="D415" s="139">
        <v>456</v>
      </c>
      <c r="E415" s="140">
        <v>44220</v>
      </c>
      <c r="F415" s="139" t="str">
        <f t="shared" si="18"/>
        <v>Q1-21</v>
      </c>
      <c r="G415" s="140" t="str">
        <f t="shared" si="19"/>
        <v>Jan'21</v>
      </c>
      <c r="H415" s="140" t="str">
        <f>TEXT(RawData[[#This Row],[Date]], "YYYY")</f>
        <v>2021</v>
      </c>
      <c r="I415" s="141" t="s">
        <v>32</v>
      </c>
      <c r="J415" s="141" t="s">
        <v>90</v>
      </c>
      <c r="K415" s="139">
        <f t="shared" si="20"/>
        <v>1</v>
      </c>
      <c r="L415" s="142">
        <f>IF(RawData[[#This Row],[Paid/Unpaid]]="Paid", IF(VALUE($E415)&gt;VALUE($D$3),$K415* 10000,$K415* 8000), 0)</f>
        <v>8000</v>
      </c>
      <c r="M415" s="53" t="s">
        <v>146</v>
      </c>
    </row>
    <row r="416" spans="1:13" ht="12.75" customHeight="1" x14ac:dyDescent="0.3">
      <c r="A416" s="143" t="s">
        <v>8</v>
      </c>
      <c r="B416" s="139" t="str">
        <f>IFERROR(VLOOKUP($A416, NameDesignation[], 2,FALSE), " ")</f>
        <v>Former Vice-Chairman</v>
      </c>
      <c r="C416" s="139" t="s">
        <v>29</v>
      </c>
      <c r="D416" s="139">
        <v>456</v>
      </c>
      <c r="E416" s="140">
        <v>44220</v>
      </c>
      <c r="F416" s="139" t="str">
        <f t="shared" si="18"/>
        <v>Q1-21</v>
      </c>
      <c r="G416" s="140" t="str">
        <f t="shared" si="19"/>
        <v>Jan'21</v>
      </c>
      <c r="H416" s="140" t="str">
        <f>TEXT(RawData[[#This Row],[Date]], "YYYY")</f>
        <v>2021</v>
      </c>
      <c r="I416" s="141" t="s">
        <v>32</v>
      </c>
      <c r="J416" s="141" t="s">
        <v>90</v>
      </c>
      <c r="K416" s="139">
        <f t="shared" si="20"/>
        <v>1</v>
      </c>
      <c r="L416" s="142">
        <f>IF(RawData[[#This Row],[Paid/Unpaid]]="Paid", IF(VALUE($E416)&gt;VALUE($D$3),$K416* 10000,$K416* 8000), 0)</f>
        <v>8000</v>
      </c>
      <c r="M416" s="53" t="s">
        <v>146</v>
      </c>
    </row>
    <row r="417" spans="1:13" ht="12.75" customHeight="1" x14ac:dyDescent="0.3">
      <c r="A417" s="143" t="s">
        <v>9</v>
      </c>
      <c r="B417" s="139" t="str">
        <f>IFERROR(VLOOKUP($A417, NameDesignation[], 2,FALSE), " ")</f>
        <v>Former Director</v>
      </c>
      <c r="C417" s="139" t="s">
        <v>29</v>
      </c>
      <c r="D417" s="139">
        <v>456</v>
      </c>
      <c r="E417" s="140">
        <v>44220</v>
      </c>
      <c r="F417" s="139" t="str">
        <f t="shared" si="18"/>
        <v>Q1-21</v>
      </c>
      <c r="G417" s="140" t="str">
        <f t="shared" si="19"/>
        <v>Jan'21</v>
      </c>
      <c r="H417" s="140" t="str">
        <f>TEXT(RawData[[#This Row],[Date]], "YYYY")</f>
        <v>2021</v>
      </c>
      <c r="I417" s="141" t="s">
        <v>32</v>
      </c>
      <c r="J417" s="141" t="s">
        <v>90</v>
      </c>
      <c r="K417" s="139">
        <f t="shared" si="20"/>
        <v>1</v>
      </c>
      <c r="L417" s="142">
        <f>IF(RawData[[#This Row],[Paid/Unpaid]]="Paid", IF(VALUE($E417)&gt;VALUE($D$3),$K417* 10000,$K417* 8000), 0)</f>
        <v>8000</v>
      </c>
      <c r="M417" s="53" t="s">
        <v>146</v>
      </c>
    </row>
    <row r="418" spans="1:13" ht="12.75" customHeight="1" x14ac:dyDescent="0.3">
      <c r="A418" s="143" t="s">
        <v>20</v>
      </c>
      <c r="B418" s="139" t="str">
        <f>IFERROR(VLOOKUP($A418, NameDesignation[], 2,FALSE), " ")</f>
        <v>Former Independent Director</v>
      </c>
      <c r="C418" s="139" t="s">
        <v>29</v>
      </c>
      <c r="D418" s="139">
        <v>456</v>
      </c>
      <c r="E418" s="140">
        <v>44220</v>
      </c>
      <c r="F418" s="139" t="str">
        <f t="shared" si="18"/>
        <v>Q1-21</v>
      </c>
      <c r="G418" s="140" t="str">
        <f t="shared" si="19"/>
        <v>Jan'21</v>
      </c>
      <c r="H418" s="140" t="str">
        <f>TEXT(RawData[[#This Row],[Date]], "YYYY")</f>
        <v>2021</v>
      </c>
      <c r="I418" s="141" t="s">
        <v>32</v>
      </c>
      <c r="J418" s="141" t="s">
        <v>91</v>
      </c>
      <c r="K418" s="139">
        <f t="shared" si="20"/>
        <v>0</v>
      </c>
      <c r="L418" s="142">
        <f>IF(RawData[[#This Row],[Paid/Unpaid]]="Paid", IF(VALUE($E418)&gt;VALUE($D$3),$K418* 10000,$K418* 8000), 0)</f>
        <v>0</v>
      </c>
      <c r="M418" s="53" t="s">
        <v>146</v>
      </c>
    </row>
    <row r="419" spans="1:13" ht="12.75" customHeight="1" x14ac:dyDescent="0.3">
      <c r="A419" s="143" t="s">
        <v>49</v>
      </c>
      <c r="B419" s="139" t="str">
        <f>IFERROR(VLOOKUP($A419, NameDesignation[], 2,FALSE), " ")</f>
        <v>Former Director</v>
      </c>
      <c r="C419" s="139" t="s">
        <v>29</v>
      </c>
      <c r="D419" s="139">
        <v>456</v>
      </c>
      <c r="E419" s="140">
        <v>44220</v>
      </c>
      <c r="F419" s="139" t="str">
        <f t="shared" si="18"/>
        <v>Q1-21</v>
      </c>
      <c r="G419" s="140" t="str">
        <f t="shared" si="19"/>
        <v>Jan'21</v>
      </c>
      <c r="H419" s="140" t="str">
        <f>TEXT(RawData[[#This Row],[Date]], "YYYY")</f>
        <v>2021</v>
      </c>
      <c r="I419" s="141" t="s">
        <v>32</v>
      </c>
      <c r="J419" s="141" t="s">
        <v>90</v>
      </c>
      <c r="K419" s="139">
        <f t="shared" si="20"/>
        <v>1</v>
      </c>
      <c r="L419" s="142">
        <f>IF(RawData[[#This Row],[Paid/Unpaid]]="Paid", IF(VALUE($E419)&gt;VALUE($D$3),$K419* 10000,$K419* 8000), 0)</f>
        <v>8000</v>
      </c>
      <c r="M419" s="53" t="s">
        <v>146</v>
      </c>
    </row>
    <row r="420" spans="1:13" ht="12.75" customHeight="1" x14ac:dyDescent="0.3">
      <c r="A420" s="143" t="s">
        <v>11</v>
      </c>
      <c r="B420" s="139" t="str">
        <f>IFERROR(VLOOKUP($A420, NameDesignation[], 2,FALSE), " ")</f>
        <v>Former Director</v>
      </c>
      <c r="C420" s="139" t="s">
        <v>29</v>
      </c>
      <c r="D420" s="139">
        <v>456</v>
      </c>
      <c r="E420" s="140">
        <v>44220</v>
      </c>
      <c r="F420" s="139" t="str">
        <f t="shared" si="18"/>
        <v>Q1-21</v>
      </c>
      <c r="G420" s="140" t="str">
        <f t="shared" si="19"/>
        <v>Jan'21</v>
      </c>
      <c r="H420" s="140" t="str">
        <f>TEXT(RawData[[#This Row],[Date]], "YYYY")</f>
        <v>2021</v>
      </c>
      <c r="I420" s="141" t="s">
        <v>32</v>
      </c>
      <c r="J420" s="141" t="s">
        <v>90</v>
      </c>
      <c r="K420" s="139">
        <f t="shared" si="20"/>
        <v>1</v>
      </c>
      <c r="L420" s="142">
        <f>IF(RawData[[#This Row],[Paid/Unpaid]]="Paid", IF(VALUE($E420)&gt;VALUE($D$3),$K420* 10000,$K420* 8000), 0)</f>
        <v>8000</v>
      </c>
      <c r="M420" s="53" t="s">
        <v>146</v>
      </c>
    </row>
    <row r="421" spans="1:13" ht="12.75" customHeight="1" x14ac:dyDescent="0.3">
      <c r="A421" s="143" t="s">
        <v>12</v>
      </c>
      <c r="B421" s="139" t="str">
        <f>IFERROR(VLOOKUP($A421, NameDesignation[], 2,FALSE), " ")</f>
        <v>Former Director</v>
      </c>
      <c r="C421" s="139" t="s">
        <v>29</v>
      </c>
      <c r="D421" s="139">
        <v>456</v>
      </c>
      <c r="E421" s="140">
        <v>44220</v>
      </c>
      <c r="F421" s="139" t="str">
        <f t="shared" si="18"/>
        <v>Q1-21</v>
      </c>
      <c r="G421" s="140" t="str">
        <f t="shared" si="19"/>
        <v>Jan'21</v>
      </c>
      <c r="H421" s="140" t="str">
        <f>TEXT(RawData[[#This Row],[Date]], "YYYY")</f>
        <v>2021</v>
      </c>
      <c r="I421" s="141" t="s">
        <v>32</v>
      </c>
      <c r="J421" s="141" t="s">
        <v>90</v>
      </c>
      <c r="K421" s="139">
        <f t="shared" si="20"/>
        <v>1</v>
      </c>
      <c r="L421" s="142">
        <f>IF(RawData[[#This Row],[Paid/Unpaid]]="Paid", IF(VALUE($E421)&gt;VALUE($D$3),$K421* 10000,$K421* 8000), 0)</f>
        <v>8000</v>
      </c>
      <c r="M421" s="53" t="s">
        <v>146</v>
      </c>
    </row>
    <row r="422" spans="1:13" ht="12.75" customHeight="1" x14ac:dyDescent="0.3">
      <c r="A422" s="143" t="s">
        <v>137</v>
      </c>
      <c r="B422" s="139" t="str">
        <f>IFERROR(VLOOKUP($A422, NameDesignation[], 2,FALSE), " ")</f>
        <v>Former Director</v>
      </c>
      <c r="C422" s="139" t="s">
        <v>29</v>
      </c>
      <c r="D422" s="139">
        <v>456</v>
      </c>
      <c r="E422" s="140">
        <v>44220</v>
      </c>
      <c r="F422" s="139" t="str">
        <f t="shared" si="18"/>
        <v>Q1-21</v>
      </c>
      <c r="G422" s="140" t="str">
        <f t="shared" si="19"/>
        <v>Jan'21</v>
      </c>
      <c r="H422" s="140" t="str">
        <f>TEXT(RawData[[#This Row],[Date]], "YYYY")</f>
        <v>2021</v>
      </c>
      <c r="I422" s="141" t="s">
        <v>32</v>
      </c>
      <c r="J422" s="141" t="s">
        <v>90</v>
      </c>
      <c r="K422" s="139">
        <f t="shared" si="20"/>
        <v>1</v>
      </c>
      <c r="L422" s="142">
        <f>IF(RawData[[#This Row],[Paid/Unpaid]]="Paid", IF(VALUE($E422)&gt;VALUE($D$3),$K422* 10000,$K422* 8000), 0)</f>
        <v>8000</v>
      </c>
      <c r="M422" s="53" t="s">
        <v>146</v>
      </c>
    </row>
    <row r="423" spans="1:13" ht="12.75" customHeight="1" x14ac:dyDescent="0.3">
      <c r="A423" s="143" t="s">
        <v>13</v>
      </c>
      <c r="B423" s="139" t="str">
        <f>IFERROR(VLOOKUP($A423, NameDesignation[], 2,FALSE), " ")</f>
        <v>Former Director</v>
      </c>
      <c r="C423" s="139" t="s">
        <v>29</v>
      </c>
      <c r="D423" s="139">
        <v>456</v>
      </c>
      <c r="E423" s="140">
        <v>44220</v>
      </c>
      <c r="F423" s="139" t="str">
        <f t="shared" si="18"/>
        <v>Q1-21</v>
      </c>
      <c r="G423" s="140" t="str">
        <f t="shared" si="19"/>
        <v>Jan'21</v>
      </c>
      <c r="H423" s="140" t="str">
        <f>TEXT(RawData[[#This Row],[Date]], "YYYY")</f>
        <v>2021</v>
      </c>
      <c r="I423" s="141" t="s">
        <v>32</v>
      </c>
      <c r="J423" s="141" t="s">
        <v>90</v>
      </c>
      <c r="K423" s="139">
        <f t="shared" si="20"/>
        <v>1</v>
      </c>
      <c r="L423" s="142">
        <f>IF(RawData[[#This Row],[Paid/Unpaid]]="Paid", IF(VALUE($E423)&gt;VALUE($D$3),$K423* 10000,$K423* 8000), 0)</f>
        <v>8000</v>
      </c>
      <c r="M423" s="53" t="s">
        <v>146</v>
      </c>
    </row>
    <row r="424" spans="1:13" ht="12.75" customHeight="1" x14ac:dyDescent="0.3">
      <c r="A424" s="143" t="s">
        <v>61</v>
      </c>
      <c r="B424" s="139" t="str">
        <f>IFERROR(VLOOKUP($A424, NameDesignation[], 2,FALSE), " ")</f>
        <v>Former Director</v>
      </c>
      <c r="C424" s="139" t="s">
        <v>29</v>
      </c>
      <c r="D424" s="139">
        <v>456</v>
      </c>
      <c r="E424" s="140">
        <v>44220</v>
      </c>
      <c r="F424" s="139" t="str">
        <f t="shared" si="18"/>
        <v>Q1-21</v>
      </c>
      <c r="G424" s="140" t="str">
        <f t="shared" si="19"/>
        <v>Jan'21</v>
      </c>
      <c r="H424" s="140" t="str">
        <f>TEXT(RawData[[#This Row],[Date]], "YYYY")</f>
        <v>2021</v>
      </c>
      <c r="I424" s="141" t="s">
        <v>32</v>
      </c>
      <c r="J424" s="141" t="s">
        <v>90</v>
      </c>
      <c r="K424" s="139">
        <f t="shared" si="20"/>
        <v>1</v>
      </c>
      <c r="L424" s="142">
        <f>IF(RawData[[#This Row],[Paid/Unpaid]]="Paid", IF(VALUE($E424)&gt;VALUE($D$3),$K424* 10000,$K424* 8000), 0)</f>
        <v>8000</v>
      </c>
      <c r="M424" s="53" t="s">
        <v>146</v>
      </c>
    </row>
    <row r="425" spans="1:13" ht="12.75" customHeight="1" x14ac:dyDescent="0.3">
      <c r="A425" s="143" t="s">
        <v>23</v>
      </c>
      <c r="B425" s="139" t="str">
        <f>IFERROR(VLOOKUP($A425, NameDesignation[], 2,FALSE), " ")</f>
        <v>Former Director</v>
      </c>
      <c r="C425" s="139" t="s">
        <v>29</v>
      </c>
      <c r="D425" s="139">
        <v>456</v>
      </c>
      <c r="E425" s="140">
        <v>44220</v>
      </c>
      <c r="F425" s="139" t="str">
        <f t="shared" si="18"/>
        <v>Q1-21</v>
      </c>
      <c r="G425" s="140" t="str">
        <f t="shared" si="19"/>
        <v>Jan'21</v>
      </c>
      <c r="H425" s="140" t="str">
        <f>TEXT(RawData[[#This Row],[Date]], "YYYY")</f>
        <v>2021</v>
      </c>
      <c r="I425" s="141" t="s">
        <v>32</v>
      </c>
      <c r="J425" s="141" t="s">
        <v>90</v>
      </c>
      <c r="K425" s="139">
        <f t="shared" si="20"/>
        <v>1</v>
      </c>
      <c r="L425" s="142">
        <f>IF(RawData[[#This Row],[Paid/Unpaid]]="Paid", IF(VALUE($E425)&gt;VALUE($D$3),$K425* 10000,$K425* 8000), 0)</f>
        <v>8000</v>
      </c>
      <c r="M425" s="53" t="s">
        <v>146</v>
      </c>
    </row>
    <row r="426" spans="1:13" ht="12.75" customHeight="1" x14ac:dyDescent="0.3">
      <c r="A426" s="143" t="s">
        <v>24</v>
      </c>
      <c r="B426" s="139" t="str">
        <f>IFERROR(VLOOKUP($A426, NameDesignation[], 2,FALSE), " ")</f>
        <v>Former Director</v>
      </c>
      <c r="C426" s="139" t="s">
        <v>29</v>
      </c>
      <c r="D426" s="139">
        <v>456</v>
      </c>
      <c r="E426" s="140">
        <v>44220</v>
      </c>
      <c r="F426" s="139" t="str">
        <f t="shared" si="18"/>
        <v>Q1-21</v>
      </c>
      <c r="G426" s="140" t="str">
        <f t="shared" si="19"/>
        <v>Jan'21</v>
      </c>
      <c r="H426" s="140" t="str">
        <f>TEXT(RawData[[#This Row],[Date]], "YYYY")</f>
        <v>2021</v>
      </c>
      <c r="I426" s="141" t="s">
        <v>32</v>
      </c>
      <c r="J426" s="141" t="s">
        <v>90</v>
      </c>
      <c r="K426" s="139">
        <f t="shared" si="20"/>
        <v>1</v>
      </c>
      <c r="L426" s="142">
        <f>IF(RawData[[#This Row],[Paid/Unpaid]]="Paid", IF(VALUE($E426)&gt;VALUE($D$3),$K426* 10000,$K426* 8000), 0)</f>
        <v>8000</v>
      </c>
      <c r="M426" s="53" t="s">
        <v>146</v>
      </c>
    </row>
    <row r="427" spans="1:13" ht="12.75" customHeight="1" x14ac:dyDescent="0.3">
      <c r="A427" s="143" t="s">
        <v>15</v>
      </c>
      <c r="B427" s="139" t="str">
        <f>IFERROR(VLOOKUP($A427, NameDesignation[], 2,FALSE), " ")</f>
        <v>Former Director</v>
      </c>
      <c r="C427" s="139" t="s">
        <v>29</v>
      </c>
      <c r="D427" s="139">
        <v>456</v>
      </c>
      <c r="E427" s="140">
        <v>44220</v>
      </c>
      <c r="F427" s="139" t="str">
        <f t="shared" si="18"/>
        <v>Q1-21</v>
      </c>
      <c r="G427" s="140" t="str">
        <f t="shared" si="19"/>
        <v>Jan'21</v>
      </c>
      <c r="H427" s="140" t="str">
        <f>TEXT(RawData[[#This Row],[Date]], "YYYY")</f>
        <v>2021</v>
      </c>
      <c r="I427" s="141" t="s">
        <v>32</v>
      </c>
      <c r="J427" s="141" t="s">
        <v>90</v>
      </c>
      <c r="K427" s="139">
        <f t="shared" si="20"/>
        <v>1</v>
      </c>
      <c r="L427" s="142">
        <f>IF(RawData[[#This Row],[Paid/Unpaid]]="Paid", IF(VALUE($E427)&gt;VALUE($D$3),$K427* 10000,$K427* 8000), 0)</f>
        <v>8000</v>
      </c>
      <c r="M427" s="53" t="s">
        <v>146</v>
      </c>
    </row>
    <row r="428" spans="1:13" ht="12.75" customHeight="1" x14ac:dyDescent="0.3">
      <c r="A428" s="143" t="s">
        <v>21</v>
      </c>
      <c r="B428" s="139" t="str">
        <f>IFERROR(VLOOKUP($A428, NameDesignation[], 2,FALSE), " ")</f>
        <v>Former Independent Director</v>
      </c>
      <c r="C428" s="139" t="s">
        <v>29</v>
      </c>
      <c r="D428" s="139">
        <v>456</v>
      </c>
      <c r="E428" s="140">
        <v>44220</v>
      </c>
      <c r="F428" s="139" t="str">
        <f t="shared" si="18"/>
        <v>Q1-21</v>
      </c>
      <c r="G428" s="140" t="str">
        <f t="shared" si="19"/>
        <v>Jan'21</v>
      </c>
      <c r="H428" s="140" t="str">
        <f>TEXT(RawData[[#This Row],[Date]], "YYYY")</f>
        <v>2021</v>
      </c>
      <c r="I428" s="141" t="s">
        <v>32</v>
      </c>
      <c r="J428" s="141" t="s">
        <v>90</v>
      </c>
      <c r="K428" s="139">
        <f t="shared" si="20"/>
        <v>1</v>
      </c>
      <c r="L428" s="142">
        <f>IF(RawData[[#This Row],[Paid/Unpaid]]="Paid", IF(VALUE($E428)&gt;VALUE($D$3),$K428* 10000,$K428* 8000), 0)</f>
        <v>8000</v>
      </c>
      <c r="M428" s="53" t="s">
        <v>146</v>
      </c>
    </row>
    <row r="429" spans="1:13" ht="12.75" customHeight="1" x14ac:dyDescent="0.3">
      <c r="A429" s="143" t="s">
        <v>25</v>
      </c>
      <c r="B429" s="139" t="str">
        <f>IFERROR(VLOOKUP($A429, NameDesignation[], 2,FALSE), " ")</f>
        <v>Former Director</v>
      </c>
      <c r="C429" s="139" t="s">
        <v>29</v>
      </c>
      <c r="D429" s="139">
        <v>456</v>
      </c>
      <c r="E429" s="140">
        <v>44220</v>
      </c>
      <c r="F429" s="139" t="str">
        <f t="shared" si="18"/>
        <v>Q1-21</v>
      </c>
      <c r="G429" s="140" t="str">
        <f t="shared" si="19"/>
        <v>Jan'21</v>
      </c>
      <c r="H429" s="140" t="str">
        <f>TEXT(RawData[[#This Row],[Date]], "YYYY")</f>
        <v>2021</v>
      </c>
      <c r="I429" s="141" t="s">
        <v>32</v>
      </c>
      <c r="J429" s="141" t="s">
        <v>91</v>
      </c>
      <c r="K429" s="139">
        <f t="shared" si="20"/>
        <v>0</v>
      </c>
      <c r="L429" s="142">
        <f>IF(RawData[[#This Row],[Paid/Unpaid]]="Paid", IF(VALUE($E429)&gt;VALUE($D$3),$K429* 10000,$K429* 8000), 0)</f>
        <v>0</v>
      </c>
      <c r="M429" s="53" t="s">
        <v>146</v>
      </c>
    </row>
    <row r="430" spans="1:13" ht="12.75" customHeight="1" x14ac:dyDescent="0.3">
      <c r="A430" s="143" t="s">
        <v>50</v>
      </c>
      <c r="B430" s="139" t="str">
        <f>IFERROR(VLOOKUP($A430, NameDesignation[], 2,FALSE), " ")</f>
        <v>Former Director</v>
      </c>
      <c r="C430" s="139" t="s">
        <v>29</v>
      </c>
      <c r="D430" s="139">
        <v>456</v>
      </c>
      <c r="E430" s="140">
        <v>44220</v>
      </c>
      <c r="F430" s="139" t="str">
        <f t="shared" si="18"/>
        <v>Q1-21</v>
      </c>
      <c r="G430" s="140" t="str">
        <f t="shared" si="19"/>
        <v>Jan'21</v>
      </c>
      <c r="H430" s="140" t="str">
        <f>TEXT(RawData[[#This Row],[Date]], "YYYY")</f>
        <v>2021</v>
      </c>
      <c r="I430" s="141" t="s">
        <v>32</v>
      </c>
      <c r="J430" s="141" t="s">
        <v>90</v>
      </c>
      <c r="K430" s="139">
        <f t="shared" si="20"/>
        <v>1</v>
      </c>
      <c r="L430" s="142">
        <f>IF(RawData[[#This Row],[Paid/Unpaid]]="Paid", IF(VALUE($E430)&gt;VALUE($D$3),$K430* 10000,$K430* 8000), 0)</f>
        <v>8000</v>
      </c>
      <c r="M430" s="53" t="s">
        <v>146</v>
      </c>
    </row>
    <row r="431" spans="1:13" ht="12.75" customHeight="1" x14ac:dyDescent="0.3">
      <c r="A431" s="143" t="s">
        <v>51</v>
      </c>
      <c r="B431" s="139" t="str">
        <f>IFERROR(VLOOKUP($A431, NameDesignation[], 2,FALSE), " ")</f>
        <v>Former Director</v>
      </c>
      <c r="C431" s="139" t="s">
        <v>29</v>
      </c>
      <c r="D431" s="139">
        <v>456</v>
      </c>
      <c r="E431" s="140">
        <v>44220</v>
      </c>
      <c r="F431" s="139" t="str">
        <f t="shared" si="18"/>
        <v>Q1-21</v>
      </c>
      <c r="G431" s="140" t="str">
        <f t="shared" si="19"/>
        <v>Jan'21</v>
      </c>
      <c r="H431" s="140" t="str">
        <f>TEXT(RawData[[#This Row],[Date]], "YYYY")</f>
        <v>2021</v>
      </c>
      <c r="I431" s="141" t="s">
        <v>32</v>
      </c>
      <c r="J431" s="141" t="s">
        <v>90</v>
      </c>
      <c r="K431" s="139">
        <f t="shared" si="20"/>
        <v>1</v>
      </c>
      <c r="L431" s="142">
        <f>IF(RawData[[#This Row],[Paid/Unpaid]]="Paid", IF(VALUE($E431)&gt;VALUE($D$3),$K431* 10000,$K431* 8000), 0)</f>
        <v>8000</v>
      </c>
      <c r="M431" s="53" t="s">
        <v>146</v>
      </c>
    </row>
    <row r="432" spans="1:13" ht="12.75" customHeight="1" x14ac:dyDescent="0.3">
      <c r="A432" s="143" t="s">
        <v>27</v>
      </c>
      <c r="B432" s="139" t="str">
        <f>IFERROR(VLOOKUP($A432, NameDesignation[], 2,FALSE), " ")</f>
        <v>Former Director</v>
      </c>
      <c r="C432" s="139" t="s">
        <v>29</v>
      </c>
      <c r="D432" s="139">
        <v>456</v>
      </c>
      <c r="E432" s="140">
        <v>44220</v>
      </c>
      <c r="F432" s="139" t="str">
        <f t="shared" si="18"/>
        <v>Q1-21</v>
      </c>
      <c r="G432" s="140" t="str">
        <f t="shared" si="19"/>
        <v>Jan'21</v>
      </c>
      <c r="H432" s="140" t="str">
        <f>TEXT(RawData[[#This Row],[Date]], "YYYY")</f>
        <v>2021</v>
      </c>
      <c r="I432" s="141" t="s">
        <v>32</v>
      </c>
      <c r="J432" s="141" t="s">
        <v>91</v>
      </c>
      <c r="K432" s="139">
        <f t="shared" si="20"/>
        <v>0</v>
      </c>
      <c r="L432" s="142">
        <f>IF(RawData[[#This Row],[Paid/Unpaid]]="Paid", IF(VALUE($E432)&gt;VALUE($D$3),$K432* 10000,$K432* 8000), 0)</f>
        <v>0</v>
      </c>
      <c r="M432" s="53" t="s">
        <v>146</v>
      </c>
    </row>
    <row r="433" spans="1:13" ht="12.75" customHeight="1" x14ac:dyDescent="0.3">
      <c r="A433" s="143" t="s">
        <v>18</v>
      </c>
      <c r="B433" s="139" t="str">
        <f>IFERROR(VLOOKUP($A433, NameDesignation[], 2,FALSE), " ")</f>
        <v>Former Independent Director</v>
      </c>
      <c r="C433" s="139" t="s">
        <v>29</v>
      </c>
      <c r="D433" s="139">
        <v>456</v>
      </c>
      <c r="E433" s="140">
        <v>44220</v>
      </c>
      <c r="F433" s="139" t="str">
        <f t="shared" si="18"/>
        <v>Q1-21</v>
      </c>
      <c r="G433" s="140" t="str">
        <f t="shared" si="19"/>
        <v>Jan'21</v>
      </c>
      <c r="H433" s="140" t="str">
        <f>TEXT(RawData[[#This Row],[Date]], "YYYY")</f>
        <v>2021</v>
      </c>
      <c r="I433" s="141" t="s">
        <v>32</v>
      </c>
      <c r="J433" s="141" t="s">
        <v>91</v>
      </c>
      <c r="K433" s="139">
        <f t="shared" si="20"/>
        <v>0</v>
      </c>
      <c r="L433" s="142">
        <f>IF(RawData[[#This Row],[Paid/Unpaid]]="Paid", IF(VALUE($E433)&gt;VALUE($D$3),$K433* 10000,$K433* 8000), 0)</f>
        <v>0</v>
      </c>
      <c r="M433" s="53" t="s">
        <v>146</v>
      </c>
    </row>
    <row r="434" spans="1:13" ht="12.75" customHeight="1" x14ac:dyDescent="0.3">
      <c r="A434" s="143" t="s">
        <v>35</v>
      </c>
      <c r="B434" s="139" t="str">
        <f>IFERROR(VLOOKUP($A434, NameDesignation[], 2,FALSE), " ")</f>
        <v>Former Managing Director &amp; CEO</v>
      </c>
      <c r="C434" s="139" t="s">
        <v>29</v>
      </c>
      <c r="D434" s="139">
        <v>456</v>
      </c>
      <c r="E434" s="140">
        <v>44220</v>
      </c>
      <c r="F434" s="139" t="str">
        <f t="shared" si="18"/>
        <v>Q1-21</v>
      </c>
      <c r="G434" s="140" t="str">
        <f t="shared" si="19"/>
        <v>Jan'21</v>
      </c>
      <c r="H434" s="140" t="str">
        <f>TEXT(RawData[[#This Row],[Date]], "YYYY")</f>
        <v>2021</v>
      </c>
      <c r="I434" s="141" t="s">
        <v>32</v>
      </c>
      <c r="J434" s="141" t="s">
        <v>90</v>
      </c>
      <c r="K434" s="139">
        <f t="shared" si="20"/>
        <v>1</v>
      </c>
      <c r="L434" s="142">
        <f>IF(RawData[[#This Row],[Paid/Unpaid]]="Paid", IF(VALUE($E434)&gt;VALUE($D$3),$K434* 10000,$K434* 8000), 0)</f>
        <v>8000</v>
      </c>
      <c r="M434" s="53" t="s">
        <v>146</v>
      </c>
    </row>
    <row r="435" spans="1:13" ht="12.75" customHeight="1" x14ac:dyDescent="0.3">
      <c r="A435" s="71" t="s">
        <v>9</v>
      </c>
      <c r="B435" s="139" t="str">
        <f>IFERROR(VLOOKUP($A435, NameDesignation[], 2,FALSE), " ")</f>
        <v>Former Director</v>
      </c>
      <c r="C435" s="139" t="s">
        <v>30</v>
      </c>
      <c r="D435" s="139">
        <v>441</v>
      </c>
      <c r="E435" s="140">
        <v>44252</v>
      </c>
      <c r="F435" s="139" t="str">
        <f t="shared" si="18"/>
        <v>Q1-21</v>
      </c>
      <c r="G435" s="140" t="str">
        <f t="shared" si="19"/>
        <v>Feb'21</v>
      </c>
      <c r="H435" s="140" t="str">
        <f>TEXT(RawData[[#This Row],[Date]], "YYYY")</f>
        <v>2021</v>
      </c>
      <c r="I435" s="141" t="s">
        <v>32</v>
      </c>
      <c r="J435" s="141" t="s">
        <v>90</v>
      </c>
      <c r="K435" s="139">
        <f t="shared" si="20"/>
        <v>1</v>
      </c>
      <c r="L435" s="142">
        <f>IF(RawData[[#This Row],[Paid/Unpaid]]="Paid", IF(VALUE($E435)&gt;VALUE($D$3),$K435* 10000,$K435* 8000), 0)</f>
        <v>8000</v>
      </c>
      <c r="M435" s="53" t="s">
        <v>146</v>
      </c>
    </row>
    <row r="436" spans="1:13" ht="12.75" customHeight="1" x14ac:dyDescent="0.3">
      <c r="A436" s="71" t="s">
        <v>8</v>
      </c>
      <c r="B436" s="139" t="str">
        <f>IFERROR(VLOOKUP($A436, NameDesignation[], 2,FALSE), " ")</f>
        <v>Former Vice-Chairman</v>
      </c>
      <c r="C436" s="139" t="s">
        <v>30</v>
      </c>
      <c r="D436" s="139">
        <v>441</v>
      </c>
      <c r="E436" s="140">
        <v>44252</v>
      </c>
      <c r="F436" s="139" t="str">
        <f t="shared" si="18"/>
        <v>Q1-21</v>
      </c>
      <c r="G436" s="140" t="str">
        <f t="shared" si="19"/>
        <v>Feb'21</v>
      </c>
      <c r="H436" s="140" t="str">
        <f>TEXT(RawData[[#This Row],[Date]], "YYYY")</f>
        <v>2021</v>
      </c>
      <c r="I436" s="141" t="s">
        <v>32</v>
      </c>
      <c r="J436" s="141" t="s">
        <v>90</v>
      </c>
      <c r="K436" s="139">
        <f t="shared" si="20"/>
        <v>1</v>
      </c>
      <c r="L436" s="142">
        <f>IF(RawData[[#This Row],[Paid/Unpaid]]="Paid", IF(VALUE($E436)&gt;VALUE($D$3),$K436* 10000,$K436* 8000), 0)</f>
        <v>8000</v>
      </c>
      <c r="M436" s="53" t="s">
        <v>146</v>
      </c>
    </row>
    <row r="437" spans="1:13" ht="12.75" customHeight="1" x14ac:dyDescent="0.3">
      <c r="A437" s="71" t="s">
        <v>49</v>
      </c>
      <c r="B437" s="139" t="str">
        <f>IFERROR(VLOOKUP($A437, NameDesignation[], 2,FALSE), " ")</f>
        <v>Former Director</v>
      </c>
      <c r="C437" s="139" t="s">
        <v>30</v>
      </c>
      <c r="D437" s="139">
        <v>441</v>
      </c>
      <c r="E437" s="140">
        <v>44252</v>
      </c>
      <c r="F437" s="139" t="str">
        <f t="shared" si="18"/>
        <v>Q1-21</v>
      </c>
      <c r="G437" s="140" t="str">
        <f t="shared" si="19"/>
        <v>Feb'21</v>
      </c>
      <c r="H437" s="140" t="str">
        <f>TEXT(RawData[[#This Row],[Date]], "YYYY")</f>
        <v>2021</v>
      </c>
      <c r="I437" s="141" t="s">
        <v>32</v>
      </c>
      <c r="J437" s="141" t="s">
        <v>90</v>
      </c>
      <c r="K437" s="139">
        <f t="shared" si="20"/>
        <v>1</v>
      </c>
      <c r="L437" s="142">
        <f>IF(RawData[[#This Row],[Paid/Unpaid]]="Paid", IF(VALUE($E437)&gt;VALUE($D$3),$K437* 10000,$K437* 8000), 0)</f>
        <v>8000</v>
      </c>
      <c r="M437" s="53" t="s">
        <v>146</v>
      </c>
    </row>
    <row r="438" spans="1:13" ht="12.75" customHeight="1" x14ac:dyDescent="0.3">
      <c r="A438" s="71" t="s">
        <v>11</v>
      </c>
      <c r="B438" s="139" t="str">
        <f>IFERROR(VLOOKUP($A438, NameDesignation[], 2,FALSE), " ")</f>
        <v>Former Director</v>
      </c>
      <c r="C438" s="139" t="s">
        <v>30</v>
      </c>
      <c r="D438" s="139">
        <v>441</v>
      </c>
      <c r="E438" s="140">
        <v>44252</v>
      </c>
      <c r="F438" s="139" t="str">
        <f t="shared" si="18"/>
        <v>Q1-21</v>
      </c>
      <c r="G438" s="140" t="str">
        <f t="shared" si="19"/>
        <v>Feb'21</v>
      </c>
      <c r="H438" s="140" t="str">
        <f>TEXT(RawData[[#This Row],[Date]], "YYYY")</f>
        <v>2021</v>
      </c>
      <c r="I438" s="141" t="s">
        <v>32</v>
      </c>
      <c r="J438" s="141" t="s">
        <v>90</v>
      </c>
      <c r="K438" s="139">
        <f t="shared" si="20"/>
        <v>1</v>
      </c>
      <c r="L438" s="142">
        <f>IF(RawData[[#This Row],[Paid/Unpaid]]="Paid", IF(VALUE($E438)&gt;VALUE($D$3),$K438* 10000,$K438* 8000), 0)</f>
        <v>8000</v>
      </c>
      <c r="M438" s="53" t="s">
        <v>146</v>
      </c>
    </row>
    <row r="439" spans="1:13" ht="12.75" customHeight="1" x14ac:dyDescent="0.3">
      <c r="A439" s="71" t="s">
        <v>13</v>
      </c>
      <c r="B439" s="139" t="str">
        <f>IFERROR(VLOOKUP($A439, NameDesignation[], 2,FALSE), " ")</f>
        <v>Former Director</v>
      </c>
      <c r="C439" s="139" t="s">
        <v>30</v>
      </c>
      <c r="D439" s="139">
        <v>441</v>
      </c>
      <c r="E439" s="140">
        <v>44252</v>
      </c>
      <c r="F439" s="139" t="str">
        <f t="shared" si="18"/>
        <v>Q1-21</v>
      </c>
      <c r="G439" s="140" t="str">
        <f t="shared" si="19"/>
        <v>Feb'21</v>
      </c>
      <c r="H439" s="140" t="str">
        <f>TEXT(RawData[[#This Row],[Date]], "YYYY")</f>
        <v>2021</v>
      </c>
      <c r="I439" s="141" t="s">
        <v>32</v>
      </c>
      <c r="J439" s="141" t="s">
        <v>90</v>
      </c>
      <c r="K439" s="139">
        <f t="shared" si="20"/>
        <v>1</v>
      </c>
      <c r="L439" s="142">
        <f>IF(RawData[[#This Row],[Paid/Unpaid]]="Paid", IF(VALUE($E439)&gt;VALUE($D$3),$K439* 10000,$K439* 8000), 0)</f>
        <v>8000</v>
      </c>
      <c r="M439" s="53" t="s">
        <v>146</v>
      </c>
    </row>
    <row r="440" spans="1:13" ht="12.75" customHeight="1" x14ac:dyDescent="0.3">
      <c r="A440" s="71" t="s">
        <v>12</v>
      </c>
      <c r="B440" s="139" t="str">
        <f>IFERROR(VLOOKUP($A440, NameDesignation[], 2,FALSE), " ")</f>
        <v>Former Director</v>
      </c>
      <c r="C440" s="139" t="s">
        <v>30</v>
      </c>
      <c r="D440" s="139">
        <v>441</v>
      </c>
      <c r="E440" s="140">
        <v>44252</v>
      </c>
      <c r="F440" s="139" t="str">
        <f t="shared" si="18"/>
        <v>Q1-21</v>
      </c>
      <c r="G440" s="140" t="str">
        <f t="shared" si="19"/>
        <v>Feb'21</v>
      </c>
      <c r="H440" s="140" t="str">
        <f>TEXT(RawData[[#This Row],[Date]], "YYYY")</f>
        <v>2021</v>
      </c>
      <c r="I440" s="141" t="s">
        <v>32</v>
      </c>
      <c r="J440" s="141" t="s">
        <v>90</v>
      </c>
      <c r="K440" s="139">
        <f t="shared" si="20"/>
        <v>1</v>
      </c>
      <c r="L440" s="142">
        <f>IF(RawData[[#This Row],[Paid/Unpaid]]="Paid", IF(VALUE($E440)&gt;VALUE($D$3),$K440* 10000,$K440* 8000), 0)</f>
        <v>8000</v>
      </c>
      <c r="M440" s="53" t="s">
        <v>146</v>
      </c>
    </row>
    <row r="441" spans="1:13" ht="12.75" customHeight="1" x14ac:dyDescent="0.3">
      <c r="A441" s="71" t="s">
        <v>25</v>
      </c>
      <c r="B441" s="139" t="str">
        <f>IFERROR(VLOOKUP($A441, NameDesignation[], 2,FALSE), " ")</f>
        <v>Former Director</v>
      </c>
      <c r="C441" s="139" t="s">
        <v>30</v>
      </c>
      <c r="D441" s="139">
        <v>441</v>
      </c>
      <c r="E441" s="140">
        <v>44252</v>
      </c>
      <c r="F441" s="139" t="str">
        <f t="shared" si="18"/>
        <v>Q1-21</v>
      </c>
      <c r="G441" s="140" t="str">
        <f t="shared" si="19"/>
        <v>Feb'21</v>
      </c>
      <c r="H441" s="140" t="str">
        <f>TEXT(RawData[[#This Row],[Date]], "YYYY")</f>
        <v>2021</v>
      </c>
      <c r="I441" s="141" t="s">
        <v>32</v>
      </c>
      <c r="J441" s="141" t="s">
        <v>91</v>
      </c>
      <c r="K441" s="139">
        <f t="shared" si="20"/>
        <v>0</v>
      </c>
      <c r="L441" s="142">
        <f>IF(RawData[[#This Row],[Paid/Unpaid]]="Paid", IF(VALUE($E441)&gt;VALUE($D$3),$K441* 10000,$K441* 8000), 0)</f>
        <v>0</v>
      </c>
      <c r="M441" s="53" t="s">
        <v>146</v>
      </c>
    </row>
    <row r="442" spans="1:13" ht="12.75" customHeight="1" x14ac:dyDescent="0.3">
      <c r="A442" s="143" t="s">
        <v>7</v>
      </c>
      <c r="B442" s="139" t="str">
        <f>IFERROR(VLOOKUP($A442, NameDesignation[], 2,FALSE), " ")</f>
        <v>Former Director</v>
      </c>
      <c r="C442" s="139" t="s">
        <v>29</v>
      </c>
      <c r="D442" s="139">
        <v>457</v>
      </c>
      <c r="E442" s="140">
        <v>44252</v>
      </c>
      <c r="F442" s="139" t="str">
        <f t="shared" si="18"/>
        <v>Q1-21</v>
      </c>
      <c r="G442" s="140" t="str">
        <f t="shared" si="19"/>
        <v>Feb'21</v>
      </c>
      <c r="H442" s="140" t="str">
        <f>TEXT(RawData[[#This Row],[Date]], "YYYY")</f>
        <v>2021</v>
      </c>
      <c r="I442" s="141" t="s">
        <v>32</v>
      </c>
      <c r="J442" s="141" t="s">
        <v>90</v>
      </c>
      <c r="K442" s="139">
        <f t="shared" si="20"/>
        <v>1</v>
      </c>
      <c r="L442" s="142">
        <f>IF(RawData[[#This Row],[Paid/Unpaid]]="Paid", IF(VALUE($E442)&gt;VALUE($D$3),$K442* 10000,$K442* 8000), 0)</f>
        <v>8000</v>
      </c>
      <c r="M442" s="53" t="s">
        <v>146</v>
      </c>
    </row>
    <row r="443" spans="1:13" ht="12.75" customHeight="1" x14ac:dyDescent="0.3">
      <c r="A443" s="143" t="s">
        <v>8</v>
      </c>
      <c r="B443" s="139" t="str">
        <f>IFERROR(VLOOKUP($A443, NameDesignation[], 2,FALSE), " ")</f>
        <v>Former Vice-Chairman</v>
      </c>
      <c r="C443" s="139" t="s">
        <v>29</v>
      </c>
      <c r="D443" s="139">
        <v>457</v>
      </c>
      <c r="E443" s="140">
        <v>44252</v>
      </c>
      <c r="F443" s="139" t="str">
        <f t="shared" si="18"/>
        <v>Q1-21</v>
      </c>
      <c r="G443" s="140" t="str">
        <f t="shared" si="19"/>
        <v>Feb'21</v>
      </c>
      <c r="H443" s="140" t="str">
        <f>TEXT(RawData[[#This Row],[Date]], "YYYY")</f>
        <v>2021</v>
      </c>
      <c r="I443" s="141" t="s">
        <v>32</v>
      </c>
      <c r="J443" s="141" t="s">
        <v>90</v>
      </c>
      <c r="K443" s="139">
        <f t="shared" si="20"/>
        <v>1</v>
      </c>
      <c r="L443" s="142">
        <f>IF(RawData[[#This Row],[Paid/Unpaid]]="Paid", IF(VALUE($E443)&gt;VALUE($D$3),$K443* 10000,$K443* 8000), 0)</f>
        <v>8000</v>
      </c>
      <c r="M443" s="53" t="s">
        <v>146</v>
      </c>
    </row>
    <row r="444" spans="1:13" ht="12.75" customHeight="1" x14ac:dyDescent="0.3">
      <c r="A444" s="143" t="s">
        <v>9</v>
      </c>
      <c r="B444" s="139" t="str">
        <f>IFERROR(VLOOKUP($A444, NameDesignation[], 2,FALSE), " ")</f>
        <v>Former Director</v>
      </c>
      <c r="C444" s="139" t="s">
        <v>29</v>
      </c>
      <c r="D444" s="139">
        <v>457</v>
      </c>
      <c r="E444" s="140">
        <v>44252</v>
      </c>
      <c r="F444" s="139" t="str">
        <f t="shared" si="18"/>
        <v>Q1-21</v>
      </c>
      <c r="G444" s="140" t="str">
        <f t="shared" si="19"/>
        <v>Feb'21</v>
      </c>
      <c r="H444" s="140" t="str">
        <f>TEXT(RawData[[#This Row],[Date]], "YYYY")</f>
        <v>2021</v>
      </c>
      <c r="I444" s="141" t="s">
        <v>32</v>
      </c>
      <c r="J444" s="141" t="s">
        <v>90</v>
      </c>
      <c r="K444" s="139">
        <f t="shared" si="20"/>
        <v>1</v>
      </c>
      <c r="L444" s="142">
        <f>IF(RawData[[#This Row],[Paid/Unpaid]]="Paid", IF(VALUE($E444)&gt;VALUE($D$3),$K444* 10000,$K444* 8000), 0)</f>
        <v>8000</v>
      </c>
      <c r="M444" s="53" t="s">
        <v>146</v>
      </c>
    </row>
    <row r="445" spans="1:13" ht="12.75" customHeight="1" x14ac:dyDescent="0.3">
      <c r="A445" s="143" t="s">
        <v>20</v>
      </c>
      <c r="B445" s="139" t="str">
        <f>IFERROR(VLOOKUP($A445, NameDesignation[], 2,FALSE), " ")</f>
        <v>Former Independent Director</v>
      </c>
      <c r="C445" s="139" t="s">
        <v>29</v>
      </c>
      <c r="D445" s="139">
        <v>457</v>
      </c>
      <c r="E445" s="140">
        <v>44252</v>
      </c>
      <c r="F445" s="139" t="str">
        <f t="shared" si="18"/>
        <v>Q1-21</v>
      </c>
      <c r="G445" s="140" t="str">
        <f t="shared" si="19"/>
        <v>Feb'21</v>
      </c>
      <c r="H445" s="140" t="str">
        <f>TEXT(RawData[[#This Row],[Date]], "YYYY")</f>
        <v>2021</v>
      </c>
      <c r="I445" s="141" t="s">
        <v>32</v>
      </c>
      <c r="J445" s="141" t="s">
        <v>91</v>
      </c>
      <c r="K445" s="139">
        <f t="shared" si="20"/>
        <v>0</v>
      </c>
      <c r="L445" s="142">
        <f>IF(RawData[[#This Row],[Paid/Unpaid]]="Paid", IF(VALUE($E445)&gt;VALUE($D$3),$K445* 10000,$K445* 8000), 0)</f>
        <v>0</v>
      </c>
      <c r="M445" s="53" t="s">
        <v>146</v>
      </c>
    </row>
    <row r="446" spans="1:13" ht="12.75" customHeight="1" x14ac:dyDescent="0.3">
      <c r="A446" s="143" t="s">
        <v>49</v>
      </c>
      <c r="B446" s="139" t="str">
        <f>IFERROR(VLOOKUP($A446, NameDesignation[], 2,FALSE), " ")</f>
        <v>Former Director</v>
      </c>
      <c r="C446" s="139" t="s">
        <v>29</v>
      </c>
      <c r="D446" s="139">
        <v>457</v>
      </c>
      <c r="E446" s="140">
        <v>44252</v>
      </c>
      <c r="F446" s="139" t="str">
        <f t="shared" si="18"/>
        <v>Q1-21</v>
      </c>
      <c r="G446" s="140" t="str">
        <f t="shared" si="19"/>
        <v>Feb'21</v>
      </c>
      <c r="H446" s="140" t="str">
        <f>TEXT(RawData[[#This Row],[Date]], "YYYY")</f>
        <v>2021</v>
      </c>
      <c r="I446" s="141" t="s">
        <v>32</v>
      </c>
      <c r="J446" s="141" t="s">
        <v>90</v>
      </c>
      <c r="K446" s="139">
        <f t="shared" si="20"/>
        <v>1</v>
      </c>
      <c r="L446" s="142">
        <f>IF(RawData[[#This Row],[Paid/Unpaid]]="Paid", IF(VALUE($E446)&gt;VALUE($D$3),$K446* 10000,$K446* 8000), 0)</f>
        <v>8000</v>
      </c>
      <c r="M446" s="53" t="s">
        <v>146</v>
      </c>
    </row>
    <row r="447" spans="1:13" ht="12.75" customHeight="1" x14ac:dyDescent="0.3">
      <c r="A447" s="143" t="s">
        <v>11</v>
      </c>
      <c r="B447" s="139" t="str">
        <f>IFERROR(VLOOKUP($A447, NameDesignation[], 2,FALSE), " ")</f>
        <v>Former Director</v>
      </c>
      <c r="C447" s="139" t="s">
        <v>29</v>
      </c>
      <c r="D447" s="139">
        <v>457</v>
      </c>
      <c r="E447" s="140">
        <v>44252</v>
      </c>
      <c r="F447" s="139" t="str">
        <f t="shared" si="18"/>
        <v>Q1-21</v>
      </c>
      <c r="G447" s="140" t="str">
        <f t="shared" si="19"/>
        <v>Feb'21</v>
      </c>
      <c r="H447" s="140" t="str">
        <f>TEXT(RawData[[#This Row],[Date]], "YYYY")</f>
        <v>2021</v>
      </c>
      <c r="I447" s="141" t="s">
        <v>32</v>
      </c>
      <c r="J447" s="141" t="s">
        <v>90</v>
      </c>
      <c r="K447" s="139">
        <f t="shared" si="20"/>
        <v>1</v>
      </c>
      <c r="L447" s="142">
        <f>IF(RawData[[#This Row],[Paid/Unpaid]]="Paid", IF(VALUE($E447)&gt;VALUE($D$3),$K447* 10000,$K447* 8000), 0)</f>
        <v>8000</v>
      </c>
      <c r="M447" s="53" t="s">
        <v>146</v>
      </c>
    </row>
    <row r="448" spans="1:13" ht="12.75" customHeight="1" x14ac:dyDescent="0.3">
      <c r="A448" s="143" t="s">
        <v>12</v>
      </c>
      <c r="B448" s="139" t="str">
        <f>IFERROR(VLOOKUP($A448, NameDesignation[], 2,FALSE), " ")</f>
        <v>Former Director</v>
      </c>
      <c r="C448" s="139" t="s">
        <v>29</v>
      </c>
      <c r="D448" s="139">
        <v>457</v>
      </c>
      <c r="E448" s="140">
        <v>44252</v>
      </c>
      <c r="F448" s="139" t="str">
        <f t="shared" si="18"/>
        <v>Q1-21</v>
      </c>
      <c r="G448" s="140" t="str">
        <f t="shared" si="19"/>
        <v>Feb'21</v>
      </c>
      <c r="H448" s="140" t="str">
        <f>TEXT(RawData[[#This Row],[Date]], "YYYY")</f>
        <v>2021</v>
      </c>
      <c r="I448" s="141" t="s">
        <v>32</v>
      </c>
      <c r="J448" s="141" t="s">
        <v>90</v>
      </c>
      <c r="K448" s="139">
        <f t="shared" si="20"/>
        <v>1</v>
      </c>
      <c r="L448" s="142">
        <f>IF(RawData[[#This Row],[Paid/Unpaid]]="Paid", IF(VALUE($E448)&gt;VALUE($D$3),$K448* 10000,$K448* 8000), 0)</f>
        <v>8000</v>
      </c>
      <c r="M448" s="53" t="s">
        <v>146</v>
      </c>
    </row>
    <row r="449" spans="1:13" ht="12.75" customHeight="1" x14ac:dyDescent="0.3">
      <c r="A449" s="143" t="s">
        <v>137</v>
      </c>
      <c r="B449" s="139" t="str">
        <f>IFERROR(VLOOKUP($A449, NameDesignation[], 2,FALSE), " ")</f>
        <v>Former Director</v>
      </c>
      <c r="C449" s="139" t="s">
        <v>29</v>
      </c>
      <c r="D449" s="139">
        <v>457</v>
      </c>
      <c r="E449" s="140">
        <v>44252</v>
      </c>
      <c r="F449" s="139" t="str">
        <f t="shared" si="18"/>
        <v>Q1-21</v>
      </c>
      <c r="G449" s="140" t="str">
        <f t="shared" si="19"/>
        <v>Feb'21</v>
      </c>
      <c r="H449" s="140" t="str">
        <f>TEXT(RawData[[#This Row],[Date]], "YYYY")</f>
        <v>2021</v>
      </c>
      <c r="I449" s="141" t="s">
        <v>32</v>
      </c>
      <c r="J449" s="141" t="s">
        <v>90</v>
      </c>
      <c r="K449" s="139">
        <f t="shared" si="20"/>
        <v>1</v>
      </c>
      <c r="L449" s="142">
        <f>IF(RawData[[#This Row],[Paid/Unpaid]]="Paid", IF(VALUE($E449)&gt;VALUE($D$3),$K449* 10000,$K449* 8000), 0)</f>
        <v>8000</v>
      </c>
      <c r="M449" s="53" t="s">
        <v>146</v>
      </c>
    </row>
    <row r="450" spans="1:13" ht="12.75" customHeight="1" x14ac:dyDescent="0.3">
      <c r="A450" s="143" t="s">
        <v>13</v>
      </c>
      <c r="B450" s="139" t="str">
        <f>IFERROR(VLOOKUP($A450, NameDesignation[], 2,FALSE), " ")</f>
        <v>Former Director</v>
      </c>
      <c r="C450" s="139" t="s">
        <v>29</v>
      </c>
      <c r="D450" s="139">
        <v>457</v>
      </c>
      <c r="E450" s="140">
        <v>44252</v>
      </c>
      <c r="F450" s="139" t="str">
        <f t="shared" si="18"/>
        <v>Q1-21</v>
      </c>
      <c r="G450" s="140" t="str">
        <f t="shared" si="19"/>
        <v>Feb'21</v>
      </c>
      <c r="H450" s="140" t="str">
        <f>TEXT(RawData[[#This Row],[Date]], "YYYY")</f>
        <v>2021</v>
      </c>
      <c r="I450" s="141" t="s">
        <v>32</v>
      </c>
      <c r="J450" s="141" t="s">
        <v>90</v>
      </c>
      <c r="K450" s="139">
        <f t="shared" si="20"/>
        <v>1</v>
      </c>
      <c r="L450" s="142">
        <f>IF(RawData[[#This Row],[Paid/Unpaid]]="Paid", IF(VALUE($E450)&gt;VALUE($D$3),$K450* 10000,$K450* 8000), 0)</f>
        <v>8000</v>
      </c>
      <c r="M450" s="53" t="s">
        <v>146</v>
      </c>
    </row>
    <row r="451" spans="1:13" ht="12.75" customHeight="1" x14ac:dyDescent="0.3">
      <c r="A451" s="143" t="s">
        <v>61</v>
      </c>
      <c r="B451" s="139" t="str">
        <f>IFERROR(VLOOKUP($A451, NameDesignation[], 2,FALSE), " ")</f>
        <v>Former Director</v>
      </c>
      <c r="C451" s="139" t="s">
        <v>29</v>
      </c>
      <c r="D451" s="139">
        <v>457</v>
      </c>
      <c r="E451" s="140">
        <v>44252</v>
      </c>
      <c r="F451" s="139" t="str">
        <f t="shared" si="18"/>
        <v>Q1-21</v>
      </c>
      <c r="G451" s="140" t="str">
        <f t="shared" si="19"/>
        <v>Feb'21</v>
      </c>
      <c r="H451" s="140" t="str">
        <f>TEXT(RawData[[#This Row],[Date]], "YYYY")</f>
        <v>2021</v>
      </c>
      <c r="I451" s="141" t="s">
        <v>32</v>
      </c>
      <c r="J451" s="141" t="s">
        <v>90</v>
      </c>
      <c r="K451" s="139">
        <f t="shared" si="20"/>
        <v>1</v>
      </c>
      <c r="L451" s="142">
        <f>IF(RawData[[#This Row],[Paid/Unpaid]]="Paid", IF(VALUE($E451)&gt;VALUE($D$3),$K451* 10000,$K451* 8000), 0)</f>
        <v>8000</v>
      </c>
      <c r="M451" s="53" t="s">
        <v>146</v>
      </c>
    </row>
    <row r="452" spans="1:13" ht="12.75" customHeight="1" x14ac:dyDescent="0.3">
      <c r="A452" s="143" t="s">
        <v>23</v>
      </c>
      <c r="B452" s="139" t="str">
        <f>IFERROR(VLOOKUP($A452, NameDesignation[], 2,FALSE), " ")</f>
        <v>Former Director</v>
      </c>
      <c r="C452" s="139" t="s">
        <v>29</v>
      </c>
      <c r="D452" s="139">
        <v>457</v>
      </c>
      <c r="E452" s="140">
        <v>44252</v>
      </c>
      <c r="F452" s="139" t="str">
        <f t="shared" si="18"/>
        <v>Q1-21</v>
      </c>
      <c r="G452" s="140" t="str">
        <f t="shared" si="19"/>
        <v>Feb'21</v>
      </c>
      <c r="H452" s="140" t="str">
        <f>TEXT(RawData[[#This Row],[Date]], "YYYY")</f>
        <v>2021</v>
      </c>
      <c r="I452" s="141" t="s">
        <v>32</v>
      </c>
      <c r="J452" s="141" t="s">
        <v>90</v>
      </c>
      <c r="K452" s="139">
        <f t="shared" si="20"/>
        <v>1</v>
      </c>
      <c r="L452" s="142">
        <f>IF(RawData[[#This Row],[Paid/Unpaid]]="Paid", IF(VALUE($E452)&gt;VALUE($D$3),$K452* 10000,$K452* 8000), 0)</f>
        <v>8000</v>
      </c>
      <c r="M452" s="53" t="s">
        <v>146</v>
      </c>
    </row>
    <row r="453" spans="1:13" ht="12.75" customHeight="1" x14ac:dyDescent="0.3">
      <c r="A453" s="143" t="s">
        <v>24</v>
      </c>
      <c r="B453" s="139" t="str">
        <f>IFERROR(VLOOKUP($A453, NameDesignation[], 2,FALSE), " ")</f>
        <v>Former Director</v>
      </c>
      <c r="C453" s="139" t="s">
        <v>29</v>
      </c>
      <c r="D453" s="139">
        <v>457</v>
      </c>
      <c r="E453" s="140">
        <v>44252</v>
      </c>
      <c r="F453" s="139" t="str">
        <f t="shared" si="18"/>
        <v>Q1-21</v>
      </c>
      <c r="G453" s="140" t="str">
        <f t="shared" si="19"/>
        <v>Feb'21</v>
      </c>
      <c r="H453" s="140" t="str">
        <f>TEXT(RawData[[#This Row],[Date]], "YYYY")</f>
        <v>2021</v>
      </c>
      <c r="I453" s="141" t="s">
        <v>32</v>
      </c>
      <c r="J453" s="141" t="s">
        <v>90</v>
      </c>
      <c r="K453" s="139">
        <f t="shared" si="20"/>
        <v>1</v>
      </c>
      <c r="L453" s="142">
        <f>IF(RawData[[#This Row],[Paid/Unpaid]]="Paid", IF(VALUE($E453)&gt;VALUE($D$3),$K453* 10000,$K453* 8000), 0)</f>
        <v>8000</v>
      </c>
      <c r="M453" s="53" t="s">
        <v>146</v>
      </c>
    </row>
    <row r="454" spans="1:13" ht="12.75" customHeight="1" x14ac:dyDescent="0.3">
      <c r="A454" s="143" t="s">
        <v>15</v>
      </c>
      <c r="B454" s="139" t="str">
        <f>IFERROR(VLOOKUP($A454, NameDesignation[], 2,FALSE), " ")</f>
        <v>Former Director</v>
      </c>
      <c r="C454" s="139" t="s">
        <v>29</v>
      </c>
      <c r="D454" s="139">
        <v>457</v>
      </c>
      <c r="E454" s="140">
        <v>44252</v>
      </c>
      <c r="F454" s="139" t="str">
        <f t="shared" ref="F454:F517" si="21">CONCATENATE("Q", ROUNDUP(MONTH($E454)/3,0),"-",TEXT($E454, "yy"))</f>
        <v>Q1-21</v>
      </c>
      <c r="G454" s="140" t="str">
        <f t="shared" ref="G454:G517" si="22">CONCATENATE(TEXT($E454, "mmm"),"'", TEXT($E454, "yy"))</f>
        <v>Feb'21</v>
      </c>
      <c r="H454" s="140" t="str">
        <f>TEXT(RawData[[#This Row],[Date]], "YYYY")</f>
        <v>2021</v>
      </c>
      <c r="I454" s="141" t="s">
        <v>32</v>
      </c>
      <c r="J454" s="141" t="s">
        <v>90</v>
      </c>
      <c r="K454" s="139">
        <f t="shared" ref="K454:K517" si="23">IF($J454="Present", 1, 0)</f>
        <v>1</v>
      </c>
      <c r="L454" s="142">
        <f>IF(RawData[[#This Row],[Paid/Unpaid]]="Paid", IF(VALUE($E454)&gt;VALUE($D$3),$K454* 10000,$K454* 8000), 0)</f>
        <v>8000</v>
      </c>
      <c r="M454" s="53" t="s">
        <v>146</v>
      </c>
    </row>
    <row r="455" spans="1:13" ht="12.75" customHeight="1" x14ac:dyDescent="0.3">
      <c r="A455" s="143" t="s">
        <v>21</v>
      </c>
      <c r="B455" s="139" t="str">
        <f>IFERROR(VLOOKUP($A455, NameDesignation[], 2,FALSE), " ")</f>
        <v>Former Independent Director</v>
      </c>
      <c r="C455" s="139" t="s">
        <v>29</v>
      </c>
      <c r="D455" s="139">
        <v>457</v>
      </c>
      <c r="E455" s="140">
        <v>44252</v>
      </c>
      <c r="F455" s="139" t="str">
        <f t="shared" si="21"/>
        <v>Q1-21</v>
      </c>
      <c r="G455" s="140" t="str">
        <f t="shared" si="22"/>
        <v>Feb'21</v>
      </c>
      <c r="H455" s="140" t="str">
        <f>TEXT(RawData[[#This Row],[Date]], "YYYY")</f>
        <v>2021</v>
      </c>
      <c r="I455" s="141" t="s">
        <v>32</v>
      </c>
      <c r="J455" s="141" t="s">
        <v>90</v>
      </c>
      <c r="K455" s="139">
        <f t="shared" si="23"/>
        <v>1</v>
      </c>
      <c r="L455" s="142">
        <f>IF(RawData[[#This Row],[Paid/Unpaid]]="Paid", IF(VALUE($E455)&gt;VALUE($D$3),$K455* 10000,$K455* 8000), 0)</f>
        <v>8000</v>
      </c>
      <c r="M455" s="53" t="s">
        <v>146</v>
      </c>
    </row>
    <row r="456" spans="1:13" ht="12.75" customHeight="1" x14ac:dyDescent="0.3">
      <c r="A456" s="143" t="s">
        <v>25</v>
      </c>
      <c r="B456" s="139" t="str">
        <f>IFERROR(VLOOKUP($A456, NameDesignation[], 2,FALSE), " ")</f>
        <v>Former Director</v>
      </c>
      <c r="C456" s="139" t="s">
        <v>29</v>
      </c>
      <c r="D456" s="139">
        <v>457</v>
      </c>
      <c r="E456" s="140">
        <v>44252</v>
      </c>
      <c r="F456" s="139" t="str">
        <f t="shared" si="21"/>
        <v>Q1-21</v>
      </c>
      <c r="G456" s="140" t="str">
        <f t="shared" si="22"/>
        <v>Feb'21</v>
      </c>
      <c r="H456" s="140" t="str">
        <f>TEXT(RawData[[#This Row],[Date]], "YYYY")</f>
        <v>2021</v>
      </c>
      <c r="I456" s="141" t="s">
        <v>32</v>
      </c>
      <c r="J456" s="141" t="s">
        <v>91</v>
      </c>
      <c r="K456" s="139">
        <f t="shared" si="23"/>
        <v>0</v>
      </c>
      <c r="L456" s="142">
        <f>IF(RawData[[#This Row],[Paid/Unpaid]]="Paid", IF(VALUE($E456)&gt;VALUE($D$3),$K456* 10000,$K456* 8000), 0)</f>
        <v>0</v>
      </c>
      <c r="M456" s="53" t="s">
        <v>146</v>
      </c>
    </row>
    <row r="457" spans="1:13" ht="12.75" customHeight="1" x14ac:dyDescent="0.3">
      <c r="A457" s="143" t="s">
        <v>50</v>
      </c>
      <c r="B457" s="139" t="str">
        <f>IFERROR(VLOOKUP($A457, NameDesignation[], 2,FALSE), " ")</f>
        <v>Former Director</v>
      </c>
      <c r="C457" s="139" t="s">
        <v>29</v>
      </c>
      <c r="D457" s="139">
        <v>457</v>
      </c>
      <c r="E457" s="140">
        <v>44252</v>
      </c>
      <c r="F457" s="139" t="str">
        <f t="shared" si="21"/>
        <v>Q1-21</v>
      </c>
      <c r="G457" s="140" t="str">
        <f t="shared" si="22"/>
        <v>Feb'21</v>
      </c>
      <c r="H457" s="140" t="str">
        <f>TEXT(RawData[[#This Row],[Date]], "YYYY")</f>
        <v>2021</v>
      </c>
      <c r="I457" s="141" t="s">
        <v>32</v>
      </c>
      <c r="J457" s="141" t="s">
        <v>90</v>
      </c>
      <c r="K457" s="139">
        <f t="shared" si="23"/>
        <v>1</v>
      </c>
      <c r="L457" s="142">
        <f>IF(RawData[[#This Row],[Paid/Unpaid]]="Paid", IF(VALUE($E457)&gt;VALUE($D$3),$K457* 10000,$K457* 8000), 0)</f>
        <v>8000</v>
      </c>
      <c r="M457" s="53" t="s">
        <v>146</v>
      </c>
    </row>
    <row r="458" spans="1:13" ht="12.75" customHeight="1" x14ac:dyDescent="0.3">
      <c r="A458" s="143" t="s">
        <v>51</v>
      </c>
      <c r="B458" s="139" t="str">
        <f>IFERROR(VLOOKUP($A458, NameDesignation[], 2,FALSE), " ")</f>
        <v>Former Director</v>
      </c>
      <c r="C458" s="139" t="s">
        <v>29</v>
      </c>
      <c r="D458" s="139">
        <v>457</v>
      </c>
      <c r="E458" s="140">
        <v>44252</v>
      </c>
      <c r="F458" s="139" t="str">
        <f t="shared" si="21"/>
        <v>Q1-21</v>
      </c>
      <c r="G458" s="140" t="str">
        <f t="shared" si="22"/>
        <v>Feb'21</v>
      </c>
      <c r="H458" s="140" t="str">
        <f>TEXT(RawData[[#This Row],[Date]], "YYYY")</f>
        <v>2021</v>
      </c>
      <c r="I458" s="141" t="s">
        <v>32</v>
      </c>
      <c r="J458" s="141" t="s">
        <v>90</v>
      </c>
      <c r="K458" s="139">
        <f t="shared" si="23"/>
        <v>1</v>
      </c>
      <c r="L458" s="142">
        <f>IF(RawData[[#This Row],[Paid/Unpaid]]="Paid", IF(VALUE($E458)&gt;VALUE($D$3),$K458* 10000,$K458* 8000), 0)</f>
        <v>8000</v>
      </c>
      <c r="M458" s="53" t="s">
        <v>146</v>
      </c>
    </row>
    <row r="459" spans="1:13" ht="12.75" customHeight="1" x14ac:dyDescent="0.3">
      <c r="A459" s="143" t="s">
        <v>27</v>
      </c>
      <c r="B459" s="139" t="str">
        <f>IFERROR(VLOOKUP($A459, NameDesignation[], 2,FALSE), " ")</f>
        <v>Former Director</v>
      </c>
      <c r="C459" s="139" t="s">
        <v>29</v>
      </c>
      <c r="D459" s="139">
        <v>457</v>
      </c>
      <c r="E459" s="140">
        <v>44252</v>
      </c>
      <c r="F459" s="139" t="str">
        <f t="shared" si="21"/>
        <v>Q1-21</v>
      </c>
      <c r="G459" s="140" t="str">
        <f t="shared" si="22"/>
        <v>Feb'21</v>
      </c>
      <c r="H459" s="140" t="str">
        <f>TEXT(RawData[[#This Row],[Date]], "YYYY")</f>
        <v>2021</v>
      </c>
      <c r="I459" s="141" t="s">
        <v>32</v>
      </c>
      <c r="J459" s="141" t="s">
        <v>91</v>
      </c>
      <c r="K459" s="139">
        <f t="shared" si="23"/>
        <v>0</v>
      </c>
      <c r="L459" s="142">
        <f>IF(RawData[[#This Row],[Paid/Unpaid]]="Paid", IF(VALUE($E459)&gt;VALUE($D$3),$K459* 10000,$K459* 8000), 0)</f>
        <v>0</v>
      </c>
      <c r="M459" s="53" t="s">
        <v>146</v>
      </c>
    </row>
    <row r="460" spans="1:13" ht="12.75" customHeight="1" x14ac:dyDescent="0.3">
      <c r="A460" s="143" t="s">
        <v>18</v>
      </c>
      <c r="B460" s="139" t="str">
        <f>IFERROR(VLOOKUP($A460, NameDesignation[], 2,FALSE), " ")</f>
        <v>Former Independent Director</v>
      </c>
      <c r="C460" s="139" t="s">
        <v>29</v>
      </c>
      <c r="D460" s="139">
        <v>457</v>
      </c>
      <c r="E460" s="140">
        <v>44252</v>
      </c>
      <c r="F460" s="139" t="str">
        <f t="shared" si="21"/>
        <v>Q1-21</v>
      </c>
      <c r="G460" s="140" t="str">
        <f t="shared" si="22"/>
        <v>Feb'21</v>
      </c>
      <c r="H460" s="140" t="str">
        <f>TEXT(RawData[[#This Row],[Date]], "YYYY")</f>
        <v>2021</v>
      </c>
      <c r="I460" s="141" t="s">
        <v>32</v>
      </c>
      <c r="J460" s="141" t="s">
        <v>90</v>
      </c>
      <c r="K460" s="139">
        <f t="shared" si="23"/>
        <v>1</v>
      </c>
      <c r="L460" s="142">
        <f>IF(RawData[[#This Row],[Paid/Unpaid]]="Paid", IF(VALUE($E460)&gt;VALUE($D$3),$K460* 10000,$K460* 8000), 0)</f>
        <v>8000</v>
      </c>
      <c r="M460" s="53" t="s">
        <v>146</v>
      </c>
    </row>
    <row r="461" spans="1:13" ht="12.75" customHeight="1" x14ac:dyDescent="0.3">
      <c r="A461" s="143" t="s">
        <v>35</v>
      </c>
      <c r="B461" s="139" t="str">
        <f>IFERROR(VLOOKUP($A461, NameDesignation[], 2,FALSE), " ")</f>
        <v>Former Managing Director &amp; CEO</v>
      </c>
      <c r="C461" s="139" t="s">
        <v>29</v>
      </c>
      <c r="D461" s="139">
        <v>457</v>
      </c>
      <c r="E461" s="140">
        <v>44252</v>
      </c>
      <c r="F461" s="139" t="str">
        <f t="shared" si="21"/>
        <v>Q1-21</v>
      </c>
      <c r="G461" s="140" t="str">
        <f t="shared" si="22"/>
        <v>Feb'21</v>
      </c>
      <c r="H461" s="140" t="str">
        <f>TEXT(RawData[[#This Row],[Date]], "YYYY")</f>
        <v>2021</v>
      </c>
      <c r="I461" s="141" t="s">
        <v>32</v>
      </c>
      <c r="J461" s="141" t="s">
        <v>90</v>
      </c>
      <c r="K461" s="139">
        <f t="shared" si="23"/>
        <v>1</v>
      </c>
      <c r="L461" s="142">
        <f>IF(RawData[[#This Row],[Paid/Unpaid]]="Paid", IF(VALUE($E461)&gt;VALUE($D$3),$K461* 10000,$K461* 8000), 0)</f>
        <v>8000</v>
      </c>
      <c r="M461" s="53" t="s">
        <v>146</v>
      </c>
    </row>
    <row r="462" spans="1:13" ht="12.75" customHeight="1" x14ac:dyDescent="0.3">
      <c r="A462" s="143" t="s">
        <v>21</v>
      </c>
      <c r="B462" s="139" t="str">
        <f>IFERROR(VLOOKUP($A462, NameDesignation[], 2,FALSE), " ")</f>
        <v>Former Independent Director</v>
      </c>
      <c r="C462" s="139" t="s">
        <v>43</v>
      </c>
      <c r="D462" s="139">
        <v>2</v>
      </c>
      <c r="E462" s="140">
        <v>44252</v>
      </c>
      <c r="F462" s="139" t="str">
        <f t="shared" si="21"/>
        <v>Q1-21</v>
      </c>
      <c r="G462" s="140" t="str">
        <f t="shared" si="22"/>
        <v>Feb'21</v>
      </c>
      <c r="H462" s="140" t="str">
        <f>TEXT(RawData[[#This Row],[Date]], "YYYY")</f>
        <v>2021</v>
      </c>
      <c r="I462" s="141" t="s">
        <v>32</v>
      </c>
      <c r="J462" s="141" t="s">
        <v>90</v>
      </c>
      <c r="K462" s="139">
        <f t="shared" si="23"/>
        <v>1</v>
      </c>
      <c r="L462" s="142">
        <f>IF(RawData[[#This Row],[Paid/Unpaid]]="Paid", IF(VALUE($E462)&gt;VALUE($D$3),$K462* 10000,$K462* 8000), 0)</f>
        <v>8000</v>
      </c>
      <c r="M462" s="53" t="s">
        <v>146</v>
      </c>
    </row>
    <row r="463" spans="1:13" ht="12.75" customHeight="1" x14ac:dyDescent="0.3">
      <c r="A463" s="143" t="s">
        <v>13</v>
      </c>
      <c r="B463" s="139" t="str">
        <f>IFERROR(VLOOKUP($A463, NameDesignation[], 2,FALSE), " ")</f>
        <v>Former Director</v>
      </c>
      <c r="C463" s="139" t="s">
        <v>43</v>
      </c>
      <c r="D463" s="139">
        <v>2</v>
      </c>
      <c r="E463" s="140">
        <v>44252</v>
      </c>
      <c r="F463" s="139" t="str">
        <f t="shared" si="21"/>
        <v>Q1-21</v>
      </c>
      <c r="G463" s="140" t="str">
        <f t="shared" si="22"/>
        <v>Feb'21</v>
      </c>
      <c r="H463" s="140" t="str">
        <f>TEXT(RawData[[#This Row],[Date]], "YYYY")</f>
        <v>2021</v>
      </c>
      <c r="I463" s="141" t="s">
        <v>32</v>
      </c>
      <c r="J463" s="141" t="s">
        <v>90</v>
      </c>
      <c r="K463" s="139">
        <f t="shared" si="23"/>
        <v>1</v>
      </c>
      <c r="L463" s="142">
        <f>IF(RawData[[#This Row],[Paid/Unpaid]]="Paid", IF(VALUE($E463)&gt;VALUE($D$3),$K463* 10000,$K463* 8000), 0)</f>
        <v>8000</v>
      </c>
      <c r="M463" s="53" t="s">
        <v>146</v>
      </c>
    </row>
    <row r="464" spans="1:13" ht="12.75" customHeight="1" x14ac:dyDescent="0.3">
      <c r="A464" s="143" t="s">
        <v>12</v>
      </c>
      <c r="B464" s="139" t="str">
        <f>IFERROR(VLOOKUP($A464, NameDesignation[], 2,FALSE), " ")</f>
        <v>Former Director</v>
      </c>
      <c r="C464" s="139" t="s">
        <v>43</v>
      </c>
      <c r="D464" s="139">
        <v>2</v>
      </c>
      <c r="E464" s="140">
        <v>44252</v>
      </c>
      <c r="F464" s="139" t="str">
        <f t="shared" si="21"/>
        <v>Q1-21</v>
      </c>
      <c r="G464" s="140" t="str">
        <f t="shared" si="22"/>
        <v>Feb'21</v>
      </c>
      <c r="H464" s="140" t="str">
        <f>TEXT(RawData[[#This Row],[Date]], "YYYY")</f>
        <v>2021</v>
      </c>
      <c r="I464" s="141" t="s">
        <v>32</v>
      </c>
      <c r="J464" s="141" t="s">
        <v>90</v>
      </c>
      <c r="K464" s="139">
        <f t="shared" si="23"/>
        <v>1</v>
      </c>
      <c r="L464" s="142">
        <f>IF(RawData[[#This Row],[Paid/Unpaid]]="Paid", IF(VALUE($E464)&gt;VALUE($D$3),$K464* 10000,$K464* 8000), 0)</f>
        <v>8000</v>
      </c>
      <c r="M464" s="53" t="s">
        <v>146</v>
      </c>
    </row>
    <row r="465" spans="1:13" ht="12.75" customHeight="1" x14ac:dyDescent="0.3">
      <c r="A465" s="143" t="s">
        <v>137</v>
      </c>
      <c r="B465" s="139" t="str">
        <f>IFERROR(VLOOKUP($A465, NameDesignation[], 2,FALSE), " ")</f>
        <v>Former Director</v>
      </c>
      <c r="C465" s="139" t="s">
        <v>43</v>
      </c>
      <c r="D465" s="139">
        <v>2</v>
      </c>
      <c r="E465" s="140">
        <v>44252</v>
      </c>
      <c r="F465" s="139" t="str">
        <f t="shared" si="21"/>
        <v>Q1-21</v>
      </c>
      <c r="G465" s="140" t="str">
        <f t="shared" si="22"/>
        <v>Feb'21</v>
      </c>
      <c r="H465" s="140" t="str">
        <f>TEXT(RawData[[#This Row],[Date]], "YYYY")</f>
        <v>2021</v>
      </c>
      <c r="I465" s="141" t="s">
        <v>32</v>
      </c>
      <c r="J465" s="141" t="s">
        <v>90</v>
      </c>
      <c r="K465" s="139">
        <f t="shared" si="23"/>
        <v>1</v>
      </c>
      <c r="L465" s="142">
        <f>IF(RawData[[#This Row],[Paid/Unpaid]]="Paid", IF(VALUE($E465)&gt;VALUE($D$3),$K465* 10000,$K465* 8000), 0)</f>
        <v>8000</v>
      </c>
      <c r="M465" s="53" t="s">
        <v>146</v>
      </c>
    </row>
    <row r="466" spans="1:13" ht="12.75" customHeight="1" x14ac:dyDescent="0.3">
      <c r="A466" s="143" t="s">
        <v>51</v>
      </c>
      <c r="B466" s="139" t="str">
        <f>IFERROR(VLOOKUP($A466, NameDesignation[], 2,FALSE), " ")</f>
        <v>Former Director</v>
      </c>
      <c r="C466" s="139" t="s">
        <v>43</v>
      </c>
      <c r="D466" s="139">
        <v>2</v>
      </c>
      <c r="E466" s="140">
        <v>44252</v>
      </c>
      <c r="F466" s="139" t="str">
        <f t="shared" si="21"/>
        <v>Q1-21</v>
      </c>
      <c r="G466" s="140" t="str">
        <f t="shared" si="22"/>
        <v>Feb'21</v>
      </c>
      <c r="H466" s="140" t="str">
        <f>TEXT(RawData[[#This Row],[Date]], "YYYY")</f>
        <v>2021</v>
      </c>
      <c r="I466" s="141" t="s">
        <v>32</v>
      </c>
      <c r="J466" s="141" t="s">
        <v>90</v>
      </c>
      <c r="K466" s="139">
        <f t="shared" si="23"/>
        <v>1</v>
      </c>
      <c r="L466" s="142">
        <f>IF(RawData[[#This Row],[Paid/Unpaid]]="Paid", IF(VALUE($E466)&gt;VALUE($D$3),$K466* 10000,$K466* 8000), 0)</f>
        <v>8000</v>
      </c>
      <c r="M466" s="53" t="s">
        <v>146</v>
      </c>
    </row>
    <row r="467" spans="1:13" ht="12.75" customHeight="1" x14ac:dyDescent="0.3">
      <c r="A467" s="143" t="s">
        <v>23</v>
      </c>
      <c r="B467" s="139" t="str">
        <f>IFERROR(VLOOKUP($A467, NameDesignation[], 2,FALSE), " ")</f>
        <v>Former Director</v>
      </c>
      <c r="C467" s="139" t="s">
        <v>37</v>
      </c>
      <c r="D467" s="139">
        <v>115</v>
      </c>
      <c r="E467" s="140">
        <v>44258</v>
      </c>
      <c r="F467" s="139" t="str">
        <f t="shared" si="21"/>
        <v>Q1-21</v>
      </c>
      <c r="G467" s="140" t="str">
        <f t="shared" si="22"/>
        <v>Mar'21</v>
      </c>
      <c r="H467" s="140" t="str">
        <f>TEXT(RawData[[#This Row],[Date]], "YYYY")</f>
        <v>2021</v>
      </c>
      <c r="I467" s="141" t="s">
        <v>32</v>
      </c>
      <c r="J467" s="141" t="s">
        <v>90</v>
      </c>
      <c r="K467" s="139">
        <f t="shared" si="23"/>
        <v>1</v>
      </c>
      <c r="L467" s="142">
        <f>IF(RawData[[#This Row],[Paid/Unpaid]]="Paid", IF(VALUE($E467)&gt;VALUE($D$3),$K467* 10000,$K467* 8000), 0)</f>
        <v>8000</v>
      </c>
      <c r="M467" s="53" t="s">
        <v>146</v>
      </c>
    </row>
    <row r="468" spans="1:13" ht="12.75" customHeight="1" x14ac:dyDescent="0.3">
      <c r="A468" s="143" t="s">
        <v>24</v>
      </c>
      <c r="B468" s="139" t="str">
        <f>IFERROR(VLOOKUP($A468, NameDesignation[], 2,FALSE), " ")</f>
        <v>Former Director</v>
      </c>
      <c r="C468" s="139" t="s">
        <v>37</v>
      </c>
      <c r="D468" s="139">
        <v>115</v>
      </c>
      <c r="E468" s="140">
        <v>44258</v>
      </c>
      <c r="F468" s="139" t="str">
        <f t="shared" si="21"/>
        <v>Q1-21</v>
      </c>
      <c r="G468" s="140" t="str">
        <f t="shared" si="22"/>
        <v>Mar'21</v>
      </c>
      <c r="H468" s="140" t="str">
        <f>TEXT(RawData[[#This Row],[Date]], "YYYY")</f>
        <v>2021</v>
      </c>
      <c r="I468" s="141" t="s">
        <v>32</v>
      </c>
      <c r="J468" s="141" t="s">
        <v>90</v>
      </c>
      <c r="K468" s="139">
        <f t="shared" si="23"/>
        <v>1</v>
      </c>
      <c r="L468" s="142">
        <f>IF(RawData[[#This Row],[Paid/Unpaid]]="Paid", IF(VALUE($E468)&gt;VALUE($D$3),$K468* 10000,$K468* 8000), 0)</f>
        <v>8000</v>
      </c>
      <c r="M468" s="53" t="s">
        <v>146</v>
      </c>
    </row>
    <row r="469" spans="1:13" ht="12.75" customHeight="1" x14ac:dyDescent="0.3">
      <c r="A469" s="143" t="s">
        <v>21</v>
      </c>
      <c r="B469" s="139" t="str">
        <f>IFERROR(VLOOKUP($A469, NameDesignation[], 2,FALSE), " ")</f>
        <v>Former Independent Director</v>
      </c>
      <c r="C469" s="139" t="s">
        <v>37</v>
      </c>
      <c r="D469" s="139">
        <v>115</v>
      </c>
      <c r="E469" s="140">
        <v>44258</v>
      </c>
      <c r="F469" s="139" t="str">
        <f t="shared" si="21"/>
        <v>Q1-21</v>
      </c>
      <c r="G469" s="140" t="str">
        <f t="shared" si="22"/>
        <v>Mar'21</v>
      </c>
      <c r="H469" s="140" t="str">
        <f>TEXT(RawData[[#This Row],[Date]], "YYYY")</f>
        <v>2021</v>
      </c>
      <c r="I469" s="141" t="s">
        <v>32</v>
      </c>
      <c r="J469" s="141" t="s">
        <v>91</v>
      </c>
      <c r="K469" s="139">
        <f t="shared" si="23"/>
        <v>0</v>
      </c>
      <c r="L469" s="142">
        <f>IF(RawData[[#This Row],[Paid/Unpaid]]="Paid", IF(VALUE($E469)&gt;VALUE($D$3),$K469* 10000,$K469* 8000), 0)</f>
        <v>0</v>
      </c>
      <c r="M469" s="53" t="s">
        <v>146</v>
      </c>
    </row>
    <row r="470" spans="1:13" ht="12.75" customHeight="1" x14ac:dyDescent="0.3">
      <c r="A470" s="143" t="s">
        <v>18</v>
      </c>
      <c r="B470" s="139" t="str">
        <f>IFERROR(VLOOKUP($A470, NameDesignation[], 2,FALSE), " ")</f>
        <v>Former Independent Director</v>
      </c>
      <c r="C470" s="139" t="s">
        <v>37</v>
      </c>
      <c r="D470" s="139">
        <v>115</v>
      </c>
      <c r="E470" s="140">
        <v>44258</v>
      </c>
      <c r="F470" s="139" t="str">
        <f t="shared" si="21"/>
        <v>Q1-21</v>
      </c>
      <c r="G470" s="140" t="str">
        <f t="shared" si="22"/>
        <v>Mar'21</v>
      </c>
      <c r="H470" s="140" t="str">
        <f>TEXT(RawData[[#This Row],[Date]], "YYYY")</f>
        <v>2021</v>
      </c>
      <c r="I470" s="141" t="s">
        <v>32</v>
      </c>
      <c r="J470" s="141" t="s">
        <v>90</v>
      </c>
      <c r="K470" s="139">
        <f t="shared" si="23"/>
        <v>1</v>
      </c>
      <c r="L470" s="142">
        <f>IF(RawData[[#This Row],[Paid/Unpaid]]="Paid", IF(VALUE($E470)&gt;VALUE($D$3),$K470* 10000,$K470* 8000), 0)</f>
        <v>8000</v>
      </c>
      <c r="M470" s="53" t="s">
        <v>146</v>
      </c>
    </row>
    <row r="471" spans="1:13" ht="12.75" customHeight="1" x14ac:dyDescent="0.3">
      <c r="A471" s="143" t="s">
        <v>27</v>
      </c>
      <c r="B471" s="139" t="str">
        <f>IFERROR(VLOOKUP($A471, NameDesignation[], 2,FALSE), " ")</f>
        <v>Former Director</v>
      </c>
      <c r="C471" s="139" t="s">
        <v>37</v>
      </c>
      <c r="D471" s="139">
        <v>115</v>
      </c>
      <c r="E471" s="140">
        <v>44258</v>
      </c>
      <c r="F471" s="139" t="str">
        <f t="shared" si="21"/>
        <v>Q1-21</v>
      </c>
      <c r="G471" s="140" t="str">
        <f t="shared" si="22"/>
        <v>Mar'21</v>
      </c>
      <c r="H471" s="140" t="str">
        <f>TEXT(RawData[[#This Row],[Date]], "YYYY")</f>
        <v>2021</v>
      </c>
      <c r="I471" s="141" t="s">
        <v>32</v>
      </c>
      <c r="J471" s="141" t="s">
        <v>91</v>
      </c>
      <c r="K471" s="139">
        <f t="shared" si="23"/>
        <v>0</v>
      </c>
      <c r="L471" s="142">
        <f>IF(RawData[[#This Row],[Paid/Unpaid]]="Paid", IF(VALUE($E471)&gt;VALUE($D$3),$K471* 10000,$K471* 8000), 0)</f>
        <v>0</v>
      </c>
      <c r="M471" s="53" t="s">
        <v>146</v>
      </c>
    </row>
    <row r="472" spans="1:13" ht="12.75" customHeight="1" x14ac:dyDescent="0.3">
      <c r="A472" s="71" t="s">
        <v>9</v>
      </c>
      <c r="B472" s="139" t="str">
        <f>IFERROR(VLOOKUP($A472, NameDesignation[], 2,FALSE), " ")</f>
        <v>Former Director</v>
      </c>
      <c r="C472" s="139" t="s">
        <v>30</v>
      </c>
      <c r="D472" s="139">
        <v>442</v>
      </c>
      <c r="E472" s="140">
        <v>44284</v>
      </c>
      <c r="F472" s="139" t="str">
        <f t="shared" si="21"/>
        <v>Q1-21</v>
      </c>
      <c r="G472" s="140" t="str">
        <f t="shared" si="22"/>
        <v>Mar'21</v>
      </c>
      <c r="H472" s="140" t="str">
        <f>TEXT(RawData[[#This Row],[Date]], "YYYY")</f>
        <v>2021</v>
      </c>
      <c r="I472" s="141" t="s">
        <v>32</v>
      </c>
      <c r="J472" s="141" t="s">
        <v>90</v>
      </c>
      <c r="K472" s="139">
        <f t="shared" si="23"/>
        <v>1</v>
      </c>
      <c r="L472" s="142">
        <f>IF(RawData[[#This Row],[Paid/Unpaid]]="Paid", IF(VALUE($E472)&gt;VALUE($D$3),$K472* 10000,$K472* 8000), 0)</f>
        <v>8000</v>
      </c>
      <c r="M472" s="53" t="s">
        <v>146</v>
      </c>
    </row>
    <row r="473" spans="1:13" ht="12.75" customHeight="1" x14ac:dyDescent="0.3">
      <c r="A473" s="71" t="s">
        <v>8</v>
      </c>
      <c r="B473" s="139" t="str">
        <f>IFERROR(VLOOKUP($A473, NameDesignation[], 2,FALSE), " ")</f>
        <v>Former Vice-Chairman</v>
      </c>
      <c r="C473" s="139" t="s">
        <v>30</v>
      </c>
      <c r="D473" s="139">
        <v>442</v>
      </c>
      <c r="E473" s="140">
        <v>44284</v>
      </c>
      <c r="F473" s="139" t="str">
        <f t="shared" si="21"/>
        <v>Q1-21</v>
      </c>
      <c r="G473" s="140" t="str">
        <f t="shared" si="22"/>
        <v>Mar'21</v>
      </c>
      <c r="H473" s="140" t="str">
        <f>TEXT(RawData[[#This Row],[Date]], "YYYY")</f>
        <v>2021</v>
      </c>
      <c r="I473" s="141" t="s">
        <v>32</v>
      </c>
      <c r="J473" s="141" t="s">
        <v>91</v>
      </c>
      <c r="K473" s="139">
        <f t="shared" si="23"/>
        <v>0</v>
      </c>
      <c r="L473" s="142">
        <f>IF(RawData[[#This Row],[Paid/Unpaid]]="Paid", IF(VALUE($E473)&gt;VALUE($D$3),$K473* 10000,$K473* 8000), 0)</f>
        <v>0</v>
      </c>
      <c r="M473" s="53" t="s">
        <v>146</v>
      </c>
    </row>
    <row r="474" spans="1:13" ht="12.75" customHeight="1" x14ac:dyDescent="0.3">
      <c r="A474" s="71" t="s">
        <v>49</v>
      </c>
      <c r="B474" s="139" t="str">
        <f>IFERROR(VLOOKUP($A474, NameDesignation[], 2,FALSE), " ")</f>
        <v>Former Director</v>
      </c>
      <c r="C474" s="139" t="s">
        <v>30</v>
      </c>
      <c r="D474" s="139">
        <v>442</v>
      </c>
      <c r="E474" s="140">
        <v>44284</v>
      </c>
      <c r="F474" s="139" t="str">
        <f t="shared" si="21"/>
        <v>Q1-21</v>
      </c>
      <c r="G474" s="140" t="str">
        <f t="shared" si="22"/>
        <v>Mar'21</v>
      </c>
      <c r="H474" s="140" t="str">
        <f>TEXT(RawData[[#This Row],[Date]], "YYYY")</f>
        <v>2021</v>
      </c>
      <c r="I474" s="141" t="s">
        <v>32</v>
      </c>
      <c r="J474" s="141" t="s">
        <v>90</v>
      </c>
      <c r="K474" s="139">
        <f t="shared" si="23"/>
        <v>1</v>
      </c>
      <c r="L474" s="142">
        <f>IF(RawData[[#This Row],[Paid/Unpaid]]="Paid", IF(VALUE($E474)&gt;VALUE($D$3),$K474* 10000,$K474* 8000), 0)</f>
        <v>8000</v>
      </c>
      <c r="M474" s="53" t="s">
        <v>146</v>
      </c>
    </row>
    <row r="475" spans="1:13" ht="12.75" customHeight="1" x14ac:dyDescent="0.3">
      <c r="A475" s="71" t="s">
        <v>11</v>
      </c>
      <c r="B475" s="139" t="str">
        <f>IFERROR(VLOOKUP($A475, NameDesignation[], 2,FALSE), " ")</f>
        <v>Former Director</v>
      </c>
      <c r="C475" s="139" t="s">
        <v>30</v>
      </c>
      <c r="D475" s="139">
        <v>442</v>
      </c>
      <c r="E475" s="140">
        <v>44284</v>
      </c>
      <c r="F475" s="139" t="str">
        <f t="shared" si="21"/>
        <v>Q1-21</v>
      </c>
      <c r="G475" s="140" t="str">
        <f t="shared" si="22"/>
        <v>Mar'21</v>
      </c>
      <c r="H475" s="140" t="str">
        <f>TEXT(RawData[[#This Row],[Date]], "YYYY")</f>
        <v>2021</v>
      </c>
      <c r="I475" s="141" t="s">
        <v>32</v>
      </c>
      <c r="J475" s="141" t="s">
        <v>91</v>
      </c>
      <c r="K475" s="139">
        <f t="shared" si="23"/>
        <v>0</v>
      </c>
      <c r="L475" s="142">
        <f>IF(RawData[[#This Row],[Paid/Unpaid]]="Paid", IF(VALUE($E475)&gt;VALUE($D$3),$K475* 10000,$K475* 8000), 0)</f>
        <v>0</v>
      </c>
      <c r="M475" s="53" t="s">
        <v>146</v>
      </c>
    </row>
    <row r="476" spans="1:13" ht="12.75" customHeight="1" x14ac:dyDescent="0.3">
      <c r="A476" s="71" t="s">
        <v>13</v>
      </c>
      <c r="B476" s="139" t="str">
        <f>IFERROR(VLOOKUP($A476, NameDesignation[], 2,FALSE), " ")</f>
        <v>Former Director</v>
      </c>
      <c r="C476" s="139" t="s">
        <v>30</v>
      </c>
      <c r="D476" s="139">
        <v>442</v>
      </c>
      <c r="E476" s="140">
        <v>44284</v>
      </c>
      <c r="F476" s="139" t="str">
        <f t="shared" si="21"/>
        <v>Q1-21</v>
      </c>
      <c r="G476" s="140" t="str">
        <f t="shared" si="22"/>
        <v>Mar'21</v>
      </c>
      <c r="H476" s="140" t="str">
        <f>TEXT(RawData[[#This Row],[Date]], "YYYY")</f>
        <v>2021</v>
      </c>
      <c r="I476" s="141" t="s">
        <v>32</v>
      </c>
      <c r="J476" s="141" t="s">
        <v>90</v>
      </c>
      <c r="K476" s="139">
        <f t="shared" si="23"/>
        <v>1</v>
      </c>
      <c r="L476" s="142">
        <f>IF(RawData[[#This Row],[Paid/Unpaid]]="Paid", IF(VALUE($E476)&gt;VALUE($D$3),$K476* 10000,$K476* 8000), 0)</f>
        <v>8000</v>
      </c>
      <c r="M476" s="53" t="s">
        <v>146</v>
      </c>
    </row>
    <row r="477" spans="1:13" ht="12.75" customHeight="1" x14ac:dyDescent="0.3">
      <c r="A477" s="71" t="s">
        <v>12</v>
      </c>
      <c r="B477" s="139" t="str">
        <f>IFERROR(VLOOKUP($A477, NameDesignation[], 2,FALSE), " ")</f>
        <v>Former Director</v>
      </c>
      <c r="C477" s="139" t="s">
        <v>30</v>
      </c>
      <c r="D477" s="139">
        <v>442</v>
      </c>
      <c r="E477" s="140">
        <v>44284</v>
      </c>
      <c r="F477" s="139" t="str">
        <f t="shared" si="21"/>
        <v>Q1-21</v>
      </c>
      <c r="G477" s="140" t="str">
        <f t="shared" si="22"/>
        <v>Mar'21</v>
      </c>
      <c r="H477" s="140" t="str">
        <f>TEXT(RawData[[#This Row],[Date]], "YYYY")</f>
        <v>2021</v>
      </c>
      <c r="I477" s="141" t="s">
        <v>32</v>
      </c>
      <c r="J477" s="141" t="s">
        <v>90</v>
      </c>
      <c r="K477" s="139">
        <f t="shared" si="23"/>
        <v>1</v>
      </c>
      <c r="L477" s="142">
        <f>IF(RawData[[#This Row],[Paid/Unpaid]]="Paid", IF(VALUE($E477)&gt;VALUE($D$3),$K477* 10000,$K477* 8000), 0)</f>
        <v>8000</v>
      </c>
      <c r="M477" s="53" t="s">
        <v>146</v>
      </c>
    </row>
    <row r="478" spans="1:13" ht="12.75" customHeight="1" x14ac:dyDescent="0.3">
      <c r="A478" s="71" t="s">
        <v>25</v>
      </c>
      <c r="B478" s="139" t="str">
        <f>IFERROR(VLOOKUP($A478, NameDesignation[], 2,FALSE), " ")</f>
        <v>Former Director</v>
      </c>
      <c r="C478" s="139" t="s">
        <v>30</v>
      </c>
      <c r="D478" s="139">
        <v>442</v>
      </c>
      <c r="E478" s="140">
        <v>44284</v>
      </c>
      <c r="F478" s="139" t="str">
        <f t="shared" si="21"/>
        <v>Q1-21</v>
      </c>
      <c r="G478" s="140" t="str">
        <f t="shared" si="22"/>
        <v>Mar'21</v>
      </c>
      <c r="H478" s="140" t="str">
        <f>TEXT(RawData[[#This Row],[Date]], "YYYY")</f>
        <v>2021</v>
      </c>
      <c r="I478" s="141" t="s">
        <v>32</v>
      </c>
      <c r="J478" s="141" t="s">
        <v>91</v>
      </c>
      <c r="K478" s="139">
        <f t="shared" si="23"/>
        <v>0</v>
      </c>
      <c r="L478" s="142">
        <f>IF(RawData[[#This Row],[Paid/Unpaid]]="Paid", IF(VALUE($E478)&gt;VALUE($D$3),$K478* 10000,$K478* 8000), 0)</f>
        <v>0</v>
      </c>
      <c r="M478" s="53" t="s">
        <v>146</v>
      </c>
    </row>
    <row r="479" spans="1:13" ht="12.75" customHeight="1" x14ac:dyDescent="0.3">
      <c r="A479" s="143" t="s">
        <v>7</v>
      </c>
      <c r="B479" s="139" t="str">
        <f>IFERROR(VLOOKUP($A479, NameDesignation[], 2,FALSE), " ")</f>
        <v>Former Director</v>
      </c>
      <c r="C479" s="139" t="s">
        <v>29</v>
      </c>
      <c r="D479" s="139">
        <v>458</v>
      </c>
      <c r="E479" s="140">
        <v>44284</v>
      </c>
      <c r="F479" s="139" t="str">
        <f t="shared" si="21"/>
        <v>Q1-21</v>
      </c>
      <c r="G479" s="140" t="str">
        <f t="shared" si="22"/>
        <v>Mar'21</v>
      </c>
      <c r="H479" s="140" t="str">
        <f>TEXT(RawData[[#This Row],[Date]], "YYYY")</f>
        <v>2021</v>
      </c>
      <c r="I479" s="141" t="s">
        <v>32</v>
      </c>
      <c r="J479" s="141" t="s">
        <v>90</v>
      </c>
      <c r="K479" s="139">
        <f t="shared" si="23"/>
        <v>1</v>
      </c>
      <c r="L479" s="142">
        <f>IF(RawData[[#This Row],[Paid/Unpaid]]="Paid", IF(VALUE($E479)&gt;VALUE($D$3),$K479* 10000,$K479* 8000), 0)</f>
        <v>8000</v>
      </c>
      <c r="M479" s="53" t="s">
        <v>146</v>
      </c>
    </row>
    <row r="480" spans="1:13" ht="12.75" customHeight="1" x14ac:dyDescent="0.3">
      <c r="A480" s="143" t="s">
        <v>8</v>
      </c>
      <c r="B480" s="139" t="str">
        <f>IFERROR(VLOOKUP($A480, NameDesignation[], 2,FALSE), " ")</f>
        <v>Former Vice-Chairman</v>
      </c>
      <c r="C480" s="139" t="s">
        <v>29</v>
      </c>
      <c r="D480" s="139">
        <v>458</v>
      </c>
      <c r="E480" s="140">
        <v>44284</v>
      </c>
      <c r="F480" s="139" t="str">
        <f t="shared" si="21"/>
        <v>Q1-21</v>
      </c>
      <c r="G480" s="140" t="str">
        <f t="shared" si="22"/>
        <v>Mar'21</v>
      </c>
      <c r="H480" s="140" t="str">
        <f>TEXT(RawData[[#This Row],[Date]], "YYYY")</f>
        <v>2021</v>
      </c>
      <c r="I480" s="141" t="s">
        <v>32</v>
      </c>
      <c r="J480" s="141" t="s">
        <v>91</v>
      </c>
      <c r="K480" s="139">
        <f t="shared" si="23"/>
        <v>0</v>
      </c>
      <c r="L480" s="142">
        <f>IF(RawData[[#This Row],[Paid/Unpaid]]="Paid", IF(VALUE($E480)&gt;VALUE($D$3),$K480* 10000,$K480* 8000), 0)</f>
        <v>0</v>
      </c>
      <c r="M480" s="53" t="s">
        <v>146</v>
      </c>
    </row>
    <row r="481" spans="1:13" ht="12.75" customHeight="1" x14ac:dyDescent="0.3">
      <c r="A481" s="143" t="s">
        <v>9</v>
      </c>
      <c r="B481" s="139" t="str">
        <f>IFERROR(VLOOKUP($A481, NameDesignation[], 2,FALSE), " ")</f>
        <v>Former Director</v>
      </c>
      <c r="C481" s="139" t="s">
        <v>29</v>
      </c>
      <c r="D481" s="139">
        <v>458</v>
      </c>
      <c r="E481" s="140">
        <v>44284</v>
      </c>
      <c r="F481" s="139" t="str">
        <f t="shared" si="21"/>
        <v>Q1-21</v>
      </c>
      <c r="G481" s="140" t="str">
        <f t="shared" si="22"/>
        <v>Mar'21</v>
      </c>
      <c r="H481" s="140" t="str">
        <f>TEXT(RawData[[#This Row],[Date]], "YYYY")</f>
        <v>2021</v>
      </c>
      <c r="I481" s="141" t="s">
        <v>32</v>
      </c>
      <c r="J481" s="141" t="s">
        <v>90</v>
      </c>
      <c r="K481" s="139">
        <f t="shared" si="23"/>
        <v>1</v>
      </c>
      <c r="L481" s="142">
        <f>IF(RawData[[#This Row],[Paid/Unpaid]]="Paid", IF(VALUE($E481)&gt;VALUE($D$3),$K481* 10000,$K481* 8000), 0)</f>
        <v>8000</v>
      </c>
      <c r="M481" s="53" t="s">
        <v>146</v>
      </c>
    </row>
    <row r="482" spans="1:13" ht="12.75" customHeight="1" x14ac:dyDescent="0.3">
      <c r="A482" s="143" t="s">
        <v>20</v>
      </c>
      <c r="B482" s="139" t="str">
        <f>IFERROR(VLOOKUP($A482, NameDesignation[], 2,FALSE), " ")</f>
        <v>Former Independent Director</v>
      </c>
      <c r="C482" s="139" t="s">
        <v>29</v>
      </c>
      <c r="D482" s="139">
        <v>458</v>
      </c>
      <c r="E482" s="140">
        <v>44284</v>
      </c>
      <c r="F482" s="139" t="str">
        <f t="shared" si="21"/>
        <v>Q1-21</v>
      </c>
      <c r="G482" s="140" t="str">
        <f t="shared" si="22"/>
        <v>Mar'21</v>
      </c>
      <c r="H482" s="140" t="str">
        <f>TEXT(RawData[[#This Row],[Date]], "YYYY")</f>
        <v>2021</v>
      </c>
      <c r="I482" s="141" t="s">
        <v>32</v>
      </c>
      <c r="J482" s="141" t="s">
        <v>91</v>
      </c>
      <c r="K482" s="139">
        <f t="shared" si="23"/>
        <v>0</v>
      </c>
      <c r="L482" s="142">
        <f>IF(RawData[[#This Row],[Paid/Unpaid]]="Paid", IF(VALUE($E482)&gt;VALUE($D$3),$K482* 10000,$K482* 8000), 0)</f>
        <v>0</v>
      </c>
      <c r="M482" s="53" t="s">
        <v>146</v>
      </c>
    </row>
    <row r="483" spans="1:13" ht="12.75" customHeight="1" x14ac:dyDescent="0.3">
      <c r="A483" s="143" t="s">
        <v>49</v>
      </c>
      <c r="B483" s="139" t="str">
        <f>IFERROR(VLOOKUP($A483, NameDesignation[], 2,FALSE), " ")</f>
        <v>Former Director</v>
      </c>
      <c r="C483" s="139" t="s">
        <v>29</v>
      </c>
      <c r="D483" s="139">
        <v>458</v>
      </c>
      <c r="E483" s="140">
        <v>44284</v>
      </c>
      <c r="F483" s="139" t="str">
        <f t="shared" si="21"/>
        <v>Q1-21</v>
      </c>
      <c r="G483" s="140" t="str">
        <f t="shared" si="22"/>
        <v>Mar'21</v>
      </c>
      <c r="H483" s="140" t="str">
        <f>TEXT(RawData[[#This Row],[Date]], "YYYY")</f>
        <v>2021</v>
      </c>
      <c r="I483" s="141" t="s">
        <v>32</v>
      </c>
      <c r="J483" s="141" t="s">
        <v>90</v>
      </c>
      <c r="K483" s="139">
        <f t="shared" si="23"/>
        <v>1</v>
      </c>
      <c r="L483" s="142">
        <f>IF(RawData[[#This Row],[Paid/Unpaid]]="Paid", IF(VALUE($E483)&gt;VALUE($D$3),$K483* 10000,$K483* 8000), 0)</f>
        <v>8000</v>
      </c>
      <c r="M483" s="53" t="s">
        <v>146</v>
      </c>
    </row>
    <row r="484" spans="1:13" ht="12.75" customHeight="1" x14ac:dyDescent="0.3">
      <c r="A484" s="143" t="s">
        <v>11</v>
      </c>
      <c r="B484" s="139" t="str">
        <f>IFERROR(VLOOKUP($A484, NameDesignation[], 2,FALSE), " ")</f>
        <v>Former Director</v>
      </c>
      <c r="C484" s="139" t="s">
        <v>29</v>
      </c>
      <c r="D484" s="139">
        <v>458</v>
      </c>
      <c r="E484" s="140">
        <v>44284</v>
      </c>
      <c r="F484" s="139" t="str">
        <f t="shared" si="21"/>
        <v>Q1-21</v>
      </c>
      <c r="G484" s="140" t="str">
        <f t="shared" si="22"/>
        <v>Mar'21</v>
      </c>
      <c r="H484" s="140" t="str">
        <f>TEXT(RawData[[#This Row],[Date]], "YYYY")</f>
        <v>2021</v>
      </c>
      <c r="I484" s="141" t="s">
        <v>32</v>
      </c>
      <c r="J484" s="141" t="s">
        <v>91</v>
      </c>
      <c r="K484" s="139">
        <f t="shared" si="23"/>
        <v>0</v>
      </c>
      <c r="L484" s="142">
        <f>IF(RawData[[#This Row],[Paid/Unpaid]]="Paid", IF(VALUE($E484)&gt;VALUE($D$3),$K484* 10000,$K484* 8000), 0)</f>
        <v>0</v>
      </c>
      <c r="M484" s="53" t="s">
        <v>146</v>
      </c>
    </row>
    <row r="485" spans="1:13" ht="12.75" customHeight="1" x14ac:dyDescent="0.3">
      <c r="A485" s="143" t="s">
        <v>12</v>
      </c>
      <c r="B485" s="139" t="str">
        <f>IFERROR(VLOOKUP($A485, NameDesignation[], 2,FALSE), " ")</f>
        <v>Former Director</v>
      </c>
      <c r="C485" s="139" t="s">
        <v>29</v>
      </c>
      <c r="D485" s="139">
        <v>458</v>
      </c>
      <c r="E485" s="140">
        <v>44284</v>
      </c>
      <c r="F485" s="139" t="str">
        <f t="shared" si="21"/>
        <v>Q1-21</v>
      </c>
      <c r="G485" s="140" t="str">
        <f t="shared" si="22"/>
        <v>Mar'21</v>
      </c>
      <c r="H485" s="140" t="str">
        <f>TEXT(RawData[[#This Row],[Date]], "YYYY")</f>
        <v>2021</v>
      </c>
      <c r="I485" s="141" t="s">
        <v>32</v>
      </c>
      <c r="J485" s="141" t="s">
        <v>90</v>
      </c>
      <c r="K485" s="139">
        <f t="shared" si="23"/>
        <v>1</v>
      </c>
      <c r="L485" s="142">
        <f>IF(RawData[[#This Row],[Paid/Unpaid]]="Paid", IF(VALUE($E485)&gt;VALUE($D$3),$K485* 10000,$K485* 8000), 0)</f>
        <v>8000</v>
      </c>
      <c r="M485" s="53" t="s">
        <v>146</v>
      </c>
    </row>
    <row r="486" spans="1:13" ht="12.75" customHeight="1" x14ac:dyDescent="0.3">
      <c r="A486" s="143" t="s">
        <v>137</v>
      </c>
      <c r="B486" s="139" t="str">
        <f>IFERROR(VLOOKUP($A486, NameDesignation[], 2,FALSE), " ")</f>
        <v>Former Director</v>
      </c>
      <c r="C486" s="139" t="s">
        <v>29</v>
      </c>
      <c r="D486" s="139">
        <v>458</v>
      </c>
      <c r="E486" s="140">
        <v>44284</v>
      </c>
      <c r="F486" s="139" t="str">
        <f t="shared" si="21"/>
        <v>Q1-21</v>
      </c>
      <c r="G486" s="140" t="str">
        <f t="shared" si="22"/>
        <v>Mar'21</v>
      </c>
      <c r="H486" s="140" t="str">
        <f>TEXT(RawData[[#This Row],[Date]], "YYYY")</f>
        <v>2021</v>
      </c>
      <c r="I486" s="141" t="s">
        <v>32</v>
      </c>
      <c r="J486" s="141" t="s">
        <v>90</v>
      </c>
      <c r="K486" s="139">
        <f t="shared" si="23"/>
        <v>1</v>
      </c>
      <c r="L486" s="142">
        <f>IF(RawData[[#This Row],[Paid/Unpaid]]="Paid", IF(VALUE($E486)&gt;VALUE($D$3),$K486* 10000,$K486* 8000), 0)</f>
        <v>8000</v>
      </c>
      <c r="M486" s="53" t="s">
        <v>146</v>
      </c>
    </row>
    <row r="487" spans="1:13" ht="12.75" customHeight="1" x14ac:dyDescent="0.3">
      <c r="A487" s="143" t="s">
        <v>13</v>
      </c>
      <c r="B487" s="139" t="str">
        <f>IFERROR(VLOOKUP($A487, NameDesignation[], 2,FALSE), " ")</f>
        <v>Former Director</v>
      </c>
      <c r="C487" s="139" t="s">
        <v>29</v>
      </c>
      <c r="D487" s="139">
        <v>458</v>
      </c>
      <c r="E487" s="140">
        <v>44284</v>
      </c>
      <c r="F487" s="139" t="str">
        <f t="shared" si="21"/>
        <v>Q1-21</v>
      </c>
      <c r="G487" s="140" t="str">
        <f t="shared" si="22"/>
        <v>Mar'21</v>
      </c>
      <c r="H487" s="140" t="str">
        <f>TEXT(RawData[[#This Row],[Date]], "YYYY")</f>
        <v>2021</v>
      </c>
      <c r="I487" s="141" t="s">
        <v>32</v>
      </c>
      <c r="J487" s="141" t="s">
        <v>90</v>
      </c>
      <c r="K487" s="139">
        <f t="shared" si="23"/>
        <v>1</v>
      </c>
      <c r="L487" s="142">
        <f>IF(RawData[[#This Row],[Paid/Unpaid]]="Paid", IF(VALUE($E487)&gt;VALUE($D$3),$K487* 10000,$K487* 8000), 0)</f>
        <v>8000</v>
      </c>
      <c r="M487" s="53" t="s">
        <v>146</v>
      </c>
    </row>
    <row r="488" spans="1:13" ht="12.75" customHeight="1" x14ac:dyDescent="0.3">
      <c r="A488" s="143" t="s">
        <v>61</v>
      </c>
      <c r="B488" s="139" t="str">
        <f>IFERROR(VLOOKUP($A488, NameDesignation[], 2,FALSE), " ")</f>
        <v>Former Director</v>
      </c>
      <c r="C488" s="139" t="s">
        <v>29</v>
      </c>
      <c r="D488" s="139">
        <v>458</v>
      </c>
      <c r="E488" s="140">
        <v>44284</v>
      </c>
      <c r="F488" s="139" t="str">
        <f t="shared" si="21"/>
        <v>Q1-21</v>
      </c>
      <c r="G488" s="140" t="str">
        <f t="shared" si="22"/>
        <v>Mar'21</v>
      </c>
      <c r="H488" s="140" t="str">
        <f>TEXT(RawData[[#This Row],[Date]], "YYYY")</f>
        <v>2021</v>
      </c>
      <c r="I488" s="141" t="s">
        <v>32</v>
      </c>
      <c r="J488" s="141" t="s">
        <v>90</v>
      </c>
      <c r="K488" s="139">
        <f t="shared" si="23"/>
        <v>1</v>
      </c>
      <c r="L488" s="142">
        <f>IF(RawData[[#This Row],[Paid/Unpaid]]="Paid", IF(VALUE($E488)&gt;VALUE($D$3),$K488* 10000,$K488* 8000), 0)</f>
        <v>8000</v>
      </c>
      <c r="M488" s="53" t="s">
        <v>146</v>
      </c>
    </row>
    <row r="489" spans="1:13" ht="12.75" customHeight="1" x14ac:dyDescent="0.3">
      <c r="A489" s="143" t="s">
        <v>23</v>
      </c>
      <c r="B489" s="139" t="str">
        <f>IFERROR(VLOOKUP($A489, NameDesignation[], 2,FALSE), " ")</f>
        <v>Former Director</v>
      </c>
      <c r="C489" s="139" t="s">
        <v>29</v>
      </c>
      <c r="D489" s="139">
        <v>458</v>
      </c>
      <c r="E489" s="140">
        <v>44284</v>
      </c>
      <c r="F489" s="139" t="str">
        <f t="shared" si="21"/>
        <v>Q1-21</v>
      </c>
      <c r="G489" s="140" t="str">
        <f t="shared" si="22"/>
        <v>Mar'21</v>
      </c>
      <c r="H489" s="140" t="str">
        <f>TEXT(RawData[[#This Row],[Date]], "YYYY")</f>
        <v>2021</v>
      </c>
      <c r="I489" s="141" t="s">
        <v>32</v>
      </c>
      <c r="J489" s="141" t="s">
        <v>90</v>
      </c>
      <c r="K489" s="139">
        <f t="shared" si="23"/>
        <v>1</v>
      </c>
      <c r="L489" s="142">
        <f>IF(RawData[[#This Row],[Paid/Unpaid]]="Paid", IF(VALUE($E489)&gt;VALUE($D$3),$K489* 10000,$K489* 8000), 0)</f>
        <v>8000</v>
      </c>
      <c r="M489" s="53" t="s">
        <v>146</v>
      </c>
    </row>
    <row r="490" spans="1:13" ht="12.75" customHeight="1" x14ac:dyDescent="0.3">
      <c r="A490" s="143" t="s">
        <v>24</v>
      </c>
      <c r="B490" s="139" t="str">
        <f>IFERROR(VLOOKUP($A490, NameDesignation[], 2,FALSE), " ")</f>
        <v>Former Director</v>
      </c>
      <c r="C490" s="139" t="s">
        <v>29</v>
      </c>
      <c r="D490" s="139">
        <v>458</v>
      </c>
      <c r="E490" s="140">
        <v>44284</v>
      </c>
      <c r="F490" s="139" t="str">
        <f t="shared" si="21"/>
        <v>Q1-21</v>
      </c>
      <c r="G490" s="140" t="str">
        <f t="shared" si="22"/>
        <v>Mar'21</v>
      </c>
      <c r="H490" s="140" t="str">
        <f>TEXT(RawData[[#This Row],[Date]], "YYYY")</f>
        <v>2021</v>
      </c>
      <c r="I490" s="141" t="s">
        <v>32</v>
      </c>
      <c r="J490" s="141" t="s">
        <v>90</v>
      </c>
      <c r="K490" s="139">
        <f t="shared" si="23"/>
        <v>1</v>
      </c>
      <c r="L490" s="142">
        <f>IF(RawData[[#This Row],[Paid/Unpaid]]="Paid", IF(VALUE($E490)&gt;VALUE($D$3),$K490* 10000,$K490* 8000), 0)</f>
        <v>8000</v>
      </c>
      <c r="M490" s="53" t="s">
        <v>146</v>
      </c>
    </row>
    <row r="491" spans="1:13" ht="12.75" customHeight="1" x14ac:dyDescent="0.3">
      <c r="A491" s="143" t="s">
        <v>15</v>
      </c>
      <c r="B491" s="139" t="str">
        <f>IFERROR(VLOOKUP($A491, NameDesignation[], 2,FALSE), " ")</f>
        <v>Former Director</v>
      </c>
      <c r="C491" s="139" t="s">
        <v>29</v>
      </c>
      <c r="D491" s="139">
        <v>458</v>
      </c>
      <c r="E491" s="140">
        <v>44284</v>
      </c>
      <c r="F491" s="139" t="str">
        <f t="shared" si="21"/>
        <v>Q1-21</v>
      </c>
      <c r="G491" s="140" t="str">
        <f t="shared" si="22"/>
        <v>Mar'21</v>
      </c>
      <c r="H491" s="140" t="str">
        <f>TEXT(RawData[[#This Row],[Date]], "YYYY")</f>
        <v>2021</v>
      </c>
      <c r="I491" s="141" t="s">
        <v>32</v>
      </c>
      <c r="J491" s="141" t="s">
        <v>90</v>
      </c>
      <c r="K491" s="139">
        <f t="shared" si="23"/>
        <v>1</v>
      </c>
      <c r="L491" s="142">
        <f>IF(RawData[[#This Row],[Paid/Unpaid]]="Paid", IF(VALUE($E491)&gt;VALUE($D$3),$K491* 10000,$K491* 8000), 0)</f>
        <v>8000</v>
      </c>
      <c r="M491" s="53" t="s">
        <v>146</v>
      </c>
    </row>
    <row r="492" spans="1:13" ht="12.75" customHeight="1" x14ac:dyDescent="0.3">
      <c r="A492" s="143" t="s">
        <v>21</v>
      </c>
      <c r="B492" s="139" t="str">
        <f>IFERROR(VLOOKUP($A492, NameDesignation[], 2,FALSE), " ")</f>
        <v>Former Independent Director</v>
      </c>
      <c r="C492" s="139" t="s">
        <v>29</v>
      </c>
      <c r="D492" s="139">
        <v>458</v>
      </c>
      <c r="E492" s="140">
        <v>44284</v>
      </c>
      <c r="F492" s="139" t="str">
        <f t="shared" si="21"/>
        <v>Q1-21</v>
      </c>
      <c r="G492" s="140" t="str">
        <f t="shared" si="22"/>
        <v>Mar'21</v>
      </c>
      <c r="H492" s="140" t="str">
        <f>TEXT(RawData[[#This Row],[Date]], "YYYY")</f>
        <v>2021</v>
      </c>
      <c r="I492" s="141" t="s">
        <v>32</v>
      </c>
      <c r="J492" s="141" t="s">
        <v>90</v>
      </c>
      <c r="K492" s="139">
        <f t="shared" si="23"/>
        <v>1</v>
      </c>
      <c r="L492" s="142">
        <f>IF(RawData[[#This Row],[Paid/Unpaid]]="Paid", IF(VALUE($E492)&gt;VALUE($D$3),$K492* 10000,$K492* 8000), 0)</f>
        <v>8000</v>
      </c>
      <c r="M492" s="53" t="s">
        <v>146</v>
      </c>
    </row>
    <row r="493" spans="1:13" ht="12.75" customHeight="1" x14ac:dyDescent="0.3">
      <c r="A493" s="143" t="s">
        <v>25</v>
      </c>
      <c r="B493" s="139" t="str">
        <f>IFERROR(VLOOKUP($A493, NameDesignation[], 2,FALSE), " ")</f>
        <v>Former Director</v>
      </c>
      <c r="C493" s="139" t="s">
        <v>29</v>
      </c>
      <c r="D493" s="139">
        <v>458</v>
      </c>
      <c r="E493" s="140">
        <v>44284</v>
      </c>
      <c r="F493" s="139" t="str">
        <f t="shared" si="21"/>
        <v>Q1-21</v>
      </c>
      <c r="G493" s="140" t="str">
        <f t="shared" si="22"/>
        <v>Mar'21</v>
      </c>
      <c r="H493" s="140" t="str">
        <f>TEXT(RawData[[#This Row],[Date]], "YYYY")</f>
        <v>2021</v>
      </c>
      <c r="I493" s="141" t="s">
        <v>32</v>
      </c>
      <c r="J493" s="141" t="s">
        <v>91</v>
      </c>
      <c r="K493" s="139">
        <f t="shared" si="23"/>
        <v>0</v>
      </c>
      <c r="L493" s="142">
        <f>IF(RawData[[#This Row],[Paid/Unpaid]]="Paid", IF(VALUE($E493)&gt;VALUE($D$3),$K493* 10000,$K493* 8000), 0)</f>
        <v>0</v>
      </c>
      <c r="M493" s="53" t="s">
        <v>146</v>
      </c>
    </row>
    <row r="494" spans="1:13" ht="12.75" customHeight="1" x14ac:dyDescent="0.3">
      <c r="A494" s="143" t="s">
        <v>50</v>
      </c>
      <c r="B494" s="139" t="str">
        <f>IFERROR(VLOOKUP($A494, NameDesignation[], 2,FALSE), " ")</f>
        <v>Former Director</v>
      </c>
      <c r="C494" s="139" t="s">
        <v>29</v>
      </c>
      <c r="D494" s="139">
        <v>458</v>
      </c>
      <c r="E494" s="140">
        <v>44284</v>
      </c>
      <c r="F494" s="139" t="str">
        <f t="shared" si="21"/>
        <v>Q1-21</v>
      </c>
      <c r="G494" s="140" t="str">
        <f t="shared" si="22"/>
        <v>Mar'21</v>
      </c>
      <c r="H494" s="140" t="str">
        <f>TEXT(RawData[[#This Row],[Date]], "YYYY")</f>
        <v>2021</v>
      </c>
      <c r="I494" s="141" t="s">
        <v>32</v>
      </c>
      <c r="J494" s="141" t="s">
        <v>91</v>
      </c>
      <c r="K494" s="139">
        <f t="shared" si="23"/>
        <v>0</v>
      </c>
      <c r="L494" s="142">
        <f>IF(RawData[[#This Row],[Paid/Unpaid]]="Paid", IF(VALUE($E494)&gt;VALUE($D$3),$K494* 10000,$K494* 8000), 0)</f>
        <v>0</v>
      </c>
      <c r="M494" s="53" t="s">
        <v>146</v>
      </c>
    </row>
    <row r="495" spans="1:13" ht="12.75" customHeight="1" x14ac:dyDescent="0.3">
      <c r="A495" s="143" t="s">
        <v>51</v>
      </c>
      <c r="B495" s="139" t="str">
        <f>IFERROR(VLOOKUP($A495, NameDesignation[], 2,FALSE), " ")</f>
        <v>Former Director</v>
      </c>
      <c r="C495" s="139" t="s">
        <v>29</v>
      </c>
      <c r="D495" s="139">
        <v>458</v>
      </c>
      <c r="E495" s="140">
        <v>44284</v>
      </c>
      <c r="F495" s="139" t="str">
        <f t="shared" si="21"/>
        <v>Q1-21</v>
      </c>
      <c r="G495" s="140" t="str">
        <f t="shared" si="22"/>
        <v>Mar'21</v>
      </c>
      <c r="H495" s="140" t="str">
        <f>TEXT(RawData[[#This Row],[Date]], "YYYY")</f>
        <v>2021</v>
      </c>
      <c r="I495" s="141" t="s">
        <v>32</v>
      </c>
      <c r="J495" s="141" t="s">
        <v>90</v>
      </c>
      <c r="K495" s="139">
        <f t="shared" si="23"/>
        <v>1</v>
      </c>
      <c r="L495" s="142">
        <f>IF(RawData[[#This Row],[Paid/Unpaid]]="Paid", IF(VALUE($E495)&gt;VALUE($D$3),$K495* 10000,$K495* 8000), 0)</f>
        <v>8000</v>
      </c>
      <c r="M495" s="53" t="s">
        <v>146</v>
      </c>
    </row>
    <row r="496" spans="1:13" ht="12.75" customHeight="1" x14ac:dyDescent="0.3">
      <c r="A496" s="143" t="s">
        <v>27</v>
      </c>
      <c r="B496" s="139" t="str">
        <f>IFERROR(VLOOKUP($A496, NameDesignation[], 2,FALSE), " ")</f>
        <v>Former Director</v>
      </c>
      <c r="C496" s="139" t="s">
        <v>29</v>
      </c>
      <c r="D496" s="139">
        <v>458</v>
      </c>
      <c r="E496" s="140">
        <v>44284</v>
      </c>
      <c r="F496" s="139" t="str">
        <f t="shared" si="21"/>
        <v>Q1-21</v>
      </c>
      <c r="G496" s="140" t="str">
        <f t="shared" si="22"/>
        <v>Mar'21</v>
      </c>
      <c r="H496" s="140" t="str">
        <f>TEXT(RawData[[#This Row],[Date]], "YYYY")</f>
        <v>2021</v>
      </c>
      <c r="I496" s="141" t="s">
        <v>32</v>
      </c>
      <c r="J496" s="141" t="s">
        <v>91</v>
      </c>
      <c r="K496" s="139">
        <f t="shared" si="23"/>
        <v>0</v>
      </c>
      <c r="L496" s="142">
        <f>IF(RawData[[#This Row],[Paid/Unpaid]]="Paid", IF(VALUE($E496)&gt;VALUE($D$3),$K496* 10000,$K496* 8000), 0)</f>
        <v>0</v>
      </c>
      <c r="M496" s="53" t="s">
        <v>146</v>
      </c>
    </row>
    <row r="497" spans="1:13" ht="12.75" customHeight="1" x14ac:dyDescent="0.3">
      <c r="A497" s="143" t="s">
        <v>18</v>
      </c>
      <c r="B497" s="139" t="str">
        <f>IFERROR(VLOOKUP($A497, NameDesignation[], 2,FALSE), " ")</f>
        <v>Former Independent Director</v>
      </c>
      <c r="C497" s="139" t="s">
        <v>29</v>
      </c>
      <c r="D497" s="139">
        <v>458</v>
      </c>
      <c r="E497" s="140">
        <v>44284</v>
      </c>
      <c r="F497" s="139" t="str">
        <f t="shared" si="21"/>
        <v>Q1-21</v>
      </c>
      <c r="G497" s="140" t="str">
        <f t="shared" si="22"/>
        <v>Mar'21</v>
      </c>
      <c r="H497" s="140" t="str">
        <f>TEXT(RawData[[#This Row],[Date]], "YYYY")</f>
        <v>2021</v>
      </c>
      <c r="I497" s="141" t="s">
        <v>32</v>
      </c>
      <c r="J497" s="141" t="s">
        <v>91</v>
      </c>
      <c r="K497" s="139">
        <f t="shared" si="23"/>
        <v>0</v>
      </c>
      <c r="L497" s="142">
        <f>IF(RawData[[#This Row],[Paid/Unpaid]]="Paid", IF(VALUE($E497)&gt;VALUE($D$3),$K497* 10000,$K497* 8000), 0)</f>
        <v>0</v>
      </c>
      <c r="M497" s="53" t="s">
        <v>146</v>
      </c>
    </row>
    <row r="498" spans="1:13" ht="12.75" customHeight="1" x14ac:dyDescent="0.3">
      <c r="A498" s="143" t="s">
        <v>35</v>
      </c>
      <c r="B498" s="139" t="str">
        <f>IFERROR(VLOOKUP($A498, NameDesignation[], 2,FALSE), " ")</f>
        <v>Former Managing Director &amp; CEO</v>
      </c>
      <c r="C498" s="139" t="s">
        <v>29</v>
      </c>
      <c r="D498" s="139">
        <v>458</v>
      </c>
      <c r="E498" s="140">
        <v>44284</v>
      </c>
      <c r="F498" s="139" t="str">
        <f t="shared" si="21"/>
        <v>Q1-21</v>
      </c>
      <c r="G498" s="140" t="str">
        <f t="shared" si="22"/>
        <v>Mar'21</v>
      </c>
      <c r="H498" s="140" t="str">
        <f>TEXT(RawData[[#This Row],[Date]], "YYYY")</f>
        <v>2021</v>
      </c>
      <c r="I498" s="141" t="s">
        <v>32</v>
      </c>
      <c r="J498" s="141" t="s">
        <v>91</v>
      </c>
      <c r="K498" s="139">
        <f t="shared" si="23"/>
        <v>0</v>
      </c>
      <c r="L498" s="142">
        <f>IF(RawData[[#This Row],[Paid/Unpaid]]="Paid", IF(VALUE($E498)&gt;VALUE($D$3),$K498* 10000,$K498* 8000), 0)</f>
        <v>0</v>
      </c>
      <c r="M498" s="53" t="s">
        <v>146</v>
      </c>
    </row>
    <row r="499" spans="1:13" ht="12.75" customHeight="1" x14ac:dyDescent="0.3">
      <c r="A499" s="143" t="s">
        <v>7</v>
      </c>
      <c r="B499" s="139" t="str">
        <f>IFERROR(VLOOKUP($A499, NameDesignation[], 2,FALSE), " ")</f>
        <v>Former Director</v>
      </c>
      <c r="C499" s="139" t="s">
        <v>29</v>
      </c>
      <c r="D499" s="139">
        <v>459</v>
      </c>
      <c r="E499" s="140">
        <v>44319</v>
      </c>
      <c r="F499" s="139" t="str">
        <f t="shared" si="21"/>
        <v>Q2-21</v>
      </c>
      <c r="G499" s="140" t="str">
        <f t="shared" si="22"/>
        <v>May'21</v>
      </c>
      <c r="H499" s="140" t="str">
        <f>TEXT(RawData[[#This Row],[Date]], "YYYY")</f>
        <v>2021</v>
      </c>
      <c r="I499" s="141" t="s">
        <v>32</v>
      </c>
      <c r="J499" s="141" t="s">
        <v>90</v>
      </c>
      <c r="K499" s="139">
        <f t="shared" si="23"/>
        <v>1</v>
      </c>
      <c r="L499" s="142">
        <f>IF(RawData[[#This Row],[Paid/Unpaid]]="Paid", IF(VALUE($E499)&gt;VALUE($D$3),$K499* 10000,$K499* 8000), 0)</f>
        <v>8000</v>
      </c>
      <c r="M499" s="53" t="s">
        <v>146</v>
      </c>
    </row>
    <row r="500" spans="1:13" ht="12.75" customHeight="1" x14ac:dyDescent="0.3">
      <c r="A500" s="143" t="s">
        <v>8</v>
      </c>
      <c r="B500" s="139" t="str">
        <f>IFERROR(VLOOKUP($A500, NameDesignation[], 2,FALSE), " ")</f>
        <v>Former Vice-Chairman</v>
      </c>
      <c r="C500" s="139" t="s">
        <v>29</v>
      </c>
      <c r="D500" s="139">
        <v>459</v>
      </c>
      <c r="E500" s="140">
        <v>44319</v>
      </c>
      <c r="F500" s="139" t="str">
        <f t="shared" si="21"/>
        <v>Q2-21</v>
      </c>
      <c r="G500" s="140" t="str">
        <f t="shared" si="22"/>
        <v>May'21</v>
      </c>
      <c r="H500" s="140" t="str">
        <f>TEXT(RawData[[#This Row],[Date]], "YYYY")</f>
        <v>2021</v>
      </c>
      <c r="I500" s="141" t="s">
        <v>32</v>
      </c>
      <c r="J500" s="141" t="s">
        <v>91</v>
      </c>
      <c r="K500" s="139">
        <f t="shared" si="23"/>
        <v>0</v>
      </c>
      <c r="L500" s="142">
        <f>IF(RawData[[#This Row],[Paid/Unpaid]]="Paid", IF(VALUE($E500)&gt;VALUE($D$3),$K500* 10000,$K500* 8000), 0)</f>
        <v>0</v>
      </c>
      <c r="M500" s="53" t="s">
        <v>146</v>
      </c>
    </row>
    <row r="501" spans="1:13" ht="12.75" customHeight="1" x14ac:dyDescent="0.3">
      <c r="A501" s="143" t="s">
        <v>9</v>
      </c>
      <c r="B501" s="139" t="str">
        <f>IFERROR(VLOOKUP($A501, NameDesignation[], 2,FALSE), " ")</f>
        <v>Former Director</v>
      </c>
      <c r="C501" s="139" t="s">
        <v>29</v>
      </c>
      <c r="D501" s="139">
        <v>459</v>
      </c>
      <c r="E501" s="140">
        <v>44319</v>
      </c>
      <c r="F501" s="139" t="str">
        <f t="shared" si="21"/>
        <v>Q2-21</v>
      </c>
      <c r="G501" s="140" t="str">
        <f t="shared" si="22"/>
        <v>May'21</v>
      </c>
      <c r="H501" s="140" t="str">
        <f>TEXT(RawData[[#This Row],[Date]], "YYYY")</f>
        <v>2021</v>
      </c>
      <c r="I501" s="141" t="s">
        <v>32</v>
      </c>
      <c r="J501" s="141" t="s">
        <v>90</v>
      </c>
      <c r="K501" s="139">
        <f t="shared" si="23"/>
        <v>1</v>
      </c>
      <c r="L501" s="142">
        <f>IF(RawData[[#This Row],[Paid/Unpaid]]="Paid", IF(VALUE($E501)&gt;VALUE($D$3),$K501* 10000,$K501* 8000), 0)</f>
        <v>8000</v>
      </c>
      <c r="M501" s="53" t="s">
        <v>146</v>
      </c>
    </row>
    <row r="502" spans="1:13" ht="12.75" customHeight="1" x14ac:dyDescent="0.3">
      <c r="A502" s="143" t="s">
        <v>20</v>
      </c>
      <c r="B502" s="139" t="str">
        <f>IFERROR(VLOOKUP($A502, NameDesignation[], 2,FALSE), " ")</f>
        <v>Former Independent Director</v>
      </c>
      <c r="C502" s="139" t="s">
        <v>29</v>
      </c>
      <c r="D502" s="139">
        <v>459</v>
      </c>
      <c r="E502" s="140">
        <v>44319</v>
      </c>
      <c r="F502" s="139" t="str">
        <f t="shared" si="21"/>
        <v>Q2-21</v>
      </c>
      <c r="G502" s="140" t="str">
        <f t="shared" si="22"/>
        <v>May'21</v>
      </c>
      <c r="H502" s="140" t="str">
        <f>TEXT(RawData[[#This Row],[Date]], "YYYY")</f>
        <v>2021</v>
      </c>
      <c r="I502" s="141" t="s">
        <v>32</v>
      </c>
      <c r="J502" s="141" t="s">
        <v>91</v>
      </c>
      <c r="K502" s="139">
        <f t="shared" si="23"/>
        <v>0</v>
      </c>
      <c r="L502" s="142">
        <f>IF(RawData[[#This Row],[Paid/Unpaid]]="Paid", IF(VALUE($E502)&gt;VALUE($D$3),$K502* 10000,$K502* 8000), 0)</f>
        <v>0</v>
      </c>
      <c r="M502" s="53" t="s">
        <v>146</v>
      </c>
    </row>
    <row r="503" spans="1:13" ht="12.75" customHeight="1" x14ac:dyDescent="0.3">
      <c r="A503" s="143" t="s">
        <v>49</v>
      </c>
      <c r="B503" s="139" t="str">
        <f>IFERROR(VLOOKUP($A503, NameDesignation[], 2,FALSE), " ")</f>
        <v>Former Director</v>
      </c>
      <c r="C503" s="139" t="s">
        <v>29</v>
      </c>
      <c r="D503" s="139">
        <v>459</v>
      </c>
      <c r="E503" s="140">
        <v>44319</v>
      </c>
      <c r="F503" s="139" t="str">
        <f t="shared" si="21"/>
        <v>Q2-21</v>
      </c>
      <c r="G503" s="140" t="str">
        <f t="shared" si="22"/>
        <v>May'21</v>
      </c>
      <c r="H503" s="140" t="str">
        <f>TEXT(RawData[[#This Row],[Date]], "YYYY")</f>
        <v>2021</v>
      </c>
      <c r="I503" s="141" t="s">
        <v>32</v>
      </c>
      <c r="J503" s="141" t="s">
        <v>90</v>
      </c>
      <c r="K503" s="139">
        <f t="shared" si="23"/>
        <v>1</v>
      </c>
      <c r="L503" s="142">
        <f>IF(RawData[[#This Row],[Paid/Unpaid]]="Paid", IF(VALUE($E503)&gt;VALUE($D$3),$K503* 10000,$K503* 8000), 0)</f>
        <v>8000</v>
      </c>
      <c r="M503" s="53" t="s">
        <v>146</v>
      </c>
    </row>
    <row r="504" spans="1:13" ht="12.75" customHeight="1" x14ac:dyDescent="0.3">
      <c r="A504" s="143" t="s">
        <v>11</v>
      </c>
      <c r="B504" s="139" t="str">
        <f>IFERROR(VLOOKUP($A504, NameDesignation[], 2,FALSE), " ")</f>
        <v>Former Director</v>
      </c>
      <c r="C504" s="139" t="s">
        <v>29</v>
      </c>
      <c r="D504" s="139">
        <v>459</v>
      </c>
      <c r="E504" s="140">
        <v>44319</v>
      </c>
      <c r="F504" s="139" t="str">
        <f t="shared" si="21"/>
        <v>Q2-21</v>
      </c>
      <c r="G504" s="140" t="str">
        <f t="shared" si="22"/>
        <v>May'21</v>
      </c>
      <c r="H504" s="140" t="str">
        <f>TEXT(RawData[[#This Row],[Date]], "YYYY")</f>
        <v>2021</v>
      </c>
      <c r="I504" s="141" t="s">
        <v>32</v>
      </c>
      <c r="J504" s="141" t="s">
        <v>90</v>
      </c>
      <c r="K504" s="139">
        <f t="shared" si="23"/>
        <v>1</v>
      </c>
      <c r="L504" s="142">
        <f>IF(RawData[[#This Row],[Paid/Unpaid]]="Paid", IF(VALUE($E504)&gt;VALUE($D$3),$K504* 10000,$K504* 8000), 0)</f>
        <v>8000</v>
      </c>
      <c r="M504" s="53" t="s">
        <v>146</v>
      </c>
    </row>
    <row r="505" spans="1:13" ht="12.75" customHeight="1" x14ac:dyDescent="0.3">
      <c r="A505" s="143" t="s">
        <v>12</v>
      </c>
      <c r="B505" s="139" t="str">
        <f>IFERROR(VLOOKUP($A505, NameDesignation[], 2,FALSE), " ")</f>
        <v>Former Director</v>
      </c>
      <c r="C505" s="139" t="s">
        <v>29</v>
      </c>
      <c r="D505" s="139">
        <v>459</v>
      </c>
      <c r="E505" s="140">
        <v>44319</v>
      </c>
      <c r="F505" s="139" t="str">
        <f t="shared" si="21"/>
        <v>Q2-21</v>
      </c>
      <c r="G505" s="140" t="str">
        <f t="shared" si="22"/>
        <v>May'21</v>
      </c>
      <c r="H505" s="140" t="str">
        <f>TEXT(RawData[[#This Row],[Date]], "YYYY")</f>
        <v>2021</v>
      </c>
      <c r="I505" s="141" t="s">
        <v>32</v>
      </c>
      <c r="J505" s="141" t="s">
        <v>90</v>
      </c>
      <c r="K505" s="139">
        <f t="shared" si="23"/>
        <v>1</v>
      </c>
      <c r="L505" s="142">
        <f>IF(RawData[[#This Row],[Paid/Unpaid]]="Paid", IF(VALUE($E505)&gt;VALUE($D$3),$K505* 10000,$K505* 8000), 0)</f>
        <v>8000</v>
      </c>
      <c r="M505" s="53" t="s">
        <v>146</v>
      </c>
    </row>
    <row r="506" spans="1:13" ht="12.75" customHeight="1" x14ac:dyDescent="0.3">
      <c r="A506" s="143" t="s">
        <v>137</v>
      </c>
      <c r="B506" s="139" t="str">
        <f>IFERROR(VLOOKUP($A506, NameDesignation[], 2,FALSE), " ")</f>
        <v>Former Director</v>
      </c>
      <c r="C506" s="139" t="s">
        <v>29</v>
      </c>
      <c r="D506" s="139">
        <v>459</v>
      </c>
      <c r="E506" s="140">
        <v>44319</v>
      </c>
      <c r="F506" s="139" t="str">
        <f t="shared" si="21"/>
        <v>Q2-21</v>
      </c>
      <c r="G506" s="140" t="str">
        <f t="shared" si="22"/>
        <v>May'21</v>
      </c>
      <c r="H506" s="140" t="str">
        <f>TEXT(RawData[[#This Row],[Date]], "YYYY")</f>
        <v>2021</v>
      </c>
      <c r="I506" s="141" t="s">
        <v>32</v>
      </c>
      <c r="J506" s="141" t="s">
        <v>90</v>
      </c>
      <c r="K506" s="139">
        <f t="shared" si="23"/>
        <v>1</v>
      </c>
      <c r="L506" s="142">
        <f>IF(RawData[[#This Row],[Paid/Unpaid]]="Paid", IF(VALUE($E506)&gt;VALUE($D$3),$K506* 10000,$K506* 8000), 0)</f>
        <v>8000</v>
      </c>
      <c r="M506" s="53" t="s">
        <v>146</v>
      </c>
    </row>
    <row r="507" spans="1:13" ht="12.75" customHeight="1" x14ac:dyDescent="0.3">
      <c r="A507" s="143" t="s">
        <v>13</v>
      </c>
      <c r="B507" s="139" t="str">
        <f>IFERROR(VLOOKUP($A507, NameDesignation[], 2,FALSE), " ")</f>
        <v>Former Director</v>
      </c>
      <c r="C507" s="139" t="s">
        <v>29</v>
      </c>
      <c r="D507" s="139">
        <v>459</v>
      </c>
      <c r="E507" s="140">
        <v>44319</v>
      </c>
      <c r="F507" s="139" t="str">
        <f t="shared" si="21"/>
        <v>Q2-21</v>
      </c>
      <c r="G507" s="140" t="str">
        <f t="shared" si="22"/>
        <v>May'21</v>
      </c>
      <c r="H507" s="140" t="str">
        <f>TEXT(RawData[[#This Row],[Date]], "YYYY")</f>
        <v>2021</v>
      </c>
      <c r="I507" s="141" t="s">
        <v>32</v>
      </c>
      <c r="J507" s="141" t="s">
        <v>90</v>
      </c>
      <c r="K507" s="139">
        <f t="shared" si="23"/>
        <v>1</v>
      </c>
      <c r="L507" s="142">
        <f>IF(RawData[[#This Row],[Paid/Unpaid]]="Paid", IF(VALUE($E507)&gt;VALUE($D$3),$K507* 10000,$K507* 8000), 0)</f>
        <v>8000</v>
      </c>
      <c r="M507" s="53" t="s">
        <v>146</v>
      </c>
    </row>
    <row r="508" spans="1:13" ht="12.75" customHeight="1" x14ac:dyDescent="0.3">
      <c r="A508" s="143" t="s">
        <v>61</v>
      </c>
      <c r="B508" s="139" t="str">
        <f>IFERROR(VLOOKUP($A508, NameDesignation[], 2,FALSE), " ")</f>
        <v>Former Director</v>
      </c>
      <c r="C508" s="139" t="s">
        <v>29</v>
      </c>
      <c r="D508" s="139">
        <v>459</v>
      </c>
      <c r="E508" s="140">
        <v>44319</v>
      </c>
      <c r="F508" s="139" t="str">
        <f t="shared" si="21"/>
        <v>Q2-21</v>
      </c>
      <c r="G508" s="140" t="str">
        <f t="shared" si="22"/>
        <v>May'21</v>
      </c>
      <c r="H508" s="140" t="str">
        <f>TEXT(RawData[[#This Row],[Date]], "YYYY")</f>
        <v>2021</v>
      </c>
      <c r="I508" s="141" t="s">
        <v>32</v>
      </c>
      <c r="J508" s="141" t="s">
        <v>90</v>
      </c>
      <c r="K508" s="139">
        <f t="shared" si="23"/>
        <v>1</v>
      </c>
      <c r="L508" s="142">
        <f>IF(RawData[[#This Row],[Paid/Unpaid]]="Paid", IF(VALUE($E508)&gt;VALUE($D$3),$K508* 10000,$K508* 8000), 0)</f>
        <v>8000</v>
      </c>
      <c r="M508" s="53" t="s">
        <v>146</v>
      </c>
    </row>
    <row r="509" spans="1:13" ht="12.75" customHeight="1" x14ac:dyDescent="0.3">
      <c r="A509" s="143" t="s">
        <v>23</v>
      </c>
      <c r="B509" s="139" t="str">
        <f>IFERROR(VLOOKUP($A509, NameDesignation[], 2,FALSE), " ")</f>
        <v>Former Director</v>
      </c>
      <c r="C509" s="139" t="s">
        <v>29</v>
      </c>
      <c r="D509" s="139">
        <v>459</v>
      </c>
      <c r="E509" s="140">
        <v>44319</v>
      </c>
      <c r="F509" s="139" t="str">
        <f t="shared" si="21"/>
        <v>Q2-21</v>
      </c>
      <c r="G509" s="140" t="str">
        <f t="shared" si="22"/>
        <v>May'21</v>
      </c>
      <c r="H509" s="140" t="str">
        <f>TEXT(RawData[[#This Row],[Date]], "YYYY")</f>
        <v>2021</v>
      </c>
      <c r="I509" s="141" t="s">
        <v>32</v>
      </c>
      <c r="J509" s="141" t="s">
        <v>90</v>
      </c>
      <c r="K509" s="139">
        <f t="shared" si="23"/>
        <v>1</v>
      </c>
      <c r="L509" s="142">
        <f>IF(RawData[[#This Row],[Paid/Unpaid]]="Paid", IF(VALUE($E509)&gt;VALUE($D$3),$K509* 10000,$K509* 8000), 0)</f>
        <v>8000</v>
      </c>
      <c r="M509" s="53" t="s">
        <v>146</v>
      </c>
    </row>
    <row r="510" spans="1:13" ht="12.75" customHeight="1" x14ac:dyDescent="0.3">
      <c r="A510" s="143" t="s">
        <v>24</v>
      </c>
      <c r="B510" s="139" t="str">
        <f>IFERROR(VLOOKUP($A510, NameDesignation[], 2,FALSE), " ")</f>
        <v>Former Director</v>
      </c>
      <c r="C510" s="139" t="s">
        <v>29</v>
      </c>
      <c r="D510" s="139">
        <v>459</v>
      </c>
      <c r="E510" s="140">
        <v>44319</v>
      </c>
      <c r="F510" s="139" t="str">
        <f t="shared" si="21"/>
        <v>Q2-21</v>
      </c>
      <c r="G510" s="140" t="str">
        <f t="shared" si="22"/>
        <v>May'21</v>
      </c>
      <c r="H510" s="140" t="str">
        <f>TEXT(RawData[[#This Row],[Date]], "YYYY")</f>
        <v>2021</v>
      </c>
      <c r="I510" s="141" t="s">
        <v>32</v>
      </c>
      <c r="J510" s="141" t="s">
        <v>90</v>
      </c>
      <c r="K510" s="139">
        <f t="shared" si="23"/>
        <v>1</v>
      </c>
      <c r="L510" s="142">
        <f>IF(RawData[[#This Row],[Paid/Unpaid]]="Paid", IF(VALUE($E510)&gt;VALUE($D$3),$K510* 10000,$K510* 8000), 0)</f>
        <v>8000</v>
      </c>
      <c r="M510" s="53" t="s">
        <v>146</v>
      </c>
    </row>
    <row r="511" spans="1:13" ht="12.75" customHeight="1" x14ac:dyDescent="0.3">
      <c r="A511" s="143" t="s">
        <v>15</v>
      </c>
      <c r="B511" s="139" t="str">
        <f>IFERROR(VLOOKUP($A511, NameDesignation[], 2,FALSE), " ")</f>
        <v>Former Director</v>
      </c>
      <c r="C511" s="139" t="s">
        <v>29</v>
      </c>
      <c r="D511" s="139">
        <v>459</v>
      </c>
      <c r="E511" s="140">
        <v>44319</v>
      </c>
      <c r="F511" s="139" t="str">
        <f t="shared" si="21"/>
        <v>Q2-21</v>
      </c>
      <c r="G511" s="140" t="str">
        <f t="shared" si="22"/>
        <v>May'21</v>
      </c>
      <c r="H511" s="140" t="str">
        <f>TEXT(RawData[[#This Row],[Date]], "YYYY")</f>
        <v>2021</v>
      </c>
      <c r="I511" s="141" t="s">
        <v>32</v>
      </c>
      <c r="J511" s="141" t="s">
        <v>90</v>
      </c>
      <c r="K511" s="139">
        <f t="shared" si="23"/>
        <v>1</v>
      </c>
      <c r="L511" s="142">
        <f>IF(RawData[[#This Row],[Paid/Unpaid]]="Paid", IF(VALUE($E511)&gt;VALUE($D$3),$K511* 10000,$K511* 8000), 0)</f>
        <v>8000</v>
      </c>
      <c r="M511" s="53" t="s">
        <v>146</v>
      </c>
    </row>
    <row r="512" spans="1:13" ht="12.75" customHeight="1" x14ac:dyDescent="0.3">
      <c r="A512" s="143" t="s">
        <v>21</v>
      </c>
      <c r="B512" s="139" t="str">
        <f>IFERROR(VLOOKUP($A512, NameDesignation[], 2,FALSE), " ")</f>
        <v>Former Independent Director</v>
      </c>
      <c r="C512" s="139" t="s">
        <v>29</v>
      </c>
      <c r="D512" s="139">
        <v>459</v>
      </c>
      <c r="E512" s="140">
        <v>44319</v>
      </c>
      <c r="F512" s="139" t="str">
        <f t="shared" si="21"/>
        <v>Q2-21</v>
      </c>
      <c r="G512" s="140" t="str">
        <f t="shared" si="22"/>
        <v>May'21</v>
      </c>
      <c r="H512" s="140" t="str">
        <f>TEXT(RawData[[#This Row],[Date]], "YYYY")</f>
        <v>2021</v>
      </c>
      <c r="I512" s="141" t="s">
        <v>32</v>
      </c>
      <c r="J512" s="141" t="s">
        <v>90</v>
      </c>
      <c r="K512" s="139">
        <f t="shared" si="23"/>
        <v>1</v>
      </c>
      <c r="L512" s="142">
        <f>IF(RawData[[#This Row],[Paid/Unpaid]]="Paid", IF(VALUE($E512)&gt;VALUE($D$3),$K512* 10000,$K512* 8000), 0)</f>
        <v>8000</v>
      </c>
      <c r="M512" s="53" t="s">
        <v>146</v>
      </c>
    </row>
    <row r="513" spans="1:13" ht="12.75" customHeight="1" x14ac:dyDescent="0.3">
      <c r="A513" s="143" t="s">
        <v>25</v>
      </c>
      <c r="B513" s="139" t="str">
        <f>IFERROR(VLOOKUP($A513, NameDesignation[], 2,FALSE), " ")</f>
        <v>Former Director</v>
      </c>
      <c r="C513" s="139" t="s">
        <v>29</v>
      </c>
      <c r="D513" s="139">
        <v>459</v>
      </c>
      <c r="E513" s="140">
        <v>44319</v>
      </c>
      <c r="F513" s="139" t="str">
        <f t="shared" si="21"/>
        <v>Q2-21</v>
      </c>
      <c r="G513" s="140" t="str">
        <f t="shared" si="22"/>
        <v>May'21</v>
      </c>
      <c r="H513" s="140" t="str">
        <f>TEXT(RawData[[#This Row],[Date]], "YYYY")</f>
        <v>2021</v>
      </c>
      <c r="I513" s="141" t="s">
        <v>32</v>
      </c>
      <c r="J513" s="141" t="s">
        <v>91</v>
      </c>
      <c r="K513" s="139">
        <f t="shared" si="23"/>
        <v>0</v>
      </c>
      <c r="L513" s="142">
        <f>IF(RawData[[#This Row],[Paid/Unpaid]]="Paid", IF(VALUE($E513)&gt;VALUE($D$3),$K513* 10000,$K513* 8000), 0)</f>
        <v>0</v>
      </c>
      <c r="M513" s="53" t="s">
        <v>146</v>
      </c>
    </row>
    <row r="514" spans="1:13" ht="12.75" customHeight="1" x14ac:dyDescent="0.3">
      <c r="A514" s="143" t="s">
        <v>50</v>
      </c>
      <c r="B514" s="139" t="str">
        <f>IFERROR(VLOOKUP($A514, NameDesignation[], 2,FALSE), " ")</f>
        <v>Former Director</v>
      </c>
      <c r="C514" s="139" t="s">
        <v>29</v>
      </c>
      <c r="D514" s="139">
        <v>459</v>
      </c>
      <c r="E514" s="140">
        <v>44319</v>
      </c>
      <c r="F514" s="139" t="str">
        <f t="shared" si="21"/>
        <v>Q2-21</v>
      </c>
      <c r="G514" s="140" t="str">
        <f t="shared" si="22"/>
        <v>May'21</v>
      </c>
      <c r="H514" s="140" t="str">
        <f>TEXT(RawData[[#This Row],[Date]], "YYYY")</f>
        <v>2021</v>
      </c>
      <c r="I514" s="141" t="s">
        <v>32</v>
      </c>
      <c r="J514" s="141" t="s">
        <v>91</v>
      </c>
      <c r="K514" s="139">
        <f t="shared" si="23"/>
        <v>0</v>
      </c>
      <c r="L514" s="142">
        <f>IF(RawData[[#This Row],[Paid/Unpaid]]="Paid", IF(VALUE($E514)&gt;VALUE($D$3),$K514* 10000,$K514* 8000), 0)</f>
        <v>0</v>
      </c>
      <c r="M514" s="53" t="s">
        <v>146</v>
      </c>
    </row>
    <row r="515" spans="1:13" ht="12.75" customHeight="1" x14ac:dyDescent="0.3">
      <c r="A515" s="143" t="s">
        <v>51</v>
      </c>
      <c r="B515" s="139" t="str">
        <f>IFERROR(VLOOKUP($A515, NameDesignation[], 2,FALSE), " ")</f>
        <v>Former Director</v>
      </c>
      <c r="C515" s="139" t="s">
        <v>29</v>
      </c>
      <c r="D515" s="139">
        <v>459</v>
      </c>
      <c r="E515" s="140">
        <v>44319</v>
      </c>
      <c r="F515" s="139" t="str">
        <f t="shared" si="21"/>
        <v>Q2-21</v>
      </c>
      <c r="G515" s="140" t="str">
        <f t="shared" si="22"/>
        <v>May'21</v>
      </c>
      <c r="H515" s="140" t="str">
        <f>TEXT(RawData[[#This Row],[Date]], "YYYY")</f>
        <v>2021</v>
      </c>
      <c r="I515" s="141" t="s">
        <v>32</v>
      </c>
      <c r="J515" s="141" t="s">
        <v>90</v>
      </c>
      <c r="K515" s="139">
        <f t="shared" si="23"/>
        <v>1</v>
      </c>
      <c r="L515" s="142">
        <f>IF(RawData[[#This Row],[Paid/Unpaid]]="Paid", IF(VALUE($E515)&gt;VALUE($D$3),$K515* 10000,$K515* 8000), 0)</f>
        <v>8000</v>
      </c>
      <c r="M515" s="53" t="s">
        <v>146</v>
      </c>
    </row>
    <row r="516" spans="1:13" ht="12.75" customHeight="1" x14ac:dyDescent="0.3">
      <c r="A516" s="143" t="s">
        <v>27</v>
      </c>
      <c r="B516" s="139" t="str">
        <f>IFERROR(VLOOKUP($A516, NameDesignation[], 2,FALSE), " ")</f>
        <v>Former Director</v>
      </c>
      <c r="C516" s="139" t="s">
        <v>29</v>
      </c>
      <c r="D516" s="139">
        <v>459</v>
      </c>
      <c r="E516" s="140">
        <v>44319</v>
      </c>
      <c r="F516" s="139" t="str">
        <f t="shared" si="21"/>
        <v>Q2-21</v>
      </c>
      <c r="G516" s="140" t="str">
        <f t="shared" si="22"/>
        <v>May'21</v>
      </c>
      <c r="H516" s="140" t="str">
        <f>TEXT(RawData[[#This Row],[Date]], "YYYY")</f>
        <v>2021</v>
      </c>
      <c r="I516" s="141" t="s">
        <v>32</v>
      </c>
      <c r="J516" s="141" t="s">
        <v>91</v>
      </c>
      <c r="K516" s="139">
        <f t="shared" si="23"/>
        <v>0</v>
      </c>
      <c r="L516" s="142">
        <f>IF(RawData[[#This Row],[Paid/Unpaid]]="Paid", IF(VALUE($E516)&gt;VALUE($D$3),$K516* 10000,$K516* 8000), 0)</f>
        <v>0</v>
      </c>
      <c r="M516" s="53" t="s">
        <v>146</v>
      </c>
    </row>
    <row r="517" spans="1:13" ht="12.75" customHeight="1" x14ac:dyDescent="0.3">
      <c r="A517" s="143" t="s">
        <v>18</v>
      </c>
      <c r="B517" s="139" t="str">
        <f>IFERROR(VLOOKUP($A517, NameDesignation[], 2,FALSE), " ")</f>
        <v>Former Independent Director</v>
      </c>
      <c r="C517" s="139" t="s">
        <v>29</v>
      </c>
      <c r="D517" s="139">
        <v>459</v>
      </c>
      <c r="E517" s="140">
        <v>44319</v>
      </c>
      <c r="F517" s="139" t="str">
        <f t="shared" si="21"/>
        <v>Q2-21</v>
      </c>
      <c r="G517" s="140" t="str">
        <f t="shared" si="22"/>
        <v>May'21</v>
      </c>
      <c r="H517" s="140" t="str">
        <f>TEXT(RawData[[#This Row],[Date]], "YYYY")</f>
        <v>2021</v>
      </c>
      <c r="I517" s="141" t="s">
        <v>32</v>
      </c>
      <c r="J517" s="141" t="s">
        <v>91</v>
      </c>
      <c r="K517" s="139">
        <f t="shared" si="23"/>
        <v>0</v>
      </c>
      <c r="L517" s="142">
        <f>IF(RawData[[#This Row],[Paid/Unpaid]]="Paid", IF(VALUE($E517)&gt;VALUE($D$3),$K517* 10000,$K517* 8000), 0)</f>
        <v>0</v>
      </c>
      <c r="M517" s="53" t="s">
        <v>146</v>
      </c>
    </row>
    <row r="518" spans="1:13" ht="12.75" customHeight="1" x14ac:dyDescent="0.3">
      <c r="A518" s="143" t="s">
        <v>34</v>
      </c>
      <c r="B518" s="139" t="str">
        <f>IFERROR(VLOOKUP($A518, NameDesignation[], 2,FALSE), " ")</f>
        <v>Former Managing Director &amp; CEO</v>
      </c>
      <c r="C518" s="139" t="s">
        <v>29</v>
      </c>
      <c r="D518" s="139">
        <v>459</v>
      </c>
      <c r="E518" s="140">
        <v>44319</v>
      </c>
      <c r="F518" s="139" t="str">
        <f t="shared" ref="F518:F581" si="24">CONCATENATE("Q", ROUNDUP(MONTH($E518)/3,0),"-",TEXT($E518, "yy"))</f>
        <v>Q2-21</v>
      </c>
      <c r="G518" s="140" t="str">
        <f t="shared" ref="G518:G581" si="25">CONCATENATE(TEXT($E518, "mmm"),"'", TEXT($E518, "yy"))</f>
        <v>May'21</v>
      </c>
      <c r="H518" s="140" t="str">
        <f>TEXT(RawData[[#This Row],[Date]], "YYYY")</f>
        <v>2021</v>
      </c>
      <c r="I518" s="141" t="s">
        <v>32</v>
      </c>
      <c r="J518" s="141" t="s">
        <v>90</v>
      </c>
      <c r="K518" s="139">
        <f t="shared" ref="K518:K581" si="26">IF($J518="Present", 1, 0)</f>
        <v>1</v>
      </c>
      <c r="L518" s="142">
        <f>IF(RawData[[#This Row],[Paid/Unpaid]]="Paid", IF(VALUE($E518)&gt;VALUE($D$3),$K518* 10000,$K518* 8000), 0)</f>
        <v>8000</v>
      </c>
      <c r="M518" s="53" t="s">
        <v>146</v>
      </c>
    </row>
    <row r="519" spans="1:13" ht="12.75" customHeight="1" x14ac:dyDescent="0.3">
      <c r="A519" s="71" t="s">
        <v>9</v>
      </c>
      <c r="B519" s="139" t="str">
        <f>IFERROR(VLOOKUP($A519, NameDesignation[], 2,FALSE), " ")</f>
        <v>Former Director</v>
      </c>
      <c r="C519" s="139" t="s">
        <v>30</v>
      </c>
      <c r="D519" s="139">
        <v>443</v>
      </c>
      <c r="E519" s="140">
        <v>44320</v>
      </c>
      <c r="F519" s="139" t="str">
        <f t="shared" si="24"/>
        <v>Q2-21</v>
      </c>
      <c r="G519" s="140" t="str">
        <f t="shared" si="25"/>
        <v>May'21</v>
      </c>
      <c r="H519" s="140" t="str">
        <f>TEXT(RawData[[#This Row],[Date]], "YYYY")</f>
        <v>2021</v>
      </c>
      <c r="I519" s="141" t="s">
        <v>32</v>
      </c>
      <c r="J519" s="141" t="s">
        <v>90</v>
      </c>
      <c r="K519" s="139">
        <f t="shared" si="26"/>
        <v>1</v>
      </c>
      <c r="L519" s="142">
        <f>IF(RawData[[#This Row],[Paid/Unpaid]]="Paid", IF(VALUE($E519)&gt;VALUE($D$3),$K519* 10000,$K519* 8000), 0)</f>
        <v>8000</v>
      </c>
      <c r="M519" s="53" t="s">
        <v>146</v>
      </c>
    </row>
    <row r="520" spans="1:13" ht="12.75" customHeight="1" x14ac:dyDescent="0.3">
      <c r="A520" s="71" t="s">
        <v>8</v>
      </c>
      <c r="B520" s="139" t="str">
        <f>IFERROR(VLOOKUP($A520, NameDesignation[], 2,FALSE), " ")</f>
        <v>Former Vice-Chairman</v>
      </c>
      <c r="C520" s="139" t="s">
        <v>30</v>
      </c>
      <c r="D520" s="139">
        <v>443</v>
      </c>
      <c r="E520" s="140">
        <v>44320</v>
      </c>
      <c r="F520" s="139" t="str">
        <f t="shared" si="24"/>
        <v>Q2-21</v>
      </c>
      <c r="G520" s="140" t="str">
        <f t="shared" si="25"/>
        <v>May'21</v>
      </c>
      <c r="H520" s="140" t="str">
        <f>TEXT(RawData[[#This Row],[Date]], "YYYY")</f>
        <v>2021</v>
      </c>
      <c r="I520" s="141" t="s">
        <v>32</v>
      </c>
      <c r="J520" s="141" t="s">
        <v>91</v>
      </c>
      <c r="K520" s="139">
        <f t="shared" si="26"/>
        <v>0</v>
      </c>
      <c r="L520" s="142">
        <f>IF(RawData[[#This Row],[Paid/Unpaid]]="Paid", IF(VALUE($E520)&gt;VALUE($D$3),$K520* 10000,$K520* 8000), 0)</f>
        <v>0</v>
      </c>
      <c r="M520" s="53" t="s">
        <v>146</v>
      </c>
    </row>
    <row r="521" spans="1:13" ht="12.75" customHeight="1" x14ac:dyDescent="0.3">
      <c r="A521" s="71" t="s">
        <v>49</v>
      </c>
      <c r="B521" s="139" t="str">
        <f>IFERROR(VLOOKUP($A521, NameDesignation[], 2,FALSE), " ")</f>
        <v>Former Director</v>
      </c>
      <c r="C521" s="139" t="s">
        <v>30</v>
      </c>
      <c r="D521" s="139">
        <v>443</v>
      </c>
      <c r="E521" s="140">
        <v>44320</v>
      </c>
      <c r="F521" s="139" t="str">
        <f t="shared" si="24"/>
        <v>Q2-21</v>
      </c>
      <c r="G521" s="140" t="str">
        <f t="shared" si="25"/>
        <v>May'21</v>
      </c>
      <c r="H521" s="140" t="str">
        <f>TEXT(RawData[[#This Row],[Date]], "YYYY")</f>
        <v>2021</v>
      </c>
      <c r="I521" s="141" t="s">
        <v>32</v>
      </c>
      <c r="J521" s="141" t="s">
        <v>90</v>
      </c>
      <c r="K521" s="139">
        <f t="shared" si="26"/>
        <v>1</v>
      </c>
      <c r="L521" s="142">
        <f>IF(RawData[[#This Row],[Paid/Unpaid]]="Paid", IF(VALUE($E521)&gt;VALUE($D$3),$K521* 10000,$K521* 8000), 0)</f>
        <v>8000</v>
      </c>
      <c r="M521" s="53" t="s">
        <v>146</v>
      </c>
    </row>
    <row r="522" spans="1:13" ht="12.75" customHeight="1" x14ac:dyDescent="0.3">
      <c r="A522" s="71" t="s">
        <v>11</v>
      </c>
      <c r="B522" s="139" t="str">
        <f>IFERROR(VLOOKUP($A522, NameDesignation[], 2,FALSE), " ")</f>
        <v>Former Director</v>
      </c>
      <c r="C522" s="139" t="s">
        <v>30</v>
      </c>
      <c r="D522" s="139">
        <v>443</v>
      </c>
      <c r="E522" s="140">
        <v>44320</v>
      </c>
      <c r="F522" s="139" t="str">
        <f t="shared" si="24"/>
        <v>Q2-21</v>
      </c>
      <c r="G522" s="140" t="str">
        <f t="shared" si="25"/>
        <v>May'21</v>
      </c>
      <c r="H522" s="140" t="str">
        <f>TEXT(RawData[[#This Row],[Date]], "YYYY")</f>
        <v>2021</v>
      </c>
      <c r="I522" s="141" t="s">
        <v>32</v>
      </c>
      <c r="J522" s="141" t="s">
        <v>90</v>
      </c>
      <c r="K522" s="139">
        <f t="shared" si="26"/>
        <v>1</v>
      </c>
      <c r="L522" s="142">
        <f>IF(RawData[[#This Row],[Paid/Unpaid]]="Paid", IF(VALUE($E522)&gt;VALUE($D$3),$K522* 10000,$K522* 8000), 0)</f>
        <v>8000</v>
      </c>
      <c r="M522" s="53" t="s">
        <v>146</v>
      </c>
    </row>
    <row r="523" spans="1:13" ht="12.75" customHeight="1" x14ac:dyDescent="0.3">
      <c r="A523" s="71" t="s">
        <v>13</v>
      </c>
      <c r="B523" s="139" t="str">
        <f>IFERROR(VLOOKUP($A523, NameDesignation[], 2,FALSE), " ")</f>
        <v>Former Director</v>
      </c>
      <c r="C523" s="139" t="s">
        <v>30</v>
      </c>
      <c r="D523" s="139">
        <v>443</v>
      </c>
      <c r="E523" s="140">
        <v>44320</v>
      </c>
      <c r="F523" s="139" t="str">
        <f t="shared" si="24"/>
        <v>Q2-21</v>
      </c>
      <c r="G523" s="140" t="str">
        <f t="shared" si="25"/>
        <v>May'21</v>
      </c>
      <c r="H523" s="140" t="str">
        <f>TEXT(RawData[[#This Row],[Date]], "YYYY")</f>
        <v>2021</v>
      </c>
      <c r="I523" s="141" t="s">
        <v>32</v>
      </c>
      <c r="J523" s="141" t="s">
        <v>90</v>
      </c>
      <c r="K523" s="139">
        <f t="shared" si="26"/>
        <v>1</v>
      </c>
      <c r="L523" s="142">
        <f>IF(RawData[[#This Row],[Paid/Unpaid]]="Paid", IF(VALUE($E523)&gt;VALUE($D$3),$K523* 10000,$K523* 8000), 0)</f>
        <v>8000</v>
      </c>
      <c r="M523" s="53" t="s">
        <v>146</v>
      </c>
    </row>
    <row r="524" spans="1:13" ht="12.75" customHeight="1" x14ac:dyDescent="0.3">
      <c r="A524" s="71" t="s">
        <v>12</v>
      </c>
      <c r="B524" s="139" t="str">
        <f>IFERROR(VLOOKUP($A524, NameDesignation[], 2,FALSE), " ")</f>
        <v>Former Director</v>
      </c>
      <c r="C524" s="139" t="s">
        <v>30</v>
      </c>
      <c r="D524" s="139">
        <v>443</v>
      </c>
      <c r="E524" s="140">
        <v>44320</v>
      </c>
      <c r="F524" s="139" t="str">
        <f t="shared" si="24"/>
        <v>Q2-21</v>
      </c>
      <c r="G524" s="140" t="str">
        <f t="shared" si="25"/>
        <v>May'21</v>
      </c>
      <c r="H524" s="140" t="str">
        <f>TEXT(RawData[[#This Row],[Date]], "YYYY")</f>
        <v>2021</v>
      </c>
      <c r="I524" s="141" t="s">
        <v>32</v>
      </c>
      <c r="J524" s="141" t="s">
        <v>90</v>
      </c>
      <c r="K524" s="139">
        <f t="shared" si="26"/>
        <v>1</v>
      </c>
      <c r="L524" s="142">
        <f>IF(RawData[[#This Row],[Paid/Unpaid]]="Paid", IF(VALUE($E524)&gt;VALUE($D$3),$K524* 10000,$K524* 8000), 0)</f>
        <v>8000</v>
      </c>
      <c r="M524" s="53" t="s">
        <v>146</v>
      </c>
    </row>
    <row r="525" spans="1:13" ht="12.75" customHeight="1" x14ac:dyDescent="0.3">
      <c r="A525" s="71" t="s">
        <v>25</v>
      </c>
      <c r="B525" s="139" t="str">
        <f>IFERROR(VLOOKUP($A525, NameDesignation[], 2,FALSE), " ")</f>
        <v>Former Director</v>
      </c>
      <c r="C525" s="139" t="s">
        <v>30</v>
      </c>
      <c r="D525" s="139">
        <v>443</v>
      </c>
      <c r="E525" s="140">
        <v>44320</v>
      </c>
      <c r="F525" s="139" t="str">
        <f t="shared" si="24"/>
        <v>Q2-21</v>
      </c>
      <c r="G525" s="140" t="str">
        <f t="shared" si="25"/>
        <v>May'21</v>
      </c>
      <c r="H525" s="140" t="str">
        <f>TEXT(RawData[[#This Row],[Date]], "YYYY")</f>
        <v>2021</v>
      </c>
      <c r="I525" s="141" t="s">
        <v>32</v>
      </c>
      <c r="J525" s="141" t="s">
        <v>91</v>
      </c>
      <c r="K525" s="139">
        <f t="shared" si="26"/>
        <v>0</v>
      </c>
      <c r="L525" s="142">
        <f>IF(RawData[[#This Row],[Paid/Unpaid]]="Paid", IF(VALUE($E525)&gt;VALUE($D$3),$K525* 10000,$K525* 8000), 0)</f>
        <v>0</v>
      </c>
      <c r="M525" s="53" t="s">
        <v>146</v>
      </c>
    </row>
    <row r="526" spans="1:13" ht="12.75" customHeight="1" x14ac:dyDescent="0.3">
      <c r="A526" s="143" t="s">
        <v>49</v>
      </c>
      <c r="B526" s="139" t="str">
        <f>IFERROR(VLOOKUP($A526, NameDesignation[], 2,FALSE), " ")</f>
        <v>Former Director</v>
      </c>
      <c r="C526" s="139" t="s">
        <v>38</v>
      </c>
      <c r="D526" s="139">
        <v>30</v>
      </c>
      <c r="E526" s="140">
        <v>44320</v>
      </c>
      <c r="F526" s="139" t="str">
        <f t="shared" si="24"/>
        <v>Q2-21</v>
      </c>
      <c r="G526" s="140" t="str">
        <f t="shared" si="25"/>
        <v>May'21</v>
      </c>
      <c r="H526" s="140" t="str">
        <f>TEXT(RawData[[#This Row],[Date]], "YYYY")</f>
        <v>2021</v>
      </c>
      <c r="I526" s="141" t="s">
        <v>32</v>
      </c>
      <c r="J526" s="141" t="s">
        <v>90</v>
      </c>
      <c r="K526" s="139">
        <f t="shared" si="26"/>
        <v>1</v>
      </c>
      <c r="L526" s="142">
        <f>IF(RawData[[#This Row],[Paid/Unpaid]]="Paid", IF(VALUE($E526)&gt;VALUE($D$3),$K526* 10000,$K526* 8000), 0)</f>
        <v>8000</v>
      </c>
      <c r="M526" s="53" t="s">
        <v>146</v>
      </c>
    </row>
    <row r="527" spans="1:13" ht="12.75" customHeight="1" x14ac:dyDescent="0.3">
      <c r="A527" s="143" t="s">
        <v>9</v>
      </c>
      <c r="B527" s="139" t="str">
        <f>IFERROR(VLOOKUP($A527, NameDesignation[], 2,FALSE), " ")</f>
        <v>Former Director</v>
      </c>
      <c r="C527" s="139" t="s">
        <v>38</v>
      </c>
      <c r="D527" s="139">
        <v>30</v>
      </c>
      <c r="E527" s="140">
        <v>44320</v>
      </c>
      <c r="F527" s="139" t="str">
        <f t="shared" si="24"/>
        <v>Q2-21</v>
      </c>
      <c r="G527" s="140" t="str">
        <f t="shared" si="25"/>
        <v>May'21</v>
      </c>
      <c r="H527" s="140" t="str">
        <f>TEXT(RawData[[#This Row],[Date]], "YYYY")</f>
        <v>2021</v>
      </c>
      <c r="I527" s="141" t="s">
        <v>32</v>
      </c>
      <c r="J527" s="141" t="s">
        <v>90</v>
      </c>
      <c r="K527" s="139">
        <f t="shared" si="26"/>
        <v>1</v>
      </c>
      <c r="L527" s="142">
        <f>IF(RawData[[#This Row],[Paid/Unpaid]]="Paid", IF(VALUE($E527)&gt;VALUE($D$3),$K527* 10000,$K527* 8000), 0)</f>
        <v>8000</v>
      </c>
      <c r="M527" s="53" t="s">
        <v>146</v>
      </c>
    </row>
    <row r="528" spans="1:13" ht="12.75" customHeight="1" x14ac:dyDescent="0.3">
      <c r="A528" s="143" t="s">
        <v>61</v>
      </c>
      <c r="B528" s="139" t="str">
        <f>IFERROR(VLOOKUP($A528, NameDesignation[], 2,FALSE), " ")</f>
        <v>Former Director</v>
      </c>
      <c r="C528" s="139" t="s">
        <v>38</v>
      </c>
      <c r="D528" s="139">
        <v>30</v>
      </c>
      <c r="E528" s="140">
        <v>44320</v>
      </c>
      <c r="F528" s="139" t="str">
        <f t="shared" si="24"/>
        <v>Q2-21</v>
      </c>
      <c r="G528" s="140" t="str">
        <f t="shared" si="25"/>
        <v>May'21</v>
      </c>
      <c r="H528" s="140" t="str">
        <f>TEXT(RawData[[#This Row],[Date]], "YYYY")</f>
        <v>2021</v>
      </c>
      <c r="I528" s="141" t="s">
        <v>32</v>
      </c>
      <c r="J528" s="141" t="s">
        <v>90</v>
      </c>
      <c r="K528" s="139">
        <f t="shared" si="26"/>
        <v>1</v>
      </c>
      <c r="L528" s="142">
        <f>IF(RawData[[#This Row],[Paid/Unpaid]]="Paid", IF(VALUE($E528)&gt;VALUE($D$3),$K528* 10000,$K528* 8000), 0)</f>
        <v>8000</v>
      </c>
      <c r="M528" s="53" t="s">
        <v>146</v>
      </c>
    </row>
    <row r="529" spans="1:13" ht="12.75" customHeight="1" x14ac:dyDescent="0.3">
      <c r="A529" s="143" t="s">
        <v>15</v>
      </c>
      <c r="B529" s="139" t="str">
        <f>IFERROR(VLOOKUP($A529, NameDesignation[], 2,FALSE), " ")</f>
        <v>Former Director</v>
      </c>
      <c r="C529" s="139" t="s">
        <v>38</v>
      </c>
      <c r="D529" s="139">
        <v>30</v>
      </c>
      <c r="E529" s="140">
        <v>44320</v>
      </c>
      <c r="F529" s="139" t="str">
        <f t="shared" si="24"/>
        <v>Q2-21</v>
      </c>
      <c r="G529" s="140" t="str">
        <f t="shared" si="25"/>
        <v>May'21</v>
      </c>
      <c r="H529" s="140" t="str">
        <f>TEXT(RawData[[#This Row],[Date]], "YYYY")</f>
        <v>2021</v>
      </c>
      <c r="I529" s="141" t="s">
        <v>32</v>
      </c>
      <c r="J529" s="141" t="s">
        <v>90</v>
      </c>
      <c r="K529" s="139">
        <f t="shared" si="26"/>
        <v>1</v>
      </c>
      <c r="L529" s="142">
        <f>IF(RawData[[#This Row],[Paid/Unpaid]]="Paid", IF(VALUE($E529)&gt;VALUE($D$3),$K529* 10000,$K529* 8000), 0)</f>
        <v>8000</v>
      </c>
      <c r="M529" s="53" t="s">
        <v>146</v>
      </c>
    </row>
    <row r="530" spans="1:13" ht="12.75" customHeight="1" x14ac:dyDescent="0.3">
      <c r="A530" s="143" t="s">
        <v>137</v>
      </c>
      <c r="B530" s="139" t="str">
        <f>IFERROR(VLOOKUP($A530, NameDesignation[], 2,FALSE), " ")</f>
        <v>Former Director</v>
      </c>
      <c r="C530" s="139" t="s">
        <v>38</v>
      </c>
      <c r="D530" s="139">
        <v>30</v>
      </c>
      <c r="E530" s="140">
        <v>44320</v>
      </c>
      <c r="F530" s="139" t="str">
        <f t="shared" si="24"/>
        <v>Q2-21</v>
      </c>
      <c r="G530" s="140" t="str">
        <f t="shared" si="25"/>
        <v>May'21</v>
      </c>
      <c r="H530" s="140" t="str">
        <f>TEXT(RawData[[#This Row],[Date]], "YYYY")</f>
        <v>2021</v>
      </c>
      <c r="I530" s="141" t="s">
        <v>32</v>
      </c>
      <c r="J530" s="141" t="s">
        <v>90</v>
      </c>
      <c r="K530" s="139">
        <f t="shared" si="26"/>
        <v>1</v>
      </c>
      <c r="L530" s="142">
        <f>IF(RawData[[#This Row],[Paid/Unpaid]]="Paid", IF(VALUE($E530)&gt;VALUE($D$3),$K530* 10000,$K530* 8000), 0)</f>
        <v>8000</v>
      </c>
      <c r="M530" s="53" t="s">
        <v>146</v>
      </c>
    </row>
    <row r="531" spans="1:13" ht="12.75" customHeight="1" x14ac:dyDescent="0.3">
      <c r="A531" s="143" t="s">
        <v>11</v>
      </c>
      <c r="B531" s="139" t="str">
        <f>IFERROR(VLOOKUP($A531, NameDesignation[], 2,FALSE), " ")</f>
        <v>Former Director</v>
      </c>
      <c r="C531" s="139" t="s">
        <v>41</v>
      </c>
      <c r="D531" s="139">
        <v>2</v>
      </c>
      <c r="E531" s="140">
        <v>44320</v>
      </c>
      <c r="F531" s="139" t="str">
        <f t="shared" si="24"/>
        <v>Q2-21</v>
      </c>
      <c r="G531" s="140" t="str">
        <f t="shared" si="25"/>
        <v>May'21</v>
      </c>
      <c r="H531" s="140" t="str">
        <f>TEXT(RawData[[#This Row],[Date]], "YYYY")</f>
        <v>2021</v>
      </c>
      <c r="I531" s="141" t="s">
        <v>32</v>
      </c>
      <c r="J531" s="141" t="s">
        <v>90</v>
      </c>
      <c r="K531" s="139">
        <f t="shared" si="26"/>
        <v>1</v>
      </c>
      <c r="L531" s="142">
        <f>IF(RawData[[#This Row],[Paid/Unpaid]]="Paid", IF(VALUE($E531)&gt;VALUE($D$3),$K531* 10000,$K531* 8000), 0)</f>
        <v>8000</v>
      </c>
      <c r="M531" s="53" t="s">
        <v>146</v>
      </c>
    </row>
    <row r="532" spans="1:13" ht="12.75" customHeight="1" x14ac:dyDescent="0.3">
      <c r="A532" s="143" t="s">
        <v>50</v>
      </c>
      <c r="B532" s="139" t="str">
        <f>IFERROR(VLOOKUP($A532, NameDesignation[], 2,FALSE), " ")</f>
        <v>Former Director</v>
      </c>
      <c r="C532" s="139" t="s">
        <v>41</v>
      </c>
      <c r="D532" s="139">
        <v>2</v>
      </c>
      <c r="E532" s="140">
        <v>44320</v>
      </c>
      <c r="F532" s="139" t="str">
        <f t="shared" si="24"/>
        <v>Q2-21</v>
      </c>
      <c r="G532" s="140" t="str">
        <f t="shared" si="25"/>
        <v>May'21</v>
      </c>
      <c r="H532" s="140" t="str">
        <f>TEXT(RawData[[#This Row],[Date]], "YYYY")</f>
        <v>2021</v>
      </c>
      <c r="I532" s="141" t="s">
        <v>32</v>
      </c>
      <c r="J532" s="141" t="s">
        <v>91</v>
      </c>
      <c r="K532" s="139">
        <f t="shared" si="26"/>
        <v>0</v>
      </c>
      <c r="L532" s="142">
        <f>IF(RawData[[#This Row],[Paid/Unpaid]]="Paid", IF(VALUE($E532)&gt;VALUE($D$3),$K532* 10000,$K532* 8000), 0)</f>
        <v>0</v>
      </c>
      <c r="M532" s="53" t="s">
        <v>146</v>
      </c>
    </row>
    <row r="533" spans="1:13" ht="12.75" customHeight="1" x14ac:dyDescent="0.3">
      <c r="A533" s="143" t="s">
        <v>54</v>
      </c>
      <c r="B533" s="139" t="str">
        <f>IFERROR(VLOOKUP($A533, NameDesignation[], 2,FALSE), " ")</f>
        <v>Member, Shariah Supervisory Committee</v>
      </c>
      <c r="C533" s="139" t="s">
        <v>41</v>
      </c>
      <c r="D533" s="139">
        <v>2</v>
      </c>
      <c r="E533" s="140">
        <v>44320</v>
      </c>
      <c r="F533" s="139" t="str">
        <f t="shared" si="24"/>
        <v>Q2-21</v>
      </c>
      <c r="G533" s="140" t="str">
        <f t="shared" si="25"/>
        <v>May'21</v>
      </c>
      <c r="H533" s="140" t="str">
        <f>TEXT(RawData[[#This Row],[Date]], "YYYY")</f>
        <v>2021</v>
      </c>
      <c r="I533" s="141" t="s">
        <v>32</v>
      </c>
      <c r="J533" s="141" t="s">
        <v>90</v>
      </c>
      <c r="K533" s="139">
        <f t="shared" si="26"/>
        <v>1</v>
      </c>
      <c r="L533" s="142">
        <f>IF(RawData[[#This Row],[Paid/Unpaid]]="Paid", IF(VALUE($E533)&gt;VALUE($D$3),$K533* 10000,$K533* 8000), 0)</f>
        <v>8000</v>
      </c>
      <c r="M533" s="53" t="s">
        <v>146</v>
      </c>
    </row>
    <row r="534" spans="1:13" ht="12.75" customHeight="1" x14ac:dyDescent="0.3">
      <c r="A534" s="143" t="s">
        <v>127</v>
      </c>
      <c r="B534" s="139" t="str">
        <f>IFERROR(VLOOKUP($A534, NameDesignation[], 2,FALSE), " ")</f>
        <v>Chairman, Shariah Supervisory Committee</v>
      </c>
      <c r="C534" s="139" t="s">
        <v>41</v>
      </c>
      <c r="D534" s="139">
        <v>2</v>
      </c>
      <c r="E534" s="140">
        <v>44320</v>
      </c>
      <c r="F534" s="139" t="str">
        <f t="shared" si="24"/>
        <v>Q2-21</v>
      </c>
      <c r="G534" s="140" t="str">
        <f t="shared" si="25"/>
        <v>May'21</v>
      </c>
      <c r="H534" s="140" t="str">
        <f>TEXT(RawData[[#This Row],[Date]], "YYYY")</f>
        <v>2021</v>
      </c>
      <c r="I534" s="141" t="s">
        <v>32</v>
      </c>
      <c r="J534" s="141" t="s">
        <v>90</v>
      </c>
      <c r="K534" s="139">
        <f t="shared" si="26"/>
        <v>1</v>
      </c>
      <c r="L534" s="142">
        <f>IF(RawData[[#This Row],[Paid/Unpaid]]="Paid", IF(VALUE($E534)&gt;VALUE($D$3),$K534* 10000,$K534* 8000), 0)</f>
        <v>8000</v>
      </c>
      <c r="M534" s="53" t="s">
        <v>146</v>
      </c>
    </row>
    <row r="535" spans="1:13" ht="12.75" customHeight="1" x14ac:dyDescent="0.3">
      <c r="A535" s="143" t="s">
        <v>52</v>
      </c>
      <c r="B535" s="139" t="str">
        <f>IFERROR(VLOOKUP($A535, NameDesignation[], 2,FALSE), " ")</f>
        <v>Member, Shariah Supervisory Committee</v>
      </c>
      <c r="C535" s="139" t="s">
        <v>41</v>
      </c>
      <c r="D535" s="139">
        <v>2</v>
      </c>
      <c r="E535" s="140">
        <v>44320</v>
      </c>
      <c r="F535" s="139" t="str">
        <f t="shared" si="24"/>
        <v>Q2-21</v>
      </c>
      <c r="G535" s="140" t="str">
        <f t="shared" si="25"/>
        <v>May'21</v>
      </c>
      <c r="H535" s="140" t="str">
        <f>TEXT(RawData[[#This Row],[Date]], "YYYY")</f>
        <v>2021</v>
      </c>
      <c r="I535" s="141" t="s">
        <v>32</v>
      </c>
      <c r="J535" s="141" t="s">
        <v>90</v>
      </c>
      <c r="K535" s="139">
        <f t="shared" si="26"/>
        <v>1</v>
      </c>
      <c r="L535" s="142">
        <f>IF(RawData[[#This Row],[Paid/Unpaid]]="Paid", IF(VALUE($E535)&gt;VALUE($D$3),$K535* 10000,$K535* 8000), 0)</f>
        <v>8000</v>
      </c>
      <c r="M535" s="53" t="s">
        <v>146</v>
      </c>
    </row>
    <row r="536" spans="1:13" ht="12.75" customHeight="1" x14ac:dyDescent="0.3">
      <c r="A536" s="143" t="s">
        <v>128</v>
      </c>
      <c r="B536" s="139" t="str">
        <f>IFERROR(VLOOKUP($A536, NameDesignation[], 2,FALSE), " ")</f>
        <v>Member, Shariah Supervisory Committee</v>
      </c>
      <c r="C536" s="139" t="s">
        <v>41</v>
      </c>
      <c r="D536" s="139">
        <v>2</v>
      </c>
      <c r="E536" s="140">
        <v>44320</v>
      </c>
      <c r="F536" s="139" t="str">
        <f t="shared" si="24"/>
        <v>Q2-21</v>
      </c>
      <c r="G536" s="140" t="str">
        <f t="shared" si="25"/>
        <v>May'21</v>
      </c>
      <c r="H536" s="140" t="str">
        <f>TEXT(RawData[[#This Row],[Date]], "YYYY")</f>
        <v>2021</v>
      </c>
      <c r="I536" s="141" t="s">
        <v>32</v>
      </c>
      <c r="J536" s="141" t="s">
        <v>90</v>
      </c>
      <c r="K536" s="139">
        <f t="shared" si="26"/>
        <v>1</v>
      </c>
      <c r="L536" s="142">
        <f>IF(RawData[[#This Row],[Paid/Unpaid]]="Paid", IF(VALUE($E536)&gt;VALUE($D$3),$K536* 10000,$K536* 8000), 0)</f>
        <v>8000</v>
      </c>
      <c r="M536" s="53" t="s">
        <v>146</v>
      </c>
    </row>
    <row r="537" spans="1:13" ht="12.75" customHeight="1" x14ac:dyDescent="0.3">
      <c r="A537" s="143" t="s">
        <v>126</v>
      </c>
      <c r="B537" s="139" t="str">
        <f>IFERROR(VLOOKUP($A537, NameDesignation[], 2,FALSE), " ")</f>
        <v>Member, Shariah Supervisory Committee</v>
      </c>
      <c r="C537" s="139" t="s">
        <v>41</v>
      </c>
      <c r="D537" s="139">
        <v>2</v>
      </c>
      <c r="E537" s="140">
        <v>44320</v>
      </c>
      <c r="F537" s="139" t="str">
        <f t="shared" si="24"/>
        <v>Q2-21</v>
      </c>
      <c r="G537" s="140" t="str">
        <f t="shared" si="25"/>
        <v>May'21</v>
      </c>
      <c r="H537" s="140" t="str">
        <f>TEXT(RawData[[#This Row],[Date]], "YYYY")</f>
        <v>2021</v>
      </c>
      <c r="I537" s="141" t="s">
        <v>32</v>
      </c>
      <c r="J537" s="141" t="s">
        <v>90</v>
      </c>
      <c r="K537" s="139">
        <f t="shared" si="26"/>
        <v>1</v>
      </c>
      <c r="L537" s="142">
        <f>IF(RawData[[#This Row],[Paid/Unpaid]]="Paid", IF(VALUE($E537)&gt;VALUE($D$3),$K537* 10000,$K537* 8000), 0)</f>
        <v>8000</v>
      </c>
      <c r="M537" s="53" t="s">
        <v>146</v>
      </c>
    </row>
    <row r="538" spans="1:13" ht="12.75" customHeight="1" x14ac:dyDescent="0.3">
      <c r="A538" s="143" t="s">
        <v>35</v>
      </c>
      <c r="B538" s="139" t="str">
        <f>IFERROR(VLOOKUP($A538, NameDesignation[], 2,FALSE), " ")</f>
        <v>Former Managing Director &amp; CEO</v>
      </c>
      <c r="C538" s="139" t="s">
        <v>41</v>
      </c>
      <c r="D538" s="139">
        <v>2</v>
      </c>
      <c r="E538" s="140">
        <v>44320</v>
      </c>
      <c r="F538" s="139" t="str">
        <f t="shared" si="24"/>
        <v>Q2-21</v>
      </c>
      <c r="G538" s="140" t="str">
        <f t="shared" si="25"/>
        <v>May'21</v>
      </c>
      <c r="H538" s="140" t="str">
        <f>TEXT(RawData[[#This Row],[Date]], "YYYY")</f>
        <v>2021</v>
      </c>
      <c r="I538" s="141" t="s">
        <v>32</v>
      </c>
      <c r="J538" s="141" t="s">
        <v>91</v>
      </c>
      <c r="K538" s="139">
        <f t="shared" si="26"/>
        <v>0</v>
      </c>
      <c r="L538" s="142">
        <f>IF(RawData[[#This Row],[Paid/Unpaid]]="Paid", IF(VALUE($E538)&gt;VALUE($D$3),$K538* 10000,$K538* 8000), 0)</f>
        <v>0</v>
      </c>
      <c r="M538" s="53" t="s">
        <v>146</v>
      </c>
    </row>
    <row r="539" spans="1:13" ht="12.75" customHeight="1" x14ac:dyDescent="0.3">
      <c r="A539" s="143" t="s">
        <v>7</v>
      </c>
      <c r="B539" s="139" t="str">
        <f>IFERROR(VLOOKUP($A539, NameDesignation[], 2,FALSE), " ")</f>
        <v>Former Director</v>
      </c>
      <c r="C539" s="139" t="s">
        <v>29</v>
      </c>
      <c r="D539" s="139">
        <v>460</v>
      </c>
      <c r="E539" s="140">
        <v>44355</v>
      </c>
      <c r="F539" s="139" t="str">
        <f t="shared" si="24"/>
        <v>Q2-21</v>
      </c>
      <c r="G539" s="140" t="str">
        <f t="shared" si="25"/>
        <v>Jun'21</v>
      </c>
      <c r="H539" s="140" t="str">
        <f>TEXT(RawData[[#This Row],[Date]], "YYYY")</f>
        <v>2021</v>
      </c>
      <c r="I539" s="141" t="s">
        <v>32</v>
      </c>
      <c r="J539" s="141" t="s">
        <v>90</v>
      </c>
      <c r="K539" s="139">
        <f t="shared" si="26"/>
        <v>1</v>
      </c>
      <c r="L539" s="142">
        <f>IF(RawData[[#This Row],[Paid/Unpaid]]="Paid", IF(VALUE($E539)&gt;VALUE($D$3),$K539* 10000,$K539* 8000), 0)</f>
        <v>8000</v>
      </c>
      <c r="M539" s="53" t="s">
        <v>146</v>
      </c>
    </row>
    <row r="540" spans="1:13" ht="12.75" customHeight="1" x14ac:dyDescent="0.3">
      <c r="A540" s="143" t="s">
        <v>8</v>
      </c>
      <c r="B540" s="139" t="str">
        <f>IFERROR(VLOOKUP($A540, NameDesignation[], 2,FALSE), " ")</f>
        <v>Former Vice-Chairman</v>
      </c>
      <c r="C540" s="139" t="s">
        <v>29</v>
      </c>
      <c r="D540" s="139">
        <v>460</v>
      </c>
      <c r="E540" s="140">
        <v>44355</v>
      </c>
      <c r="F540" s="139" t="str">
        <f t="shared" si="24"/>
        <v>Q2-21</v>
      </c>
      <c r="G540" s="140" t="str">
        <f t="shared" si="25"/>
        <v>Jun'21</v>
      </c>
      <c r="H540" s="140" t="str">
        <f>TEXT(RawData[[#This Row],[Date]], "YYYY")</f>
        <v>2021</v>
      </c>
      <c r="I540" s="141" t="s">
        <v>32</v>
      </c>
      <c r="J540" s="141" t="s">
        <v>91</v>
      </c>
      <c r="K540" s="139">
        <f t="shared" si="26"/>
        <v>0</v>
      </c>
      <c r="L540" s="142">
        <f>IF(RawData[[#This Row],[Paid/Unpaid]]="Paid", IF(VALUE($E540)&gt;VALUE($D$3),$K540* 10000,$K540* 8000), 0)</f>
        <v>0</v>
      </c>
      <c r="M540" s="53" t="s">
        <v>146</v>
      </c>
    </row>
    <row r="541" spans="1:13" ht="12.75" customHeight="1" x14ac:dyDescent="0.3">
      <c r="A541" s="143" t="s">
        <v>9</v>
      </c>
      <c r="B541" s="139" t="str">
        <f>IFERROR(VLOOKUP($A541, NameDesignation[], 2,FALSE), " ")</f>
        <v>Former Director</v>
      </c>
      <c r="C541" s="139" t="s">
        <v>29</v>
      </c>
      <c r="D541" s="139">
        <v>460</v>
      </c>
      <c r="E541" s="140">
        <v>44355</v>
      </c>
      <c r="F541" s="139" t="str">
        <f t="shared" si="24"/>
        <v>Q2-21</v>
      </c>
      <c r="G541" s="140" t="str">
        <f t="shared" si="25"/>
        <v>Jun'21</v>
      </c>
      <c r="H541" s="140" t="str">
        <f>TEXT(RawData[[#This Row],[Date]], "YYYY")</f>
        <v>2021</v>
      </c>
      <c r="I541" s="141" t="s">
        <v>32</v>
      </c>
      <c r="J541" s="141" t="s">
        <v>91</v>
      </c>
      <c r="K541" s="139">
        <f t="shared" si="26"/>
        <v>0</v>
      </c>
      <c r="L541" s="142">
        <f>IF(RawData[[#This Row],[Paid/Unpaid]]="Paid", IF(VALUE($E541)&gt;VALUE($D$3),$K541* 10000,$K541* 8000), 0)</f>
        <v>0</v>
      </c>
      <c r="M541" s="53" t="s">
        <v>146</v>
      </c>
    </row>
    <row r="542" spans="1:13" ht="12.75" customHeight="1" x14ac:dyDescent="0.3">
      <c r="A542" s="143" t="s">
        <v>20</v>
      </c>
      <c r="B542" s="139" t="str">
        <f>IFERROR(VLOOKUP($A542, NameDesignation[], 2,FALSE), " ")</f>
        <v>Former Independent Director</v>
      </c>
      <c r="C542" s="139" t="s">
        <v>29</v>
      </c>
      <c r="D542" s="139">
        <v>460</v>
      </c>
      <c r="E542" s="140">
        <v>44355</v>
      </c>
      <c r="F542" s="139" t="str">
        <f t="shared" si="24"/>
        <v>Q2-21</v>
      </c>
      <c r="G542" s="140" t="str">
        <f t="shared" si="25"/>
        <v>Jun'21</v>
      </c>
      <c r="H542" s="140" t="str">
        <f>TEXT(RawData[[#This Row],[Date]], "YYYY")</f>
        <v>2021</v>
      </c>
      <c r="I542" s="141" t="s">
        <v>32</v>
      </c>
      <c r="J542" s="141" t="s">
        <v>90</v>
      </c>
      <c r="K542" s="139">
        <f t="shared" si="26"/>
        <v>1</v>
      </c>
      <c r="L542" s="142">
        <f>IF(RawData[[#This Row],[Paid/Unpaid]]="Paid", IF(VALUE($E542)&gt;VALUE($D$3),$K542* 10000,$K542* 8000), 0)</f>
        <v>8000</v>
      </c>
      <c r="M542" s="53" t="s">
        <v>146</v>
      </c>
    </row>
    <row r="543" spans="1:13" ht="12.75" customHeight="1" x14ac:dyDescent="0.3">
      <c r="A543" s="143" t="s">
        <v>49</v>
      </c>
      <c r="B543" s="139" t="str">
        <f>IFERROR(VLOOKUP($A543, NameDesignation[], 2,FALSE), " ")</f>
        <v>Former Director</v>
      </c>
      <c r="C543" s="139" t="s">
        <v>29</v>
      </c>
      <c r="D543" s="139">
        <v>460</v>
      </c>
      <c r="E543" s="140">
        <v>44355</v>
      </c>
      <c r="F543" s="139" t="str">
        <f t="shared" si="24"/>
        <v>Q2-21</v>
      </c>
      <c r="G543" s="140" t="str">
        <f t="shared" si="25"/>
        <v>Jun'21</v>
      </c>
      <c r="H543" s="140" t="str">
        <f>TEXT(RawData[[#This Row],[Date]], "YYYY")</f>
        <v>2021</v>
      </c>
      <c r="I543" s="141" t="s">
        <v>32</v>
      </c>
      <c r="J543" s="141" t="s">
        <v>90</v>
      </c>
      <c r="K543" s="139">
        <f t="shared" si="26"/>
        <v>1</v>
      </c>
      <c r="L543" s="142">
        <f>IF(RawData[[#This Row],[Paid/Unpaid]]="Paid", IF(VALUE($E543)&gt;VALUE($D$3),$K543* 10000,$K543* 8000), 0)</f>
        <v>8000</v>
      </c>
      <c r="M543" s="53" t="s">
        <v>146</v>
      </c>
    </row>
    <row r="544" spans="1:13" ht="12.75" customHeight="1" x14ac:dyDescent="0.3">
      <c r="A544" s="143" t="s">
        <v>11</v>
      </c>
      <c r="B544" s="139" t="str">
        <f>IFERROR(VLOOKUP($A544, NameDesignation[], 2,FALSE), " ")</f>
        <v>Former Director</v>
      </c>
      <c r="C544" s="139" t="s">
        <v>29</v>
      </c>
      <c r="D544" s="139">
        <v>460</v>
      </c>
      <c r="E544" s="140">
        <v>44355</v>
      </c>
      <c r="F544" s="139" t="str">
        <f t="shared" si="24"/>
        <v>Q2-21</v>
      </c>
      <c r="G544" s="140" t="str">
        <f t="shared" si="25"/>
        <v>Jun'21</v>
      </c>
      <c r="H544" s="140" t="str">
        <f>TEXT(RawData[[#This Row],[Date]], "YYYY")</f>
        <v>2021</v>
      </c>
      <c r="I544" s="141" t="s">
        <v>32</v>
      </c>
      <c r="J544" s="141" t="s">
        <v>90</v>
      </c>
      <c r="K544" s="139">
        <f t="shared" si="26"/>
        <v>1</v>
      </c>
      <c r="L544" s="142">
        <f>IF(RawData[[#This Row],[Paid/Unpaid]]="Paid", IF(VALUE($E544)&gt;VALUE($D$3),$K544* 10000,$K544* 8000), 0)</f>
        <v>8000</v>
      </c>
      <c r="M544" s="53" t="s">
        <v>146</v>
      </c>
    </row>
    <row r="545" spans="1:13" ht="12.75" customHeight="1" x14ac:dyDescent="0.3">
      <c r="A545" s="143" t="s">
        <v>12</v>
      </c>
      <c r="B545" s="139" t="str">
        <f>IFERROR(VLOOKUP($A545, NameDesignation[], 2,FALSE), " ")</f>
        <v>Former Director</v>
      </c>
      <c r="C545" s="139" t="s">
        <v>29</v>
      </c>
      <c r="D545" s="139">
        <v>460</v>
      </c>
      <c r="E545" s="140">
        <v>44355</v>
      </c>
      <c r="F545" s="139" t="str">
        <f t="shared" si="24"/>
        <v>Q2-21</v>
      </c>
      <c r="G545" s="140" t="str">
        <f t="shared" si="25"/>
        <v>Jun'21</v>
      </c>
      <c r="H545" s="140" t="str">
        <f>TEXT(RawData[[#This Row],[Date]], "YYYY")</f>
        <v>2021</v>
      </c>
      <c r="I545" s="141" t="s">
        <v>32</v>
      </c>
      <c r="J545" s="141" t="s">
        <v>90</v>
      </c>
      <c r="K545" s="139">
        <f t="shared" si="26"/>
        <v>1</v>
      </c>
      <c r="L545" s="142">
        <f>IF(RawData[[#This Row],[Paid/Unpaid]]="Paid", IF(VALUE($E545)&gt;VALUE($D$3),$K545* 10000,$K545* 8000), 0)</f>
        <v>8000</v>
      </c>
      <c r="M545" s="53" t="s">
        <v>146</v>
      </c>
    </row>
    <row r="546" spans="1:13" ht="12.75" customHeight="1" x14ac:dyDescent="0.3">
      <c r="A546" s="143" t="s">
        <v>137</v>
      </c>
      <c r="B546" s="139" t="str">
        <f>IFERROR(VLOOKUP($A546, NameDesignation[], 2,FALSE), " ")</f>
        <v>Former Director</v>
      </c>
      <c r="C546" s="139" t="s">
        <v>29</v>
      </c>
      <c r="D546" s="139">
        <v>460</v>
      </c>
      <c r="E546" s="140">
        <v>44355</v>
      </c>
      <c r="F546" s="139" t="str">
        <f t="shared" si="24"/>
        <v>Q2-21</v>
      </c>
      <c r="G546" s="140" t="str">
        <f t="shared" si="25"/>
        <v>Jun'21</v>
      </c>
      <c r="H546" s="140" t="str">
        <f>TEXT(RawData[[#This Row],[Date]], "YYYY")</f>
        <v>2021</v>
      </c>
      <c r="I546" s="141" t="s">
        <v>32</v>
      </c>
      <c r="J546" s="141" t="s">
        <v>90</v>
      </c>
      <c r="K546" s="139">
        <f t="shared" si="26"/>
        <v>1</v>
      </c>
      <c r="L546" s="142">
        <f>IF(RawData[[#This Row],[Paid/Unpaid]]="Paid", IF(VALUE($E546)&gt;VALUE($D$3),$K546* 10000,$K546* 8000), 0)</f>
        <v>8000</v>
      </c>
      <c r="M546" s="53" t="s">
        <v>146</v>
      </c>
    </row>
    <row r="547" spans="1:13" ht="12.75" customHeight="1" x14ac:dyDescent="0.3">
      <c r="A547" s="143" t="s">
        <v>13</v>
      </c>
      <c r="B547" s="139" t="str">
        <f>IFERROR(VLOOKUP($A547, NameDesignation[], 2,FALSE), " ")</f>
        <v>Former Director</v>
      </c>
      <c r="C547" s="139" t="s">
        <v>29</v>
      </c>
      <c r="D547" s="139">
        <v>460</v>
      </c>
      <c r="E547" s="140">
        <v>44355</v>
      </c>
      <c r="F547" s="139" t="str">
        <f t="shared" si="24"/>
        <v>Q2-21</v>
      </c>
      <c r="G547" s="140" t="str">
        <f t="shared" si="25"/>
        <v>Jun'21</v>
      </c>
      <c r="H547" s="140" t="str">
        <f>TEXT(RawData[[#This Row],[Date]], "YYYY")</f>
        <v>2021</v>
      </c>
      <c r="I547" s="141" t="s">
        <v>32</v>
      </c>
      <c r="J547" s="141" t="s">
        <v>90</v>
      </c>
      <c r="K547" s="139">
        <f t="shared" si="26"/>
        <v>1</v>
      </c>
      <c r="L547" s="142">
        <f>IF(RawData[[#This Row],[Paid/Unpaid]]="Paid", IF(VALUE($E547)&gt;VALUE($D$3),$K547* 10000,$K547* 8000), 0)</f>
        <v>8000</v>
      </c>
      <c r="M547" s="53" t="s">
        <v>146</v>
      </c>
    </row>
    <row r="548" spans="1:13" ht="12.75" customHeight="1" x14ac:dyDescent="0.3">
      <c r="A548" s="143" t="s">
        <v>61</v>
      </c>
      <c r="B548" s="139" t="str">
        <f>IFERROR(VLOOKUP($A548, NameDesignation[], 2,FALSE), " ")</f>
        <v>Former Director</v>
      </c>
      <c r="C548" s="139" t="s">
        <v>29</v>
      </c>
      <c r="D548" s="139">
        <v>460</v>
      </c>
      <c r="E548" s="140">
        <v>44355</v>
      </c>
      <c r="F548" s="139" t="str">
        <f t="shared" si="24"/>
        <v>Q2-21</v>
      </c>
      <c r="G548" s="140" t="str">
        <f t="shared" si="25"/>
        <v>Jun'21</v>
      </c>
      <c r="H548" s="140" t="str">
        <f>TEXT(RawData[[#This Row],[Date]], "YYYY")</f>
        <v>2021</v>
      </c>
      <c r="I548" s="141" t="s">
        <v>32</v>
      </c>
      <c r="J548" s="141" t="s">
        <v>90</v>
      </c>
      <c r="K548" s="139">
        <f t="shared" si="26"/>
        <v>1</v>
      </c>
      <c r="L548" s="142">
        <f>IF(RawData[[#This Row],[Paid/Unpaid]]="Paid", IF(VALUE($E548)&gt;VALUE($D$3),$K548* 10000,$K548* 8000), 0)</f>
        <v>8000</v>
      </c>
      <c r="M548" s="53" t="s">
        <v>146</v>
      </c>
    </row>
    <row r="549" spans="1:13" ht="12.75" customHeight="1" x14ac:dyDescent="0.3">
      <c r="A549" s="143" t="s">
        <v>23</v>
      </c>
      <c r="B549" s="139" t="str">
        <f>IFERROR(VLOOKUP($A549, NameDesignation[], 2,FALSE), " ")</f>
        <v>Former Director</v>
      </c>
      <c r="C549" s="139" t="s">
        <v>29</v>
      </c>
      <c r="D549" s="139">
        <v>460</v>
      </c>
      <c r="E549" s="140">
        <v>44355</v>
      </c>
      <c r="F549" s="139" t="str">
        <f t="shared" si="24"/>
        <v>Q2-21</v>
      </c>
      <c r="G549" s="140" t="str">
        <f t="shared" si="25"/>
        <v>Jun'21</v>
      </c>
      <c r="H549" s="140" t="str">
        <f>TEXT(RawData[[#This Row],[Date]], "YYYY")</f>
        <v>2021</v>
      </c>
      <c r="I549" s="141" t="s">
        <v>32</v>
      </c>
      <c r="J549" s="141" t="s">
        <v>90</v>
      </c>
      <c r="K549" s="139">
        <f t="shared" si="26"/>
        <v>1</v>
      </c>
      <c r="L549" s="142">
        <f>IF(RawData[[#This Row],[Paid/Unpaid]]="Paid", IF(VALUE($E549)&gt;VALUE($D$3),$K549* 10000,$K549* 8000), 0)</f>
        <v>8000</v>
      </c>
      <c r="M549" s="53" t="s">
        <v>146</v>
      </c>
    </row>
    <row r="550" spans="1:13" ht="12.75" customHeight="1" x14ac:dyDescent="0.3">
      <c r="A550" s="143" t="s">
        <v>24</v>
      </c>
      <c r="B550" s="139" t="str">
        <f>IFERROR(VLOOKUP($A550, NameDesignation[], 2,FALSE), " ")</f>
        <v>Former Director</v>
      </c>
      <c r="C550" s="139" t="s">
        <v>29</v>
      </c>
      <c r="D550" s="139">
        <v>460</v>
      </c>
      <c r="E550" s="140">
        <v>44355</v>
      </c>
      <c r="F550" s="139" t="str">
        <f t="shared" si="24"/>
        <v>Q2-21</v>
      </c>
      <c r="G550" s="140" t="str">
        <f t="shared" si="25"/>
        <v>Jun'21</v>
      </c>
      <c r="H550" s="140" t="str">
        <f>TEXT(RawData[[#This Row],[Date]], "YYYY")</f>
        <v>2021</v>
      </c>
      <c r="I550" s="141" t="s">
        <v>32</v>
      </c>
      <c r="J550" s="141" t="s">
        <v>90</v>
      </c>
      <c r="K550" s="139">
        <f t="shared" si="26"/>
        <v>1</v>
      </c>
      <c r="L550" s="142">
        <f>IF(RawData[[#This Row],[Paid/Unpaid]]="Paid", IF(VALUE($E550)&gt;VALUE($D$3),$K550* 10000,$K550* 8000), 0)</f>
        <v>8000</v>
      </c>
      <c r="M550" s="53" t="s">
        <v>146</v>
      </c>
    </row>
    <row r="551" spans="1:13" ht="12.75" customHeight="1" x14ac:dyDescent="0.3">
      <c r="A551" s="143" t="s">
        <v>15</v>
      </c>
      <c r="B551" s="139" t="str">
        <f>IFERROR(VLOOKUP($A551, NameDesignation[], 2,FALSE), " ")</f>
        <v>Former Director</v>
      </c>
      <c r="C551" s="139" t="s">
        <v>29</v>
      </c>
      <c r="D551" s="139">
        <v>460</v>
      </c>
      <c r="E551" s="140">
        <v>44355</v>
      </c>
      <c r="F551" s="139" t="str">
        <f t="shared" si="24"/>
        <v>Q2-21</v>
      </c>
      <c r="G551" s="140" t="str">
        <f t="shared" si="25"/>
        <v>Jun'21</v>
      </c>
      <c r="H551" s="140" t="str">
        <f>TEXT(RawData[[#This Row],[Date]], "YYYY")</f>
        <v>2021</v>
      </c>
      <c r="I551" s="141" t="s">
        <v>32</v>
      </c>
      <c r="J551" s="141" t="s">
        <v>90</v>
      </c>
      <c r="K551" s="139">
        <f t="shared" si="26"/>
        <v>1</v>
      </c>
      <c r="L551" s="142">
        <f>IF(RawData[[#This Row],[Paid/Unpaid]]="Paid", IF(VALUE($E551)&gt;VALUE($D$3),$K551* 10000,$K551* 8000), 0)</f>
        <v>8000</v>
      </c>
      <c r="M551" s="53" t="s">
        <v>146</v>
      </c>
    </row>
    <row r="552" spans="1:13" ht="12.75" customHeight="1" x14ac:dyDescent="0.3">
      <c r="A552" s="143" t="s">
        <v>21</v>
      </c>
      <c r="B552" s="139" t="str">
        <f>IFERROR(VLOOKUP($A552, NameDesignation[], 2,FALSE), " ")</f>
        <v>Former Independent Director</v>
      </c>
      <c r="C552" s="139" t="s">
        <v>29</v>
      </c>
      <c r="D552" s="139">
        <v>460</v>
      </c>
      <c r="E552" s="140">
        <v>44355</v>
      </c>
      <c r="F552" s="139" t="str">
        <f t="shared" si="24"/>
        <v>Q2-21</v>
      </c>
      <c r="G552" s="140" t="str">
        <f t="shared" si="25"/>
        <v>Jun'21</v>
      </c>
      <c r="H552" s="140" t="str">
        <f>TEXT(RawData[[#This Row],[Date]], "YYYY")</f>
        <v>2021</v>
      </c>
      <c r="I552" s="141" t="s">
        <v>32</v>
      </c>
      <c r="J552" s="141" t="s">
        <v>90</v>
      </c>
      <c r="K552" s="139">
        <f t="shared" si="26"/>
        <v>1</v>
      </c>
      <c r="L552" s="142">
        <f>IF(RawData[[#This Row],[Paid/Unpaid]]="Paid", IF(VALUE($E552)&gt;VALUE($D$3),$K552* 10000,$K552* 8000), 0)</f>
        <v>8000</v>
      </c>
      <c r="M552" s="53" t="s">
        <v>146</v>
      </c>
    </row>
    <row r="553" spans="1:13" ht="12.75" customHeight="1" x14ac:dyDescent="0.3">
      <c r="A553" s="143" t="s">
        <v>25</v>
      </c>
      <c r="B553" s="139" t="str">
        <f>IFERROR(VLOOKUP($A553, NameDesignation[], 2,FALSE), " ")</f>
        <v>Former Director</v>
      </c>
      <c r="C553" s="139" t="s">
        <v>29</v>
      </c>
      <c r="D553" s="139">
        <v>460</v>
      </c>
      <c r="E553" s="140">
        <v>44355</v>
      </c>
      <c r="F553" s="139" t="str">
        <f t="shared" si="24"/>
        <v>Q2-21</v>
      </c>
      <c r="G553" s="140" t="str">
        <f t="shared" si="25"/>
        <v>Jun'21</v>
      </c>
      <c r="H553" s="140" t="str">
        <f>TEXT(RawData[[#This Row],[Date]], "YYYY")</f>
        <v>2021</v>
      </c>
      <c r="I553" s="141" t="s">
        <v>32</v>
      </c>
      <c r="J553" s="141" t="s">
        <v>90</v>
      </c>
      <c r="K553" s="139">
        <f t="shared" si="26"/>
        <v>1</v>
      </c>
      <c r="L553" s="142">
        <f>IF(RawData[[#This Row],[Paid/Unpaid]]="Paid", IF(VALUE($E553)&gt;VALUE($D$3),$K553* 10000,$K553* 8000), 0)</f>
        <v>8000</v>
      </c>
      <c r="M553" s="53" t="s">
        <v>146</v>
      </c>
    </row>
    <row r="554" spans="1:13" ht="12.75" customHeight="1" x14ac:dyDescent="0.3">
      <c r="A554" s="143" t="s">
        <v>50</v>
      </c>
      <c r="B554" s="139" t="str">
        <f>IFERROR(VLOOKUP($A554, NameDesignation[], 2,FALSE), " ")</f>
        <v>Former Director</v>
      </c>
      <c r="C554" s="139" t="s">
        <v>29</v>
      </c>
      <c r="D554" s="139">
        <v>460</v>
      </c>
      <c r="E554" s="140">
        <v>44355</v>
      </c>
      <c r="F554" s="139" t="str">
        <f t="shared" si="24"/>
        <v>Q2-21</v>
      </c>
      <c r="G554" s="140" t="str">
        <f t="shared" si="25"/>
        <v>Jun'21</v>
      </c>
      <c r="H554" s="140" t="str">
        <f>TEXT(RawData[[#This Row],[Date]], "YYYY")</f>
        <v>2021</v>
      </c>
      <c r="I554" s="141" t="s">
        <v>32</v>
      </c>
      <c r="J554" s="141" t="s">
        <v>91</v>
      </c>
      <c r="K554" s="139">
        <f t="shared" si="26"/>
        <v>0</v>
      </c>
      <c r="L554" s="142">
        <f>IF(RawData[[#This Row],[Paid/Unpaid]]="Paid", IF(VALUE($E554)&gt;VALUE($D$3),$K554* 10000,$K554* 8000), 0)</f>
        <v>0</v>
      </c>
      <c r="M554" s="53" t="s">
        <v>146</v>
      </c>
    </row>
    <row r="555" spans="1:13" ht="12.75" customHeight="1" x14ac:dyDescent="0.3">
      <c r="A555" s="143" t="s">
        <v>51</v>
      </c>
      <c r="B555" s="139" t="str">
        <f>IFERROR(VLOOKUP($A555, NameDesignation[], 2,FALSE), " ")</f>
        <v>Former Director</v>
      </c>
      <c r="C555" s="139" t="s">
        <v>29</v>
      </c>
      <c r="D555" s="139">
        <v>460</v>
      </c>
      <c r="E555" s="140">
        <v>44355</v>
      </c>
      <c r="F555" s="139" t="str">
        <f t="shared" si="24"/>
        <v>Q2-21</v>
      </c>
      <c r="G555" s="140" t="str">
        <f t="shared" si="25"/>
        <v>Jun'21</v>
      </c>
      <c r="H555" s="140" t="str">
        <f>TEXT(RawData[[#This Row],[Date]], "YYYY")</f>
        <v>2021</v>
      </c>
      <c r="I555" s="141" t="s">
        <v>32</v>
      </c>
      <c r="J555" s="141" t="s">
        <v>90</v>
      </c>
      <c r="K555" s="139">
        <f t="shared" si="26"/>
        <v>1</v>
      </c>
      <c r="L555" s="142">
        <f>IF(RawData[[#This Row],[Paid/Unpaid]]="Paid", IF(VALUE($E555)&gt;VALUE($D$3),$K555* 10000,$K555* 8000), 0)</f>
        <v>8000</v>
      </c>
      <c r="M555" s="53" t="s">
        <v>146</v>
      </c>
    </row>
    <row r="556" spans="1:13" ht="12.75" customHeight="1" x14ac:dyDescent="0.3">
      <c r="A556" s="143" t="s">
        <v>27</v>
      </c>
      <c r="B556" s="139" t="str">
        <f>IFERROR(VLOOKUP($A556, NameDesignation[], 2,FALSE), " ")</f>
        <v>Former Director</v>
      </c>
      <c r="C556" s="139" t="s">
        <v>29</v>
      </c>
      <c r="D556" s="139">
        <v>460</v>
      </c>
      <c r="E556" s="140">
        <v>44355</v>
      </c>
      <c r="F556" s="139" t="str">
        <f t="shared" si="24"/>
        <v>Q2-21</v>
      </c>
      <c r="G556" s="140" t="str">
        <f t="shared" si="25"/>
        <v>Jun'21</v>
      </c>
      <c r="H556" s="140" t="str">
        <f>TEXT(RawData[[#This Row],[Date]], "YYYY")</f>
        <v>2021</v>
      </c>
      <c r="I556" s="141" t="s">
        <v>32</v>
      </c>
      <c r="J556" s="141" t="s">
        <v>91</v>
      </c>
      <c r="K556" s="139">
        <f t="shared" si="26"/>
        <v>0</v>
      </c>
      <c r="L556" s="142">
        <f>IF(RawData[[#This Row],[Paid/Unpaid]]="Paid", IF(VALUE($E556)&gt;VALUE($D$3),$K556* 10000,$K556* 8000), 0)</f>
        <v>0</v>
      </c>
      <c r="M556" s="53" t="s">
        <v>146</v>
      </c>
    </row>
    <row r="557" spans="1:13" ht="12.75" customHeight="1" x14ac:dyDescent="0.3">
      <c r="A557" s="143" t="s">
        <v>18</v>
      </c>
      <c r="B557" s="139" t="str">
        <f>IFERROR(VLOOKUP($A557, NameDesignation[], 2,FALSE), " ")</f>
        <v>Former Independent Director</v>
      </c>
      <c r="C557" s="139" t="s">
        <v>29</v>
      </c>
      <c r="D557" s="139">
        <v>460</v>
      </c>
      <c r="E557" s="140">
        <v>44355</v>
      </c>
      <c r="F557" s="139" t="str">
        <f t="shared" si="24"/>
        <v>Q2-21</v>
      </c>
      <c r="G557" s="140" t="str">
        <f t="shared" si="25"/>
        <v>Jun'21</v>
      </c>
      <c r="H557" s="140" t="str">
        <f>TEXT(RawData[[#This Row],[Date]], "YYYY")</f>
        <v>2021</v>
      </c>
      <c r="I557" s="141" t="s">
        <v>32</v>
      </c>
      <c r="J557" s="141" t="s">
        <v>91</v>
      </c>
      <c r="K557" s="139">
        <f t="shared" si="26"/>
        <v>0</v>
      </c>
      <c r="L557" s="142">
        <f>IF(RawData[[#This Row],[Paid/Unpaid]]="Paid", IF(VALUE($E557)&gt;VALUE($D$3),$K557* 10000,$K557* 8000), 0)</f>
        <v>0</v>
      </c>
      <c r="M557" s="53" t="s">
        <v>146</v>
      </c>
    </row>
    <row r="558" spans="1:13" ht="12.75" customHeight="1" x14ac:dyDescent="0.3">
      <c r="A558" s="143" t="s">
        <v>35</v>
      </c>
      <c r="B558" s="139" t="str">
        <f>IFERROR(VLOOKUP($A558, NameDesignation[], 2,FALSE), " ")</f>
        <v>Former Managing Director &amp; CEO</v>
      </c>
      <c r="C558" s="139" t="s">
        <v>29</v>
      </c>
      <c r="D558" s="139">
        <v>460</v>
      </c>
      <c r="E558" s="140">
        <v>44355</v>
      </c>
      <c r="F558" s="139" t="str">
        <f t="shared" si="24"/>
        <v>Q2-21</v>
      </c>
      <c r="G558" s="140" t="str">
        <f t="shared" si="25"/>
        <v>Jun'21</v>
      </c>
      <c r="H558" s="140" t="str">
        <f>TEXT(RawData[[#This Row],[Date]], "YYYY")</f>
        <v>2021</v>
      </c>
      <c r="I558" s="141" t="s">
        <v>32</v>
      </c>
      <c r="J558" s="141" t="s">
        <v>90</v>
      </c>
      <c r="K558" s="139">
        <f t="shared" si="26"/>
        <v>1</v>
      </c>
      <c r="L558" s="142">
        <f>IF(RawData[[#This Row],[Paid/Unpaid]]="Paid", IF(VALUE($E558)&gt;VALUE($D$3),$K558* 10000,$K558* 8000), 0)</f>
        <v>8000</v>
      </c>
      <c r="M558" s="53" t="s">
        <v>146</v>
      </c>
    </row>
    <row r="559" spans="1:13" ht="12.75" customHeight="1" x14ac:dyDescent="0.3">
      <c r="A559" s="143" t="s">
        <v>23</v>
      </c>
      <c r="B559" s="139" t="str">
        <f>IFERROR(VLOOKUP($A559, NameDesignation[], 2,FALSE), " ")</f>
        <v>Former Director</v>
      </c>
      <c r="C559" s="139" t="s">
        <v>37</v>
      </c>
      <c r="D559" s="139">
        <v>116</v>
      </c>
      <c r="E559" s="140">
        <v>44355</v>
      </c>
      <c r="F559" s="139" t="str">
        <f t="shared" si="24"/>
        <v>Q2-21</v>
      </c>
      <c r="G559" s="140" t="str">
        <f t="shared" si="25"/>
        <v>Jun'21</v>
      </c>
      <c r="H559" s="140" t="str">
        <f>TEXT(RawData[[#This Row],[Date]], "YYYY")</f>
        <v>2021</v>
      </c>
      <c r="I559" s="141" t="s">
        <v>32</v>
      </c>
      <c r="J559" s="141" t="s">
        <v>90</v>
      </c>
      <c r="K559" s="139">
        <f t="shared" si="26"/>
        <v>1</v>
      </c>
      <c r="L559" s="142">
        <f>IF(RawData[[#This Row],[Paid/Unpaid]]="Paid", IF(VALUE($E559)&gt;VALUE($D$3),$K559* 10000,$K559* 8000), 0)</f>
        <v>8000</v>
      </c>
      <c r="M559" s="53" t="s">
        <v>146</v>
      </c>
    </row>
    <row r="560" spans="1:13" ht="12.75" customHeight="1" x14ac:dyDescent="0.3">
      <c r="A560" s="143" t="s">
        <v>24</v>
      </c>
      <c r="B560" s="139" t="str">
        <f>IFERROR(VLOOKUP($A560, NameDesignation[], 2,FALSE), " ")</f>
        <v>Former Director</v>
      </c>
      <c r="C560" s="139" t="s">
        <v>37</v>
      </c>
      <c r="D560" s="139">
        <v>116</v>
      </c>
      <c r="E560" s="140">
        <v>44355</v>
      </c>
      <c r="F560" s="139" t="str">
        <f t="shared" si="24"/>
        <v>Q2-21</v>
      </c>
      <c r="G560" s="140" t="str">
        <f t="shared" si="25"/>
        <v>Jun'21</v>
      </c>
      <c r="H560" s="140" t="str">
        <f>TEXT(RawData[[#This Row],[Date]], "YYYY")</f>
        <v>2021</v>
      </c>
      <c r="I560" s="141" t="s">
        <v>32</v>
      </c>
      <c r="J560" s="141" t="s">
        <v>90</v>
      </c>
      <c r="K560" s="139">
        <f t="shared" si="26"/>
        <v>1</v>
      </c>
      <c r="L560" s="142">
        <f>IF(RawData[[#This Row],[Paid/Unpaid]]="Paid", IF(VALUE($E560)&gt;VALUE($D$3),$K560* 10000,$K560* 8000), 0)</f>
        <v>8000</v>
      </c>
      <c r="M560" s="53" t="s">
        <v>146</v>
      </c>
    </row>
    <row r="561" spans="1:13" ht="12.75" customHeight="1" x14ac:dyDescent="0.3">
      <c r="A561" s="143" t="s">
        <v>21</v>
      </c>
      <c r="B561" s="139" t="str">
        <f>IFERROR(VLOOKUP($A561, NameDesignation[], 2,FALSE), " ")</f>
        <v>Former Independent Director</v>
      </c>
      <c r="C561" s="139" t="s">
        <v>37</v>
      </c>
      <c r="D561" s="139">
        <v>116</v>
      </c>
      <c r="E561" s="140">
        <v>44355</v>
      </c>
      <c r="F561" s="139" t="str">
        <f t="shared" si="24"/>
        <v>Q2-21</v>
      </c>
      <c r="G561" s="140" t="str">
        <f t="shared" si="25"/>
        <v>Jun'21</v>
      </c>
      <c r="H561" s="140" t="str">
        <f>TEXT(RawData[[#This Row],[Date]], "YYYY")</f>
        <v>2021</v>
      </c>
      <c r="I561" s="141" t="s">
        <v>32</v>
      </c>
      <c r="J561" s="141" t="s">
        <v>90</v>
      </c>
      <c r="K561" s="139">
        <f t="shared" si="26"/>
        <v>1</v>
      </c>
      <c r="L561" s="142">
        <f>IF(RawData[[#This Row],[Paid/Unpaid]]="Paid", IF(VALUE($E561)&gt;VALUE($D$3),$K561* 10000,$K561* 8000), 0)</f>
        <v>8000</v>
      </c>
      <c r="M561" s="53" t="s">
        <v>146</v>
      </c>
    </row>
    <row r="562" spans="1:13" ht="12.75" customHeight="1" x14ac:dyDescent="0.3">
      <c r="A562" s="143" t="s">
        <v>18</v>
      </c>
      <c r="B562" s="139" t="str">
        <f>IFERROR(VLOOKUP($A562, NameDesignation[], 2,FALSE), " ")</f>
        <v>Former Independent Director</v>
      </c>
      <c r="C562" s="139" t="s">
        <v>37</v>
      </c>
      <c r="D562" s="139">
        <v>116</v>
      </c>
      <c r="E562" s="140">
        <v>44355</v>
      </c>
      <c r="F562" s="139" t="str">
        <f t="shared" si="24"/>
        <v>Q2-21</v>
      </c>
      <c r="G562" s="140" t="str">
        <f t="shared" si="25"/>
        <v>Jun'21</v>
      </c>
      <c r="H562" s="140" t="str">
        <f>TEXT(RawData[[#This Row],[Date]], "YYYY")</f>
        <v>2021</v>
      </c>
      <c r="I562" s="141" t="s">
        <v>32</v>
      </c>
      <c r="J562" s="141" t="s">
        <v>90</v>
      </c>
      <c r="K562" s="139">
        <f t="shared" si="26"/>
        <v>1</v>
      </c>
      <c r="L562" s="142">
        <f>IF(RawData[[#This Row],[Paid/Unpaid]]="Paid", IF(VALUE($E562)&gt;VALUE($D$3),$K562* 10000,$K562* 8000), 0)</f>
        <v>8000</v>
      </c>
      <c r="M562" s="53" t="s">
        <v>146</v>
      </c>
    </row>
    <row r="563" spans="1:13" ht="12.75" customHeight="1" x14ac:dyDescent="0.3">
      <c r="A563" s="143" t="s">
        <v>27</v>
      </c>
      <c r="B563" s="139" t="str">
        <f>IFERROR(VLOOKUP($A563, NameDesignation[], 2,FALSE), " ")</f>
        <v>Former Director</v>
      </c>
      <c r="C563" s="139" t="s">
        <v>37</v>
      </c>
      <c r="D563" s="139">
        <v>116</v>
      </c>
      <c r="E563" s="140">
        <v>44355</v>
      </c>
      <c r="F563" s="139" t="str">
        <f t="shared" si="24"/>
        <v>Q2-21</v>
      </c>
      <c r="G563" s="140" t="str">
        <f t="shared" si="25"/>
        <v>Jun'21</v>
      </c>
      <c r="H563" s="140" t="str">
        <f>TEXT(RawData[[#This Row],[Date]], "YYYY")</f>
        <v>2021</v>
      </c>
      <c r="I563" s="141" t="s">
        <v>32</v>
      </c>
      <c r="J563" s="141" t="s">
        <v>91</v>
      </c>
      <c r="K563" s="139">
        <f t="shared" si="26"/>
        <v>0</v>
      </c>
      <c r="L563" s="142">
        <f>IF(RawData[[#This Row],[Paid/Unpaid]]="Paid", IF(VALUE($E563)&gt;VALUE($D$3),$K563* 10000,$K563* 8000), 0)</f>
        <v>0</v>
      </c>
      <c r="M563" s="53" t="s">
        <v>146</v>
      </c>
    </row>
    <row r="564" spans="1:13" ht="12.75" customHeight="1" x14ac:dyDescent="0.3">
      <c r="A564" s="143" t="s">
        <v>49</v>
      </c>
      <c r="B564" s="139" t="str">
        <f>IFERROR(VLOOKUP($A564, NameDesignation[], 2,FALSE), " ")</f>
        <v>Former Director</v>
      </c>
      <c r="C564" s="139" t="s">
        <v>38</v>
      </c>
      <c r="D564" s="139">
        <v>31</v>
      </c>
      <c r="E564" s="140">
        <v>44377</v>
      </c>
      <c r="F564" s="139" t="str">
        <f t="shared" si="24"/>
        <v>Q2-21</v>
      </c>
      <c r="G564" s="140" t="str">
        <f t="shared" si="25"/>
        <v>Jun'21</v>
      </c>
      <c r="H564" s="140" t="str">
        <f>TEXT(RawData[[#This Row],[Date]], "YYYY")</f>
        <v>2021</v>
      </c>
      <c r="I564" s="141" t="s">
        <v>32</v>
      </c>
      <c r="J564" s="141" t="s">
        <v>90</v>
      </c>
      <c r="K564" s="139">
        <f t="shared" si="26"/>
        <v>1</v>
      </c>
      <c r="L564" s="142">
        <f>IF(RawData[[#This Row],[Paid/Unpaid]]="Paid", IF(VALUE($E564)&gt;VALUE($D$3),$K564* 10000,$K564* 8000), 0)</f>
        <v>8000</v>
      </c>
      <c r="M564" s="53" t="s">
        <v>146</v>
      </c>
    </row>
    <row r="565" spans="1:13" ht="12.75" customHeight="1" x14ac:dyDescent="0.3">
      <c r="A565" s="143" t="s">
        <v>9</v>
      </c>
      <c r="B565" s="139" t="str">
        <f>IFERROR(VLOOKUP($A565, NameDesignation[], 2,FALSE), " ")</f>
        <v>Former Director</v>
      </c>
      <c r="C565" s="139" t="s">
        <v>38</v>
      </c>
      <c r="D565" s="139">
        <v>31</v>
      </c>
      <c r="E565" s="140">
        <v>44377</v>
      </c>
      <c r="F565" s="139" t="str">
        <f t="shared" si="24"/>
        <v>Q2-21</v>
      </c>
      <c r="G565" s="140" t="str">
        <f t="shared" si="25"/>
        <v>Jun'21</v>
      </c>
      <c r="H565" s="140" t="str">
        <f>TEXT(RawData[[#This Row],[Date]], "YYYY")</f>
        <v>2021</v>
      </c>
      <c r="I565" s="141" t="s">
        <v>32</v>
      </c>
      <c r="J565" s="141" t="s">
        <v>90</v>
      </c>
      <c r="K565" s="139">
        <f t="shared" si="26"/>
        <v>1</v>
      </c>
      <c r="L565" s="142">
        <f>IF(RawData[[#This Row],[Paid/Unpaid]]="Paid", IF(VALUE($E565)&gt;VALUE($D$3),$K565* 10000,$K565* 8000), 0)</f>
        <v>8000</v>
      </c>
      <c r="M565" s="53" t="s">
        <v>146</v>
      </c>
    </row>
    <row r="566" spans="1:13" ht="12.75" customHeight="1" x14ac:dyDescent="0.3">
      <c r="A566" s="143" t="s">
        <v>61</v>
      </c>
      <c r="B566" s="139" t="str">
        <f>IFERROR(VLOOKUP($A566, NameDesignation[], 2,FALSE), " ")</f>
        <v>Former Director</v>
      </c>
      <c r="C566" s="139" t="s">
        <v>38</v>
      </c>
      <c r="D566" s="139">
        <v>31</v>
      </c>
      <c r="E566" s="140">
        <v>44377</v>
      </c>
      <c r="F566" s="139" t="str">
        <f t="shared" si="24"/>
        <v>Q2-21</v>
      </c>
      <c r="G566" s="140" t="str">
        <f t="shared" si="25"/>
        <v>Jun'21</v>
      </c>
      <c r="H566" s="140" t="str">
        <f>TEXT(RawData[[#This Row],[Date]], "YYYY")</f>
        <v>2021</v>
      </c>
      <c r="I566" s="141" t="s">
        <v>32</v>
      </c>
      <c r="J566" s="141" t="s">
        <v>90</v>
      </c>
      <c r="K566" s="139">
        <f t="shared" si="26"/>
        <v>1</v>
      </c>
      <c r="L566" s="142">
        <f>IF(RawData[[#This Row],[Paid/Unpaid]]="Paid", IF(VALUE($E566)&gt;VALUE($D$3),$K566* 10000,$K566* 8000), 0)</f>
        <v>8000</v>
      </c>
      <c r="M566" s="53" t="s">
        <v>146</v>
      </c>
    </row>
    <row r="567" spans="1:13" ht="12.75" customHeight="1" x14ac:dyDescent="0.3">
      <c r="A567" s="143" t="s">
        <v>15</v>
      </c>
      <c r="B567" s="139" t="str">
        <f>IFERROR(VLOOKUP($A567, NameDesignation[], 2,FALSE), " ")</f>
        <v>Former Director</v>
      </c>
      <c r="C567" s="139" t="s">
        <v>38</v>
      </c>
      <c r="D567" s="139">
        <v>31</v>
      </c>
      <c r="E567" s="140">
        <v>44377</v>
      </c>
      <c r="F567" s="139" t="str">
        <f t="shared" si="24"/>
        <v>Q2-21</v>
      </c>
      <c r="G567" s="140" t="str">
        <f t="shared" si="25"/>
        <v>Jun'21</v>
      </c>
      <c r="H567" s="140" t="str">
        <f>TEXT(RawData[[#This Row],[Date]], "YYYY")</f>
        <v>2021</v>
      </c>
      <c r="I567" s="141" t="s">
        <v>32</v>
      </c>
      <c r="J567" s="141" t="s">
        <v>90</v>
      </c>
      <c r="K567" s="139">
        <f t="shared" si="26"/>
        <v>1</v>
      </c>
      <c r="L567" s="142">
        <f>IF(RawData[[#This Row],[Paid/Unpaid]]="Paid", IF(VALUE($E567)&gt;VALUE($D$3),$K567* 10000,$K567* 8000), 0)</f>
        <v>8000</v>
      </c>
      <c r="M567" s="53" t="s">
        <v>146</v>
      </c>
    </row>
    <row r="568" spans="1:13" ht="12.75" customHeight="1" x14ac:dyDescent="0.3">
      <c r="A568" s="143" t="s">
        <v>137</v>
      </c>
      <c r="B568" s="139" t="str">
        <f>IFERROR(VLOOKUP($A568, NameDesignation[], 2,FALSE), " ")</f>
        <v>Former Director</v>
      </c>
      <c r="C568" s="139" t="s">
        <v>38</v>
      </c>
      <c r="D568" s="139">
        <v>31</v>
      </c>
      <c r="E568" s="140">
        <v>44377</v>
      </c>
      <c r="F568" s="139" t="str">
        <f t="shared" si="24"/>
        <v>Q2-21</v>
      </c>
      <c r="G568" s="140" t="str">
        <f t="shared" si="25"/>
        <v>Jun'21</v>
      </c>
      <c r="H568" s="140" t="str">
        <f>TEXT(RawData[[#This Row],[Date]], "YYYY")</f>
        <v>2021</v>
      </c>
      <c r="I568" s="141" t="s">
        <v>32</v>
      </c>
      <c r="J568" s="141" t="s">
        <v>90</v>
      </c>
      <c r="K568" s="139">
        <f t="shared" si="26"/>
        <v>1</v>
      </c>
      <c r="L568" s="142">
        <f>IF(RawData[[#This Row],[Paid/Unpaid]]="Paid", IF(VALUE($E568)&gt;VALUE($D$3),$K568* 10000,$K568* 8000), 0)</f>
        <v>8000</v>
      </c>
      <c r="M568" s="53" t="s">
        <v>146</v>
      </c>
    </row>
    <row r="569" spans="1:13" ht="12.75" customHeight="1" x14ac:dyDescent="0.3">
      <c r="A569" s="71" t="s">
        <v>9</v>
      </c>
      <c r="B569" s="139" t="str">
        <f>IFERROR(VLOOKUP($A569, NameDesignation[], 2,FALSE), " ")</f>
        <v>Former Director</v>
      </c>
      <c r="C569" s="139" t="s">
        <v>30</v>
      </c>
      <c r="D569" s="139">
        <v>444</v>
      </c>
      <c r="E569" s="140">
        <v>44392</v>
      </c>
      <c r="F569" s="139" t="str">
        <f t="shared" si="24"/>
        <v>Q3-21</v>
      </c>
      <c r="G569" s="140" t="str">
        <f t="shared" si="25"/>
        <v>Jul'21</v>
      </c>
      <c r="H569" s="140" t="str">
        <f>TEXT(RawData[[#This Row],[Date]], "YYYY")</f>
        <v>2021</v>
      </c>
      <c r="I569" s="141" t="s">
        <v>32</v>
      </c>
      <c r="J569" s="141" t="s">
        <v>90</v>
      </c>
      <c r="K569" s="139">
        <f t="shared" si="26"/>
        <v>1</v>
      </c>
      <c r="L569" s="142">
        <f>IF(RawData[[#This Row],[Paid/Unpaid]]="Paid", IF(VALUE($E569)&gt;VALUE($D$3),$K569* 10000,$K569* 8000), 0)</f>
        <v>8000</v>
      </c>
      <c r="M569" s="53" t="s">
        <v>146</v>
      </c>
    </row>
    <row r="570" spans="1:13" ht="12.75" customHeight="1" x14ac:dyDescent="0.3">
      <c r="A570" s="71" t="s">
        <v>8</v>
      </c>
      <c r="B570" s="139" t="str">
        <f>IFERROR(VLOOKUP($A570, NameDesignation[], 2,FALSE), " ")</f>
        <v>Former Vice-Chairman</v>
      </c>
      <c r="C570" s="139" t="s">
        <v>30</v>
      </c>
      <c r="D570" s="139">
        <v>444</v>
      </c>
      <c r="E570" s="140">
        <v>44392</v>
      </c>
      <c r="F570" s="139" t="str">
        <f t="shared" si="24"/>
        <v>Q3-21</v>
      </c>
      <c r="G570" s="140" t="str">
        <f t="shared" si="25"/>
        <v>Jul'21</v>
      </c>
      <c r="H570" s="140" t="str">
        <f>TEXT(RawData[[#This Row],[Date]], "YYYY")</f>
        <v>2021</v>
      </c>
      <c r="I570" s="141" t="s">
        <v>32</v>
      </c>
      <c r="J570" s="141" t="s">
        <v>90</v>
      </c>
      <c r="K570" s="139">
        <f t="shared" si="26"/>
        <v>1</v>
      </c>
      <c r="L570" s="142">
        <f>IF(RawData[[#This Row],[Paid/Unpaid]]="Paid", IF(VALUE($E570)&gt;VALUE($D$3),$K570* 10000,$K570* 8000), 0)</f>
        <v>8000</v>
      </c>
      <c r="M570" s="53" t="s">
        <v>146</v>
      </c>
    </row>
    <row r="571" spans="1:13" ht="12.75" customHeight="1" x14ac:dyDescent="0.3">
      <c r="A571" s="71" t="s">
        <v>49</v>
      </c>
      <c r="B571" s="139" t="str">
        <f>IFERROR(VLOOKUP($A571, NameDesignation[], 2,FALSE), " ")</f>
        <v>Former Director</v>
      </c>
      <c r="C571" s="139" t="s">
        <v>30</v>
      </c>
      <c r="D571" s="139">
        <v>444</v>
      </c>
      <c r="E571" s="140">
        <v>44392</v>
      </c>
      <c r="F571" s="139" t="str">
        <f t="shared" si="24"/>
        <v>Q3-21</v>
      </c>
      <c r="G571" s="140" t="str">
        <f t="shared" si="25"/>
        <v>Jul'21</v>
      </c>
      <c r="H571" s="140" t="str">
        <f>TEXT(RawData[[#This Row],[Date]], "YYYY")</f>
        <v>2021</v>
      </c>
      <c r="I571" s="141" t="s">
        <v>32</v>
      </c>
      <c r="J571" s="141" t="s">
        <v>90</v>
      </c>
      <c r="K571" s="139">
        <f t="shared" si="26"/>
        <v>1</v>
      </c>
      <c r="L571" s="142">
        <f>IF(RawData[[#This Row],[Paid/Unpaid]]="Paid", IF(VALUE($E571)&gt;VALUE($D$3),$K571* 10000,$K571* 8000), 0)</f>
        <v>8000</v>
      </c>
      <c r="M571" s="53" t="s">
        <v>146</v>
      </c>
    </row>
    <row r="572" spans="1:13" ht="12.75" customHeight="1" x14ac:dyDescent="0.3">
      <c r="A572" s="71" t="s">
        <v>11</v>
      </c>
      <c r="B572" s="139" t="str">
        <f>IFERROR(VLOOKUP($A572, NameDesignation[], 2,FALSE), " ")</f>
        <v>Former Director</v>
      </c>
      <c r="C572" s="139" t="s">
        <v>30</v>
      </c>
      <c r="D572" s="139">
        <v>444</v>
      </c>
      <c r="E572" s="140">
        <v>44392</v>
      </c>
      <c r="F572" s="139" t="str">
        <f t="shared" si="24"/>
        <v>Q3-21</v>
      </c>
      <c r="G572" s="140" t="str">
        <f t="shared" si="25"/>
        <v>Jul'21</v>
      </c>
      <c r="H572" s="140" t="str">
        <f>TEXT(RawData[[#This Row],[Date]], "YYYY")</f>
        <v>2021</v>
      </c>
      <c r="I572" s="141" t="s">
        <v>32</v>
      </c>
      <c r="J572" s="141" t="s">
        <v>90</v>
      </c>
      <c r="K572" s="139">
        <f t="shared" si="26"/>
        <v>1</v>
      </c>
      <c r="L572" s="142">
        <f>IF(RawData[[#This Row],[Paid/Unpaid]]="Paid", IF(VALUE($E572)&gt;VALUE($D$3),$K572* 10000,$K572* 8000), 0)</f>
        <v>8000</v>
      </c>
      <c r="M572" s="53" t="s">
        <v>146</v>
      </c>
    </row>
    <row r="573" spans="1:13" ht="12.75" customHeight="1" x14ac:dyDescent="0.3">
      <c r="A573" s="71" t="s">
        <v>13</v>
      </c>
      <c r="B573" s="139" t="str">
        <f>IFERROR(VLOOKUP($A573, NameDesignation[], 2,FALSE), " ")</f>
        <v>Former Director</v>
      </c>
      <c r="C573" s="139" t="s">
        <v>30</v>
      </c>
      <c r="D573" s="139">
        <v>444</v>
      </c>
      <c r="E573" s="140">
        <v>44392</v>
      </c>
      <c r="F573" s="139" t="str">
        <f t="shared" si="24"/>
        <v>Q3-21</v>
      </c>
      <c r="G573" s="140" t="str">
        <f t="shared" si="25"/>
        <v>Jul'21</v>
      </c>
      <c r="H573" s="140" t="str">
        <f>TEXT(RawData[[#This Row],[Date]], "YYYY")</f>
        <v>2021</v>
      </c>
      <c r="I573" s="141" t="s">
        <v>32</v>
      </c>
      <c r="J573" s="141" t="s">
        <v>91</v>
      </c>
      <c r="K573" s="139">
        <f t="shared" si="26"/>
        <v>0</v>
      </c>
      <c r="L573" s="142">
        <f>IF(RawData[[#This Row],[Paid/Unpaid]]="Paid", IF(VALUE($E573)&gt;VALUE($D$3),$K573* 10000,$K573* 8000), 0)</f>
        <v>0</v>
      </c>
      <c r="M573" s="53" t="s">
        <v>146</v>
      </c>
    </row>
    <row r="574" spans="1:13" ht="12.75" customHeight="1" x14ac:dyDescent="0.3">
      <c r="A574" s="71" t="s">
        <v>12</v>
      </c>
      <c r="B574" s="139" t="str">
        <f>IFERROR(VLOOKUP($A574, NameDesignation[], 2,FALSE), " ")</f>
        <v>Former Director</v>
      </c>
      <c r="C574" s="139" t="s">
        <v>30</v>
      </c>
      <c r="D574" s="139">
        <v>444</v>
      </c>
      <c r="E574" s="140">
        <v>44392</v>
      </c>
      <c r="F574" s="139" t="str">
        <f t="shared" si="24"/>
        <v>Q3-21</v>
      </c>
      <c r="G574" s="140" t="str">
        <f t="shared" si="25"/>
        <v>Jul'21</v>
      </c>
      <c r="H574" s="140" t="str">
        <f>TEXT(RawData[[#This Row],[Date]], "YYYY")</f>
        <v>2021</v>
      </c>
      <c r="I574" s="141" t="s">
        <v>32</v>
      </c>
      <c r="J574" s="141" t="s">
        <v>90</v>
      </c>
      <c r="K574" s="139">
        <f t="shared" si="26"/>
        <v>1</v>
      </c>
      <c r="L574" s="142">
        <f>IF(RawData[[#This Row],[Paid/Unpaid]]="Paid", IF(VALUE($E574)&gt;VALUE($D$3),$K574* 10000,$K574* 8000), 0)</f>
        <v>8000</v>
      </c>
      <c r="M574" s="53" t="s">
        <v>146</v>
      </c>
    </row>
    <row r="575" spans="1:13" ht="12.75" customHeight="1" x14ac:dyDescent="0.3">
      <c r="A575" s="71" t="s">
        <v>25</v>
      </c>
      <c r="B575" s="139" t="str">
        <f>IFERROR(VLOOKUP($A575, NameDesignation[], 2,FALSE), " ")</f>
        <v>Former Director</v>
      </c>
      <c r="C575" s="139" t="s">
        <v>30</v>
      </c>
      <c r="D575" s="139">
        <v>444</v>
      </c>
      <c r="E575" s="140">
        <v>44392</v>
      </c>
      <c r="F575" s="139" t="str">
        <f t="shared" si="24"/>
        <v>Q3-21</v>
      </c>
      <c r="G575" s="140" t="str">
        <f t="shared" si="25"/>
        <v>Jul'21</v>
      </c>
      <c r="H575" s="140" t="str">
        <f>TEXT(RawData[[#This Row],[Date]], "YYYY")</f>
        <v>2021</v>
      </c>
      <c r="I575" s="141" t="s">
        <v>32</v>
      </c>
      <c r="J575" s="141" t="s">
        <v>91</v>
      </c>
      <c r="K575" s="139">
        <f t="shared" si="26"/>
        <v>0</v>
      </c>
      <c r="L575" s="142">
        <f>IF(RawData[[#This Row],[Paid/Unpaid]]="Paid", IF(VALUE($E575)&gt;VALUE($D$3),$K575* 10000,$K575* 8000), 0)</f>
        <v>0</v>
      </c>
      <c r="M575" s="53" t="s">
        <v>146</v>
      </c>
    </row>
    <row r="576" spans="1:13" ht="12.75" customHeight="1" x14ac:dyDescent="0.3">
      <c r="A576" s="143" t="s">
        <v>7</v>
      </c>
      <c r="B576" s="139" t="str">
        <f>IFERROR(VLOOKUP($A576, NameDesignation[], 2,FALSE), " ")</f>
        <v>Former Director</v>
      </c>
      <c r="C576" s="139" t="s">
        <v>29</v>
      </c>
      <c r="D576" s="139">
        <v>461</v>
      </c>
      <c r="E576" s="140">
        <v>44392</v>
      </c>
      <c r="F576" s="139" t="str">
        <f t="shared" si="24"/>
        <v>Q3-21</v>
      </c>
      <c r="G576" s="140" t="str">
        <f t="shared" si="25"/>
        <v>Jul'21</v>
      </c>
      <c r="H576" s="140" t="str">
        <f>TEXT(RawData[[#This Row],[Date]], "YYYY")</f>
        <v>2021</v>
      </c>
      <c r="I576" s="141" t="s">
        <v>32</v>
      </c>
      <c r="J576" s="141" t="s">
        <v>90</v>
      </c>
      <c r="K576" s="139">
        <f t="shared" si="26"/>
        <v>1</v>
      </c>
      <c r="L576" s="142">
        <f>IF(RawData[[#This Row],[Paid/Unpaid]]="Paid", IF(VALUE($E576)&gt;VALUE($D$3),$K576* 10000,$K576* 8000), 0)</f>
        <v>8000</v>
      </c>
      <c r="M576" s="53" t="s">
        <v>146</v>
      </c>
    </row>
    <row r="577" spans="1:13" ht="12.75" customHeight="1" x14ac:dyDescent="0.3">
      <c r="A577" s="143" t="s">
        <v>8</v>
      </c>
      <c r="B577" s="139" t="str">
        <f>IFERROR(VLOOKUP($A577, NameDesignation[], 2,FALSE), " ")</f>
        <v>Former Vice-Chairman</v>
      </c>
      <c r="C577" s="139" t="s">
        <v>29</v>
      </c>
      <c r="D577" s="139">
        <v>461</v>
      </c>
      <c r="E577" s="140">
        <v>44392</v>
      </c>
      <c r="F577" s="139" t="str">
        <f t="shared" si="24"/>
        <v>Q3-21</v>
      </c>
      <c r="G577" s="140" t="str">
        <f t="shared" si="25"/>
        <v>Jul'21</v>
      </c>
      <c r="H577" s="140" t="str">
        <f>TEXT(RawData[[#This Row],[Date]], "YYYY")</f>
        <v>2021</v>
      </c>
      <c r="I577" s="141" t="s">
        <v>32</v>
      </c>
      <c r="J577" s="141" t="s">
        <v>90</v>
      </c>
      <c r="K577" s="139">
        <f t="shared" si="26"/>
        <v>1</v>
      </c>
      <c r="L577" s="142">
        <f>IF(RawData[[#This Row],[Paid/Unpaid]]="Paid", IF(VALUE($E577)&gt;VALUE($D$3),$K577* 10000,$K577* 8000), 0)</f>
        <v>8000</v>
      </c>
      <c r="M577" s="53" t="s">
        <v>146</v>
      </c>
    </row>
    <row r="578" spans="1:13" ht="12.75" customHeight="1" x14ac:dyDescent="0.3">
      <c r="A578" s="143" t="s">
        <v>9</v>
      </c>
      <c r="B578" s="139" t="str">
        <f>IFERROR(VLOOKUP($A578, NameDesignation[], 2,FALSE), " ")</f>
        <v>Former Director</v>
      </c>
      <c r="C578" s="139" t="s">
        <v>29</v>
      </c>
      <c r="D578" s="139">
        <v>461</v>
      </c>
      <c r="E578" s="140">
        <v>44392</v>
      </c>
      <c r="F578" s="139" t="str">
        <f t="shared" si="24"/>
        <v>Q3-21</v>
      </c>
      <c r="G578" s="140" t="str">
        <f t="shared" si="25"/>
        <v>Jul'21</v>
      </c>
      <c r="H578" s="140" t="str">
        <f>TEXT(RawData[[#This Row],[Date]], "YYYY")</f>
        <v>2021</v>
      </c>
      <c r="I578" s="141" t="s">
        <v>32</v>
      </c>
      <c r="J578" s="141" t="s">
        <v>90</v>
      </c>
      <c r="K578" s="139">
        <f t="shared" si="26"/>
        <v>1</v>
      </c>
      <c r="L578" s="142">
        <f>IF(RawData[[#This Row],[Paid/Unpaid]]="Paid", IF(VALUE($E578)&gt;VALUE($D$3),$K578* 10000,$K578* 8000), 0)</f>
        <v>8000</v>
      </c>
      <c r="M578" s="53" t="s">
        <v>146</v>
      </c>
    </row>
    <row r="579" spans="1:13" ht="12.75" customHeight="1" x14ac:dyDescent="0.3">
      <c r="A579" s="143" t="s">
        <v>20</v>
      </c>
      <c r="B579" s="139" t="str">
        <f>IFERROR(VLOOKUP($A579, NameDesignation[], 2,FALSE), " ")</f>
        <v>Former Independent Director</v>
      </c>
      <c r="C579" s="139" t="s">
        <v>29</v>
      </c>
      <c r="D579" s="139">
        <v>461</v>
      </c>
      <c r="E579" s="140">
        <v>44392</v>
      </c>
      <c r="F579" s="139" t="str">
        <f t="shared" si="24"/>
        <v>Q3-21</v>
      </c>
      <c r="G579" s="140" t="str">
        <f t="shared" si="25"/>
        <v>Jul'21</v>
      </c>
      <c r="H579" s="140" t="str">
        <f>TEXT(RawData[[#This Row],[Date]], "YYYY")</f>
        <v>2021</v>
      </c>
      <c r="I579" s="141" t="s">
        <v>32</v>
      </c>
      <c r="J579" s="141" t="s">
        <v>91</v>
      </c>
      <c r="K579" s="139">
        <f t="shared" si="26"/>
        <v>0</v>
      </c>
      <c r="L579" s="142">
        <f>IF(RawData[[#This Row],[Paid/Unpaid]]="Paid", IF(VALUE($E579)&gt;VALUE($D$3),$K579* 10000,$K579* 8000), 0)</f>
        <v>0</v>
      </c>
      <c r="M579" s="53" t="s">
        <v>146</v>
      </c>
    </row>
    <row r="580" spans="1:13" ht="12.75" customHeight="1" x14ac:dyDescent="0.3">
      <c r="A580" s="143" t="s">
        <v>49</v>
      </c>
      <c r="B580" s="139" t="str">
        <f>IFERROR(VLOOKUP($A580, NameDesignation[], 2,FALSE), " ")</f>
        <v>Former Director</v>
      </c>
      <c r="C580" s="139" t="s">
        <v>29</v>
      </c>
      <c r="D580" s="139">
        <v>461</v>
      </c>
      <c r="E580" s="140">
        <v>44392</v>
      </c>
      <c r="F580" s="139" t="str">
        <f t="shared" si="24"/>
        <v>Q3-21</v>
      </c>
      <c r="G580" s="140" t="str">
        <f t="shared" si="25"/>
        <v>Jul'21</v>
      </c>
      <c r="H580" s="140" t="str">
        <f>TEXT(RawData[[#This Row],[Date]], "YYYY")</f>
        <v>2021</v>
      </c>
      <c r="I580" s="141" t="s">
        <v>32</v>
      </c>
      <c r="J580" s="141" t="s">
        <v>90</v>
      </c>
      <c r="K580" s="139">
        <f t="shared" si="26"/>
        <v>1</v>
      </c>
      <c r="L580" s="142">
        <f>IF(RawData[[#This Row],[Paid/Unpaid]]="Paid", IF(VALUE($E580)&gt;VALUE($D$3),$K580* 10000,$K580* 8000), 0)</f>
        <v>8000</v>
      </c>
      <c r="M580" s="53" t="s">
        <v>146</v>
      </c>
    </row>
    <row r="581" spans="1:13" ht="12.75" customHeight="1" x14ac:dyDescent="0.3">
      <c r="A581" s="143" t="s">
        <v>11</v>
      </c>
      <c r="B581" s="139" t="str">
        <f>IFERROR(VLOOKUP($A581, NameDesignation[], 2,FALSE), " ")</f>
        <v>Former Director</v>
      </c>
      <c r="C581" s="139" t="s">
        <v>29</v>
      </c>
      <c r="D581" s="139">
        <v>461</v>
      </c>
      <c r="E581" s="140">
        <v>44392</v>
      </c>
      <c r="F581" s="139" t="str">
        <f t="shared" si="24"/>
        <v>Q3-21</v>
      </c>
      <c r="G581" s="140" t="str">
        <f t="shared" si="25"/>
        <v>Jul'21</v>
      </c>
      <c r="H581" s="140" t="str">
        <f>TEXT(RawData[[#This Row],[Date]], "YYYY")</f>
        <v>2021</v>
      </c>
      <c r="I581" s="141" t="s">
        <v>32</v>
      </c>
      <c r="J581" s="141" t="s">
        <v>90</v>
      </c>
      <c r="K581" s="139">
        <f t="shared" si="26"/>
        <v>1</v>
      </c>
      <c r="L581" s="142">
        <f>IF(RawData[[#This Row],[Paid/Unpaid]]="Paid", IF(VALUE($E581)&gt;VALUE($D$3),$K581* 10000,$K581* 8000), 0)</f>
        <v>8000</v>
      </c>
      <c r="M581" s="53" t="s">
        <v>146</v>
      </c>
    </row>
    <row r="582" spans="1:13" ht="12.75" customHeight="1" x14ac:dyDescent="0.3">
      <c r="A582" s="143" t="s">
        <v>12</v>
      </c>
      <c r="B582" s="139" t="str">
        <f>IFERROR(VLOOKUP($A582, NameDesignation[], 2,FALSE), " ")</f>
        <v>Former Director</v>
      </c>
      <c r="C582" s="139" t="s">
        <v>29</v>
      </c>
      <c r="D582" s="139">
        <v>461</v>
      </c>
      <c r="E582" s="140">
        <v>44392</v>
      </c>
      <c r="F582" s="139" t="str">
        <f t="shared" ref="F582:F645" si="27">CONCATENATE("Q", ROUNDUP(MONTH($E582)/3,0),"-",TEXT($E582, "yy"))</f>
        <v>Q3-21</v>
      </c>
      <c r="G582" s="140" t="str">
        <f t="shared" ref="G582:G645" si="28">CONCATENATE(TEXT($E582, "mmm"),"'", TEXT($E582, "yy"))</f>
        <v>Jul'21</v>
      </c>
      <c r="H582" s="140" t="str">
        <f>TEXT(RawData[[#This Row],[Date]], "YYYY")</f>
        <v>2021</v>
      </c>
      <c r="I582" s="141" t="s">
        <v>32</v>
      </c>
      <c r="J582" s="141" t="s">
        <v>90</v>
      </c>
      <c r="K582" s="139">
        <f t="shared" ref="K582:K645" si="29">IF($J582="Present", 1, 0)</f>
        <v>1</v>
      </c>
      <c r="L582" s="142">
        <f>IF(RawData[[#This Row],[Paid/Unpaid]]="Paid", IF(VALUE($E582)&gt;VALUE($D$3),$K582* 10000,$K582* 8000), 0)</f>
        <v>8000</v>
      </c>
      <c r="M582" s="53" t="s">
        <v>146</v>
      </c>
    </row>
    <row r="583" spans="1:13" ht="12.75" customHeight="1" x14ac:dyDescent="0.3">
      <c r="A583" s="143" t="s">
        <v>137</v>
      </c>
      <c r="B583" s="139" t="str">
        <f>IFERROR(VLOOKUP($A583, NameDesignation[], 2,FALSE), " ")</f>
        <v>Former Director</v>
      </c>
      <c r="C583" s="139" t="s">
        <v>29</v>
      </c>
      <c r="D583" s="139">
        <v>461</v>
      </c>
      <c r="E583" s="140">
        <v>44392</v>
      </c>
      <c r="F583" s="139" t="str">
        <f t="shared" si="27"/>
        <v>Q3-21</v>
      </c>
      <c r="G583" s="140" t="str">
        <f t="shared" si="28"/>
        <v>Jul'21</v>
      </c>
      <c r="H583" s="140" t="str">
        <f>TEXT(RawData[[#This Row],[Date]], "YYYY")</f>
        <v>2021</v>
      </c>
      <c r="I583" s="141" t="s">
        <v>32</v>
      </c>
      <c r="J583" s="141" t="s">
        <v>90</v>
      </c>
      <c r="K583" s="139">
        <f t="shared" si="29"/>
        <v>1</v>
      </c>
      <c r="L583" s="142">
        <f>IF(RawData[[#This Row],[Paid/Unpaid]]="Paid", IF(VALUE($E583)&gt;VALUE($D$3),$K583* 10000,$K583* 8000), 0)</f>
        <v>8000</v>
      </c>
      <c r="M583" s="53" t="s">
        <v>146</v>
      </c>
    </row>
    <row r="584" spans="1:13" ht="12.75" customHeight="1" x14ac:dyDescent="0.3">
      <c r="A584" s="143" t="s">
        <v>13</v>
      </c>
      <c r="B584" s="139" t="str">
        <f>IFERROR(VLOOKUP($A584, NameDesignation[], 2,FALSE), " ")</f>
        <v>Former Director</v>
      </c>
      <c r="C584" s="139" t="s">
        <v>29</v>
      </c>
      <c r="D584" s="139">
        <v>461</v>
      </c>
      <c r="E584" s="140">
        <v>44392</v>
      </c>
      <c r="F584" s="139" t="str">
        <f t="shared" si="27"/>
        <v>Q3-21</v>
      </c>
      <c r="G584" s="140" t="str">
        <f t="shared" si="28"/>
        <v>Jul'21</v>
      </c>
      <c r="H584" s="140" t="str">
        <f>TEXT(RawData[[#This Row],[Date]], "YYYY")</f>
        <v>2021</v>
      </c>
      <c r="I584" s="141" t="s">
        <v>32</v>
      </c>
      <c r="J584" s="141" t="s">
        <v>91</v>
      </c>
      <c r="K584" s="139">
        <f t="shared" si="29"/>
        <v>0</v>
      </c>
      <c r="L584" s="142">
        <f>IF(RawData[[#This Row],[Paid/Unpaid]]="Paid", IF(VALUE($E584)&gt;VALUE($D$3),$K584* 10000,$K584* 8000), 0)</f>
        <v>0</v>
      </c>
      <c r="M584" s="53" t="s">
        <v>146</v>
      </c>
    </row>
    <row r="585" spans="1:13" ht="12.75" customHeight="1" x14ac:dyDescent="0.3">
      <c r="A585" s="143" t="s">
        <v>61</v>
      </c>
      <c r="B585" s="139" t="str">
        <f>IFERROR(VLOOKUP($A585, NameDesignation[], 2,FALSE), " ")</f>
        <v>Former Director</v>
      </c>
      <c r="C585" s="139" t="s">
        <v>29</v>
      </c>
      <c r="D585" s="139">
        <v>461</v>
      </c>
      <c r="E585" s="140">
        <v>44392</v>
      </c>
      <c r="F585" s="139" t="str">
        <f t="shared" si="27"/>
        <v>Q3-21</v>
      </c>
      <c r="G585" s="140" t="str">
        <f t="shared" si="28"/>
        <v>Jul'21</v>
      </c>
      <c r="H585" s="140" t="str">
        <f>TEXT(RawData[[#This Row],[Date]], "YYYY")</f>
        <v>2021</v>
      </c>
      <c r="I585" s="141" t="s">
        <v>32</v>
      </c>
      <c r="J585" s="141" t="s">
        <v>90</v>
      </c>
      <c r="K585" s="139">
        <f t="shared" si="29"/>
        <v>1</v>
      </c>
      <c r="L585" s="142">
        <f>IF(RawData[[#This Row],[Paid/Unpaid]]="Paid", IF(VALUE($E585)&gt;VALUE($D$3),$K585* 10000,$K585* 8000), 0)</f>
        <v>8000</v>
      </c>
      <c r="M585" s="53" t="s">
        <v>146</v>
      </c>
    </row>
    <row r="586" spans="1:13" ht="12.75" customHeight="1" x14ac:dyDescent="0.3">
      <c r="A586" s="143" t="s">
        <v>23</v>
      </c>
      <c r="B586" s="139" t="str">
        <f>IFERROR(VLOOKUP($A586, NameDesignation[], 2,FALSE), " ")</f>
        <v>Former Director</v>
      </c>
      <c r="C586" s="139" t="s">
        <v>29</v>
      </c>
      <c r="D586" s="139">
        <v>461</v>
      </c>
      <c r="E586" s="140">
        <v>44392</v>
      </c>
      <c r="F586" s="139" t="str">
        <f t="shared" si="27"/>
        <v>Q3-21</v>
      </c>
      <c r="G586" s="140" t="str">
        <f t="shared" si="28"/>
        <v>Jul'21</v>
      </c>
      <c r="H586" s="140" t="str">
        <f>TEXT(RawData[[#This Row],[Date]], "YYYY")</f>
        <v>2021</v>
      </c>
      <c r="I586" s="141" t="s">
        <v>32</v>
      </c>
      <c r="J586" s="141" t="s">
        <v>90</v>
      </c>
      <c r="K586" s="139">
        <f t="shared" si="29"/>
        <v>1</v>
      </c>
      <c r="L586" s="142">
        <f>IF(RawData[[#This Row],[Paid/Unpaid]]="Paid", IF(VALUE($E586)&gt;VALUE($D$3),$K586* 10000,$K586* 8000), 0)</f>
        <v>8000</v>
      </c>
      <c r="M586" s="53" t="s">
        <v>146</v>
      </c>
    </row>
    <row r="587" spans="1:13" ht="12.75" customHeight="1" x14ac:dyDescent="0.3">
      <c r="A587" s="143" t="s">
        <v>24</v>
      </c>
      <c r="B587" s="139" t="str">
        <f>IFERROR(VLOOKUP($A587, NameDesignation[], 2,FALSE), " ")</f>
        <v>Former Director</v>
      </c>
      <c r="C587" s="139" t="s">
        <v>29</v>
      </c>
      <c r="D587" s="139">
        <v>461</v>
      </c>
      <c r="E587" s="140">
        <v>44392</v>
      </c>
      <c r="F587" s="139" t="str">
        <f t="shared" si="27"/>
        <v>Q3-21</v>
      </c>
      <c r="G587" s="140" t="str">
        <f t="shared" si="28"/>
        <v>Jul'21</v>
      </c>
      <c r="H587" s="140" t="str">
        <f>TEXT(RawData[[#This Row],[Date]], "YYYY")</f>
        <v>2021</v>
      </c>
      <c r="I587" s="141" t="s">
        <v>32</v>
      </c>
      <c r="J587" s="141" t="s">
        <v>90</v>
      </c>
      <c r="K587" s="139">
        <f t="shared" si="29"/>
        <v>1</v>
      </c>
      <c r="L587" s="142">
        <f>IF(RawData[[#This Row],[Paid/Unpaid]]="Paid", IF(VALUE($E587)&gt;VALUE($D$3),$K587* 10000,$K587* 8000), 0)</f>
        <v>8000</v>
      </c>
      <c r="M587" s="53" t="s">
        <v>146</v>
      </c>
    </row>
    <row r="588" spans="1:13" ht="12.75" customHeight="1" x14ac:dyDescent="0.3">
      <c r="A588" s="143" t="s">
        <v>15</v>
      </c>
      <c r="B588" s="139" t="str">
        <f>IFERROR(VLOOKUP($A588, NameDesignation[], 2,FALSE), " ")</f>
        <v>Former Director</v>
      </c>
      <c r="C588" s="139" t="s">
        <v>29</v>
      </c>
      <c r="D588" s="139">
        <v>461</v>
      </c>
      <c r="E588" s="140">
        <v>44392</v>
      </c>
      <c r="F588" s="139" t="str">
        <f t="shared" si="27"/>
        <v>Q3-21</v>
      </c>
      <c r="G588" s="140" t="str">
        <f t="shared" si="28"/>
        <v>Jul'21</v>
      </c>
      <c r="H588" s="140" t="str">
        <f>TEXT(RawData[[#This Row],[Date]], "YYYY")</f>
        <v>2021</v>
      </c>
      <c r="I588" s="141" t="s">
        <v>32</v>
      </c>
      <c r="J588" s="141" t="s">
        <v>90</v>
      </c>
      <c r="K588" s="139">
        <f t="shared" si="29"/>
        <v>1</v>
      </c>
      <c r="L588" s="142">
        <f>IF(RawData[[#This Row],[Paid/Unpaid]]="Paid", IF(VALUE($E588)&gt;VALUE($D$3),$K588* 10000,$K588* 8000), 0)</f>
        <v>8000</v>
      </c>
      <c r="M588" s="53" t="s">
        <v>146</v>
      </c>
    </row>
    <row r="589" spans="1:13" ht="12.75" customHeight="1" x14ac:dyDescent="0.3">
      <c r="A589" s="143" t="s">
        <v>21</v>
      </c>
      <c r="B589" s="139" t="str">
        <f>IFERROR(VLOOKUP($A589, NameDesignation[], 2,FALSE), " ")</f>
        <v>Former Independent Director</v>
      </c>
      <c r="C589" s="139" t="s">
        <v>29</v>
      </c>
      <c r="D589" s="139">
        <v>461</v>
      </c>
      <c r="E589" s="140">
        <v>44392</v>
      </c>
      <c r="F589" s="139" t="str">
        <f t="shared" si="27"/>
        <v>Q3-21</v>
      </c>
      <c r="G589" s="140" t="str">
        <f t="shared" si="28"/>
        <v>Jul'21</v>
      </c>
      <c r="H589" s="140" t="str">
        <f>TEXT(RawData[[#This Row],[Date]], "YYYY")</f>
        <v>2021</v>
      </c>
      <c r="I589" s="141" t="s">
        <v>32</v>
      </c>
      <c r="J589" s="141" t="s">
        <v>90</v>
      </c>
      <c r="K589" s="139">
        <f t="shared" si="29"/>
        <v>1</v>
      </c>
      <c r="L589" s="142">
        <f>IF(RawData[[#This Row],[Paid/Unpaid]]="Paid", IF(VALUE($E589)&gt;VALUE($D$3),$K589* 10000,$K589* 8000), 0)</f>
        <v>8000</v>
      </c>
      <c r="M589" s="53" t="s">
        <v>146</v>
      </c>
    </row>
    <row r="590" spans="1:13" ht="12.75" customHeight="1" x14ac:dyDescent="0.3">
      <c r="A590" s="143" t="s">
        <v>25</v>
      </c>
      <c r="B590" s="139" t="str">
        <f>IFERROR(VLOOKUP($A590, NameDesignation[], 2,FALSE), " ")</f>
        <v>Former Director</v>
      </c>
      <c r="C590" s="139" t="s">
        <v>29</v>
      </c>
      <c r="D590" s="139">
        <v>461</v>
      </c>
      <c r="E590" s="140">
        <v>44392</v>
      </c>
      <c r="F590" s="139" t="str">
        <f t="shared" si="27"/>
        <v>Q3-21</v>
      </c>
      <c r="G590" s="140" t="str">
        <f t="shared" si="28"/>
        <v>Jul'21</v>
      </c>
      <c r="H590" s="140" t="str">
        <f>TEXT(RawData[[#This Row],[Date]], "YYYY")</f>
        <v>2021</v>
      </c>
      <c r="I590" s="141" t="s">
        <v>32</v>
      </c>
      <c r="J590" s="141" t="s">
        <v>91</v>
      </c>
      <c r="K590" s="139">
        <f t="shared" si="29"/>
        <v>0</v>
      </c>
      <c r="L590" s="142">
        <f>IF(RawData[[#This Row],[Paid/Unpaid]]="Paid", IF(VALUE($E590)&gt;VALUE($D$3),$K590* 10000,$K590* 8000), 0)</f>
        <v>0</v>
      </c>
      <c r="M590" s="53" t="s">
        <v>146</v>
      </c>
    </row>
    <row r="591" spans="1:13" ht="12.75" customHeight="1" x14ac:dyDescent="0.3">
      <c r="A591" s="143" t="s">
        <v>50</v>
      </c>
      <c r="B591" s="139" t="str">
        <f>IFERROR(VLOOKUP($A591, NameDesignation[], 2,FALSE), " ")</f>
        <v>Former Director</v>
      </c>
      <c r="C591" s="139" t="s">
        <v>29</v>
      </c>
      <c r="D591" s="139">
        <v>461</v>
      </c>
      <c r="E591" s="140">
        <v>44392</v>
      </c>
      <c r="F591" s="139" t="str">
        <f t="shared" si="27"/>
        <v>Q3-21</v>
      </c>
      <c r="G591" s="140" t="str">
        <f t="shared" si="28"/>
        <v>Jul'21</v>
      </c>
      <c r="H591" s="140" t="str">
        <f>TEXT(RawData[[#This Row],[Date]], "YYYY")</f>
        <v>2021</v>
      </c>
      <c r="I591" s="141" t="s">
        <v>32</v>
      </c>
      <c r="J591" s="141" t="s">
        <v>91</v>
      </c>
      <c r="K591" s="139">
        <f t="shared" si="29"/>
        <v>0</v>
      </c>
      <c r="L591" s="142">
        <f>IF(RawData[[#This Row],[Paid/Unpaid]]="Paid", IF(VALUE($E591)&gt;VALUE($D$3),$K591* 10000,$K591* 8000), 0)</f>
        <v>0</v>
      </c>
      <c r="M591" s="53" t="s">
        <v>146</v>
      </c>
    </row>
    <row r="592" spans="1:13" ht="12.75" customHeight="1" x14ac:dyDescent="0.3">
      <c r="A592" s="143" t="s">
        <v>51</v>
      </c>
      <c r="B592" s="139" t="str">
        <f>IFERROR(VLOOKUP($A592, NameDesignation[], 2,FALSE), " ")</f>
        <v>Former Director</v>
      </c>
      <c r="C592" s="139" t="s">
        <v>29</v>
      </c>
      <c r="D592" s="139">
        <v>461</v>
      </c>
      <c r="E592" s="140">
        <v>44392</v>
      </c>
      <c r="F592" s="139" t="str">
        <f t="shared" si="27"/>
        <v>Q3-21</v>
      </c>
      <c r="G592" s="140" t="str">
        <f t="shared" si="28"/>
        <v>Jul'21</v>
      </c>
      <c r="H592" s="140" t="str">
        <f>TEXT(RawData[[#This Row],[Date]], "YYYY")</f>
        <v>2021</v>
      </c>
      <c r="I592" s="141" t="s">
        <v>32</v>
      </c>
      <c r="J592" s="141" t="s">
        <v>90</v>
      </c>
      <c r="K592" s="139">
        <f t="shared" si="29"/>
        <v>1</v>
      </c>
      <c r="L592" s="142">
        <f>IF(RawData[[#This Row],[Paid/Unpaid]]="Paid", IF(VALUE($E592)&gt;VALUE($D$3),$K592* 10000,$K592* 8000), 0)</f>
        <v>8000</v>
      </c>
      <c r="M592" s="53" t="s">
        <v>146</v>
      </c>
    </row>
    <row r="593" spans="1:13" ht="12.75" customHeight="1" x14ac:dyDescent="0.3">
      <c r="A593" s="143" t="s">
        <v>27</v>
      </c>
      <c r="B593" s="139" t="str">
        <f>IFERROR(VLOOKUP($A593, NameDesignation[], 2,FALSE), " ")</f>
        <v>Former Director</v>
      </c>
      <c r="C593" s="139" t="s">
        <v>29</v>
      </c>
      <c r="D593" s="139">
        <v>461</v>
      </c>
      <c r="E593" s="140">
        <v>44392</v>
      </c>
      <c r="F593" s="139" t="str">
        <f t="shared" si="27"/>
        <v>Q3-21</v>
      </c>
      <c r="G593" s="140" t="str">
        <f t="shared" si="28"/>
        <v>Jul'21</v>
      </c>
      <c r="H593" s="140" t="str">
        <f>TEXT(RawData[[#This Row],[Date]], "YYYY")</f>
        <v>2021</v>
      </c>
      <c r="I593" s="141" t="s">
        <v>32</v>
      </c>
      <c r="J593" s="141" t="s">
        <v>91</v>
      </c>
      <c r="K593" s="139">
        <f t="shared" si="29"/>
        <v>0</v>
      </c>
      <c r="L593" s="142">
        <f>IF(RawData[[#This Row],[Paid/Unpaid]]="Paid", IF(VALUE($E593)&gt;VALUE($D$3),$K593* 10000,$K593* 8000), 0)</f>
        <v>0</v>
      </c>
      <c r="M593" s="53" t="s">
        <v>146</v>
      </c>
    </row>
    <row r="594" spans="1:13" ht="12.75" customHeight="1" x14ac:dyDescent="0.3">
      <c r="A594" s="143" t="s">
        <v>18</v>
      </c>
      <c r="B594" s="139" t="str">
        <f>IFERROR(VLOOKUP($A594, NameDesignation[], 2,FALSE), " ")</f>
        <v>Former Independent Director</v>
      </c>
      <c r="C594" s="139" t="s">
        <v>29</v>
      </c>
      <c r="D594" s="139">
        <v>461</v>
      </c>
      <c r="E594" s="140">
        <v>44392</v>
      </c>
      <c r="F594" s="139" t="str">
        <f t="shared" si="27"/>
        <v>Q3-21</v>
      </c>
      <c r="G594" s="140" t="str">
        <f t="shared" si="28"/>
        <v>Jul'21</v>
      </c>
      <c r="H594" s="140" t="str">
        <f>TEXT(RawData[[#This Row],[Date]], "YYYY")</f>
        <v>2021</v>
      </c>
      <c r="I594" s="141" t="s">
        <v>32</v>
      </c>
      <c r="J594" s="141" t="s">
        <v>91</v>
      </c>
      <c r="K594" s="139">
        <f t="shared" si="29"/>
        <v>0</v>
      </c>
      <c r="L594" s="142">
        <f>IF(RawData[[#This Row],[Paid/Unpaid]]="Paid", IF(VALUE($E594)&gt;VALUE($D$3),$K594* 10000,$K594* 8000), 0)</f>
        <v>0</v>
      </c>
      <c r="M594" s="53" t="s">
        <v>146</v>
      </c>
    </row>
    <row r="595" spans="1:13" ht="12.75" customHeight="1" x14ac:dyDescent="0.3">
      <c r="A595" s="143" t="s">
        <v>35</v>
      </c>
      <c r="B595" s="139" t="str">
        <f>IFERROR(VLOOKUP($A595, NameDesignation[], 2,FALSE), " ")</f>
        <v>Former Managing Director &amp; CEO</v>
      </c>
      <c r="C595" s="139" t="s">
        <v>29</v>
      </c>
      <c r="D595" s="139">
        <v>461</v>
      </c>
      <c r="E595" s="140">
        <v>44392</v>
      </c>
      <c r="F595" s="139" t="str">
        <f t="shared" si="27"/>
        <v>Q3-21</v>
      </c>
      <c r="G595" s="140" t="str">
        <f t="shared" si="28"/>
        <v>Jul'21</v>
      </c>
      <c r="H595" s="140" t="str">
        <f>TEXT(RawData[[#This Row],[Date]], "YYYY")</f>
        <v>2021</v>
      </c>
      <c r="I595" s="141" t="s">
        <v>32</v>
      </c>
      <c r="J595" s="141" t="s">
        <v>90</v>
      </c>
      <c r="K595" s="139">
        <f t="shared" si="29"/>
        <v>1</v>
      </c>
      <c r="L595" s="142">
        <f>IF(RawData[[#This Row],[Paid/Unpaid]]="Paid", IF(VALUE($E595)&gt;VALUE($D$3),$K595* 10000,$K595* 8000), 0)</f>
        <v>8000</v>
      </c>
      <c r="M595" s="53" t="s">
        <v>146</v>
      </c>
    </row>
    <row r="596" spans="1:13" ht="12.75" customHeight="1" x14ac:dyDescent="0.3">
      <c r="A596" s="143" t="s">
        <v>23</v>
      </c>
      <c r="B596" s="139" t="str">
        <f>IFERROR(VLOOKUP($A596, NameDesignation[], 2,FALSE), " ")</f>
        <v>Former Director</v>
      </c>
      <c r="C596" s="139" t="s">
        <v>37</v>
      </c>
      <c r="D596" s="139">
        <v>117</v>
      </c>
      <c r="E596" s="140">
        <v>44392</v>
      </c>
      <c r="F596" s="139" t="str">
        <f t="shared" si="27"/>
        <v>Q3-21</v>
      </c>
      <c r="G596" s="140" t="str">
        <f t="shared" si="28"/>
        <v>Jul'21</v>
      </c>
      <c r="H596" s="140" t="str">
        <f>TEXT(RawData[[#This Row],[Date]], "YYYY")</f>
        <v>2021</v>
      </c>
      <c r="I596" s="141" t="s">
        <v>32</v>
      </c>
      <c r="J596" s="141" t="s">
        <v>90</v>
      </c>
      <c r="K596" s="139">
        <f t="shared" si="29"/>
        <v>1</v>
      </c>
      <c r="L596" s="142">
        <f>IF(RawData[[#This Row],[Paid/Unpaid]]="Paid", IF(VALUE($E596)&gt;VALUE($D$3),$K596* 10000,$K596* 8000), 0)</f>
        <v>8000</v>
      </c>
      <c r="M596" s="53" t="s">
        <v>146</v>
      </c>
    </row>
    <row r="597" spans="1:13" ht="12.75" customHeight="1" x14ac:dyDescent="0.3">
      <c r="A597" s="143" t="s">
        <v>24</v>
      </c>
      <c r="B597" s="139" t="str">
        <f>IFERROR(VLOOKUP($A597, NameDesignation[], 2,FALSE), " ")</f>
        <v>Former Director</v>
      </c>
      <c r="C597" s="139" t="s">
        <v>37</v>
      </c>
      <c r="D597" s="139">
        <v>117</v>
      </c>
      <c r="E597" s="140">
        <v>44392</v>
      </c>
      <c r="F597" s="139" t="str">
        <f t="shared" si="27"/>
        <v>Q3-21</v>
      </c>
      <c r="G597" s="140" t="str">
        <f t="shared" si="28"/>
        <v>Jul'21</v>
      </c>
      <c r="H597" s="140" t="str">
        <f>TEXT(RawData[[#This Row],[Date]], "YYYY")</f>
        <v>2021</v>
      </c>
      <c r="I597" s="141" t="s">
        <v>32</v>
      </c>
      <c r="J597" s="141" t="s">
        <v>90</v>
      </c>
      <c r="K597" s="139">
        <f t="shared" si="29"/>
        <v>1</v>
      </c>
      <c r="L597" s="142">
        <f>IF(RawData[[#This Row],[Paid/Unpaid]]="Paid", IF(VALUE($E597)&gt;VALUE($D$3),$K597* 10000,$K597* 8000), 0)</f>
        <v>8000</v>
      </c>
      <c r="M597" s="53" t="s">
        <v>146</v>
      </c>
    </row>
    <row r="598" spans="1:13" ht="12.75" customHeight="1" x14ac:dyDescent="0.3">
      <c r="A598" s="143" t="s">
        <v>21</v>
      </c>
      <c r="B598" s="139" t="str">
        <f>IFERROR(VLOOKUP($A598, NameDesignation[], 2,FALSE), " ")</f>
        <v>Former Independent Director</v>
      </c>
      <c r="C598" s="139" t="s">
        <v>37</v>
      </c>
      <c r="D598" s="139">
        <v>117</v>
      </c>
      <c r="E598" s="140">
        <v>44392</v>
      </c>
      <c r="F598" s="139" t="str">
        <f t="shared" si="27"/>
        <v>Q3-21</v>
      </c>
      <c r="G598" s="140" t="str">
        <f t="shared" si="28"/>
        <v>Jul'21</v>
      </c>
      <c r="H598" s="140" t="str">
        <f>TEXT(RawData[[#This Row],[Date]], "YYYY")</f>
        <v>2021</v>
      </c>
      <c r="I598" s="141" t="s">
        <v>32</v>
      </c>
      <c r="J598" s="141" t="s">
        <v>90</v>
      </c>
      <c r="K598" s="139">
        <f t="shared" si="29"/>
        <v>1</v>
      </c>
      <c r="L598" s="142">
        <f>IF(RawData[[#This Row],[Paid/Unpaid]]="Paid", IF(VALUE($E598)&gt;VALUE($D$3),$K598* 10000,$K598* 8000), 0)</f>
        <v>8000</v>
      </c>
      <c r="M598" s="53" t="s">
        <v>146</v>
      </c>
    </row>
    <row r="599" spans="1:13" ht="12.75" customHeight="1" x14ac:dyDescent="0.3">
      <c r="A599" s="143" t="s">
        <v>18</v>
      </c>
      <c r="B599" s="139" t="str">
        <f>IFERROR(VLOOKUP($A599, NameDesignation[], 2,FALSE), " ")</f>
        <v>Former Independent Director</v>
      </c>
      <c r="C599" s="139" t="s">
        <v>37</v>
      </c>
      <c r="D599" s="139">
        <v>117</v>
      </c>
      <c r="E599" s="140">
        <v>44392</v>
      </c>
      <c r="F599" s="139" t="str">
        <f t="shared" si="27"/>
        <v>Q3-21</v>
      </c>
      <c r="G599" s="140" t="str">
        <f t="shared" si="28"/>
        <v>Jul'21</v>
      </c>
      <c r="H599" s="140" t="str">
        <f>TEXT(RawData[[#This Row],[Date]], "YYYY")</f>
        <v>2021</v>
      </c>
      <c r="I599" s="141" t="s">
        <v>32</v>
      </c>
      <c r="J599" s="141" t="s">
        <v>90</v>
      </c>
      <c r="K599" s="139">
        <f t="shared" si="29"/>
        <v>1</v>
      </c>
      <c r="L599" s="142">
        <f>IF(RawData[[#This Row],[Paid/Unpaid]]="Paid", IF(VALUE($E599)&gt;VALUE($D$3),$K599* 10000,$K599* 8000), 0)</f>
        <v>8000</v>
      </c>
      <c r="M599" s="53" t="s">
        <v>146</v>
      </c>
    </row>
    <row r="600" spans="1:13" ht="12.75" customHeight="1" x14ac:dyDescent="0.3">
      <c r="A600" s="143" t="s">
        <v>27</v>
      </c>
      <c r="B600" s="139" t="str">
        <f>IFERROR(VLOOKUP($A600, NameDesignation[], 2,FALSE), " ")</f>
        <v>Former Director</v>
      </c>
      <c r="C600" s="139" t="s">
        <v>37</v>
      </c>
      <c r="D600" s="139">
        <v>117</v>
      </c>
      <c r="E600" s="140">
        <v>44392</v>
      </c>
      <c r="F600" s="139" t="str">
        <f t="shared" si="27"/>
        <v>Q3-21</v>
      </c>
      <c r="G600" s="140" t="str">
        <f t="shared" si="28"/>
        <v>Jul'21</v>
      </c>
      <c r="H600" s="140" t="str">
        <f>TEXT(RawData[[#This Row],[Date]], "YYYY")</f>
        <v>2021</v>
      </c>
      <c r="I600" s="141" t="s">
        <v>32</v>
      </c>
      <c r="J600" s="141" t="s">
        <v>91</v>
      </c>
      <c r="K600" s="139">
        <f t="shared" si="29"/>
        <v>0</v>
      </c>
      <c r="L600" s="142">
        <f>IF(RawData[[#This Row],[Paid/Unpaid]]="Paid", IF(VALUE($E600)&gt;VALUE($D$3),$K600* 10000,$K600* 8000), 0)</f>
        <v>0</v>
      </c>
      <c r="M600" s="53" t="s">
        <v>146</v>
      </c>
    </row>
    <row r="601" spans="1:13" ht="12.75" customHeight="1" x14ac:dyDescent="0.3">
      <c r="A601" s="143" t="s">
        <v>23</v>
      </c>
      <c r="B601" s="139" t="str">
        <f>IFERROR(VLOOKUP($A601, NameDesignation[], 2,FALSE), " ")</f>
        <v>Former Director</v>
      </c>
      <c r="C601" s="139" t="s">
        <v>37</v>
      </c>
      <c r="D601" s="139">
        <v>118</v>
      </c>
      <c r="E601" s="140">
        <v>44432</v>
      </c>
      <c r="F601" s="139" t="str">
        <f t="shared" si="27"/>
        <v>Q3-21</v>
      </c>
      <c r="G601" s="140" t="str">
        <f t="shared" si="28"/>
        <v>Aug'21</v>
      </c>
      <c r="H601" s="140" t="str">
        <f>TEXT(RawData[[#This Row],[Date]], "YYYY")</f>
        <v>2021</v>
      </c>
      <c r="I601" s="141" t="s">
        <v>32</v>
      </c>
      <c r="J601" s="141" t="s">
        <v>90</v>
      </c>
      <c r="K601" s="139">
        <f t="shared" si="29"/>
        <v>1</v>
      </c>
      <c r="L601" s="142">
        <f>IF(RawData[[#This Row],[Paid/Unpaid]]="Paid", IF(VALUE($E601)&gt;VALUE($D$3),$K601* 10000,$K601* 8000), 0)</f>
        <v>8000</v>
      </c>
      <c r="M601" s="53" t="s">
        <v>146</v>
      </c>
    </row>
    <row r="602" spans="1:13" ht="12.75" customHeight="1" x14ac:dyDescent="0.3">
      <c r="A602" s="143" t="s">
        <v>24</v>
      </c>
      <c r="B602" s="139" t="str">
        <f>IFERROR(VLOOKUP($A602, NameDesignation[], 2,FALSE), " ")</f>
        <v>Former Director</v>
      </c>
      <c r="C602" s="139" t="s">
        <v>37</v>
      </c>
      <c r="D602" s="139">
        <v>118</v>
      </c>
      <c r="E602" s="140">
        <v>44432</v>
      </c>
      <c r="F602" s="139" t="str">
        <f t="shared" si="27"/>
        <v>Q3-21</v>
      </c>
      <c r="G602" s="140" t="str">
        <f t="shared" si="28"/>
        <v>Aug'21</v>
      </c>
      <c r="H602" s="140" t="str">
        <f>TEXT(RawData[[#This Row],[Date]], "YYYY")</f>
        <v>2021</v>
      </c>
      <c r="I602" s="141" t="s">
        <v>32</v>
      </c>
      <c r="J602" s="141" t="s">
        <v>90</v>
      </c>
      <c r="K602" s="139">
        <f t="shared" si="29"/>
        <v>1</v>
      </c>
      <c r="L602" s="142">
        <f>IF(RawData[[#This Row],[Paid/Unpaid]]="Paid", IF(VALUE($E602)&gt;VALUE($D$3),$K602* 10000,$K602* 8000), 0)</f>
        <v>8000</v>
      </c>
      <c r="M602" s="53" t="s">
        <v>146</v>
      </c>
    </row>
    <row r="603" spans="1:13" ht="12.75" customHeight="1" x14ac:dyDescent="0.3">
      <c r="A603" s="143" t="s">
        <v>21</v>
      </c>
      <c r="B603" s="139" t="str">
        <f>IFERROR(VLOOKUP($A603, NameDesignation[], 2,FALSE), " ")</f>
        <v>Former Independent Director</v>
      </c>
      <c r="C603" s="139" t="s">
        <v>37</v>
      </c>
      <c r="D603" s="139">
        <v>118</v>
      </c>
      <c r="E603" s="140">
        <v>44432</v>
      </c>
      <c r="F603" s="139" t="str">
        <f t="shared" si="27"/>
        <v>Q3-21</v>
      </c>
      <c r="G603" s="140" t="str">
        <f t="shared" si="28"/>
        <v>Aug'21</v>
      </c>
      <c r="H603" s="140" t="str">
        <f>TEXT(RawData[[#This Row],[Date]], "YYYY")</f>
        <v>2021</v>
      </c>
      <c r="I603" s="141" t="s">
        <v>32</v>
      </c>
      <c r="J603" s="141" t="s">
        <v>90</v>
      </c>
      <c r="K603" s="139">
        <f t="shared" si="29"/>
        <v>1</v>
      </c>
      <c r="L603" s="142">
        <f>IF(RawData[[#This Row],[Paid/Unpaid]]="Paid", IF(VALUE($E603)&gt;VALUE($D$3),$K603* 10000,$K603* 8000), 0)</f>
        <v>8000</v>
      </c>
      <c r="M603" s="53" t="s">
        <v>146</v>
      </c>
    </row>
    <row r="604" spans="1:13" ht="12.75" customHeight="1" x14ac:dyDescent="0.3">
      <c r="A604" s="143" t="s">
        <v>18</v>
      </c>
      <c r="B604" s="139" t="str">
        <f>IFERROR(VLOOKUP($A604, NameDesignation[], 2,FALSE), " ")</f>
        <v>Former Independent Director</v>
      </c>
      <c r="C604" s="139" t="s">
        <v>37</v>
      </c>
      <c r="D604" s="139">
        <v>118</v>
      </c>
      <c r="E604" s="140">
        <v>44432</v>
      </c>
      <c r="F604" s="139" t="str">
        <f t="shared" si="27"/>
        <v>Q3-21</v>
      </c>
      <c r="G604" s="140" t="str">
        <f t="shared" si="28"/>
        <v>Aug'21</v>
      </c>
      <c r="H604" s="140" t="str">
        <f>TEXT(RawData[[#This Row],[Date]], "YYYY")</f>
        <v>2021</v>
      </c>
      <c r="I604" s="141" t="s">
        <v>32</v>
      </c>
      <c r="J604" s="141" t="s">
        <v>90</v>
      </c>
      <c r="K604" s="139">
        <f t="shared" si="29"/>
        <v>1</v>
      </c>
      <c r="L604" s="142">
        <f>IF(RawData[[#This Row],[Paid/Unpaid]]="Paid", IF(VALUE($E604)&gt;VALUE($D$3),$K604* 10000,$K604* 8000), 0)</f>
        <v>8000</v>
      </c>
      <c r="M604" s="53" t="s">
        <v>146</v>
      </c>
    </row>
    <row r="605" spans="1:13" ht="12.75" customHeight="1" x14ac:dyDescent="0.3">
      <c r="A605" s="143" t="s">
        <v>27</v>
      </c>
      <c r="B605" s="139" t="str">
        <f>IFERROR(VLOOKUP($A605, NameDesignation[], 2,FALSE), " ")</f>
        <v>Former Director</v>
      </c>
      <c r="C605" s="139" t="s">
        <v>37</v>
      </c>
      <c r="D605" s="139">
        <v>118</v>
      </c>
      <c r="E605" s="140">
        <v>44432</v>
      </c>
      <c r="F605" s="139" t="str">
        <f t="shared" si="27"/>
        <v>Q3-21</v>
      </c>
      <c r="G605" s="140" t="str">
        <f t="shared" si="28"/>
        <v>Aug'21</v>
      </c>
      <c r="H605" s="140" t="str">
        <f>TEXT(RawData[[#This Row],[Date]], "YYYY")</f>
        <v>2021</v>
      </c>
      <c r="I605" s="141" t="s">
        <v>32</v>
      </c>
      <c r="J605" s="141" t="s">
        <v>90</v>
      </c>
      <c r="K605" s="139">
        <f t="shared" si="29"/>
        <v>1</v>
      </c>
      <c r="L605" s="142">
        <f>IF(RawData[[#This Row],[Paid/Unpaid]]="Paid", IF(VALUE($E605)&gt;VALUE($D$3),$K605* 10000,$K605* 8000), 0)</f>
        <v>8000</v>
      </c>
      <c r="M605" s="53" t="s">
        <v>146</v>
      </c>
    </row>
    <row r="606" spans="1:13" ht="12.75" customHeight="1" x14ac:dyDescent="0.3">
      <c r="A606" s="143" t="s">
        <v>8</v>
      </c>
      <c r="B606" s="139" t="str">
        <f>IFERROR(VLOOKUP($A606, NameDesignation[], 2,FALSE), " ")</f>
        <v>Former Vice-Chairman</v>
      </c>
      <c r="C606" s="139" t="s">
        <v>29</v>
      </c>
      <c r="D606" s="139">
        <v>462</v>
      </c>
      <c r="E606" s="140">
        <v>44434</v>
      </c>
      <c r="F606" s="139" t="str">
        <f t="shared" si="27"/>
        <v>Q3-21</v>
      </c>
      <c r="G606" s="140" t="str">
        <f t="shared" si="28"/>
        <v>Aug'21</v>
      </c>
      <c r="H606" s="140" t="str">
        <f>TEXT(RawData[[#This Row],[Date]], "YYYY")</f>
        <v>2021</v>
      </c>
      <c r="I606" s="141" t="s">
        <v>32</v>
      </c>
      <c r="J606" s="141" t="s">
        <v>90</v>
      </c>
      <c r="K606" s="139">
        <f t="shared" si="29"/>
        <v>1</v>
      </c>
      <c r="L606" s="142">
        <f>IF(RawData[[#This Row],[Paid/Unpaid]]="Paid", IF(VALUE($E606)&gt;VALUE($D$3),$K606* 10000,$K606* 8000), 0)</f>
        <v>8000</v>
      </c>
      <c r="M606" s="53" t="s">
        <v>146</v>
      </c>
    </row>
    <row r="607" spans="1:13" ht="12.75" customHeight="1" x14ac:dyDescent="0.3">
      <c r="A607" s="143" t="s">
        <v>9</v>
      </c>
      <c r="B607" s="139" t="str">
        <f>IFERROR(VLOOKUP($A607, NameDesignation[], 2,FALSE), " ")</f>
        <v>Former Director</v>
      </c>
      <c r="C607" s="139" t="s">
        <v>29</v>
      </c>
      <c r="D607" s="139">
        <v>462</v>
      </c>
      <c r="E607" s="140">
        <v>44434</v>
      </c>
      <c r="F607" s="139" t="str">
        <f t="shared" si="27"/>
        <v>Q3-21</v>
      </c>
      <c r="G607" s="140" t="str">
        <f t="shared" si="28"/>
        <v>Aug'21</v>
      </c>
      <c r="H607" s="140" t="str">
        <f>TEXT(RawData[[#This Row],[Date]], "YYYY")</f>
        <v>2021</v>
      </c>
      <c r="I607" s="141" t="s">
        <v>32</v>
      </c>
      <c r="J607" s="141" t="s">
        <v>90</v>
      </c>
      <c r="K607" s="139">
        <f t="shared" si="29"/>
        <v>1</v>
      </c>
      <c r="L607" s="142">
        <f>IF(RawData[[#This Row],[Paid/Unpaid]]="Paid", IF(VALUE($E607)&gt;VALUE($D$3),$K607* 10000,$K607* 8000), 0)</f>
        <v>8000</v>
      </c>
      <c r="M607" s="53" t="s">
        <v>146</v>
      </c>
    </row>
    <row r="608" spans="1:13" ht="12.75" customHeight="1" x14ac:dyDescent="0.3">
      <c r="A608" s="143" t="s">
        <v>20</v>
      </c>
      <c r="B608" s="139" t="str">
        <f>IFERROR(VLOOKUP($A608, NameDesignation[], 2,FALSE), " ")</f>
        <v>Former Independent Director</v>
      </c>
      <c r="C608" s="139" t="s">
        <v>29</v>
      </c>
      <c r="D608" s="139">
        <v>462</v>
      </c>
      <c r="E608" s="140">
        <v>44434</v>
      </c>
      <c r="F608" s="139" t="str">
        <f t="shared" si="27"/>
        <v>Q3-21</v>
      </c>
      <c r="G608" s="140" t="str">
        <f t="shared" si="28"/>
        <v>Aug'21</v>
      </c>
      <c r="H608" s="140" t="str">
        <f>TEXT(RawData[[#This Row],[Date]], "YYYY")</f>
        <v>2021</v>
      </c>
      <c r="I608" s="141" t="s">
        <v>32</v>
      </c>
      <c r="J608" s="141" t="s">
        <v>90</v>
      </c>
      <c r="K608" s="139">
        <f t="shared" si="29"/>
        <v>1</v>
      </c>
      <c r="L608" s="142">
        <f>IF(RawData[[#This Row],[Paid/Unpaid]]="Paid", IF(VALUE($E608)&gt;VALUE($D$3),$K608* 10000,$K608* 8000), 0)</f>
        <v>8000</v>
      </c>
      <c r="M608" s="53" t="s">
        <v>146</v>
      </c>
    </row>
    <row r="609" spans="1:13" ht="12.75" customHeight="1" x14ac:dyDescent="0.3">
      <c r="A609" s="143" t="s">
        <v>11</v>
      </c>
      <c r="B609" s="139" t="str">
        <f>IFERROR(VLOOKUP($A609, NameDesignation[], 2,FALSE), " ")</f>
        <v>Former Director</v>
      </c>
      <c r="C609" s="139" t="s">
        <v>29</v>
      </c>
      <c r="D609" s="139">
        <v>462</v>
      </c>
      <c r="E609" s="140">
        <v>44434</v>
      </c>
      <c r="F609" s="139" t="str">
        <f t="shared" si="27"/>
        <v>Q3-21</v>
      </c>
      <c r="G609" s="140" t="str">
        <f t="shared" si="28"/>
        <v>Aug'21</v>
      </c>
      <c r="H609" s="140" t="str">
        <f>TEXT(RawData[[#This Row],[Date]], "YYYY")</f>
        <v>2021</v>
      </c>
      <c r="I609" s="141" t="s">
        <v>32</v>
      </c>
      <c r="J609" s="141" t="s">
        <v>90</v>
      </c>
      <c r="K609" s="139">
        <f t="shared" si="29"/>
        <v>1</v>
      </c>
      <c r="L609" s="142">
        <f>IF(RawData[[#This Row],[Paid/Unpaid]]="Paid", IF(VALUE($E609)&gt;VALUE($D$3),$K609* 10000,$K609* 8000), 0)</f>
        <v>8000</v>
      </c>
      <c r="M609" s="53" t="s">
        <v>146</v>
      </c>
    </row>
    <row r="610" spans="1:13" ht="12.75" customHeight="1" x14ac:dyDescent="0.3">
      <c r="A610" s="143" t="s">
        <v>12</v>
      </c>
      <c r="B610" s="139" t="str">
        <f>IFERROR(VLOOKUP($A610, NameDesignation[], 2,FALSE), " ")</f>
        <v>Former Director</v>
      </c>
      <c r="C610" s="139" t="s">
        <v>29</v>
      </c>
      <c r="D610" s="139">
        <v>462</v>
      </c>
      <c r="E610" s="140">
        <v>44434</v>
      </c>
      <c r="F610" s="139" t="str">
        <f t="shared" si="27"/>
        <v>Q3-21</v>
      </c>
      <c r="G610" s="140" t="str">
        <f t="shared" si="28"/>
        <v>Aug'21</v>
      </c>
      <c r="H610" s="140" t="str">
        <f>TEXT(RawData[[#This Row],[Date]], "YYYY")</f>
        <v>2021</v>
      </c>
      <c r="I610" s="141" t="s">
        <v>32</v>
      </c>
      <c r="J610" s="141" t="s">
        <v>90</v>
      </c>
      <c r="K610" s="139">
        <f t="shared" si="29"/>
        <v>1</v>
      </c>
      <c r="L610" s="142">
        <f>IF(RawData[[#This Row],[Paid/Unpaid]]="Paid", IF(VALUE($E610)&gt;VALUE($D$3),$K610* 10000,$K610* 8000), 0)</f>
        <v>8000</v>
      </c>
      <c r="M610" s="53" t="s">
        <v>146</v>
      </c>
    </row>
    <row r="611" spans="1:13" ht="12.75" customHeight="1" x14ac:dyDescent="0.3">
      <c r="A611" s="143" t="s">
        <v>13</v>
      </c>
      <c r="B611" s="139" t="str">
        <f>IFERROR(VLOOKUP($A611, NameDesignation[], 2,FALSE), " ")</f>
        <v>Former Director</v>
      </c>
      <c r="C611" s="139" t="s">
        <v>29</v>
      </c>
      <c r="D611" s="139">
        <v>462</v>
      </c>
      <c r="E611" s="140">
        <v>44434</v>
      </c>
      <c r="F611" s="139" t="str">
        <f t="shared" si="27"/>
        <v>Q3-21</v>
      </c>
      <c r="G611" s="140" t="str">
        <f t="shared" si="28"/>
        <v>Aug'21</v>
      </c>
      <c r="H611" s="140" t="str">
        <f>TEXT(RawData[[#This Row],[Date]], "YYYY")</f>
        <v>2021</v>
      </c>
      <c r="I611" s="141" t="s">
        <v>32</v>
      </c>
      <c r="J611" s="141" t="s">
        <v>91</v>
      </c>
      <c r="K611" s="139">
        <f t="shared" si="29"/>
        <v>0</v>
      </c>
      <c r="L611" s="142">
        <f>IF(RawData[[#This Row],[Paid/Unpaid]]="Paid", IF(VALUE($E611)&gt;VALUE($D$3),$K611* 10000,$K611* 8000), 0)</f>
        <v>0</v>
      </c>
      <c r="M611" s="53" t="s">
        <v>146</v>
      </c>
    </row>
    <row r="612" spans="1:13" ht="12.75" customHeight="1" x14ac:dyDescent="0.3">
      <c r="A612" s="143" t="s">
        <v>23</v>
      </c>
      <c r="B612" s="139" t="str">
        <f>IFERROR(VLOOKUP($A612, NameDesignation[], 2,FALSE), " ")</f>
        <v>Former Director</v>
      </c>
      <c r="C612" s="139" t="s">
        <v>29</v>
      </c>
      <c r="D612" s="139">
        <v>462</v>
      </c>
      <c r="E612" s="140">
        <v>44434</v>
      </c>
      <c r="F612" s="139" t="str">
        <f t="shared" si="27"/>
        <v>Q3-21</v>
      </c>
      <c r="G612" s="140" t="str">
        <f t="shared" si="28"/>
        <v>Aug'21</v>
      </c>
      <c r="H612" s="140" t="str">
        <f>TEXT(RawData[[#This Row],[Date]], "YYYY")</f>
        <v>2021</v>
      </c>
      <c r="I612" s="141" t="s">
        <v>32</v>
      </c>
      <c r="J612" s="141" t="s">
        <v>90</v>
      </c>
      <c r="K612" s="139">
        <f t="shared" si="29"/>
        <v>1</v>
      </c>
      <c r="L612" s="142">
        <f>IF(RawData[[#This Row],[Paid/Unpaid]]="Paid", IF(VALUE($E612)&gt;VALUE($D$3),$K612* 10000,$K612* 8000), 0)</f>
        <v>8000</v>
      </c>
      <c r="M612" s="53" t="s">
        <v>146</v>
      </c>
    </row>
    <row r="613" spans="1:13" ht="12.75" customHeight="1" x14ac:dyDescent="0.3">
      <c r="A613" s="143" t="s">
        <v>24</v>
      </c>
      <c r="B613" s="139" t="str">
        <f>IFERROR(VLOOKUP($A613, NameDesignation[], 2,FALSE), " ")</f>
        <v>Former Director</v>
      </c>
      <c r="C613" s="139" t="s">
        <v>29</v>
      </c>
      <c r="D613" s="139">
        <v>462</v>
      </c>
      <c r="E613" s="140">
        <v>44434</v>
      </c>
      <c r="F613" s="139" t="str">
        <f t="shared" si="27"/>
        <v>Q3-21</v>
      </c>
      <c r="G613" s="140" t="str">
        <f t="shared" si="28"/>
        <v>Aug'21</v>
      </c>
      <c r="H613" s="140" t="str">
        <f>TEXT(RawData[[#This Row],[Date]], "YYYY")</f>
        <v>2021</v>
      </c>
      <c r="I613" s="141" t="s">
        <v>32</v>
      </c>
      <c r="J613" s="141" t="s">
        <v>90</v>
      </c>
      <c r="K613" s="139">
        <f t="shared" si="29"/>
        <v>1</v>
      </c>
      <c r="L613" s="142">
        <f>IF(RawData[[#This Row],[Paid/Unpaid]]="Paid", IF(VALUE($E613)&gt;VALUE($D$3),$K613* 10000,$K613* 8000), 0)</f>
        <v>8000</v>
      </c>
      <c r="M613" s="53" t="s">
        <v>146</v>
      </c>
    </row>
    <row r="614" spans="1:13" ht="12.75" customHeight="1" x14ac:dyDescent="0.3">
      <c r="A614" s="143" t="s">
        <v>15</v>
      </c>
      <c r="B614" s="139" t="str">
        <f>IFERROR(VLOOKUP($A614, NameDesignation[], 2,FALSE), " ")</f>
        <v>Former Director</v>
      </c>
      <c r="C614" s="139" t="s">
        <v>29</v>
      </c>
      <c r="D614" s="139">
        <v>462</v>
      </c>
      <c r="E614" s="140">
        <v>44434</v>
      </c>
      <c r="F614" s="139" t="str">
        <f t="shared" si="27"/>
        <v>Q3-21</v>
      </c>
      <c r="G614" s="140" t="str">
        <f t="shared" si="28"/>
        <v>Aug'21</v>
      </c>
      <c r="H614" s="140" t="str">
        <f>TEXT(RawData[[#This Row],[Date]], "YYYY")</f>
        <v>2021</v>
      </c>
      <c r="I614" s="141" t="s">
        <v>32</v>
      </c>
      <c r="J614" s="141" t="s">
        <v>91</v>
      </c>
      <c r="K614" s="139">
        <f t="shared" si="29"/>
        <v>0</v>
      </c>
      <c r="L614" s="142">
        <f>IF(RawData[[#This Row],[Paid/Unpaid]]="Paid", IF(VALUE($E614)&gt;VALUE($D$3),$K614* 10000,$K614* 8000), 0)</f>
        <v>0</v>
      </c>
      <c r="M614" s="53" t="s">
        <v>146</v>
      </c>
    </row>
    <row r="615" spans="1:13" ht="12.75" customHeight="1" x14ac:dyDescent="0.3">
      <c r="A615" s="143" t="s">
        <v>21</v>
      </c>
      <c r="B615" s="139" t="str">
        <f>IFERROR(VLOOKUP($A615, NameDesignation[], 2,FALSE), " ")</f>
        <v>Former Independent Director</v>
      </c>
      <c r="C615" s="139" t="s">
        <v>29</v>
      </c>
      <c r="D615" s="139">
        <v>462</v>
      </c>
      <c r="E615" s="140">
        <v>44434</v>
      </c>
      <c r="F615" s="139" t="str">
        <f t="shared" si="27"/>
        <v>Q3-21</v>
      </c>
      <c r="G615" s="140" t="str">
        <f t="shared" si="28"/>
        <v>Aug'21</v>
      </c>
      <c r="H615" s="140" t="str">
        <f>TEXT(RawData[[#This Row],[Date]], "YYYY")</f>
        <v>2021</v>
      </c>
      <c r="I615" s="141" t="s">
        <v>32</v>
      </c>
      <c r="J615" s="141" t="s">
        <v>91</v>
      </c>
      <c r="K615" s="139">
        <f t="shared" si="29"/>
        <v>0</v>
      </c>
      <c r="L615" s="142">
        <f>IF(RawData[[#This Row],[Paid/Unpaid]]="Paid", IF(VALUE($E615)&gt;VALUE($D$3),$K615* 10000,$K615* 8000), 0)</f>
        <v>0</v>
      </c>
      <c r="M615" s="53" t="s">
        <v>146</v>
      </c>
    </row>
    <row r="616" spans="1:13" ht="12.75" customHeight="1" x14ac:dyDescent="0.3">
      <c r="A616" s="143" t="s">
        <v>50</v>
      </c>
      <c r="B616" s="139" t="str">
        <f>IFERROR(VLOOKUP($A616, NameDesignation[], 2,FALSE), " ")</f>
        <v>Former Director</v>
      </c>
      <c r="C616" s="139" t="s">
        <v>29</v>
      </c>
      <c r="D616" s="139">
        <v>462</v>
      </c>
      <c r="E616" s="140">
        <v>44434</v>
      </c>
      <c r="F616" s="139" t="str">
        <f t="shared" si="27"/>
        <v>Q3-21</v>
      </c>
      <c r="G616" s="140" t="str">
        <f t="shared" si="28"/>
        <v>Aug'21</v>
      </c>
      <c r="H616" s="140" t="str">
        <f>TEXT(RawData[[#This Row],[Date]], "YYYY")</f>
        <v>2021</v>
      </c>
      <c r="I616" s="141" t="s">
        <v>32</v>
      </c>
      <c r="J616" s="141" t="s">
        <v>91</v>
      </c>
      <c r="K616" s="139">
        <f t="shared" si="29"/>
        <v>0</v>
      </c>
      <c r="L616" s="142">
        <f>IF(RawData[[#This Row],[Paid/Unpaid]]="Paid", IF(VALUE($E616)&gt;VALUE($D$3),$K616* 10000,$K616* 8000), 0)</f>
        <v>0</v>
      </c>
      <c r="M616" s="53" t="s">
        <v>146</v>
      </c>
    </row>
    <row r="617" spans="1:13" ht="12.75" customHeight="1" x14ac:dyDescent="0.3">
      <c r="A617" s="143" t="s">
        <v>51</v>
      </c>
      <c r="B617" s="139" t="str">
        <f>IFERROR(VLOOKUP($A617, NameDesignation[], 2,FALSE), " ")</f>
        <v>Former Director</v>
      </c>
      <c r="C617" s="139" t="s">
        <v>29</v>
      </c>
      <c r="D617" s="139">
        <v>462</v>
      </c>
      <c r="E617" s="140">
        <v>44434</v>
      </c>
      <c r="F617" s="139" t="str">
        <f t="shared" si="27"/>
        <v>Q3-21</v>
      </c>
      <c r="G617" s="140" t="str">
        <f t="shared" si="28"/>
        <v>Aug'21</v>
      </c>
      <c r="H617" s="140" t="str">
        <f>TEXT(RawData[[#This Row],[Date]], "YYYY")</f>
        <v>2021</v>
      </c>
      <c r="I617" s="141" t="s">
        <v>32</v>
      </c>
      <c r="J617" s="141" t="s">
        <v>90</v>
      </c>
      <c r="K617" s="139">
        <f t="shared" si="29"/>
        <v>1</v>
      </c>
      <c r="L617" s="142">
        <f>IF(RawData[[#This Row],[Paid/Unpaid]]="Paid", IF(VALUE($E617)&gt;VALUE($D$3),$K617* 10000,$K617* 8000), 0)</f>
        <v>8000</v>
      </c>
      <c r="M617" s="53" t="s">
        <v>146</v>
      </c>
    </row>
    <row r="618" spans="1:13" ht="12.75" customHeight="1" x14ac:dyDescent="0.3">
      <c r="A618" s="143" t="s">
        <v>27</v>
      </c>
      <c r="B618" s="139" t="str">
        <f>IFERROR(VLOOKUP($A618, NameDesignation[], 2,FALSE), " ")</f>
        <v>Former Director</v>
      </c>
      <c r="C618" s="139" t="s">
        <v>29</v>
      </c>
      <c r="D618" s="139">
        <v>462</v>
      </c>
      <c r="E618" s="140">
        <v>44434</v>
      </c>
      <c r="F618" s="139" t="str">
        <f t="shared" si="27"/>
        <v>Q3-21</v>
      </c>
      <c r="G618" s="140" t="str">
        <f t="shared" si="28"/>
        <v>Aug'21</v>
      </c>
      <c r="H618" s="140" t="str">
        <f>TEXT(RawData[[#This Row],[Date]], "YYYY")</f>
        <v>2021</v>
      </c>
      <c r="I618" s="141" t="s">
        <v>32</v>
      </c>
      <c r="J618" s="141" t="s">
        <v>91</v>
      </c>
      <c r="K618" s="139">
        <f t="shared" si="29"/>
        <v>0</v>
      </c>
      <c r="L618" s="142">
        <f>IF(RawData[[#This Row],[Paid/Unpaid]]="Paid", IF(VALUE($E618)&gt;VALUE($D$3),$K618* 10000,$K618* 8000), 0)</f>
        <v>0</v>
      </c>
      <c r="M618" s="53" t="s">
        <v>146</v>
      </c>
    </row>
    <row r="619" spans="1:13" ht="12.75" customHeight="1" x14ac:dyDescent="0.3">
      <c r="A619" s="143" t="s">
        <v>18</v>
      </c>
      <c r="B619" s="139" t="str">
        <f>IFERROR(VLOOKUP($A619, NameDesignation[], 2,FALSE), " ")</f>
        <v>Former Independent Director</v>
      </c>
      <c r="C619" s="139" t="s">
        <v>29</v>
      </c>
      <c r="D619" s="139">
        <v>462</v>
      </c>
      <c r="E619" s="140">
        <v>44434</v>
      </c>
      <c r="F619" s="139" t="str">
        <f t="shared" si="27"/>
        <v>Q3-21</v>
      </c>
      <c r="G619" s="140" t="str">
        <f t="shared" si="28"/>
        <v>Aug'21</v>
      </c>
      <c r="H619" s="140" t="str">
        <f>TEXT(RawData[[#This Row],[Date]], "YYYY")</f>
        <v>2021</v>
      </c>
      <c r="I619" s="141" t="s">
        <v>32</v>
      </c>
      <c r="J619" s="141" t="s">
        <v>90</v>
      </c>
      <c r="K619" s="139">
        <f t="shared" si="29"/>
        <v>1</v>
      </c>
      <c r="L619" s="142">
        <f>IF(RawData[[#This Row],[Paid/Unpaid]]="Paid", IF(VALUE($E619)&gt;VALUE($D$3),$K619* 10000,$K619* 8000), 0)</f>
        <v>8000</v>
      </c>
      <c r="M619" s="53" t="s">
        <v>146</v>
      </c>
    </row>
    <row r="620" spans="1:13" ht="12.75" customHeight="1" x14ac:dyDescent="0.3">
      <c r="A620" s="143" t="s">
        <v>8</v>
      </c>
      <c r="B620" s="139" t="str">
        <f>IFERROR(VLOOKUP($A620, NameDesignation[], 2,FALSE), " ")</f>
        <v>Former Vice-Chairman</v>
      </c>
      <c r="C620" s="139" t="s">
        <v>29</v>
      </c>
      <c r="D620" s="139">
        <v>463</v>
      </c>
      <c r="E620" s="140">
        <v>44434</v>
      </c>
      <c r="F620" s="139" t="str">
        <f t="shared" si="27"/>
        <v>Q3-21</v>
      </c>
      <c r="G620" s="140" t="str">
        <f t="shared" si="28"/>
        <v>Aug'21</v>
      </c>
      <c r="H620" s="140" t="str">
        <f>TEXT(RawData[[#This Row],[Date]], "YYYY")</f>
        <v>2021</v>
      </c>
      <c r="I620" s="141" t="s">
        <v>32</v>
      </c>
      <c r="J620" s="141" t="s">
        <v>90</v>
      </c>
      <c r="K620" s="139">
        <f t="shared" si="29"/>
        <v>1</v>
      </c>
      <c r="L620" s="142">
        <f>IF(RawData[[#This Row],[Paid/Unpaid]]="Paid", IF(VALUE($E620)&gt;VALUE($D$3),$K620* 10000,$K620* 8000), 0)</f>
        <v>8000</v>
      </c>
      <c r="M620" s="53" t="s">
        <v>146</v>
      </c>
    </row>
    <row r="621" spans="1:13" ht="12.75" customHeight="1" x14ac:dyDescent="0.3">
      <c r="A621" s="143" t="s">
        <v>9</v>
      </c>
      <c r="B621" s="139" t="str">
        <f>IFERROR(VLOOKUP($A621, NameDesignation[], 2,FALSE), " ")</f>
        <v>Former Director</v>
      </c>
      <c r="C621" s="139" t="s">
        <v>29</v>
      </c>
      <c r="D621" s="139">
        <v>463</v>
      </c>
      <c r="E621" s="140">
        <v>44434</v>
      </c>
      <c r="F621" s="139" t="str">
        <f t="shared" si="27"/>
        <v>Q3-21</v>
      </c>
      <c r="G621" s="140" t="str">
        <f t="shared" si="28"/>
        <v>Aug'21</v>
      </c>
      <c r="H621" s="140" t="str">
        <f>TEXT(RawData[[#This Row],[Date]], "YYYY")</f>
        <v>2021</v>
      </c>
      <c r="I621" s="141" t="s">
        <v>32</v>
      </c>
      <c r="J621" s="141" t="s">
        <v>90</v>
      </c>
      <c r="K621" s="139">
        <f t="shared" si="29"/>
        <v>1</v>
      </c>
      <c r="L621" s="142">
        <f>IF(RawData[[#This Row],[Paid/Unpaid]]="Paid", IF(VALUE($E621)&gt;VALUE($D$3),$K621* 10000,$K621* 8000), 0)</f>
        <v>8000</v>
      </c>
      <c r="M621" s="53" t="s">
        <v>146</v>
      </c>
    </row>
    <row r="622" spans="1:13" ht="12.75" customHeight="1" x14ac:dyDescent="0.3">
      <c r="A622" s="143" t="s">
        <v>20</v>
      </c>
      <c r="B622" s="139" t="str">
        <f>IFERROR(VLOOKUP($A622, NameDesignation[], 2,FALSE), " ")</f>
        <v>Former Independent Director</v>
      </c>
      <c r="C622" s="139" t="s">
        <v>29</v>
      </c>
      <c r="D622" s="139">
        <v>463</v>
      </c>
      <c r="E622" s="140">
        <v>44434</v>
      </c>
      <c r="F622" s="139" t="str">
        <f t="shared" si="27"/>
        <v>Q3-21</v>
      </c>
      <c r="G622" s="140" t="str">
        <f t="shared" si="28"/>
        <v>Aug'21</v>
      </c>
      <c r="H622" s="140" t="str">
        <f>TEXT(RawData[[#This Row],[Date]], "YYYY")</f>
        <v>2021</v>
      </c>
      <c r="I622" s="141" t="s">
        <v>32</v>
      </c>
      <c r="J622" s="141" t="s">
        <v>90</v>
      </c>
      <c r="K622" s="139">
        <f t="shared" si="29"/>
        <v>1</v>
      </c>
      <c r="L622" s="142">
        <f>IF(RawData[[#This Row],[Paid/Unpaid]]="Paid", IF(VALUE($E622)&gt;VALUE($D$3),$K622* 10000,$K622* 8000), 0)</f>
        <v>8000</v>
      </c>
      <c r="M622" s="53" t="s">
        <v>146</v>
      </c>
    </row>
    <row r="623" spans="1:13" ht="12.75" customHeight="1" x14ac:dyDescent="0.3">
      <c r="A623" s="143" t="s">
        <v>11</v>
      </c>
      <c r="B623" s="139" t="str">
        <f>IFERROR(VLOOKUP($A623, NameDesignation[], 2,FALSE), " ")</f>
        <v>Former Director</v>
      </c>
      <c r="C623" s="139" t="s">
        <v>29</v>
      </c>
      <c r="D623" s="139">
        <v>463</v>
      </c>
      <c r="E623" s="140">
        <v>44434</v>
      </c>
      <c r="F623" s="139" t="str">
        <f t="shared" si="27"/>
        <v>Q3-21</v>
      </c>
      <c r="G623" s="140" t="str">
        <f t="shared" si="28"/>
        <v>Aug'21</v>
      </c>
      <c r="H623" s="140" t="str">
        <f>TEXT(RawData[[#This Row],[Date]], "YYYY")</f>
        <v>2021</v>
      </c>
      <c r="I623" s="141" t="s">
        <v>32</v>
      </c>
      <c r="J623" s="141" t="s">
        <v>90</v>
      </c>
      <c r="K623" s="139">
        <f t="shared" si="29"/>
        <v>1</v>
      </c>
      <c r="L623" s="142">
        <f>IF(RawData[[#This Row],[Paid/Unpaid]]="Paid", IF(VALUE($E623)&gt;VALUE($D$3),$K623* 10000,$K623* 8000), 0)</f>
        <v>8000</v>
      </c>
      <c r="M623" s="53" t="s">
        <v>146</v>
      </c>
    </row>
    <row r="624" spans="1:13" ht="12.75" customHeight="1" x14ac:dyDescent="0.3">
      <c r="A624" s="143" t="s">
        <v>12</v>
      </c>
      <c r="B624" s="139" t="str">
        <f>IFERROR(VLOOKUP($A624, NameDesignation[], 2,FALSE), " ")</f>
        <v>Former Director</v>
      </c>
      <c r="C624" s="139" t="s">
        <v>29</v>
      </c>
      <c r="D624" s="139">
        <v>463</v>
      </c>
      <c r="E624" s="140">
        <v>44434</v>
      </c>
      <c r="F624" s="139" t="str">
        <f t="shared" si="27"/>
        <v>Q3-21</v>
      </c>
      <c r="G624" s="140" t="str">
        <f t="shared" si="28"/>
        <v>Aug'21</v>
      </c>
      <c r="H624" s="140" t="str">
        <f>TEXT(RawData[[#This Row],[Date]], "YYYY")</f>
        <v>2021</v>
      </c>
      <c r="I624" s="141" t="s">
        <v>32</v>
      </c>
      <c r="J624" s="141" t="s">
        <v>90</v>
      </c>
      <c r="K624" s="139">
        <f t="shared" si="29"/>
        <v>1</v>
      </c>
      <c r="L624" s="142">
        <f>IF(RawData[[#This Row],[Paid/Unpaid]]="Paid", IF(VALUE($E624)&gt;VALUE($D$3),$K624* 10000,$K624* 8000), 0)</f>
        <v>8000</v>
      </c>
      <c r="M624" s="53" t="s">
        <v>146</v>
      </c>
    </row>
    <row r="625" spans="1:13" ht="12.75" customHeight="1" x14ac:dyDescent="0.3">
      <c r="A625" s="143" t="s">
        <v>13</v>
      </c>
      <c r="B625" s="139" t="str">
        <f>IFERROR(VLOOKUP($A625, NameDesignation[], 2,FALSE), " ")</f>
        <v>Former Director</v>
      </c>
      <c r="C625" s="139" t="s">
        <v>29</v>
      </c>
      <c r="D625" s="139">
        <v>463</v>
      </c>
      <c r="E625" s="140">
        <v>44434</v>
      </c>
      <c r="F625" s="139" t="str">
        <f t="shared" si="27"/>
        <v>Q3-21</v>
      </c>
      <c r="G625" s="140" t="str">
        <f t="shared" si="28"/>
        <v>Aug'21</v>
      </c>
      <c r="H625" s="140" t="str">
        <f>TEXT(RawData[[#This Row],[Date]], "YYYY")</f>
        <v>2021</v>
      </c>
      <c r="I625" s="141" t="s">
        <v>32</v>
      </c>
      <c r="J625" s="141" t="s">
        <v>91</v>
      </c>
      <c r="K625" s="139">
        <f t="shared" si="29"/>
        <v>0</v>
      </c>
      <c r="L625" s="142">
        <f>IF(RawData[[#This Row],[Paid/Unpaid]]="Paid", IF(VALUE($E625)&gt;VALUE($D$3),$K625* 10000,$K625* 8000), 0)</f>
        <v>0</v>
      </c>
      <c r="M625" s="53" t="s">
        <v>146</v>
      </c>
    </row>
    <row r="626" spans="1:13" ht="12.75" customHeight="1" x14ac:dyDescent="0.3">
      <c r="A626" s="143" t="s">
        <v>23</v>
      </c>
      <c r="B626" s="139" t="str">
        <f>IFERROR(VLOOKUP($A626, NameDesignation[], 2,FALSE), " ")</f>
        <v>Former Director</v>
      </c>
      <c r="C626" s="139" t="s">
        <v>29</v>
      </c>
      <c r="D626" s="139">
        <v>463</v>
      </c>
      <c r="E626" s="140">
        <v>44434</v>
      </c>
      <c r="F626" s="139" t="str">
        <f t="shared" si="27"/>
        <v>Q3-21</v>
      </c>
      <c r="G626" s="140" t="str">
        <f t="shared" si="28"/>
        <v>Aug'21</v>
      </c>
      <c r="H626" s="140" t="str">
        <f>TEXT(RawData[[#This Row],[Date]], "YYYY")</f>
        <v>2021</v>
      </c>
      <c r="I626" s="141" t="s">
        <v>32</v>
      </c>
      <c r="J626" s="141" t="s">
        <v>90</v>
      </c>
      <c r="K626" s="139">
        <f t="shared" si="29"/>
        <v>1</v>
      </c>
      <c r="L626" s="142">
        <f>IF(RawData[[#This Row],[Paid/Unpaid]]="Paid", IF(VALUE($E626)&gt;VALUE($D$3),$K626* 10000,$K626* 8000), 0)</f>
        <v>8000</v>
      </c>
      <c r="M626" s="53" t="s">
        <v>146</v>
      </c>
    </row>
    <row r="627" spans="1:13" ht="12.75" customHeight="1" x14ac:dyDescent="0.3">
      <c r="A627" s="143" t="s">
        <v>24</v>
      </c>
      <c r="B627" s="139" t="str">
        <f>IFERROR(VLOOKUP($A627, NameDesignation[], 2,FALSE), " ")</f>
        <v>Former Director</v>
      </c>
      <c r="C627" s="139" t="s">
        <v>29</v>
      </c>
      <c r="D627" s="139">
        <v>463</v>
      </c>
      <c r="E627" s="140">
        <v>44434</v>
      </c>
      <c r="F627" s="139" t="str">
        <f t="shared" si="27"/>
        <v>Q3-21</v>
      </c>
      <c r="G627" s="140" t="str">
        <f t="shared" si="28"/>
        <v>Aug'21</v>
      </c>
      <c r="H627" s="140" t="str">
        <f>TEXT(RawData[[#This Row],[Date]], "YYYY")</f>
        <v>2021</v>
      </c>
      <c r="I627" s="141" t="s">
        <v>32</v>
      </c>
      <c r="J627" s="141" t="s">
        <v>90</v>
      </c>
      <c r="K627" s="139">
        <f t="shared" si="29"/>
        <v>1</v>
      </c>
      <c r="L627" s="142">
        <f>IF(RawData[[#This Row],[Paid/Unpaid]]="Paid", IF(VALUE($E627)&gt;VALUE($D$3),$K627* 10000,$K627* 8000), 0)</f>
        <v>8000</v>
      </c>
      <c r="M627" s="53" t="s">
        <v>146</v>
      </c>
    </row>
    <row r="628" spans="1:13" ht="12.75" customHeight="1" x14ac:dyDescent="0.3">
      <c r="A628" s="143" t="s">
        <v>15</v>
      </c>
      <c r="B628" s="139" t="str">
        <f>IFERROR(VLOOKUP($A628, NameDesignation[], 2,FALSE), " ")</f>
        <v>Former Director</v>
      </c>
      <c r="C628" s="139" t="s">
        <v>29</v>
      </c>
      <c r="D628" s="139">
        <v>463</v>
      </c>
      <c r="E628" s="140">
        <v>44434</v>
      </c>
      <c r="F628" s="139" t="str">
        <f t="shared" si="27"/>
        <v>Q3-21</v>
      </c>
      <c r="G628" s="140" t="str">
        <f t="shared" si="28"/>
        <v>Aug'21</v>
      </c>
      <c r="H628" s="140" t="str">
        <f>TEXT(RawData[[#This Row],[Date]], "YYYY")</f>
        <v>2021</v>
      </c>
      <c r="I628" s="141" t="s">
        <v>32</v>
      </c>
      <c r="J628" s="141" t="s">
        <v>90</v>
      </c>
      <c r="K628" s="139">
        <f t="shared" si="29"/>
        <v>1</v>
      </c>
      <c r="L628" s="142">
        <f>IF(RawData[[#This Row],[Paid/Unpaid]]="Paid", IF(VALUE($E628)&gt;VALUE($D$3),$K628* 10000,$K628* 8000), 0)</f>
        <v>8000</v>
      </c>
      <c r="M628" s="53" t="s">
        <v>146</v>
      </c>
    </row>
    <row r="629" spans="1:13" ht="12.75" customHeight="1" x14ac:dyDescent="0.3">
      <c r="A629" s="143" t="s">
        <v>21</v>
      </c>
      <c r="B629" s="139" t="str">
        <f>IFERROR(VLOOKUP($A629, NameDesignation[], 2,FALSE), " ")</f>
        <v>Former Independent Director</v>
      </c>
      <c r="C629" s="139" t="s">
        <v>29</v>
      </c>
      <c r="D629" s="139">
        <v>463</v>
      </c>
      <c r="E629" s="140">
        <v>44434</v>
      </c>
      <c r="F629" s="139" t="str">
        <f t="shared" si="27"/>
        <v>Q3-21</v>
      </c>
      <c r="G629" s="140" t="str">
        <f t="shared" si="28"/>
        <v>Aug'21</v>
      </c>
      <c r="H629" s="140" t="str">
        <f>TEXT(RawData[[#This Row],[Date]], "YYYY")</f>
        <v>2021</v>
      </c>
      <c r="I629" s="141" t="s">
        <v>32</v>
      </c>
      <c r="J629" s="141" t="s">
        <v>91</v>
      </c>
      <c r="K629" s="139">
        <f t="shared" si="29"/>
        <v>0</v>
      </c>
      <c r="L629" s="142">
        <f>IF(RawData[[#This Row],[Paid/Unpaid]]="Paid", IF(VALUE($E629)&gt;VALUE($D$3),$K629* 10000,$K629* 8000), 0)</f>
        <v>0</v>
      </c>
      <c r="M629" s="53" t="s">
        <v>146</v>
      </c>
    </row>
    <row r="630" spans="1:13" ht="12.75" customHeight="1" x14ac:dyDescent="0.3">
      <c r="A630" s="143" t="s">
        <v>50</v>
      </c>
      <c r="B630" s="139" t="str">
        <f>IFERROR(VLOOKUP($A630, NameDesignation[], 2,FALSE), " ")</f>
        <v>Former Director</v>
      </c>
      <c r="C630" s="139" t="s">
        <v>29</v>
      </c>
      <c r="D630" s="139">
        <v>463</v>
      </c>
      <c r="E630" s="140">
        <v>44434</v>
      </c>
      <c r="F630" s="139" t="str">
        <f t="shared" si="27"/>
        <v>Q3-21</v>
      </c>
      <c r="G630" s="140" t="str">
        <f t="shared" si="28"/>
        <v>Aug'21</v>
      </c>
      <c r="H630" s="140" t="str">
        <f>TEXT(RawData[[#This Row],[Date]], "YYYY")</f>
        <v>2021</v>
      </c>
      <c r="I630" s="141" t="s">
        <v>32</v>
      </c>
      <c r="J630" s="141" t="s">
        <v>90</v>
      </c>
      <c r="K630" s="139">
        <f t="shared" si="29"/>
        <v>1</v>
      </c>
      <c r="L630" s="142">
        <f>IF(RawData[[#This Row],[Paid/Unpaid]]="Paid", IF(VALUE($E630)&gt;VALUE($D$3),$K630* 10000,$K630* 8000), 0)</f>
        <v>8000</v>
      </c>
      <c r="M630" s="53" t="s">
        <v>146</v>
      </c>
    </row>
    <row r="631" spans="1:13" ht="12.75" customHeight="1" x14ac:dyDescent="0.3">
      <c r="A631" s="143" t="s">
        <v>51</v>
      </c>
      <c r="B631" s="139" t="str">
        <f>IFERROR(VLOOKUP($A631, NameDesignation[], 2,FALSE), " ")</f>
        <v>Former Director</v>
      </c>
      <c r="C631" s="139" t="s">
        <v>29</v>
      </c>
      <c r="D631" s="139">
        <v>463</v>
      </c>
      <c r="E631" s="140">
        <v>44434</v>
      </c>
      <c r="F631" s="139" t="str">
        <f t="shared" si="27"/>
        <v>Q3-21</v>
      </c>
      <c r="G631" s="140" t="str">
        <f t="shared" si="28"/>
        <v>Aug'21</v>
      </c>
      <c r="H631" s="140" t="str">
        <f>TEXT(RawData[[#This Row],[Date]], "YYYY")</f>
        <v>2021</v>
      </c>
      <c r="I631" s="141" t="s">
        <v>32</v>
      </c>
      <c r="J631" s="141" t="s">
        <v>90</v>
      </c>
      <c r="K631" s="139">
        <f t="shared" si="29"/>
        <v>1</v>
      </c>
      <c r="L631" s="142">
        <f>IF(RawData[[#This Row],[Paid/Unpaid]]="Paid", IF(VALUE($E631)&gt;VALUE($D$3),$K631* 10000,$K631* 8000), 0)</f>
        <v>8000</v>
      </c>
      <c r="M631" s="53" t="s">
        <v>146</v>
      </c>
    </row>
    <row r="632" spans="1:13" ht="12.75" customHeight="1" x14ac:dyDescent="0.3">
      <c r="A632" s="143" t="s">
        <v>27</v>
      </c>
      <c r="B632" s="139" t="str">
        <f>IFERROR(VLOOKUP($A632, NameDesignation[], 2,FALSE), " ")</f>
        <v>Former Director</v>
      </c>
      <c r="C632" s="139" t="s">
        <v>29</v>
      </c>
      <c r="D632" s="139">
        <v>463</v>
      </c>
      <c r="E632" s="140">
        <v>44434</v>
      </c>
      <c r="F632" s="139" t="str">
        <f t="shared" si="27"/>
        <v>Q3-21</v>
      </c>
      <c r="G632" s="140" t="str">
        <f t="shared" si="28"/>
        <v>Aug'21</v>
      </c>
      <c r="H632" s="140" t="str">
        <f>TEXT(RawData[[#This Row],[Date]], "YYYY")</f>
        <v>2021</v>
      </c>
      <c r="I632" s="141" t="s">
        <v>32</v>
      </c>
      <c r="J632" s="141" t="s">
        <v>90</v>
      </c>
      <c r="K632" s="139">
        <f t="shared" si="29"/>
        <v>1</v>
      </c>
      <c r="L632" s="142">
        <f>IF(RawData[[#This Row],[Paid/Unpaid]]="Paid", IF(VALUE($E632)&gt;VALUE($D$3),$K632* 10000,$K632* 8000), 0)</f>
        <v>8000</v>
      </c>
      <c r="M632" s="53" t="s">
        <v>146</v>
      </c>
    </row>
    <row r="633" spans="1:13" ht="12.75" customHeight="1" x14ac:dyDescent="0.3">
      <c r="A633" s="143" t="s">
        <v>18</v>
      </c>
      <c r="B633" s="139" t="str">
        <f>IFERROR(VLOOKUP($A633, NameDesignation[], 2,FALSE), " ")</f>
        <v>Former Independent Director</v>
      </c>
      <c r="C633" s="139" t="s">
        <v>29</v>
      </c>
      <c r="D633" s="139">
        <v>463</v>
      </c>
      <c r="E633" s="140">
        <v>44434</v>
      </c>
      <c r="F633" s="139" t="str">
        <f t="shared" si="27"/>
        <v>Q3-21</v>
      </c>
      <c r="G633" s="140" t="str">
        <f t="shared" si="28"/>
        <v>Aug'21</v>
      </c>
      <c r="H633" s="140" t="str">
        <f>TEXT(RawData[[#This Row],[Date]], "YYYY")</f>
        <v>2021</v>
      </c>
      <c r="I633" s="141" t="s">
        <v>32</v>
      </c>
      <c r="J633" s="141" t="s">
        <v>91</v>
      </c>
      <c r="K633" s="139">
        <f t="shared" si="29"/>
        <v>0</v>
      </c>
      <c r="L633" s="142">
        <f>IF(RawData[[#This Row],[Paid/Unpaid]]="Paid", IF(VALUE($E633)&gt;VALUE($D$3),$K633* 10000,$K633* 8000), 0)</f>
        <v>0</v>
      </c>
      <c r="M633" s="53" t="s">
        <v>146</v>
      </c>
    </row>
    <row r="634" spans="1:13" ht="12.75" customHeight="1" x14ac:dyDescent="0.3">
      <c r="A634" s="71" t="s">
        <v>9</v>
      </c>
      <c r="B634" s="139" t="str">
        <f>IFERROR(VLOOKUP($A634, NameDesignation[], 2,FALSE), " ")</f>
        <v>Former Director</v>
      </c>
      <c r="C634" s="139" t="s">
        <v>30</v>
      </c>
      <c r="D634" s="139">
        <v>445</v>
      </c>
      <c r="E634" s="140">
        <v>44440</v>
      </c>
      <c r="F634" s="139" t="str">
        <f t="shared" si="27"/>
        <v>Q3-21</v>
      </c>
      <c r="G634" s="140" t="str">
        <f t="shared" si="28"/>
        <v>Sep'21</v>
      </c>
      <c r="H634" s="140" t="str">
        <f>TEXT(RawData[[#This Row],[Date]], "YYYY")</f>
        <v>2021</v>
      </c>
      <c r="I634" s="141" t="s">
        <v>32</v>
      </c>
      <c r="J634" s="141" t="s">
        <v>90</v>
      </c>
      <c r="K634" s="139">
        <f t="shared" si="29"/>
        <v>1</v>
      </c>
      <c r="L634" s="142">
        <f>IF(RawData[[#This Row],[Paid/Unpaid]]="Paid", IF(VALUE($E634)&gt;VALUE($D$3),$K634* 10000,$K634* 8000), 0)</f>
        <v>8000</v>
      </c>
      <c r="M634" s="53" t="s">
        <v>146</v>
      </c>
    </row>
    <row r="635" spans="1:13" ht="12.75" customHeight="1" x14ac:dyDescent="0.3">
      <c r="A635" s="71" t="s">
        <v>8</v>
      </c>
      <c r="B635" s="139" t="str">
        <f>IFERROR(VLOOKUP($A635, NameDesignation[], 2,FALSE), " ")</f>
        <v>Former Vice-Chairman</v>
      </c>
      <c r="C635" s="139" t="s">
        <v>30</v>
      </c>
      <c r="D635" s="139">
        <v>445</v>
      </c>
      <c r="E635" s="140">
        <v>44440</v>
      </c>
      <c r="F635" s="139" t="str">
        <f t="shared" si="27"/>
        <v>Q3-21</v>
      </c>
      <c r="G635" s="140" t="str">
        <f t="shared" si="28"/>
        <v>Sep'21</v>
      </c>
      <c r="H635" s="140" t="str">
        <f>TEXT(RawData[[#This Row],[Date]], "YYYY")</f>
        <v>2021</v>
      </c>
      <c r="I635" s="141" t="s">
        <v>32</v>
      </c>
      <c r="J635" s="141" t="s">
        <v>90</v>
      </c>
      <c r="K635" s="139">
        <f t="shared" si="29"/>
        <v>1</v>
      </c>
      <c r="L635" s="142">
        <f>IF(RawData[[#This Row],[Paid/Unpaid]]="Paid", IF(VALUE($E635)&gt;VALUE($D$3),$K635* 10000,$K635* 8000), 0)</f>
        <v>8000</v>
      </c>
      <c r="M635" s="53" t="s">
        <v>146</v>
      </c>
    </row>
    <row r="636" spans="1:13" ht="12.75" customHeight="1" x14ac:dyDescent="0.3">
      <c r="A636" s="71" t="s">
        <v>11</v>
      </c>
      <c r="B636" s="139" t="str">
        <f>IFERROR(VLOOKUP($A636, NameDesignation[], 2,FALSE), " ")</f>
        <v>Former Director</v>
      </c>
      <c r="C636" s="139" t="s">
        <v>30</v>
      </c>
      <c r="D636" s="139">
        <v>445</v>
      </c>
      <c r="E636" s="140">
        <v>44440</v>
      </c>
      <c r="F636" s="139" t="str">
        <f t="shared" si="27"/>
        <v>Q3-21</v>
      </c>
      <c r="G636" s="140" t="str">
        <f t="shared" si="28"/>
        <v>Sep'21</v>
      </c>
      <c r="H636" s="140" t="str">
        <f>TEXT(RawData[[#This Row],[Date]], "YYYY")</f>
        <v>2021</v>
      </c>
      <c r="I636" s="141" t="s">
        <v>32</v>
      </c>
      <c r="J636" s="141" t="s">
        <v>90</v>
      </c>
      <c r="K636" s="139">
        <f t="shared" si="29"/>
        <v>1</v>
      </c>
      <c r="L636" s="142">
        <f>IF(RawData[[#This Row],[Paid/Unpaid]]="Paid", IF(VALUE($E636)&gt;VALUE($D$3),$K636* 10000,$K636* 8000), 0)</f>
        <v>8000</v>
      </c>
      <c r="M636" s="53" t="s">
        <v>146</v>
      </c>
    </row>
    <row r="637" spans="1:13" ht="12.75" customHeight="1" x14ac:dyDescent="0.3">
      <c r="A637" s="71" t="s">
        <v>13</v>
      </c>
      <c r="B637" s="139" t="str">
        <f>IFERROR(VLOOKUP($A637, NameDesignation[], 2,FALSE), " ")</f>
        <v>Former Director</v>
      </c>
      <c r="C637" s="139" t="s">
        <v>30</v>
      </c>
      <c r="D637" s="139">
        <v>445</v>
      </c>
      <c r="E637" s="140">
        <v>44440</v>
      </c>
      <c r="F637" s="139" t="str">
        <f t="shared" si="27"/>
        <v>Q3-21</v>
      </c>
      <c r="G637" s="140" t="str">
        <f t="shared" si="28"/>
        <v>Sep'21</v>
      </c>
      <c r="H637" s="140" t="str">
        <f>TEXT(RawData[[#This Row],[Date]], "YYYY")</f>
        <v>2021</v>
      </c>
      <c r="I637" s="141" t="s">
        <v>32</v>
      </c>
      <c r="J637" s="141" t="s">
        <v>90</v>
      </c>
      <c r="K637" s="139">
        <f t="shared" si="29"/>
        <v>1</v>
      </c>
      <c r="L637" s="142">
        <f>IF(RawData[[#This Row],[Paid/Unpaid]]="Paid", IF(VALUE($E637)&gt;VALUE($D$3),$K637* 10000,$K637* 8000), 0)</f>
        <v>8000</v>
      </c>
      <c r="M637" s="53" t="s">
        <v>146</v>
      </c>
    </row>
    <row r="638" spans="1:13" ht="12.75" customHeight="1" x14ac:dyDescent="0.3">
      <c r="A638" s="71" t="s">
        <v>12</v>
      </c>
      <c r="B638" s="139" t="str">
        <f>IFERROR(VLOOKUP($A638, NameDesignation[], 2,FALSE), " ")</f>
        <v>Former Director</v>
      </c>
      <c r="C638" s="139" t="s">
        <v>30</v>
      </c>
      <c r="D638" s="139">
        <v>445</v>
      </c>
      <c r="E638" s="140">
        <v>44440</v>
      </c>
      <c r="F638" s="139" t="str">
        <f t="shared" si="27"/>
        <v>Q3-21</v>
      </c>
      <c r="G638" s="140" t="str">
        <f t="shared" si="28"/>
        <v>Sep'21</v>
      </c>
      <c r="H638" s="140" t="str">
        <f>TEXT(RawData[[#This Row],[Date]], "YYYY")</f>
        <v>2021</v>
      </c>
      <c r="I638" s="141" t="s">
        <v>32</v>
      </c>
      <c r="J638" s="141" t="s">
        <v>90</v>
      </c>
      <c r="K638" s="139">
        <f t="shared" si="29"/>
        <v>1</v>
      </c>
      <c r="L638" s="142">
        <f>IF(RawData[[#This Row],[Paid/Unpaid]]="Paid", IF(VALUE($E638)&gt;VALUE($D$3),$K638* 10000,$K638* 8000), 0)</f>
        <v>8000</v>
      </c>
      <c r="M638" s="53" t="s">
        <v>146</v>
      </c>
    </row>
    <row r="639" spans="1:13" ht="12.75" customHeight="1" x14ac:dyDescent="0.3">
      <c r="A639" s="143" t="s">
        <v>7</v>
      </c>
      <c r="B639" s="139" t="str">
        <f>IFERROR(VLOOKUP($A639, NameDesignation[], 2,FALSE), " ")</f>
        <v>Former Director</v>
      </c>
      <c r="C639" s="139" t="s">
        <v>29</v>
      </c>
      <c r="D639" s="139">
        <v>464</v>
      </c>
      <c r="E639" s="140">
        <v>44493</v>
      </c>
      <c r="F639" s="139" t="str">
        <f t="shared" si="27"/>
        <v>Q4-21</v>
      </c>
      <c r="G639" s="140" t="str">
        <f t="shared" si="28"/>
        <v>Oct'21</v>
      </c>
      <c r="H639" s="140" t="str">
        <f>TEXT(RawData[[#This Row],[Date]], "YYYY")</f>
        <v>2021</v>
      </c>
      <c r="I639" s="141" t="s">
        <v>32</v>
      </c>
      <c r="J639" s="141" t="s">
        <v>91</v>
      </c>
      <c r="K639" s="139">
        <f t="shared" si="29"/>
        <v>0</v>
      </c>
      <c r="L639" s="142">
        <f>IF(RawData[[#This Row],[Paid/Unpaid]]="Paid", IF(VALUE($E639)&gt;VALUE($D$3),$K639* 10000,$K639* 8000), 0)</f>
        <v>0</v>
      </c>
      <c r="M639" s="53" t="s">
        <v>146</v>
      </c>
    </row>
    <row r="640" spans="1:13" ht="12.75" customHeight="1" x14ac:dyDescent="0.3">
      <c r="A640" s="143" t="s">
        <v>8</v>
      </c>
      <c r="B640" s="139" t="str">
        <f>IFERROR(VLOOKUP($A640, NameDesignation[], 2,FALSE), " ")</f>
        <v>Former Vice-Chairman</v>
      </c>
      <c r="C640" s="139" t="s">
        <v>29</v>
      </c>
      <c r="D640" s="139">
        <v>464</v>
      </c>
      <c r="E640" s="140">
        <v>44493</v>
      </c>
      <c r="F640" s="139" t="str">
        <f t="shared" si="27"/>
        <v>Q4-21</v>
      </c>
      <c r="G640" s="140" t="str">
        <f t="shared" si="28"/>
        <v>Oct'21</v>
      </c>
      <c r="H640" s="140" t="str">
        <f>TEXT(RawData[[#This Row],[Date]], "YYYY")</f>
        <v>2021</v>
      </c>
      <c r="I640" s="141" t="s">
        <v>32</v>
      </c>
      <c r="J640" s="141" t="s">
        <v>90</v>
      </c>
      <c r="K640" s="139">
        <f t="shared" si="29"/>
        <v>1</v>
      </c>
      <c r="L640" s="142">
        <f>IF(RawData[[#This Row],[Paid/Unpaid]]="Paid", IF(VALUE($E640)&gt;VALUE($D$3),$K640* 10000,$K640* 8000), 0)</f>
        <v>8000</v>
      </c>
      <c r="M640" s="53" t="s">
        <v>146</v>
      </c>
    </row>
    <row r="641" spans="1:13" ht="12.75" customHeight="1" x14ac:dyDescent="0.3">
      <c r="A641" s="143" t="s">
        <v>9</v>
      </c>
      <c r="B641" s="139" t="str">
        <f>IFERROR(VLOOKUP($A641, NameDesignation[], 2,FALSE), " ")</f>
        <v>Former Director</v>
      </c>
      <c r="C641" s="139" t="s">
        <v>29</v>
      </c>
      <c r="D641" s="139">
        <v>464</v>
      </c>
      <c r="E641" s="140">
        <v>44493</v>
      </c>
      <c r="F641" s="139" t="str">
        <f t="shared" si="27"/>
        <v>Q4-21</v>
      </c>
      <c r="G641" s="140" t="str">
        <f t="shared" si="28"/>
        <v>Oct'21</v>
      </c>
      <c r="H641" s="140" t="str">
        <f>TEXT(RawData[[#This Row],[Date]], "YYYY")</f>
        <v>2021</v>
      </c>
      <c r="I641" s="141" t="s">
        <v>32</v>
      </c>
      <c r="J641" s="141" t="s">
        <v>90</v>
      </c>
      <c r="K641" s="139">
        <f t="shared" si="29"/>
        <v>1</v>
      </c>
      <c r="L641" s="142">
        <f>IF(RawData[[#This Row],[Paid/Unpaid]]="Paid", IF(VALUE($E641)&gt;VALUE($D$3),$K641* 10000,$K641* 8000), 0)</f>
        <v>8000</v>
      </c>
      <c r="M641" s="53" t="s">
        <v>146</v>
      </c>
    </row>
    <row r="642" spans="1:13" ht="12.75" customHeight="1" x14ac:dyDescent="0.3">
      <c r="A642" s="143" t="s">
        <v>20</v>
      </c>
      <c r="B642" s="139" t="str">
        <f>IFERROR(VLOOKUP($A642, NameDesignation[], 2,FALSE), " ")</f>
        <v>Former Independent Director</v>
      </c>
      <c r="C642" s="139" t="s">
        <v>29</v>
      </c>
      <c r="D642" s="139">
        <v>464</v>
      </c>
      <c r="E642" s="140">
        <v>44493</v>
      </c>
      <c r="F642" s="139" t="str">
        <f t="shared" si="27"/>
        <v>Q4-21</v>
      </c>
      <c r="G642" s="140" t="str">
        <f t="shared" si="28"/>
        <v>Oct'21</v>
      </c>
      <c r="H642" s="140" t="str">
        <f>TEXT(RawData[[#This Row],[Date]], "YYYY")</f>
        <v>2021</v>
      </c>
      <c r="I642" s="141" t="s">
        <v>32</v>
      </c>
      <c r="J642" s="141" t="s">
        <v>91</v>
      </c>
      <c r="K642" s="139">
        <f t="shared" si="29"/>
        <v>0</v>
      </c>
      <c r="L642" s="142">
        <f>IF(RawData[[#This Row],[Paid/Unpaid]]="Paid", IF(VALUE($E642)&gt;VALUE($D$3),$K642* 10000,$K642* 8000), 0)</f>
        <v>0</v>
      </c>
      <c r="M642" s="53" t="s">
        <v>146</v>
      </c>
    </row>
    <row r="643" spans="1:13" ht="12.75" customHeight="1" x14ac:dyDescent="0.3">
      <c r="A643" s="143" t="s">
        <v>49</v>
      </c>
      <c r="B643" s="139" t="str">
        <f>IFERROR(VLOOKUP($A643, NameDesignation[], 2,FALSE), " ")</f>
        <v>Former Director</v>
      </c>
      <c r="C643" s="139" t="s">
        <v>29</v>
      </c>
      <c r="D643" s="139">
        <v>464</v>
      </c>
      <c r="E643" s="140">
        <v>44493</v>
      </c>
      <c r="F643" s="139" t="str">
        <f t="shared" si="27"/>
        <v>Q4-21</v>
      </c>
      <c r="G643" s="140" t="str">
        <f t="shared" si="28"/>
        <v>Oct'21</v>
      </c>
      <c r="H643" s="140" t="str">
        <f>TEXT(RawData[[#This Row],[Date]], "YYYY")</f>
        <v>2021</v>
      </c>
      <c r="I643" s="141" t="s">
        <v>32</v>
      </c>
      <c r="J643" s="141" t="s">
        <v>90</v>
      </c>
      <c r="K643" s="139">
        <f t="shared" si="29"/>
        <v>1</v>
      </c>
      <c r="L643" s="142">
        <f>IF(RawData[[#This Row],[Paid/Unpaid]]="Paid", IF(VALUE($E643)&gt;VALUE($D$3),$K643* 10000,$K643* 8000), 0)</f>
        <v>8000</v>
      </c>
      <c r="M643" s="53" t="s">
        <v>146</v>
      </c>
    </row>
    <row r="644" spans="1:13" ht="12.75" customHeight="1" x14ac:dyDescent="0.3">
      <c r="A644" s="143" t="s">
        <v>11</v>
      </c>
      <c r="B644" s="139" t="str">
        <f>IFERROR(VLOOKUP($A644, NameDesignation[], 2,FALSE), " ")</f>
        <v>Former Director</v>
      </c>
      <c r="C644" s="139" t="s">
        <v>29</v>
      </c>
      <c r="D644" s="139">
        <v>464</v>
      </c>
      <c r="E644" s="140">
        <v>44493</v>
      </c>
      <c r="F644" s="139" t="str">
        <f t="shared" si="27"/>
        <v>Q4-21</v>
      </c>
      <c r="G644" s="140" t="str">
        <f t="shared" si="28"/>
        <v>Oct'21</v>
      </c>
      <c r="H644" s="140" t="str">
        <f>TEXT(RawData[[#This Row],[Date]], "YYYY")</f>
        <v>2021</v>
      </c>
      <c r="I644" s="141" t="s">
        <v>32</v>
      </c>
      <c r="J644" s="141" t="s">
        <v>90</v>
      </c>
      <c r="K644" s="139">
        <f t="shared" si="29"/>
        <v>1</v>
      </c>
      <c r="L644" s="142">
        <f>IF(RawData[[#This Row],[Paid/Unpaid]]="Paid", IF(VALUE($E644)&gt;VALUE($D$3),$K644* 10000,$K644* 8000), 0)</f>
        <v>8000</v>
      </c>
      <c r="M644" s="53" t="s">
        <v>146</v>
      </c>
    </row>
    <row r="645" spans="1:13" ht="12.75" customHeight="1" x14ac:dyDescent="0.3">
      <c r="A645" s="143" t="s">
        <v>12</v>
      </c>
      <c r="B645" s="139" t="str">
        <f>IFERROR(VLOOKUP($A645, NameDesignation[], 2,FALSE), " ")</f>
        <v>Former Director</v>
      </c>
      <c r="C645" s="139" t="s">
        <v>29</v>
      </c>
      <c r="D645" s="139">
        <v>464</v>
      </c>
      <c r="E645" s="140">
        <v>44493</v>
      </c>
      <c r="F645" s="139" t="str">
        <f t="shared" si="27"/>
        <v>Q4-21</v>
      </c>
      <c r="G645" s="140" t="str">
        <f t="shared" si="28"/>
        <v>Oct'21</v>
      </c>
      <c r="H645" s="140" t="str">
        <f>TEXT(RawData[[#This Row],[Date]], "YYYY")</f>
        <v>2021</v>
      </c>
      <c r="I645" s="141" t="s">
        <v>32</v>
      </c>
      <c r="J645" s="141" t="s">
        <v>90</v>
      </c>
      <c r="K645" s="139">
        <f t="shared" si="29"/>
        <v>1</v>
      </c>
      <c r="L645" s="142">
        <f>IF(RawData[[#This Row],[Paid/Unpaid]]="Paid", IF(VALUE($E645)&gt;VALUE($D$3),$K645* 10000,$K645* 8000), 0)</f>
        <v>8000</v>
      </c>
      <c r="M645" s="53" t="s">
        <v>146</v>
      </c>
    </row>
    <row r="646" spans="1:13" ht="12.75" customHeight="1" x14ac:dyDescent="0.3">
      <c r="A646" s="143" t="s">
        <v>137</v>
      </c>
      <c r="B646" s="139" t="str">
        <f>IFERROR(VLOOKUP($A646, NameDesignation[], 2,FALSE), " ")</f>
        <v>Former Director</v>
      </c>
      <c r="C646" s="139" t="s">
        <v>29</v>
      </c>
      <c r="D646" s="139">
        <v>464</v>
      </c>
      <c r="E646" s="140">
        <v>44493</v>
      </c>
      <c r="F646" s="139" t="str">
        <f t="shared" ref="F646:F709" si="30">CONCATENATE("Q", ROUNDUP(MONTH($E646)/3,0),"-",TEXT($E646, "yy"))</f>
        <v>Q4-21</v>
      </c>
      <c r="G646" s="140" t="str">
        <f t="shared" ref="G646:G709" si="31">CONCATENATE(TEXT($E646, "mmm"),"'", TEXT($E646, "yy"))</f>
        <v>Oct'21</v>
      </c>
      <c r="H646" s="140" t="str">
        <f>TEXT(RawData[[#This Row],[Date]], "YYYY")</f>
        <v>2021</v>
      </c>
      <c r="I646" s="141" t="s">
        <v>32</v>
      </c>
      <c r="J646" s="141" t="s">
        <v>91</v>
      </c>
      <c r="K646" s="139">
        <f t="shared" ref="K646:K709" si="32">IF($J646="Present", 1, 0)</f>
        <v>0</v>
      </c>
      <c r="L646" s="142">
        <f>IF(RawData[[#This Row],[Paid/Unpaid]]="Paid", IF(VALUE($E646)&gt;VALUE($D$3),$K646* 10000,$K646* 8000), 0)</f>
        <v>0</v>
      </c>
      <c r="M646" s="53" t="s">
        <v>146</v>
      </c>
    </row>
    <row r="647" spans="1:13" ht="12.75" customHeight="1" x14ac:dyDescent="0.3">
      <c r="A647" s="143" t="s">
        <v>13</v>
      </c>
      <c r="B647" s="139" t="str">
        <f>IFERROR(VLOOKUP($A647, NameDesignation[], 2,FALSE), " ")</f>
        <v>Former Director</v>
      </c>
      <c r="C647" s="139" t="s">
        <v>29</v>
      </c>
      <c r="D647" s="139">
        <v>464</v>
      </c>
      <c r="E647" s="140">
        <v>44493</v>
      </c>
      <c r="F647" s="139" t="str">
        <f t="shared" si="30"/>
        <v>Q4-21</v>
      </c>
      <c r="G647" s="140" t="str">
        <f t="shared" si="31"/>
        <v>Oct'21</v>
      </c>
      <c r="H647" s="140" t="str">
        <f>TEXT(RawData[[#This Row],[Date]], "YYYY")</f>
        <v>2021</v>
      </c>
      <c r="I647" s="141" t="s">
        <v>32</v>
      </c>
      <c r="J647" s="141" t="s">
        <v>90</v>
      </c>
      <c r="K647" s="139">
        <f t="shared" si="32"/>
        <v>1</v>
      </c>
      <c r="L647" s="142">
        <f>IF(RawData[[#This Row],[Paid/Unpaid]]="Paid", IF(VALUE($E647)&gt;VALUE($D$3),$K647* 10000,$K647* 8000), 0)</f>
        <v>8000</v>
      </c>
      <c r="M647" s="53" t="s">
        <v>146</v>
      </c>
    </row>
    <row r="648" spans="1:13" ht="12.75" customHeight="1" x14ac:dyDescent="0.3">
      <c r="A648" s="143" t="s">
        <v>61</v>
      </c>
      <c r="B648" s="139" t="str">
        <f>IFERROR(VLOOKUP($A648, NameDesignation[], 2,FALSE), " ")</f>
        <v>Former Director</v>
      </c>
      <c r="C648" s="139" t="s">
        <v>29</v>
      </c>
      <c r="D648" s="139">
        <v>464</v>
      </c>
      <c r="E648" s="140">
        <v>44493</v>
      </c>
      <c r="F648" s="139" t="str">
        <f t="shared" si="30"/>
        <v>Q4-21</v>
      </c>
      <c r="G648" s="140" t="str">
        <f t="shared" si="31"/>
        <v>Oct'21</v>
      </c>
      <c r="H648" s="140" t="str">
        <f>TEXT(RawData[[#This Row],[Date]], "YYYY")</f>
        <v>2021</v>
      </c>
      <c r="I648" s="141" t="s">
        <v>32</v>
      </c>
      <c r="J648" s="141" t="s">
        <v>91</v>
      </c>
      <c r="K648" s="139">
        <f t="shared" si="32"/>
        <v>0</v>
      </c>
      <c r="L648" s="142">
        <f>IF(RawData[[#This Row],[Paid/Unpaid]]="Paid", IF(VALUE($E648)&gt;VALUE($D$3),$K648* 10000,$K648* 8000), 0)</f>
        <v>0</v>
      </c>
      <c r="M648" s="53" t="s">
        <v>146</v>
      </c>
    </row>
    <row r="649" spans="1:13" ht="12.75" customHeight="1" x14ac:dyDescent="0.3">
      <c r="A649" s="143" t="s">
        <v>23</v>
      </c>
      <c r="B649" s="139" t="str">
        <f>IFERROR(VLOOKUP($A649, NameDesignation[], 2,FALSE), " ")</f>
        <v>Former Director</v>
      </c>
      <c r="C649" s="139" t="s">
        <v>29</v>
      </c>
      <c r="D649" s="139">
        <v>464</v>
      </c>
      <c r="E649" s="140">
        <v>44493</v>
      </c>
      <c r="F649" s="139" t="str">
        <f t="shared" si="30"/>
        <v>Q4-21</v>
      </c>
      <c r="G649" s="140" t="str">
        <f t="shared" si="31"/>
        <v>Oct'21</v>
      </c>
      <c r="H649" s="140" t="str">
        <f>TEXT(RawData[[#This Row],[Date]], "YYYY")</f>
        <v>2021</v>
      </c>
      <c r="I649" s="141" t="s">
        <v>32</v>
      </c>
      <c r="J649" s="141" t="s">
        <v>90</v>
      </c>
      <c r="K649" s="139">
        <f t="shared" si="32"/>
        <v>1</v>
      </c>
      <c r="L649" s="142">
        <f>IF(RawData[[#This Row],[Paid/Unpaid]]="Paid", IF(VALUE($E649)&gt;VALUE($D$3),$K649* 10000,$K649* 8000), 0)</f>
        <v>8000</v>
      </c>
      <c r="M649" s="53" t="s">
        <v>146</v>
      </c>
    </row>
    <row r="650" spans="1:13" ht="12.75" customHeight="1" x14ac:dyDescent="0.3">
      <c r="A650" s="143" t="s">
        <v>24</v>
      </c>
      <c r="B650" s="139" t="str">
        <f>IFERROR(VLOOKUP($A650, NameDesignation[], 2,FALSE), " ")</f>
        <v>Former Director</v>
      </c>
      <c r="C650" s="139" t="s">
        <v>29</v>
      </c>
      <c r="D650" s="139">
        <v>464</v>
      </c>
      <c r="E650" s="140">
        <v>44493</v>
      </c>
      <c r="F650" s="139" t="str">
        <f t="shared" si="30"/>
        <v>Q4-21</v>
      </c>
      <c r="G650" s="140" t="str">
        <f t="shared" si="31"/>
        <v>Oct'21</v>
      </c>
      <c r="H650" s="140" t="str">
        <f>TEXT(RawData[[#This Row],[Date]], "YYYY")</f>
        <v>2021</v>
      </c>
      <c r="I650" s="141" t="s">
        <v>32</v>
      </c>
      <c r="J650" s="141" t="s">
        <v>90</v>
      </c>
      <c r="K650" s="139">
        <f t="shared" si="32"/>
        <v>1</v>
      </c>
      <c r="L650" s="142">
        <f>IF(RawData[[#This Row],[Paid/Unpaid]]="Paid", IF(VALUE($E650)&gt;VALUE($D$3),$K650* 10000,$K650* 8000), 0)</f>
        <v>8000</v>
      </c>
      <c r="M650" s="53" t="s">
        <v>146</v>
      </c>
    </row>
    <row r="651" spans="1:13" ht="12.75" customHeight="1" x14ac:dyDescent="0.3">
      <c r="A651" s="143" t="s">
        <v>15</v>
      </c>
      <c r="B651" s="139" t="str">
        <f>IFERROR(VLOOKUP($A651, NameDesignation[], 2,FALSE), " ")</f>
        <v>Former Director</v>
      </c>
      <c r="C651" s="139" t="s">
        <v>29</v>
      </c>
      <c r="D651" s="139">
        <v>464</v>
      </c>
      <c r="E651" s="140">
        <v>44493</v>
      </c>
      <c r="F651" s="139" t="str">
        <f t="shared" si="30"/>
        <v>Q4-21</v>
      </c>
      <c r="G651" s="140" t="str">
        <f t="shared" si="31"/>
        <v>Oct'21</v>
      </c>
      <c r="H651" s="140" t="str">
        <f>TEXT(RawData[[#This Row],[Date]], "YYYY")</f>
        <v>2021</v>
      </c>
      <c r="I651" s="141" t="s">
        <v>32</v>
      </c>
      <c r="J651" s="141" t="s">
        <v>90</v>
      </c>
      <c r="K651" s="139">
        <f t="shared" si="32"/>
        <v>1</v>
      </c>
      <c r="L651" s="142">
        <f>IF(RawData[[#This Row],[Paid/Unpaid]]="Paid", IF(VALUE($E651)&gt;VALUE($D$3),$K651* 10000,$K651* 8000), 0)</f>
        <v>8000</v>
      </c>
      <c r="M651" s="53" t="s">
        <v>146</v>
      </c>
    </row>
    <row r="652" spans="1:13" ht="12.75" customHeight="1" x14ac:dyDescent="0.3">
      <c r="A652" s="143" t="s">
        <v>21</v>
      </c>
      <c r="B652" s="139" t="str">
        <f>IFERROR(VLOOKUP($A652, NameDesignation[], 2,FALSE), " ")</f>
        <v>Former Independent Director</v>
      </c>
      <c r="C652" s="139" t="s">
        <v>29</v>
      </c>
      <c r="D652" s="139">
        <v>464</v>
      </c>
      <c r="E652" s="140">
        <v>44493</v>
      </c>
      <c r="F652" s="139" t="str">
        <f t="shared" si="30"/>
        <v>Q4-21</v>
      </c>
      <c r="G652" s="140" t="str">
        <f t="shared" si="31"/>
        <v>Oct'21</v>
      </c>
      <c r="H652" s="140" t="str">
        <f>TEXT(RawData[[#This Row],[Date]], "YYYY")</f>
        <v>2021</v>
      </c>
      <c r="I652" s="141" t="s">
        <v>32</v>
      </c>
      <c r="J652" s="141" t="s">
        <v>90</v>
      </c>
      <c r="K652" s="139">
        <f t="shared" si="32"/>
        <v>1</v>
      </c>
      <c r="L652" s="142">
        <f>IF(RawData[[#This Row],[Paid/Unpaid]]="Paid", IF(VALUE($E652)&gt;VALUE($D$3),$K652* 10000,$K652* 8000), 0)</f>
        <v>8000</v>
      </c>
      <c r="M652" s="53" t="s">
        <v>146</v>
      </c>
    </row>
    <row r="653" spans="1:13" ht="12.75" customHeight="1" x14ac:dyDescent="0.3">
      <c r="A653" s="143" t="s">
        <v>25</v>
      </c>
      <c r="B653" s="139" t="str">
        <f>IFERROR(VLOOKUP($A653, NameDesignation[], 2,FALSE), " ")</f>
        <v>Former Director</v>
      </c>
      <c r="C653" s="139" t="s">
        <v>29</v>
      </c>
      <c r="D653" s="139">
        <v>464</v>
      </c>
      <c r="E653" s="140">
        <v>44493</v>
      </c>
      <c r="F653" s="139" t="str">
        <f t="shared" si="30"/>
        <v>Q4-21</v>
      </c>
      <c r="G653" s="140" t="str">
        <f t="shared" si="31"/>
        <v>Oct'21</v>
      </c>
      <c r="H653" s="140" t="str">
        <f>TEXT(RawData[[#This Row],[Date]], "YYYY")</f>
        <v>2021</v>
      </c>
      <c r="I653" s="141" t="s">
        <v>32</v>
      </c>
      <c r="J653" s="141" t="s">
        <v>90</v>
      </c>
      <c r="K653" s="139">
        <f t="shared" si="32"/>
        <v>1</v>
      </c>
      <c r="L653" s="142">
        <f>IF(RawData[[#This Row],[Paid/Unpaid]]="Paid", IF(VALUE($E653)&gt;VALUE($D$3),$K653* 10000,$K653* 8000), 0)</f>
        <v>8000</v>
      </c>
      <c r="M653" s="53" t="s">
        <v>146</v>
      </c>
    </row>
    <row r="654" spans="1:13" ht="12.75" customHeight="1" x14ac:dyDescent="0.3">
      <c r="A654" s="143" t="s">
        <v>50</v>
      </c>
      <c r="B654" s="139" t="str">
        <f>IFERROR(VLOOKUP($A654, NameDesignation[], 2,FALSE), " ")</f>
        <v>Former Director</v>
      </c>
      <c r="C654" s="139" t="s">
        <v>29</v>
      </c>
      <c r="D654" s="139">
        <v>464</v>
      </c>
      <c r="E654" s="140">
        <v>44493</v>
      </c>
      <c r="F654" s="139" t="str">
        <f t="shared" si="30"/>
        <v>Q4-21</v>
      </c>
      <c r="G654" s="140" t="str">
        <f t="shared" si="31"/>
        <v>Oct'21</v>
      </c>
      <c r="H654" s="140" t="str">
        <f>TEXT(RawData[[#This Row],[Date]], "YYYY")</f>
        <v>2021</v>
      </c>
      <c r="I654" s="141" t="s">
        <v>32</v>
      </c>
      <c r="J654" s="141" t="s">
        <v>90</v>
      </c>
      <c r="K654" s="139">
        <f t="shared" si="32"/>
        <v>1</v>
      </c>
      <c r="L654" s="142">
        <f>IF(RawData[[#This Row],[Paid/Unpaid]]="Paid", IF(VALUE($E654)&gt;VALUE($D$3),$K654* 10000,$K654* 8000), 0)</f>
        <v>8000</v>
      </c>
      <c r="M654" s="53" t="s">
        <v>146</v>
      </c>
    </row>
    <row r="655" spans="1:13" ht="12.75" customHeight="1" x14ac:dyDescent="0.3">
      <c r="A655" s="143" t="s">
        <v>51</v>
      </c>
      <c r="B655" s="139" t="str">
        <f>IFERROR(VLOOKUP($A655, NameDesignation[], 2,FALSE), " ")</f>
        <v>Former Director</v>
      </c>
      <c r="C655" s="139" t="s">
        <v>29</v>
      </c>
      <c r="D655" s="139">
        <v>464</v>
      </c>
      <c r="E655" s="140">
        <v>44493</v>
      </c>
      <c r="F655" s="139" t="str">
        <f t="shared" si="30"/>
        <v>Q4-21</v>
      </c>
      <c r="G655" s="140" t="str">
        <f t="shared" si="31"/>
        <v>Oct'21</v>
      </c>
      <c r="H655" s="140" t="str">
        <f>TEXT(RawData[[#This Row],[Date]], "YYYY")</f>
        <v>2021</v>
      </c>
      <c r="I655" s="141" t="s">
        <v>32</v>
      </c>
      <c r="J655" s="141" t="s">
        <v>90</v>
      </c>
      <c r="K655" s="139">
        <f t="shared" si="32"/>
        <v>1</v>
      </c>
      <c r="L655" s="142">
        <f>IF(RawData[[#This Row],[Paid/Unpaid]]="Paid", IF(VALUE($E655)&gt;VALUE($D$3),$K655* 10000,$K655* 8000), 0)</f>
        <v>8000</v>
      </c>
      <c r="M655" s="53" t="s">
        <v>146</v>
      </c>
    </row>
    <row r="656" spans="1:13" ht="12.75" customHeight="1" x14ac:dyDescent="0.3">
      <c r="A656" s="143" t="s">
        <v>27</v>
      </c>
      <c r="B656" s="139" t="str">
        <f>IFERROR(VLOOKUP($A656, NameDesignation[], 2,FALSE), " ")</f>
        <v>Former Director</v>
      </c>
      <c r="C656" s="139" t="s">
        <v>29</v>
      </c>
      <c r="D656" s="139">
        <v>464</v>
      </c>
      <c r="E656" s="140">
        <v>44493</v>
      </c>
      <c r="F656" s="139" t="str">
        <f t="shared" si="30"/>
        <v>Q4-21</v>
      </c>
      <c r="G656" s="140" t="str">
        <f t="shared" si="31"/>
        <v>Oct'21</v>
      </c>
      <c r="H656" s="140" t="str">
        <f>TEXT(RawData[[#This Row],[Date]], "YYYY")</f>
        <v>2021</v>
      </c>
      <c r="I656" s="141" t="s">
        <v>32</v>
      </c>
      <c r="J656" s="141" t="s">
        <v>90</v>
      </c>
      <c r="K656" s="139">
        <f t="shared" si="32"/>
        <v>1</v>
      </c>
      <c r="L656" s="142">
        <f>IF(RawData[[#This Row],[Paid/Unpaid]]="Paid", IF(VALUE($E656)&gt;VALUE($D$3),$K656* 10000,$K656* 8000), 0)</f>
        <v>8000</v>
      </c>
      <c r="M656" s="53" t="s">
        <v>146</v>
      </c>
    </row>
    <row r="657" spans="1:13" ht="12.75" customHeight="1" x14ac:dyDescent="0.3">
      <c r="A657" s="143" t="s">
        <v>18</v>
      </c>
      <c r="B657" s="139" t="str">
        <f>IFERROR(VLOOKUP($A657, NameDesignation[], 2,FALSE), " ")</f>
        <v>Former Independent Director</v>
      </c>
      <c r="C657" s="139" t="s">
        <v>29</v>
      </c>
      <c r="D657" s="139">
        <v>464</v>
      </c>
      <c r="E657" s="140">
        <v>44493</v>
      </c>
      <c r="F657" s="139" t="str">
        <f t="shared" si="30"/>
        <v>Q4-21</v>
      </c>
      <c r="G657" s="140" t="str">
        <f t="shared" si="31"/>
        <v>Oct'21</v>
      </c>
      <c r="H657" s="140" t="str">
        <f>TEXT(RawData[[#This Row],[Date]], "YYYY")</f>
        <v>2021</v>
      </c>
      <c r="I657" s="141" t="s">
        <v>32</v>
      </c>
      <c r="J657" s="141" t="s">
        <v>91</v>
      </c>
      <c r="K657" s="139">
        <f t="shared" si="32"/>
        <v>0</v>
      </c>
      <c r="L657" s="142">
        <f>IF(RawData[[#This Row],[Paid/Unpaid]]="Paid", IF(VALUE($E657)&gt;VALUE($D$3),$K657* 10000,$K657* 8000), 0)</f>
        <v>0</v>
      </c>
      <c r="M657" s="53" t="s">
        <v>146</v>
      </c>
    </row>
    <row r="658" spans="1:13" ht="12.75" customHeight="1" x14ac:dyDescent="0.3">
      <c r="A658" s="143" t="s">
        <v>35</v>
      </c>
      <c r="B658" s="139" t="str">
        <f>IFERROR(VLOOKUP($A658, NameDesignation[], 2,FALSE), " ")</f>
        <v>Former Managing Director &amp; CEO</v>
      </c>
      <c r="C658" s="139" t="s">
        <v>29</v>
      </c>
      <c r="D658" s="139">
        <v>464</v>
      </c>
      <c r="E658" s="140">
        <v>44493</v>
      </c>
      <c r="F658" s="139" t="str">
        <f t="shared" si="30"/>
        <v>Q4-21</v>
      </c>
      <c r="G658" s="140" t="str">
        <f t="shared" si="31"/>
        <v>Oct'21</v>
      </c>
      <c r="H658" s="140" t="str">
        <f>TEXT(RawData[[#This Row],[Date]], "YYYY")</f>
        <v>2021</v>
      </c>
      <c r="I658" s="141" t="s">
        <v>32</v>
      </c>
      <c r="J658" s="141" t="s">
        <v>90</v>
      </c>
      <c r="K658" s="139">
        <f t="shared" si="32"/>
        <v>1</v>
      </c>
      <c r="L658" s="142">
        <f>IF(RawData[[#This Row],[Paid/Unpaid]]="Paid", IF(VALUE($E658)&gt;VALUE($D$3),$K658* 10000,$K658* 8000), 0)</f>
        <v>8000</v>
      </c>
      <c r="M658" s="53" t="s">
        <v>146</v>
      </c>
    </row>
    <row r="659" spans="1:13" ht="12.75" customHeight="1" x14ac:dyDescent="0.3">
      <c r="A659" s="143" t="s">
        <v>23</v>
      </c>
      <c r="B659" s="139" t="str">
        <f>IFERROR(VLOOKUP($A659, NameDesignation[], 2,FALSE), " ")</f>
        <v>Former Director</v>
      </c>
      <c r="C659" s="139" t="s">
        <v>37</v>
      </c>
      <c r="D659" s="139">
        <v>119</v>
      </c>
      <c r="E659" s="140">
        <v>44493</v>
      </c>
      <c r="F659" s="139" t="str">
        <f t="shared" si="30"/>
        <v>Q4-21</v>
      </c>
      <c r="G659" s="140" t="str">
        <f t="shared" si="31"/>
        <v>Oct'21</v>
      </c>
      <c r="H659" s="140" t="str">
        <f>TEXT(RawData[[#This Row],[Date]], "YYYY")</f>
        <v>2021</v>
      </c>
      <c r="I659" s="141" t="s">
        <v>32</v>
      </c>
      <c r="J659" s="141" t="s">
        <v>90</v>
      </c>
      <c r="K659" s="139">
        <f t="shared" si="32"/>
        <v>1</v>
      </c>
      <c r="L659" s="142">
        <f>IF(RawData[[#This Row],[Paid/Unpaid]]="Paid", IF(VALUE($E659)&gt;VALUE($D$3),$K659* 10000,$K659* 8000), 0)</f>
        <v>8000</v>
      </c>
      <c r="M659" s="53" t="s">
        <v>146</v>
      </c>
    </row>
    <row r="660" spans="1:13" ht="12.75" customHeight="1" x14ac:dyDescent="0.3">
      <c r="A660" s="143" t="s">
        <v>24</v>
      </c>
      <c r="B660" s="139" t="str">
        <f>IFERROR(VLOOKUP($A660, NameDesignation[], 2,FALSE), " ")</f>
        <v>Former Director</v>
      </c>
      <c r="C660" s="139" t="s">
        <v>37</v>
      </c>
      <c r="D660" s="139">
        <v>119</v>
      </c>
      <c r="E660" s="140">
        <v>44493</v>
      </c>
      <c r="F660" s="139" t="str">
        <f t="shared" si="30"/>
        <v>Q4-21</v>
      </c>
      <c r="G660" s="140" t="str">
        <f t="shared" si="31"/>
        <v>Oct'21</v>
      </c>
      <c r="H660" s="140" t="str">
        <f>TEXT(RawData[[#This Row],[Date]], "YYYY")</f>
        <v>2021</v>
      </c>
      <c r="I660" s="141" t="s">
        <v>32</v>
      </c>
      <c r="J660" s="141" t="s">
        <v>90</v>
      </c>
      <c r="K660" s="139">
        <f t="shared" si="32"/>
        <v>1</v>
      </c>
      <c r="L660" s="142">
        <f>IF(RawData[[#This Row],[Paid/Unpaid]]="Paid", IF(VALUE($E660)&gt;VALUE($D$3),$K660* 10000,$K660* 8000), 0)</f>
        <v>8000</v>
      </c>
      <c r="M660" s="53" t="s">
        <v>146</v>
      </c>
    </row>
    <row r="661" spans="1:13" ht="12.75" customHeight="1" x14ac:dyDescent="0.3">
      <c r="A661" s="143" t="s">
        <v>21</v>
      </c>
      <c r="B661" s="139" t="str">
        <f>IFERROR(VLOOKUP($A661, NameDesignation[], 2,FALSE), " ")</f>
        <v>Former Independent Director</v>
      </c>
      <c r="C661" s="139" t="s">
        <v>37</v>
      </c>
      <c r="D661" s="139">
        <v>119</v>
      </c>
      <c r="E661" s="140">
        <v>44493</v>
      </c>
      <c r="F661" s="139" t="str">
        <f t="shared" si="30"/>
        <v>Q4-21</v>
      </c>
      <c r="G661" s="140" t="str">
        <f t="shared" si="31"/>
        <v>Oct'21</v>
      </c>
      <c r="H661" s="140" t="str">
        <f>TEXT(RawData[[#This Row],[Date]], "YYYY")</f>
        <v>2021</v>
      </c>
      <c r="I661" s="141" t="s">
        <v>32</v>
      </c>
      <c r="J661" s="141" t="s">
        <v>90</v>
      </c>
      <c r="K661" s="139">
        <f t="shared" si="32"/>
        <v>1</v>
      </c>
      <c r="L661" s="142">
        <f>IF(RawData[[#This Row],[Paid/Unpaid]]="Paid", IF(VALUE($E661)&gt;VALUE($D$3),$K661* 10000,$K661* 8000), 0)</f>
        <v>8000</v>
      </c>
      <c r="M661" s="53" t="s">
        <v>146</v>
      </c>
    </row>
    <row r="662" spans="1:13" ht="12.75" customHeight="1" x14ac:dyDescent="0.3">
      <c r="A662" s="143" t="s">
        <v>18</v>
      </c>
      <c r="B662" s="139" t="str">
        <f>IFERROR(VLOOKUP($A662, NameDesignation[], 2,FALSE), " ")</f>
        <v>Former Independent Director</v>
      </c>
      <c r="C662" s="139" t="s">
        <v>37</v>
      </c>
      <c r="D662" s="139">
        <v>119</v>
      </c>
      <c r="E662" s="140">
        <v>44493</v>
      </c>
      <c r="F662" s="139" t="str">
        <f t="shared" si="30"/>
        <v>Q4-21</v>
      </c>
      <c r="G662" s="140" t="str">
        <f t="shared" si="31"/>
        <v>Oct'21</v>
      </c>
      <c r="H662" s="140" t="str">
        <f>TEXT(RawData[[#This Row],[Date]], "YYYY")</f>
        <v>2021</v>
      </c>
      <c r="I662" s="141" t="s">
        <v>32</v>
      </c>
      <c r="J662" s="141" t="s">
        <v>90</v>
      </c>
      <c r="K662" s="139">
        <f t="shared" si="32"/>
        <v>1</v>
      </c>
      <c r="L662" s="142">
        <f>IF(RawData[[#This Row],[Paid/Unpaid]]="Paid", IF(VALUE($E662)&gt;VALUE($D$3),$K662* 10000,$K662* 8000), 0)</f>
        <v>8000</v>
      </c>
      <c r="M662" s="53" t="s">
        <v>146</v>
      </c>
    </row>
    <row r="663" spans="1:13" ht="12.75" customHeight="1" x14ac:dyDescent="0.3">
      <c r="A663" s="143" t="s">
        <v>27</v>
      </c>
      <c r="B663" s="139" t="str">
        <f>IFERROR(VLOOKUP($A663, NameDesignation[], 2,FALSE), " ")</f>
        <v>Former Director</v>
      </c>
      <c r="C663" s="139" t="s">
        <v>37</v>
      </c>
      <c r="D663" s="139">
        <v>119</v>
      </c>
      <c r="E663" s="140">
        <v>44493</v>
      </c>
      <c r="F663" s="139" t="str">
        <f t="shared" si="30"/>
        <v>Q4-21</v>
      </c>
      <c r="G663" s="140" t="str">
        <f t="shared" si="31"/>
        <v>Oct'21</v>
      </c>
      <c r="H663" s="140" t="str">
        <f>TEXT(RawData[[#This Row],[Date]], "YYYY")</f>
        <v>2021</v>
      </c>
      <c r="I663" s="141" t="s">
        <v>32</v>
      </c>
      <c r="J663" s="141" t="s">
        <v>91</v>
      </c>
      <c r="K663" s="139">
        <f t="shared" si="32"/>
        <v>0</v>
      </c>
      <c r="L663" s="142">
        <f>IF(RawData[[#This Row],[Paid/Unpaid]]="Paid", IF(VALUE($E663)&gt;VALUE($D$3),$K663* 10000,$K663* 8000), 0)</f>
        <v>0</v>
      </c>
      <c r="M663" s="53" t="s">
        <v>146</v>
      </c>
    </row>
    <row r="664" spans="1:13" ht="12.75" customHeight="1" x14ac:dyDescent="0.3">
      <c r="A664" s="71" t="s">
        <v>9</v>
      </c>
      <c r="B664" s="139" t="str">
        <f>IFERROR(VLOOKUP($A664, NameDesignation[], 2,FALSE), " ")</f>
        <v>Former Director</v>
      </c>
      <c r="C664" s="139" t="s">
        <v>30</v>
      </c>
      <c r="D664" s="139">
        <v>446</v>
      </c>
      <c r="E664" s="140">
        <v>44494</v>
      </c>
      <c r="F664" s="139" t="str">
        <f t="shared" si="30"/>
        <v>Q4-21</v>
      </c>
      <c r="G664" s="140" t="str">
        <f t="shared" si="31"/>
        <v>Oct'21</v>
      </c>
      <c r="H664" s="140" t="str">
        <f>TEXT(RawData[[#This Row],[Date]], "YYYY")</f>
        <v>2021</v>
      </c>
      <c r="I664" s="141" t="s">
        <v>32</v>
      </c>
      <c r="J664" s="141" t="s">
        <v>90</v>
      </c>
      <c r="K664" s="139">
        <f t="shared" si="32"/>
        <v>1</v>
      </c>
      <c r="L664" s="142">
        <f>IF(RawData[[#This Row],[Paid/Unpaid]]="Paid", IF(VALUE($E664)&gt;VALUE($D$3),$K664* 10000,$K664* 8000), 0)</f>
        <v>8000</v>
      </c>
      <c r="M664" s="53" t="s">
        <v>146</v>
      </c>
    </row>
    <row r="665" spans="1:13" ht="12.75" customHeight="1" x14ac:dyDescent="0.3">
      <c r="A665" s="71" t="s">
        <v>8</v>
      </c>
      <c r="B665" s="139" t="str">
        <f>IFERROR(VLOOKUP($A665, NameDesignation[], 2,FALSE), " ")</f>
        <v>Former Vice-Chairman</v>
      </c>
      <c r="C665" s="139" t="s">
        <v>30</v>
      </c>
      <c r="D665" s="139">
        <v>446</v>
      </c>
      <c r="E665" s="140">
        <v>44494</v>
      </c>
      <c r="F665" s="139" t="str">
        <f t="shared" si="30"/>
        <v>Q4-21</v>
      </c>
      <c r="G665" s="140" t="str">
        <f t="shared" si="31"/>
        <v>Oct'21</v>
      </c>
      <c r="H665" s="140" t="str">
        <f>TEXT(RawData[[#This Row],[Date]], "YYYY")</f>
        <v>2021</v>
      </c>
      <c r="I665" s="141" t="s">
        <v>32</v>
      </c>
      <c r="J665" s="141" t="s">
        <v>90</v>
      </c>
      <c r="K665" s="139">
        <f t="shared" si="32"/>
        <v>1</v>
      </c>
      <c r="L665" s="142">
        <f>IF(RawData[[#This Row],[Paid/Unpaid]]="Paid", IF(VALUE($E665)&gt;VALUE($D$3),$K665* 10000,$K665* 8000), 0)</f>
        <v>8000</v>
      </c>
      <c r="M665" s="53" t="s">
        <v>146</v>
      </c>
    </row>
    <row r="666" spans="1:13" ht="12.75" customHeight="1" x14ac:dyDescent="0.3">
      <c r="A666" s="71" t="s">
        <v>49</v>
      </c>
      <c r="B666" s="139" t="str">
        <f>IFERROR(VLOOKUP($A666, NameDesignation[], 2,FALSE), " ")</f>
        <v>Former Director</v>
      </c>
      <c r="C666" s="139" t="s">
        <v>30</v>
      </c>
      <c r="D666" s="139">
        <v>446</v>
      </c>
      <c r="E666" s="140">
        <v>44494</v>
      </c>
      <c r="F666" s="139" t="str">
        <f t="shared" si="30"/>
        <v>Q4-21</v>
      </c>
      <c r="G666" s="140" t="str">
        <f t="shared" si="31"/>
        <v>Oct'21</v>
      </c>
      <c r="H666" s="140" t="str">
        <f>TEXT(RawData[[#This Row],[Date]], "YYYY")</f>
        <v>2021</v>
      </c>
      <c r="I666" s="141" t="s">
        <v>32</v>
      </c>
      <c r="J666" s="141" t="s">
        <v>90</v>
      </c>
      <c r="K666" s="139">
        <f t="shared" si="32"/>
        <v>1</v>
      </c>
      <c r="L666" s="142">
        <f>IF(RawData[[#This Row],[Paid/Unpaid]]="Paid", IF(VALUE($E666)&gt;VALUE($D$3),$K666* 10000,$K666* 8000), 0)</f>
        <v>8000</v>
      </c>
      <c r="M666" s="53" t="s">
        <v>146</v>
      </c>
    </row>
    <row r="667" spans="1:13" ht="12.75" customHeight="1" x14ac:dyDescent="0.3">
      <c r="A667" s="71" t="s">
        <v>11</v>
      </c>
      <c r="B667" s="139" t="str">
        <f>IFERROR(VLOOKUP($A667, NameDesignation[], 2,FALSE), " ")</f>
        <v>Former Director</v>
      </c>
      <c r="C667" s="139" t="s">
        <v>30</v>
      </c>
      <c r="D667" s="139">
        <v>446</v>
      </c>
      <c r="E667" s="140">
        <v>44494</v>
      </c>
      <c r="F667" s="139" t="str">
        <f t="shared" si="30"/>
        <v>Q4-21</v>
      </c>
      <c r="G667" s="140" t="str">
        <f t="shared" si="31"/>
        <v>Oct'21</v>
      </c>
      <c r="H667" s="140" t="str">
        <f>TEXT(RawData[[#This Row],[Date]], "YYYY")</f>
        <v>2021</v>
      </c>
      <c r="I667" s="141" t="s">
        <v>32</v>
      </c>
      <c r="J667" s="141" t="s">
        <v>90</v>
      </c>
      <c r="K667" s="139">
        <f t="shared" si="32"/>
        <v>1</v>
      </c>
      <c r="L667" s="142">
        <f>IF(RawData[[#This Row],[Paid/Unpaid]]="Paid", IF(VALUE($E667)&gt;VALUE($D$3),$K667* 10000,$K667* 8000), 0)</f>
        <v>8000</v>
      </c>
      <c r="M667" s="53" t="s">
        <v>146</v>
      </c>
    </row>
    <row r="668" spans="1:13" ht="12.75" customHeight="1" x14ac:dyDescent="0.3">
      <c r="A668" s="71" t="s">
        <v>13</v>
      </c>
      <c r="B668" s="139" t="str">
        <f>IFERROR(VLOOKUP($A668, NameDesignation[], 2,FALSE), " ")</f>
        <v>Former Director</v>
      </c>
      <c r="C668" s="139" t="s">
        <v>30</v>
      </c>
      <c r="D668" s="139">
        <v>446</v>
      </c>
      <c r="E668" s="140">
        <v>44494</v>
      </c>
      <c r="F668" s="139" t="str">
        <f t="shared" si="30"/>
        <v>Q4-21</v>
      </c>
      <c r="G668" s="140" t="str">
        <f t="shared" si="31"/>
        <v>Oct'21</v>
      </c>
      <c r="H668" s="140" t="str">
        <f>TEXT(RawData[[#This Row],[Date]], "YYYY")</f>
        <v>2021</v>
      </c>
      <c r="I668" s="141" t="s">
        <v>32</v>
      </c>
      <c r="J668" s="141" t="s">
        <v>90</v>
      </c>
      <c r="K668" s="139">
        <f t="shared" si="32"/>
        <v>1</v>
      </c>
      <c r="L668" s="142">
        <f>IF(RawData[[#This Row],[Paid/Unpaid]]="Paid", IF(VALUE($E668)&gt;VALUE($D$3),$K668* 10000,$K668* 8000), 0)</f>
        <v>8000</v>
      </c>
      <c r="M668" s="53" t="s">
        <v>146</v>
      </c>
    </row>
    <row r="669" spans="1:13" ht="12.75" customHeight="1" x14ac:dyDescent="0.3">
      <c r="A669" s="71" t="s">
        <v>12</v>
      </c>
      <c r="B669" s="139" t="str">
        <f>IFERROR(VLOOKUP($A669, NameDesignation[], 2,FALSE), " ")</f>
        <v>Former Director</v>
      </c>
      <c r="C669" s="139" t="s">
        <v>30</v>
      </c>
      <c r="D669" s="139">
        <v>446</v>
      </c>
      <c r="E669" s="140">
        <v>44494</v>
      </c>
      <c r="F669" s="139" t="str">
        <f t="shared" si="30"/>
        <v>Q4-21</v>
      </c>
      <c r="G669" s="140" t="str">
        <f t="shared" si="31"/>
        <v>Oct'21</v>
      </c>
      <c r="H669" s="140" t="str">
        <f>TEXT(RawData[[#This Row],[Date]], "YYYY")</f>
        <v>2021</v>
      </c>
      <c r="I669" s="141" t="s">
        <v>32</v>
      </c>
      <c r="J669" s="141" t="s">
        <v>90</v>
      </c>
      <c r="K669" s="139">
        <f t="shared" si="32"/>
        <v>1</v>
      </c>
      <c r="L669" s="142">
        <f>IF(RawData[[#This Row],[Paid/Unpaid]]="Paid", IF(VALUE($E669)&gt;VALUE($D$3),$K669* 10000,$K669* 8000), 0)</f>
        <v>8000</v>
      </c>
      <c r="M669" s="53" t="s">
        <v>146</v>
      </c>
    </row>
    <row r="670" spans="1:13" ht="12.75" customHeight="1" x14ac:dyDescent="0.3">
      <c r="A670" s="71" t="s">
        <v>25</v>
      </c>
      <c r="B670" s="139" t="str">
        <f>IFERROR(VLOOKUP($A670, NameDesignation[], 2,FALSE), " ")</f>
        <v>Former Director</v>
      </c>
      <c r="C670" s="139" t="s">
        <v>30</v>
      </c>
      <c r="D670" s="139">
        <v>446</v>
      </c>
      <c r="E670" s="140">
        <v>44494</v>
      </c>
      <c r="F670" s="139" t="str">
        <f t="shared" si="30"/>
        <v>Q4-21</v>
      </c>
      <c r="G670" s="140" t="str">
        <f t="shared" si="31"/>
        <v>Oct'21</v>
      </c>
      <c r="H670" s="140" t="str">
        <f>TEXT(RawData[[#This Row],[Date]], "YYYY")</f>
        <v>2021</v>
      </c>
      <c r="I670" s="141" t="s">
        <v>32</v>
      </c>
      <c r="J670" s="141" t="s">
        <v>91</v>
      </c>
      <c r="K670" s="139">
        <f t="shared" si="32"/>
        <v>0</v>
      </c>
      <c r="L670" s="142">
        <f>IF(RawData[[#This Row],[Paid/Unpaid]]="Paid", IF(VALUE($E670)&gt;VALUE($D$3),$K670* 10000,$K670* 8000), 0)</f>
        <v>0</v>
      </c>
      <c r="M670" s="53" t="s">
        <v>146</v>
      </c>
    </row>
    <row r="671" spans="1:13" ht="12.75" customHeight="1" x14ac:dyDescent="0.3">
      <c r="A671" s="143" t="s">
        <v>49</v>
      </c>
      <c r="B671" s="139" t="str">
        <f>IFERROR(VLOOKUP($A671, NameDesignation[], 2,FALSE), " ")</f>
        <v>Former Director</v>
      </c>
      <c r="C671" s="139" t="s">
        <v>38</v>
      </c>
      <c r="D671" s="139">
        <v>32</v>
      </c>
      <c r="E671" s="140">
        <v>44494</v>
      </c>
      <c r="F671" s="139" t="str">
        <f t="shared" si="30"/>
        <v>Q4-21</v>
      </c>
      <c r="G671" s="140" t="str">
        <f t="shared" si="31"/>
        <v>Oct'21</v>
      </c>
      <c r="H671" s="140" t="str">
        <f>TEXT(RawData[[#This Row],[Date]], "YYYY")</f>
        <v>2021</v>
      </c>
      <c r="I671" s="141" t="s">
        <v>32</v>
      </c>
      <c r="J671" s="141" t="s">
        <v>90</v>
      </c>
      <c r="K671" s="139">
        <f t="shared" si="32"/>
        <v>1</v>
      </c>
      <c r="L671" s="142">
        <f>IF(RawData[[#This Row],[Paid/Unpaid]]="Paid", IF(VALUE($E671)&gt;VALUE($D$3),$K671* 10000,$K671* 8000), 0)</f>
        <v>8000</v>
      </c>
      <c r="M671" s="53" t="s">
        <v>146</v>
      </c>
    </row>
    <row r="672" spans="1:13" ht="12.75" customHeight="1" x14ac:dyDescent="0.3">
      <c r="A672" s="143" t="s">
        <v>9</v>
      </c>
      <c r="B672" s="139" t="str">
        <f>IFERROR(VLOOKUP($A672, NameDesignation[], 2,FALSE), " ")</f>
        <v>Former Director</v>
      </c>
      <c r="C672" s="139" t="s">
        <v>38</v>
      </c>
      <c r="D672" s="139">
        <v>32</v>
      </c>
      <c r="E672" s="140">
        <v>44494</v>
      </c>
      <c r="F672" s="139" t="str">
        <f t="shared" si="30"/>
        <v>Q4-21</v>
      </c>
      <c r="G672" s="140" t="str">
        <f t="shared" si="31"/>
        <v>Oct'21</v>
      </c>
      <c r="H672" s="140" t="str">
        <f>TEXT(RawData[[#This Row],[Date]], "YYYY")</f>
        <v>2021</v>
      </c>
      <c r="I672" s="141" t="s">
        <v>32</v>
      </c>
      <c r="J672" s="141" t="s">
        <v>90</v>
      </c>
      <c r="K672" s="139">
        <f t="shared" si="32"/>
        <v>1</v>
      </c>
      <c r="L672" s="142">
        <f>IF(RawData[[#This Row],[Paid/Unpaid]]="Paid", IF(VALUE($E672)&gt;VALUE($D$3),$K672* 10000,$K672* 8000), 0)</f>
        <v>8000</v>
      </c>
      <c r="M672" s="53" t="s">
        <v>146</v>
      </c>
    </row>
    <row r="673" spans="1:13" ht="12.75" customHeight="1" x14ac:dyDescent="0.3">
      <c r="A673" s="143" t="s">
        <v>61</v>
      </c>
      <c r="B673" s="139" t="str">
        <f>IFERROR(VLOOKUP($A673, NameDesignation[], 2,FALSE), " ")</f>
        <v>Former Director</v>
      </c>
      <c r="C673" s="139" t="s">
        <v>38</v>
      </c>
      <c r="D673" s="139">
        <v>32</v>
      </c>
      <c r="E673" s="140">
        <v>44494</v>
      </c>
      <c r="F673" s="139" t="str">
        <f t="shared" si="30"/>
        <v>Q4-21</v>
      </c>
      <c r="G673" s="140" t="str">
        <f t="shared" si="31"/>
        <v>Oct'21</v>
      </c>
      <c r="H673" s="140" t="str">
        <f>TEXT(RawData[[#This Row],[Date]], "YYYY")</f>
        <v>2021</v>
      </c>
      <c r="I673" s="141" t="s">
        <v>32</v>
      </c>
      <c r="J673" s="141" t="s">
        <v>91</v>
      </c>
      <c r="K673" s="139">
        <f t="shared" si="32"/>
        <v>0</v>
      </c>
      <c r="L673" s="142">
        <f>IF(RawData[[#This Row],[Paid/Unpaid]]="Paid", IF(VALUE($E673)&gt;VALUE($D$3),$K673* 10000,$K673* 8000), 0)</f>
        <v>0</v>
      </c>
      <c r="M673" s="53" t="s">
        <v>146</v>
      </c>
    </row>
    <row r="674" spans="1:13" ht="12.75" customHeight="1" x14ac:dyDescent="0.3">
      <c r="A674" s="143" t="s">
        <v>15</v>
      </c>
      <c r="B674" s="139" t="str">
        <f>IFERROR(VLOOKUP($A674, NameDesignation[], 2,FALSE), " ")</f>
        <v>Former Director</v>
      </c>
      <c r="C674" s="139" t="s">
        <v>38</v>
      </c>
      <c r="D674" s="139">
        <v>32</v>
      </c>
      <c r="E674" s="140">
        <v>44494</v>
      </c>
      <c r="F674" s="139" t="str">
        <f t="shared" si="30"/>
        <v>Q4-21</v>
      </c>
      <c r="G674" s="140" t="str">
        <f t="shared" si="31"/>
        <v>Oct'21</v>
      </c>
      <c r="H674" s="140" t="str">
        <f>TEXT(RawData[[#This Row],[Date]], "YYYY")</f>
        <v>2021</v>
      </c>
      <c r="I674" s="141" t="s">
        <v>32</v>
      </c>
      <c r="J674" s="141" t="s">
        <v>90</v>
      </c>
      <c r="K674" s="139">
        <f t="shared" si="32"/>
        <v>1</v>
      </c>
      <c r="L674" s="142">
        <f>IF(RawData[[#This Row],[Paid/Unpaid]]="Paid", IF(VALUE($E674)&gt;VALUE($D$3),$K674* 10000,$K674* 8000), 0)</f>
        <v>8000</v>
      </c>
      <c r="M674" s="53" t="s">
        <v>146</v>
      </c>
    </row>
    <row r="675" spans="1:13" ht="12.75" customHeight="1" x14ac:dyDescent="0.3">
      <c r="A675" s="143" t="s">
        <v>137</v>
      </c>
      <c r="B675" s="139" t="str">
        <f>IFERROR(VLOOKUP($A675, NameDesignation[], 2,FALSE), " ")</f>
        <v>Former Director</v>
      </c>
      <c r="C675" s="139" t="s">
        <v>38</v>
      </c>
      <c r="D675" s="139">
        <v>32</v>
      </c>
      <c r="E675" s="140">
        <v>44494</v>
      </c>
      <c r="F675" s="139" t="str">
        <f t="shared" si="30"/>
        <v>Q4-21</v>
      </c>
      <c r="G675" s="140" t="str">
        <f t="shared" si="31"/>
        <v>Oct'21</v>
      </c>
      <c r="H675" s="140" t="str">
        <f>TEXT(RawData[[#This Row],[Date]], "YYYY")</f>
        <v>2021</v>
      </c>
      <c r="I675" s="141" t="s">
        <v>32</v>
      </c>
      <c r="J675" s="141" t="s">
        <v>91</v>
      </c>
      <c r="K675" s="139">
        <f t="shared" si="32"/>
        <v>0</v>
      </c>
      <c r="L675" s="142">
        <f>IF(RawData[[#This Row],[Paid/Unpaid]]="Paid", IF(VALUE($E675)&gt;VALUE($D$3),$K675* 10000,$K675* 8000), 0)</f>
        <v>0</v>
      </c>
      <c r="M675" s="53" t="s">
        <v>146</v>
      </c>
    </row>
    <row r="676" spans="1:13" ht="12.75" customHeight="1" x14ac:dyDescent="0.3">
      <c r="A676" s="71" t="s">
        <v>9</v>
      </c>
      <c r="B676" s="139" t="str">
        <f>IFERROR(VLOOKUP($A676, NameDesignation[], 2,FALSE), " ")</f>
        <v>Former Director</v>
      </c>
      <c r="C676" s="139" t="s">
        <v>30</v>
      </c>
      <c r="D676" s="139">
        <v>447</v>
      </c>
      <c r="E676" s="140">
        <v>44530</v>
      </c>
      <c r="F676" s="139" t="str">
        <f t="shared" si="30"/>
        <v>Q4-21</v>
      </c>
      <c r="G676" s="140" t="str">
        <f t="shared" si="31"/>
        <v>Nov'21</v>
      </c>
      <c r="H676" s="140" t="str">
        <f>TEXT(RawData[[#This Row],[Date]], "YYYY")</f>
        <v>2021</v>
      </c>
      <c r="I676" s="141" t="s">
        <v>32</v>
      </c>
      <c r="J676" s="141" t="s">
        <v>90</v>
      </c>
      <c r="K676" s="139">
        <f t="shared" si="32"/>
        <v>1</v>
      </c>
      <c r="L676" s="142">
        <f>IF(RawData[[#This Row],[Paid/Unpaid]]="Paid", IF(VALUE($E676)&gt;VALUE($D$3),$K676* 10000,$K676* 8000), 0)</f>
        <v>8000</v>
      </c>
      <c r="M676" s="53" t="s">
        <v>146</v>
      </c>
    </row>
    <row r="677" spans="1:13" ht="12.75" customHeight="1" x14ac:dyDescent="0.3">
      <c r="A677" s="71" t="s">
        <v>8</v>
      </c>
      <c r="B677" s="139" t="str">
        <f>IFERROR(VLOOKUP($A677, NameDesignation[], 2,FALSE), " ")</f>
        <v>Former Vice-Chairman</v>
      </c>
      <c r="C677" s="139" t="s">
        <v>30</v>
      </c>
      <c r="D677" s="139">
        <v>447</v>
      </c>
      <c r="E677" s="140">
        <v>44530</v>
      </c>
      <c r="F677" s="139" t="str">
        <f t="shared" si="30"/>
        <v>Q4-21</v>
      </c>
      <c r="G677" s="140" t="str">
        <f t="shared" si="31"/>
        <v>Nov'21</v>
      </c>
      <c r="H677" s="140" t="str">
        <f>TEXT(RawData[[#This Row],[Date]], "YYYY")</f>
        <v>2021</v>
      </c>
      <c r="I677" s="141" t="s">
        <v>32</v>
      </c>
      <c r="J677" s="141" t="s">
        <v>90</v>
      </c>
      <c r="K677" s="139">
        <f t="shared" si="32"/>
        <v>1</v>
      </c>
      <c r="L677" s="142">
        <f>IF(RawData[[#This Row],[Paid/Unpaid]]="Paid", IF(VALUE($E677)&gt;VALUE($D$3),$K677* 10000,$K677* 8000), 0)</f>
        <v>8000</v>
      </c>
      <c r="M677" s="53" t="s">
        <v>146</v>
      </c>
    </row>
    <row r="678" spans="1:13" ht="12.75" customHeight="1" x14ac:dyDescent="0.3">
      <c r="A678" s="71" t="s">
        <v>49</v>
      </c>
      <c r="B678" s="139" t="str">
        <f>IFERROR(VLOOKUP($A678, NameDesignation[], 2,FALSE), " ")</f>
        <v>Former Director</v>
      </c>
      <c r="C678" s="139" t="s">
        <v>30</v>
      </c>
      <c r="D678" s="139">
        <v>447</v>
      </c>
      <c r="E678" s="140">
        <v>44530</v>
      </c>
      <c r="F678" s="139" t="str">
        <f t="shared" si="30"/>
        <v>Q4-21</v>
      </c>
      <c r="G678" s="140" t="str">
        <f t="shared" si="31"/>
        <v>Nov'21</v>
      </c>
      <c r="H678" s="140" t="str">
        <f>TEXT(RawData[[#This Row],[Date]], "YYYY")</f>
        <v>2021</v>
      </c>
      <c r="I678" s="141" t="s">
        <v>32</v>
      </c>
      <c r="J678" s="141" t="s">
        <v>90</v>
      </c>
      <c r="K678" s="139">
        <f t="shared" si="32"/>
        <v>1</v>
      </c>
      <c r="L678" s="142">
        <f>IF(RawData[[#This Row],[Paid/Unpaid]]="Paid", IF(VALUE($E678)&gt;VALUE($D$3),$K678* 10000,$K678* 8000), 0)</f>
        <v>8000</v>
      </c>
      <c r="M678" s="53" t="s">
        <v>146</v>
      </c>
    </row>
    <row r="679" spans="1:13" ht="12.75" customHeight="1" x14ac:dyDescent="0.3">
      <c r="A679" s="71" t="s">
        <v>11</v>
      </c>
      <c r="B679" s="139" t="str">
        <f>IFERROR(VLOOKUP($A679, NameDesignation[], 2,FALSE), " ")</f>
        <v>Former Director</v>
      </c>
      <c r="C679" s="139" t="s">
        <v>30</v>
      </c>
      <c r="D679" s="139">
        <v>447</v>
      </c>
      <c r="E679" s="140">
        <v>44530</v>
      </c>
      <c r="F679" s="139" t="str">
        <f t="shared" si="30"/>
        <v>Q4-21</v>
      </c>
      <c r="G679" s="140" t="str">
        <f t="shared" si="31"/>
        <v>Nov'21</v>
      </c>
      <c r="H679" s="140" t="str">
        <f>TEXT(RawData[[#This Row],[Date]], "YYYY")</f>
        <v>2021</v>
      </c>
      <c r="I679" s="141" t="s">
        <v>32</v>
      </c>
      <c r="J679" s="141" t="s">
        <v>90</v>
      </c>
      <c r="K679" s="139">
        <f t="shared" si="32"/>
        <v>1</v>
      </c>
      <c r="L679" s="142">
        <f>IF(RawData[[#This Row],[Paid/Unpaid]]="Paid", IF(VALUE($E679)&gt;VALUE($D$3),$K679* 10000,$K679* 8000), 0)</f>
        <v>8000</v>
      </c>
      <c r="M679" s="53" t="s">
        <v>146</v>
      </c>
    </row>
    <row r="680" spans="1:13" ht="12.75" customHeight="1" x14ac:dyDescent="0.3">
      <c r="A680" s="143" t="s">
        <v>13</v>
      </c>
      <c r="B680" s="139" t="str">
        <f>IFERROR(VLOOKUP($A680, NameDesignation[], 2,FALSE), " ")</f>
        <v>Former Director</v>
      </c>
      <c r="C680" s="139" t="s">
        <v>30</v>
      </c>
      <c r="D680" s="139">
        <v>447</v>
      </c>
      <c r="E680" s="140">
        <v>44530</v>
      </c>
      <c r="F680" s="139" t="str">
        <f t="shared" si="30"/>
        <v>Q4-21</v>
      </c>
      <c r="G680" s="140" t="str">
        <f t="shared" si="31"/>
        <v>Nov'21</v>
      </c>
      <c r="H680" s="140" t="str">
        <f>TEXT(RawData[[#This Row],[Date]], "YYYY")</f>
        <v>2021</v>
      </c>
      <c r="I680" s="141" t="s">
        <v>32</v>
      </c>
      <c r="J680" s="141" t="s">
        <v>90</v>
      </c>
      <c r="K680" s="139">
        <f t="shared" si="32"/>
        <v>1</v>
      </c>
      <c r="L680" s="142">
        <f>IF(RawData[[#This Row],[Paid/Unpaid]]="Paid", IF(VALUE($E680)&gt;VALUE($D$3),$K680* 10000,$K680* 8000), 0)</f>
        <v>8000</v>
      </c>
      <c r="M680" s="53" t="s">
        <v>146</v>
      </c>
    </row>
    <row r="681" spans="1:13" ht="12.75" customHeight="1" x14ac:dyDescent="0.3">
      <c r="A681" s="143" t="s">
        <v>12</v>
      </c>
      <c r="B681" s="139" t="str">
        <f>IFERROR(VLOOKUP($A681, NameDesignation[], 2,FALSE), " ")</f>
        <v>Former Director</v>
      </c>
      <c r="C681" s="139" t="s">
        <v>30</v>
      </c>
      <c r="D681" s="139">
        <v>447</v>
      </c>
      <c r="E681" s="140">
        <v>44530</v>
      </c>
      <c r="F681" s="139" t="str">
        <f t="shared" si="30"/>
        <v>Q4-21</v>
      </c>
      <c r="G681" s="140" t="str">
        <f t="shared" si="31"/>
        <v>Nov'21</v>
      </c>
      <c r="H681" s="140" t="str">
        <f>TEXT(RawData[[#This Row],[Date]], "YYYY")</f>
        <v>2021</v>
      </c>
      <c r="I681" s="141" t="s">
        <v>32</v>
      </c>
      <c r="J681" s="141" t="s">
        <v>91</v>
      </c>
      <c r="K681" s="139">
        <f t="shared" si="32"/>
        <v>0</v>
      </c>
      <c r="L681" s="142">
        <f>IF(RawData[[#This Row],[Paid/Unpaid]]="Paid", IF(VALUE($E681)&gt;VALUE($D$3),$K681* 10000,$K681* 8000), 0)</f>
        <v>0</v>
      </c>
      <c r="M681" s="53" t="s">
        <v>146</v>
      </c>
    </row>
    <row r="682" spans="1:13" ht="12.75" customHeight="1" x14ac:dyDescent="0.3">
      <c r="A682" s="143" t="s">
        <v>25</v>
      </c>
      <c r="B682" s="139" t="str">
        <f>IFERROR(VLOOKUP($A682, NameDesignation[], 2,FALSE), " ")</f>
        <v>Former Director</v>
      </c>
      <c r="C682" s="139" t="s">
        <v>30</v>
      </c>
      <c r="D682" s="139">
        <v>447</v>
      </c>
      <c r="E682" s="140">
        <v>44530</v>
      </c>
      <c r="F682" s="139" t="str">
        <f t="shared" si="30"/>
        <v>Q4-21</v>
      </c>
      <c r="G682" s="140" t="str">
        <f t="shared" si="31"/>
        <v>Nov'21</v>
      </c>
      <c r="H682" s="140" t="str">
        <f>TEXT(RawData[[#This Row],[Date]], "YYYY")</f>
        <v>2021</v>
      </c>
      <c r="I682" s="141" t="s">
        <v>32</v>
      </c>
      <c r="J682" s="141" t="s">
        <v>90</v>
      </c>
      <c r="K682" s="139">
        <f t="shared" si="32"/>
        <v>1</v>
      </c>
      <c r="L682" s="142">
        <f>IF(RawData[[#This Row],[Paid/Unpaid]]="Paid", IF(VALUE($E682)&gt;VALUE($D$3),$K682* 10000,$K682* 8000), 0)</f>
        <v>8000</v>
      </c>
      <c r="M682" s="53" t="s">
        <v>146</v>
      </c>
    </row>
    <row r="683" spans="1:13" ht="12.75" customHeight="1" x14ac:dyDescent="0.3">
      <c r="A683" s="143" t="s">
        <v>7</v>
      </c>
      <c r="B683" s="139" t="str">
        <f>IFERROR(VLOOKUP($A683, NameDesignation[], 2,FALSE), " ")</f>
        <v>Former Director</v>
      </c>
      <c r="C683" s="139" t="s">
        <v>29</v>
      </c>
      <c r="D683" s="139">
        <v>465</v>
      </c>
      <c r="E683" s="140">
        <v>44530</v>
      </c>
      <c r="F683" s="139" t="str">
        <f t="shared" si="30"/>
        <v>Q4-21</v>
      </c>
      <c r="G683" s="140" t="str">
        <f t="shared" si="31"/>
        <v>Nov'21</v>
      </c>
      <c r="H683" s="140" t="str">
        <f>TEXT(RawData[[#This Row],[Date]], "YYYY")</f>
        <v>2021</v>
      </c>
      <c r="I683" s="141" t="s">
        <v>32</v>
      </c>
      <c r="J683" s="141" t="s">
        <v>91</v>
      </c>
      <c r="K683" s="139">
        <f t="shared" si="32"/>
        <v>0</v>
      </c>
      <c r="L683" s="142">
        <f>IF(RawData[[#This Row],[Paid/Unpaid]]="Paid", IF(VALUE($E683)&gt;VALUE($D$3),$K683* 10000,$K683* 8000), 0)</f>
        <v>0</v>
      </c>
      <c r="M683" s="53" t="s">
        <v>146</v>
      </c>
    </row>
    <row r="684" spans="1:13" ht="12.75" customHeight="1" x14ac:dyDescent="0.3">
      <c r="A684" s="143" t="s">
        <v>8</v>
      </c>
      <c r="B684" s="139" t="str">
        <f>IFERROR(VLOOKUP($A684, NameDesignation[], 2,FALSE), " ")</f>
        <v>Former Vice-Chairman</v>
      </c>
      <c r="C684" s="139" t="s">
        <v>29</v>
      </c>
      <c r="D684" s="139">
        <v>465</v>
      </c>
      <c r="E684" s="140">
        <v>44530</v>
      </c>
      <c r="F684" s="139" t="str">
        <f t="shared" si="30"/>
        <v>Q4-21</v>
      </c>
      <c r="G684" s="140" t="str">
        <f t="shared" si="31"/>
        <v>Nov'21</v>
      </c>
      <c r="H684" s="140" t="str">
        <f>TEXT(RawData[[#This Row],[Date]], "YYYY")</f>
        <v>2021</v>
      </c>
      <c r="I684" s="141" t="s">
        <v>32</v>
      </c>
      <c r="J684" s="141" t="s">
        <v>90</v>
      </c>
      <c r="K684" s="139">
        <f t="shared" si="32"/>
        <v>1</v>
      </c>
      <c r="L684" s="142">
        <f>IF(RawData[[#This Row],[Paid/Unpaid]]="Paid", IF(VALUE($E684)&gt;VALUE($D$3),$K684* 10000,$K684* 8000), 0)</f>
        <v>8000</v>
      </c>
      <c r="M684" s="53" t="s">
        <v>146</v>
      </c>
    </row>
    <row r="685" spans="1:13" ht="12.75" customHeight="1" x14ac:dyDescent="0.3">
      <c r="A685" s="143" t="s">
        <v>9</v>
      </c>
      <c r="B685" s="139" t="str">
        <f>IFERROR(VLOOKUP($A685, NameDesignation[], 2,FALSE), " ")</f>
        <v>Former Director</v>
      </c>
      <c r="C685" s="139" t="s">
        <v>29</v>
      </c>
      <c r="D685" s="139">
        <v>465</v>
      </c>
      <c r="E685" s="140">
        <v>44530</v>
      </c>
      <c r="F685" s="139" t="str">
        <f t="shared" si="30"/>
        <v>Q4-21</v>
      </c>
      <c r="G685" s="140" t="str">
        <f t="shared" si="31"/>
        <v>Nov'21</v>
      </c>
      <c r="H685" s="140" t="str">
        <f>TEXT(RawData[[#This Row],[Date]], "YYYY")</f>
        <v>2021</v>
      </c>
      <c r="I685" s="141" t="s">
        <v>32</v>
      </c>
      <c r="J685" s="141" t="s">
        <v>90</v>
      </c>
      <c r="K685" s="139">
        <f t="shared" si="32"/>
        <v>1</v>
      </c>
      <c r="L685" s="142">
        <f>IF(RawData[[#This Row],[Paid/Unpaid]]="Paid", IF(VALUE($E685)&gt;VALUE($D$3),$K685* 10000,$K685* 8000), 0)</f>
        <v>8000</v>
      </c>
      <c r="M685" s="53" t="s">
        <v>146</v>
      </c>
    </row>
    <row r="686" spans="1:13" ht="12.75" customHeight="1" x14ac:dyDescent="0.3">
      <c r="A686" s="143" t="s">
        <v>20</v>
      </c>
      <c r="B686" s="139" t="str">
        <f>IFERROR(VLOOKUP($A686, NameDesignation[], 2,FALSE), " ")</f>
        <v>Former Independent Director</v>
      </c>
      <c r="C686" s="139" t="s">
        <v>29</v>
      </c>
      <c r="D686" s="139">
        <v>465</v>
      </c>
      <c r="E686" s="140">
        <v>44530</v>
      </c>
      <c r="F686" s="139" t="str">
        <f t="shared" si="30"/>
        <v>Q4-21</v>
      </c>
      <c r="G686" s="140" t="str">
        <f t="shared" si="31"/>
        <v>Nov'21</v>
      </c>
      <c r="H686" s="140" t="str">
        <f>TEXT(RawData[[#This Row],[Date]], "YYYY")</f>
        <v>2021</v>
      </c>
      <c r="I686" s="141" t="s">
        <v>32</v>
      </c>
      <c r="J686" s="141" t="s">
        <v>91</v>
      </c>
      <c r="K686" s="139">
        <f t="shared" si="32"/>
        <v>0</v>
      </c>
      <c r="L686" s="142">
        <f>IF(RawData[[#This Row],[Paid/Unpaid]]="Paid", IF(VALUE($E686)&gt;VALUE($D$3),$K686* 10000,$K686* 8000), 0)</f>
        <v>0</v>
      </c>
      <c r="M686" s="53" t="s">
        <v>146</v>
      </c>
    </row>
    <row r="687" spans="1:13" ht="12.75" customHeight="1" x14ac:dyDescent="0.3">
      <c r="A687" s="143" t="s">
        <v>49</v>
      </c>
      <c r="B687" s="139" t="str">
        <f>IFERROR(VLOOKUP($A687, NameDesignation[], 2,FALSE), " ")</f>
        <v>Former Director</v>
      </c>
      <c r="C687" s="139" t="s">
        <v>29</v>
      </c>
      <c r="D687" s="139">
        <v>465</v>
      </c>
      <c r="E687" s="140">
        <v>44530</v>
      </c>
      <c r="F687" s="139" t="str">
        <f t="shared" si="30"/>
        <v>Q4-21</v>
      </c>
      <c r="G687" s="140" t="str">
        <f t="shared" si="31"/>
        <v>Nov'21</v>
      </c>
      <c r="H687" s="140" t="str">
        <f>TEXT(RawData[[#This Row],[Date]], "YYYY")</f>
        <v>2021</v>
      </c>
      <c r="I687" s="141" t="s">
        <v>32</v>
      </c>
      <c r="J687" s="141" t="s">
        <v>90</v>
      </c>
      <c r="K687" s="139">
        <f t="shared" si="32"/>
        <v>1</v>
      </c>
      <c r="L687" s="142">
        <f>IF(RawData[[#This Row],[Paid/Unpaid]]="Paid", IF(VALUE($E687)&gt;VALUE($D$3),$K687* 10000,$K687* 8000), 0)</f>
        <v>8000</v>
      </c>
      <c r="M687" s="53" t="s">
        <v>146</v>
      </c>
    </row>
    <row r="688" spans="1:13" ht="12.75" customHeight="1" x14ac:dyDescent="0.3">
      <c r="A688" s="143" t="s">
        <v>11</v>
      </c>
      <c r="B688" s="139" t="str">
        <f>IFERROR(VLOOKUP($A688, NameDesignation[], 2,FALSE), " ")</f>
        <v>Former Director</v>
      </c>
      <c r="C688" s="139" t="s">
        <v>29</v>
      </c>
      <c r="D688" s="139">
        <v>465</v>
      </c>
      <c r="E688" s="140">
        <v>44530</v>
      </c>
      <c r="F688" s="139" t="str">
        <f t="shared" si="30"/>
        <v>Q4-21</v>
      </c>
      <c r="G688" s="140" t="str">
        <f t="shared" si="31"/>
        <v>Nov'21</v>
      </c>
      <c r="H688" s="140" t="str">
        <f>TEXT(RawData[[#This Row],[Date]], "YYYY")</f>
        <v>2021</v>
      </c>
      <c r="I688" s="141" t="s">
        <v>32</v>
      </c>
      <c r="J688" s="141" t="s">
        <v>90</v>
      </c>
      <c r="K688" s="139">
        <f t="shared" si="32"/>
        <v>1</v>
      </c>
      <c r="L688" s="142">
        <f>IF(RawData[[#This Row],[Paid/Unpaid]]="Paid", IF(VALUE($E688)&gt;VALUE($D$3),$K688* 10000,$K688* 8000), 0)</f>
        <v>8000</v>
      </c>
      <c r="M688" s="53" t="s">
        <v>146</v>
      </c>
    </row>
    <row r="689" spans="1:13" ht="12.75" customHeight="1" x14ac:dyDescent="0.3">
      <c r="A689" s="143" t="s">
        <v>12</v>
      </c>
      <c r="B689" s="139" t="str">
        <f>IFERROR(VLOOKUP($A689, NameDesignation[], 2,FALSE), " ")</f>
        <v>Former Director</v>
      </c>
      <c r="C689" s="139" t="s">
        <v>29</v>
      </c>
      <c r="D689" s="139">
        <v>465</v>
      </c>
      <c r="E689" s="140">
        <v>44530</v>
      </c>
      <c r="F689" s="139" t="str">
        <f t="shared" si="30"/>
        <v>Q4-21</v>
      </c>
      <c r="G689" s="140" t="str">
        <f t="shared" si="31"/>
        <v>Nov'21</v>
      </c>
      <c r="H689" s="140" t="str">
        <f>TEXT(RawData[[#This Row],[Date]], "YYYY")</f>
        <v>2021</v>
      </c>
      <c r="I689" s="141" t="s">
        <v>32</v>
      </c>
      <c r="J689" s="141" t="s">
        <v>91</v>
      </c>
      <c r="K689" s="139">
        <f t="shared" si="32"/>
        <v>0</v>
      </c>
      <c r="L689" s="142">
        <f>IF(RawData[[#This Row],[Paid/Unpaid]]="Paid", IF(VALUE($E689)&gt;VALUE($D$3),$K689* 10000,$K689* 8000), 0)</f>
        <v>0</v>
      </c>
      <c r="M689" s="53" t="s">
        <v>146</v>
      </c>
    </row>
    <row r="690" spans="1:13" ht="12.75" customHeight="1" x14ac:dyDescent="0.3">
      <c r="A690" s="143" t="s">
        <v>137</v>
      </c>
      <c r="B690" s="139" t="str">
        <f>IFERROR(VLOOKUP($A690, NameDesignation[], 2,FALSE), " ")</f>
        <v>Former Director</v>
      </c>
      <c r="C690" s="139" t="s">
        <v>29</v>
      </c>
      <c r="D690" s="139">
        <v>465</v>
      </c>
      <c r="E690" s="140">
        <v>44530</v>
      </c>
      <c r="F690" s="139" t="str">
        <f t="shared" si="30"/>
        <v>Q4-21</v>
      </c>
      <c r="G690" s="140" t="str">
        <f t="shared" si="31"/>
        <v>Nov'21</v>
      </c>
      <c r="H690" s="140" t="str">
        <f>TEXT(RawData[[#This Row],[Date]], "YYYY")</f>
        <v>2021</v>
      </c>
      <c r="I690" s="141" t="s">
        <v>32</v>
      </c>
      <c r="J690" s="141" t="s">
        <v>91</v>
      </c>
      <c r="K690" s="139">
        <f t="shared" si="32"/>
        <v>0</v>
      </c>
      <c r="L690" s="142">
        <f>IF(RawData[[#This Row],[Paid/Unpaid]]="Paid", IF(VALUE($E690)&gt;VALUE($D$3),$K690* 10000,$K690* 8000), 0)</f>
        <v>0</v>
      </c>
      <c r="M690" s="53" t="s">
        <v>146</v>
      </c>
    </row>
    <row r="691" spans="1:13" ht="12.75" customHeight="1" x14ac:dyDescent="0.3">
      <c r="A691" s="143" t="s">
        <v>13</v>
      </c>
      <c r="B691" s="139" t="str">
        <f>IFERROR(VLOOKUP($A691, NameDesignation[], 2,FALSE), " ")</f>
        <v>Former Director</v>
      </c>
      <c r="C691" s="139" t="s">
        <v>29</v>
      </c>
      <c r="D691" s="139">
        <v>465</v>
      </c>
      <c r="E691" s="140">
        <v>44530</v>
      </c>
      <c r="F691" s="139" t="str">
        <f t="shared" si="30"/>
        <v>Q4-21</v>
      </c>
      <c r="G691" s="140" t="str">
        <f t="shared" si="31"/>
        <v>Nov'21</v>
      </c>
      <c r="H691" s="140" t="str">
        <f>TEXT(RawData[[#This Row],[Date]], "YYYY")</f>
        <v>2021</v>
      </c>
      <c r="I691" s="141" t="s">
        <v>32</v>
      </c>
      <c r="J691" s="141" t="s">
        <v>90</v>
      </c>
      <c r="K691" s="139">
        <f t="shared" si="32"/>
        <v>1</v>
      </c>
      <c r="L691" s="142">
        <f>IF(RawData[[#This Row],[Paid/Unpaid]]="Paid", IF(VALUE($E691)&gt;VALUE($D$3),$K691* 10000,$K691* 8000), 0)</f>
        <v>8000</v>
      </c>
      <c r="M691" s="53" t="s">
        <v>146</v>
      </c>
    </row>
    <row r="692" spans="1:13" ht="12.75" customHeight="1" x14ac:dyDescent="0.3">
      <c r="A692" s="143" t="s">
        <v>61</v>
      </c>
      <c r="B692" s="139" t="str">
        <f>IFERROR(VLOOKUP($A692, NameDesignation[], 2,FALSE), " ")</f>
        <v>Former Director</v>
      </c>
      <c r="C692" s="139" t="s">
        <v>29</v>
      </c>
      <c r="D692" s="139">
        <v>465</v>
      </c>
      <c r="E692" s="140">
        <v>44530</v>
      </c>
      <c r="F692" s="139" t="str">
        <f t="shared" si="30"/>
        <v>Q4-21</v>
      </c>
      <c r="G692" s="140" t="str">
        <f t="shared" si="31"/>
        <v>Nov'21</v>
      </c>
      <c r="H692" s="140" t="str">
        <f>TEXT(RawData[[#This Row],[Date]], "YYYY")</f>
        <v>2021</v>
      </c>
      <c r="I692" s="141" t="s">
        <v>32</v>
      </c>
      <c r="J692" s="141" t="s">
        <v>91</v>
      </c>
      <c r="K692" s="139">
        <f t="shared" si="32"/>
        <v>0</v>
      </c>
      <c r="L692" s="142">
        <f>IF(RawData[[#This Row],[Paid/Unpaid]]="Paid", IF(VALUE($E692)&gt;VALUE($D$3),$K692* 10000,$K692* 8000), 0)</f>
        <v>0</v>
      </c>
      <c r="M692" s="53" t="s">
        <v>146</v>
      </c>
    </row>
    <row r="693" spans="1:13" ht="12.75" customHeight="1" x14ac:dyDescent="0.3">
      <c r="A693" s="143" t="s">
        <v>23</v>
      </c>
      <c r="B693" s="139" t="str">
        <f>IFERROR(VLOOKUP($A693, NameDesignation[], 2,FALSE), " ")</f>
        <v>Former Director</v>
      </c>
      <c r="C693" s="139" t="s">
        <v>29</v>
      </c>
      <c r="D693" s="139">
        <v>465</v>
      </c>
      <c r="E693" s="140">
        <v>44530</v>
      </c>
      <c r="F693" s="139" t="str">
        <f t="shared" si="30"/>
        <v>Q4-21</v>
      </c>
      <c r="G693" s="140" t="str">
        <f t="shared" si="31"/>
        <v>Nov'21</v>
      </c>
      <c r="H693" s="140" t="str">
        <f>TEXT(RawData[[#This Row],[Date]], "YYYY")</f>
        <v>2021</v>
      </c>
      <c r="I693" s="141" t="s">
        <v>32</v>
      </c>
      <c r="J693" s="141" t="s">
        <v>90</v>
      </c>
      <c r="K693" s="139">
        <f t="shared" si="32"/>
        <v>1</v>
      </c>
      <c r="L693" s="142">
        <f>IF(RawData[[#This Row],[Paid/Unpaid]]="Paid", IF(VALUE($E693)&gt;VALUE($D$3),$K693* 10000,$K693* 8000), 0)</f>
        <v>8000</v>
      </c>
      <c r="M693" s="53" t="s">
        <v>146</v>
      </c>
    </row>
    <row r="694" spans="1:13" ht="12.75" customHeight="1" x14ac:dyDescent="0.3">
      <c r="A694" s="143" t="s">
        <v>24</v>
      </c>
      <c r="B694" s="139" t="str">
        <f>IFERROR(VLOOKUP($A694, NameDesignation[], 2,FALSE), " ")</f>
        <v>Former Director</v>
      </c>
      <c r="C694" s="139" t="s">
        <v>29</v>
      </c>
      <c r="D694" s="139">
        <v>465</v>
      </c>
      <c r="E694" s="140">
        <v>44530</v>
      </c>
      <c r="F694" s="139" t="str">
        <f t="shared" si="30"/>
        <v>Q4-21</v>
      </c>
      <c r="G694" s="140" t="str">
        <f t="shared" si="31"/>
        <v>Nov'21</v>
      </c>
      <c r="H694" s="140" t="str">
        <f>TEXT(RawData[[#This Row],[Date]], "YYYY")</f>
        <v>2021</v>
      </c>
      <c r="I694" s="141" t="s">
        <v>32</v>
      </c>
      <c r="J694" s="141" t="s">
        <v>90</v>
      </c>
      <c r="K694" s="139">
        <f t="shared" si="32"/>
        <v>1</v>
      </c>
      <c r="L694" s="142">
        <f>IF(RawData[[#This Row],[Paid/Unpaid]]="Paid", IF(VALUE($E694)&gt;VALUE($D$3),$K694* 10000,$K694* 8000), 0)</f>
        <v>8000</v>
      </c>
      <c r="M694" s="53" t="s">
        <v>146</v>
      </c>
    </row>
    <row r="695" spans="1:13" ht="12.75" customHeight="1" x14ac:dyDescent="0.3">
      <c r="A695" s="143" t="s">
        <v>15</v>
      </c>
      <c r="B695" s="139" t="str">
        <f>IFERROR(VLOOKUP($A695, NameDesignation[], 2,FALSE), " ")</f>
        <v>Former Director</v>
      </c>
      <c r="C695" s="139" t="s">
        <v>29</v>
      </c>
      <c r="D695" s="139">
        <v>465</v>
      </c>
      <c r="E695" s="140">
        <v>44530</v>
      </c>
      <c r="F695" s="139" t="str">
        <f t="shared" si="30"/>
        <v>Q4-21</v>
      </c>
      <c r="G695" s="140" t="str">
        <f t="shared" si="31"/>
        <v>Nov'21</v>
      </c>
      <c r="H695" s="140" t="str">
        <f>TEXT(RawData[[#This Row],[Date]], "YYYY")</f>
        <v>2021</v>
      </c>
      <c r="I695" s="141" t="s">
        <v>32</v>
      </c>
      <c r="J695" s="141" t="s">
        <v>90</v>
      </c>
      <c r="K695" s="139">
        <f t="shared" si="32"/>
        <v>1</v>
      </c>
      <c r="L695" s="142">
        <f>IF(RawData[[#This Row],[Paid/Unpaid]]="Paid", IF(VALUE($E695)&gt;VALUE($D$3),$K695* 10000,$K695* 8000), 0)</f>
        <v>8000</v>
      </c>
      <c r="M695" s="53" t="s">
        <v>146</v>
      </c>
    </row>
    <row r="696" spans="1:13" ht="12.75" customHeight="1" x14ac:dyDescent="0.3">
      <c r="A696" s="143" t="s">
        <v>21</v>
      </c>
      <c r="B696" s="139" t="str">
        <f>IFERROR(VLOOKUP($A696, NameDesignation[], 2,FALSE), " ")</f>
        <v>Former Independent Director</v>
      </c>
      <c r="C696" s="139" t="s">
        <v>29</v>
      </c>
      <c r="D696" s="139">
        <v>465</v>
      </c>
      <c r="E696" s="140">
        <v>44530</v>
      </c>
      <c r="F696" s="139" t="str">
        <f t="shared" si="30"/>
        <v>Q4-21</v>
      </c>
      <c r="G696" s="140" t="str">
        <f t="shared" si="31"/>
        <v>Nov'21</v>
      </c>
      <c r="H696" s="140" t="str">
        <f>TEXT(RawData[[#This Row],[Date]], "YYYY")</f>
        <v>2021</v>
      </c>
      <c r="I696" s="141" t="s">
        <v>32</v>
      </c>
      <c r="J696" s="141" t="s">
        <v>90</v>
      </c>
      <c r="K696" s="139">
        <f t="shared" si="32"/>
        <v>1</v>
      </c>
      <c r="L696" s="142">
        <f>IF(RawData[[#This Row],[Paid/Unpaid]]="Paid", IF(VALUE($E696)&gt;VALUE($D$3),$K696* 10000,$K696* 8000), 0)</f>
        <v>8000</v>
      </c>
      <c r="M696" s="53" t="s">
        <v>146</v>
      </c>
    </row>
    <row r="697" spans="1:13" ht="12.75" customHeight="1" x14ac:dyDescent="0.3">
      <c r="A697" s="143" t="s">
        <v>25</v>
      </c>
      <c r="B697" s="139" t="str">
        <f>IFERROR(VLOOKUP($A697, NameDesignation[], 2,FALSE), " ")</f>
        <v>Former Director</v>
      </c>
      <c r="C697" s="139" t="s">
        <v>29</v>
      </c>
      <c r="D697" s="139">
        <v>465</v>
      </c>
      <c r="E697" s="140">
        <v>44530</v>
      </c>
      <c r="F697" s="139" t="str">
        <f t="shared" si="30"/>
        <v>Q4-21</v>
      </c>
      <c r="G697" s="140" t="str">
        <f t="shared" si="31"/>
        <v>Nov'21</v>
      </c>
      <c r="H697" s="140" t="str">
        <f>TEXT(RawData[[#This Row],[Date]], "YYYY")</f>
        <v>2021</v>
      </c>
      <c r="I697" s="141" t="s">
        <v>32</v>
      </c>
      <c r="J697" s="141" t="s">
        <v>90</v>
      </c>
      <c r="K697" s="139">
        <f t="shared" si="32"/>
        <v>1</v>
      </c>
      <c r="L697" s="142">
        <f>IF(RawData[[#This Row],[Paid/Unpaid]]="Paid", IF(VALUE($E697)&gt;VALUE($D$3),$K697* 10000,$K697* 8000), 0)</f>
        <v>8000</v>
      </c>
      <c r="M697" s="53" t="s">
        <v>146</v>
      </c>
    </row>
    <row r="698" spans="1:13" ht="12.75" customHeight="1" x14ac:dyDescent="0.3">
      <c r="A698" s="143" t="s">
        <v>50</v>
      </c>
      <c r="B698" s="139" t="str">
        <f>IFERROR(VLOOKUP($A698, NameDesignation[], 2,FALSE), " ")</f>
        <v>Former Director</v>
      </c>
      <c r="C698" s="139" t="s">
        <v>29</v>
      </c>
      <c r="D698" s="139">
        <v>465</v>
      </c>
      <c r="E698" s="140">
        <v>44530</v>
      </c>
      <c r="F698" s="139" t="str">
        <f t="shared" si="30"/>
        <v>Q4-21</v>
      </c>
      <c r="G698" s="140" t="str">
        <f t="shared" si="31"/>
        <v>Nov'21</v>
      </c>
      <c r="H698" s="140" t="str">
        <f>TEXT(RawData[[#This Row],[Date]], "YYYY")</f>
        <v>2021</v>
      </c>
      <c r="I698" s="141" t="s">
        <v>32</v>
      </c>
      <c r="J698" s="141" t="s">
        <v>91</v>
      </c>
      <c r="K698" s="139">
        <f t="shared" si="32"/>
        <v>0</v>
      </c>
      <c r="L698" s="142">
        <f>IF(RawData[[#This Row],[Paid/Unpaid]]="Paid", IF(VALUE($E698)&gt;VALUE($D$3),$K698* 10000,$K698* 8000), 0)</f>
        <v>0</v>
      </c>
      <c r="M698" s="53" t="s">
        <v>146</v>
      </c>
    </row>
    <row r="699" spans="1:13" ht="12.75" customHeight="1" x14ac:dyDescent="0.3">
      <c r="A699" s="143" t="s">
        <v>51</v>
      </c>
      <c r="B699" s="139" t="str">
        <f>IFERROR(VLOOKUP($A699, NameDesignation[], 2,FALSE), " ")</f>
        <v>Former Director</v>
      </c>
      <c r="C699" s="139" t="s">
        <v>29</v>
      </c>
      <c r="D699" s="139">
        <v>465</v>
      </c>
      <c r="E699" s="140">
        <v>44530</v>
      </c>
      <c r="F699" s="139" t="str">
        <f t="shared" si="30"/>
        <v>Q4-21</v>
      </c>
      <c r="G699" s="140" t="str">
        <f t="shared" si="31"/>
        <v>Nov'21</v>
      </c>
      <c r="H699" s="140" t="str">
        <f>TEXT(RawData[[#This Row],[Date]], "YYYY")</f>
        <v>2021</v>
      </c>
      <c r="I699" s="141" t="s">
        <v>32</v>
      </c>
      <c r="J699" s="141" t="s">
        <v>90</v>
      </c>
      <c r="K699" s="139">
        <f t="shared" si="32"/>
        <v>1</v>
      </c>
      <c r="L699" s="142">
        <f>IF(RawData[[#This Row],[Paid/Unpaid]]="Paid", IF(VALUE($E699)&gt;VALUE($D$3),$K699* 10000,$K699* 8000), 0)</f>
        <v>8000</v>
      </c>
      <c r="M699" s="53" t="s">
        <v>146</v>
      </c>
    </row>
    <row r="700" spans="1:13" ht="12.75" customHeight="1" x14ac:dyDescent="0.3">
      <c r="A700" s="143" t="s">
        <v>18</v>
      </c>
      <c r="B700" s="139" t="str">
        <f>IFERROR(VLOOKUP($A700, NameDesignation[], 2,FALSE), " ")</f>
        <v>Former Independent Director</v>
      </c>
      <c r="C700" s="139" t="s">
        <v>29</v>
      </c>
      <c r="D700" s="139">
        <v>465</v>
      </c>
      <c r="E700" s="140">
        <v>44530</v>
      </c>
      <c r="F700" s="139" t="str">
        <f t="shared" si="30"/>
        <v>Q4-21</v>
      </c>
      <c r="G700" s="140" t="str">
        <f t="shared" si="31"/>
        <v>Nov'21</v>
      </c>
      <c r="H700" s="140" t="str">
        <f>TEXT(RawData[[#This Row],[Date]], "YYYY")</f>
        <v>2021</v>
      </c>
      <c r="I700" s="141" t="s">
        <v>32</v>
      </c>
      <c r="J700" s="141" t="s">
        <v>90</v>
      </c>
      <c r="K700" s="139">
        <f t="shared" si="32"/>
        <v>1</v>
      </c>
      <c r="L700" s="142">
        <f>IF(RawData[[#This Row],[Paid/Unpaid]]="Paid", IF(VALUE($E700)&gt;VALUE($D$3),$K700* 10000,$K700* 8000), 0)</f>
        <v>8000</v>
      </c>
      <c r="M700" s="53" t="s">
        <v>146</v>
      </c>
    </row>
    <row r="701" spans="1:13" ht="12.75" customHeight="1" x14ac:dyDescent="0.3">
      <c r="A701" s="143" t="s">
        <v>34</v>
      </c>
      <c r="B701" s="139" t="str">
        <f>IFERROR(VLOOKUP($A701, NameDesignation[], 2,FALSE), " ")</f>
        <v>Former Managing Director &amp; CEO</v>
      </c>
      <c r="C701" s="139" t="s">
        <v>29</v>
      </c>
      <c r="D701" s="139">
        <v>465</v>
      </c>
      <c r="E701" s="140">
        <v>44530</v>
      </c>
      <c r="F701" s="139" t="str">
        <f t="shared" si="30"/>
        <v>Q4-21</v>
      </c>
      <c r="G701" s="140" t="str">
        <f t="shared" si="31"/>
        <v>Nov'21</v>
      </c>
      <c r="H701" s="140" t="str">
        <f>TEXT(RawData[[#This Row],[Date]], "YYYY")</f>
        <v>2021</v>
      </c>
      <c r="I701" s="141" t="s">
        <v>32</v>
      </c>
      <c r="J701" s="141" t="s">
        <v>90</v>
      </c>
      <c r="K701" s="139">
        <f t="shared" si="32"/>
        <v>1</v>
      </c>
      <c r="L701" s="142">
        <f>IF(RawData[[#This Row],[Paid/Unpaid]]="Paid", IF(VALUE($E701)&gt;VALUE($D$3),$K701* 10000,$K701* 8000), 0)</f>
        <v>8000</v>
      </c>
      <c r="M701" s="53" t="s">
        <v>146</v>
      </c>
    </row>
    <row r="702" spans="1:13" ht="12.75" customHeight="1" x14ac:dyDescent="0.3">
      <c r="A702" s="143" t="s">
        <v>23</v>
      </c>
      <c r="B702" s="139" t="str">
        <f>IFERROR(VLOOKUP($A702, NameDesignation[], 2,FALSE), " ")</f>
        <v>Former Director</v>
      </c>
      <c r="C702" s="139" t="s">
        <v>37</v>
      </c>
      <c r="D702" s="139">
        <v>120</v>
      </c>
      <c r="E702" s="140">
        <v>44543</v>
      </c>
      <c r="F702" s="139" t="str">
        <f t="shared" si="30"/>
        <v>Q4-21</v>
      </c>
      <c r="G702" s="140" t="str">
        <f t="shared" si="31"/>
        <v>Dec'21</v>
      </c>
      <c r="H702" s="140" t="str">
        <f>TEXT(RawData[[#This Row],[Date]], "YYYY")</f>
        <v>2021</v>
      </c>
      <c r="I702" s="141" t="s">
        <v>32</v>
      </c>
      <c r="J702" s="141" t="s">
        <v>90</v>
      </c>
      <c r="K702" s="139">
        <f t="shared" si="32"/>
        <v>1</v>
      </c>
      <c r="L702" s="142">
        <f>IF(RawData[[#This Row],[Paid/Unpaid]]="Paid", IF(VALUE($E702)&gt;VALUE($D$3),$K702* 10000,$K702* 8000), 0)</f>
        <v>8000</v>
      </c>
      <c r="M702" s="53" t="s">
        <v>146</v>
      </c>
    </row>
    <row r="703" spans="1:13" ht="12.75" customHeight="1" x14ac:dyDescent="0.3">
      <c r="A703" s="143" t="s">
        <v>24</v>
      </c>
      <c r="B703" s="139" t="str">
        <f>IFERROR(VLOOKUP($A703, NameDesignation[], 2,FALSE), " ")</f>
        <v>Former Director</v>
      </c>
      <c r="C703" s="139" t="s">
        <v>37</v>
      </c>
      <c r="D703" s="139">
        <v>120</v>
      </c>
      <c r="E703" s="140">
        <v>44543</v>
      </c>
      <c r="F703" s="139" t="str">
        <f t="shared" si="30"/>
        <v>Q4-21</v>
      </c>
      <c r="G703" s="140" t="str">
        <f t="shared" si="31"/>
        <v>Dec'21</v>
      </c>
      <c r="H703" s="140" t="str">
        <f>TEXT(RawData[[#This Row],[Date]], "YYYY")</f>
        <v>2021</v>
      </c>
      <c r="I703" s="141" t="s">
        <v>32</v>
      </c>
      <c r="J703" s="141" t="s">
        <v>90</v>
      </c>
      <c r="K703" s="139">
        <f t="shared" si="32"/>
        <v>1</v>
      </c>
      <c r="L703" s="142">
        <f>IF(RawData[[#This Row],[Paid/Unpaid]]="Paid", IF(VALUE($E703)&gt;VALUE($D$3),$K703* 10000,$K703* 8000), 0)</f>
        <v>8000</v>
      </c>
      <c r="M703" s="53" t="s">
        <v>146</v>
      </c>
    </row>
    <row r="704" spans="1:13" ht="12.75" customHeight="1" x14ac:dyDescent="0.3">
      <c r="A704" s="143" t="s">
        <v>21</v>
      </c>
      <c r="B704" s="139" t="str">
        <f>IFERROR(VLOOKUP($A704, NameDesignation[], 2,FALSE), " ")</f>
        <v>Former Independent Director</v>
      </c>
      <c r="C704" s="139" t="s">
        <v>37</v>
      </c>
      <c r="D704" s="139">
        <v>120</v>
      </c>
      <c r="E704" s="140">
        <v>44543</v>
      </c>
      <c r="F704" s="139" t="str">
        <f t="shared" si="30"/>
        <v>Q4-21</v>
      </c>
      <c r="G704" s="140" t="str">
        <f t="shared" si="31"/>
        <v>Dec'21</v>
      </c>
      <c r="H704" s="140" t="str">
        <f>TEXT(RawData[[#This Row],[Date]], "YYYY")</f>
        <v>2021</v>
      </c>
      <c r="I704" s="141" t="s">
        <v>32</v>
      </c>
      <c r="J704" s="141" t="s">
        <v>90</v>
      </c>
      <c r="K704" s="139">
        <f t="shared" si="32"/>
        <v>1</v>
      </c>
      <c r="L704" s="142">
        <f>IF(RawData[[#This Row],[Paid/Unpaid]]="Paid", IF(VALUE($E704)&gt;VALUE($D$3),$K704* 10000,$K704* 8000), 0)</f>
        <v>8000</v>
      </c>
      <c r="M704" s="53" t="s">
        <v>146</v>
      </c>
    </row>
    <row r="705" spans="1:13" ht="12.75" customHeight="1" x14ac:dyDescent="0.3">
      <c r="A705" s="143" t="s">
        <v>18</v>
      </c>
      <c r="B705" s="139" t="str">
        <f>IFERROR(VLOOKUP($A705, NameDesignation[], 2,FALSE), " ")</f>
        <v>Former Independent Director</v>
      </c>
      <c r="C705" s="139" t="s">
        <v>37</v>
      </c>
      <c r="D705" s="139">
        <v>120</v>
      </c>
      <c r="E705" s="140">
        <v>44543</v>
      </c>
      <c r="F705" s="139" t="str">
        <f t="shared" si="30"/>
        <v>Q4-21</v>
      </c>
      <c r="G705" s="140" t="str">
        <f t="shared" si="31"/>
        <v>Dec'21</v>
      </c>
      <c r="H705" s="140" t="str">
        <f>TEXT(RawData[[#This Row],[Date]], "YYYY")</f>
        <v>2021</v>
      </c>
      <c r="I705" s="141" t="s">
        <v>32</v>
      </c>
      <c r="J705" s="141" t="s">
        <v>90</v>
      </c>
      <c r="K705" s="139">
        <f t="shared" si="32"/>
        <v>1</v>
      </c>
      <c r="L705" s="142">
        <f>IF(RawData[[#This Row],[Paid/Unpaid]]="Paid", IF(VALUE($E705)&gt;VALUE($D$3),$K705* 10000,$K705* 8000), 0)</f>
        <v>8000</v>
      </c>
      <c r="M705" s="53" t="s">
        <v>146</v>
      </c>
    </row>
    <row r="706" spans="1:13" ht="12.75" customHeight="1" x14ac:dyDescent="0.3">
      <c r="A706" s="143" t="s">
        <v>11</v>
      </c>
      <c r="B706" s="139" t="str">
        <f>IFERROR(VLOOKUP($A706, NameDesignation[], 2,FALSE), " ")</f>
        <v>Former Director</v>
      </c>
      <c r="C706" s="139" t="s">
        <v>41</v>
      </c>
      <c r="D706" s="139">
        <v>3</v>
      </c>
      <c r="E706" s="140">
        <v>44545</v>
      </c>
      <c r="F706" s="139" t="str">
        <f t="shared" si="30"/>
        <v>Q4-21</v>
      </c>
      <c r="G706" s="140" t="str">
        <f t="shared" si="31"/>
        <v>Dec'21</v>
      </c>
      <c r="H706" s="140" t="str">
        <f>TEXT(RawData[[#This Row],[Date]], "YYYY")</f>
        <v>2021</v>
      </c>
      <c r="I706" s="141" t="s">
        <v>32</v>
      </c>
      <c r="J706" s="141" t="s">
        <v>90</v>
      </c>
      <c r="K706" s="139">
        <f t="shared" si="32"/>
        <v>1</v>
      </c>
      <c r="L706" s="142">
        <f>IF(RawData[[#This Row],[Paid/Unpaid]]="Paid", IF(VALUE($E706)&gt;VALUE($D$3),$K706* 10000,$K706* 8000), 0)</f>
        <v>8000</v>
      </c>
      <c r="M706" s="53" t="s">
        <v>146</v>
      </c>
    </row>
    <row r="707" spans="1:13" ht="12.75" customHeight="1" x14ac:dyDescent="0.3">
      <c r="A707" s="143" t="s">
        <v>50</v>
      </c>
      <c r="B707" s="139" t="str">
        <f>IFERROR(VLOOKUP($A707, NameDesignation[], 2,FALSE), " ")</f>
        <v>Former Director</v>
      </c>
      <c r="C707" s="139" t="s">
        <v>41</v>
      </c>
      <c r="D707" s="139">
        <v>3</v>
      </c>
      <c r="E707" s="140">
        <v>44545</v>
      </c>
      <c r="F707" s="139" t="str">
        <f t="shared" si="30"/>
        <v>Q4-21</v>
      </c>
      <c r="G707" s="140" t="str">
        <f t="shared" si="31"/>
        <v>Dec'21</v>
      </c>
      <c r="H707" s="140" t="str">
        <f>TEXT(RawData[[#This Row],[Date]], "YYYY")</f>
        <v>2021</v>
      </c>
      <c r="I707" s="141" t="s">
        <v>32</v>
      </c>
      <c r="J707" s="141" t="s">
        <v>91</v>
      </c>
      <c r="K707" s="139">
        <f t="shared" si="32"/>
        <v>0</v>
      </c>
      <c r="L707" s="142">
        <f>IF(RawData[[#This Row],[Paid/Unpaid]]="Paid", IF(VALUE($E707)&gt;VALUE($D$3),$K707* 10000,$K707* 8000), 0)</f>
        <v>0</v>
      </c>
      <c r="M707" s="53" t="s">
        <v>146</v>
      </c>
    </row>
    <row r="708" spans="1:13" ht="12.75" customHeight="1" x14ac:dyDescent="0.3">
      <c r="A708" s="143" t="s">
        <v>54</v>
      </c>
      <c r="B708" s="139" t="str">
        <f>IFERROR(VLOOKUP($A708, NameDesignation[], 2,FALSE), " ")</f>
        <v>Member, Shariah Supervisory Committee</v>
      </c>
      <c r="C708" s="139" t="s">
        <v>41</v>
      </c>
      <c r="D708" s="139">
        <v>3</v>
      </c>
      <c r="E708" s="140">
        <v>44545</v>
      </c>
      <c r="F708" s="139" t="str">
        <f t="shared" si="30"/>
        <v>Q4-21</v>
      </c>
      <c r="G708" s="140" t="str">
        <f t="shared" si="31"/>
        <v>Dec'21</v>
      </c>
      <c r="H708" s="140" t="str">
        <f>TEXT(RawData[[#This Row],[Date]], "YYYY")</f>
        <v>2021</v>
      </c>
      <c r="I708" s="141" t="s">
        <v>32</v>
      </c>
      <c r="J708" s="141" t="s">
        <v>90</v>
      </c>
      <c r="K708" s="139">
        <f t="shared" si="32"/>
        <v>1</v>
      </c>
      <c r="L708" s="142">
        <f>IF(RawData[[#This Row],[Paid/Unpaid]]="Paid", IF(VALUE($E708)&gt;VALUE($D$3),$K708* 10000,$K708* 8000), 0)</f>
        <v>8000</v>
      </c>
      <c r="M708" s="53" t="s">
        <v>146</v>
      </c>
    </row>
    <row r="709" spans="1:13" ht="12.75" customHeight="1" x14ac:dyDescent="0.3">
      <c r="A709" s="143" t="s">
        <v>127</v>
      </c>
      <c r="B709" s="139" t="str">
        <f>IFERROR(VLOOKUP($A709, NameDesignation[], 2,FALSE), " ")</f>
        <v>Chairman, Shariah Supervisory Committee</v>
      </c>
      <c r="C709" s="139" t="s">
        <v>41</v>
      </c>
      <c r="D709" s="139">
        <v>3</v>
      </c>
      <c r="E709" s="140">
        <v>44545</v>
      </c>
      <c r="F709" s="139" t="str">
        <f t="shared" si="30"/>
        <v>Q4-21</v>
      </c>
      <c r="G709" s="140" t="str">
        <f t="shared" si="31"/>
        <v>Dec'21</v>
      </c>
      <c r="H709" s="140" t="str">
        <f>TEXT(RawData[[#This Row],[Date]], "YYYY")</f>
        <v>2021</v>
      </c>
      <c r="I709" s="141" t="s">
        <v>32</v>
      </c>
      <c r="J709" s="141" t="s">
        <v>90</v>
      </c>
      <c r="K709" s="139">
        <f t="shared" si="32"/>
        <v>1</v>
      </c>
      <c r="L709" s="142">
        <f>IF(RawData[[#This Row],[Paid/Unpaid]]="Paid", IF(VALUE($E709)&gt;VALUE($D$3),$K709* 10000,$K709* 8000), 0)</f>
        <v>8000</v>
      </c>
      <c r="M709" s="53" t="s">
        <v>146</v>
      </c>
    </row>
    <row r="710" spans="1:13" ht="12.75" customHeight="1" x14ac:dyDescent="0.3">
      <c r="A710" s="143" t="s">
        <v>52</v>
      </c>
      <c r="B710" s="139" t="str">
        <f>IFERROR(VLOOKUP($A710, NameDesignation[], 2,FALSE), " ")</f>
        <v>Member, Shariah Supervisory Committee</v>
      </c>
      <c r="C710" s="139" t="s">
        <v>41</v>
      </c>
      <c r="D710" s="139">
        <v>3</v>
      </c>
      <c r="E710" s="140">
        <v>44545</v>
      </c>
      <c r="F710" s="139" t="str">
        <f t="shared" ref="F710:F773" si="33">CONCATENATE("Q", ROUNDUP(MONTH($E710)/3,0),"-",TEXT($E710, "yy"))</f>
        <v>Q4-21</v>
      </c>
      <c r="G710" s="140" t="str">
        <f t="shared" ref="G710:G773" si="34">CONCATENATE(TEXT($E710, "mmm"),"'", TEXT($E710, "yy"))</f>
        <v>Dec'21</v>
      </c>
      <c r="H710" s="140" t="str">
        <f>TEXT(RawData[[#This Row],[Date]], "YYYY")</f>
        <v>2021</v>
      </c>
      <c r="I710" s="141" t="s">
        <v>32</v>
      </c>
      <c r="J710" s="141" t="s">
        <v>90</v>
      </c>
      <c r="K710" s="139">
        <f t="shared" ref="K710:K773" si="35">IF($J710="Present", 1, 0)</f>
        <v>1</v>
      </c>
      <c r="L710" s="142">
        <f>IF(RawData[[#This Row],[Paid/Unpaid]]="Paid", IF(VALUE($E710)&gt;VALUE($D$3),$K710* 10000,$K710* 8000), 0)</f>
        <v>8000</v>
      </c>
      <c r="M710" s="53" t="s">
        <v>146</v>
      </c>
    </row>
    <row r="711" spans="1:13" ht="12.75" customHeight="1" x14ac:dyDescent="0.3">
      <c r="A711" s="143" t="s">
        <v>128</v>
      </c>
      <c r="B711" s="139" t="str">
        <f>IFERROR(VLOOKUP($A711, NameDesignation[], 2,FALSE), " ")</f>
        <v>Member, Shariah Supervisory Committee</v>
      </c>
      <c r="C711" s="139" t="s">
        <v>41</v>
      </c>
      <c r="D711" s="139">
        <v>3</v>
      </c>
      <c r="E711" s="140">
        <v>44545</v>
      </c>
      <c r="F711" s="139" t="str">
        <f t="shared" si="33"/>
        <v>Q4-21</v>
      </c>
      <c r="G711" s="140" t="str">
        <f t="shared" si="34"/>
        <v>Dec'21</v>
      </c>
      <c r="H711" s="140" t="str">
        <f>TEXT(RawData[[#This Row],[Date]], "YYYY")</f>
        <v>2021</v>
      </c>
      <c r="I711" s="141" t="s">
        <v>32</v>
      </c>
      <c r="J711" s="141" t="s">
        <v>90</v>
      </c>
      <c r="K711" s="139">
        <f t="shared" si="35"/>
        <v>1</v>
      </c>
      <c r="L711" s="142">
        <f>IF(RawData[[#This Row],[Paid/Unpaid]]="Paid", IF(VALUE($E711)&gt;VALUE($D$3),$K711* 10000,$K711* 8000), 0)</f>
        <v>8000</v>
      </c>
      <c r="M711" s="53" t="s">
        <v>146</v>
      </c>
    </row>
    <row r="712" spans="1:13" ht="12.75" customHeight="1" x14ac:dyDescent="0.3">
      <c r="A712" s="143" t="s">
        <v>126</v>
      </c>
      <c r="B712" s="139" t="str">
        <f>IFERROR(VLOOKUP($A712, NameDesignation[], 2,FALSE), " ")</f>
        <v>Member, Shariah Supervisory Committee</v>
      </c>
      <c r="C712" s="139" t="s">
        <v>41</v>
      </c>
      <c r="D712" s="139">
        <v>3</v>
      </c>
      <c r="E712" s="140">
        <v>44545</v>
      </c>
      <c r="F712" s="139" t="str">
        <f t="shared" si="33"/>
        <v>Q4-21</v>
      </c>
      <c r="G712" s="140" t="str">
        <f t="shared" si="34"/>
        <v>Dec'21</v>
      </c>
      <c r="H712" s="140" t="str">
        <f>TEXT(RawData[[#This Row],[Date]], "YYYY")</f>
        <v>2021</v>
      </c>
      <c r="I712" s="141" t="s">
        <v>32</v>
      </c>
      <c r="J712" s="141" t="s">
        <v>90</v>
      </c>
      <c r="K712" s="139">
        <f t="shared" si="35"/>
        <v>1</v>
      </c>
      <c r="L712" s="142">
        <f>IF(RawData[[#This Row],[Paid/Unpaid]]="Paid", IF(VALUE($E712)&gt;VALUE($D$3),$K712* 10000,$K712* 8000), 0)</f>
        <v>8000</v>
      </c>
      <c r="M712" s="53" t="s">
        <v>146</v>
      </c>
    </row>
    <row r="713" spans="1:13" ht="12.75" customHeight="1" x14ac:dyDescent="0.3">
      <c r="A713" s="143" t="s">
        <v>34</v>
      </c>
      <c r="B713" s="139" t="str">
        <f>IFERROR(VLOOKUP($A713, NameDesignation[], 2,FALSE), " ")</f>
        <v>Former Managing Director &amp; CEO</v>
      </c>
      <c r="C713" s="139" t="s">
        <v>41</v>
      </c>
      <c r="D713" s="139">
        <v>3</v>
      </c>
      <c r="E713" s="140">
        <v>44545</v>
      </c>
      <c r="F713" s="139" t="str">
        <f t="shared" si="33"/>
        <v>Q4-21</v>
      </c>
      <c r="G713" s="140" t="str">
        <f t="shared" si="34"/>
        <v>Dec'21</v>
      </c>
      <c r="H713" s="140" t="str">
        <f>TEXT(RawData[[#This Row],[Date]], "YYYY")</f>
        <v>2021</v>
      </c>
      <c r="I713" s="141" t="s">
        <v>32</v>
      </c>
      <c r="J713" s="141" t="s">
        <v>90</v>
      </c>
      <c r="K713" s="139">
        <f t="shared" si="35"/>
        <v>1</v>
      </c>
      <c r="L713" s="142">
        <f>IF(RawData[[#This Row],[Paid/Unpaid]]="Paid", IF(VALUE($E713)&gt;VALUE($D$3),$K713* 10000,$K713* 8000), 0)</f>
        <v>8000</v>
      </c>
      <c r="M713" s="53" t="s">
        <v>146</v>
      </c>
    </row>
    <row r="714" spans="1:13" ht="12.75" customHeight="1" x14ac:dyDescent="0.3">
      <c r="A714" s="144" t="s">
        <v>9</v>
      </c>
      <c r="B714" s="139" t="str">
        <f>IFERROR(VLOOKUP($A714, NameDesignation[], 2,FALSE), " ")</f>
        <v>Former Director</v>
      </c>
      <c r="C714" s="139" t="s">
        <v>30</v>
      </c>
      <c r="D714" s="139">
        <v>448</v>
      </c>
      <c r="E714" s="140">
        <v>44550</v>
      </c>
      <c r="F714" s="139" t="str">
        <f t="shared" si="33"/>
        <v>Q4-21</v>
      </c>
      <c r="G714" s="140" t="str">
        <f t="shared" si="34"/>
        <v>Dec'21</v>
      </c>
      <c r="H714" s="140" t="str">
        <f>TEXT(RawData[[#This Row],[Date]], "YYYY")</f>
        <v>2021</v>
      </c>
      <c r="I714" s="141" t="s">
        <v>32</v>
      </c>
      <c r="J714" s="141" t="s">
        <v>90</v>
      </c>
      <c r="K714" s="139">
        <f t="shared" si="35"/>
        <v>1</v>
      </c>
      <c r="L714" s="142">
        <f>IF(RawData[[#This Row],[Paid/Unpaid]]="Paid", IF(VALUE($E714)&gt;VALUE($D$3),$K714* 10000,$K714* 8000), 0)</f>
        <v>8000</v>
      </c>
      <c r="M714" s="53" t="s">
        <v>146</v>
      </c>
    </row>
    <row r="715" spans="1:13" ht="12.75" customHeight="1" x14ac:dyDescent="0.3">
      <c r="A715" s="144" t="s">
        <v>8</v>
      </c>
      <c r="B715" s="139" t="str">
        <f>IFERROR(VLOOKUP($A715, NameDesignation[], 2,FALSE), " ")</f>
        <v>Former Vice-Chairman</v>
      </c>
      <c r="C715" s="139" t="s">
        <v>30</v>
      </c>
      <c r="D715" s="139">
        <v>448</v>
      </c>
      <c r="E715" s="140">
        <v>44550</v>
      </c>
      <c r="F715" s="139" t="str">
        <f t="shared" si="33"/>
        <v>Q4-21</v>
      </c>
      <c r="G715" s="140" t="str">
        <f t="shared" si="34"/>
        <v>Dec'21</v>
      </c>
      <c r="H715" s="140" t="str">
        <f>TEXT(RawData[[#This Row],[Date]], "YYYY")</f>
        <v>2021</v>
      </c>
      <c r="I715" s="141" t="s">
        <v>32</v>
      </c>
      <c r="J715" s="141" t="s">
        <v>90</v>
      </c>
      <c r="K715" s="139">
        <f t="shared" si="35"/>
        <v>1</v>
      </c>
      <c r="L715" s="142">
        <f>IF(RawData[[#This Row],[Paid/Unpaid]]="Paid", IF(VALUE($E715)&gt;VALUE($D$3),$K715* 10000,$K715* 8000), 0)</f>
        <v>8000</v>
      </c>
      <c r="M715" s="53" t="s">
        <v>146</v>
      </c>
    </row>
    <row r="716" spans="1:13" ht="12.75" customHeight="1" x14ac:dyDescent="0.3">
      <c r="A716" s="144" t="s">
        <v>49</v>
      </c>
      <c r="B716" s="139" t="str">
        <f>IFERROR(VLOOKUP($A716, NameDesignation[], 2,FALSE), " ")</f>
        <v>Former Director</v>
      </c>
      <c r="C716" s="139" t="s">
        <v>30</v>
      </c>
      <c r="D716" s="139">
        <v>448</v>
      </c>
      <c r="E716" s="140">
        <v>44550</v>
      </c>
      <c r="F716" s="139" t="str">
        <f t="shared" si="33"/>
        <v>Q4-21</v>
      </c>
      <c r="G716" s="140" t="str">
        <f t="shared" si="34"/>
        <v>Dec'21</v>
      </c>
      <c r="H716" s="140" t="str">
        <f>TEXT(RawData[[#This Row],[Date]], "YYYY")</f>
        <v>2021</v>
      </c>
      <c r="I716" s="141" t="s">
        <v>32</v>
      </c>
      <c r="J716" s="141" t="s">
        <v>91</v>
      </c>
      <c r="K716" s="139">
        <f t="shared" si="35"/>
        <v>0</v>
      </c>
      <c r="L716" s="142">
        <f>IF(RawData[[#This Row],[Paid/Unpaid]]="Paid", IF(VALUE($E716)&gt;VALUE($D$3),$K716* 10000,$K716* 8000), 0)</f>
        <v>0</v>
      </c>
      <c r="M716" s="53" t="s">
        <v>146</v>
      </c>
    </row>
    <row r="717" spans="1:13" ht="12.75" customHeight="1" x14ac:dyDescent="0.3">
      <c r="A717" s="144" t="s">
        <v>11</v>
      </c>
      <c r="B717" s="139" t="str">
        <f>IFERROR(VLOOKUP($A717, NameDesignation[], 2,FALSE), " ")</f>
        <v>Former Director</v>
      </c>
      <c r="C717" s="139" t="s">
        <v>30</v>
      </c>
      <c r="D717" s="139">
        <v>448</v>
      </c>
      <c r="E717" s="140">
        <v>44550</v>
      </c>
      <c r="F717" s="139" t="str">
        <f t="shared" si="33"/>
        <v>Q4-21</v>
      </c>
      <c r="G717" s="140" t="str">
        <f t="shared" si="34"/>
        <v>Dec'21</v>
      </c>
      <c r="H717" s="140" t="str">
        <f>TEXT(RawData[[#This Row],[Date]], "YYYY")</f>
        <v>2021</v>
      </c>
      <c r="I717" s="141" t="s">
        <v>32</v>
      </c>
      <c r="J717" s="141" t="s">
        <v>91</v>
      </c>
      <c r="K717" s="139">
        <f t="shared" si="35"/>
        <v>0</v>
      </c>
      <c r="L717" s="142">
        <f>IF(RawData[[#This Row],[Paid/Unpaid]]="Paid", IF(VALUE($E717)&gt;VALUE($D$3),$K717* 10000,$K717* 8000), 0)</f>
        <v>0</v>
      </c>
      <c r="M717" s="53" t="s">
        <v>146</v>
      </c>
    </row>
    <row r="718" spans="1:13" ht="12.75" customHeight="1" x14ac:dyDescent="0.3">
      <c r="A718" s="144" t="s">
        <v>13</v>
      </c>
      <c r="B718" s="139" t="str">
        <f>IFERROR(VLOOKUP($A718, NameDesignation[], 2,FALSE), " ")</f>
        <v>Former Director</v>
      </c>
      <c r="C718" s="139" t="s">
        <v>30</v>
      </c>
      <c r="D718" s="139">
        <v>448</v>
      </c>
      <c r="E718" s="140">
        <v>44550</v>
      </c>
      <c r="F718" s="139" t="str">
        <f t="shared" si="33"/>
        <v>Q4-21</v>
      </c>
      <c r="G718" s="140" t="str">
        <f t="shared" si="34"/>
        <v>Dec'21</v>
      </c>
      <c r="H718" s="140" t="str">
        <f>TEXT(RawData[[#This Row],[Date]], "YYYY")</f>
        <v>2021</v>
      </c>
      <c r="I718" s="141" t="s">
        <v>32</v>
      </c>
      <c r="J718" s="141" t="s">
        <v>90</v>
      </c>
      <c r="K718" s="139">
        <f t="shared" si="35"/>
        <v>1</v>
      </c>
      <c r="L718" s="142">
        <f>IF(RawData[[#This Row],[Paid/Unpaid]]="Paid", IF(VALUE($E718)&gt;VALUE($D$3),$K718* 10000,$K718* 8000), 0)</f>
        <v>8000</v>
      </c>
      <c r="M718" s="53" t="s">
        <v>146</v>
      </c>
    </row>
    <row r="719" spans="1:13" ht="12.75" customHeight="1" x14ac:dyDescent="0.3">
      <c r="A719" s="144" t="s">
        <v>12</v>
      </c>
      <c r="B719" s="139" t="str">
        <f>IFERROR(VLOOKUP($A719, NameDesignation[], 2,FALSE), " ")</f>
        <v>Former Director</v>
      </c>
      <c r="C719" s="139" t="s">
        <v>30</v>
      </c>
      <c r="D719" s="139">
        <v>448</v>
      </c>
      <c r="E719" s="140">
        <v>44550</v>
      </c>
      <c r="F719" s="139" t="str">
        <f t="shared" si="33"/>
        <v>Q4-21</v>
      </c>
      <c r="G719" s="140" t="str">
        <f t="shared" si="34"/>
        <v>Dec'21</v>
      </c>
      <c r="H719" s="140" t="str">
        <f>TEXT(RawData[[#This Row],[Date]], "YYYY")</f>
        <v>2021</v>
      </c>
      <c r="I719" s="141" t="s">
        <v>32</v>
      </c>
      <c r="J719" s="141" t="s">
        <v>90</v>
      </c>
      <c r="K719" s="139">
        <f t="shared" si="35"/>
        <v>1</v>
      </c>
      <c r="L719" s="142">
        <f>IF(RawData[[#This Row],[Paid/Unpaid]]="Paid", IF(VALUE($E719)&gt;VALUE($D$3),$K719* 10000,$K719* 8000), 0)</f>
        <v>8000</v>
      </c>
      <c r="M719" s="53" t="s">
        <v>146</v>
      </c>
    </row>
    <row r="720" spans="1:13" ht="12.75" customHeight="1" x14ac:dyDescent="0.3">
      <c r="A720" s="144" t="s">
        <v>25</v>
      </c>
      <c r="B720" s="139" t="str">
        <f>IFERROR(VLOOKUP($A720, NameDesignation[], 2,FALSE), " ")</f>
        <v>Former Director</v>
      </c>
      <c r="C720" s="139" t="s">
        <v>30</v>
      </c>
      <c r="D720" s="139">
        <v>448</v>
      </c>
      <c r="E720" s="140">
        <v>44550</v>
      </c>
      <c r="F720" s="139" t="str">
        <f t="shared" si="33"/>
        <v>Q4-21</v>
      </c>
      <c r="G720" s="140" t="str">
        <f t="shared" si="34"/>
        <v>Dec'21</v>
      </c>
      <c r="H720" s="140" t="str">
        <f>TEXT(RawData[[#This Row],[Date]], "YYYY")</f>
        <v>2021</v>
      </c>
      <c r="I720" s="141" t="s">
        <v>32</v>
      </c>
      <c r="J720" s="141" t="s">
        <v>90</v>
      </c>
      <c r="K720" s="139">
        <f t="shared" si="35"/>
        <v>1</v>
      </c>
      <c r="L720" s="142">
        <f>IF(RawData[[#This Row],[Paid/Unpaid]]="Paid", IF(VALUE($E720)&gt;VALUE($D$3),$K720* 10000,$K720* 8000), 0)</f>
        <v>8000</v>
      </c>
      <c r="M720" s="53" t="s">
        <v>146</v>
      </c>
    </row>
    <row r="721" spans="1:13" ht="12.75" customHeight="1" x14ac:dyDescent="0.3">
      <c r="A721" s="143" t="s">
        <v>7</v>
      </c>
      <c r="B721" s="139" t="str">
        <f>IFERROR(VLOOKUP($A721, NameDesignation[], 2,FALSE), " ")</f>
        <v>Former Director</v>
      </c>
      <c r="C721" s="139" t="s">
        <v>29</v>
      </c>
      <c r="D721" s="139">
        <v>466</v>
      </c>
      <c r="E721" s="140">
        <v>44551</v>
      </c>
      <c r="F721" s="139" t="str">
        <f t="shared" si="33"/>
        <v>Q4-21</v>
      </c>
      <c r="G721" s="140" t="str">
        <f t="shared" si="34"/>
        <v>Dec'21</v>
      </c>
      <c r="H721" s="140" t="str">
        <f>TEXT(RawData[[#This Row],[Date]], "YYYY")</f>
        <v>2021</v>
      </c>
      <c r="I721" s="141" t="s">
        <v>32</v>
      </c>
      <c r="J721" s="141" t="s">
        <v>90</v>
      </c>
      <c r="K721" s="139">
        <f t="shared" si="35"/>
        <v>1</v>
      </c>
      <c r="L721" s="142">
        <f>IF(RawData[[#This Row],[Paid/Unpaid]]="Paid", IF(VALUE($E721)&gt;VALUE($D$3),$K721* 10000,$K721* 8000), 0)</f>
        <v>8000</v>
      </c>
      <c r="M721" s="53" t="s">
        <v>146</v>
      </c>
    </row>
    <row r="722" spans="1:13" ht="12.75" customHeight="1" x14ac:dyDescent="0.3">
      <c r="A722" s="143" t="s">
        <v>8</v>
      </c>
      <c r="B722" s="139" t="str">
        <f>IFERROR(VLOOKUP($A722, NameDesignation[], 2,FALSE), " ")</f>
        <v>Former Vice-Chairman</v>
      </c>
      <c r="C722" s="139" t="s">
        <v>29</v>
      </c>
      <c r="D722" s="139">
        <v>466</v>
      </c>
      <c r="E722" s="140">
        <v>44551</v>
      </c>
      <c r="F722" s="139" t="str">
        <f t="shared" si="33"/>
        <v>Q4-21</v>
      </c>
      <c r="G722" s="140" t="str">
        <f t="shared" si="34"/>
        <v>Dec'21</v>
      </c>
      <c r="H722" s="140" t="str">
        <f>TEXT(RawData[[#This Row],[Date]], "YYYY")</f>
        <v>2021</v>
      </c>
      <c r="I722" s="141" t="s">
        <v>32</v>
      </c>
      <c r="J722" s="141" t="s">
        <v>90</v>
      </c>
      <c r="K722" s="139">
        <f t="shared" si="35"/>
        <v>1</v>
      </c>
      <c r="L722" s="142">
        <f>IF(RawData[[#This Row],[Paid/Unpaid]]="Paid", IF(VALUE($E722)&gt;VALUE($D$3),$K722* 10000,$K722* 8000), 0)</f>
        <v>8000</v>
      </c>
      <c r="M722" s="53" t="s">
        <v>146</v>
      </c>
    </row>
    <row r="723" spans="1:13" ht="12.75" customHeight="1" x14ac:dyDescent="0.3">
      <c r="A723" s="143" t="s">
        <v>9</v>
      </c>
      <c r="B723" s="139" t="str">
        <f>IFERROR(VLOOKUP($A723, NameDesignation[], 2,FALSE), " ")</f>
        <v>Former Director</v>
      </c>
      <c r="C723" s="139" t="s">
        <v>29</v>
      </c>
      <c r="D723" s="139">
        <v>466</v>
      </c>
      <c r="E723" s="140">
        <v>44551</v>
      </c>
      <c r="F723" s="139" t="str">
        <f t="shared" si="33"/>
        <v>Q4-21</v>
      </c>
      <c r="G723" s="140" t="str">
        <f t="shared" si="34"/>
        <v>Dec'21</v>
      </c>
      <c r="H723" s="140" t="str">
        <f>TEXT(RawData[[#This Row],[Date]], "YYYY")</f>
        <v>2021</v>
      </c>
      <c r="I723" s="141" t="s">
        <v>32</v>
      </c>
      <c r="J723" s="141" t="s">
        <v>90</v>
      </c>
      <c r="K723" s="139">
        <f t="shared" si="35"/>
        <v>1</v>
      </c>
      <c r="L723" s="142">
        <f>IF(RawData[[#This Row],[Paid/Unpaid]]="Paid", IF(VALUE($E723)&gt;VALUE($D$3),$K723* 10000,$K723* 8000), 0)</f>
        <v>8000</v>
      </c>
      <c r="M723" s="53" t="s">
        <v>146</v>
      </c>
    </row>
    <row r="724" spans="1:13" ht="12.75" customHeight="1" x14ac:dyDescent="0.3">
      <c r="A724" s="143" t="s">
        <v>20</v>
      </c>
      <c r="B724" s="139" t="str">
        <f>IFERROR(VLOOKUP($A724, NameDesignation[], 2,FALSE), " ")</f>
        <v>Former Independent Director</v>
      </c>
      <c r="C724" s="139" t="s">
        <v>29</v>
      </c>
      <c r="D724" s="139">
        <v>466</v>
      </c>
      <c r="E724" s="140">
        <v>44551</v>
      </c>
      <c r="F724" s="139" t="str">
        <f t="shared" si="33"/>
        <v>Q4-21</v>
      </c>
      <c r="G724" s="140" t="str">
        <f t="shared" si="34"/>
        <v>Dec'21</v>
      </c>
      <c r="H724" s="140" t="str">
        <f>TEXT(RawData[[#This Row],[Date]], "YYYY")</f>
        <v>2021</v>
      </c>
      <c r="I724" s="141" t="s">
        <v>32</v>
      </c>
      <c r="J724" s="141" t="s">
        <v>90</v>
      </c>
      <c r="K724" s="139">
        <f t="shared" si="35"/>
        <v>1</v>
      </c>
      <c r="L724" s="142">
        <f>IF(RawData[[#This Row],[Paid/Unpaid]]="Paid", IF(VALUE($E724)&gt;VALUE($D$3),$K724* 10000,$K724* 8000), 0)</f>
        <v>8000</v>
      </c>
      <c r="M724" s="53" t="s">
        <v>146</v>
      </c>
    </row>
    <row r="725" spans="1:13" ht="12.75" customHeight="1" x14ac:dyDescent="0.3">
      <c r="A725" s="143" t="s">
        <v>49</v>
      </c>
      <c r="B725" s="139" t="str">
        <f>IFERROR(VLOOKUP($A725, NameDesignation[], 2,FALSE), " ")</f>
        <v>Former Director</v>
      </c>
      <c r="C725" s="139" t="s">
        <v>29</v>
      </c>
      <c r="D725" s="139">
        <v>466</v>
      </c>
      <c r="E725" s="140">
        <v>44551</v>
      </c>
      <c r="F725" s="139" t="str">
        <f t="shared" si="33"/>
        <v>Q4-21</v>
      </c>
      <c r="G725" s="140" t="str">
        <f t="shared" si="34"/>
        <v>Dec'21</v>
      </c>
      <c r="H725" s="140" t="str">
        <f>TEXT(RawData[[#This Row],[Date]], "YYYY")</f>
        <v>2021</v>
      </c>
      <c r="I725" s="141" t="s">
        <v>32</v>
      </c>
      <c r="J725" s="141" t="s">
        <v>91</v>
      </c>
      <c r="K725" s="139">
        <f t="shared" si="35"/>
        <v>0</v>
      </c>
      <c r="L725" s="142">
        <f>IF(RawData[[#This Row],[Paid/Unpaid]]="Paid", IF(VALUE($E725)&gt;VALUE($D$3),$K725* 10000,$K725* 8000), 0)</f>
        <v>0</v>
      </c>
      <c r="M725" s="53" t="s">
        <v>146</v>
      </c>
    </row>
    <row r="726" spans="1:13" ht="12.75" customHeight="1" x14ac:dyDescent="0.3">
      <c r="A726" s="143" t="s">
        <v>11</v>
      </c>
      <c r="B726" s="139" t="str">
        <f>IFERROR(VLOOKUP($A726, NameDesignation[], 2,FALSE), " ")</f>
        <v>Former Director</v>
      </c>
      <c r="C726" s="139" t="s">
        <v>29</v>
      </c>
      <c r="D726" s="139">
        <v>466</v>
      </c>
      <c r="E726" s="140">
        <v>44551</v>
      </c>
      <c r="F726" s="139" t="str">
        <f t="shared" si="33"/>
        <v>Q4-21</v>
      </c>
      <c r="G726" s="140" t="str">
        <f t="shared" si="34"/>
        <v>Dec'21</v>
      </c>
      <c r="H726" s="140" t="str">
        <f>TEXT(RawData[[#This Row],[Date]], "YYYY")</f>
        <v>2021</v>
      </c>
      <c r="I726" s="141" t="s">
        <v>32</v>
      </c>
      <c r="J726" s="141" t="s">
        <v>90</v>
      </c>
      <c r="K726" s="139">
        <f t="shared" si="35"/>
        <v>1</v>
      </c>
      <c r="L726" s="142">
        <f>IF(RawData[[#This Row],[Paid/Unpaid]]="Paid", IF(VALUE($E726)&gt;VALUE($D$3),$K726* 10000,$K726* 8000), 0)</f>
        <v>8000</v>
      </c>
      <c r="M726" s="53" t="s">
        <v>146</v>
      </c>
    </row>
    <row r="727" spans="1:13" ht="12.75" customHeight="1" x14ac:dyDescent="0.3">
      <c r="A727" s="143" t="s">
        <v>12</v>
      </c>
      <c r="B727" s="139" t="str">
        <f>IFERROR(VLOOKUP($A727, NameDesignation[], 2,FALSE), " ")</f>
        <v>Former Director</v>
      </c>
      <c r="C727" s="139" t="s">
        <v>29</v>
      </c>
      <c r="D727" s="139">
        <v>466</v>
      </c>
      <c r="E727" s="140">
        <v>44551</v>
      </c>
      <c r="F727" s="139" t="str">
        <f t="shared" si="33"/>
        <v>Q4-21</v>
      </c>
      <c r="G727" s="140" t="str">
        <f t="shared" si="34"/>
        <v>Dec'21</v>
      </c>
      <c r="H727" s="140" t="str">
        <f>TEXT(RawData[[#This Row],[Date]], "YYYY")</f>
        <v>2021</v>
      </c>
      <c r="I727" s="141" t="s">
        <v>32</v>
      </c>
      <c r="J727" s="141" t="s">
        <v>90</v>
      </c>
      <c r="K727" s="139">
        <f t="shared" si="35"/>
        <v>1</v>
      </c>
      <c r="L727" s="142">
        <f>IF(RawData[[#This Row],[Paid/Unpaid]]="Paid", IF(VALUE($E727)&gt;VALUE($D$3),$K727* 10000,$K727* 8000), 0)</f>
        <v>8000</v>
      </c>
      <c r="M727" s="53" t="s">
        <v>146</v>
      </c>
    </row>
    <row r="728" spans="1:13" ht="12.75" customHeight="1" x14ac:dyDescent="0.3">
      <c r="A728" s="143" t="s">
        <v>137</v>
      </c>
      <c r="B728" s="139" t="str">
        <f>IFERROR(VLOOKUP($A728, NameDesignation[], 2,FALSE), " ")</f>
        <v>Former Director</v>
      </c>
      <c r="C728" s="139" t="s">
        <v>29</v>
      </c>
      <c r="D728" s="139">
        <v>466</v>
      </c>
      <c r="E728" s="140">
        <v>44551</v>
      </c>
      <c r="F728" s="139" t="str">
        <f t="shared" si="33"/>
        <v>Q4-21</v>
      </c>
      <c r="G728" s="140" t="str">
        <f t="shared" si="34"/>
        <v>Dec'21</v>
      </c>
      <c r="H728" s="140" t="str">
        <f>TEXT(RawData[[#This Row],[Date]], "YYYY")</f>
        <v>2021</v>
      </c>
      <c r="I728" s="141" t="s">
        <v>32</v>
      </c>
      <c r="J728" s="141" t="s">
        <v>90</v>
      </c>
      <c r="K728" s="139">
        <f t="shared" si="35"/>
        <v>1</v>
      </c>
      <c r="L728" s="142">
        <f>IF(RawData[[#This Row],[Paid/Unpaid]]="Paid", IF(VALUE($E728)&gt;VALUE($D$3),$K728* 10000,$K728* 8000), 0)</f>
        <v>8000</v>
      </c>
      <c r="M728" s="53" t="s">
        <v>146</v>
      </c>
    </row>
    <row r="729" spans="1:13" ht="12.75" customHeight="1" x14ac:dyDescent="0.3">
      <c r="A729" s="143" t="s">
        <v>13</v>
      </c>
      <c r="B729" s="139" t="str">
        <f>IFERROR(VLOOKUP($A729, NameDesignation[], 2,FALSE), " ")</f>
        <v>Former Director</v>
      </c>
      <c r="C729" s="139" t="s">
        <v>29</v>
      </c>
      <c r="D729" s="139">
        <v>466</v>
      </c>
      <c r="E729" s="140">
        <v>44551</v>
      </c>
      <c r="F729" s="139" t="str">
        <f t="shared" si="33"/>
        <v>Q4-21</v>
      </c>
      <c r="G729" s="140" t="str">
        <f t="shared" si="34"/>
        <v>Dec'21</v>
      </c>
      <c r="H729" s="140" t="str">
        <f>TEXT(RawData[[#This Row],[Date]], "YYYY")</f>
        <v>2021</v>
      </c>
      <c r="I729" s="141" t="s">
        <v>32</v>
      </c>
      <c r="J729" s="141" t="s">
        <v>90</v>
      </c>
      <c r="K729" s="139">
        <f t="shared" si="35"/>
        <v>1</v>
      </c>
      <c r="L729" s="142">
        <f>IF(RawData[[#This Row],[Paid/Unpaid]]="Paid", IF(VALUE($E729)&gt;VALUE($D$3),$K729* 10000,$K729* 8000), 0)</f>
        <v>8000</v>
      </c>
      <c r="M729" s="53" t="s">
        <v>146</v>
      </c>
    </row>
    <row r="730" spans="1:13" ht="12.75" customHeight="1" x14ac:dyDescent="0.3">
      <c r="A730" s="143" t="s">
        <v>61</v>
      </c>
      <c r="B730" s="139" t="str">
        <f>IFERROR(VLOOKUP($A730, NameDesignation[], 2,FALSE), " ")</f>
        <v>Former Director</v>
      </c>
      <c r="C730" s="139" t="s">
        <v>29</v>
      </c>
      <c r="D730" s="139">
        <v>466</v>
      </c>
      <c r="E730" s="140">
        <v>44551</v>
      </c>
      <c r="F730" s="139" t="str">
        <f t="shared" si="33"/>
        <v>Q4-21</v>
      </c>
      <c r="G730" s="140" t="str">
        <f t="shared" si="34"/>
        <v>Dec'21</v>
      </c>
      <c r="H730" s="140" t="str">
        <f>TEXT(RawData[[#This Row],[Date]], "YYYY")</f>
        <v>2021</v>
      </c>
      <c r="I730" s="141" t="s">
        <v>32</v>
      </c>
      <c r="J730" s="141" t="s">
        <v>90</v>
      </c>
      <c r="K730" s="139">
        <f t="shared" si="35"/>
        <v>1</v>
      </c>
      <c r="L730" s="142">
        <f>IF(RawData[[#This Row],[Paid/Unpaid]]="Paid", IF(VALUE($E730)&gt;VALUE($D$3),$K730* 10000,$K730* 8000), 0)</f>
        <v>8000</v>
      </c>
      <c r="M730" s="53" t="s">
        <v>146</v>
      </c>
    </row>
    <row r="731" spans="1:13" ht="12.75" customHeight="1" x14ac:dyDescent="0.3">
      <c r="A731" s="143" t="s">
        <v>23</v>
      </c>
      <c r="B731" s="139" t="str">
        <f>IFERROR(VLOOKUP($A731, NameDesignation[], 2,FALSE), " ")</f>
        <v>Former Director</v>
      </c>
      <c r="C731" s="139" t="s">
        <v>29</v>
      </c>
      <c r="D731" s="139">
        <v>466</v>
      </c>
      <c r="E731" s="140">
        <v>44551</v>
      </c>
      <c r="F731" s="139" t="str">
        <f t="shared" si="33"/>
        <v>Q4-21</v>
      </c>
      <c r="G731" s="140" t="str">
        <f t="shared" si="34"/>
        <v>Dec'21</v>
      </c>
      <c r="H731" s="140" t="str">
        <f>TEXT(RawData[[#This Row],[Date]], "YYYY")</f>
        <v>2021</v>
      </c>
      <c r="I731" s="141" t="s">
        <v>32</v>
      </c>
      <c r="J731" s="141" t="s">
        <v>90</v>
      </c>
      <c r="K731" s="139">
        <f t="shared" si="35"/>
        <v>1</v>
      </c>
      <c r="L731" s="142">
        <f>IF(RawData[[#This Row],[Paid/Unpaid]]="Paid", IF(VALUE($E731)&gt;VALUE($D$3),$K731* 10000,$K731* 8000), 0)</f>
        <v>8000</v>
      </c>
      <c r="M731" s="53" t="s">
        <v>146</v>
      </c>
    </row>
    <row r="732" spans="1:13" ht="12.75" customHeight="1" x14ac:dyDescent="0.3">
      <c r="A732" s="143" t="s">
        <v>24</v>
      </c>
      <c r="B732" s="139" t="str">
        <f>IFERROR(VLOOKUP($A732, NameDesignation[], 2,FALSE), " ")</f>
        <v>Former Director</v>
      </c>
      <c r="C732" s="139" t="s">
        <v>29</v>
      </c>
      <c r="D732" s="139">
        <v>466</v>
      </c>
      <c r="E732" s="140">
        <v>44551</v>
      </c>
      <c r="F732" s="139" t="str">
        <f t="shared" si="33"/>
        <v>Q4-21</v>
      </c>
      <c r="G732" s="140" t="str">
        <f t="shared" si="34"/>
        <v>Dec'21</v>
      </c>
      <c r="H732" s="140" t="str">
        <f>TEXT(RawData[[#This Row],[Date]], "YYYY")</f>
        <v>2021</v>
      </c>
      <c r="I732" s="141" t="s">
        <v>32</v>
      </c>
      <c r="J732" s="141" t="s">
        <v>90</v>
      </c>
      <c r="K732" s="139">
        <f t="shared" si="35"/>
        <v>1</v>
      </c>
      <c r="L732" s="142">
        <f>IF(RawData[[#This Row],[Paid/Unpaid]]="Paid", IF(VALUE($E732)&gt;VALUE($D$3),$K732* 10000,$K732* 8000), 0)</f>
        <v>8000</v>
      </c>
      <c r="M732" s="53" t="s">
        <v>146</v>
      </c>
    </row>
    <row r="733" spans="1:13" ht="12.75" customHeight="1" x14ac:dyDescent="0.3">
      <c r="A733" s="143" t="s">
        <v>15</v>
      </c>
      <c r="B733" s="139" t="str">
        <f>IFERROR(VLOOKUP($A733, NameDesignation[], 2,FALSE), " ")</f>
        <v>Former Director</v>
      </c>
      <c r="C733" s="139" t="s">
        <v>29</v>
      </c>
      <c r="D733" s="139">
        <v>466</v>
      </c>
      <c r="E733" s="140">
        <v>44551</v>
      </c>
      <c r="F733" s="139" t="str">
        <f t="shared" si="33"/>
        <v>Q4-21</v>
      </c>
      <c r="G733" s="140" t="str">
        <f t="shared" si="34"/>
        <v>Dec'21</v>
      </c>
      <c r="H733" s="140" t="str">
        <f>TEXT(RawData[[#This Row],[Date]], "YYYY")</f>
        <v>2021</v>
      </c>
      <c r="I733" s="141" t="s">
        <v>32</v>
      </c>
      <c r="J733" s="141" t="s">
        <v>90</v>
      </c>
      <c r="K733" s="139">
        <f t="shared" si="35"/>
        <v>1</v>
      </c>
      <c r="L733" s="142">
        <f>IF(RawData[[#This Row],[Paid/Unpaid]]="Paid", IF(VALUE($E733)&gt;VALUE($D$3),$K733* 10000,$K733* 8000), 0)</f>
        <v>8000</v>
      </c>
      <c r="M733" s="53" t="s">
        <v>146</v>
      </c>
    </row>
    <row r="734" spans="1:13" ht="12.75" customHeight="1" x14ac:dyDescent="0.3">
      <c r="A734" s="143" t="s">
        <v>21</v>
      </c>
      <c r="B734" s="139" t="str">
        <f>IFERROR(VLOOKUP($A734, NameDesignation[], 2,FALSE), " ")</f>
        <v>Former Independent Director</v>
      </c>
      <c r="C734" s="139" t="s">
        <v>29</v>
      </c>
      <c r="D734" s="139">
        <v>466</v>
      </c>
      <c r="E734" s="140">
        <v>44551</v>
      </c>
      <c r="F734" s="139" t="str">
        <f t="shared" si="33"/>
        <v>Q4-21</v>
      </c>
      <c r="G734" s="140" t="str">
        <f t="shared" si="34"/>
        <v>Dec'21</v>
      </c>
      <c r="H734" s="140" t="str">
        <f>TEXT(RawData[[#This Row],[Date]], "YYYY")</f>
        <v>2021</v>
      </c>
      <c r="I734" s="141" t="s">
        <v>32</v>
      </c>
      <c r="J734" s="141" t="s">
        <v>91</v>
      </c>
      <c r="K734" s="139">
        <f t="shared" si="35"/>
        <v>0</v>
      </c>
      <c r="L734" s="142">
        <f>IF(RawData[[#This Row],[Paid/Unpaid]]="Paid", IF(VALUE($E734)&gt;VALUE($D$3),$K734* 10000,$K734* 8000), 0)</f>
        <v>0</v>
      </c>
      <c r="M734" s="53" t="s">
        <v>146</v>
      </c>
    </row>
    <row r="735" spans="1:13" ht="12.75" customHeight="1" x14ac:dyDescent="0.3">
      <c r="A735" s="143" t="s">
        <v>25</v>
      </c>
      <c r="B735" s="139" t="str">
        <f>IFERROR(VLOOKUP($A735, NameDesignation[], 2,FALSE), " ")</f>
        <v>Former Director</v>
      </c>
      <c r="C735" s="139" t="s">
        <v>29</v>
      </c>
      <c r="D735" s="139">
        <v>466</v>
      </c>
      <c r="E735" s="140">
        <v>44551</v>
      </c>
      <c r="F735" s="139" t="str">
        <f t="shared" si="33"/>
        <v>Q4-21</v>
      </c>
      <c r="G735" s="140" t="str">
        <f t="shared" si="34"/>
        <v>Dec'21</v>
      </c>
      <c r="H735" s="140" t="str">
        <f>TEXT(RawData[[#This Row],[Date]], "YYYY")</f>
        <v>2021</v>
      </c>
      <c r="I735" s="141" t="s">
        <v>32</v>
      </c>
      <c r="J735" s="141" t="s">
        <v>90</v>
      </c>
      <c r="K735" s="139">
        <f t="shared" si="35"/>
        <v>1</v>
      </c>
      <c r="L735" s="142">
        <f>IF(RawData[[#This Row],[Paid/Unpaid]]="Paid", IF(VALUE($E735)&gt;VALUE($D$3),$K735* 10000,$K735* 8000), 0)</f>
        <v>8000</v>
      </c>
      <c r="M735" s="53" t="s">
        <v>146</v>
      </c>
    </row>
    <row r="736" spans="1:13" ht="12.75" customHeight="1" x14ac:dyDescent="0.3">
      <c r="A736" s="143" t="s">
        <v>50</v>
      </c>
      <c r="B736" s="139" t="str">
        <f>IFERROR(VLOOKUP($A736, NameDesignation[], 2,FALSE), " ")</f>
        <v>Former Director</v>
      </c>
      <c r="C736" s="139" t="s">
        <v>29</v>
      </c>
      <c r="D736" s="139">
        <v>466</v>
      </c>
      <c r="E736" s="140">
        <v>44551</v>
      </c>
      <c r="F736" s="139" t="str">
        <f t="shared" si="33"/>
        <v>Q4-21</v>
      </c>
      <c r="G736" s="140" t="str">
        <f t="shared" si="34"/>
        <v>Dec'21</v>
      </c>
      <c r="H736" s="140" t="str">
        <f>TEXT(RawData[[#This Row],[Date]], "YYYY")</f>
        <v>2021</v>
      </c>
      <c r="I736" s="141" t="s">
        <v>32</v>
      </c>
      <c r="J736" s="141" t="s">
        <v>90</v>
      </c>
      <c r="K736" s="139">
        <f t="shared" si="35"/>
        <v>1</v>
      </c>
      <c r="L736" s="142">
        <f>IF(RawData[[#This Row],[Paid/Unpaid]]="Paid", IF(VALUE($E736)&gt;VALUE($D$3),$K736* 10000,$K736* 8000), 0)</f>
        <v>8000</v>
      </c>
      <c r="M736" s="53" t="s">
        <v>146</v>
      </c>
    </row>
    <row r="737" spans="1:13" ht="12.75" customHeight="1" x14ac:dyDescent="0.3">
      <c r="A737" s="143" t="s">
        <v>51</v>
      </c>
      <c r="B737" s="139" t="str">
        <f>IFERROR(VLOOKUP($A737, NameDesignation[], 2,FALSE), " ")</f>
        <v>Former Director</v>
      </c>
      <c r="C737" s="139" t="s">
        <v>29</v>
      </c>
      <c r="D737" s="139">
        <v>466</v>
      </c>
      <c r="E737" s="140">
        <v>44551</v>
      </c>
      <c r="F737" s="139" t="str">
        <f t="shared" si="33"/>
        <v>Q4-21</v>
      </c>
      <c r="G737" s="140" t="str">
        <f t="shared" si="34"/>
        <v>Dec'21</v>
      </c>
      <c r="H737" s="140" t="str">
        <f>TEXT(RawData[[#This Row],[Date]], "YYYY")</f>
        <v>2021</v>
      </c>
      <c r="I737" s="141" t="s">
        <v>32</v>
      </c>
      <c r="J737" s="141" t="s">
        <v>90</v>
      </c>
      <c r="K737" s="139">
        <f t="shared" si="35"/>
        <v>1</v>
      </c>
      <c r="L737" s="142">
        <f>IF(RawData[[#This Row],[Paid/Unpaid]]="Paid", IF(VALUE($E737)&gt;VALUE($D$3),$K737* 10000,$K737* 8000), 0)</f>
        <v>8000</v>
      </c>
      <c r="M737" s="53" t="s">
        <v>146</v>
      </c>
    </row>
    <row r="738" spans="1:13" ht="12.75" customHeight="1" x14ac:dyDescent="0.3">
      <c r="A738" s="143" t="s">
        <v>18</v>
      </c>
      <c r="B738" s="139" t="str">
        <f>IFERROR(VLOOKUP($A738, NameDesignation[], 2,FALSE), " ")</f>
        <v>Former Independent Director</v>
      </c>
      <c r="C738" s="139" t="s">
        <v>29</v>
      </c>
      <c r="D738" s="139">
        <v>466</v>
      </c>
      <c r="E738" s="140">
        <v>44551</v>
      </c>
      <c r="F738" s="139" t="str">
        <f t="shared" si="33"/>
        <v>Q4-21</v>
      </c>
      <c r="G738" s="140" t="str">
        <f t="shared" si="34"/>
        <v>Dec'21</v>
      </c>
      <c r="H738" s="140" t="str">
        <f>TEXT(RawData[[#This Row],[Date]], "YYYY")</f>
        <v>2021</v>
      </c>
      <c r="I738" s="141" t="s">
        <v>32</v>
      </c>
      <c r="J738" s="141" t="s">
        <v>90</v>
      </c>
      <c r="K738" s="139">
        <f t="shared" si="35"/>
        <v>1</v>
      </c>
      <c r="L738" s="142">
        <f>IF(RawData[[#This Row],[Paid/Unpaid]]="Paid", IF(VALUE($E738)&gt;VALUE($D$3),$K738* 10000,$K738* 8000), 0)</f>
        <v>8000</v>
      </c>
      <c r="M738" s="53" t="s">
        <v>146</v>
      </c>
    </row>
    <row r="739" spans="1:13" ht="12.75" customHeight="1" x14ac:dyDescent="0.3">
      <c r="A739" s="143" t="s">
        <v>34</v>
      </c>
      <c r="B739" s="139" t="str">
        <f>IFERROR(VLOOKUP($A739, NameDesignation[], 2,FALSE), " ")</f>
        <v>Former Managing Director &amp; CEO</v>
      </c>
      <c r="C739" s="139" t="s">
        <v>29</v>
      </c>
      <c r="D739" s="139">
        <v>466</v>
      </c>
      <c r="E739" s="140">
        <v>44551</v>
      </c>
      <c r="F739" s="139" t="str">
        <f t="shared" si="33"/>
        <v>Q4-21</v>
      </c>
      <c r="G739" s="140" t="str">
        <f t="shared" si="34"/>
        <v>Dec'21</v>
      </c>
      <c r="H739" s="140" t="str">
        <f>TEXT(RawData[[#This Row],[Date]], "YYYY")</f>
        <v>2021</v>
      </c>
      <c r="I739" s="141" t="s">
        <v>32</v>
      </c>
      <c r="J739" s="141" t="s">
        <v>90</v>
      </c>
      <c r="K739" s="139">
        <f t="shared" si="35"/>
        <v>1</v>
      </c>
      <c r="L739" s="142">
        <f>IF(RawData[[#This Row],[Paid/Unpaid]]="Paid", IF(VALUE($E739)&gt;VALUE($D$3),$K739* 10000,$K739* 8000), 0)</f>
        <v>8000</v>
      </c>
      <c r="M739" s="53" t="s">
        <v>146</v>
      </c>
    </row>
    <row r="740" spans="1:13" ht="12.75" customHeight="1" x14ac:dyDescent="0.3">
      <c r="A740" s="143" t="s">
        <v>49</v>
      </c>
      <c r="B740" s="139" t="str">
        <f>IFERROR(VLOOKUP($A740, NameDesignation[], 2,FALSE), " ")</f>
        <v>Former Director</v>
      </c>
      <c r="C740" s="139" t="s">
        <v>38</v>
      </c>
      <c r="D740" s="139">
        <v>33</v>
      </c>
      <c r="E740" s="140">
        <v>44553</v>
      </c>
      <c r="F740" s="139" t="str">
        <f t="shared" si="33"/>
        <v>Q4-21</v>
      </c>
      <c r="G740" s="140" t="str">
        <f t="shared" si="34"/>
        <v>Dec'21</v>
      </c>
      <c r="H740" s="140" t="str">
        <f>TEXT(RawData[[#This Row],[Date]], "YYYY")</f>
        <v>2021</v>
      </c>
      <c r="I740" s="141" t="s">
        <v>32</v>
      </c>
      <c r="J740" s="141" t="s">
        <v>90</v>
      </c>
      <c r="K740" s="139">
        <f t="shared" si="35"/>
        <v>1</v>
      </c>
      <c r="L740" s="142">
        <f>IF(RawData[[#This Row],[Paid/Unpaid]]="Paid", IF(VALUE($E740)&gt;VALUE($D$3),$K740* 10000,$K740* 8000), 0)</f>
        <v>8000</v>
      </c>
      <c r="M740" s="53" t="s">
        <v>146</v>
      </c>
    </row>
    <row r="741" spans="1:13" ht="12.75" customHeight="1" x14ac:dyDescent="0.3">
      <c r="A741" s="143" t="s">
        <v>9</v>
      </c>
      <c r="B741" s="139" t="str">
        <f>IFERROR(VLOOKUP($A741, NameDesignation[], 2,FALSE), " ")</f>
        <v>Former Director</v>
      </c>
      <c r="C741" s="139" t="s">
        <v>38</v>
      </c>
      <c r="D741" s="139">
        <v>33</v>
      </c>
      <c r="E741" s="140">
        <v>44553</v>
      </c>
      <c r="F741" s="139" t="str">
        <f t="shared" si="33"/>
        <v>Q4-21</v>
      </c>
      <c r="G741" s="140" t="str">
        <f t="shared" si="34"/>
        <v>Dec'21</v>
      </c>
      <c r="H741" s="140" t="str">
        <f>TEXT(RawData[[#This Row],[Date]], "YYYY")</f>
        <v>2021</v>
      </c>
      <c r="I741" s="141" t="s">
        <v>32</v>
      </c>
      <c r="J741" s="141" t="s">
        <v>90</v>
      </c>
      <c r="K741" s="139">
        <f t="shared" si="35"/>
        <v>1</v>
      </c>
      <c r="L741" s="142">
        <f>IF(RawData[[#This Row],[Paid/Unpaid]]="Paid", IF(VALUE($E741)&gt;VALUE($D$3),$K741* 10000,$K741* 8000), 0)</f>
        <v>8000</v>
      </c>
      <c r="M741" s="53" t="s">
        <v>146</v>
      </c>
    </row>
    <row r="742" spans="1:13" ht="12.75" customHeight="1" x14ac:dyDescent="0.3">
      <c r="A742" s="143" t="s">
        <v>61</v>
      </c>
      <c r="B742" s="139" t="str">
        <f>IFERROR(VLOOKUP($A742, NameDesignation[], 2,FALSE), " ")</f>
        <v>Former Director</v>
      </c>
      <c r="C742" s="139" t="s">
        <v>38</v>
      </c>
      <c r="D742" s="139">
        <v>33</v>
      </c>
      <c r="E742" s="140">
        <v>44553</v>
      </c>
      <c r="F742" s="139" t="str">
        <f t="shared" si="33"/>
        <v>Q4-21</v>
      </c>
      <c r="G742" s="140" t="str">
        <f t="shared" si="34"/>
        <v>Dec'21</v>
      </c>
      <c r="H742" s="140" t="str">
        <f>TEXT(RawData[[#This Row],[Date]], "YYYY")</f>
        <v>2021</v>
      </c>
      <c r="I742" s="141" t="s">
        <v>32</v>
      </c>
      <c r="J742" s="141" t="s">
        <v>90</v>
      </c>
      <c r="K742" s="139">
        <f t="shared" si="35"/>
        <v>1</v>
      </c>
      <c r="L742" s="142">
        <f>IF(RawData[[#This Row],[Paid/Unpaid]]="Paid", IF(VALUE($E742)&gt;VALUE($D$3),$K742* 10000,$K742* 8000), 0)</f>
        <v>8000</v>
      </c>
      <c r="M742" s="53" t="s">
        <v>146</v>
      </c>
    </row>
    <row r="743" spans="1:13" ht="12.75" customHeight="1" x14ac:dyDescent="0.3">
      <c r="A743" s="143" t="s">
        <v>15</v>
      </c>
      <c r="B743" s="139" t="str">
        <f>IFERROR(VLOOKUP($A743, NameDesignation[], 2,FALSE), " ")</f>
        <v>Former Director</v>
      </c>
      <c r="C743" s="139" t="s">
        <v>38</v>
      </c>
      <c r="D743" s="139">
        <v>33</v>
      </c>
      <c r="E743" s="140">
        <v>44553</v>
      </c>
      <c r="F743" s="139" t="str">
        <f t="shared" si="33"/>
        <v>Q4-21</v>
      </c>
      <c r="G743" s="140" t="str">
        <f t="shared" si="34"/>
        <v>Dec'21</v>
      </c>
      <c r="H743" s="140" t="str">
        <f>TEXT(RawData[[#This Row],[Date]], "YYYY")</f>
        <v>2021</v>
      </c>
      <c r="I743" s="141" t="s">
        <v>32</v>
      </c>
      <c r="J743" s="141" t="s">
        <v>90</v>
      </c>
      <c r="K743" s="139">
        <f t="shared" si="35"/>
        <v>1</v>
      </c>
      <c r="L743" s="142">
        <f>IF(RawData[[#This Row],[Paid/Unpaid]]="Paid", IF(VALUE($E743)&gt;VALUE($D$3),$K743* 10000,$K743* 8000), 0)</f>
        <v>8000</v>
      </c>
      <c r="M743" s="53" t="s">
        <v>146</v>
      </c>
    </row>
    <row r="744" spans="1:13" ht="12.75" customHeight="1" x14ac:dyDescent="0.3">
      <c r="A744" s="143" t="s">
        <v>137</v>
      </c>
      <c r="B744" s="139" t="str">
        <f>IFERROR(VLOOKUP($A744, NameDesignation[], 2,FALSE), " ")</f>
        <v>Former Director</v>
      </c>
      <c r="C744" s="139" t="s">
        <v>38</v>
      </c>
      <c r="D744" s="139">
        <v>33</v>
      </c>
      <c r="E744" s="140">
        <v>44553</v>
      </c>
      <c r="F744" s="139" t="str">
        <f t="shared" si="33"/>
        <v>Q4-21</v>
      </c>
      <c r="G744" s="140" t="str">
        <f t="shared" si="34"/>
        <v>Dec'21</v>
      </c>
      <c r="H744" s="140" t="str">
        <f>TEXT(RawData[[#This Row],[Date]], "YYYY")</f>
        <v>2021</v>
      </c>
      <c r="I744" s="141" t="s">
        <v>32</v>
      </c>
      <c r="J744" s="141" t="s">
        <v>90</v>
      </c>
      <c r="K744" s="139">
        <f t="shared" si="35"/>
        <v>1</v>
      </c>
      <c r="L744" s="142">
        <f>IF(RawData[[#This Row],[Paid/Unpaid]]="Paid", IF(VALUE($E744)&gt;VALUE($D$3),$K744* 10000,$K744* 8000), 0)</f>
        <v>8000</v>
      </c>
      <c r="M744" s="53" t="s">
        <v>146</v>
      </c>
    </row>
    <row r="745" spans="1:13" ht="12.75" customHeight="1" x14ac:dyDescent="0.3">
      <c r="A745" s="143" t="s">
        <v>7</v>
      </c>
      <c r="B745" s="139" t="str">
        <f>IFERROR(VLOOKUP($A745, NameDesignation[], 2,FALSE), " ")</f>
        <v>Former Director</v>
      </c>
      <c r="C745" s="139" t="s">
        <v>29</v>
      </c>
      <c r="D745" s="139">
        <v>467</v>
      </c>
      <c r="E745" s="140">
        <v>44585</v>
      </c>
      <c r="F745" s="139" t="str">
        <f t="shared" si="33"/>
        <v>Q1-22</v>
      </c>
      <c r="G745" s="140" t="str">
        <f t="shared" si="34"/>
        <v>Jan'22</v>
      </c>
      <c r="H745" s="140" t="str">
        <f>TEXT(RawData[[#This Row],[Date]], "YYYY")</f>
        <v>2022</v>
      </c>
      <c r="I745" s="141" t="s">
        <v>32</v>
      </c>
      <c r="J745" s="141" t="s">
        <v>90</v>
      </c>
      <c r="K745" s="139">
        <f t="shared" si="35"/>
        <v>1</v>
      </c>
      <c r="L745" s="142">
        <f>IF(RawData[[#This Row],[Paid/Unpaid]]="Paid", IF(VALUE($E745)&gt;VALUE($D$3),$K745* 10000,$K745* 8000), 0)</f>
        <v>8000</v>
      </c>
      <c r="M745" s="53" t="s">
        <v>146</v>
      </c>
    </row>
    <row r="746" spans="1:13" ht="12.75" customHeight="1" x14ac:dyDescent="0.3">
      <c r="A746" s="143" t="s">
        <v>8</v>
      </c>
      <c r="B746" s="139" t="str">
        <f>IFERROR(VLOOKUP($A746, NameDesignation[], 2,FALSE), " ")</f>
        <v>Former Vice-Chairman</v>
      </c>
      <c r="C746" s="139" t="s">
        <v>29</v>
      </c>
      <c r="D746" s="139">
        <v>467</v>
      </c>
      <c r="E746" s="140">
        <v>44585</v>
      </c>
      <c r="F746" s="139" t="str">
        <f t="shared" si="33"/>
        <v>Q1-22</v>
      </c>
      <c r="G746" s="140" t="str">
        <f t="shared" si="34"/>
        <v>Jan'22</v>
      </c>
      <c r="H746" s="140" t="str">
        <f>TEXT(RawData[[#This Row],[Date]], "YYYY")</f>
        <v>2022</v>
      </c>
      <c r="I746" s="141" t="s">
        <v>32</v>
      </c>
      <c r="J746" s="141" t="s">
        <v>90</v>
      </c>
      <c r="K746" s="139">
        <f t="shared" si="35"/>
        <v>1</v>
      </c>
      <c r="L746" s="142">
        <f>IF(RawData[[#This Row],[Paid/Unpaid]]="Paid", IF(VALUE($E746)&gt;VALUE($D$3),$K746* 10000,$K746* 8000), 0)</f>
        <v>8000</v>
      </c>
      <c r="M746" s="53" t="s">
        <v>146</v>
      </c>
    </row>
    <row r="747" spans="1:13" ht="12.75" customHeight="1" x14ac:dyDescent="0.3">
      <c r="A747" s="143" t="s">
        <v>9</v>
      </c>
      <c r="B747" s="139" t="str">
        <f>IFERROR(VLOOKUP($A747, NameDesignation[], 2,FALSE), " ")</f>
        <v>Former Director</v>
      </c>
      <c r="C747" s="139" t="s">
        <v>29</v>
      </c>
      <c r="D747" s="139">
        <v>467</v>
      </c>
      <c r="E747" s="140">
        <v>44585</v>
      </c>
      <c r="F747" s="139" t="str">
        <f t="shared" si="33"/>
        <v>Q1-22</v>
      </c>
      <c r="G747" s="140" t="str">
        <f t="shared" si="34"/>
        <v>Jan'22</v>
      </c>
      <c r="H747" s="140" t="str">
        <f>TEXT(RawData[[#This Row],[Date]], "YYYY")</f>
        <v>2022</v>
      </c>
      <c r="I747" s="141" t="s">
        <v>32</v>
      </c>
      <c r="J747" s="141" t="s">
        <v>90</v>
      </c>
      <c r="K747" s="139">
        <f t="shared" si="35"/>
        <v>1</v>
      </c>
      <c r="L747" s="142">
        <f>IF(RawData[[#This Row],[Paid/Unpaid]]="Paid", IF(VALUE($E747)&gt;VALUE($D$3),$K747* 10000,$K747* 8000), 0)</f>
        <v>8000</v>
      </c>
      <c r="M747" s="53" t="s">
        <v>146</v>
      </c>
    </row>
    <row r="748" spans="1:13" ht="12.75" customHeight="1" x14ac:dyDescent="0.3">
      <c r="A748" s="143" t="s">
        <v>20</v>
      </c>
      <c r="B748" s="139" t="str">
        <f>IFERROR(VLOOKUP($A748, NameDesignation[], 2,FALSE), " ")</f>
        <v>Former Independent Director</v>
      </c>
      <c r="C748" s="139" t="s">
        <v>29</v>
      </c>
      <c r="D748" s="139">
        <v>467</v>
      </c>
      <c r="E748" s="140">
        <v>44585</v>
      </c>
      <c r="F748" s="139" t="str">
        <f t="shared" si="33"/>
        <v>Q1-22</v>
      </c>
      <c r="G748" s="140" t="str">
        <f t="shared" si="34"/>
        <v>Jan'22</v>
      </c>
      <c r="H748" s="140" t="str">
        <f>TEXT(RawData[[#This Row],[Date]], "YYYY")</f>
        <v>2022</v>
      </c>
      <c r="I748" s="141" t="s">
        <v>32</v>
      </c>
      <c r="J748" s="141" t="s">
        <v>90</v>
      </c>
      <c r="K748" s="139">
        <f t="shared" si="35"/>
        <v>1</v>
      </c>
      <c r="L748" s="142">
        <f>IF(RawData[[#This Row],[Paid/Unpaid]]="Paid", IF(VALUE($E748)&gt;VALUE($D$3),$K748* 10000,$K748* 8000), 0)</f>
        <v>8000</v>
      </c>
      <c r="M748" s="53" t="s">
        <v>146</v>
      </c>
    </row>
    <row r="749" spans="1:13" ht="12.75" customHeight="1" x14ac:dyDescent="0.3">
      <c r="A749" s="143" t="s">
        <v>49</v>
      </c>
      <c r="B749" s="139" t="str">
        <f>IFERROR(VLOOKUP($A749, NameDesignation[], 2,FALSE), " ")</f>
        <v>Former Director</v>
      </c>
      <c r="C749" s="139" t="s">
        <v>29</v>
      </c>
      <c r="D749" s="139">
        <v>467</v>
      </c>
      <c r="E749" s="140">
        <v>44585</v>
      </c>
      <c r="F749" s="139" t="str">
        <f t="shared" si="33"/>
        <v>Q1-22</v>
      </c>
      <c r="G749" s="140" t="str">
        <f t="shared" si="34"/>
        <v>Jan'22</v>
      </c>
      <c r="H749" s="140" t="str">
        <f>TEXT(RawData[[#This Row],[Date]], "YYYY")</f>
        <v>2022</v>
      </c>
      <c r="I749" s="141" t="s">
        <v>32</v>
      </c>
      <c r="J749" s="141" t="s">
        <v>90</v>
      </c>
      <c r="K749" s="139">
        <f t="shared" si="35"/>
        <v>1</v>
      </c>
      <c r="L749" s="142">
        <f>IF(RawData[[#This Row],[Paid/Unpaid]]="Paid", IF(VALUE($E749)&gt;VALUE($D$3),$K749* 10000,$K749* 8000), 0)</f>
        <v>8000</v>
      </c>
      <c r="M749" s="53" t="s">
        <v>146</v>
      </c>
    </row>
    <row r="750" spans="1:13" ht="12.75" customHeight="1" x14ac:dyDescent="0.3">
      <c r="A750" s="143" t="s">
        <v>11</v>
      </c>
      <c r="B750" s="139" t="str">
        <f>IFERROR(VLOOKUP($A750, NameDesignation[], 2,FALSE), " ")</f>
        <v>Former Director</v>
      </c>
      <c r="C750" s="139" t="s">
        <v>29</v>
      </c>
      <c r="D750" s="139">
        <v>467</v>
      </c>
      <c r="E750" s="140">
        <v>44585</v>
      </c>
      <c r="F750" s="139" t="str">
        <f t="shared" si="33"/>
        <v>Q1-22</v>
      </c>
      <c r="G750" s="140" t="str">
        <f t="shared" si="34"/>
        <v>Jan'22</v>
      </c>
      <c r="H750" s="140" t="str">
        <f>TEXT(RawData[[#This Row],[Date]], "YYYY")</f>
        <v>2022</v>
      </c>
      <c r="I750" s="141" t="s">
        <v>32</v>
      </c>
      <c r="J750" s="141" t="s">
        <v>90</v>
      </c>
      <c r="K750" s="139">
        <f t="shared" si="35"/>
        <v>1</v>
      </c>
      <c r="L750" s="142">
        <f>IF(RawData[[#This Row],[Paid/Unpaid]]="Paid", IF(VALUE($E750)&gt;VALUE($D$3),$K750* 10000,$K750* 8000), 0)</f>
        <v>8000</v>
      </c>
      <c r="M750" s="53" t="s">
        <v>146</v>
      </c>
    </row>
    <row r="751" spans="1:13" ht="12.75" customHeight="1" x14ac:dyDescent="0.3">
      <c r="A751" s="143" t="s">
        <v>12</v>
      </c>
      <c r="B751" s="139" t="str">
        <f>IFERROR(VLOOKUP($A751, NameDesignation[], 2,FALSE), " ")</f>
        <v>Former Director</v>
      </c>
      <c r="C751" s="139" t="s">
        <v>29</v>
      </c>
      <c r="D751" s="139">
        <v>467</v>
      </c>
      <c r="E751" s="140">
        <v>44585</v>
      </c>
      <c r="F751" s="139" t="str">
        <f t="shared" si="33"/>
        <v>Q1-22</v>
      </c>
      <c r="G751" s="140" t="str">
        <f t="shared" si="34"/>
        <v>Jan'22</v>
      </c>
      <c r="H751" s="140" t="str">
        <f>TEXT(RawData[[#This Row],[Date]], "YYYY")</f>
        <v>2022</v>
      </c>
      <c r="I751" s="141" t="s">
        <v>32</v>
      </c>
      <c r="J751" s="141" t="s">
        <v>90</v>
      </c>
      <c r="K751" s="139">
        <f t="shared" si="35"/>
        <v>1</v>
      </c>
      <c r="L751" s="142">
        <f>IF(RawData[[#This Row],[Paid/Unpaid]]="Paid", IF(VALUE($E751)&gt;VALUE($D$3),$K751* 10000,$K751* 8000), 0)</f>
        <v>8000</v>
      </c>
      <c r="M751" s="53" t="s">
        <v>146</v>
      </c>
    </row>
    <row r="752" spans="1:13" ht="12.75" customHeight="1" x14ac:dyDescent="0.3">
      <c r="A752" s="143" t="s">
        <v>137</v>
      </c>
      <c r="B752" s="139" t="str">
        <f>IFERROR(VLOOKUP($A752, NameDesignation[], 2,FALSE), " ")</f>
        <v>Former Director</v>
      </c>
      <c r="C752" s="139" t="s">
        <v>29</v>
      </c>
      <c r="D752" s="139">
        <v>467</v>
      </c>
      <c r="E752" s="140">
        <v>44585</v>
      </c>
      <c r="F752" s="139" t="str">
        <f t="shared" si="33"/>
        <v>Q1-22</v>
      </c>
      <c r="G752" s="140" t="str">
        <f t="shared" si="34"/>
        <v>Jan'22</v>
      </c>
      <c r="H752" s="140" t="str">
        <f>TEXT(RawData[[#This Row],[Date]], "YYYY")</f>
        <v>2022</v>
      </c>
      <c r="I752" s="141" t="s">
        <v>32</v>
      </c>
      <c r="J752" s="141" t="s">
        <v>90</v>
      </c>
      <c r="K752" s="139">
        <f t="shared" si="35"/>
        <v>1</v>
      </c>
      <c r="L752" s="142">
        <f>IF(RawData[[#This Row],[Paid/Unpaid]]="Paid", IF(VALUE($E752)&gt;VALUE($D$3),$K752* 10000,$K752* 8000), 0)</f>
        <v>8000</v>
      </c>
      <c r="M752" s="53" t="s">
        <v>146</v>
      </c>
    </row>
    <row r="753" spans="1:13" ht="12.75" customHeight="1" x14ac:dyDescent="0.3">
      <c r="A753" s="143" t="s">
        <v>13</v>
      </c>
      <c r="B753" s="139" t="str">
        <f>IFERROR(VLOOKUP($A753, NameDesignation[], 2,FALSE), " ")</f>
        <v>Former Director</v>
      </c>
      <c r="C753" s="139" t="s">
        <v>29</v>
      </c>
      <c r="D753" s="139">
        <v>467</v>
      </c>
      <c r="E753" s="140">
        <v>44585</v>
      </c>
      <c r="F753" s="139" t="str">
        <f t="shared" si="33"/>
        <v>Q1-22</v>
      </c>
      <c r="G753" s="140" t="str">
        <f t="shared" si="34"/>
        <v>Jan'22</v>
      </c>
      <c r="H753" s="140" t="str">
        <f>TEXT(RawData[[#This Row],[Date]], "YYYY")</f>
        <v>2022</v>
      </c>
      <c r="I753" s="141" t="s">
        <v>32</v>
      </c>
      <c r="J753" s="141" t="s">
        <v>91</v>
      </c>
      <c r="K753" s="139">
        <f t="shared" si="35"/>
        <v>0</v>
      </c>
      <c r="L753" s="142">
        <f>IF(RawData[[#This Row],[Paid/Unpaid]]="Paid", IF(VALUE($E753)&gt;VALUE($D$3),$K753* 10000,$K753* 8000), 0)</f>
        <v>0</v>
      </c>
      <c r="M753" s="53" t="s">
        <v>146</v>
      </c>
    </row>
    <row r="754" spans="1:13" ht="12.75" customHeight="1" x14ac:dyDescent="0.3">
      <c r="A754" s="143" t="s">
        <v>61</v>
      </c>
      <c r="B754" s="139" t="str">
        <f>IFERROR(VLOOKUP($A754, NameDesignation[], 2,FALSE), " ")</f>
        <v>Former Director</v>
      </c>
      <c r="C754" s="139" t="s">
        <v>29</v>
      </c>
      <c r="D754" s="139">
        <v>467</v>
      </c>
      <c r="E754" s="140">
        <v>44585</v>
      </c>
      <c r="F754" s="139" t="str">
        <f t="shared" si="33"/>
        <v>Q1-22</v>
      </c>
      <c r="G754" s="140" t="str">
        <f t="shared" si="34"/>
        <v>Jan'22</v>
      </c>
      <c r="H754" s="140" t="str">
        <f>TEXT(RawData[[#This Row],[Date]], "YYYY")</f>
        <v>2022</v>
      </c>
      <c r="I754" s="141" t="s">
        <v>32</v>
      </c>
      <c r="J754" s="141" t="s">
        <v>90</v>
      </c>
      <c r="K754" s="139">
        <f t="shared" si="35"/>
        <v>1</v>
      </c>
      <c r="L754" s="142">
        <f>IF(RawData[[#This Row],[Paid/Unpaid]]="Paid", IF(VALUE($E754)&gt;VALUE($D$3),$K754* 10000,$K754* 8000), 0)</f>
        <v>8000</v>
      </c>
      <c r="M754" s="53" t="s">
        <v>146</v>
      </c>
    </row>
    <row r="755" spans="1:13" ht="12.75" customHeight="1" x14ac:dyDescent="0.3">
      <c r="A755" s="143" t="s">
        <v>23</v>
      </c>
      <c r="B755" s="139" t="str">
        <f>IFERROR(VLOOKUP($A755, NameDesignation[], 2,FALSE), " ")</f>
        <v>Former Director</v>
      </c>
      <c r="C755" s="139" t="s">
        <v>29</v>
      </c>
      <c r="D755" s="139">
        <v>467</v>
      </c>
      <c r="E755" s="140">
        <v>44585</v>
      </c>
      <c r="F755" s="139" t="str">
        <f t="shared" si="33"/>
        <v>Q1-22</v>
      </c>
      <c r="G755" s="140" t="str">
        <f t="shared" si="34"/>
        <v>Jan'22</v>
      </c>
      <c r="H755" s="140" t="str">
        <f>TEXT(RawData[[#This Row],[Date]], "YYYY")</f>
        <v>2022</v>
      </c>
      <c r="I755" s="141" t="s">
        <v>32</v>
      </c>
      <c r="J755" s="141" t="s">
        <v>90</v>
      </c>
      <c r="K755" s="139">
        <f t="shared" si="35"/>
        <v>1</v>
      </c>
      <c r="L755" s="142">
        <f>IF(RawData[[#This Row],[Paid/Unpaid]]="Paid", IF(VALUE($E755)&gt;VALUE($D$3),$K755* 10000,$K755* 8000), 0)</f>
        <v>8000</v>
      </c>
      <c r="M755" s="53" t="s">
        <v>146</v>
      </c>
    </row>
    <row r="756" spans="1:13" ht="12.75" customHeight="1" x14ac:dyDescent="0.3">
      <c r="A756" s="143" t="s">
        <v>24</v>
      </c>
      <c r="B756" s="139" t="str">
        <f>IFERROR(VLOOKUP($A756, NameDesignation[], 2,FALSE), " ")</f>
        <v>Former Director</v>
      </c>
      <c r="C756" s="139" t="s">
        <v>29</v>
      </c>
      <c r="D756" s="139">
        <v>467</v>
      </c>
      <c r="E756" s="140">
        <v>44585</v>
      </c>
      <c r="F756" s="139" t="str">
        <f t="shared" si="33"/>
        <v>Q1-22</v>
      </c>
      <c r="G756" s="140" t="str">
        <f t="shared" si="34"/>
        <v>Jan'22</v>
      </c>
      <c r="H756" s="140" t="str">
        <f>TEXT(RawData[[#This Row],[Date]], "YYYY")</f>
        <v>2022</v>
      </c>
      <c r="I756" s="141" t="s">
        <v>32</v>
      </c>
      <c r="J756" s="141" t="s">
        <v>90</v>
      </c>
      <c r="K756" s="139">
        <f t="shared" si="35"/>
        <v>1</v>
      </c>
      <c r="L756" s="142">
        <f>IF(RawData[[#This Row],[Paid/Unpaid]]="Paid", IF(VALUE($E756)&gt;VALUE($D$3),$K756* 10000,$K756* 8000), 0)</f>
        <v>8000</v>
      </c>
      <c r="M756" s="53" t="s">
        <v>146</v>
      </c>
    </row>
    <row r="757" spans="1:13" ht="12.75" customHeight="1" x14ac:dyDescent="0.3">
      <c r="A757" s="143" t="s">
        <v>15</v>
      </c>
      <c r="B757" s="139" t="str">
        <f>IFERROR(VLOOKUP($A757, NameDesignation[], 2,FALSE), " ")</f>
        <v>Former Director</v>
      </c>
      <c r="C757" s="139" t="s">
        <v>29</v>
      </c>
      <c r="D757" s="139">
        <v>467</v>
      </c>
      <c r="E757" s="140">
        <v>44585</v>
      </c>
      <c r="F757" s="139" t="str">
        <f t="shared" si="33"/>
        <v>Q1-22</v>
      </c>
      <c r="G757" s="140" t="str">
        <f t="shared" si="34"/>
        <v>Jan'22</v>
      </c>
      <c r="H757" s="140" t="str">
        <f>TEXT(RawData[[#This Row],[Date]], "YYYY")</f>
        <v>2022</v>
      </c>
      <c r="I757" s="141" t="s">
        <v>32</v>
      </c>
      <c r="J757" s="141" t="s">
        <v>90</v>
      </c>
      <c r="K757" s="139">
        <f t="shared" si="35"/>
        <v>1</v>
      </c>
      <c r="L757" s="142">
        <f>IF(RawData[[#This Row],[Paid/Unpaid]]="Paid", IF(VALUE($E757)&gt;VALUE($D$3),$K757* 10000,$K757* 8000), 0)</f>
        <v>8000</v>
      </c>
      <c r="M757" s="53" t="s">
        <v>146</v>
      </c>
    </row>
    <row r="758" spans="1:13" ht="12.75" customHeight="1" x14ac:dyDescent="0.3">
      <c r="A758" s="143" t="s">
        <v>16</v>
      </c>
      <c r="B758" s="139" t="str">
        <f>IFERROR(VLOOKUP($A758, NameDesignation[], 2,FALSE), " ")</f>
        <v>Former Director</v>
      </c>
      <c r="C758" s="139" t="s">
        <v>29</v>
      </c>
      <c r="D758" s="139">
        <v>467</v>
      </c>
      <c r="E758" s="140">
        <v>44585</v>
      </c>
      <c r="F758" s="139" t="str">
        <f t="shared" si="33"/>
        <v>Q1-22</v>
      </c>
      <c r="G758" s="140" t="str">
        <f t="shared" si="34"/>
        <v>Jan'22</v>
      </c>
      <c r="H758" s="140" t="str">
        <f>TEXT(RawData[[#This Row],[Date]], "YYYY")</f>
        <v>2022</v>
      </c>
      <c r="I758" s="141" t="s">
        <v>32</v>
      </c>
      <c r="J758" s="141" t="s">
        <v>90</v>
      </c>
      <c r="K758" s="139">
        <f t="shared" si="35"/>
        <v>1</v>
      </c>
      <c r="L758" s="142">
        <f>IF(RawData[[#This Row],[Paid/Unpaid]]="Paid", IF(VALUE($E758)&gt;VALUE($D$3),$K758* 10000,$K758* 8000), 0)</f>
        <v>8000</v>
      </c>
      <c r="M758" s="53" t="s">
        <v>146</v>
      </c>
    </row>
    <row r="759" spans="1:13" ht="12.75" customHeight="1" x14ac:dyDescent="0.3">
      <c r="A759" s="143" t="s">
        <v>21</v>
      </c>
      <c r="B759" s="139" t="str">
        <f>IFERROR(VLOOKUP($A759, NameDesignation[], 2,FALSE), " ")</f>
        <v>Former Independent Director</v>
      </c>
      <c r="C759" s="139" t="s">
        <v>29</v>
      </c>
      <c r="D759" s="139">
        <v>467</v>
      </c>
      <c r="E759" s="140">
        <v>44585</v>
      </c>
      <c r="F759" s="139" t="str">
        <f t="shared" si="33"/>
        <v>Q1-22</v>
      </c>
      <c r="G759" s="140" t="str">
        <f t="shared" si="34"/>
        <v>Jan'22</v>
      </c>
      <c r="H759" s="140" t="str">
        <f>TEXT(RawData[[#This Row],[Date]], "YYYY")</f>
        <v>2022</v>
      </c>
      <c r="I759" s="141" t="s">
        <v>32</v>
      </c>
      <c r="J759" s="141" t="s">
        <v>90</v>
      </c>
      <c r="K759" s="139">
        <f t="shared" si="35"/>
        <v>1</v>
      </c>
      <c r="L759" s="142">
        <f>IF(RawData[[#This Row],[Paid/Unpaid]]="Paid", IF(VALUE($E759)&gt;VALUE($D$3),$K759* 10000,$K759* 8000), 0)</f>
        <v>8000</v>
      </c>
      <c r="M759" s="53" t="s">
        <v>146</v>
      </c>
    </row>
    <row r="760" spans="1:13" ht="12.75" customHeight="1" x14ac:dyDescent="0.3">
      <c r="A760" s="143" t="s">
        <v>25</v>
      </c>
      <c r="B760" s="139" t="str">
        <f>IFERROR(VLOOKUP($A760, NameDesignation[], 2,FALSE), " ")</f>
        <v>Former Director</v>
      </c>
      <c r="C760" s="139" t="s">
        <v>29</v>
      </c>
      <c r="D760" s="139">
        <v>467</v>
      </c>
      <c r="E760" s="140">
        <v>44585</v>
      </c>
      <c r="F760" s="139" t="str">
        <f t="shared" si="33"/>
        <v>Q1-22</v>
      </c>
      <c r="G760" s="140" t="str">
        <f t="shared" si="34"/>
        <v>Jan'22</v>
      </c>
      <c r="H760" s="140" t="str">
        <f>TEXT(RawData[[#This Row],[Date]], "YYYY")</f>
        <v>2022</v>
      </c>
      <c r="I760" s="141" t="s">
        <v>32</v>
      </c>
      <c r="J760" s="141" t="s">
        <v>90</v>
      </c>
      <c r="K760" s="139">
        <f t="shared" si="35"/>
        <v>1</v>
      </c>
      <c r="L760" s="142">
        <f>IF(RawData[[#This Row],[Paid/Unpaid]]="Paid", IF(VALUE($E760)&gt;VALUE($D$3),$K760* 10000,$K760* 8000), 0)</f>
        <v>8000</v>
      </c>
      <c r="M760" s="53" t="s">
        <v>146</v>
      </c>
    </row>
    <row r="761" spans="1:13" ht="12.75" customHeight="1" x14ac:dyDescent="0.3">
      <c r="A761" s="143" t="s">
        <v>50</v>
      </c>
      <c r="B761" s="139" t="str">
        <f>IFERROR(VLOOKUP($A761, NameDesignation[], 2,FALSE), " ")</f>
        <v>Former Director</v>
      </c>
      <c r="C761" s="139" t="s">
        <v>29</v>
      </c>
      <c r="D761" s="139">
        <v>467</v>
      </c>
      <c r="E761" s="140">
        <v>44585</v>
      </c>
      <c r="F761" s="139" t="str">
        <f t="shared" si="33"/>
        <v>Q1-22</v>
      </c>
      <c r="G761" s="140" t="str">
        <f t="shared" si="34"/>
        <v>Jan'22</v>
      </c>
      <c r="H761" s="140" t="str">
        <f>TEXT(RawData[[#This Row],[Date]], "YYYY")</f>
        <v>2022</v>
      </c>
      <c r="I761" s="141" t="s">
        <v>32</v>
      </c>
      <c r="J761" s="141" t="s">
        <v>90</v>
      </c>
      <c r="K761" s="139">
        <f t="shared" si="35"/>
        <v>1</v>
      </c>
      <c r="L761" s="142">
        <f>IF(RawData[[#This Row],[Paid/Unpaid]]="Paid", IF(VALUE($E761)&gt;VALUE($D$3),$K761* 10000,$K761* 8000), 0)</f>
        <v>8000</v>
      </c>
      <c r="M761" s="53" t="s">
        <v>146</v>
      </c>
    </row>
    <row r="762" spans="1:13" ht="12.75" customHeight="1" x14ac:dyDescent="0.3">
      <c r="A762" s="143" t="s">
        <v>51</v>
      </c>
      <c r="B762" s="139" t="str">
        <f>IFERROR(VLOOKUP($A762, NameDesignation[], 2,FALSE), " ")</f>
        <v>Former Director</v>
      </c>
      <c r="C762" s="139" t="s">
        <v>29</v>
      </c>
      <c r="D762" s="139">
        <v>467</v>
      </c>
      <c r="E762" s="140">
        <v>44585</v>
      </c>
      <c r="F762" s="139" t="str">
        <f t="shared" si="33"/>
        <v>Q1-22</v>
      </c>
      <c r="G762" s="140" t="str">
        <f t="shared" si="34"/>
        <v>Jan'22</v>
      </c>
      <c r="H762" s="140" t="str">
        <f>TEXT(RawData[[#This Row],[Date]], "YYYY")</f>
        <v>2022</v>
      </c>
      <c r="I762" s="141" t="s">
        <v>32</v>
      </c>
      <c r="J762" s="141" t="s">
        <v>91</v>
      </c>
      <c r="K762" s="139">
        <f t="shared" si="35"/>
        <v>0</v>
      </c>
      <c r="L762" s="142">
        <f>IF(RawData[[#This Row],[Paid/Unpaid]]="Paid", IF(VALUE($E762)&gt;VALUE($D$3),$K762* 10000,$K762* 8000), 0)</f>
        <v>0</v>
      </c>
      <c r="M762" s="53" t="s">
        <v>146</v>
      </c>
    </row>
    <row r="763" spans="1:13" ht="12.75" customHeight="1" x14ac:dyDescent="0.3">
      <c r="A763" s="143" t="s">
        <v>18</v>
      </c>
      <c r="B763" s="139" t="str">
        <f>IFERROR(VLOOKUP($A763, NameDesignation[], 2,FALSE), " ")</f>
        <v>Former Independent Director</v>
      </c>
      <c r="C763" s="139" t="s">
        <v>29</v>
      </c>
      <c r="D763" s="139">
        <v>467</v>
      </c>
      <c r="E763" s="140">
        <v>44585</v>
      </c>
      <c r="F763" s="139" t="str">
        <f t="shared" si="33"/>
        <v>Q1-22</v>
      </c>
      <c r="G763" s="140" t="str">
        <f t="shared" si="34"/>
        <v>Jan'22</v>
      </c>
      <c r="H763" s="140" t="str">
        <f>TEXT(RawData[[#This Row],[Date]], "YYYY")</f>
        <v>2022</v>
      </c>
      <c r="I763" s="141" t="s">
        <v>32</v>
      </c>
      <c r="J763" s="141" t="s">
        <v>90</v>
      </c>
      <c r="K763" s="139">
        <f t="shared" si="35"/>
        <v>1</v>
      </c>
      <c r="L763" s="142">
        <f>IF(RawData[[#This Row],[Paid/Unpaid]]="Paid", IF(VALUE($E763)&gt;VALUE($D$3),$K763* 10000,$K763* 8000), 0)</f>
        <v>8000</v>
      </c>
      <c r="M763" s="53" t="s">
        <v>146</v>
      </c>
    </row>
    <row r="764" spans="1:13" ht="12.75" customHeight="1" x14ac:dyDescent="0.3">
      <c r="A764" s="143" t="s">
        <v>34</v>
      </c>
      <c r="B764" s="139" t="str">
        <f>IFERROR(VLOOKUP($A764, NameDesignation[], 2,FALSE), " ")</f>
        <v>Former Managing Director &amp; CEO</v>
      </c>
      <c r="C764" s="139" t="s">
        <v>29</v>
      </c>
      <c r="D764" s="139">
        <v>467</v>
      </c>
      <c r="E764" s="140">
        <v>44585</v>
      </c>
      <c r="F764" s="139" t="str">
        <f t="shared" si="33"/>
        <v>Q1-22</v>
      </c>
      <c r="G764" s="140" t="str">
        <f t="shared" si="34"/>
        <v>Jan'22</v>
      </c>
      <c r="H764" s="140" t="str">
        <f>TEXT(RawData[[#This Row],[Date]], "YYYY")</f>
        <v>2022</v>
      </c>
      <c r="I764" s="141" t="s">
        <v>32</v>
      </c>
      <c r="J764" s="141" t="s">
        <v>90</v>
      </c>
      <c r="K764" s="139">
        <f t="shared" si="35"/>
        <v>1</v>
      </c>
      <c r="L764" s="142">
        <f>IF(RawData[[#This Row],[Paid/Unpaid]]="Paid", IF(VALUE($E764)&gt;VALUE($D$3),$K764* 10000,$K764* 8000), 0)</f>
        <v>8000</v>
      </c>
      <c r="M764" s="53" t="s">
        <v>146</v>
      </c>
    </row>
    <row r="765" spans="1:13" ht="12.75" customHeight="1" x14ac:dyDescent="0.3">
      <c r="A765" s="144" t="s">
        <v>9</v>
      </c>
      <c r="B765" s="139" t="str">
        <f>IFERROR(VLOOKUP($A765, NameDesignation[], 2,FALSE), " ")</f>
        <v>Former Director</v>
      </c>
      <c r="C765" s="139" t="s">
        <v>30</v>
      </c>
      <c r="D765" s="139">
        <v>449</v>
      </c>
      <c r="E765" s="140">
        <v>44588</v>
      </c>
      <c r="F765" s="139" t="str">
        <f t="shared" si="33"/>
        <v>Q1-22</v>
      </c>
      <c r="G765" s="140" t="str">
        <f t="shared" si="34"/>
        <v>Jan'22</v>
      </c>
      <c r="H765" s="140" t="str">
        <f>TEXT(RawData[[#This Row],[Date]], "YYYY")</f>
        <v>2022</v>
      </c>
      <c r="I765" s="141" t="s">
        <v>32</v>
      </c>
      <c r="J765" s="141" t="s">
        <v>90</v>
      </c>
      <c r="K765" s="139">
        <f t="shared" si="35"/>
        <v>1</v>
      </c>
      <c r="L765" s="142">
        <f>IF(RawData[[#This Row],[Paid/Unpaid]]="Paid", IF(VALUE($E765)&gt;VALUE($D$3),$K765* 10000,$K765* 8000), 0)</f>
        <v>8000</v>
      </c>
      <c r="M765" s="53" t="s">
        <v>146</v>
      </c>
    </row>
    <row r="766" spans="1:13" ht="12.75" customHeight="1" x14ac:dyDescent="0.3">
      <c r="A766" s="144" t="s">
        <v>8</v>
      </c>
      <c r="B766" s="139" t="str">
        <f>IFERROR(VLOOKUP($A766, NameDesignation[], 2,FALSE), " ")</f>
        <v>Former Vice-Chairman</v>
      </c>
      <c r="C766" s="139" t="s">
        <v>30</v>
      </c>
      <c r="D766" s="139">
        <v>449</v>
      </c>
      <c r="E766" s="140">
        <v>44588</v>
      </c>
      <c r="F766" s="139" t="str">
        <f t="shared" si="33"/>
        <v>Q1-22</v>
      </c>
      <c r="G766" s="140" t="str">
        <f t="shared" si="34"/>
        <v>Jan'22</v>
      </c>
      <c r="H766" s="140" t="str">
        <f>TEXT(RawData[[#This Row],[Date]], "YYYY")</f>
        <v>2022</v>
      </c>
      <c r="I766" s="141" t="s">
        <v>32</v>
      </c>
      <c r="J766" s="141" t="s">
        <v>90</v>
      </c>
      <c r="K766" s="139">
        <f t="shared" si="35"/>
        <v>1</v>
      </c>
      <c r="L766" s="142">
        <f>IF(RawData[[#This Row],[Paid/Unpaid]]="Paid", IF(VALUE($E766)&gt;VALUE($D$3),$K766* 10000,$K766* 8000), 0)</f>
        <v>8000</v>
      </c>
      <c r="M766" s="53" t="s">
        <v>146</v>
      </c>
    </row>
    <row r="767" spans="1:13" ht="12.75" customHeight="1" x14ac:dyDescent="0.3">
      <c r="A767" s="144" t="s">
        <v>49</v>
      </c>
      <c r="B767" s="139" t="str">
        <f>IFERROR(VLOOKUP($A767, NameDesignation[], 2,FALSE), " ")</f>
        <v>Former Director</v>
      </c>
      <c r="C767" s="139" t="s">
        <v>30</v>
      </c>
      <c r="D767" s="139">
        <v>449</v>
      </c>
      <c r="E767" s="140">
        <v>44588</v>
      </c>
      <c r="F767" s="139" t="str">
        <f t="shared" si="33"/>
        <v>Q1-22</v>
      </c>
      <c r="G767" s="140" t="str">
        <f t="shared" si="34"/>
        <v>Jan'22</v>
      </c>
      <c r="H767" s="140" t="str">
        <f>TEXT(RawData[[#This Row],[Date]], "YYYY")</f>
        <v>2022</v>
      </c>
      <c r="I767" s="141" t="s">
        <v>32</v>
      </c>
      <c r="J767" s="141" t="s">
        <v>90</v>
      </c>
      <c r="K767" s="139">
        <f t="shared" si="35"/>
        <v>1</v>
      </c>
      <c r="L767" s="142">
        <f>IF(RawData[[#This Row],[Paid/Unpaid]]="Paid", IF(VALUE($E767)&gt;VALUE($D$3),$K767* 10000,$K767* 8000), 0)</f>
        <v>8000</v>
      </c>
      <c r="M767" s="53" t="s">
        <v>146</v>
      </c>
    </row>
    <row r="768" spans="1:13" ht="12.75" customHeight="1" x14ac:dyDescent="0.3">
      <c r="A768" s="144" t="s">
        <v>11</v>
      </c>
      <c r="B768" s="139" t="str">
        <f>IFERROR(VLOOKUP($A768, NameDesignation[], 2,FALSE), " ")</f>
        <v>Former Director</v>
      </c>
      <c r="C768" s="139" t="s">
        <v>30</v>
      </c>
      <c r="D768" s="139">
        <v>449</v>
      </c>
      <c r="E768" s="140">
        <v>44588</v>
      </c>
      <c r="F768" s="139" t="str">
        <f t="shared" si="33"/>
        <v>Q1-22</v>
      </c>
      <c r="G768" s="140" t="str">
        <f t="shared" si="34"/>
        <v>Jan'22</v>
      </c>
      <c r="H768" s="140" t="str">
        <f>TEXT(RawData[[#This Row],[Date]], "YYYY")</f>
        <v>2022</v>
      </c>
      <c r="I768" s="141" t="s">
        <v>32</v>
      </c>
      <c r="J768" s="141" t="s">
        <v>90</v>
      </c>
      <c r="K768" s="139">
        <f t="shared" si="35"/>
        <v>1</v>
      </c>
      <c r="L768" s="142">
        <f>IF(RawData[[#This Row],[Paid/Unpaid]]="Paid", IF(VALUE($E768)&gt;VALUE($D$3),$K768* 10000,$K768* 8000), 0)</f>
        <v>8000</v>
      </c>
      <c r="M768" s="53" t="s">
        <v>146</v>
      </c>
    </row>
    <row r="769" spans="1:13" ht="12.75" customHeight="1" x14ac:dyDescent="0.3">
      <c r="A769" s="144" t="s">
        <v>13</v>
      </c>
      <c r="B769" s="139" t="str">
        <f>IFERROR(VLOOKUP($A769, NameDesignation[], 2,FALSE), " ")</f>
        <v>Former Director</v>
      </c>
      <c r="C769" s="139" t="s">
        <v>30</v>
      </c>
      <c r="D769" s="139">
        <v>449</v>
      </c>
      <c r="E769" s="140">
        <v>44588</v>
      </c>
      <c r="F769" s="139" t="str">
        <f t="shared" si="33"/>
        <v>Q1-22</v>
      </c>
      <c r="G769" s="140" t="str">
        <f t="shared" si="34"/>
        <v>Jan'22</v>
      </c>
      <c r="H769" s="140" t="str">
        <f>TEXT(RawData[[#This Row],[Date]], "YYYY")</f>
        <v>2022</v>
      </c>
      <c r="I769" s="141" t="s">
        <v>32</v>
      </c>
      <c r="J769" s="141" t="s">
        <v>90</v>
      </c>
      <c r="K769" s="139">
        <f t="shared" si="35"/>
        <v>1</v>
      </c>
      <c r="L769" s="142">
        <f>IF(RawData[[#This Row],[Paid/Unpaid]]="Paid", IF(VALUE($E769)&gt;VALUE($D$3),$K769* 10000,$K769* 8000), 0)</f>
        <v>8000</v>
      </c>
      <c r="M769" s="53" t="s">
        <v>146</v>
      </c>
    </row>
    <row r="770" spans="1:13" ht="12.75" customHeight="1" x14ac:dyDescent="0.3">
      <c r="A770" s="144" t="s">
        <v>12</v>
      </c>
      <c r="B770" s="139" t="str">
        <f>IFERROR(VLOOKUP($A770, NameDesignation[], 2,FALSE), " ")</f>
        <v>Former Director</v>
      </c>
      <c r="C770" s="139" t="s">
        <v>30</v>
      </c>
      <c r="D770" s="139">
        <v>449</v>
      </c>
      <c r="E770" s="140">
        <v>44588</v>
      </c>
      <c r="F770" s="139" t="str">
        <f t="shared" si="33"/>
        <v>Q1-22</v>
      </c>
      <c r="G770" s="140" t="str">
        <f t="shared" si="34"/>
        <v>Jan'22</v>
      </c>
      <c r="H770" s="140" t="str">
        <f>TEXT(RawData[[#This Row],[Date]], "YYYY")</f>
        <v>2022</v>
      </c>
      <c r="I770" s="141" t="s">
        <v>32</v>
      </c>
      <c r="J770" s="141" t="s">
        <v>90</v>
      </c>
      <c r="K770" s="139">
        <f t="shared" si="35"/>
        <v>1</v>
      </c>
      <c r="L770" s="142">
        <f>IF(RawData[[#This Row],[Paid/Unpaid]]="Paid", IF(VALUE($E770)&gt;VALUE($D$3),$K770* 10000,$K770* 8000), 0)</f>
        <v>8000</v>
      </c>
      <c r="M770" s="53" t="s">
        <v>146</v>
      </c>
    </row>
    <row r="771" spans="1:13" ht="12.75" customHeight="1" x14ac:dyDescent="0.3">
      <c r="A771" s="144" t="s">
        <v>25</v>
      </c>
      <c r="B771" s="139" t="str">
        <f>IFERROR(VLOOKUP($A771, NameDesignation[], 2,FALSE), " ")</f>
        <v>Former Director</v>
      </c>
      <c r="C771" s="139" t="s">
        <v>30</v>
      </c>
      <c r="D771" s="139">
        <v>449</v>
      </c>
      <c r="E771" s="140">
        <v>44588</v>
      </c>
      <c r="F771" s="139" t="str">
        <f t="shared" si="33"/>
        <v>Q1-22</v>
      </c>
      <c r="G771" s="140" t="str">
        <f t="shared" si="34"/>
        <v>Jan'22</v>
      </c>
      <c r="H771" s="140" t="str">
        <f>TEXT(RawData[[#This Row],[Date]], "YYYY")</f>
        <v>2022</v>
      </c>
      <c r="I771" s="141" t="s">
        <v>32</v>
      </c>
      <c r="J771" s="141" t="s">
        <v>90</v>
      </c>
      <c r="K771" s="139">
        <f t="shared" si="35"/>
        <v>1</v>
      </c>
      <c r="L771" s="142">
        <f>IF(RawData[[#This Row],[Paid/Unpaid]]="Paid", IF(VALUE($E771)&gt;VALUE($D$3),$K771* 10000,$K771* 8000), 0)</f>
        <v>8000</v>
      </c>
      <c r="M771" s="53" t="s">
        <v>146</v>
      </c>
    </row>
    <row r="772" spans="1:13" ht="12.75" customHeight="1" x14ac:dyDescent="0.3">
      <c r="A772" s="143" t="s">
        <v>23</v>
      </c>
      <c r="B772" s="139" t="str">
        <f>IFERROR(VLOOKUP($A772, NameDesignation[], 2,FALSE), " ")</f>
        <v>Former Director</v>
      </c>
      <c r="C772" s="139" t="s">
        <v>37</v>
      </c>
      <c r="D772" s="139">
        <v>121</v>
      </c>
      <c r="E772" s="140">
        <v>44609</v>
      </c>
      <c r="F772" s="139" t="str">
        <f t="shared" si="33"/>
        <v>Q1-22</v>
      </c>
      <c r="G772" s="140" t="str">
        <f t="shared" si="34"/>
        <v>Feb'22</v>
      </c>
      <c r="H772" s="140" t="str">
        <f>TEXT(RawData[[#This Row],[Date]], "YYYY")</f>
        <v>2022</v>
      </c>
      <c r="I772" s="141" t="s">
        <v>32</v>
      </c>
      <c r="J772" s="141" t="s">
        <v>91</v>
      </c>
      <c r="K772" s="139">
        <f t="shared" si="35"/>
        <v>0</v>
      </c>
      <c r="L772" s="142">
        <f>IF(RawData[[#This Row],[Paid/Unpaid]]="Paid", IF(VALUE($E772)&gt;VALUE($D$3),$K772* 10000,$K772* 8000), 0)</f>
        <v>0</v>
      </c>
      <c r="M772" s="53" t="s">
        <v>146</v>
      </c>
    </row>
    <row r="773" spans="1:13" ht="12.75" customHeight="1" x14ac:dyDescent="0.3">
      <c r="A773" s="143" t="s">
        <v>24</v>
      </c>
      <c r="B773" s="139" t="str">
        <f>IFERROR(VLOOKUP($A773, NameDesignation[], 2,FALSE), " ")</f>
        <v>Former Director</v>
      </c>
      <c r="C773" s="139" t="s">
        <v>37</v>
      </c>
      <c r="D773" s="139">
        <v>121</v>
      </c>
      <c r="E773" s="140">
        <v>44609</v>
      </c>
      <c r="F773" s="139" t="str">
        <f t="shared" si="33"/>
        <v>Q1-22</v>
      </c>
      <c r="G773" s="140" t="str">
        <f t="shared" si="34"/>
        <v>Feb'22</v>
      </c>
      <c r="H773" s="140" t="str">
        <f>TEXT(RawData[[#This Row],[Date]], "YYYY")</f>
        <v>2022</v>
      </c>
      <c r="I773" s="141" t="s">
        <v>32</v>
      </c>
      <c r="J773" s="141" t="s">
        <v>91</v>
      </c>
      <c r="K773" s="139">
        <f t="shared" si="35"/>
        <v>0</v>
      </c>
      <c r="L773" s="142">
        <f>IF(RawData[[#This Row],[Paid/Unpaid]]="Paid", IF(VALUE($E773)&gt;VALUE($D$3),$K773* 10000,$K773* 8000), 0)</f>
        <v>0</v>
      </c>
      <c r="M773" s="53" t="s">
        <v>146</v>
      </c>
    </row>
    <row r="774" spans="1:13" ht="12.75" customHeight="1" x14ac:dyDescent="0.3">
      <c r="A774" s="143" t="s">
        <v>21</v>
      </c>
      <c r="B774" s="139" t="str">
        <f>IFERROR(VLOOKUP($A774, NameDesignation[], 2,FALSE), " ")</f>
        <v>Former Independent Director</v>
      </c>
      <c r="C774" s="139" t="s">
        <v>37</v>
      </c>
      <c r="D774" s="139">
        <v>121</v>
      </c>
      <c r="E774" s="140">
        <v>44609</v>
      </c>
      <c r="F774" s="139" t="str">
        <f t="shared" ref="F774:F837" si="36">CONCATENATE("Q", ROUNDUP(MONTH($E774)/3,0),"-",TEXT($E774, "yy"))</f>
        <v>Q1-22</v>
      </c>
      <c r="G774" s="140" t="str">
        <f t="shared" ref="G774:G837" si="37">CONCATENATE(TEXT($E774, "mmm"),"'", TEXT($E774, "yy"))</f>
        <v>Feb'22</v>
      </c>
      <c r="H774" s="140" t="str">
        <f>TEXT(RawData[[#This Row],[Date]], "YYYY")</f>
        <v>2022</v>
      </c>
      <c r="I774" s="141" t="s">
        <v>32</v>
      </c>
      <c r="J774" s="141" t="s">
        <v>90</v>
      </c>
      <c r="K774" s="139">
        <f t="shared" ref="K774:K837" si="38">IF($J774="Present", 1, 0)</f>
        <v>1</v>
      </c>
      <c r="L774" s="142">
        <f>IF(RawData[[#This Row],[Paid/Unpaid]]="Paid", IF(VALUE($E774)&gt;VALUE($D$3),$K774* 10000,$K774* 8000), 0)</f>
        <v>8000</v>
      </c>
      <c r="M774" s="53" t="s">
        <v>146</v>
      </c>
    </row>
    <row r="775" spans="1:13" ht="12.75" customHeight="1" x14ac:dyDescent="0.3">
      <c r="A775" s="143" t="s">
        <v>18</v>
      </c>
      <c r="B775" s="139" t="str">
        <f>IFERROR(VLOOKUP($A775, NameDesignation[], 2,FALSE), " ")</f>
        <v>Former Independent Director</v>
      </c>
      <c r="C775" s="139" t="s">
        <v>37</v>
      </c>
      <c r="D775" s="139">
        <v>121</v>
      </c>
      <c r="E775" s="140">
        <v>44609</v>
      </c>
      <c r="F775" s="139" t="str">
        <f t="shared" si="36"/>
        <v>Q1-22</v>
      </c>
      <c r="G775" s="140" t="str">
        <f t="shared" si="37"/>
        <v>Feb'22</v>
      </c>
      <c r="H775" s="140" t="str">
        <f>TEXT(RawData[[#This Row],[Date]], "YYYY")</f>
        <v>2022</v>
      </c>
      <c r="I775" s="141" t="s">
        <v>32</v>
      </c>
      <c r="J775" s="141" t="s">
        <v>90</v>
      </c>
      <c r="K775" s="139">
        <f t="shared" si="38"/>
        <v>1</v>
      </c>
      <c r="L775" s="142">
        <f>IF(RawData[[#This Row],[Paid/Unpaid]]="Paid", IF(VALUE($E775)&gt;VALUE($D$3),$K775* 10000,$K775* 8000), 0)</f>
        <v>8000</v>
      </c>
      <c r="M775" s="53" t="s">
        <v>146</v>
      </c>
    </row>
    <row r="776" spans="1:13" ht="12.75" customHeight="1" x14ac:dyDescent="0.3">
      <c r="A776" s="143" t="s">
        <v>7</v>
      </c>
      <c r="B776" s="139" t="str">
        <f>IFERROR(VLOOKUP($A776, NameDesignation[], 2,FALSE), " ")</f>
        <v>Former Director</v>
      </c>
      <c r="C776" s="139" t="s">
        <v>29</v>
      </c>
      <c r="D776" s="139">
        <v>468</v>
      </c>
      <c r="E776" s="140">
        <v>44612</v>
      </c>
      <c r="F776" s="139" t="str">
        <f t="shared" si="36"/>
        <v>Q1-22</v>
      </c>
      <c r="G776" s="140" t="str">
        <f t="shared" si="37"/>
        <v>Feb'22</v>
      </c>
      <c r="H776" s="140" t="str">
        <f>TEXT(RawData[[#This Row],[Date]], "YYYY")</f>
        <v>2022</v>
      </c>
      <c r="I776" s="141" t="s">
        <v>32</v>
      </c>
      <c r="J776" s="141" t="s">
        <v>90</v>
      </c>
      <c r="K776" s="139">
        <f t="shared" si="38"/>
        <v>1</v>
      </c>
      <c r="L776" s="142">
        <f>IF(RawData[[#This Row],[Paid/Unpaid]]="Paid", IF(VALUE($E776)&gt;VALUE($D$3),$K776* 10000,$K776* 8000), 0)</f>
        <v>8000</v>
      </c>
      <c r="M776" s="53" t="s">
        <v>146</v>
      </c>
    </row>
    <row r="777" spans="1:13" ht="12.75" customHeight="1" x14ac:dyDescent="0.3">
      <c r="A777" s="143" t="s">
        <v>8</v>
      </c>
      <c r="B777" s="139" t="str">
        <f>IFERROR(VLOOKUP($A777, NameDesignation[], 2,FALSE), " ")</f>
        <v>Former Vice-Chairman</v>
      </c>
      <c r="C777" s="139" t="s">
        <v>29</v>
      </c>
      <c r="D777" s="139">
        <v>468</v>
      </c>
      <c r="E777" s="140">
        <v>44612</v>
      </c>
      <c r="F777" s="139" t="str">
        <f t="shared" si="36"/>
        <v>Q1-22</v>
      </c>
      <c r="G777" s="140" t="str">
        <f t="shared" si="37"/>
        <v>Feb'22</v>
      </c>
      <c r="H777" s="140" t="str">
        <f>TEXT(RawData[[#This Row],[Date]], "YYYY")</f>
        <v>2022</v>
      </c>
      <c r="I777" s="141" t="s">
        <v>32</v>
      </c>
      <c r="J777" s="141" t="s">
        <v>90</v>
      </c>
      <c r="K777" s="139">
        <f t="shared" si="38"/>
        <v>1</v>
      </c>
      <c r="L777" s="142">
        <f>IF(RawData[[#This Row],[Paid/Unpaid]]="Paid", IF(VALUE($E777)&gt;VALUE($D$3),$K777* 10000,$K777* 8000), 0)</f>
        <v>8000</v>
      </c>
      <c r="M777" s="53" t="s">
        <v>146</v>
      </c>
    </row>
    <row r="778" spans="1:13" ht="12.75" customHeight="1" x14ac:dyDescent="0.3">
      <c r="A778" s="143" t="s">
        <v>9</v>
      </c>
      <c r="B778" s="139" t="str">
        <f>IFERROR(VLOOKUP($A778, NameDesignation[], 2,FALSE), " ")</f>
        <v>Former Director</v>
      </c>
      <c r="C778" s="139" t="s">
        <v>29</v>
      </c>
      <c r="D778" s="139">
        <v>468</v>
      </c>
      <c r="E778" s="140">
        <v>44612</v>
      </c>
      <c r="F778" s="139" t="str">
        <f t="shared" si="36"/>
        <v>Q1-22</v>
      </c>
      <c r="G778" s="140" t="str">
        <f t="shared" si="37"/>
        <v>Feb'22</v>
      </c>
      <c r="H778" s="140" t="str">
        <f>TEXT(RawData[[#This Row],[Date]], "YYYY")</f>
        <v>2022</v>
      </c>
      <c r="I778" s="141" t="s">
        <v>32</v>
      </c>
      <c r="J778" s="141" t="s">
        <v>90</v>
      </c>
      <c r="K778" s="139">
        <f t="shared" si="38"/>
        <v>1</v>
      </c>
      <c r="L778" s="142">
        <f>IF(RawData[[#This Row],[Paid/Unpaid]]="Paid", IF(VALUE($E778)&gt;VALUE($D$3),$K778* 10000,$K778* 8000), 0)</f>
        <v>8000</v>
      </c>
      <c r="M778" s="53" t="s">
        <v>146</v>
      </c>
    </row>
    <row r="779" spans="1:13" ht="12.75" customHeight="1" x14ac:dyDescent="0.3">
      <c r="A779" s="143" t="s">
        <v>20</v>
      </c>
      <c r="B779" s="139" t="str">
        <f>IFERROR(VLOOKUP($A779, NameDesignation[], 2,FALSE), " ")</f>
        <v>Former Independent Director</v>
      </c>
      <c r="C779" s="139" t="s">
        <v>29</v>
      </c>
      <c r="D779" s="139">
        <v>468</v>
      </c>
      <c r="E779" s="140">
        <v>44612</v>
      </c>
      <c r="F779" s="139" t="str">
        <f t="shared" si="36"/>
        <v>Q1-22</v>
      </c>
      <c r="G779" s="140" t="str">
        <f t="shared" si="37"/>
        <v>Feb'22</v>
      </c>
      <c r="H779" s="140" t="str">
        <f>TEXT(RawData[[#This Row],[Date]], "YYYY")</f>
        <v>2022</v>
      </c>
      <c r="I779" s="141" t="s">
        <v>32</v>
      </c>
      <c r="J779" s="141" t="s">
        <v>90</v>
      </c>
      <c r="K779" s="139">
        <f t="shared" si="38"/>
        <v>1</v>
      </c>
      <c r="L779" s="142">
        <f>IF(RawData[[#This Row],[Paid/Unpaid]]="Paid", IF(VALUE($E779)&gt;VALUE($D$3),$K779* 10000,$K779* 8000), 0)</f>
        <v>8000</v>
      </c>
      <c r="M779" s="53" t="s">
        <v>146</v>
      </c>
    </row>
    <row r="780" spans="1:13" ht="12.75" customHeight="1" x14ac:dyDescent="0.3">
      <c r="A780" s="143" t="s">
        <v>49</v>
      </c>
      <c r="B780" s="139" t="str">
        <f>IFERROR(VLOOKUP($A780, NameDesignation[], 2,FALSE), " ")</f>
        <v>Former Director</v>
      </c>
      <c r="C780" s="139" t="s">
        <v>29</v>
      </c>
      <c r="D780" s="139">
        <v>468</v>
      </c>
      <c r="E780" s="140">
        <v>44612</v>
      </c>
      <c r="F780" s="139" t="str">
        <f t="shared" si="36"/>
        <v>Q1-22</v>
      </c>
      <c r="G780" s="140" t="str">
        <f t="shared" si="37"/>
        <v>Feb'22</v>
      </c>
      <c r="H780" s="140" t="str">
        <f>TEXT(RawData[[#This Row],[Date]], "YYYY")</f>
        <v>2022</v>
      </c>
      <c r="I780" s="141" t="s">
        <v>32</v>
      </c>
      <c r="J780" s="141" t="s">
        <v>90</v>
      </c>
      <c r="K780" s="139">
        <f t="shared" si="38"/>
        <v>1</v>
      </c>
      <c r="L780" s="142">
        <f>IF(RawData[[#This Row],[Paid/Unpaid]]="Paid", IF(VALUE($E780)&gt;VALUE($D$3),$K780* 10000,$K780* 8000), 0)</f>
        <v>8000</v>
      </c>
      <c r="M780" s="53" t="s">
        <v>146</v>
      </c>
    </row>
    <row r="781" spans="1:13" ht="12.75" customHeight="1" x14ac:dyDescent="0.3">
      <c r="A781" s="143" t="s">
        <v>11</v>
      </c>
      <c r="B781" s="139" t="str">
        <f>IFERROR(VLOOKUP($A781, NameDesignation[], 2,FALSE), " ")</f>
        <v>Former Director</v>
      </c>
      <c r="C781" s="139" t="s">
        <v>29</v>
      </c>
      <c r="D781" s="139">
        <v>468</v>
      </c>
      <c r="E781" s="140">
        <v>44612</v>
      </c>
      <c r="F781" s="139" t="str">
        <f t="shared" si="36"/>
        <v>Q1-22</v>
      </c>
      <c r="G781" s="140" t="str">
        <f t="shared" si="37"/>
        <v>Feb'22</v>
      </c>
      <c r="H781" s="140" t="str">
        <f>TEXT(RawData[[#This Row],[Date]], "YYYY")</f>
        <v>2022</v>
      </c>
      <c r="I781" s="141" t="s">
        <v>32</v>
      </c>
      <c r="J781" s="141" t="s">
        <v>90</v>
      </c>
      <c r="K781" s="139">
        <f t="shared" si="38"/>
        <v>1</v>
      </c>
      <c r="L781" s="142">
        <f>IF(RawData[[#This Row],[Paid/Unpaid]]="Paid", IF(VALUE($E781)&gt;VALUE($D$3),$K781* 10000,$K781* 8000), 0)</f>
        <v>8000</v>
      </c>
      <c r="M781" s="53" t="s">
        <v>146</v>
      </c>
    </row>
    <row r="782" spans="1:13" ht="12.75" customHeight="1" x14ac:dyDescent="0.3">
      <c r="A782" s="143" t="s">
        <v>12</v>
      </c>
      <c r="B782" s="139" t="str">
        <f>IFERROR(VLOOKUP($A782, NameDesignation[], 2,FALSE), " ")</f>
        <v>Former Director</v>
      </c>
      <c r="C782" s="139" t="s">
        <v>29</v>
      </c>
      <c r="D782" s="139">
        <v>468</v>
      </c>
      <c r="E782" s="140">
        <v>44612</v>
      </c>
      <c r="F782" s="139" t="str">
        <f t="shared" si="36"/>
        <v>Q1-22</v>
      </c>
      <c r="G782" s="140" t="str">
        <f t="shared" si="37"/>
        <v>Feb'22</v>
      </c>
      <c r="H782" s="140" t="str">
        <f>TEXT(RawData[[#This Row],[Date]], "YYYY")</f>
        <v>2022</v>
      </c>
      <c r="I782" s="141" t="s">
        <v>32</v>
      </c>
      <c r="J782" s="141" t="s">
        <v>90</v>
      </c>
      <c r="K782" s="139">
        <f t="shared" si="38"/>
        <v>1</v>
      </c>
      <c r="L782" s="142">
        <f>IF(RawData[[#This Row],[Paid/Unpaid]]="Paid", IF(VALUE($E782)&gt;VALUE($D$3),$K782* 10000,$K782* 8000), 0)</f>
        <v>8000</v>
      </c>
      <c r="M782" s="53" t="s">
        <v>146</v>
      </c>
    </row>
    <row r="783" spans="1:13" ht="12.75" customHeight="1" x14ac:dyDescent="0.3">
      <c r="A783" s="143" t="s">
        <v>137</v>
      </c>
      <c r="B783" s="139" t="str">
        <f>IFERROR(VLOOKUP($A783, NameDesignation[], 2,FALSE), " ")</f>
        <v>Former Director</v>
      </c>
      <c r="C783" s="139" t="s">
        <v>29</v>
      </c>
      <c r="D783" s="139">
        <v>468</v>
      </c>
      <c r="E783" s="140">
        <v>44612</v>
      </c>
      <c r="F783" s="139" t="str">
        <f t="shared" si="36"/>
        <v>Q1-22</v>
      </c>
      <c r="G783" s="140" t="str">
        <f t="shared" si="37"/>
        <v>Feb'22</v>
      </c>
      <c r="H783" s="140" t="str">
        <f>TEXT(RawData[[#This Row],[Date]], "YYYY")</f>
        <v>2022</v>
      </c>
      <c r="I783" s="141" t="s">
        <v>32</v>
      </c>
      <c r="J783" s="141" t="s">
        <v>90</v>
      </c>
      <c r="K783" s="139">
        <f t="shared" si="38"/>
        <v>1</v>
      </c>
      <c r="L783" s="142">
        <f>IF(RawData[[#This Row],[Paid/Unpaid]]="Paid", IF(VALUE($E783)&gt;VALUE($D$3),$K783* 10000,$K783* 8000), 0)</f>
        <v>8000</v>
      </c>
      <c r="M783" s="53" t="s">
        <v>146</v>
      </c>
    </row>
    <row r="784" spans="1:13" ht="12.75" customHeight="1" x14ac:dyDescent="0.3">
      <c r="A784" s="143" t="s">
        <v>13</v>
      </c>
      <c r="B784" s="139" t="str">
        <f>IFERROR(VLOOKUP($A784, NameDesignation[], 2,FALSE), " ")</f>
        <v>Former Director</v>
      </c>
      <c r="C784" s="139" t="s">
        <v>29</v>
      </c>
      <c r="D784" s="139">
        <v>468</v>
      </c>
      <c r="E784" s="140">
        <v>44612</v>
      </c>
      <c r="F784" s="139" t="str">
        <f t="shared" si="36"/>
        <v>Q1-22</v>
      </c>
      <c r="G784" s="140" t="str">
        <f t="shared" si="37"/>
        <v>Feb'22</v>
      </c>
      <c r="H784" s="140" t="str">
        <f>TEXT(RawData[[#This Row],[Date]], "YYYY")</f>
        <v>2022</v>
      </c>
      <c r="I784" s="141" t="s">
        <v>32</v>
      </c>
      <c r="J784" s="141" t="s">
        <v>90</v>
      </c>
      <c r="K784" s="139">
        <f t="shared" si="38"/>
        <v>1</v>
      </c>
      <c r="L784" s="142">
        <f>IF(RawData[[#This Row],[Paid/Unpaid]]="Paid", IF(VALUE($E784)&gt;VALUE($D$3),$K784* 10000,$K784* 8000), 0)</f>
        <v>8000</v>
      </c>
      <c r="M784" s="53" t="s">
        <v>146</v>
      </c>
    </row>
    <row r="785" spans="1:13" ht="12.75" customHeight="1" x14ac:dyDescent="0.3">
      <c r="A785" s="143" t="s">
        <v>61</v>
      </c>
      <c r="B785" s="139" t="str">
        <f>IFERROR(VLOOKUP($A785, NameDesignation[], 2,FALSE), " ")</f>
        <v>Former Director</v>
      </c>
      <c r="C785" s="139" t="s">
        <v>29</v>
      </c>
      <c r="D785" s="139">
        <v>468</v>
      </c>
      <c r="E785" s="140">
        <v>44612</v>
      </c>
      <c r="F785" s="139" t="str">
        <f t="shared" si="36"/>
        <v>Q1-22</v>
      </c>
      <c r="G785" s="140" t="str">
        <f t="shared" si="37"/>
        <v>Feb'22</v>
      </c>
      <c r="H785" s="140" t="str">
        <f>TEXT(RawData[[#This Row],[Date]], "YYYY")</f>
        <v>2022</v>
      </c>
      <c r="I785" s="141" t="s">
        <v>32</v>
      </c>
      <c r="J785" s="141" t="s">
        <v>90</v>
      </c>
      <c r="K785" s="139">
        <f t="shared" si="38"/>
        <v>1</v>
      </c>
      <c r="L785" s="142">
        <f>IF(RawData[[#This Row],[Paid/Unpaid]]="Paid", IF(VALUE($E785)&gt;VALUE($D$3),$K785* 10000,$K785* 8000), 0)</f>
        <v>8000</v>
      </c>
      <c r="M785" s="53" t="s">
        <v>146</v>
      </c>
    </row>
    <row r="786" spans="1:13" ht="12.75" customHeight="1" x14ac:dyDescent="0.3">
      <c r="A786" s="143" t="s">
        <v>23</v>
      </c>
      <c r="B786" s="139" t="str">
        <f>IFERROR(VLOOKUP($A786, NameDesignation[], 2,FALSE), " ")</f>
        <v>Former Director</v>
      </c>
      <c r="C786" s="139" t="s">
        <v>29</v>
      </c>
      <c r="D786" s="139">
        <v>468</v>
      </c>
      <c r="E786" s="140">
        <v>44612</v>
      </c>
      <c r="F786" s="139" t="str">
        <f t="shared" si="36"/>
        <v>Q1-22</v>
      </c>
      <c r="G786" s="140" t="str">
        <f t="shared" si="37"/>
        <v>Feb'22</v>
      </c>
      <c r="H786" s="140" t="str">
        <f>TEXT(RawData[[#This Row],[Date]], "YYYY")</f>
        <v>2022</v>
      </c>
      <c r="I786" s="141" t="s">
        <v>32</v>
      </c>
      <c r="J786" s="141" t="s">
        <v>90</v>
      </c>
      <c r="K786" s="139">
        <f t="shared" si="38"/>
        <v>1</v>
      </c>
      <c r="L786" s="142">
        <f>IF(RawData[[#This Row],[Paid/Unpaid]]="Paid", IF(VALUE($E786)&gt;VALUE($D$3),$K786* 10000,$K786* 8000), 0)</f>
        <v>8000</v>
      </c>
      <c r="M786" s="53" t="s">
        <v>146</v>
      </c>
    </row>
    <row r="787" spans="1:13" ht="12.75" customHeight="1" x14ac:dyDescent="0.3">
      <c r="A787" s="143" t="s">
        <v>24</v>
      </c>
      <c r="B787" s="139" t="str">
        <f>IFERROR(VLOOKUP($A787, NameDesignation[], 2,FALSE), " ")</f>
        <v>Former Director</v>
      </c>
      <c r="C787" s="139" t="s">
        <v>29</v>
      </c>
      <c r="D787" s="139">
        <v>468</v>
      </c>
      <c r="E787" s="140">
        <v>44612</v>
      </c>
      <c r="F787" s="139" t="str">
        <f t="shared" si="36"/>
        <v>Q1-22</v>
      </c>
      <c r="G787" s="140" t="str">
        <f t="shared" si="37"/>
        <v>Feb'22</v>
      </c>
      <c r="H787" s="140" t="str">
        <f>TEXT(RawData[[#This Row],[Date]], "YYYY")</f>
        <v>2022</v>
      </c>
      <c r="I787" s="141" t="s">
        <v>32</v>
      </c>
      <c r="J787" s="141" t="s">
        <v>90</v>
      </c>
      <c r="K787" s="139">
        <f t="shared" si="38"/>
        <v>1</v>
      </c>
      <c r="L787" s="142">
        <f>IF(RawData[[#This Row],[Paid/Unpaid]]="Paid", IF(VALUE($E787)&gt;VALUE($D$3),$K787* 10000,$K787* 8000), 0)</f>
        <v>8000</v>
      </c>
      <c r="M787" s="53" t="s">
        <v>146</v>
      </c>
    </row>
    <row r="788" spans="1:13" ht="12.75" customHeight="1" x14ac:dyDescent="0.3">
      <c r="A788" s="143" t="s">
        <v>15</v>
      </c>
      <c r="B788" s="139" t="str">
        <f>IFERROR(VLOOKUP($A788, NameDesignation[], 2,FALSE), " ")</f>
        <v>Former Director</v>
      </c>
      <c r="C788" s="139" t="s">
        <v>29</v>
      </c>
      <c r="D788" s="139">
        <v>468</v>
      </c>
      <c r="E788" s="140">
        <v>44612</v>
      </c>
      <c r="F788" s="139" t="str">
        <f t="shared" si="36"/>
        <v>Q1-22</v>
      </c>
      <c r="G788" s="140" t="str">
        <f t="shared" si="37"/>
        <v>Feb'22</v>
      </c>
      <c r="H788" s="140" t="str">
        <f>TEXT(RawData[[#This Row],[Date]], "YYYY")</f>
        <v>2022</v>
      </c>
      <c r="I788" s="141" t="s">
        <v>32</v>
      </c>
      <c r="J788" s="141" t="s">
        <v>90</v>
      </c>
      <c r="K788" s="139">
        <f t="shared" si="38"/>
        <v>1</v>
      </c>
      <c r="L788" s="142">
        <f>IF(RawData[[#This Row],[Paid/Unpaid]]="Paid", IF(VALUE($E788)&gt;VALUE($D$3),$K788* 10000,$K788* 8000), 0)</f>
        <v>8000</v>
      </c>
      <c r="M788" s="53" t="s">
        <v>146</v>
      </c>
    </row>
    <row r="789" spans="1:13" ht="12.75" customHeight="1" x14ac:dyDescent="0.3">
      <c r="A789" s="143" t="s">
        <v>16</v>
      </c>
      <c r="B789" s="139" t="str">
        <f>IFERROR(VLOOKUP($A789, NameDesignation[], 2,FALSE), " ")</f>
        <v>Former Director</v>
      </c>
      <c r="C789" s="139" t="s">
        <v>29</v>
      </c>
      <c r="D789" s="139">
        <v>468</v>
      </c>
      <c r="E789" s="140">
        <v>44612</v>
      </c>
      <c r="F789" s="139" t="str">
        <f t="shared" si="36"/>
        <v>Q1-22</v>
      </c>
      <c r="G789" s="140" t="str">
        <f t="shared" si="37"/>
        <v>Feb'22</v>
      </c>
      <c r="H789" s="140" t="str">
        <f>TEXT(RawData[[#This Row],[Date]], "YYYY")</f>
        <v>2022</v>
      </c>
      <c r="I789" s="141" t="s">
        <v>32</v>
      </c>
      <c r="J789" s="141" t="s">
        <v>90</v>
      </c>
      <c r="K789" s="139">
        <f t="shared" si="38"/>
        <v>1</v>
      </c>
      <c r="L789" s="142">
        <f>IF(RawData[[#This Row],[Paid/Unpaid]]="Paid", IF(VALUE($E789)&gt;VALUE($D$3),$K789* 10000,$K789* 8000), 0)</f>
        <v>8000</v>
      </c>
      <c r="M789" s="53" t="s">
        <v>146</v>
      </c>
    </row>
    <row r="790" spans="1:13" ht="12.75" customHeight="1" x14ac:dyDescent="0.3">
      <c r="A790" s="143" t="s">
        <v>21</v>
      </c>
      <c r="B790" s="139" t="str">
        <f>IFERROR(VLOOKUP($A790, NameDesignation[], 2,FALSE), " ")</f>
        <v>Former Independent Director</v>
      </c>
      <c r="C790" s="139" t="s">
        <v>29</v>
      </c>
      <c r="D790" s="139">
        <v>468</v>
      </c>
      <c r="E790" s="140">
        <v>44612</v>
      </c>
      <c r="F790" s="139" t="str">
        <f t="shared" si="36"/>
        <v>Q1-22</v>
      </c>
      <c r="G790" s="140" t="str">
        <f t="shared" si="37"/>
        <v>Feb'22</v>
      </c>
      <c r="H790" s="140" t="str">
        <f>TEXT(RawData[[#This Row],[Date]], "YYYY")</f>
        <v>2022</v>
      </c>
      <c r="I790" s="141" t="s">
        <v>32</v>
      </c>
      <c r="J790" s="141" t="s">
        <v>90</v>
      </c>
      <c r="K790" s="139">
        <f t="shared" si="38"/>
        <v>1</v>
      </c>
      <c r="L790" s="142">
        <f>IF(RawData[[#This Row],[Paid/Unpaid]]="Paid", IF(VALUE($E790)&gt;VALUE($D$3),$K790* 10000,$K790* 8000), 0)</f>
        <v>8000</v>
      </c>
      <c r="M790" s="53" t="s">
        <v>146</v>
      </c>
    </row>
    <row r="791" spans="1:13" ht="12.75" customHeight="1" x14ac:dyDescent="0.3">
      <c r="A791" s="143" t="s">
        <v>25</v>
      </c>
      <c r="B791" s="139" t="str">
        <f>IFERROR(VLOOKUP($A791, NameDesignation[], 2,FALSE), " ")</f>
        <v>Former Director</v>
      </c>
      <c r="C791" s="139" t="s">
        <v>29</v>
      </c>
      <c r="D791" s="139">
        <v>468</v>
      </c>
      <c r="E791" s="140">
        <v>44612</v>
      </c>
      <c r="F791" s="139" t="str">
        <f t="shared" si="36"/>
        <v>Q1-22</v>
      </c>
      <c r="G791" s="140" t="str">
        <f t="shared" si="37"/>
        <v>Feb'22</v>
      </c>
      <c r="H791" s="140" t="str">
        <f>TEXT(RawData[[#This Row],[Date]], "YYYY")</f>
        <v>2022</v>
      </c>
      <c r="I791" s="141" t="s">
        <v>32</v>
      </c>
      <c r="J791" s="141" t="s">
        <v>90</v>
      </c>
      <c r="K791" s="139">
        <f t="shared" si="38"/>
        <v>1</v>
      </c>
      <c r="L791" s="142">
        <f>IF(RawData[[#This Row],[Paid/Unpaid]]="Paid", IF(VALUE($E791)&gt;VALUE($D$3),$K791* 10000,$K791* 8000), 0)</f>
        <v>8000</v>
      </c>
      <c r="M791" s="53" t="s">
        <v>146</v>
      </c>
    </row>
    <row r="792" spans="1:13" ht="12.75" customHeight="1" x14ac:dyDescent="0.3">
      <c r="A792" s="143" t="s">
        <v>50</v>
      </c>
      <c r="B792" s="139" t="str">
        <f>IFERROR(VLOOKUP($A792, NameDesignation[], 2,FALSE), " ")</f>
        <v>Former Director</v>
      </c>
      <c r="C792" s="139" t="s">
        <v>29</v>
      </c>
      <c r="D792" s="139">
        <v>468</v>
      </c>
      <c r="E792" s="140">
        <v>44612</v>
      </c>
      <c r="F792" s="139" t="str">
        <f t="shared" si="36"/>
        <v>Q1-22</v>
      </c>
      <c r="G792" s="140" t="str">
        <f t="shared" si="37"/>
        <v>Feb'22</v>
      </c>
      <c r="H792" s="140" t="str">
        <f>TEXT(RawData[[#This Row],[Date]], "YYYY")</f>
        <v>2022</v>
      </c>
      <c r="I792" s="141" t="s">
        <v>32</v>
      </c>
      <c r="J792" s="141" t="s">
        <v>91</v>
      </c>
      <c r="K792" s="139">
        <f t="shared" si="38"/>
        <v>0</v>
      </c>
      <c r="L792" s="142">
        <f>IF(RawData[[#This Row],[Paid/Unpaid]]="Paid", IF(VALUE($E792)&gt;VALUE($D$3),$K792* 10000,$K792* 8000), 0)</f>
        <v>0</v>
      </c>
      <c r="M792" s="53" t="s">
        <v>146</v>
      </c>
    </row>
    <row r="793" spans="1:13" ht="12.75" customHeight="1" x14ac:dyDescent="0.3">
      <c r="A793" s="143" t="s">
        <v>51</v>
      </c>
      <c r="B793" s="139" t="str">
        <f>IFERROR(VLOOKUP($A793, NameDesignation[], 2,FALSE), " ")</f>
        <v>Former Director</v>
      </c>
      <c r="C793" s="139" t="s">
        <v>29</v>
      </c>
      <c r="D793" s="139">
        <v>468</v>
      </c>
      <c r="E793" s="140">
        <v>44612</v>
      </c>
      <c r="F793" s="139" t="str">
        <f t="shared" si="36"/>
        <v>Q1-22</v>
      </c>
      <c r="G793" s="140" t="str">
        <f t="shared" si="37"/>
        <v>Feb'22</v>
      </c>
      <c r="H793" s="140" t="str">
        <f>TEXT(RawData[[#This Row],[Date]], "YYYY")</f>
        <v>2022</v>
      </c>
      <c r="I793" s="141" t="s">
        <v>32</v>
      </c>
      <c r="J793" s="141" t="s">
        <v>90</v>
      </c>
      <c r="K793" s="139">
        <f t="shared" si="38"/>
        <v>1</v>
      </c>
      <c r="L793" s="142">
        <f>IF(RawData[[#This Row],[Paid/Unpaid]]="Paid", IF(VALUE($E793)&gt;VALUE($D$3),$K793* 10000,$K793* 8000), 0)</f>
        <v>8000</v>
      </c>
      <c r="M793" s="53" t="s">
        <v>146</v>
      </c>
    </row>
    <row r="794" spans="1:13" ht="12.75" customHeight="1" x14ac:dyDescent="0.3">
      <c r="A794" s="143" t="s">
        <v>18</v>
      </c>
      <c r="B794" s="139" t="str">
        <f>IFERROR(VLOOKUP($A794, NameDesignation[], 2,FALSE), " ")</f>
        <v>Former Independent Director</v>
      </c>
      <c r="C794" s="139" t="s">
        <v>29</v>
      </c>
      <c r="D794" s="139">
        <v>468</v>
      </c>
      <c r="E794" s="140">
        <v>44612</v>
      </c>
      <c r="F794" s="139" t="str">
        <f t="shared" si="36"/>
        <v>Q1-22</v>
      </c>
      <c r="G794" s="140" t="str">
        <f t="shared" si="37"/>
        <v>Feb'22</v>
      </c>
      <c r="H794" s="140" t="str">
        <f>TEXT(RawData[[#This Row],[Date]], "YYYY")</f>
        <v>2022</v>
      </c>
      <c r="I794" s="141" t="s">
        <v>32</v>
      </c>
      <c r="J794" s="141" t="s">
        <v>90</v>
      </c>
      <c r="K794" s="139">
        <f t="shared" si="38"/>
        <v>1</v>
      </c>
      <c r="L794" s="142">
        <f>IF(RawData[[#This Row],[Paid/Unpaid]]="Paid", IF(VALUE($E794)&gt;VALUE($D$3),$K794* 10000,$K794* 8000), 0)</f>
        <v>8000</v>
      </c>
      <c r="M794" s="53" t="s">
        <v>146</v>
      </c>
    </row>
    <row r="795" spans="1:13" ht="12.75" customHeight="1" x14ac:dyDescent="0.3">
      <c r="A795" s="143" t="s">
        <v>34</v>
      </c>
      <c r="B795" s="139" t="str">
        <f>IFERROR(VLOOKUP($A795, NameDesignation[], 2,FALSE), " ")</f>
        <v>Former Managing Director &amp; CEO</v>
      </c>
      <c r="C795" s="139" t="s">
        <v>29</v>
      </c>
      <c r="D795" s="139">
        <v>468</v>
      </c>
      <c r="E795" s="140">
        <v>44612</v>
      </c>
      <c r="F795" s="139" t="str">
        <f t="shared" si="36"/>
        <v>Q1-22</v>
      </c>
      <c r="G795" s="140" t="str">
        <f t="shared" si="37"/>
        <v>Feb'22</v>
      </c>
      <c r="H795" s="140" t="str">
        <f>TEXT(RawData[[#This Row],[Date]], "YYYY")</f>
        <v>2022</v>
      </c>
      <c r="I795" s="141" t="s">
        <v>32</v>
      </c>
      <c r="J795" s="141" t="s">
        <v>90</v>
      </c>
      <c r="K795" s="139">
        <f t="shared" si="38"/>
        <v>1</v>
      </c>
      <c r="L795" s="142">
        <f>IF(RawData[[#This Row],[Paid/Unpaid]]="Paid", IF(VALUE($E795)&gt;VALUE($D$3),$K795* 10000,$K795* 8000), 0)</f>
        <v>8000</v>
      </c>
      <c r="M795" s="53" t="s">
        <v>146</v>
      </c>
    </row>
    <row r="796" spans="1:13" ht="12.75" customHeight="1" x14ac:dyDescent="0.3">
      <c r="A796" s="143" t="s">
        <v>23</v>
      </c>
      <c r="B796" s="139" t="str">
        <f>IFERROR(VLOOKUP($A796, NameDesignation[], 2,FALSE), " ")</f>
        <v>Former Director</v>
      </c>
      <c r="C796" s="139" t="s">
        <v>37</v>
      </c>
      <c r="D796" s="139">
        <v>122</v>
      </c>
      <c r="E796" s="140">
        <v>44613</v>
      </c>
      <c r="F796" s="139" t="str">
        <f t="shared" si="36"/>
        <v>Q1-22</v>
      </c>
      <c r="G796" s="140" t="str">
        <f t="shared" si="37"/>
        <v>Feb'22</v>
      </c>
      <c r="H796" s="140" t="str">
        <f>TEXT(RawData[[#This Row],[Date]], "YYYY")</f>
        <v>2022</v>
      </c>
      <c r="I796" s="141" t="s">
        <v>32</v>
      </c>
      <c r="J796" s="141" t="s">
        <v>90</v>
      </c>
      <c r="K796" s="139">
        <f t="shared" si="38"/>
        <v>1</v>
      </c>
      <c r="L796" s="142">
        <f>IF(RawData[[#This Row],[Paid/Unpaid]]="Paid", IF(VALUE($E796)&gt;VALUE($D$3),$K796* 10000,$K796* 8000), 0)</f>
        <v>8000</v>
      </c>
      <c r="M796" s="53" t="s">
        <v>146</v>
      </c>
    </row>
    <row r="797" spans="1:13" ht="12.75" customHeight="1" x14ac:dyDescent="0.3">
      <c r="A797" s="143" t="s">
        <v>24</v>
      </c>
      <c r="B797" s="139" t="str">
        <f>IFERROR(VLOOKUP($A797, NameDesignation[], 2,FALSE), " ")</f>
        <v>Former Director</v>
      </c>
      <c r="C797" s="139" t="s">
        <v>37</v>
      </c>
      <c r="D797" s="139">
        <v>122</v>
      </c>
      <c r="E797" s="140">
        <v>44613</v>
      </c>
      <c r="F797" s="139" t="str">
        <f t="shared" si="36"/>
        <v>Q1-22</v>
      </c>
      <c r="G797" s="140" t="str">
        <f t="shared" si="37"/>
        <v>Feb'22</v>
      </c>
      <c r="H797" s="140" t="str">
        <f>TEXT(RawData[[#This Row],[Date]], "YYYY")</f>
        <v>2022</v>
      </c>
      <c r="I797" s="141" t="s">
        <v>32</v>
      </c>
      <c r="J797" s="141" t="s">
        <v>90</v>
      </c>
      <c r="K797" s="139">
        <f t="shared" si="38"/>
        <v>1</v>
      </c>
      <c r="L797" s="142">
        <f>IF(RawData[[#This Row],[Paid/Unpaid]]="Paid", IF(VALUE($E797)&gt;VALUE($D$3),$K797* 10000,$K797* 8000), 0)</f>
        <v>8000</v>
      </c>
      <c r="M797" s="53" t="s">
        <v>146</v>
      </c>
    </row>
    <row r="798" spans="1:13" ht="12.75" customHeight="1" x14ac:dyDescent="0.3">
      <c r="A798" s="143" t="s">
        <v>21</v>
      </c>
      <c r="B798" s="139" t="str">
        <f>IFERROR(VLOOKUP($A798, NameDesignation[], 2,FALSE), " ")</f>
        <v>Former Independent Director</v>
      </c>
      <c r="C798" s="139" t="s">
        <v>37</v>
      </c>
      <c r="D798" s="139">
        <v>122</v>
      </c>
      <c r="E798" s="140">
        <v>44613</v>
      </c>
      <c r="F798" s="139" t="str">
        <f t="shared" si="36"/>
        <v>Q1-22</v>
      </c>
      <c r="G798" s="140" t="str">
        <f t="shared" si="37"/>
        <v>Feb'22</v>
      </c>
      <c r="H798" s="140" t="str">
        <f>TEXT(RawData[[#This Row],[Date]], "YYYY")</f>
        <v>2022</v>
      </c>
      <c r="I798" s="141" t="s">
        <v>32</v>
      </c>
      <c r="J798" s="141" t="s">
        <v>90</v>
      </c>
      <c r="K798" s="139">
        <f t="shared" si="38"/>
        <v>1</v>
      </c>
      <c r="L798" s="142">
        <f>IF(RawData[[#This Row],[Paid/Unpaid]]="Paid", IF(VALUE($E798)&gt;VALUE($D$3),$K798* 10000,$K798* 8000), 0)</f>
        <v>8000</v>
      </c>
      <c r="M798" s="53" t="s">
        <v>146</v>
      </c>
    </row>
    <row r="799" spans="1:13" ht="12.75" customHeight="1" x14ac:dyDescent="0.3">
      <c r="A799" s="143" t="s">
        <v>18</v>
      </c>
      <c r="B799" s="139" t="str">
        <f>IFERROR(VLOOKUP($A799, NameDesignation[], 2,FALSE), " ")</f>
        <v>Former Independent Director</v>
      </c>
      <c r="C799" s="139" t="s">
        <v>37</v>
      </c>
      <c r="D799" s="139">
        <v>122</v>
      </c>
      <c r="E799" s="140">
        <v>44613</v>
      </c>
      <c r="F799" s="139" t="str">
        <f t="shared" si="36"/>
        <v>Q1-22</v>
      </c>
      <c r="G799" s="140" t="str">
        <f t="shared" si="37"/>
        <v>Feb'22</v>
      </c>
      <c r="H799" s="140" t="str">
        <f>TEXT(RawData[[#This Row],[Date]], "YYYY")</f>
        <v>2022</v>
      </c>
      <c r="I799" s="141" t="s">
        <v>32</v>
      </c>
      <c r="J799" s="141" t="s">
        <v>90</v>
      </c>
      <c r="K799" s="139">
        <f t="shared" si="38"/>
        <v>1</v>
      </c>
      <c r="L799" s="142">
        <f>IF(RawData[[#This Row],[Paid/Unpaid]]="Paid", IF(VALUE($E799)&gt;VALUE($D$3),$K799* 10000,$K799* 8000), 0)</f>
        <v>8000</v>
      </c>
      <c r="M799" s="53" t="s">
        <v>146</v>
      </c>
    </row>
    <row r="800" spans="1:13" ht="12.75" customHeight="1" x14ac:dyDescent="0.3">
      <c r="A800" s="144" t="s">
        <v>9</v>
      </c>
      <c r="B800" s="139" t="str">
        <f>IFERROR(VLOOKUP($A800, NameDesignation[], 2,FALSE), " ")</f>
        <v>Former Director</v>
      </c>
      <c r="C800" s="139" t="s">
        <v>30</v>
      </c>
      <c r="D800" s="139">
        <v>450</v>
      </c>
      <c r="E800" s="140">
        <v>44643</v>
      </c>
      <c r="F800" s="139" t="str">
        <f t="shared" si="36"/>
        <v>Q1-22</v>
      </c>
      <c r="G800" s="140" t="str">
        <f t="shared" si="37"/>
        <v>Mar'22</v>
      </c>
      <c r="H800" s="140" t="str">
        <f>TEXT(RawData[[#This Row],[Date]], "YYYY")</f>
        <v>2022</v>
      </c>
      <c r="I800" s="141" t="s">
        <v>32</v>
      </c>
      <c r="J800" s="141" t="s">
        <v>90</v>
      </c>
      <c r="K800" s="139">
        <f t="shared" si="38"/>
        <v>1</v>
      </c>
      <c r="L800" s="142">
        <f>IF(RawData[[#This Row],[Paid/Unpaid]]="Paid", IF(VALUE($E800)&gt;VALUE($D$3),$K800* 10000,$K800* 8000), 0)</f>
        <v>8000</v>
      </c>
      <c r="M800" s="53" t="s">
        <v>146</v>
      </c>
    </row>
    <row r="801" spans="1:13" ht="12.75" customHeight="1" x14ac:dyDescent="0.3">
      <c r="A801" s="144" t="s">
        <v>8</v>
      </c>
      <c r="B801" s="139" t="str">
        <f>IFERROR(VLOOKUP($A801, NameDesignation[], 2,FALSE), " ")</f>
        <v>Former Vice-Chairman</v>
      </c>
      <c r="C801" s="139" t="s">
        <v>30</v>
      </c>
      <c r="D801" s="139">
        <v>450</v>
      </c>
      <c r="E801" s="140">
        <v>44643</v>
      </c>
      <c r="F801" s="139" t="str">
        <f t="shared" si="36"/>
        <v>Q1-22</v>
      </c>
      <c r="G801" s="140" t="str">
        <f t="shared" si="37"/>
        <v>Mar'22</v>
      </c>
      <c r="H801" s="140" t="str">
        <f>TEXT(RawData[[#This Row],[Date]], "YYYY")</f>
        <v>2022</v>
      </c>
      <c r="I801" s="141" t="s">
        <v>32</v>
      </c>
      <c r="J801" s="141" t="s">
        <v>90</v>
      </c>
      <c r="K801" s="139">
        <f t="shared" si="38"/>
        <v>1</v>
      </c>
      <c r="L801" s="142">
        <f>IF(RawData[[#This Row],[Paid/Unpaid]]="Paid", IF(VALUE($E801)&gt;VALUE($D$3),$K801* 10000,$K801* 8000), 0)</f>
        <v>8000</v>
      </c>
      <c r="M801" s="53" t="s">
        <v>146</v>
      </c>
    </row>
    <row r="802" spans="1:13" ht="12.75" customHeight="1" x14ac:dyDescent="0.3">
      <c r="A802" s="144" t="s">
        <v>49</v>
      </c>
      <c r="B802" s="139" t="str">
        <f>IFERROR(VLOOKUP($A802, NameDesignation[], 2,FALSE), " ")</f>
        <v>Former Director</v>
      </c>
      <c r="C802" s="139" t="s">
        <v>30</v>
      </c>
      <c r="D802" s="139">
        <v>450</v>
      </c>
      <c r="E802" s="140">
        <v>44643</v>
      </c>
      <c r="F802" s="139" t="str">
        <f t="shared" si="36"/>
        <v>Q1-22</v>
      </c>
      <c r="G802" s="140" t="str">
        <f t="shared" si="37"/>
        <v>Mar'22</v>
      </c>
      <c r="H802" s="140" t="str">
        <f>TEXT(RawData[[#This Row],[Date]], "YYYY")</f>
        <v>2022</v>
      </c>
      <c r="I802" s="141" t="s">
        <v>32</v>
      </c>
      <c r="J802" s="141" t="s">
        <v>90</v>
      </c>
      <c r="K802" s="139">
        <f t="shared" si="38"/>
        <v>1</v>
      </c>
      <c r="L802" s="142">
        <f>IF(RawData[[#This Row],[Paid/Unpaid]]="Paid", IF(VALUE($E802)&gt;VALUE($D$3),$K802* 10000,$K802* 8000), 0)</f>
        <v>8000</v>
      </c>
      <c r="M802" s="53" t="s">
        <v>146</v>
      </c>
    </row>
    <row r="803" spans="1:13" ht="12.75" customHeight="1" x14ac:dyDescent="0.3">
      <c r="A803" s="144" t="s">
        <v>11</v>
      </c>
      <c r="B803" s="139" t="str">
        <f>IFERROR(VLOOKUP($A803, NameDesignation[], 2,FALSE), " ")</f>
        <v>Former Director</v>
      </c>
      <c r="C803" s="139" t="s">
        <v>30</v>
      </c>
      <c r="D803" s="139">
        <v>450</v>
      </c>
      <c r="E803" s="140">
        <v>44643</v>
      </c>
      <c r="F803" s="139" t="str">
        <f t="shared" si="36"/>
        <v>Q1-22</v>
      </c>
      <c r="G803" s="140" t="str">
        <f t="shared" si="37"/>
        <v>Mar'22</v>
      </c>
      <c r="H803" s="140" t="str">
        <f>TEXT(RawData[[#This Row],[Date]], "YYYY")</f>
        <v>2022</v>
      </c>
      <c r="I803" s="141" t="s">
        <v>32</v>
      </c>
      <c r="J803" s="141" t="s">
        <v>90</v>
      </c>
      <c r="K803" s="139">
        <f t="shared" si="38"/>
        <v>1</v>
      </c>
      <c r="L803" s="142">
        <f>IF(RawData[[#This Row],[Paid/Unpaid]]="Paid", IF(VALUE($E803)&gt;VALUE($D$3),$K803* 10000,$K803* 8000), 0)</f>
        <v>8000</v>
      </c>
      <c r="M803" s="53" t="s">
        <v>146</v>
      </c>
    </row>
    <row r="804" spans="1:13" ht="12.75" customHeight="1" x14ac:dyDescent="0.3">
      <c r="A804" s="144" t="s">
        <v>13</v>
      </c>
      <c r="B804" s="139" t="str">
        <f>IFERROR(VLOOKUP($A804, NameDesignation[], 2,FALSE), " ")</f>
        <v>Former Director</v>
      </c>
      <c r="C804" s="139" t="s">
        <v>30</v>
      </c>
      <c r="D804" s="139">
        <v>450</v>
      </c>
      <c r="E804" s="140">
        <v>44643</v>
      </c>
      <c r="F804" s="139" t="str">
        <f t="shared" si="36"/>
        <v>Q1-22</v>
      </c>
      <c r="G804" s="140" t="str">
        <f t="shared" si="37"/>
        <v>Mar'22</v>
      </c>
      <c r="H804" s="140" t="str">
        <f>TEXT(RawData[[#This Row],[Date]], "YYYY")</f>
        <v>2022</v>
      </c>
      <c r="I804" s="141" t="s">
        <v>32</v>
      </c>
      <c r="J804" s="141" t="s">
        <v>90</v>
      </c>
      <c r="K804" s="139">
        <f t="shared" si="38"/>
        <v>1</v>
      </c>
      <c r="L804" s="142">
        <f>IF(RawData[[#This Row],[Paid/Unpaid]]="Paid", IF(VALUE($E804)&gt;VALUE($D$3),$K804* 10000,$K804* 8000), 0)</f>
        <v>8000</v>
      </c>
      <c r="M804" s="53" t="s">
        <v>146</v>
      </c>
    </row>
    <row r="805" spans="1:13" ht="12.75" customHeight="1" x14ac:dyDescent="0.3">
      <c r="A805" s="144" t="s">
        <v>12</v>
      </c>
      <c r="B805" s="139" t="str">
        <f>IFERROR(VLOOKUP($A805, NameDesignation[], 2,FALSE), " ")</f>
        <v>Former Director</v>
      </c>
      <c r="C805" s="139" t="s">
        <v>30</v>
      </c>
      <c r="D805" s="139">
        <v>450</v>
      </c>
      <c r="E805" s="140">
        <v>44643</v>
      </c>
      <c r="F805" s="139" t="str">
        <f t="shared" si="36"/>
        <v>Q1-22</v>
      </c>
      <c r="G805" s="140" t="str">
        <f t="shared" si="37"/>
        <v>Mar'22</v>
      </c>
      <c r="H805" s="140" t="str">
        <f>TEXT(RawData[[#This Row],[Date]], "YYYY")</f>
        <v>2022</v>
      </c>
      <c r="I805" s="141" t="s">
        <v>32</v>
      </c>
      <c r="J805" s="141" t="s">
        <v>90</v>
      </c>
      <c r="K805" s="139">
        <f t="shared" si="38"/>
        <v>1</v>
      </c>
      <c r="L805" s="142">
        <f>IF(RawData[[#This Row],[Paid/Unpaid]]="Paid", IF(VALUE($E805)&gt;VALUE($D$3),$K805* 10000,$K805* 8000), 0)</f>
        <v>8000</v>
      </c>
      <c r="M805" s="53" t="s">
        <v>146</v>
      </c>
    </row>
    <row r="806" spans="1:13" ht="12.75" customHeight="1" x14ac:dyDescent="0.3">
      <c r="A806" s="144" t="s">
        <v>25</v>
      </c>
      <c r="B806" s="139" t="str">
        <f>IFERROR(VLOOKUP($A806, NameDesignation[], 2,FALSE), " ")</f>
        <v>Former Director</v>
      </c>
      <c r="C806" s="139" t="s">
        <v>30</v>
      </c>
      <c r="D806" s="139">
        <v>450</v>
      </c>
      <c r="E806" s="140">
        <v>44643</v>
      </c>
      <c r="F806" s="139" t="str">
        <f t="shared" si="36"/>
        <v>Q1-22</v>
      </c>
      <c r="G806" s="140" t="str">
        <f t="shared" si="37"/>
        <v>Mar'22</v>
      </c>
      <c r="H806" s="140" t="str">
        <f>TEXT(RawData[[#This Row],[Date]], "YYYY")</f>
        <v>2022</v>
      </c>
      <c r="I806" s="141" t="s">
        <v>32</v>
      </c>
      <c r="J806" s="141" t="s">
        <v>90</v>
      </c>
      <c r="K806" s="139">
        <f t="shared" si="38"/>
        <v>1</v>
      </c>
      <c r="L806" s="142">
        <f>IF(RawData[[#This Row],[Paid/Unpaid]]="Paid", IF(VALUE($E806)&gt;VALUE($D$3),$K806* 10000,$K806* 8000), 0)</f>
        <v>8000</v>
      </c>
      <c r="M806" s="53" t="s">
        <v>146</v>
      </c>
    </row>
    <row r="807" spans="1:13" ht="12.75" customHeight="1" x14ac:dyDescent="0.3">
      <c r="A807" s="143" t="s">
        <v>49</v>
      </c>
      <c r="B807" s="139" t="str">
        <f>IFERROR(VLOOKUP($A807, NameDesignation[], 2,FALSE), " ")</f>
        <v>Former Director</v>
      </c>
      <c r="C807" s="139" t="s">
        <v>38</v>
      </c>
      <c r="D807" s="139">
        <v>34</v>
      </c>
      <c r="E807" s="140">
        <v>44643</v>
      </c>
      <c r="F807" s="139" t="str">
        <f t="shared" si="36"/>
        <v>Q1-22</v>
      </c>
      <c r="G807" s="140" t="str">
        <f t="shared" si="37"/>
        <v>Mar'22</v>
      </c>
      <c r="H807" s="140" t="str">
        <f>TEXT(RawData[[#This Row],[Date]], "YYYY")</f>
        <v>2022</v>
      </c>
      <c r="I807" s="141" t="s">
        <v>32</v>
      </c>
      <c r="J807" s="141" t="s">
        <v>90</v>
      </c>
      <c r="K807" s="139">
        <f t="shared" si="38"/>
        <v>1</v>
      </c>
      <c r="L807" s="142">
        <f>IF(RawData[[#This Row],[Paid/Unpaid]]="Paid", IF(VALUE($E807)&gt;VALUE($D$3),$K807* 10000,$K807* 8000), 0)</f>
        <v>8000</v>
      </c>
      <c r="M807" s="53" t="s">
        <v>146</v>
      </c>
    </row>
    <row r="808" spans="1:13" ht="12.75" customHeight="1" x14ac:dyDescent="0.3">
      <c r="A808" s="143" t="s">
        <v>9</v>
      </c>
      <c r="B808" s="139" t="str">
        <f>IFERROR(VLOOKUP($A808, NameDesignation[], 2,FALSE), " ")</f>
        <v>Former Director</v>
      </c>
      <c r="C808" s="139" t="s">
        <v>38</v>
      </c>
      <c r="D808" s="139">
        <v>34</v>
      </c>
      <c r="E808" s="140">
        <v>44643</v>
      </c>
      <c r="F808" s="139" t="str">
        <f t="shared" si="36"/>
        <v>Q1-22</v>
      </c>
      <c r="G808" s="140" t="str">
        <f t="shared" si="37"/>
        <v>Mar'22</v>
      </c>
      <c r="H808" s="140" t="str">
        <f>TEXT(RawData[[#This Row],[Date]], "YYYY")</f>
        <v>2022</v>
      </c>
      <c r="I808" s="141" t="s">
        <v>32</v>
      </c>
      <c r="J808" s="141" t="s">
        <v>90</v>
      </c>
      <c r="K808" s="139">
        <f t="shared" si="38"/>
        <v>1</v>
      </c>
      <c r="L808" s="142">
        <f>IF(RawData[[#This Row],[Paid/Unpaid]]="Paid", IF(VALUE($E808)&gt;VALUE($D$3),$K808* 10000,$K808* 8000), 0)</f>
        <v>8000</v>
      </c>
      <c r="M808" s="53" t="s">
        <v>146</v>
      </c>
    </row>
    <row r="809" spans="1:13" ht="12.75" customHeight="1" x14ac:dyDescent="0.3">
      <c r="A809" s="143" t="s">
        <v>61</v>
      </c>
      <c r="B809" s="139" t="str">
        <f>IFERROR(VLOOKUP($A809, NameDesignation[], 2,FALSE), " ")</f>
        <v>Former Director</v>
      </c>
      <c r="C809" s="139" t="s">
        <v>38</v>
      </c>
      <c r="D809" s="139">
        <v>34</v>
      </c>
      <c r="E809" s="140">
        <v>44643</v>
      </c>
      <c r="F809" s="139" t="str">
        <f t="shared" si="36"/>
        <v>Q1-22</v>
      </c>
      <c r="G809" s="140" t="str">
        <f t="shared" si="37"/>
        <v>Mar'22</v>
      </c>
      <c r="H809" s="140" t="str">
        <f>TEXT(RawData[[#This Row],[Date]], "YYYY")</f>
        <v>2022</v>
      </c>
      <c r="I809" s="141" t="s">
        <v>32</v>
      </c>
      <c r="J809" s="141" t="s">
        <v>90</v>
      </c>
      <c r="K809" s="139">
        <f t="shared" si="38"/>
        <v>1</v>
      </c>
      <c r="L809" s="142">
        <f>IF(RawData[[#This Row],[Paid/Unpaid]]="Paid", IF(VALUE($E809)&gt;VALUE($D$3),$K809* 10000,$K809* 8000), 0)</f>
        <v>8000</v>
      </c>
      <c r="M809" s="53" t="s">
        <v>146</v>
      </c>
    </row>
    <row r="810" spans="1:13" ht="12.75" customHeight="1" x14ac:dyDescent="0.3">
      <c r="A810" s="143" t="s">
        <v>15</v>
      </c>
      <c r="B810" s="139" t="str">
        <f>IFERROR(VLOOKUP($A810, NameDesignation[], 2,FALSE), " ")</f>
        <v>Former Director</v>
      </c>
      <c r="C810" s="139" t="s">
        <v>38</v>
      </c>
      <c r="D810" s="139">
        <v>34</v>
      </c>
      <c r="E810" s="140">
        <v>44643</v>
      </c>
      <c r="F810" s="139" t="str">
        <f t="shared" si="36"/>
        <v>Q1-22</v>
      </c>
      <c r="G810" s="140" t="str">
        <f t="shared" si="37"/>
        <v>Mar'22</v>
      </c>
      <c r="H810" s="140" t="str">
        <f>TEXT(RawData[[#This Row],[Date]], "YYYY")</f>
        <v>2022</v>
      </c>
      <c r="I810" s="141" t="s">
        <v>32</v>
      </c>
      <c r="J810" s="141" t="s">
        <v>90</v>
      </c>
      <c r="K810" s="139">
        <f t="shared" si="38"/>
        <v>1</v>
      </c>
      <c r="L810" s="142">
        <f>IF(RawData[[#This Row],[Paid/Unpaid]]="Paid", IF(VALUE($E810)&gt;VALUE($D$3),$K810* 10000,$K810* 8000), 0)</f>
        <v>8000</v>
      </c>
      <c r="M810" s="53" t="s">
        <v>146</v>
      </c>
    </row>
    <row r="811" spans="1:13" ht="12.75" customHeight="1" x14ac:dyDescent="0.3">
      <c r="A811" s="143" t="s">
        <v>137</v>
      </c>
      <c r="B811" s="139" t="str">
        <f>IFERROR(VLOOKUP($A811, NameDesignation[], 2,FALSE), " ")</f>
        <v>Former Director</v>
      </c>
      <c r="C811" s="139" t="s">
        <v>38</v>
      </c>
      <c r="D811" s="139">
        <v>34</v>
      </c>
      <c r="E811" s="140">
        <v>44643</v>
      </c>
      <c r="F811" s="139" t="str">
        <f t="shared" si="36"/>
        <v>Q1-22</v>
      </c>
      <c r="G811" s="140" t="str">
        <f t="shared" si="37"/>
        <v>Mar'22</v>
      </c>
      <c r="H811" s="140" t="str">
        <f>TEXT(RawData[[#This Row],[Date]], "YYYY")</f>
        <v>2022</v>
      </c>
      <c r="I811" s="141" t="s">
        <v>32</v>
      </c>
      <c r="J811" s="141" t="s">
        <v>90</v>
      </c>
      <c r="K811" s="139">
        <f t="shared" si="38"/>
        <v>1</v>
      </c>
      <c r="L811" s="142">
        <f>IF(RawData[[#This Row],[Paid/Unpaid]]="Paid", IF(VALUE($E811)&gt;VALUE($D$3),$K811* 10000,$K811* 8000), 0)</f>
        <v>8000</v>
      </c>
      <c r="M811" s="53" t="s">
        <v>146</v>
      </c>
    </row>
    <row r="812" spans="1:13" ht="12.75" customHeight="1" x14ac:dyDescent="0.3">
      <c r="A812" s="143" t="s">
        <v>11</v>
      </c>
      <c r="B812" s="139" t="str">
        <f>IFERROR(VLOOKUP($A812, NameDesignation[], 2,FALSE), " ")</f>
        <v>Former Director</v>
      </c>
      <c r="C812" s="139" t="s">
        <v>41</v>
      </c>
      <c r="D812" s="139">
        <v>4</v>
      </c>
      <c r="E812" s="140">
        <v>44647</v>
      </c>
      <c r="F812" s="139" t="str">
        <f t="shared" si="36"/>
        <v>Q1-22</v>
      </c>
      <c r="G812" s="140" t="str">
        <f t="shared" si="37"/>
        <v>Mar'22</v>
      </c>
      <c r="H812" s="140" t="str">
        <f>TEXT(RawData[[#This Row],[Date]], "YYYY")</f>
        <v>2022</v>
      </c>
      <c r="I812" s="141" t="s">
        <v>32</v>
      </c>
      <c r="J812" s="141" t="s">
        <v>90</v>
      </c>
      <c r="K812" s="139">
        <f t="shared" si="38"/>
        <v>1</v>
      </c>
      <c r="L812" s="142">
        <f>IF(RawData[[#This Row],[Paid/Unpaid]]="Paid", IF(VALUE($E812)&gt;VALUE($D$3),$K812* 10000,$K812* 8000), 0)</f>
        <v>8000</v>
      </c>
      <c r="M812" s="53" t="s">
        <v>146</v>
      </c>
    </row>
    <row r="813" spans="1:13" ht="12.75" customHeight="1" x14ac:dyDescent="0.3">
      <c r="A813" s="143" t="s">
        <v>50</v>
      </c>
      <c r="B813" s="139" t="str">
        <f>IFERROR(VLOOKUP($A813, NameDesignation[], 2,FALSE), " ")</f>
        <v>Former Director</v>
      </c>
      <c r="C813" s="139" t="s">
        <v>41</v>
      </c>
      <c r="D813" s="139">
        <v>4</v>
      </c>
      <c r="E813" s="140">
        <v>44647</v>
      </c>
      <c r="F813" s="139" t="str">
        <f t="shared" si="36"/>
        <v>Q1-22</v>
      </c>
      <c r="G813" s="140" t="str">
        <f t="shared" si="37"/>
        <v>Mar'22</v>
      </c>
      <c r="H813" s="140" t="str">
        <f>TEXT(RawData[[#This Row],[Date]], "YYYY")</f>
        <v>2022</v>
      </c>
      <c r="I813" s="141" t="s">
        <v>32</v>
      </c>
      <c r="J813" s="141" t="s">
        <v>91</v>
      </c>
      <c r="K813" s="139">
        <f t="shared" si="38"/>
        <v>0</v>
      </c>
      <c r="L813" s="142">
        <f>IF(RawData[[#This Row],[Paid/Unpaid]]="Paid", IF(VALUE($E813)&gt;VALUE($D$3),$K813* 10000,$K813* 8000), 0)</f>
        <v>0</v>
      </c>
      <c r="M813" s="53" t="s">
        <v>146</v>
      </c>
    </row>
    <row r="814" spans="1:13" ht="12.75" customHeight="1" x14ac:dyDescent="0.3">
      <c r="A814" s="143" t="s">
        <v>54</v>
      </c>
      <c r="B814" s="139" t="str">
        <f>IFERROR(VLOOKUP($A814, NameDesignation[], 2,FALSE), " ")</f>
        <v>Member, Shariah Supervisory Committee</v>
      </c>
      <c r="C814" s="139" t="s">
        <v>41</v>
      </c>
      <c r="D814" s="139">
        <v>4</v>
      </c>
      <c r="E814" s="140">
        <v>44647</v>
      </c>
      <c r="F814" s="139" t="str">
        <f t="shared" si="36"/>
        <v>Q1-22</v>
      </c>
      <c r="G814" s="140" t="str">
        <f t="shared" si="37"/>
        <v>Mar'22</v>
      </c>
      <c r="H814" s="140" t="str">
        <f>TEXT(RawData[[#This Row],[Date]], "YYYY")</f>
        <v>2022</v>
      </c>
      <c r="I814" s="141" t="s">
        <v>32</v>
      </c>
      <c r="J814" s="141" t="s">
        <v>90</v>
      </c>
      <c r="K814" s="139">
        <f t="shared" si="38"/>
        <v>1</v>
      </c>
      <c r="L814" s="142">
        <f>IF(RawData[[#This Row],[Paid/Unpaid]]="Paid", IF(VALUE($E814)&gt;VALUE($D$3),$K814* 10000,$K814* 8000), 0)</f>
        <v>8000</v>
      </c>
      <c r="M814" s="53" t="s">
        <v>146</v>
      </c>
    </row>
    <row r="815" spans="1:13" ht="12.75" customHeight="1" x14ac:dyDescent="0.3">
      <c r="A815" s="143" t="s">
        <v>127</v>
      </c>
      <c r="B815" s="139" t="str">
        <f>IFERROR(VLOOKUP($A815, NameDesignation[], 2,FALSE), " ")</f>
        <v>Chairman, Shariah Supervisory Committee</v>
      </c>
      <c r="C815" s="139" t="s">
        <v>41</v>
      </c>
      <c r="D815" s="139">
        <v>4</v>
      </c>
      <c r="E815" s="140">
        <v>44647</v>
      </c>
      <c r="F815" s="139" t="str">
        <f t="shared" si="36"/>
        <v>Q1-22</v>
      </c>
      <c r="G815" s="140" t="str">
        <f t="shared" si="37"/>
        <v>Mar'22</v>
      </c>
      <c r="H815" s="140" t="str">
        <f>TEXT(RawData[[#This Row],[Date]], "YYYY")</f>
        <v>2022</v>
      </c>
      <c r="I815" s="141" t="s">
        <v>32</v>
      </c>
      <c r="J815" s="141" t="s">
        <v>91</v>
      </c>
      <c r="K815" s="139">
        <f t="shared" si="38"/>
        <v>0</v>
      </c>
      <c r="L815" s="142">
        <f>IF(RawData[[#This Row],[Paid/Unpaid]]="Paid", IF(VALUE($E815)&gt;VALUE($D$3),$K815* 10000,$K815* 8000), 0)</f>
        <v>0</v>
      </c>
      <c r="M815" s="53" t="s">
        <v>146</v>
      </c>
    </row>
    <row r="816" spans="1:13" ht="12.75" customHeight="1" x14ac:dyDescent="0.3">
      <c r="A816" s="143" t="s">
        <v>52</v>
      </c>
      <c r="B816" s="139" t="str">
        <f>IFERROR(VLOOKUP($A816, NameDesignation[], 2,FALSE), " ")</f>
        <v>Member, Shariah Supervisory Committee</v>
      </c>
      <c r="C816" s="139" t="s">
        <v>41</v>
      </c>
      <c r="D816" s="139">
        <v>4</v>
      </c>
      <c r="E816" s="140">
        <v>44647</v>
      </c>
      <c r="F816" s="139" t="str">
        <f t="shared" si="36"/>
        <v>Q1-22</v>
      </c>
      <c r="G816" s="140" t="str">
        <f t="shared" si="37"/>
        <v>Mar'22</v>
      </c>
      <c r="H816" s="140" t="str">
        <f>TEXT(RawData[[#This Row],[Date]], "YYYY")</f>
        <v>2022</v>
      </c>
      <c r="I816" s="141" t="s">
        <v>32</v>
      </c>
      <c r="J816" s="141" t="s">
        <v>90</v>
      </c>
      <c r="K816" s="139">
        <f t="shared" si="38"/>
        <v>1</v>
      </c>
      <c r="L816" s="142">
        <f>IF(RawData[[#This Row],[Paid/Unpaid]]="Paid", IF(VALUE($E816)&gt;VALUE($D$3),$K816* 10000,$K816* 8000), 0)</f>
        <v>8000</v>
      </c>
      <c r="M816" s="53" t="s">
        <v>146</v>
      </c>
    </row>
    <row r="817" spans="1:13" ht="12.75" customHeight="1" x14ac:dyDescent="0.3">
      <c r="A817" s="143" t="s">
        <v>128</v>
      </c>
      <c r="B817" s="139" t="str">
        <f>IFERROR(VLOOKUP($A817, NameDesignation[], 2,FALSE), " ")</f>
        <v>Member, Shariah Supervisory Committee</v>
      </c>
      <c r="C817" s="139" t="s">
        <v>41</v>
      </c>
      <c r="D817" s="139">
        <v>4</v>
      </c>
      <c r="E817" s="140">
        <v>44647</v>
      </c>
      <c r="F817" s="139" t="str">
        <f t="shared" si="36"/>
        <v>Q1-22</v>
      </c>
      <c r="G817" s="140" t="str">
        <f t="shared" si="37"/>
        <v>Mar'22</v>
      </c>
      <c r="H817" s="140" t="str">
        <f>TEXT(RawData[[#This Row],[Date]], "YYYY")</f>
        <v>2022</v>
      </c>
      <c r="I817" s="141" t="s">
        <v>32</v>
      </c>
      <c r="J817" s="141" t="s">
        <v>90</v>
      </c>
      <c r="K817" s="139">
        <f t="shared" si="38"/>
        <v>1</v>
      </c>
      <c r="L817" s="142">
        <f>IF(RawData[[#This Row],[Paid/Unpaid]]="Paid", IF(VALUE($E817)&gt;VALUE($D$3),$K817* 10000,$K817* 8000), 0)</f>
        <v>8000</v>
      </c>
      <c r="M817" s="53" t="s">
        <v>146</v>
      </c>
    </row>
    <row r="818" spans="1:13" ht="12.75" customHeight="1" x14ac:dyDescent="0.3">
      <c r="A818" s="143" t="s">
        <v>126</v>
      </c>
      <c r="B818" s="139" t="str">
        <f>IFERROR(VLOOKUP($A818, NameDesignation[], 2,FALSE), " ")</f>
        <v>Member, Shariah Supervisory Committee</v>
      </c>
      <c r="C818" s="139" t="s">
        <v>41</v>
      </c>
      <c r="D818" s="139">
        <v>4</v>
      </c>
      <c r="E818" s="140">
        <v>44647</v>
      </c>
      <c r="F818" s="139" t="str">
        <f t="shared" si="36"/>
        <v>Q1-22</v>
      </c>
      <c r="G818" s="140" t="str">
        <f t="shared" si="37"/>
        <v>Mar'22</v>
      </c>
      <c r="H818" s="140" t="str">
        <f>TEXT(RawData[[#This Row],[Date]], "YYYY")</f>
        <v>2022</v>
      </c>
      <c r="I818" s="141" t="s">
        <v>32</v>
      </c>
      <c r="J818" s="141" t="s">
        <v>90</v>
      </c>
      <c r="K818" s="139">
        <f t="shared" si="38"/>
        <v>1</v>
      </c>
      <c r="L818" s="142">
        <f>IF(RawData[[#This Row],[Paid/Unpaid]]="Paid", IF(VALUE($E818)&gt;VALUE($D$3),$K818* 10000,$K818* 8000), 0)</f>
        <v>8000</v>
      </c>
      <c r="M818" s="53" t="s">
        <v>146</v>
      </c>
    </row>
    <row r="819" spans="1:13" ht="12.75" customHeight="1" x14ac:dyDescent="0.3">
      <c r="A819" s="143" t="s">
        <v>34</v>
      </c>
      <c r="B819" s="139" t="str">
        <f>IFERROR(VLOOKUP($A819, NameDesignation[], 2,FALSE), " ")</f>
        <v>Former Managing Director &amp; CEO</v>
      </c>
      <c r="C819" s="139" t="s">
        <v>41</v>
      </c>
      <c r="D819" s="139">
        <v>4</v>
      </c>
      <c r="E819" s="140">
        <v>44647</v>
      </c>
      <c r="F819" s="139" t="str">
        <f t="shared" si="36"/>
        <v>Q1-22</v>
      </c>
      <c r="G819" s="140" t="str">
        <f t="shared" si="37"/>
        <v>Mar'22</v>
      </c>
      <c r="H819" s="140" t="str">
        <f>TEXT(RawData[[#This Row],[Date]], "YYYY")</f>
        <v>2022</v>
      </c>
      <c r="I819" s="141" t="s">
        <v>32</v>
      </c>
      <c r="J819" s="141" t="s">
        <v>90</v>
      </c>
      <c r="K819" s="139">
        <f t="shared" si="38"/>
        <v>1</v>
      </c>
      <c r="L819" s="142">
        <f>IF(RawData[[#This Row],[Paid/Unpaid]]="Paid", IF(VALUE($E819)&gt;VALUE($D$3),$K819* 10000,$K819* 8000), 0)</f>
        <v>8000</v>
      </c>
      <c r="M819" s="53" t="s">
        <v>146</v>
      </c>
    </row>
    <row r="820" spans="1:13" ht="12.75" customHeight="1" x14ac:dyDescent="0.3">
      <c r="A820" s="143" t="s">
        <v>7</v>
      </c>
      <c r="B820" s="139" t="str">
        <f>IFERROR(VLOOKUP($A820, NameDesignation[], 2,FALSE), " ")</f>
        <v>Former Director</v>
      </c>
      <c r="C820" s="139" t="s">
        <v>29</v>
      </c>
      <c r="D820" s="139">
        <v>469</v>
      </c>
      <c r="E820" s="140">
        <v>44650</v>
      </c>
      <c r="F820" s="139" t="str">
        <f t="shared" si="36"/>
        <v>Q1-22</v>
      </c>
      <c r="G820" s="140" t="str">
        <f t="shared" si="37"/>
        <v>Mar'22</v>
      </c>
      <c r="H820" s="140" t="str">
        <f>TEXT(RawData[[#This Row],[Date]], "YYYY")</f>
        <v>2022</v>
      </c>
      <c r="I820" s="141" t="s">
        <v>32</v>
      </c>
      <c r="J820" s="141" t="s">
        <v>90</v>
      </c>
      <c r="K820" s="139">
        <f t="shared" si="38"/>
        <v>1</v>
      </c>
      <c r="L820" s="142">
        <f>IF(RawData[[#This Row],[Paid/Unpaid]]="Paid", IF(VALUE($E820)&gt;VALUE($D$3),$K820* 10000,$K820* 8000), 0)</f>
        <v>8000</v>
      </c>
      <c r="M820" s="53" t="s">
        <v>146</v>
      </c>
    </row>
    <row r="821" spans="1:13" ht="12.75" customHeight="1" x14ac:dyDescent="0.3">
      <c r="A821" s="143" t="s">
        <v>8</v>
      </c>
      <c r="B821" s="139" t="str">
        <f>IFERROR(VLOOKUP($A821, NameDesignation[], 2,FALSE), " ")</f>
        <v>Former Vice-Chairman</v>
      </c>
      <c r="C821" s="139" t="s">
        <v>29</v>
      </c>
      <c r="D821" s="139">
        <v>469</v>
      </c>
      <c r="E821" s="140">
        <v>44650</v>
      </c>
      <c r="F821" s="139" t="str">
        <f t="shared" si="36"/>
        <v>Q1-22</v>
      </c>
      <c r="G821" s="140" t="str">
        <f t="shared" si="37"/>
        <v>Mar'22</v>
      </c>
      <c r="H821" s="140" t="str">
        <f>TEXT(RawData[[#This Row],[Date]], "YYYY")</f>
        <v>2022</v>
      </c>
      <c r="I821" s="141" t="s">
        <v>32</v>
      </c>
      <c r="J821" s="141" t="s">
        <v>90</v>
      </c>
      <c r="K821" s="139">
        <f t="shared" si="38"/>
        <v>1</v>
      </c>
      <c r="L821" s="142">
        <f>IF(RawData[[#This Row],[Paid/Unpaid]]="Paid", IF(VALUE($E821)&gt;VALUE($D$3),$K821* 10000,$K821* 8000), 0)</f>
        <v>8000</v>
      </c>
      <c r="M821" s="53" t="s">
        <v>146</v>
      </c>
    </row>
    <row r="822" spans="1:13" ht="12.75" customHeight="1" x14ac:dyDescent="0.3">
      <c r="A822" s="143" t="s">
        <v>9</v>
      </c>
      <c r="B822" s="139" t="str">
        <f>IFERROR(VLOOKUP($A822, NameDesignation[], 2,FALSE), " ")</f>
        <v>Former Director</v>
      </c>
      <c r="C822" s="139" t="s">
        <v>29</v>
      </c>
      <c r="D822" s="139">
        <v>469</v>
      </c>
      <c r="E822" s="140">
        <v>44650</v>
      </c>
      <c r="F822" s="139" t="str">
        <f t="shared" si="36"/>
        <v>Q1-22</v>
      </c>
      <c r="G822" s="140" t="str">
        <f t="shared" si="37"/>
        <v>Mar'22</v>
      </c>
      <c r="H822" s="140" t="str">
        <f>TEXT(RawData[[#This Row],[Date]], "YYYY")</f>
        <v>2022</v>
      </c>
      <c r="I822" s="141" t="s">
        <v>32</v>
      </c>
      <c r="J822" s="141" t="s">
        <v>90</v>
      </c>
      <c r="K822" s="139">
        <f t="shared" si="38"/>
        <v>1</v>
      </c>
      <c r="L822" s="142">
        <f>IF(RawData[[#This Row],[Paid/Unpaid]]="Paid", IF(VALUE($E822)&gt;VALUE($D$3),$K822* 10000,$K822* 8000), 0)</f>
        <v>8000</v>
      </c>
      <c r="M822" s="53" t="s">
        <v>146</v>
      </c>
    </row>
    <row r="823" spans="1:13" ht="12.75" customHeight="1" x14ac:dyDescent="0.3">
      <c r="A823" s="143" t="s">
        <v>20</v>
      </c>
      <c r="B823" s="139" t="str">
        <f>IFERROR(VLOOKUP($A823, NameDesignation[], 2,FALSE), " ")</f>
        <v>Former Independent Director</v>
      </c>
      <c r="C823" s="139" t="s">
        <v>29</v>
      </c>
      <c r="D823" s="139">
        <v>469</v>
      </c>
      <c r="E823" s="140">
        <v>44650</v>
      </c>
      <c r="F823" s="139" t="str">
        <f t="shared" si="36"/>
        <v>Q1-22</v>
      </c>
      <c r="G823" s="140" t="str">
        <f t="shared" si="37"/>
        <v>Mar'22</v>
      </c>
      <c r="H823" s="140" t="str">
        <f>TEXT(RawData[[#This Row],[Date]], "YYYY")</f>
        <v>2022</v>
      </c>
      <c r="I823" s="141" t="s">
        <v>32</v>
      </c>
      <c r="J823" s="141" t="s">
        <v>90</v>
      </c>
      <c r="K823" s="139">
        <f t="shared" si="38"/>
        <v>1</v>
      </c>
      <c r="L823" s="142">
        <f>IF(RawData[[#This Row],[Paid/Unpaid]]="Paid", IF(VALUE($E823)&gt;VALUE($D$3),$K823* 10000,$K823* 8000), 0)</f>
        <v>8000</v>
      </c>
      <c r="M823" s="53" t="s">
        <v>146</v>
      </c>
    </row>
    <row r="824" spans="1:13" ht="12.75" customHeight="1" x14ac:dyDescent="0.3">
      <c r="A824" s="143" t="s">
        <v>49</v>
      </c>
      <c r="B824" s="139" t="str">
        <f>IFERROR(VLOOKUP($A824, NameDesignation[], 2,FALSE), " ")</f>
        <v>Former Director</v>
      </c>
      <c r="C824" s="139" t="s">
        <v>29</v>
      </c>
      <c r="D824" s="139">
        <v>469</v>
      </c>
      <c r="E824" s="140">
        <v>44650</v>
      </c>
      <c r="F824" s="139" t="str">
        <f t="shared" si="36"/>
        <v>Q1-22</v>
      </c>
      <c r="G824" s="140" t="str">
        <f t="shared" si="37"/>
        <v>Mar'22</v>
      </c>
      <c r="H824" s="140" t="str">
        <f>TEXT(RawData[[#This Row],[Date]], "YYYY")</f>
        <v>2022</v>
      </c>
      <c r="I824" s="141" t="s">
        <v>32</v>
      </c>
      <c r="J824" s="141" t="s">
        <v>90</v>
      </c>
      <c r="K824" s="139">
        <f t="shared" si="38"/>
        <v>1</v>
      </c>
      <c r="L824" s="142">
        <f>IF(RawData[[#This Row],[Paid/Unpaid]]="Paid", IF(VALUE($E824)&gt;VALUE($D$3),$K824* 10000,$K824* 8000), 0)</f>
        <v>8000</v>
      </c>
      <c r="M824" s="53" t="s">
        <v>146</v>
      </c>
    </row>
    <row r="825" spans="1:13" ht="12.75" customHeight="1" x14ac:dyDescent="0.3">
      <c r="A825" s="143" t="s">
        <v>11</v>
      </c>
      <c r="B825" s="139" t="str">
        <f>IFERROR(VLOOKUP($A825, NameDesignation[], 2,FALSE), " ")</f>
        <v>Former Director</v>
      </c>
      <c r="C825" s="139" t="s">
        <v>29</v>
      </c>
      <c r="D825" s="139">
        <v>469</v>
      </c>
      <c r="E825" s="140">
        <v>44650</v>
      </c>
      <c r="F825" s="139" t="str">
        <f t="shared" si="36"/>
        <v>Q1-22</v>
      </c>
      <c r="G825" s="140" t="str">
        <f t="shared" si="37"/>
        <v>Mar'22</v>
      </c>
      <c r="H825" s="140" t="str">
        <f>TEXT(RawData[[#This Row],[Date]], "YYYY")</f>
        <v>2022</v>
      </c>
      <c r="I825" s="141" t="s">
        <v>32</v>
      </c>
      <c r="J825" s="141" t="s">
        <v>90</v>
      </c>
      <c r="K825" s="139">
        <f t="shared" si="38"/>
        <v>1</v>
      </c>
      <c r="L825" s="142">
        <f>IF(RawData[[#This Row],[Paid/Unpaid]]="Paid", IF(VALUE($E825)&gt;VALUE($D$3),$K825* 10000,$K825* 8000), 0)</f>
        <v>8000</v>
      </c>
      <c r="M825" s="53" t="s">
        <v>146</v>
      </c>
    </row>
    <row r="826" spans="1:13" ht="12.75" customHeight="1" x14ac:dyDescent="0.3">
      <c r="A826" s="143" t="s">
        <v>12</v>
      </c>
      <c r="B826" s="139" t="str">
        <f>IFERROR(VLOOKUP($A826, NameDesignation[], 2,FALSE), " ")</f>
        <v>Former Director</v>
      </c>
      <c r="C826" s="139" t="s">
        <v>29</v>
      </c>
      <c r="D826" s="139">
        <v>469</v>
      </c>
      <c r="E826" s="140">
        <v>44650</v>
      </c>
      <c r="F826" s="139" t="str">
        <f t="shared" si="36"/>
        <v>Q1-22</v>
      </c>
      <c r="G826" s="140" t="str">
        <f t="shared" si="37"/>
        <v>Mar'22</v>
      </c>
      <c r="H826" s="140" t="str">
        <f>TEXT(RawData[[#This Row],[Date]], "YYYY")</f>
        <v>2022</v>
      </c>
      <c r="I826" s="141" t="s">
        <v>32</v>
      </c>
      <c r="J826" s="141" t="s">
        <v>90</v>
      </c>
      <c r="K826" s="139">
        <f t="shared" si="38"/>
        <v>1</v>
      </c>
      <c r="L826" s="142">
        <f>IF(RawData[[#This Row],[Paid/Unpaid]]="Paid", IF(VALUE($E826)&gt;VALUE($D$3),$K826* 10000,$K826* 8000), 0)</f>
        <v>8000</v>
      </c>
      <c r="M826" s="53" t="s">
        <v>146</v>
      </c>
    </row>
    <row r="827" spans="1:13" ht="12.75" customHeight="1" x14ac:dyDescent="0.3">
      <c r="A827" s="143" t="s">
        <v>137</v>
      </c>
      <c r="B827" s="139" t="str">
        <f>IFERROR(VLOOKUP($A827, NameDesignation[], 2,FALSE), " ")</f>
        <v>Former Director</v>
      </c>
      <c r="C827" s="139" t="s">
        <v>29</v>
      </c>
      <c r="D827" s="139">
        <v>469</v>
      </c>
      <c r="E827" s="140">
        <v>44650</v>
      </c>
      <c r="F827" s="139" t="str">
        <f t="shared" si="36"/>
        <v>Q1-22</v>
      </c>
      <c r="G827" s="140" t="str">
        <f t="shared" si="37"/>
        <v>Mar'22</v>
      </c>
      <c r="H827" s="140" t="str">
        <f>TEXT(RawData[[#This Row],[Date]], "YYYY")</f>
        <v>2022</v>
      </c>
      <c r="I827" s="141" t="s">
        <v>32</v>
      </c>
      <c r="J827" s="141" t="s">
        <v>90</v>
      </c>
      <c r="K827" s="139">
        <f t="shared" si="38"/>
        <v>1</v>
      </c>
      <c r="L827" s="142">
        <f>IF(RawData[[#This Row],[Paid/Unpaid]]="Paid", IF(VALUE($E827)&gt;VALUE($D$3),$K827* 10000,$K827* 8000), 0)</f>
        <v>8000</v>
      </c>
      <c r="M827" s="53" t="s">
        <v>146</v>
      </c>
    </row>
    <row r="828" spans="1:13" ht="12.75" customHeight="1" x14ac:dyDescent="0.3">
      <c r="A828" s="143" t="s">
        <v>13</v>
      </c>
      <c r="B828" s="139" t="str">
        <f>IFERROR(VLOOKUP($A828, NameDesignation[], 2,FALSE), " ")</f>
        <v>Former Director</v>
      </c>
      <c r="C828" s="139" t="s">
        <v>29</v>
      </c>
      <c r="D828" s="139">
        <v>469</v>
      </c>
      <c r="E828" s="140">
        <v>44650</v>
      </c>
      <c r="F828" s="139" t="str">
        <f t="shared" si="36"/>
        <v>Q1-22</v>
      </c>
      <c r="G828" s="140" t="str">
        <f t="shared" si="37"/>
        <v>Mar'22</v>
      </c>
      <c r="H828" s="140" t="str">
        <f>TEXT(RawData[[#This Row],[Date]], "YYYY")</f>
        <v>2022</v>
      </c>
      <c r="I828" s="141" t="s">
        <v>32</v>
      </c>
      <c r="J828" s="141" t="s">
        <v>90</v>
      </c>
      <c r="K828" s="139">
        <f t="shared" si="38"/>
        <v>1</v>
      </c>
      <c r="L828" s="142">
        <f>IF(RawData[[#This Row],[Paid/Unpaid]]="Paid", IF(VALUE($E828)&gt;VALUE($D$3),$K828* 10000,$K828* 8000), 0)</f>
        <v>8000</v>
      </c>
      <c r="M828" s="53" t="s">
        <v>146</v>
      </c>
    </row>
    <row r="829" spans="1:13" ht="12.75" customHeight="1" x14ac:dyDescent="0.3">
      <c r="A829" s="143" t="s">
        <v>61</v>
      </c>
      <c r="B829" s="139" t="str">
        <f>IFERROR(VLOOKUP($A829, NameDesignation[], 2,FALSE), " ")</f>
        <v>Former Director</v>
      </c>
      <c r="C829" s="139" t="s">
        <v>29</v>
      </c>
      <c r="D829" s="139">
        <v>469</v>
      </c>
      <c r="E829" s="140">
        <v>44650</v>
      </c>
      <c r="F829" s="139" t="str">
        <f t="shared" si="36"/>
        <v>Q1-22</v>
      </c>
      <c r="G829" s="140" t="str">
        <f t="shared" si="37"/>
        <v>Mar'22</v>
      </c>
      <c r="H829" s="140" t="str">
        <f>TEXT(RawData[[#This Row],[Date]], "YYYY")</f>
        <v>2022</v>
      </c>
      <c r="I829" s="141" t="s">
        <v>32</v>
      </c>
      <c r="J829" s="141" t="s">
        <v>90</v>
      </c>
      <c r="K829" s="139">
        <f t="shared" si="38"/>
        <v>1</v>
      </c>
      <c r="L829" s="142">
        <f>IF(RawData[[#This Row],[Paid/Unpaid]]="Paid", IF(VALUE($E829)&gt;VALUE($D$3),$K829* 10000,$K829* 8000), 0)</f>
        <v>8000</v>
      </c>
      <c r="M829" s="53" t="s">
        <v>146</v>
      </c>
    </row>
    <row r="830" spans="1:13" ht="12.75" customHeight="1" x14ac:dyDescent="0.3">
      <c r="A830" s="143" t="s">
        <v>23</v>
      </c>
      <c r="B830" s="139" t="str">
        <f>IFERROR(VLOOKUP($A830, NameDesignation[], 2,FALSE), " ")</f>
        <v>Former Director</v>
      </c>
      <c r="C830" s="139" t="s">
        <v>29</v>
      </c>
      <c r="D830" s="139">
        <v>469</v>
      </c>
      <c r="E830" s="140">
        <v>44650</v>
      </c>
      <c r="F830" s="139" t="str">
        <f t="shared" si="36"/>
        <v>Q1-22</v>
      </c>
      <c r="G830" s="140" t="str">
        <f t="shared" si="37"/>
        <v>Mar'22</v>
      </c>
      <c r="H830" s="140" t="str">
        <f>TEXT(RawData[[#This Row],[Date]], "YYYY")</f>
        <v>2022</v>
      </c>
      <c r="I830" s="141" t="s">
        <v>32</v>
      </c>
      <c r="J830" s="141" t="s">
        <v>90</v>
      </c>
      <c r="K830" s="139">
        <f t="shared" si="38"/>
        <v>1</v>
      </c>
      <c r="L830" s="142">
        <f>IF(RawData[[#This Row],[Paid/Unpaid]]="Paid", IF(VALUE($E830)&gt;VALUE($D$3),$K830* 10000,$K830* 8000), 0)</f>
        <v>8000</v>
      </c>
      <c r="M830" s="53" t="s">
        <v>146</v>
      </c>
    </row>
    <row r="831" spans="1:13" ht="12.75" customHeight="1" x14ac:dyDescent="0.3">
      <c r="A831" s="143" t="s">
        <v>24</v>
      </c>
      <c r="B831" s="139" t="str">
        <f>IFERROR(VLOOKUP($A831, NameDesignation[], 2,FALSE), " ")</f>
        <v>Former Director</v>
      </c>
      <c r="C831" s="139" t="s">
        <v>29</v>
      </c>
      <c r="D831" s="139">
        <v>469</v>
      </c>
      <c r="E831" s="140">
        <v>44650</v>
      </c>
      <c r="F831" s="139" t="str">
        <f t="shared" si="36"/>
        <v>Q1-22</v>
      </c>
      <c r="G831" s="140" t="str">
        <f t="shared" si="37"/>
        <v>Mar'22</v>
      </c>
      <c r="H831" s="140" t="str">
        <f>TEXT(RawData[[#This Row],[Date]], "YYYY")</f>
        <v>2022</v>
      </c>
      <c r="I831" s="141" t="s">
        <v>32</v>
      </c>
      <c r="J831" s="141" t="s">
        <v>90</v>
      </c>
      <c r="K831" s="139">
        <f t="shared" si="38"/>
        <v>1</v>
      </c>
      <c r="L831" s="142">
        <f>IF(RawData[[#This Row],[Paid/Unpaid]]="Paid", IF(VALUE($E831)&gt;VALUE($D$3),$K831* 10000,$K831* 8000), 0)</f>
        <v>8000</v>
      </c>
      <c r="M831" s="53" t="s">
        <v>146</v>
      </c>
    </row>
    <row r="832" spans="1:13" ht="12.75" customHeight="1" x14ac:dyDescent="0.3">
      <c r="A832" s="143" t="s">
        <v>15</v>
      </c>
      <c r="B832" s="139" t="str">
        <f>IFERROR(VLOOKUP($A832, NameDesignation[], 2,FALSE), " ")</f>
        <v>Former Director</v>
      </c>
      <c r="C832" s="139" t="s">
        <v>29</v>
      </c>
      <c r="D832" s="139">
        <v>469</v>
      </c>
      <c r="E832" s="140">
        <v>44650</v>
      </c>
      <c r="F832" s="139" t="str">
        <f t="shared" si="36"/>
        <v>Q1-22</v>
      </c>
      <c r="G832" s="140" t="str">
        <f t="shared" si="37"/>
        <v>Mar'22</v>
      </c>
      <c r="H832" s="140" t="str">
        <f>TEXT(RawData[[#This Row],[Date]], "YYYY")</f>
        <v>2022</v>
      </c>
      <c r="I832" s="141" t="s">
        <v>32</v>
      </c>
      <c r="J832" s="141" t="s">
        <v>90</v>
      </c>
      <c r="K832" s="139">
        <f t="shared" si="38"/>
        <v>1</v>
      </c>
      <c r="L832" s="142">
        <f>IF(RawData[[#This Row],[Paid/Unpaid]]="Paid", IF(VALUE($E832)&gt;VALUE($D$3),$K832* 10000,$K832* 8000), 0)</f>
        <v>8000</v>
      </c>
      <c r="M832" s="53" t="s">
        <v>146</v>
      </c>
    </row>
    <row r="833" spans="1:13" ht="12.75" customHeight="1" x14ac:dyDescent="0.3">
      <c r="A833" s="143" t="s">
        <v>16</v>
      </c>
      <c r="B833" s="139" t="str">
        <f>IFERROR(VLOOKUP($A833, NameDesignation[], 2,FALSE), " ")</f>
        <v>Former Director</v>
      </c>
      <c r="C833" s="139" t="s">
        <v>29</v>
      </c>
      <c r="D833" s="139">
        <v>469</v>
      </c>
      <c r="E833" s="140">
        <v>44650</v>
      </c>
      <c r="F833" s="139" t="str">
        <f t="shared" si="36"/>
        <v>Q1-22</v>
      </c>
      <c r="G833" s="140" t="str">
        <f t="shared" si="37"/>
        <v>Mar'22</v>
      </c>
      <c r="H833" s="140" t="str">
        <f>TEXT(RawData[[#This Row],[Date]], "YYYY")</f>
        <v>2022</v>
      </c>
      <c r="I833" s="141" t="s">
        <v>32</v>
      </c>
      <c r="J833" s="141" t="s">
        <v>90</v>
      </c>
      <c r="K833" s="139">
        <f t="shared" si="38"/>
        <v>1</v>
      </c>
      <c r="L833" s="142">
        <f>IF(RawData[[#This Row],[Paid/Unpaid]]="Paid", IF(VALUE($E833)&gt;VALUE($D$3),$K833* 10000,$K833* 8000), 0)</f>
        <v>8000</v>
      </c>
      <c r="M833" s="53" t="s">
        <v>146</v>
      </c>
    </row>
    <row r="834" spans="1:13" ht="12.75" customHeight="1" x14ac:dyDescent="0.3">
      <c r="A834" s="143" t="s">
        <v>21</v>
      </c>
      <c r="B834" s="139" t="str">
        <f>IFERROR(VLOOKUP($A834, NameDesignation[], 2,FALSE), " ")</f>
        <v>Former Independent Director</v>
      </c>
      <c r="C834" s="139" t="s">
        <v>29</v>
      </c>
      <c r="D834" s="139">
        <v>469</v>
      </c>
      <c r="E834" s="140">
        <v>44650</v>
      </c>
      <c r="F834" s="139" t="str">
        <f t="shared" si="36"/>
        <v>Q1-22</v>
      </c>
      <c r="G834" s="140" t="str">
        <f t="shared" si="37"/>
        <v>Mar'22</v>
      </c>
      <c r="H834" s="140" t="str">
        <f>TEXT(RawData[[#This Row],[Date]], "YYYY")</f>
        <v>2022</v>
      </c>
      <c r="I834" s="141" t="s">
        <v>32</v>
      </c>
      <c r="J834" s="141" t="s">
        <v>90</v>
      </c>
      <c r="K834" s="139">
        <f t="shared" si="38"/>
        <v>1</v>
      </c>
      <c r="L834" s="142">
        <f>IF(RawData[[#This Row],[Paid/Unpaid]]="Paid", IF(VALUE($E834)&gt;VALUE($D$3),$K834* 10000,$K834* 8000), 0)</f>
        <v>8000</v>
      </c>
      <c r="M834" s="53" t="s">
        <v>146</v>
      </c>
    </row>
    <row r="835" spans="1:13" ht="12.75" customHeight="1" x14ac:dyDescent="0.3">
      <c r="A835" s="143" t="s">
        <v>25</v>
      </c>
      <c r="B835" s="139" t="str">
        <f>IFERROR(VLOOKUP($A835, NameDesignation[], 2,FALSE), " ")</f>
        <v>Former Director</v>
      </c>
      <c r="C835" s="139" t="s">
        <v>29</v>
      </c>
      <c r="D835" s="139">
        <v>469</v>
      </c>
      <c r="E835" s="140">
        <v>44650</v>
      </c>
      <c r="F835" s="139" t="str">
        <f t="shared" si="36"/>
        <v>Q1-22</v>
      </c>
      <c r="G835" s="140" t="str">
        <f t="shared" si="37"/>
        <v>Mar'22</v>
      </c>
      <c r="H835" s="140" t="str">
        <f>TEXT(RawData[[#This Row],[Date]], "YYYY")</f>
        <v>2022</v>
      </c>
      <c r="I835" s="141" t="s">
        <v>32</v>
      </c>
      <c r="J835" s="141" t="s">
        <v>91</v>
      </c>
      <c r="K835" s="139">
        <f t="shared" si="38"/>
        <v>0</v>
      </c>
      <c r="L835" s="142">
        <f>IF(RawData[[#This Row],[Paid/Unpaid]]="Paid", IF(VALUE($E835)&gt;VALUE($D$3),$K835* 10000,$K835* 8000), 0)</f>
        <v>0</v>
      </c>
      <c r="M835" s="53" t="s">
        <v>146</v>
      </c>
    </row>
    <row r="836" spans="1:13" ht="12.75" customHeight="1" x14ac:dyDescent="0.3">
      <c r="A836" s="143" t="s">
        <v>50</v>
      </c>
      <c r="B836" s="139" t="str">
        <f>IFERROR(VLOOKUP($A836, NameDesignation[], 2,FALSE), " ")</f>
        <v>Former Director</v>
      </c>
      <c r="C836" s="139" t="s">
        <v>29</v>
      </c>
      <c r="D836" s="139">
        <v>469</v>
      </c>
      <c r="E836" s="140">
        <v>44650</v>
      </c>
      <c r="F836" s="139" t="str">
        <f t="shared" si="36"/>
        <v>Q1-22</v>
      </c>
      <c r="G836" s="140" t="str">
        <f t="shared" si="37"/>
        <v>Mar'22</v>
      </c>
      <c r="H836" s="140" t="str">
        <f>TEXT(RawData[[#This Row],[Date]], "YYYY")</f>
        <v>2022</v>
      </c>
      <c r="I836" s="141" t="s">
        <v>32</v>
      </c>
      <c r="J836" s="141" t="s">
        <v>91</v>
      </c>
      <c r="K836" s="139">
        <f t="shared" si="38"/>
        <v>0</v>
      </c>
      <c r="L836" s="142">
        <f>IF(RawData[[#This Row],[Paid/Unpaid]]="Paid", IF(VALUE($E836)&gt;VALUE($D$3),$K836* 10000,$K836* 8000), 0)</f>
        <v>0</v>
      </c>
      <c r="M836" s="53" t="s">
        <v>146</v>
      </c>
    </row>
    <row r="837" spans="1:13" ht="12.75" customHeight="1" x14ac:dyDescent="0.3">
      <c r="A837" s="143" t="s">
        <v>51</v>
      </c>
      <c r="B837" s="139" t="str">
        <f>IFERROR(VLOOKUP($A837, NameDesignation[], 2,FALSE), " ")</f>
        <v>Former Director</v>
      </c>
      <c r="C837" s="139" t="s">
        <v>29</v>
      </c>
      <c r="D837" s="139">
        <v>469</v>
      </c>
      <c r="E837" s="140">
        <v>44650</v>
      </c>
      <c r="F837" s="139" t="str">
        <f t="shared" si="36"/>
        <v>Q1-22</v>
      </c>
      <c r="G837" s="140" t="str">
        <f t="shared" si="37"/>
        <v>Mar'22</v>
      </c>
      <c r="H837" s="140" t="str">
        <f>TEXT(RawData[[#This Row],[Date]], "YYYY")</f>
        <v>2022</v>
      </c>
      <c r="I837" s="141" t="s">
        <v>32</v>
      </c>
      <c r="J837" s="141" t="s">
        <v>90</v>
      </c>
      <c r="K837" s="139">
        <f t="shared" si="38"/>
        <v>1</v>
      </c>
      <c r="L837" s="142">
        <f>IF(RawData[[#This Row],[Paid/Unpaid]]="Paid", IF(VALUE($E837)&gt;VALUE($D$3),$K837* 10000,$K837* 8000), 0)</f>
        <v>8000</v>
      </c>
      <c r="M837" s="53" t="s">
        <v>146</v>
      </c>
    </row>
    <row r="838" spans="1:13" ht="12.75" customHeight="1" x14ac:dyDescent="0.3">
      <c r="A838" s="143" t="s">
        <v>18</v>
      </c>
      <c r="B838" s="139" t="str">
        <f>IFERROR(VLOOKUP($A838, NameDesignation[], 2,FALSE), " ")</f>
        <v>Former Independent Director</v>
      </c>
      <c r="C838" s="139" t="s">
        <v>29</v>
      </c>
      <c r="D838" s="139">
        <v>469</v>
      </c>
      <c r="E838" s="140">
        <v>44650</v>
      </c>
      <c r="F838" s="139" t="str">
        <f t="shared" ref="F838:F901" si="39">CONCATENATE("Q", ROUNDUP(MONTH($E838)/3,0),"-",TEXT($E838, "yy"))</f>
        <v>Q1-22</v>
      </c>
      <c r="G838" s="140" t="str">
        <f t="shared" ref="G838:G901" si="40">CONCATENATE(TEXT($E838, "mmm"),"'", TEXT($E838, "yy"))</f>
        <v>Mar'22</v>
      </c>
      <c r="H838" s="140" t="str">
        <f>TEXT(RawData[[#This Row],[Date]], "YYYY")</f>
        <v>2022</v>
      </c>
      <c r="I838" s="141" t="s">
        <v>32</v>
      </c>
      <c r="J838" s="141" t="s">
        <v>90</v>
      </c>
      <c r="K838" s="139">
        <f t="shared" ref="K838:K901" si="41">IF($J838="Present", 1, 0)</f>
        <v>1</v>
      </c>
      <c r="L838" s="142">
        <f>IF(RawData[[#This Row],[Paid/Unpaid]]="Paid", IF(VALUE($E838)&gt;VALUE($D$3),$K838* 10000,$K838* 8000), 0)</f>
        <v>8000</v>
      </c>
      <c r="M838" s="53" t="s">
        <v>146</v>
      </c>
    </row>
    <row r="839" spans="1:13" ht="12.75" customHeight="1" x14ac:dyDescent="0.3">
      <c r="A839" s="143" t="s">
        <v>34</v>
      </c>
      <c r="B839" s="139" t="str">
        <f>IFERROR(VLOOKUP($A839, NameDesignation[], 2,FALSE), " ")</f>
        <v>Former Managing Director &amp; CEO</v>
      </c>
      <c r="C839" s="139" t="s">
        <v>29</v>
      </c>
      <c r="D839" s="139">
        <v>469</v>
      </c>
      <c r="E839" s="140">
        <v>44650</v>
      </c>
      <c r="F839" s="139" t="str">
        <f t="shared" si="39"/>
        <v>Q1-22</v>
      </c>
      <c r="G839" s="140" t="str">
        <f t="shared" si="40"/>
        <v>Mar'22</v>
      </c>
      <c r="H839" s="140" t="str">
        <f>TEXT(RawData[[#This Row],[Date]], "YYYY")</f>
        <v>2022</v>
      </c>
      <c r="I839" s="141" t="s">
        <v>32</v>
      </c>
      <c r="J839" s="141" t="s">
        <v>90</v>
      </c>
      <c r="K839" s="139">
        <f t="shared" si="41"/>
        <v>1</v>
      </c>
      <c r="L839" s="142">
        <f>IF(RawData[[#This Row],[Paid/Unpaid]]="Paid", IF(VALUE($E839)&gt;VALUE($D$3),$K839* 10000,$K839* 8000), 0)</f>
        <v>8000</v>
      </c>
      <c r="M839" s="53" t="s">
        <v>146</v>
      </c>
    </row>
    <row r="840" spans="1:13" ht="12.75" customHeight="1" x14ac:dyDescent="0.3">
      <c r="A840" s="143" t="s">
        <v>20</v>
      </c>
      <c r="B840" s="139" t="str">
        <f>IFERROR(VLOOKUP($A840, NameDesignation[], 2,FALSE), " ")</f>
        <v>Former Independent Director</v>
      </c>
      <c r="C840" s="139" t="s">
        <v>37</v>
      </c>
      <c r="D840" s="139">
        <v>123</v>
      </c>
      <c r="E840" s="140">
        <v>44650</v>
      </c>
      <c r="F840" s="139" t="str">
        <f t="shared" si="39"/>
        <v>Q1-22</v>
      </c>
      <c r="G840" s="140" t="str">
        <f t="shared" si="40"/>
        <v>Mar'22</v>
      </c>
      <c r="H840" s="140" t="str">
        <f>TEXT(RawData[[#This Row],[Date]], "YYYY")</f>
        <v>2022</v>
      </c>
      <c r="I840" s="141" t="s">
        <v>32</v>
      </c>
      <c r="J840" s="141" t="s">
        <v>90</v>
      </c>
      <c r="K840" s="139">
        <f t="shared" si="41"/>
        <v>1</v>
      </c>
      <c r="L840" s="142">
        <f>IF(RawData[[#This Row],[Paid/Unpaid]]="Paid", IF(VALUE($E840)&gt;VALUE($D$3),$K840* 10000,$K840* 8000), 0)</f>
        <v>8000</v>
      </c>
      <c r="M840" s="53" t="s">
        <v>146</v>
      </c>
    </row>
    <row r="841" spans="1:13" ht="12.75" customHeight="1" x14ac:dyDescent="0.3">
      <c r="A841" s="143" t="s">
        <v>23</v>
      </c>
      <c r="B841" s="139" t="str">
        <f>IFERROR(VLOOKUP($A841, NameDesignation[], 2,FALSE), " ")</f>
        <v>Former Director</v>
      </c>
      <c r="C841" s="139" t="s">
        <v>37</v>
      </c>
      <c r="D841" s="139">
        <v>123</v>
      </c>
      <c r="E841" s="140">
        <v>44650</v>
      </c>
      <c r="F841" s="139" t="str">
        <f t="shared" si="39"/>
        <v>Q1-22</v>
      </c>
      <c r="G841" s="140" t="str">
        <f t="shared" si="40"/>
        <v>Mar'22</v>
      </c>
      <c r="H841" s="140" t="str">
        <f>TEXT(RawData[[#This Row],[Date]], "YYYY")</f>
        <v>2022</v>
      </c>
      <c r="I841" s="141" t="s">
        <v>32</v>
      </c>
      <c r="J841" s="141" t="s">
        <v>90</v>
      </c>
      <c r="K841" s="139">
        <f t="shared" si="41"/>
        <v>1</v>
      </c>
      <c r="L841" s="142">
        <f>IF(RawData[[#This Row],[Paid/Unpaid]]="Paid", IF(VALUE($E841)&gt;VALUE($D$3),$K841* 10000,$K841* 8000), 0)</f>
        <v>8000</v>
      </c>
      <c r="M841" s="53" t="s">
        <v>146</v>
      </c>
    </row>
    <row r="842" spans="1:13" ht="12.75" customHeight="1" x14ac:dyDescent="0.3">
      <c r="A842" s="143" t="s">
        <v>24</v>
      </c>
      <c r="B842" s="139" t="str">
        <f>IFERROR(VLOOKUP($A842, NameDesignation[], 2,FALSE), " ")</f>
        <v>Former Director</v>
      </c>
      <c r="C842" s="139" t="s">
        <v>37</v>
      </c>
      <c r="D842" s="139">
        <v>123</v>
      </c>
      <c r="E842" s="140">
        <v>44650</v>
      </c>
      <c r="F842" s="139" t="str">
        <f t="shared" si="39"/>
        <v>Q1-22</v>
      </c>
      <c r="G842" s="140" t="str">
        <f t="shared" si="40"/>
        <v>Mar'22</v>
      </c>
      <c r="H842" s="140" t="str">
        <f>TEXT(RawData[[#This Row],[Date]], "YYYY")</f>
        <v>2022</v>
      </c>
      <c r="I842" s="141" t="s">
        <v>32</v>
      </c>
      <c r="J842" s="141" t="s">
        <v>90</v>
      </c>
      <c r="K842" s="139">
        <f t="shared" si="41"/>
        <v>1</v>
      </c>
      <c r="L842" s="142">
        <f>IF(RawData[[#This Row],[Paid/Unpaid]]="Paid", IF(VALUE($E842)&gt;VALUE($D$3),$K842* 10000,$K842* 8000), 0)</f>
        <v>8000</v>
      </c>
      <c r="M842" s="53" t="s">
        <v>146</v>
      </c>
    </row>
    <row r="843" spans="1:13" ht="12.75" customHeight="1" x14ac:dyDescent="0.3">
      <c r="A843" s="143" t="s">
        <v>21</v>
      </c>
      <c r="B843" s="139" t="str">
        <f>IFERROR(VLOOKUP($A843, NameDesignation[], 2,FALSE), " ")</f>
        <v>Former Independent Director</v>
      </c>
      <c r="C843" s="139" t="s">
        <v>37</v>
      </c>
      <c r="D843" s="139">
        <v>123</v>
      </c>
      <c r="E843" s="140">
        <v>44650</v>
      </c>
      <c r="F843" s="139" t="str">
        <f t="shared" si="39"/>
        <v>Q1-22</v>
      </c>
      <c r="G843" s="140" t="str">
        <f t="shared" si="40"/>
        <v>Mar'22</v>
      </c>
      <c r="H843" s="140" t="str">
        <f>TEXT(RawData[[#This Row],[Date]], "YYYY")</f>
        <v>2022</v>
      </c>
      <c r="I843" s="141" t="s">
        <v>32</v>
      </c>
      <c r="J843" s="141" t="s">
        <v>90</v>
      </c>
      <c r="K843" s="139">
        <f t="shared" si="41"/>
        <v>1</v>
      </c>
      <c r="L843" s="142">
        <f>IF(RawData[[#This Row],[Paid/Unpaid]]="Paid", IF(VALUE($E843)&gt;VALUE($D$3),$K843* 10000,$K843* 8000), 0)</f>
        <v>8000</v>
      </c>
      <c r="M843" s="53" t="s">
        <v>146</v>
      </c>
    </row>
    <row r="844" spans="1:13" ht="12.75" customHeight="1" x14ac:dyDescent="0.3">
      <c r="A844" s="143" t="s">
        <v>18</v>
      </c>
      <c r="B844" s="139" t="str">
        <f>IFERROR(VLOOKUP($A844, NameDesignation[], 2,FALSE), " ")</f>
        <v>Former Independent Director</v>
      </c>
      <c r="C844" s="139" t="s">
        <v>37</v>
      </c>
      <c r="D844" s="139">
        <v>123</v>
      </c>
      <c r="E844" s="140">
        <v>44650</v>
      </c>
      <c r="F844" s="139" t="str">
        <f t="shared" si="39"/>
        <v>Q1-22</v>
      </c>
      <c r="G844" s="140" t="str">
        <f t="shared" si="40"/>
        <v>Mar'22</v>
      </c>
      <c r="H844" s="140" t="str">
        <f>TEXT(RawData[[#This Row],[Date]], "YYYY")</f>
        <v>2022</v>
      </c>
      <c r="I844" s="141" t="s">
        <v>32</v>
      </c>
      <c r="J844" s="141" t="s">
        <v>90</v>
      </c>
      <c r="K844" s="139">
        <f t="shared" si="41"/>
        <v>1</v>
      </c>
      <c r="L844" s="142">
        <f>IF(RawData[[#This Row],[Paid/Unpaid]]="Paid", IF(VALUE($E844)&gt;VALUE($D$3),$K844* 10000,$K844* 8000), 0)</f>
        <v>8000</v>
      </c>
      <c r="M844" s="53" t="s">
        <v>146</v>
      </c>
    </row>
    <row r="845" spans="1:13" ht="12.75" customHeight="1" x14ac:dyDescent="0.3">
      <c r="A845" s="143" t="s">
        <v>7</v>
      </c>
      <c r="B845" s="139" t="str">
        <f>IFERROR(VLOOKUP($A845, NameDesignation[], 2,FALSE), " ")</f>
        <v>Former Director</v>
      </c>
      <c r="C845" s="139" t="s">
        <v>29</v>
      </c>
      <c r="D845" s="139">
        <v>470</v>
      </c>
      <c r="E845" s="140">
        <v>44670</v>
      </c>
      <c r="F845" s="139" t="str">
        <f t="shared" si="39"/>
        <v>Q2-22</v>
      </c>
      <c r="G845" s="140" t="str">
        <f t="shared" si="40"/>
        <v>Apr'22</v>
      </c>
      <c r="H845" s="140" t="str">
        <f>TEXT(RawData[[#This Row],[Date]], "YYYY")</f>
        <v>2022</v>
      </c>
      <c r="I845" s="141" t="s">
        <v>32</v>
      </c>
      <c r="J845" s="141" t="s">
        <v>90</v>
      </c>
      <c r="K845" s="139">
        <f t="shared" si="41"/>
        <v>1</v>
      </c>
      <c r="L845" s="142">
        <f>IF(RawData[[#This Row],[Paid/Unpaid]]="Paid", IF(VALUE($E845)&gt;VALUE($D$3),$K845* 10000,$K845* 8000), 0)</f>
        <v>8000</v>
      </c>
      <c r="M845" s="53" t="s">
        <v>146</v>
      </c>
    </row>
    <row r="846" spans="1:13" ht="12.75" customHeight="1" x14ac:dyDescent="0.3">
      <c r="A846" s="143" t="s">
        <v>8</v>
      </c>
      <c r="B846" s="139" t="str">
        <f>IFERROR(VLOOKUP($A846, NameDesignation[], 2,FALSE), " ")</f>
        <v>Former Vice-Chairman</v>
      </c>
      <c r="C846" s="139" t="s">
        <v>29</v>
      </c>
      <c r="D846" s="139">
        <v>470</v>
      </c>
      <c r="E846" s="140">
        <v>44670</v>
      </c>
      <c r="F846" s="139" t="str">
        <f t="shared" si="39"/>
        <v>Q2-22</v>
      </c>
      <c r="G846" s="140" t="str">
        <f t="shared" si="40"/>
        <v>Apr'22</v>
      </c>
      <c r="H846" s="140" t="str">
        <f>TEXT(RawData[[#This Row],[Date]], "YYYY")</f>
        <v>2022</v>
      </c>
      <c r="I846" s="141" t="s">
        <v>32</v>
      </c>
      <c r="J846" s="141" t="s">
        <v>91</v>
      </c>
      <c r="K846" s="139">
        <f t="shared" si="41"/>
        <v>0</v>
      </c>
      <c r="L846" s="142">
        <f>IF(RawData[[#This Row],[Paid/Unpaid]]="Paid", IF(VALUE($E846)&gt;VALUE($D$3),$K846* 10000,$K846* 8000), 0)</f>
        <v>0</v>
      </c>
      <c r="M846" s="53" t="s">
        <v>146</v>
      </c>
    </row>
    <row r="847" spans="1:13" ht="12.75" customHeight="1" x14ac:dyDescent="0.3">
      <c r="A847" s="143" t="s">
        <v>9</v>
      </c>
      <c r="B847" s="139" t="str">
        <f>IFERROR(VLOOKUP($A847, NameDesignation[], 2,FALSE), " ")</f>
        <v>Former Director</v>
      </c>
      <c r="C847" s="139" t="s">
        <v>29</v>
      </c>
      <c r="D847" s="139">
        <v>470</v>
      </c>
      <c r="E847" s="140">
        <v>44670</v>
      </c>
      <c r="F847" s="139" t="str">
        <f t="shared" si="39"/>
        <v>Q2-22</v>
      </c>
      <c r="G847" s="140" t="str">
        <f t="shared" si="40"/>
        <v>Apr'22</v>
      </c>
      <c r="H847" s="140" t="str">
        <f>TEXT(RawData[[#This Row],[Date]], "YYYY")</f>
        <v>2022</v>
      </c>
      <c r="I847" s="141" t="s">
        <v>32</v>
      </c>
      <c r="J847" s="141" t="s">
        <v>91</v>
      </c>
      <c r="K847" s="139">
        <f t="shared" si="41"/>
        <v>0</v>
      </c>
      <c r="L847" s="142">
        <f>IF(RawData[[#This Row],[Paid/Unpaid]]="Paid", IF(VALUE($E847)&gt;VALUE($D$3),$K847* 10000,$K847* 8000), 0)</f>
        <v>0</v>
      </c>
      <c r="M847" s="53" t="s">
        <v>146</v>
      </c>
    </row>
    <row r="848" spans="1:13" ht="12.75" customHeight="1" x14ac:dyDescent="0.3">
      <c r="A848" s="143" t="s">
        <v>20</v>
      </c>
      <c r="B848" s="139" t="str">
        <f>IFERROR(VLOOKUP($A848, NameDesignation[], 2,FALSE), " ")</f>
        <v>Former Independent Director</v>
      </c>
      <c r="C848" s="139" t="s">
        <v>29</v>
      </c>
      <c r="D848" s="139">
        <v>470</v>
      </c>
      <c r="E848" s="140">
        <v>44670</v>
      </c>
      <c r="F848" s="139" t="str">
        <f t="shared" si="39"/>
        <v>Q2-22</v>
      </c>
      <c r="G848" s="140" t="str">
        <f t="shared" si="40"/>
        <v>Apr'22</v>
      </c>
      <c r="H848" s="140" t="str">
        <f>TEXT(RawData[[#This Row],[Date]], "YYYY")</f>
        <v>2022</v>
      </c>
      <c r="I848" s="141" t="s">
        <v>32</v>
      </c>
      <c r="J848" s="141" t="s">
        <v>90</v>
      </c>
      <c r="K848" s="139">
        <f t="shared" si="41"/>
        <v>1</v>
      </c>
      <c r="L848" s="142">
        <f>IF(RawData[[#This Row],[Paid/Unpaid]]="Paid", IF(VALUE($E848)&gt;VALUE($D$3),$K848* 10000,$K848* 8000), 0)</f>
        <v>8000</v>
      </c>
      <c r="M848" s="53" t="s">
        <v>146</v>
      </c>
    </row>
    <row r="849" spans="1:13" ht="12.75" customHeight="1" x14ac:dyDescent="0.3">
      <c r="A849" s="143" t="s">
        <v>49</v>
      </c>
      <c r="B849" s="139" t="str">
        <f>IFERROR(VLOOKUP($A849, NameDesignation[], 2,FALSE), " ")</f>
        <v>Former Director</v>
      </c>
      <c r="C849" s="139" t="s">
        <v>29</v>
      </c>
      <c r="D849" s="139">
        <v>470</v>
      </c>
      <c r="E849" s="140">
        <v>44670</v>
      </c>
      <c r="F849" s="139" t="str">
        <f t="shared" si="39"/>
        <v>Q2-22</v>
      </c>
      <c r="G849" s="140" t="str">
        <f t="shared" si="40"/>
        <v>Apr'22</v>
      </c>
      <c r="H849" s="140" t="str">
        <f>TEXT(RawData[[#This Row],[Date]], "YYYY")</f>
        <v>2022</v>
      </c>
      <c r="I849" s="141" t="s">
        <v>32</v>
      </c>
      <c r="J849" s="141" t="s">
        <v>91</v>
      </c>
      <c r="K849" s="139">
        <f t="shared" si="41"/>
        <v>0</v>
      </c>
      <c r="L849" s="142">
        <f>IF(RawData[[#This Row],[Paid/Unpaid]]="Paid", IF(VALUE($E849)&gt;VALUE($D$3),$K849* 10000,$K849* 8000), 0)</f>
        <v>0</v>
      </c>
      <c r="M849" s="53" t="s">
        <v>146</v>
      </c>
    </row>
    <row r="850" spans="1:13" ht="12.75" customHeight="1" x14ac:dyDescent="0.3">
      <c r="A850" s="143" t="s">
        <v>11</v>
      </c>
      <c r="B850" s="139" t="str">
        <f>IFERROR(VLOOKUP($A850, NameDesignation[], 2,FALSE), " ")</f>
        <v>Former Director</v>
      </c>
      <c r="C850" s="139" t="s">
        <v>29</v>
      </c>
      <c r="D850" s="139">
        <v>470</v>
      </c>
      <c r="E850" s="140">
        <v>44670</v>
      </c>
      <c r="F850" s="139" t="str">
        <f t="shared" si="39"/>
        <v>Q2-22</v>
      </c>
      <c r="G850" s="140" t="str">
        <f t="shared" si="40"/>
        <v>Apr'22</v>
      </c>
      <c r="H850" s="140" t="str">
        <f>TEXT(RawData[[#This Row],[Date]], "YYYY")</f>
        <v>2022</v>
      </c>
      <c r="I850" s="141" t="s">
        <v>32</v>
      </c>
      <c r="J850" s="141" t="s">
        <v>91</v>
      </c>
      <c r="K850" s="139">
        <f t="shared" si="41"/>
        <v>0</v>
      </c>
      <c r="L850" s="142">
        <f>IF(RawData[[#This Row],[Paid/Unpaid]]="Paid", IF(VALUE($E850)&gt;VALUE($D$3),$K850* 10000,$K850* 8000), 0)</f>
        <v>0</v>
      </c>
      <c r="M850" s="53" t="s">
        <v>146</v>
      </c>
    </row>
    <row r="851" spans="1:13" ht="12.75" customHeight="1" x14ac:dyDescent="0.3">
      <c r="A851" s="143" t="s">
        <v>12</v>
      </c>
      <c r="B851" s="139" t="str">
        <f>IFERROR(VLOOKUP($A851, NameDesignation[], 2,FALSE), " ")</f>
        <v>Former Director</v>
      </c>
      <c r="C851" s="139" t="s">
        <v>29</v>
      </c>
      <c r="D851" s="139">
        <v>470</v>
      </c>
      <c r="E851" s="140">
        <v>44670</v>
      </c>
      <c r="F851" s="139" t="str">
        <f t="shared" si="39"/>
        <v>Q2-22</v>
      </c>
      <c r="G851" s="140" t="str">
        <f t="shared" si="40"/>
        <v>Apr'22</v>
      </c>
      <c r="H851" s="140" t="str">
        <f>TEXT(RawData[[#This Row],[Date]], "YYYY")</f>
        <v>2022</v>
      </c>
      <c r="I851" s="141" t="s">
        <v>32</v>
      </c>
      <c r="J851" s="141" t="s">
        <v>90</v>
      </c>
      <c r="K851" s="139">
        <f t="shared" si="41"/>
        <v>1</v>
      </c>
      <c r="L851" s="142">
        <f>IF(RawData[[#This Row],[Paid/Unpaid]]="Paid", IF(VALUE($E851)&gt;VALUE($D$3),$K851* 10000,$K851* 8000), 0)</f>
        <v>8000</v>
      </c>
      <c r="M851" s="53" t="s">
        <v>146</v>
      </c>
    </row>
    <row r="852" spans="1:13" ht="12.75" customHeight="1" x14ac:dyDescent="0.3">
      <c r="A852" s="143" t="s">
        <v>137</v>
      </c>
      <c r="B852" s="139" t="str">
        <f>IFERROR(VLOOKUP($A852, NameDesignation[], 2,FALSE), " ")</f>
        <v>Former Director</v>
      </c>
      <c r="C852" s="139" t="s">
        <v>29</v>
      </c>
      <c r="D852" s="139">
        <v>470</v>
      </c>
      <c r="E852" s="140">
        <v>44670</v>
      </c>
      <c r="F852" s="139" t="str">
        <f t="shared" si="39"/>
        <v>Q2-22</v>
      </c>
      <c r="G852" s="140" t="str">
        <f t="shared" si="40"/>
        <v>Apr'22</v>
      </c>
      <c r="H852" s="140" t="str">
        <f>TEXT(RawData[[#This Row],[Date]], "YYYY")</f>
        <v>2022</v>
      </c>
      <c r="I852" s="141" t="s">
        <v>32</v>
      </c>
      <c r="J852" s="141" t="s">
        <v>90</v>
      </c>
      <c r="K852" s="139">
        <f t="shared" si="41"/>
        <v>1</v>
      </c>
      <c r="L852" s="142">
        <f>IF(RawData[[#This Row],[Paid/Unpaid]]="Paid", IF(VALUE($E852)&gt;VALUE($D$3),$K852* 10000,$K852* 8000), 0)</f>
        <v>8000</v>
      </c>
      <c r="M852" s="53" t="s">
        <v>146</v>
      </c>
    </row>
    <row r="853" spans="1:13" ht="12.75" customHeight="1" x14ac:dyDescent="0.3">
      <c r="A853" s="143" t="s">
        <v>13</v>
      </c>
      <c r="B853" s="139" t="str">
        <f>IFERROR(VLOOKUP($A853, NameDesignation[], 2,FALSE), " ")</f>
        <v>Former Director</v>
      </c>
      <c r="C853" s="139" t="s">
        <v>29</v>
      </c>
      <c r="D853" s="139">
        <v>470</v>
      </c>
      <c r="E853" s="140">
        <v>44670</v>
      </c>
      <c r="F853" s="139" t="str">
        <f t="shared" si="39"/>
        <v>Q2-22</v>
      </c>
      <c r="G853" s="140" t="str">
        <f t="shared" si="40"/>
        <v>Apr'22</v>
      </c>
      <c r="H853" s="140" t="str">
        <f>TEXT(RawData[[#This Row],[Date]], "YYYY")</f>
        <v>2022</v>
      </c>
      <c r="I853" s="141" t="s">
        <v>32</v>
      </c>
      <c r="J853" s="141" t="s">
        <v>91</v>
      </c>
      <c r="K853" s="139">
        <f t="shared" si="41"/>
        <v>0</v>
      </c>
      <c r="L853" s="142">
        <f>IF(RawData[[#This Row],[Paid/Unpaid]]="Paid", IF(VALUE($E853)&gt;VALUE($D$3),$K853* 10000,$K853* 8000), 0)</f>
        <v>0</v>
      </c>
      <c r="M853" s="53" t="s">
        <v>146</v>
      </c>
    </row>
    <row r="854" spans="1:13" ht="12.75" customHeight="1" x14ac:dyDescent="0.3">
      <c r="A854" s="143" t="s">
        <v>61</v>
      </c>
      <c r="B854" s="139" t="str">
        <f>IFERROR(VLOOKUP($A854, NameDesignation[], 2,FALSE), " ")</f>
        <v>Former Director</v>
      </c>
      <c r="C854" s="139" t="s">
        <v>29</v>
      </c>
      <c r="D854" s="139">
        <v>470</v>
      </c>
      <c r="E854" s="140">
        <v>44670</v>
      </c>
      <c r="F854" s="139" t="str">
        <f t="shared" si="39"/>
        <v>Q2-22</v>
      </c>
      <c r="G854" s="140" t="str">
        <f t="shared" si="40"/>
        <v>Apr'22</v>
      </c>
      <c r="H854" s="140" t="str">
        <f>TEXT(RawData[[#This Row],[Date]], "YYYY")</f>
        <v>2022</v>
      </c>
      <c r="I854" s="141" t="s">
        <v>32</v>
      </c>
      <c r="J854" s="141" t="s">
        <v>90</v>
      </c>
      <c r="K854" s="139">
        <f t="shared" si="41"/>
        <v>1</v>
      </c>
      <c r="L854" s="142">
        <f>IF(RawData[[#This Row],[Paid/Unpaid]]="Paid", IF(VALUE($E854)&gt;VALUE($D$3),$K854* 10000,$K854* 8000), 0)</f>
        <v>8000</v>
      </c>
      <c r="M854" s="53" t="s">
        <v>146</v>
      </c>
    </row>
    <row r="855" spans="1:13" ht="12.75" customHeight="1" x14ac:dyDescent="0.3">
      <c r="A855" s="143" t="s">
        <v>23</v>
      </c>
      <c r="B855" s="139" t="str">
        <f>IFERROR(VLOOKUP($A855, NameDesignation[], 2,FALSE), " ")</f>
        <v>Former Director</v>
      </c>
      <c r="C855" s="139" t="s">
        <v>29</v>
      </c>
      <c r="D855" s="139">
        <v>470</v>
      </c>
      <c r="E855" s="140">
        <v>44670</v>
      </c>
      <c r="F855" s="139" t="str">
        <f t="shared" si="39"/>
        <v>Q2-22</v>
      </c>
      <c r="G855" s="140" t="str">
        <f t="shared" si="40"/>
        <v>Apr'22</v>
      </c>
      <c r="H855" s="140" t="str">
        <f>TEXT(RawData[[#This Row],[Date]], "YYYY")</f>
        <v>2022</v>
      </c>
      <c r="I855" s="141" t="s">
        <v>32</v>
      </c>
      <c r="J855" s="141" t="s">
        <v>90</v>
      </c>
      <c r="K855" s="139">
        <f t="shared" si="41"/>
        <v>1</v>
      </c>
      <c r="L855" s="142">
        <f>IF(RawData[[#This Row],[Paid/Unpaid]]="Paid", IF(VALUE($E855)&gt;VALUE($D$3),$K855* 10000,$K855* 8000), 0)</f>
        <v>8000</v>
      </c>
      <c r="M855" s="53" t="s">
        <v>146</v>
      </c>
    </row>
    <row r="856" spans="1:13" ht="12.75" customHeight="1" x14ac:dyDescent="0.3">
      <c r="A856" s="143" t="s">
        <v>24</v>
      </c>
      <c r="B856" s="139" t="str">
        <f>IFERROR(VLOOKUP($A856, NameDesignation[], 2,FALSE), " ")</f>
        <v>Former Director</v>
      </c>
      <c r="C856" s="139" t="s">
        <v>29</v>
      </c>
      <c r="D856" s="139">
        <v>470</v>
      </c>
      <c r="E856" s="140">
        <v>44670</v>
      </c>
      <c r="F856" s="139" t="str">
        <f t="shared" si="39"/>
        <v>Q2-22</v>
      </c>
      <c r="G856" s="140" t="str">
        <f t="shared" si="40"/>
        <v>Apr'22</v>
      </c>
      <c r="H856" s="140" t="str">
        <f>TEXT(RawData[[#This Row],[Date]], "YYYY")</f>
        <v>2022</v>
      </c>
      <c r="I856" s="141" t="s">
        <v>32</v>
      </c>
      <c r="J856" s="141" t="s">
        <v>90</v>
      </c>
      <c r="K856" s="139">
        <f t="shared" si="41"/>
        <v>1</v>
      </c>
      <c r="L856" s="142">
        <f>IF(RawData[[#This Row],[Paid/Unpaid]]="Paid", IF(VALUE($E856)&gt;VALUE($D$3),$K856* 10000,$K856* 8000), 0)</f>
        <v>8000</v>
      </c>
      <c r="M856" s="53" t="s">
        <v>146</v>
      </c>
    </row>
    <row r="857" spans="1:13" ht="12.75" customHeight="1" x14ac:dyDescent="0.3">
      <c r="A857" s="143" t="s">
        <v>15</v>
      </c>
      <c r="B857" s="139" t="str">
        <f>IFERROR(VLOOKUP($A857, NameDesignation[], 2,FALSE), " ")</f>
        <v>Former Director</v>
      </c>
      <c r="C857" s="139" t="s">
        <v>29</v>
      </c>
      <c r="D857" s="139">
        <v>470</v>
      </c>
      <c r="E857" s="140">
        <v>44670</v>
      </c>
      <c r="F857" s="139" t="str">
        <f t="shared" si="39"/>
        <v>Q2-22</v>
      </c>
      <c r="G857" s="140" t="str">
        <f t="shared" si="40"/>
        <v>Apr'22</v>
      </c>
      <c r="H857" s="140" t="str">
        <f>TEXT(RawData[[#This Row],[Date]], "YYYY")</f>
        <v>2022</v>
      </c>
      <c r="I857" s="141" t="s">
        <v>32</v>
      </c>
      <c r="J857" s="141" t="s">
        <v>90</v>
      </c>
      <c r="K857" s="139">
        <f t="shared" si="41"/>
        <v>1</v>
      </c>
      <c r="L857" s="142">
        <f>IF(RawData[[#This Row],[Paid/Unpaid]]="Paid", IF(VALUE($E857)&gt;VALUE($D$3),$K857* 10000,$K857* 8000), 0)</f>
        <v>8000</v>
      </c>
      <c r="M857" s="53" t="s">
        <v>146</v>
      </c>
    </row>
    <row r="858" spans="1:13" ht="12.75" customHeight="1" x14ac:dyDescent="0.3">
      <c r="A858" s="143" t="s">
        <v>16</v>
      </c>
      <c r="B858" s="139" t="str">
        <f>IFERROR(VLOOKUP($A858, NameDesignation[], 2,FALSE), " ")</f>
        <v>Former Director</v>
      </c>
      <c r="C858" s="139" t="s">
        <v>29</v>
      </c>
      <c r="D858" s="139">
        <v>470</v>
      </c>
      <c r="E858" s="140">
        <v>44670</v>
      </c>
      <c r="F858" s="139" t="str">
        <f t="shared" si="39"/>
        <v>Q2-22</v>
      </c>
      <c r="G858" s="140" t="str">
        <f t="shared" si="40"/>
        <v>Apr'22</v>
      </c>
      <c r="H858" s="140" t="str">
        <f>TEXT(RawData[[#This Row],[Date]], "YYYY")</f>
        <v>2022</v>
      </c>
      <c r="I858" s="141" t="s">
        <v>32</v>
      </c>
      <c r="J858" s="141" t="s">
        <v>90</v>
      </c>
      <c r="K858" s="139">
        <f t="shared" si="41"/>
        <v>1</v>
      </c>
      <c r="L858" s="142">
        <f>IF(RawData[[#This Row],[Paid/Unpaid]]="Paid", IF(VALUE($E858)&gt;VALUE($D$3),$K858* 10000,$K858* 8000), 0)</f>
        <v>8000</v>
      </c>
      <c r="M858" s="53" t="s">
        <v>146</v>
      </c>
    </row>
    <row r="859" spans="1:13" ht="12.75" customHeight="1" x14ac:dyDescent="0.3">
      <c r="A859" s="143" t="s">
        <v>21</v>
      </c>
      <c r="B859" s="139" t="str">
        <f>IFERROR(VLOOKUP($A859, NameDesignation[], 2,FALSE), " ")</f>
        <v>Former Independent Director</v>
      </c>
      <c r="C859" s="139" t="s">
        <v>29</v>
      </c>
      <c r="D859" s="139">
        <v>470</v>
      </c>
      <c r="E859" s="140">
        <v>44670</v>
      </c>
      <c r="F859" s="139" t="str">
        <f t="shared" si="39"/>
        <v>Q2-22</v>
      </c>
      <c r="G859" s="140" t="str">
        <f t="shared" si="40"/>
        <v>Apr'22</v>
      </c>
      <c r="H859" s="140" t="str">
        <f>TEXT(RawData[[#This Row],[Date]], "YYYY")</f>
        <v>2022</v>
      </c>
      <c r="I859" s="141" t="s">
        <v>32</v>
      </c>
      <c r="J859" s="141" t="s">
        <v>90</v>
      </c>
      <c r="K859" s="139">
        <f t="shared" si="41"/>
        <v>1</v>
      </c>
      <c r="L859" s="142">
        <f>IF(RawData[[#This Row],[Paid/Unpaid]]="Paid", IF(VALUE($E859)&gt;VALUE($D$3),$K859* 10000,$K859* 8000), 0)</f>
        <v>8000</v>
      </c>
      <c r="M859" s="53" t="s">
        <v>146</v>
      </c>
    </row>
    <row r="860" spans="1:13" ht="12.75" customHeight="1" x14ac:dyDescent="0.3">
      <c r="A860" s="143" t="s">
        <v>25</v>
      </c>
      <c r="B860" s="139" t="str">
        <f>IFERROR(VLOOKUP($A860, NameDesignation[], 2,FALSE), " ")</f>
        <v>Former Director</v>
      </c>
      <c r="C860" s="139" t="s">
        <v>29</v>
      </c>
      <c r="D860" s="139">
        <v>470</v>
      </c>
      <c r="E860" s="140">
        <v>44670</v>
      </c>
      <c r="F860" s="139" t="str">
        <f t="shared" si="39"/>
        <v>Q2-22</v>
      </c>
      <c r="G860" s="140" t="str">
        <f t="shared" si="40"/>
        <v>Apr'22</v>
      </c>
      <c r="H860" s="140" t="str">
        <f>TEXT(RawData[[#This Row],[Date]], "YYYY")</f>
        <v>2022</v>
      </c>
      <c r="I860" s="141" t="s">
        <v>32</v>
      </c>
      <c r="J860" s="141" t="s">
        <v>90</v>
      </c>
      <c r="K860" s="139">
        <f t="shared" si="41"/>
        <v>1</v>
      </c>
      <c r="L860" s="142">
        <f>IF(RawData[[#This Row],[Paid/Unpaid]]="Paid", IF(VALUE($E860)&gt;VALUE($D$3),$K860* 10000,$K860* 8000), 0)</f>
        <v>8000</v>
      </c>
      <c r="M860" s="53" t="s">
        <v>146</v>
      </c>
    </row>
    <row r="861" spans="1:13" ht="12.75" customHeight="1" x14ac:dyDescent="0.3">
      <c r="A861" s="143" t="s">
        <v>50</v>
      </c>
      <c r="B861" s="139" t="str">
        <f>IFERROR(VLOOKUP($A861, NameDesignation[], 2,FALSE), " ")</f>
        <v>Former Director</v>
      </c>
      <c r="C861" s="139" t="s">
        <v>29</v>
      </c>
      <c r="D861" s="139">
        <v>470</v>
      </c>
      <c r="E861" s="140">
        <v>44670</v>
      </c>
      <c r="F861" s="139" t="str">
        <f t="shared" si="39"/>
        <v>Q2-22</v>
      </c>
      <c r="G861" s="140" t="str">
        <f t="shared" si="40"/>
        <v>Apr'22</v>
      </c>
      <c r="H861" s="140" t="str">
        <f>TEXT(RawData[[#This Row],[Date]], "YYYY")</f>
        <v>2022</v>
      </c>
      <c r="I861" s="141" t="s">
        <v>32</v>
      </c>
      <c r="J861" s="141" t="s">
        <v>91</v>
      </c>
      <c r="K861" s="139">
        <f t="shared" si="41"/>
        <v>0</v>
      </c>
      <c r="L861" s="142">
        <f>IF(RawData[[#This Row],[Paid/Unpaid]]="Paid", IF(VALUE($E861)&gt;VALUE($D$3),$K861* 10000,$K861* 8000), 0)</f>
        <v>0</v>
      </c>
      <c r="M861" s="53" t="s">
        <v>146</v>
      </c>
    </row>
    <row r="862" spans="1:13" ht="12.75" customHeight="1" x14ac:dyDescent="0.3">
      <c r="A862" s="143" t="s">
        <v>51</v>
      </c>
      <c r="B862" s="139" t="str">
        <f>IFERROR(VLOOKUP($A862, NameDesignation[], 2,FALSE), " ")</f>
        <v>Former Director</v>
      </c>
      <c r="C862" s="139" t="s">
        <v>29</v>
      </c>
      <c r="D862" s="139">
        <v>470</v>
      </c>
      <c r="E862" s="140">
        <v>44670</v>
      </c>
      <c r="F862" s="139" t="str">
        <f t="shared" si="39"/>
        <v>Q2-22</v>
      </c>
      <c r="G862" s="140" t="str">
        <f t="shared" si="40"/>
        <v>Apr'22</v>
      </c>
      <c r="H862" s="140" t="str">
        <f>TEXT(RawData[[#This Row],[Date]], "YYYY")</f>
        <v>2022</v>
      </c>
      <c r="I862" s="141" t="s">
        <v>32</v>
      </c>
      <c r="J862" s="141" t="s">
        <v>90</v>
      </c>
      <c r="K862" s="139">
        <f t="shared" si="41"/>
        <v>1</v>
      </c>
      <c r="L862" s="142">
        <f>IF(RawData[[#This Row],[Paid/Unpaid]]="Paid", IF(VALUE($E862)&gt;VALUE($D$3),$K862* 10000,$K862* 8000), 0)</f>
        <v>8000</v>
      </c>
      <c r="M862" s="53" t="s">
        <v>146</v>
      </c>
    </row>
    <row r="863" spans="1:13" ht="12.75" customHeight="1" x14ac:dyDescent="0.3">
      <c r="A863" s="143" t="s">
        <v>18</v>
      </c>
      <c r="B863" s="139" t="str">
        <f>IFERROR(VLOOKUP($A863, NameDesignation[], 2,FALSE), " ")</f>
        <v>Former Independent Director</v>
      </c>
      <c r="C863" s="139" t="s">
        <v>29</v>
      </c>
      <c r="D863" s="139">
        <v>470</v>
      </c>
      <c r="E863" s="140">
        <v>44670</v>
      </c>
      <c r="F863" s="139" t="str">
        <f t="shared" si="39"/>
        <v>Q2-22</v>
      </c>
      <c r="G863" s="140" t="str">
        <f t="shared" si="40"/>
        <v>Apr'22</v>
      </c>
      <c r="H863" s="140" t="str">
        <f>TEXT(RawData[[#This Row],[Date]], "YYYY")</f>
        <v>2022</v>
      </c>
      <c r="I863" s="141" t="s">
        <v>32</v>
      </c>
      <c r="J863" s="141" t="s">
        <v>91</v>
      </c>
      <c r="K863" s="139">
        <f t="shared" si="41"/>
        <v>0</v>
      </c>
      <c r="L863" s="142">
        <f>IF(RawData[[#This Row],[Paid/Unpaid]]="Paid", IF(VALUE($E863)&gt;VALUE($D$3),$K863* 10000,$K863* 8000), 0)</f>
        <v>0</v>
      </c>
      <c r="M863" s="53" t="s">
        <v>146</v>
      </c>
    </row>
    <row r="864" spans="1:13" ht="12.75" customHeight="1" x14ac:dyDescent="0.3">
      <c r="A864" s="143" t="s">
        <v>34</v>
      </c>
      <c r="B864" s="139" t="str">
        <f>IFERROR(VLOOKUP($A864, NameDesignation[], 2,FALSE), " ")</f>
        <v>Former Managing Director &amp; CEO</v>
      </c>
      <c r="C864" s="139" t="s">
        <v>29</v>
      </c>
      <c r="D864" s="139">
        <v>470</v>
      </c>
      <c r="E864" s="140">
        <v>44670</v>
      </c>
      <c r="F864" s="139" t="str">
        <f t="shared" si="39"/>
        <v>Q2-22</v>
      </c>
      <c r="G864" s="140" t="str">
        <f t="shared" si="40"/>
        <v>Apr'22</v>
      </c>
      <c r="H864" s="140" t="str">
        <f>TEXT(RawData[[#This Row],[Date]], "YYYY")</f>
        <v>2022</v>
      </c>
      <c r="I864" s="141" t="s">
        <v>32</v>
      </c>
      <c r="J864" s="141" t="s">
        <v>90</v>
      </c>
      <c r="K864" s="139">
        <f t="shared" si="41"/>
        <v>1</v>
      </c>
      <c r="L864" s="142">
        <f>IF(RawData[[#This Row],[Paid/Unpaid]]="Paid", IF(VALUE($E864)&gt;VALUE($D$3),$K864* 10000,$K864* 8000), 0)</f>
        <v>8000</v>
      </c>
      <c r="M864" s="53" t="s">
        <v>146</v>
      </c>
    </row>
    <row r="865" spans="1:13" ht="12.75" customHeight="1" x14ac:dyDescent="0.3">
      <c r="A865" s="144" t="s">
        <v>9</v>
      </c>
      <c r="B865" s="139" t="str">
        <f>IFERROR(VLOOKUP($A865, NameDesignation[], 2,FALSE), " ")</f>
        <v>Former Director</v>
      </c>
      <c r="C865" s="139" t="s">
        <v>30</v>
      </c>
      <c r="D865" s="139">
        <v>451</v>
      </c>
      <c r="E865" s="140">
        <v>44678</v>
      </c>
      <c r="F865" s="139" t="str">
        <f t="shared" si="39"/>
        <v>Q2-22</v>
      </c>
      <c r="G865" s="140" t="str">
        <f t="shared" si="40"/>
        <v>Apr'22</v>
      </c>
      <c r="H865" s="140" t="str">
        <f>TEXT(RawData[[#This Row],[Date]], "YYYY")</f>
        <v>2022</v>
      </c>
      <c r="I865" s="141" t="s">
        <v>32</v>
      </c>
      <c r="J865" s="141" t="s">
        <v>90</v>
      </c>
      <c r="K865" s="139">
        <f t="shared" si="41"/>
        <v>1</v>
      </c>
      <c r="L865" s="142">
        <f>IF(RawData[[#This Row],[Paid/Unpaid]]="Paid", IF(VALUE($E865)&gt;VALUE($D$3),$K865* 10000,$K865* 8000), 0)</f>
        <v>8000</v>
      </c>
      <c r="M865" s="53" t="s">
        <v>146</v>
      </c>
    </row>
    <row r="866" spans="1:13" ht="12.75" customHeight="1" x14ac:dyDescent="0.3">
      <c r="A866" s="144" t="s">
        <v>8</v>
      </c>
      <c r="B866" s="139" t="str">
        <f>IFERROR(VLOOKUP($A866, NameDesignation[], 2,FALSE), " ")</f>
        <v>Former Vice-Chairman</v>
      </c>
      <c r="C866" s="139" t="s">
        <v>30</v>
      </c>
      <c r="D866" s="139">
        <v>451</v>
      </c>
      <c r="E866" s="140">
        <v>44678</v>
      </c>
      <c r="F866" s="139" t="str">
        <f t="shared" si="39"/>
        <v>Q2-22</v>
      </c>
      <c r="G866" s="140" t="str">
        <f t="shared" si="40"/>
        <v>Apr'22</v>
      </c>
      <c r="H866" s="140" t="str">
        <f>TEXT(RawData[[#This Row],[Date]], "YYYY")</f>
        <v>2022</v>
      </c>
      <c r="I866" s="141" t="s">
        <v>32</v>
      </c>
      <c r="J866" s="141" t="s">
        <v>90</v>
      </c>
      <c r="K866" s="139">
        <f t="shared" si="41"/>
        <v>1</v>
      </c>
      <c r="L866" s="142">
        <f>IF(RawData[[#This Row],[Paid/Unpaid]]="Paid", IF(VALUE($E866)&gt;VALUE($D$3),$K866* 10000,$K866* 8000), 0)</f>
        <v>8000</v>
      </c>
      <c r="M866" s="53" t="s">
        <v>146</v>
      </c>
    </row>
    <row r="867" spans="1:13" ht="12.75" customHeight="1" x14ac:dyDescent="0.3">
      <c r="A867" s="144" t="s">
        <v>49</v>
      </c>
      <c r="B867" s="139" t="str">
        <f>IFERROR(VLOOKUP($A867, NameDesignation[], 2,FALSE), " ")</f>
        <v>Former Director</v>
      </c>
      <c r="C867" s="139" t="s">
        <v>30</v>
      </c>
      <c r="D867" s="139">
        <v>451</v>
      </c>
      <c r="E867" s="140">
        <v>44678</v>
      </c>
      <c r="F867" s="139" t="str">
        <f t="shared" si="39"/>
        <v>Q2-22</v>
      </c>
      <c r="G867" s="140" t="str">
        <f t="shared" si="40"/>
        <v>Apr'22</v>
      </c>
      <c r="H867" s="140" t="str">
        <f>TEXT(RawData[[#This Row],[Date]], "YYYY")</f>
        <v>2022</v>
      </c>
      <c r="I867" s="141" t="s">
        <v>32</v>
      </c>
      <c r="J867" s="141" t="s">
        <v>91</v>
      </c>
      <c r="K867" s="139">
        <f t="shared" si="41"/>
        <v>0</v>
      </c>
      <c r="L867" s="142">
        <f>IF(RawData[[#This Row],[Paid/Unpaid]]="Paid", IF(VALUE($E867)&gt;VALUE($D$3),$K867* 10000,$K867* 8000), 0)</f>
        <v>0</v>
      </c>
      <c r="M867" s="53" t="s">
        <v>146</v>
      </c>
    </row>
    <row r="868" spans="1:13" ht="12.75" customHeight="1" x14ac:dyDescent="0.3">
      <c r="A868" s="144" t="s">
        <v>11</v>
      </c>
      <c r="B868" s="139" t="str">
        <f>IFERROR(VLOOKUP($A868, NameDesignation[], 2,FALSE), " ")</f>
        <v>Former Director</v>
      </c>
      <c r="C868" s="139" t="s">
        <v>30</v>
      </c>
      <c r="D868" s="139">
        <v>451</v>
      </c>
      <c r="E868" s="140">
        <v>44678</v>
      </c>
      <c r="F868" s="139" t="str">
        <f t="shared" si="39"/>
        <v>Q2-22</v>
      </c>
      <c r="G868" s="140" t="str">
        <f t="shared" si="40"/>
        <v>Apr'22</v>
      </c>
      <c r="H868" s="140" t="str">
        <f>TEXT(RawData[[#This Row],[Date]], "YYYY")</f>
        <v>2022</v>
      </c>
      <c r="I868" s="141" t="s">
        <v>32</v>
      </c>
      <c r="J868" s="141" t="s">
        <v>91</v>
      </c>
      <c r="K868" s="139">
        <f t="shared" si="41"/>
        <v>0</v>
      </c>
      <c r="L868" s="142">
        <f>IF(RawData[[#This Row],[Paid/Unpaid]]="Paid", IF(VALUE($E868)&gt;VALUE($D$3),$K868* 10000,$K868* 8000), 0)</f>
        <v>0</v>
      </c>
      <c r="M868" s="53" t="s">
        <v>146</v>
      </c>
    </row>
    <row r="869" spans="1:13" ht="12.75" customHeight="1" x14ac:dyDescent="0.3">
      <c r="A869" s="144" t="s">
        <v>13</v>
      </c>
      <c r="B869" s="139" t="str">
        <f>IFERROR(VLOOKUP($A869, NameDesignation[], 2,FALSE), " ")</f>
        <v>Former Director</v>
      </c>
      <c r="C869" s="139" t="s">
        <v>30</v>
      </c>
      <c r="D869" s="139">
        <v>451</v>
      </c>
      <c r="E869" s="140">
        <v>44678</v>
      </c>
      <c r="F869" s="139" t="str">
        <f t="shared" si="39"/>
        <v>Q2-22</v>
      </c>
      <c r="G869" s="140" t="str">
        <f t="shared" si="40"/>
        <v>Apr'22</v>
      </c>
      <c r="H869" s="140" t="str">
        <f>TEXT(RawData[[#This Row],[Date]], "YYYY")</f>
        <v>2022</v>
      </c>
      <c r="I869" s="141" t="s">
        <v>32</v>
      </c>
      <c r="J869" s="141" t="s">
        <v>90</v>
      </c>
      <c r="K869" s="139">
        <f t="shared" si="41"/>
        <v>1</v>
      </c>
      <c r="L869" s="142">
        <f>IF(RawData[[#This Row],[Paid/Unpaid]]="Paid", IF(VALUE($E869)&gt;VALUE($D$3),$K869* 10000,$K869* 8000), 0)</f>
        <v>8000</v>
      </c>
      <c r="M869" s="53" t="s">
        <v>146</v>
      </c>
    </row>
    <row r="870" spans="1:13" ht="12.75" customHeight="1" x14ac:dyDescent="0.3">
      <c r="A870" s="144" t="s">
        <v>12</v>
      </c>
      <c r="B870" s="139" t="str">
        <f>IFERROR(VLOOKUP($A870, NameDesignation[], 2,FALSE), " ")</f>
        <v>Former Director</v>
      </c>
      <c r="C870" s="139" t="s">
        <v>30</v>
      </c>
      <c r="D870" s="139">
        <v>451</v>
      </c>
      <c r="E870" s="140">
        <v>44678</v>
      </c>
      <c r="F870" s="139" t="str">
        <f t="shared" si="39"/>
        <v>Q2-22</v>
      </c>
      <c r="G870" s="140" t="str">
        <f t="shared" si="40"/>
        <v>Apr'22</v>
      </c>
      <c r="H870" s="140" t="str">
        <f>TEXT(RawData[[#This Row],[Date]], "YYYY")</f>
        <v>2022</v>
      </c>
      <c r="I870" s="141" t="s">
        <v>32</v>
      </c>
      <c r="J870" s="141" t="s">
        <v>90</v>
      </c>
      <c r="K870" s="139">
        <f t="shared" si="41"/>
        <v>1</v>
      </c>
      <c r="L870" s="142">
        <f>IF(RawData[[#This Row],[Paid/Unpaid]]="Paid", IF(VALUE($E870)&gt;VALUE($D$3),$K870* 10000,$K870* 8000), 0)</f>
        <v>8000</v>
      </c>
      <c r="M870" s="53" t="s">
        <v>146</v>
      </c>
    </row>
    <row r="871" spans="1:13" ht="12.75" customHeight="1" x14ac:dyDescent="0.3">
      <c r="A871" s="144" t="s">
        <v>25</v>
      </c>
      <c r="B871" s="139" t="str">
        <f>IFERROR(VLOOKUP($A871, NameDesignation[], 2,FALSE), " ")</f>
        <v>Former Director</v>
      </c>
      <c r="C871" s="139" t="s">
        <v>30</v>
      </c>
      <c r="D871" s="139">
        <v>451</v>
      </c>
      <c r="E871" s="140">
        <v>44678</v>
      </c>
      <c r="F871" s="139" t="str">
        <f t="shared" si="39"/>
        <v>Q2-22</v>
      </c>
      <c r="G871" s="140" t="str">
        <f t="shared" si="40"/>
        <v>Apr'22</v>
      </c>
      <c r="H871" s="140" t="str">
        <f>TEXT(RawData[[#This Row],[Date]], "YYYY")</f>
        <v>2022</v>
      </c>
      <c r="I871" s="141" t="s">
        <v>32</v>
      </c>
      <c r="J871" s="141" t="s">
        <v>90</v>
      </c>
      <c r="K871" s="139">
        <f t="shared" si="41"/>
        <v>1</v>
      </c>
      <c r="L871" s="142">
        <f>IF(RawData[[#This Row],[Paid/Unpaid]]="Paid", IF(VALUE($E871)&gt;VALUE($D$3),$K871* 10000,$K871* 8000), 0)</f>
        <v>8000</v>
      </c>
      <c r="M871" s="53" t="s">
        <v>146</v>
      </c>
    </row>
    <row r="872" spans="1:13" ht="12.75" customHeight="1" x14ac:dyDescent="0.3">
      <c r="A872" s="143" t="s">
        <v>7</v>
      </c>
      <c r="B872" s="139" t="str">
        <f>IFERROR(VLOOKUP($A872, NameDesignation[], 2,FALSE), " ")</f>
        <v>Former Director</v>
      </c>
      <c r="C872" s="139" t="s">
        <v>29</v>
      </c>
      <c r="D872" s="139">
        <v>471</v>
      </c>
      <c r="E872" s="140">
        <v>44693</v>
      </c>
      <c r="F872" s="139" t="str">
        <f t="shared" si="39"/>
        <v>Q2-22</v>
      </c>
      <c r="G872" s="140" t="str">
        <f t="shared" si="40"/>
        <v>May'22</v>
      </c>
      <c r="H872" s="140" t="str">
        <f>TEXT(RawData[[#This Row],[Date]], "YYYY")</f>
        <v>2022</v>
      </c>
      <c r="I872" s="141" t="s">
        <v>32</v>
      </c>
      <c r="J872" s="141" t="s">
        <v>91</v>
      </c>
      <c r="K872" s="139">
        <f t="shared" si="41"/>
        <v>0</v>
      </c>
      <c r="L872" s="142">
        <f>IF(RawData[[#This Row],[Paid/Unpaid]]="Paid", IF(VALUE($E872)&gt;VALUE($D$3),$K872* 10000,$K872* 8000), 0)</f>
        <v>0</v>
      </c>
      <c r="M872" s="53" t="s">
        <v>146</v>
      </c>
    </row>
    <row r="873" spans="1:13" ht="12.75" customHeight="1" x14ac:dyDescent="0.3">
      <c r="A873" s="143" t="s">
        <v>8</v>
      </c>
      <c r="B873" s="139" t="str">
        <f>IFERROR(VLOOKUP($A873, NameDesignation[], 2,FALSE), " ")</f>
        <v>Former Vice-Chairman</v>
      </c>
      <c r="C873" s="139" t="s">
        <v>29</v>
      </c>
      <c r="D873" s="139">
        <v>471</v>
      </c>
      <c r="E873" s="140">
        <v>44693</v>
      </c>
      <c r="F873" s="139" t="str">
        <f t="shared" si="39"/>
        <v>Q2-22</v>
      </c>
      <c r="G873" s="140" t="str">
        <f t="shared" si="40"/>
        <v>May'22</v>
      </c>
      <c r="H873" s="140" t="str">
        <f>TEXT(RawData[[#This Row],[Date]], "YYYY")</f>
        <v>2022</v>
      </c>
      <c r="I873" s="141" t="s">
        <v>32</v>
      </c>
      <c r="J873" s="141" t="s">
        <v>91</v>
      </c>
      <c r="K873" s="139">
        <f t="shared" si="41"/>
        <v>0</v>
      </c>
      <c r="L873" s="142">
        <f>IF(RawData[[#This Row],[Paid/Unpaid]]="Paid", IF(VALUE($E873)&gt;VALUE($D$3),$K873* 10000,$K873* 8000), 0)</f>
        <v>0</v>
      </c>
      <c r="M873" s="53" t="s">
        <v>146</v>
      </c>
    </row>
    <row r="874" spans="1:13" ht="12.75" customHeight="1" x14ac:dyDescent="0.3">
      <c r="A874" s="143" t="s">
        <v>9</v>
      </c>
      <c r="B874" s="139" t="str">
        <f>IFERROR(VLOOKUP($A874, NameDesignation[], 2,FALSE), " ")</f>
        <v>Former Director</v>
      </c>
      <c r="C874" s="139" t="s">
        <v>29</v>
      </c>
      <c r="D874" s="139">
        <v>471</v>
      </c>
      <c r="E874" s="140">
        <v>44693</v>
      </c>
      <c r="F874" s="139" t="str">
        <f t="shared" si="39"/>
        <v>Q2-22</v>
      </c>
      <c r="G874" s="140" t="str">
        <f t="shared" si="40"/>
        <v>May'22</v>
      </c>
      <c r="H874" s="140" t="str">
        <f>TEXT(RawData[[#This Row],[Date]], "YYYY")</f>
        <v>2022</v>
      </c>
      <c r="I874" s="141" t="s">
        <v>32</v>
      </c>
      <c r="J874" s="141" t="s">
        <v>90</v>
      </c>
      <c r="K874" s="139">
        <f t="shared" si="41"/>
        <v>1</v>
      </c>
      <c r="L874" s="142">
        <f>IF(RawData[[#This Row],[Paid/Unpaid]]="Paid", IF(VALUE($E874)&gt;VALUE($D$3),$K874* 10000,$K874* 8000), 0)</f>
        <v>8000</v>
      </c>
      <c r="M874" s="53" t="s">
        <v>146</v>
      </c>
    </row>
    <row r="875" spans="1:13" ht="12.75" customHeight="1" x14ac:dyDescent="0.3">
      <c r="A875" s="143" t="s">
        <v>20</v>
      </c>
      <c r="B875" s="139" t="str">
        <f>IFERROR(VLOOKUP($A875, NameDesignation[], 2,FALSE), " ")</f>
        <v>Former Independent Director</v>
      </c>
      <c r="C875" s="139" t="s">
        <v>29</v>
      </c>
      <c r="D875" s="139">
        <v>471</v>
      </c>
      <c r="E875" s="140">
        <v>44693</v>
      </c>
      <c r="F875" s="139" t="str">
        <f t="shared" si="39"/>
        <v>Q2-22</v>
      </c>
      <c r="G875" s="140" t="str">
        <f t="shared" si="40"/>
        <v>May'22</v>
      </c>
      <c r="H875" s="140" t="str">
        <f>TEXT(RawData[[#This Row],[Date]], "YYYY")</f>
        <v>2022</v>
      </c>
      <c r="I875" s="141" t="s">
        <v>32</v>
      </c>
      <c r="J875" s="141" t="s">
        <v>90</v>
      </c>
      <c r="K875" s="139">
        <f t="shared" si="41"/>
        <v>1</v>
      </c>
      <c r="L875" s="142">
        <f>IF(RawData[[#This Row],[Paid/Unpaid]]="Paid", IF(VALUE($E875)&gt;VALUE($D$3),$K875* 10000,$K875* 8000), 0)</f>
        <v>8000</v>
      </c>
      <c r="M875" s="53" t="s">
        <v>146</v>
      </c>
    </row>
    <row r="876" spans="1:13" ht="12.75" customHeight="1" x14ac:dyDescent="0.3">
      <c r="A876" s="143" t="s">
        <v>49</v>
      </c>
      <c r="B876" s="139" t="str">
        <f>IFERROR(VLOOKUP($A876, NameDesignation[], 2,FALSE), " ")</f>
        <v>Former Director</v>
      </c>
      <c r="C876" s="139" t="s">
        <v>29</v>
      </c>
      <c r="D876" s="139">
        <v>471</v>
      </c>
      <c r="E876" s="140">
        <v>44693</v>
      </c>
      <c r="F876" s="139" t="str">
        <f t="shared" si="39"/>
        <v>Q2-22</v>
      </c>
      <c r="G876" s="140" t="str">
        <f t="shared" si="40"/>
        <v>May'22</v>
      </c>
      <c r="H876" s="140" t="str">
        <f>TEXT(RawData[[#This Row],[Date]], "YYYY")</f>
        <v>2022</v>
      </c>
      <c r="I876" s="141" t="s">
        <v>32</v>
      </c>
      <c r="J876" s="141" t="s">
        <v>90</v>
      </c>
      <c r="K876" s="139">
        <f t="shared" si="41"/>
        <v>1</v>
      </c>
      <c r="L876" s="142">
        <f>IF(RawData[[#This Row],[Paid/Unpaid]]="Paid", IF(VALUE($E876)&gt;VALUE($D$3),$K876* 10000,$K876* 8000), 0)</f>
        <v>8000</v>
      </c>
      <c r="M876" s="53" t="s">
        <v>146</v>
      </c>
    </row>
    <row r="877" spans="1:13" ht="12.75" customHeight="1" x14ac:dyDescent="0.3">
      <c r="A877" s="143" t="s">
        <v>11</v>
      </c>
      <c r="B877" s="139" t="str">
        <f>IFERROR(VLOOKUP($A877, NameDesignation[], 2,FALSE), " ")</f>
        <v>Former Director</v>
      </c>
      <c r="C877" s="139" t="s">
        <v>29</v>
      </c>
      <c r="D877" s="139">
        <v>471</v>
      </c>
      <c r="E877" s="140">
        <v>44693</v>
      </c>
      <c r="F877" s="139" t="str">
        <f t="shared" si="39"/>
        <v>Q2-22</v>
      </c>
      <c r="G877" s="140" t="str">
        <f t="shared" si="40"/>
        <v>May'22</v>
      </c>
      <c r="H877" s="140" t="str">
        <f>TEXT(RawData[[#This Row],[Date]], "YYYY")</f>
        <v>2022</v>
      </c>
      <c r="I877" s="141" t="s">
        <v>32</v>
      </c>
      <c r="J877" s="141" t="s">
        <v>90</v>
      </c>
      <c r="K877" s="139">
        <f t="shared" si="41"/>
        <v>1</v>
      </c>
      <c r="L877" s="142">
        <f>IF(RawData[[#This Row],[Paid/Unpaid]]="Paid", IF(VALUE($E877)&gt;VALUE($D$3),$K877* 10000,$K877* 8000), 0)</f>
        <v>8000</v>
      </c>
      <c r="M877" s="53" t="s">
        <v>146</v>
      </c>
    </row>
    <row r="878" spans="1:13" ht="12.75" customHeight="1" x14ac:dyDescent="0.3">
      <c r="A878" s="143" t="s">
        <v>12</v>
      </c>
      <c r="B878" s="139" t="str">
        <f>IFERROR(VLOOKUP($A878, NameDesignation[], 2,FALSE), " ")</f>
        <v>Former Director</v>
      </c>
      <c r="C878" s="139" t="s">
        <v>29</v>
      </c>
      <c r="D878" s="139">
        <v>471</v>
      </c>
      <c r="E878" s="140">
        <v>44693</v>
      </c>
      <c r="F878" s="139" t="str">
        <f t="shared" si="39"/>
        <v>Q2-22</v>
      </c>
      <c r="G878" s="140" t="str">
        <f t="shared" si="40"/>
        <v>May'22</v>
      </c>
      <c r="H878" s="140" t="str">
        <f>TEXT(RawData[[#This Row],[Date]], "YYYY")</f>
        <v>2022</v>
      </c>
      <c r="I878" s="141" t="s">
        <v>32</v>
      </c>
      <c r="J878" s="141" t="s">
        <v>90</v>
      </c>
      <c r="K878" s="139">
        <f t="shared" si="41"/>
        <v>1</v>
      </c>
      <c r="L878" s="142">
        <f>IF(RawData[[#This Row],[Paid/Unpaid]]="Paid", IF(VALUE($E878)&gt;VALUE($D$3),$K878* 10000,$K878* 8000), 0)</f>
        <v>8000</v>
      </c>
      <c r="M878" s="53" t="s">
        <v>146</v>
      </c>
    </row>
    <row r="879" spans="1:13" ht="12.75" customHeight="1" x14ac:dyDescent="0.3">
      <c r="A879" s="143" t="s">
        <v>137</v>
      </c>
      <c r="B879" s="139" t="str">
        <f>IFERROR(VLOOKUP($A879, NameDesignation[], 2,FALSE), " ")</f>
        <v>Former Director</v>
      </c>
      <c r="C879" s="139" t="s">
        <v>29</v>
      </c>
      <c r="D879" s="139">
        <v>471</v>
      </c>
      <c r="E879" s="140">
        <v>44693</v>
      </c>
      <c r="F879" s="139" t="str">
        <f t="shared" si="39"/>
        <v>Q2-22</v>
      </c>
      <c r="G879" s="140" t="str">
        <f t="shared" si="40"/>
        <v>May'22</v>
      </c>
      <c r="H879" s="140" t="str">
        <f>TEXT(RawData[[#This Row],[Date]], "YYYY")</f>
        <v>2022</v>
      </c>
      <c r="I879" s="141" t="s">
        <v>32</v>
      </c>
      <c r="J879" s="141" t="s">
        <v>90</v>
      </c>
      <c r="K879" s="139">
        <f t="shared" si="41"/>
        <v>1</v>
      </c>
      <c r="L879" s="142">
        <f>IF(RawData[[#This Row],[Paid/Unpaid]]="Paid", IF(VALUE($E879)&gt;VALUE($D$3),$K879* 10000,$K879* 8000), 0)</f>
        <v>8000</v>
      </c>
      <c r="M879" s="53" t="s">
        <v>146</v>
      </c>
    </row>
    <row r="880" spans="1:13" ht="12.75" customHeight="1" x14ac:dyDescent="0.3">
      <c r="A880" s="143" t="s">
        <v>13</v>
      </c>
      <c r="B880" s="139" t="str">
        <f>IFERROR(VLOOKUP($A880, NameDesignation[], 2,FALSE), " ")</f>
        <v>Former Director</v>
      </c>
      <c r="C880" s="139" t="s">
        <v>29</v>
      </c>
      <c r="D880" s="139">
        <v>471</v>
      </c>
      <c r="E880" s="140">
        <v>44693</v>
      </c>
      <c r="F880" s="139" t="str">
        <f t="shared" si="39"/>
        <v>Q2-22</v>
      </c>
      <c r="G880" s="140" t="str">
        <f t="shared" si="40"/>
        <v>May'22</v>
      </c>
      <c r="H880" s="140" t="str">
        <f>TEXT(RawData[[#This Row],[Date]], "YYYY")</f>
        <v>2022</v>
      </c>
      <c r="I880" s="141" t="s">
        <v>32</v>
      </c>
      <c r="J880" s="141" t="s">
        <v>91</v>
      </c>
      <c r="K880" s="139">
        <f t="shared" si="41"/>
        <v>0</v>
      </c>
      <c r="L880" s="142">
        <f>IF(RawData[[#This Row],[Paid/Unpaid]]="Paid", IF(VALUE($E880)&gt;VALUE($D$3),$K880* 10000,$K880* 8000), 0)</f>
        <v>0</v>
      </c>
      <c r="M880" s="53" t="s">
        <v>146</v>
      </c>
    </row>
    <row r="881" spans="1:13" ht="12.75" customHeight="1" x14ac:dyDescent="0.3">
      <c r="A881" s="143" t="s">
        <v>61</v>
      </c>
      <c r="B881" s="139" t="str">
        <f>IFERROR(VLOOKUP($A881, NameDesignation[], 2,FALSE), " ")</f>
        <v>Former Director</v>
      </c>
      <c r="C881" s="139" t="s">
        <v>29</v>
      </c>
      <c r="D881" s="139">
        <v>471</v>
      </c>
      <c r="E881" s="140">
        <v>44693</v>
      </c>
      <c r="F881" s="139" t="str">
        <f t="shared" si="39"/>
        <v>Q2-22</v>
      </c>
      <c r="G881" s="140" t="str">
        <f t="shared" si="40"/>
        <v>May'22</v>
      </c>
      <c r="H881" s="140" t="str">
        <f>TEXT(RawData[[#This Row],[Date]], "YYYY")</f>
        <v>2022</v>
      </c>
      <c r="I881" s="141" t="s">
        <v>32</v>
      </c>
      <c r="J881" s="141" t="s">
        <v>90</v>
      </c>
      <c r="K881" s="139">
        <f t="shared" si="41"/>
        <v>1</v>
      </c>
      <c r="L881" s="142">
        <f>IF(RawData[[#This Row],[Paid/Unpaid]]="Paid", IF(VALUE($E881)&gt;VALUE($D$3),$K881* 10000,$K881* 8000), 0)</f>
        <v>8000</v>
      </c>
      <c r="M881" s="53" t="s">
        <v>146</v>
      </c>
    </row>
    <row r="882" spans="1:13" ht="12.75" customHeight="1" x14ac:dyDescent="0.3">
      <c r="A882" s="143" t="s">
        <v>23</v>
      </c>
      <c r="B882" s="139" t="str">
        <f>IFERROR(VLOOKUP($A882, NameDesignation[], 2,FALSE), " ")</f>
        <v>Former Director</v>
      </c>
      <c r="C882" s="139" t="s">
        <v>29</v>
      </c>
      <c r="D882" s="139">
        <v>471</v>
      </c>
      <c r="E882" s="140">
        <v>44693</v>
      </c>
      <c r="F882" s="139" t="str">
        <f t="shared" si="39"/>
        <v>Q2-22</v>
      </c>
      <c r="G882" s="140" t="str">
        <f t="shared" si="40"/>
        <v>May'22</v>
      </c>
      <c r="H882" s="140" t="str">
        <f>TEXT(RawData[[#This Row],[Date]], "YYYY")</f>
        <v>2022</v>
      </c>
      <c r="I882" s="141" t="s">
        <v>32</v>
      </c>
      <c r="J882" s="141" t="s">
        <v>90</v>
      </c>
      <c r="K882" s="139">
        <f t="shared" si="41"/>
        <v>1</v>
      </c>
      <c r="L882" s="142">
        <f>IF(RawData[[#This Row],[Paid/Unpaid]]="Paid", IF(VALUE($E882)&gt;VALUE($D$3),$K882* 10000,$K882* 8000), 0)</f>
        <v>8000</v>
      </c>
      <c r="M882" s="53" t="s">
        <v>146</v>
      </c>
    </row>
    <row r="883" spans="1:13" ht="12.75" customHeight="1" x14ac:dyDescent="0.3">
      <c r="A883" s="143" t="s">
        <v>24</v>
      </c>
      <c r="B883" s="139" t="str">
        <f>IFERROR(VLOOKUP($A883, NameDesignation[], 2,FALSE), " ")</f>
        <v>Former Director</v>
      </c>
      <c r="C883" s="139" t="s">
        <v>29</v>
      </c>
      <c r="D883" s="139">
        <v>471</v>
      </c>
      <c r="E883" s="140">
        <v>44693</v>
      </c>
      <c r="F883" s="139" t="str">
        <f t="shared" si="39"/>
        <v>Q2-22</v>
      </c>
      <c r="G883" s="140" t="str">
        <f t="shared" si="40"/>
        <v>May'22</v>
      </c>
      <c r="H883" s="140" t="str">
        <f>TEXT(RawData[[#This Row],[Date]], "YYYY")</f>
        <v>2022</v>
      </c>
      <c r="I883" s="141" t="s">
        <v>32</v>
      </c>
      <c r="J883" s="141" t="s">
        <v>90</v>
      </c>
      <c r="K883" s="139">
        <f t="shared" si="41"/>
        <v>1</v>
      </c>
      <c r="L883" s="142">
        <f>IF(RawData[[#This Row],[Paid/Unpaid]]="Paid", IF(VALUE($E883)&gt;VALUE($D$3),$K883* 10000,$K883* 8000), 0)</f>
        <v>8000</v>
      </c>
      <c r="M883" s="53" t="s">
        <v>146</v>
      </c>
    </row>
    <row r="884" spans="1:13" ht="12.75" customHeight="1" x14ac:dyDescent="0.3">
      <c r="A884" s="143" t="s">
        <v>15</v>
      </c>
      <c r="B884" s="139" t="str">
        <f>IFERROR(VLOOKUP($A884, NameDesignation[], 2,FALSE), " ")</f>
        <v>Former Director</v>
      </c>
      <c r="C884" s="139" t="s">
        <v>29</v>
      </c>
      <c r="D884" s="139">
        <v>471</v>
      </c>
      <c r="E884" s="140">
        <v>44693</v>
      </c>
      <c r="F884" s="139" t="str">
        <f t="shared" si="39"/>
        <v>Q2-22</v>
      </c>
      <c r="G884" s="140" t="str">
        <f t="shared" si="40"/>
        <v>May'22</v>
      </c>
      <c r="H884" s="140" t="str">
        <f>TEXT(RawData[[#This Row],[Date]], "YYYY")</f>
        <v>2022</v>
      </c>
      <c r="I884" s="141" t="s">
        <v>32</v>
      </c>
      <c r="J884" s="141" t="s">
        <v>90</v>
      </c>
      <c r="K884" s="139">
        <f t="shared" si="41"/>
        <v>1</v>
      </c>
      <c r="L884" s="142">
        <f>IF(RawData[[#This Row],[Paid/Unpaid]]="Paid", IF(VALUE($E884)&gt;VALUE($D$3),$K884* 10000,$K884* 8000), 0)</f>
        <v>8000</v>
      </c>
      <c r="M884" s="53" t="s">
        <v>146</v>
      </c>
    </row>
    <row r="885" spans="1:13" ht="12.75" customHeight="1" x14ac:dyDescent="0.3">
      <c r="A885" s="143" t="s">
        <v>16</v>
      </c>
      <c r="B885" s="139" t="str">
        <f>IFERROR(VLOOKUP($A885, NameDesignation[], 2,FALSE), " ")</f>
        <v>Former Director</v>
      </c>
      <c r="C885" s="139" t="s">
        <v>29</v>
      </c>
      <c r="D885" s="139">
        <v>471</v>
      </c>
      <c r="E885" s="140">
        <v>44693</v>
      </c>
      <c r="F885" s="139" t="str">
        <f t="shared" si="39"/>
        <v>Q2-22</v>
      </c>
      <c r="G885" s="140" t="str">
        <f t="shared" si="40"/>
        <v>May'22</v>
      </c>
      <c r="H885" s="140" t="str">
        <f>TEXT(RawData[[#This Row],[Date]], "YYYY")</f>
        <v>2022</v>
      </c>
      <c r="I885" s="141" t="s">
        <v>32</v>
      </c>
      <c r="J885" s="141" t="s">
        <v>90</v>
      </c>
      <c r="K885" s="139">
        <f t="shared" si="41"/>
        <v>1</v>
      </c>
      <c r="L885" s="142">
        <f>IF(RawData[[#This Row],[Paid/Unpaid]]="Paid", IF(VALUE($E885)&gt;VALUE($D$3),$K885* 10000,$K885* 8000), 0)</f>
        <v>8000</v>
      </c>
      <c r="M885" s="53" t="s">
        <v>146</v>
      </c>
    </row>
    <row r="886" spans="1:13" ht="12.75" customHeight="1" x14ac:dyDescent="0.3">
      <c r="A886" s="143" t="s">
        <v>21</v>
      </c>
      <c r="B886" s="139" t="str">
        <f>IFERROR(VLOOKUP($A886, NameDesignation[], 2,FALSE), " ")</f>
        <v>Former Independent Director</v>
      </c>
      <c r="C886" s="139" t="s">
        <v>29</v>
      </c>
      <c r="D886" s="139">
        <v>471</v>
      </c>
      <c r="E886" s="140">
        <v>44693</v>
      </c>
      <c r="F886" s="139" t="str">
        <f t="shared" si="39"/>
        <v>Q2-22</v>
      </c>
      <c r="G886" s="140" t="str">
        <f t="shared" si="40"/>
        <v>May'22</v>
      </c>
      <c r="H886" s="140" t="str">
        <f>TEXT(RawData[[#This Row],[Date]], "YYYY")</f>
        <v>2022</v>
      </c>
      <c r="I886" s="141" t="s">
        <v>32</v>
      </c>
      <c r="J886" s="141" t="s">
        <v>90</v>
      </c>
      <c r="K886" s="139">
        <f t="shared" si="41"/>
        <v>1</v>
      </c>
      <c r="L886" s="142">
        <f>IF(RawData[[#This Row],[Paid/Unpaid]]="Paid", IF(VALUE($E886)&gt;VALUE($D$3),$K886* 10000,$K886* 8000), 0)</f>
        <v>8000</v>
      </c>
      <c r="M886" s="53" t="s">
        <v>146</v>
      </c>
    </row>
    <row r="887" spans="1:13" ht="12.75" customHeight="1" x14ac:dyDescent="0.3">
      <c r="A887" s="143" t="s">
        <v>25</v>
      </c>
      <c r="B887" s="139" t="str">
        <f>IFERROR(VLOOKUP($A887, NameDesignation[], 2,FALSE), " ")</f>
        <v>Former Director</v>
      </c>
      <c r="C887" s="139" t="s">
        <v>29</v>
      </c>
      <c r="D887" s="139">
        <v>471</v>
      </c>
      <c r="E887" s="140">
        <v>44693</v>
      </c>
      <c r="F887" s="139" t="str">
        <f t="shared" si="39"/>
        <v>Q2-22</v>
      </c>
      <c r="G887" s="140" t="str">
        <f t="shared" si="40"/>
        <v>May'22</v>
      </c>
      <c r="H887" s="140" t="str">
        <f>TEXT(RawData[[#This Row],[Date]], "YYYY")</f>
        <v>2022</v>
      </c>
      <c r="I887" s="141" t="s">
        <v>32</v>
      </c>
      <c r="J887" s="141" t="s">
        <v>90</v>
      </c>
      <c r="K887" s="139">
        <f t="shared" si="41"/>
        <v>1</v>
      </c>
      <c r="L887" s="142">
        <f>IF(RawData[[#This Row],[Paid/Unpaid]]="Paid", IF(VALUE($E887)&gt;VALUE($D$3),$K887* 10000,$K887* 8000), 0)</f>
        <v>8000</v>
      </c>
      <c r="M887" s="53" t="s">
        <v>146</v>
      </c>
    </row>
    <row r="888" spans="1:13" ht="12.75" customHeight="1" x14ac:dyDescent="0.3">
      <c r="A888" s="143" t="s">
        <v>50</v>
      </c>
      <c r="B888" s="139" t="str">
        <f>IFERROR(VLOOKUP($A888, NameDesignation[], 2,FALSE), " ")</f>
        <v>Former Director</v>
      </c>
      <c r="C888" s="139" t="s">
        <v>29</v>
      </c>
      <c r="D888" s="139">
        <v>471</v>
      </c>
      <c r="E888" s="140">
        <v>44693</v>
      </c>
      <c r="F888" s="139" t="str">
        <f t="shared" si="39"/>
        <v>Q2-22</v>
      </c>
      <c r="G888" s="140" t="str">
        <f t="shared" si="40"/>
        <v>May'22</v>
      </c>
      <c r="H888" s="140" t="str">
        <f>TEXT(RawData[[#This Row],[Date]], "YYYY")</f>
        <v>2022</v>
      </c>
      <c r="I888" s="141" t="s">
        <v>32</v>
      </c>
      <c r="J888" s="141" t="s">
        <v>90</v>
      </c>
      <c r="K888" s="139">
        <f t="shared" si="41"/>
        <v>1</v>
      </c>
      <c r="L888" s="142">
        <f>IF(RawData[[#This Row],[Paid/Unpaid]]="Paid", IF(VALUE($E888)&gt;VALUE($D$3),$K888* 10000,$K888* 8000), 0)</f>
        <v>8000</v>
      </c>
      <c r="M888" s="53" t="s">
        <v>146</v>
      </c>
    </row>
    <row r="889" spans="1:13" ht="12.75" customHeight="1" x14ac:dyDescent="0.3">
      <c r="A889" s="143" t="s">
        <v>51</v>
      </c>
      <c r="B889" s="139" t="str">
        <f>IFERROR(VLOOKUP($A889, NameDesignation[], 2,FALSE), " ")</f>
        <v>Former Director</v>
      </c>
      <c r="C889" s="139" t="s">
        <v>29</v>
      </c>
      <c r="D889" s="139">
        <v>471</v>
      </c>
      <c r="E889" s="140">
        <v>44693</v>
      </c>
      <c r="F889" s="139" t="str">
        <f t="shared" si="39"/>
        <v>Q2-22</v>
      </c>
      <c r="G889" s="140" t="str">
        <f t="shared" si="40"/>
        <v>May'22</v>
      </c>
      <c r="H889" s="140" t="str">
        <f>TEXT(RawData[[#This Row],[Date]], "YYYY")</f>
        <v>2022</v>
      </c>
      <c r="I889" s="141" t="s">
        <v>32</v>
      </c>
      <c r="J889" s="141" t="s">
        <v>90</v>
      </c>
      <c r="K889" s="139">
        <f t="shared" si="41"/>
        <v>1</v>
      </c>
      <c r="L889" s="142">
        <f>IF(RawData[[#This Row],[Paid/Unpaid]]="Paid", IF(VALUE($E889)&gt;VALUE($D$3),$K889* 10000,$K889* 8000), 0)</f>
        <v>8000</v>
      </c>
      <c r="M889" s="53" t="s">
        <v>146</v>
      </c>
    </row>
    <row r="890" spans="1:13" ht="12.75" customHeight="1" x14ac:dyDescent="0.3">
      <c r="A890" s="143" t="s">
        <v>18</v>
      </c>
      <c r="B890" s="139" t="str">
        <f>IFERROR(VLOOKUP($A890, NameDesignation[], 2,FALSE), " ")</f>
        <v>Former Independent Director</v>
      </c>
      <c r="C890" s="139" t="s">
        <v>29</v>
      </c>
      <c r="D890" s="139">
        <v>471</v>
      </c>
      <c r="E890" s="140">
        <v>44693</v>
      </c>
      <c r="F890" s="139" t="str">
        <f t="shared" si="39"/>
        <v>Q2-22</v>
      </c>
      <c r="G890" s="140" t="str">
        <f t="shared" si="40"/>
        <v>May'22</v>
      </c>
      <c r="H890" s="140" t="str">
        <f>TEXT(RawData[[#This Row],[Date]], "YYYY")</f>
        <v>2022</v>
      </c>
      <c r="I890" s="141" t="s">
        <v>32</v>
      </c>
      <c r="J890" s="141" t="s">
        <v>91</v>
      </c>
      <c r="K890" s="139">
        <f t="shared" si="41"/>
        <v>0</v>
      </c>
      <c r="L890" s="142">
        <f>IF(RawData[[#This Row],[Paid/Unpaid]]="Paid", IF(VALUE($E890)&gt;VALUE($D$3),$K890* 10000,$K890* 8000), 0)</f>
        <v>0</v>
      </c>
      <c r="M890" s="53" t="s">
        <v>146</v>
      </c>
    </row>
    <row r="891" spans="1:13" ht="12.75" customHeight="1" x14ac:dyDescent="0.3">
      <c r="A891" s="143" t="s">
        <v>34</v>
      </c>
      <c r="B891" s="139" t="str">
        <f>IFERROR(VLOOKUP($A891, NameDesignation[], 2,FALSE), " ")</f>
        <v>Former Managing Director &amp; CEO</v>
      </c>
      <c r="C891" s="139" t="s">
        <v>29</v>
      </c>
      <c r="D891" s="139">
        <v>471</v>
      </c>
      <c r="E891" s="140">
        <v>44693</v>
      </c>
      <c r="F891" s="139" t="str">
        <f t="shared" si="39"/>
        <v>Q2-22</v>
      </c>
      <c r="G891" s="140" t="str">
        <f t="shared" si="40"/>
        <v>May'22</v>
      </c>
      <c r="H891" s="140" t="str">
        <f>TEXT(RawData[[#This Row],[Date]], "YYYY")</f>
        <v>2022</v>
      </c>
      <c r="I891" s="141" t="s">
        <v>32</v>
      </c>
      <c r="J891" s="141" t="s">
        <v>90</v>
      </c>
      <c r="K891" s="139">
        <f t="shared" si="41"/>
        <v>1</v>
      </c>
      <c r="L891" s="142">
        <f>IF(RawData[[#This Row],[Paid/Unpaid]]="Paid", IF(VALUE($E891)&gt;VALUE($D$3),$K891* 10000,$K891* 8000), 0)</f>
        <v>8000</v>
      </c>
      <c r="M891" s="53" t="s">
        <v>146</v>
      </c>
    </row>
    <row r="892" spans="1:13" ht="12.75" customHeight="1" x14ac:dyDescent="0.3">
      <c r="A892" s="143" t="s">
        <v>20</v>
      </c>
      <c r="B892" s="139" t="str">
        <f>IFERROR(VLOOKUP($A892, NameDesignation[], 2,FALSE), " ")</f>
        <v>Former Independent Director</v>
      </c>
      <c r="C892" s="139" t="s">
        <v>37</v>
      </c>
      <c r="D892" s="139">
        <v>124</v>
      </c>
      <c r="E892" s="140">
        <v>44693</v>
      </c>
      <c r="F892" s="139" t="str">
        <f t="shared" si="39"/>
        <v>Q2-22</v>
      </c>
      <c r="G892" s="140" t="str">
        <f t="shared" si="40"/>
        <v>May'22</v>
      </c>
      <c r="H892" s="140" t="str">
        <f>TEXT(RawData[[#This Row],[Date]], "YYYY")</f>
        <v>2022</v>
      </c>
      <c r="I892" s="141" t="s">
        <v>32</v>
      </c>
      <c r="J892" s="141" t="s">
        <v>90</v>
      </c>
      <c r="K892" s="139">
        <f t="shared" si="41"/>
        <v>1</v>
      </c>
      <c r="L892" s="142">
        <f>IF(RawData[[#This Row],[Paid/Unpaid]]="Paid", IF(VALUE($E892)&gt;VALUE($D$3),$K892* 10000,$K892* 8000), 0)</f>
        <v>8000</v>
      </c>
      <c r="M892" s="53" t="s">
        <v>146</v>
      </c>
    </row>
    <row r="893" spans="1:13" ht="12.75" customHeight="1" x14ac:dyDescent="0.3">
      <c r="A893" s="143" t="s">
        <v>23</v>
      </c>
      <c r="B893" s="139" t="str">
        <f>IFERROR(VLOOKUP($A893, NameDesignation[], 2,FALSE), " ")</f>
        <v>Former Director</v>
      </c>
      <c r="C893" s="139" t="s">
        <v>37</v>
      </c>
      <c r="D893" s="139">
        <v>124</v>
      </c>
      <c r="E893" s="140">
        <v>44693</v>
      </c>
      <c r="F893" s="139" t="str">
        <f t="shared" si="39"/>
        <v>Q2-22</v>
      </c>
      <c r="G893" s="140" t="str">
        <f t="shared" si="40"/>
        <v>May'22</v>
      </c>
      <c r="H893" s="140" t="str">
        <f>TEXT(RawData[[#This Row],[Date]], "YYYY")</f>
        <v>2022</v>
      </c>
      <c r="I893" s="141" t="s">
        <v>32</v>
      </c>
      <c r="J893" s="141" t="s">
        <v>91</v>
      </c>
      <c r="K893" s="139">
        <f t="shared" si="41"/>
        <v>0</v>
      </c>
      <c r="L893" s="142">
        <f>IF(RawData[[#This Row],[Paid/Unpaid]]="Paid", IF(VALUE($E893)&gt;VALUE($D$3),$K893* 10000,$K893* 8000), 0)</f>
        <v>0</v>
      </c>
      <c r="M893" s="53" t="s">
        <v>146</v>
      </c>
    </row>
    <row r="894" spans="1:13" ht="12.75" customHeight="1" x14ac:dyDescent="0.3">
      <c r="A894" s="143" t="s">
        <v>24</v>
      </c>
      <c r="B894" s="139" t="str">
        <f>IFERROR(VLOOKUP($A894, NameDesignation[], 2,FALSE), " ")</f>
        <v>Former Director</v>
      </c>
      <c r="C894" s="139" t="s">
        <v>37</v>
      </c>
      <c r="D894" s="139">
        <v>124</v>
      </c>
      <c r="E894" s="140">
        <v>44693</v>
      </c>
      <c r="F894" s="139" t="str">
        <f t="shared" si="39"/>
        <v>Q2-22</v>
      </c>
      <c r="G894" s="140" t="str">
        <f t="shared" si="40"/>
        <v>May'22</v>
      </c>
      <c r="H894" s="140" t="str">
        <f>TEXT(RawData[[#This Row],[Date]], "YYYY")</f>
        <v>2022</v>
      </c>
      <c r="I894" s="141" t="s">
        <v>32</v>
      </c>
      <c r="J894" s="141" t="s">
        <v>90</v>
      </c>
      <c r="K894" s="139">
        <f t="shared" si="41"/>
        <v>1</v>
      </c>
      <c r="L894" s="142">
        <f>IF(RawData[[#This Row],[Paid/Unpaid]]="Paid", IF(VALUE($E894)&gt;VALUE($D$3),$K894* 10000,$K894* 8000), 0)</f>
        <v>8000</v>
      </c>
      <c r="M894" s="53" t="s">
        <v>146</v>
      </c>
    </row>
    <row r="895" spans="1:13" ht="12.75" customHeight="1" x14ac:dyDescent="0.3">
      <c r="A895" s="143" t="s">
        <v>21</v>
      </c>
      <c r="B895" s="139" t="str">
        <f>IFERROR(VLOOKUP($A895, NameDesignation[], 2,FALSE), " ")</f>
        <v>Former Independent Director</v>
      </c>
      <c r="C895" s="139" t="s">
        <v>37</v>
      </c>
      <c r="D895" s="139">
        <v>124</v>
      </c>
      <c r="E895" s="140">
        <v>44693</v>
      </c>
      <c r="F895" s="139" t="str">
        <f t="shared" si="39"/>
        <v>Q2-22</v>
      </c>
      <c r="G895" s="140" t="str">
        <f t="shared" si="40"/>
        <v>May'22</v>
      </c>
      <c r="H895" s="140" t="str">
        <f>TEXT(RawData[[#This Row],[Date]], "YYYY")</f>
        <v>2022</v>
      </c>
      <c r="I895" s="141" t="s">
        <v>32</v>
      </c>
      <c r="J895" s="141" t="s">
        <v>90</v>
      </c>
      <c r="K895" s="139">
        <f t="shared" si="41"/>
        <v>1</v>
      </c>
      <c r="L895" s="142">
        <f>IF(RawData[[#This Row],[Paid/Unpaid]]="Paid", IF(VALUE($E895)&gt;VALUE($D$3),$K895* 10000,$K895* 8000), 0)</f>
        <v>8000</v>
      </c>
      <c r="M895" s="53" t="s">
        <v>146</v>
      </c>
    </row>
    <row r="896" spans="1:13" ht="12.75" customHeight="1" x14ac:dyDescent="0.3">
      <c r="A896" s="143" t="s">
        <v>18</v>
      </c>
      <c r="B896" s="139" t="str">
        <f>IFERROR(VLOOKUP($A896, NameDesignation[], 2,FALSE), " ")</f>
        <v>Former Independent Director</v>
      </c>
      <c r="C896" s="139" t="s">
        <v>37</v>
      </c>
      <c r="D896" s="139">
        <v>124</v>
      </c>
      <c r="E896" s="140">
        <v>44693</v>
      </c>
      <c r="F896" s="139" t="str">
        <f t="shared" si="39"/>
        <v>Q2-22</v>
      </c>
      <c r="G896" s="140" t="str">
        <f t="shared" si="40"/>
        <v>May'22</v>
      </c>
      <c r="H896" s="140" t="str">
        <f>TEXT(RawData[[#This Row],[Date]], "YYYY")</f>
        <v>2022</v>
      </c>
      <c r="I896" s="141" t="s">
        <v>32</v>
      </c>
      <c r="J896" s="141" t="s">
        <v>90</v>
      </c>
      <c r="K896" s="139">
        <f t="shared" si="41"/>
        <v>1</v>
      </c>
      <c r="L896" s="142">
        <f>IF(RawData[[#This Row],[Paid/Unpaid]]="Paid", IF(VALUE($E896)&gt;VALUE($D$3),$K896* 10000,$K896* 8000), 0)</f>
        <v>8000</v>
      </c>
      <c r="M896" s="53" t="s">
        <v>146</v>
      </c>
    </row>
    <row r="897" spans="1:13" ht="12.75" customHeight="1" x14ac:dyDescent="0.3">
      <c r="A897" s="143" t="s">
        <v>7</v>
      </c>
      <c r="B897" s="139" t="str">
        <f>IFERROR(VLOOKUP($A897, NameDesignation[], 2,FALSE), " ")</f>
        <v>Former Director</v>
      </c>
      <c r="C897" s="139" t="s">
        <v>29</v>
      </c>
      <c r="D897" s="139">
        <v>472</v>
      </c>
      <c r="E897" s="140">
        <v>44748</v>
      </c>
      <c r="F897" s="139" t="str">
        <f t="shared" si="39"/>
        <v>Q3-22</v>
      </c>
      <c r="G897" s="140" t="str">
        <f t="shared" si="40"/>
        <v>Jul'22</v>
      </c>
      <c r="H897" s="140" t="str">
        <f>TEXT(RawData[[#This Row],[Date]], "YYYY")</f>
        <v>2022</v>
      </c>
      <c r="I897" s="141" t="s">
        <v>32</v>
      </c>
      <c r="J897" s="141" t="s">
        <v>90</v>
      </c>
      <c r="K897" s="139">
        <f t="shared" si="41"/>
        <v>1</v>
      </c>
      <c r="L897" s="142">
        <f>IF(RawData[[#This Row],[Paid/Unpaid]]="Paid", IF(VALUE($E897)&gt;VALUE($D$3),$K897* 10000,$K897* 8000), 0)</f>
        <v>8000</v>
      </c>
      <c r="M897" s="53" t="s">
        <v>146</v>
      </c>
    </row>
    <row r="898" spans="1:13" ht="12.75" customHeight="1" x14ac:dyDescent="0.3">
      <c r="A898" s="143" t="s">
        <v>8</v>
      </c>
      <c r="B898" s="139" t="str">
        <f>IFERROR(VLOOKUP($A898, NameDesignation[], 2,FALSE), " ")</f>
        <v>Former Vice-Chairman</v>
      </c>
      <c r="C898" s="139" t="s">
        <v>29</v>
      </c>
      <c r="D898" s="139">
        <v>472</v>
      </c>
      <c r="E898" s="140">
        <v>44748</v>
      </c>
      <c r="F898" s="139" t="str">
        <f t="shared" si="39"/>
        <v>Q3-22</v>
      </c>
      <c r="G898" s="140" t="str">
        <f t="shared" si="40"/>
        <v>Jul'22</v>
      </c>
      <c r="H898" s="140" t="str">
        <f>TEXT(RawData[[#This Row],[Date]], "YYYY")</f>
        <v>2022</v>
      </c>
      <c r="I898" s="141" t="s">
        <v>32</v>
      </c>
      <c r="J898" s="141" t="s">
        <v>90</v>
      </c>
      <c r="K898" s="139">
        <f t="shared" si="41"/>
        <v>1</v>
      </c>
      <c r="L898" s="142">
        <f>IF(RawData[[#This Row],[Paid/Unpaid]]="Paid", IF(VALUE($E898)&gt;VALUE($D$3),$K898* 10000,$K898* 8000), 0)</f>
        <v>8000</v>
      </c>
      <c r="M898" s="53" t="s">
        <v>146</v>
      </c>
    </row>
    <row r="899" spans="1:13" ht="12.75" customHeight="1" x14ac:dyDescent="0.3">
      <c r="A899" s="143" t="s">
        <v>9</v>
      </c>
      <c r="B899" s="139" t="str">
        <f>IFERROR(VLOOKUP($A899, NameDesignation[], 2,FALSE), " ")</f>
        <v>Former Director</v>
      </c>
      <c r="C899" s="139" t="s">
        <v>29</v>
      </c>
      <c r="D899" s="139">
        <v>472</v>
      </c>
      <c r="E899" s="140">
        <v>44748</v>
      </c>
      <c r="F899" s="139" t="str">
        <f t="shared" si="39"/>
        <v>Q3-22</v>
      </c>
      <c r="G899" s="140" t="str">
        <f t="shared" si="40"/>
        <v>Jul'22</v>
      </c>
      <c r="H899" s="140" t="str">
        <f>TEXT(RawData[[#This Row],[Date]], "YYYY")</f>
        <v>2022</v>
      </c>
      <c r="I899" s="141" t="s">
        <v>32</v>
      </c>
      <c r="J899" s="141" t="s">
        <v>90</v>
      </c>
      <c r="K899" s="139">
        <f t="shared" si="41"/>
        <v>1</v>
      </c>
      <c r="L899" s="142">
        <f>IF(RawData[[#This Row],[Paid/Unpaid]]="Paid", IF(VALUE($E899)&gt;VALUE($D$3),$K899* 10000,$K899* 8000), 0)</f>
        <v>8000</v>
      </c>
      <c r="M899" s="53" t="s">
        <v>146</v>
      </c>
    </row>
    <row r="900" spans="1:13" ht="12.75" customHeight="1" x14ac:dyDescent="0.3">
      <c r="A900" s="143" t="s">
        <v>20</v>
      </c>
      <c r="B900" s="139" t="str">
        <f>IFERROR(VLOOKUP($A900, NameDesignation[], 2,FALSE), " ")</f>
        <v>Former Independent Director</v>
      </c>
      <c r="C900" s="139" t="s">
        <v>29</v>
      </c>
      <c r="D900" s="139">
        <v>472</v>
      </c>
      <c r="E900" s="140">
        <v>44748</v>
      </c>
      <c r="F900" s="139" t="str">
        <f t="shared" si="39"/>
        <v>Q3-22</v>
      </c>
      <c r="G900" s="140" t="str">
        <f t="shared" si="40"/>
        <v>Jul'22</v>
      </c>
      <c r="H900" s="140" t="str">
        <f>TEXT(RawData[[#This Row],[Date]], "YYYY")</f>
        <v>2022</v>
      </c>
      <c r="I900" s="141" t="s">
        <v>32</v>
      </c>
      <c r="J900" s="141" t="s">
        <v>90</v>
      </c>
      <c r="K900" s="139">
        <f t="shared" si="41"/>
        <v>1</v>
      </c>
      <c r="L900" s="142">
        <f>IF(RawData[[#This Row],[Paid/Unpaid]]="Paid", IF(VALUE($E900)&gt;VALUE($D$3),$K900* 10000,$K900* 8000), 0)</f>
        <v>8000</v>
      </c>
      <c r="M900" s="53" t="s">
        <v>146</v>
      </c>
    </row>
    <row r="901" spans="1:13" ht="12.75" customHeight="1" x14ac:dyDescent="0.3">
      <c r="A901" s="143" t="s">
        <v>49</v>
      </c>
      <c r="B901" s="139" t="str">
        <f>IFERROR(VLOOKUP($A901, NameDesignation[], 2,FALSE), " ")</f>
        <v>Former Director</v>
      </c>
      <c r="C901" s="139" t="s">
        <v>29</v>
      </c>
      <c r="D901" s="139">
        <v>472</v>
      </c>
      <c r="E901" s="140">
        <v>44748</v>
      </c>
      <c r="F901" s="139" t="str">
        <f t="shared" si="39"/>
        <v>Q3-22</v>
      </c>
      <c r="G901" s="140" t="str">
        <f t="shared" si="40"/>
        <v>Jul'22</v>
      </c>
      <c r="H901" s="140" t="str">
        <f>TEXT(RawData[[#This Row],[Date]], "YYYY")</f>
        <v>2022</v>
      </c>
      <c r="I901" s="141" t="s">
        <v>32</v>
      </c>
      <c r="J901" s="141" t="s">
        <v>90</v>
      </c>
      <c r="K901" s="139">
        <f t="shared" si="41"/>
        <v>1</v>
      </c>
      <c r="L901" s="142">
        <f>IF(RawData[[#This Row],[Paid/Unpaid]]="Paid", IF(VALUE($E901)&gt;VALUE($D$3),$K901* 10000,$K901* 8000), 0)</f>
        <v>8000</v>
      </c>
      <c r="M901" s="53" t="s">
        <v>146</v>
      </c>
    </row>
    <row r="902" spans="1:13" ht="12.75" customHeight="1" x14ac:dyDescent="0.3">
      <c r="A902" s="143" t="s">
        <v>11</v>
      </c>
      <c r="B902" s="139" t="str">
        <f>IFERROR(VLOOKUP($A902, NameDesignation[], 2,FALSE), " ")</f>
        <v>Former Director</v>
      </c>
      <c r="C902" s="139" t="s">
        <v>29</v>
      </c>
      <c r="D902" s="139">
        <v>472</v>
      </c>
      <c r="E902" s="140">
        <v>44748</v>
      </c>
      <c r="F902" s="139" t="str">
        <f t="shared" ref="F902:F965" si="42">CONCATENATE("Q", ROUNDUP(MONTH($E902)/3,0),"-",TEXT($E902, "yy"))</f>
        <v>Q3-22</v>
      </c>
      <c r="G902" s="140" t="str">
        <f t="shared" ref="G902:G965" si="43">CONCATENATE(TEXT($E902, "mmm"),"'", TEXT($E902, "yy"))</f>
        <v>Jul'22</v>
      </c>
      <c r="H902" s="140" t="str">
        <f>TEXT(RawData[[#This Row],[Date]], "YYYY")</f>
        <v>2022</v>
      </c>
      <c r="I902" s="141" t="s">
        <v>32</v>
      </c>
      <c r="J902" s="141" t="s">
        <v>90</v>
      </c>
      <c r="K902" s="139">
        <f t="shared" ref="K902:K965" si="44">IF($J902="Present", 1, 0)</f>
        <v>1</v>
      </c>
      <c r="L902" s="142">
        <f>IF(RawData[[#This Row],[Paid/Unpaid]]="Paid", IF(VALUE($E902)&gt;VALUE($D$3),$K902* 10000,$K902* 8000), 0)</f>
        <v>8000</v>
      </c>
      <c r="M902" s="53" t="s">
        <v>146</v>
      </c>
    </row>
    <row r="903" spans="1:13" ht="12.75" customHeight="1" x14ac:dyDescent="0.3">
      <c r="A903" s="143" t="s">
        <v>12</v>
      </c>
      <c r="B903" s="139" t="str">
        <f>IFERROR(VLOOKUP($A903, NameDesignation[], 2,FALSE), " ")</f>
        <v>Former Director</v>
      </c>
      <c r="C903" s="139" t="s">
        <v>29</v>
      </c>
      <c r="D903" s="139">
        <v>472</v>
      </c>
      <c r="E903" s="140">
        <v>44748</v>
      </c>
      <c r="F903" s="139" t="str">
        <f t="shared" si="42"/>
        <v>Q3-22</v>
      </c>
      <c r="G903" s="140" t="str">
        <f t="shared" si="43"/>
        <v>Jul'22</v>
      </c>
      <c r="H903" s="140" t="str">
        <f>TEXT(RawData[[#This Row],[Date]], "YYYY")</f>
        <v>2022</v>
      </c>
      <c r="I903" s="141" t="s">
        <v>32</v>
      </c>
      <c r="J903" s="141" t="s">
        <v>90</v>
      </c>
      <c r="K903" s="139">
        <f t="shared" si="44"/>
        <v>1</v>
      </c>
      <c r="L903" s="142">
        <f>IF(RawData[[#This Row],[Paid/Unpaid]]="Paid", IF(VALUE($E903)&gt;VALUE($D$3),$K903* 10000,$K903* 8000), 0)</f>
        <v>8000</v>
      </c>
      <c r="M903" s="53" t="s">
        <v>146</v>
      </c>
    </row>
    <row r="904" spans="1:13" ht="12.75" customHeight="1" x14ac:dyDescent="0.3">
      <c r="A904" s="143" t="s">
        <v>137</v>
      </c>
      <c r="B904" s="139" t="str">
        <f>IFERROR(VLOOKUP($A904, NameDesignation[], 2,FALSE), " ")</f>
        <v>Former Director</v>
      </c>
      <c r="C904" s="139" t="s">
        <v>29</v>
      </c>
      <c r="D904" s="139">
        <v>472</v>
      </c>
      <c r="E904" s="140">
        <v>44748</v>
      </c>
      <c r="F904" s="139" t="str">
        <f t="shared" si="42"/>
        <v>Q3-22</v>
      </c>
      <c r="G904" s="140" t="str">
        <f t="shared" si="43"/>
        <v>Jul'22</v>
      </c>
      <c r="H904" s="140" t="str">
        <f>TEXT(RawData[[#This Row],[Date]], "YYYY")</f>
        <v>2022</v>
      </c>
      <c r="I904" s="141" t="s">
        <v>32</v>
      </c>
      <c r="J904" s="141" t="s">
        <v>90</v>
      </c>
      <c r="K904" s="139">
        <f t="shared" si="44"/>
        <v>1</v>
      </c>
      <c r="L904" s="142">
        <f>IF(RawData[[#This Row],[Paid/Unpaid]]="Paid", IF(VALUE($E904)&gt;VALUE($D$3),$K904* 10000,$K904* 8000), 0)</f>
        <v>8000</v>
      </c>
      <c r="M904" s="53" t="s">
        <v>146</v>
      </c>
    </row>
    <row r="905" spans="1:13" ht="12.75" customHeight="1" x14ac:dyDescent="0.3">
      <c r="A905" s="143" t="s">
        <v>13</v>
      </c>
      <c r="B905" s="139" t="str">
        <f>IFERROR(VLOOKUP($A905, NameDesignation[], 2,FALSE), " ")</f>
        <v>Former Director</v>
      </c>
      <c r="C905" s="139" t="s">
        <v>29</v>
      </c>
      <c r="D905" s="139">
        <v>472</v>
      </c>
      <c r="E905" s="140">
        <v>44748</v>
      </c>
      <c r="F905" s="139" t="str">
        <f t="shared" si="42"/>
        <v>Q3-22</v>
      </c>
      <c r="G905" s="140" t="str">
        <f t="shared" si="43"/>
        <v>Jul'22</v>
      </c>
      <c r="H905" s="140" t="str">
        <f>TEXT(RawData[[#This Row],[Date]], "YYYY")</f>
        <v>2022</v>
      </c>
      <c r="I905" s="141" t="s">
        <v>32</v>
      </c>
      <c r="J905" s="141" t="s">
        <v>91</v>
      </c>
      <c r="K905" s="139">
        <f t="shared" si="44"/>
        <v>0</v>
      </c>
      <c r="L905" s="142">
        <f>IF(RawData[[#This Row],[Paid/Unpaid]]="Paid", IF(VALUE($E905)&gt;VALUE($D$3),$K905* 10000,$K905* 8000), 0)</f>
        <v>0</v>
      </c>
      <c r="M905" s="53" t="s">
        <v>146</v>
      </c>
    </row>
    <row r="906" spans="1:13" ht="12.75" customHeight="1" x14ac:dyDescent="0.3">
      <c r="A906" s="143" t="s">
        <v>61</v>
      </c>
      <c r="B906" s="139" t="str">
        <f>IFERROR(VLOOKUP($A906, NameDesignation[], 2,FALSE), " ")</f>
        <v>Former Director</v>
      </c>
      <c r="C906" s="139" t="s">
        <v>29</v>
      </c>
      <c r="D906" s="139">
        <v>472</v>
      </c>
      <c r="E906" s="140">
        <v>44748</v>
      </c>
      <c r="F906" s="139" t="str">
        <f t="shared" si="42"/>
        <v>Q3-22</v>
      </c>
      <c r="G906" s="140" t="str">
        <f t="shared" si="43"/>
        <v>Jul'22</v>
      </c>
      <c r="H906" s="140" t="str">
        <f>TEXT(RawData[[#This Row],[Date]], "YYYY")</f>
        <v>2022</v>
      </c>
      <c r="I906" s="141" t="s">
        <v>32</v>
      </c>
      <c r="J906" s="141" t="s">
        <v>90</v>
      </c>
      <c r="K906" s="139">
        <f t="shared" si="44"/>
        <v>1</v>
      </c>
      <c r="L906" s="142">
        <f>IF(RawData[[#This Row],[Paid/Unpaid]]="Paid", IF(VALUE($E906)&gt;VALUE($D$3),$K906* 10000,$K906* 8000), 0)</f>
        <v>8000</v>
      </c>
      <c r="M906" s="53" t="s">
        <v>146</v>
      </c>
    </row>
    <row r="907" spans="1:13" ht="12.75" customHeight="1" x14ac:dyDescent="0.3">
      <c r="A907" s="143" t="s">
        <v>23</v>
      </c>
      <c r="B907" s="139" t="str">
        <f>IFERROR(VLOOKUP($A907, NameDesignation[], 2,FALSE), " ")</f>
        <v>Former Director</v>
      </c>
      <c r="C907" s="139" t="s">
        <v>29</v>
      </c>
      <c r="D907" s="139">
        <v>472</v>
      </c>
      <c r="E907" s="140">
        <v>44748</v>
      </c>
      <c r="F907" s="139" t="str">
        <f t="shared" si="42"/>
        <v>Q3-22</v>
      </c>
      <c r="G907" s="140" t="str">
        <f t="shared" si="43"/>
        <v>Jul'22</v>
      </c>
      <c r="H907" s="140" t="str">
        <f>TEXT(RawData[[#This Row],[Date]], "YYYY")</f>
        <v>2022</v>
      </c>
      <c r="I907" s="141" t="s">
        <v>32</v>
      </c>
      <c r="J907" s="141" t="s">
        <v>90</v>
      </c>
      <c r="K907" s="139">
        <f t="shared" si="44"/>
        <v>1</v>
      </c>
      <c r="L907" s="142">
        <f>IF(RawData[[#This Row],[Paid/Unpaid]]="Paid", IF(VALUE($E907)&gt;VALUE($D$3),$K907* 10000,$K907* 8000), 0)</f>
        <v>8000</v>
      </c>
      <c r="M907" s="53" t="s">
        <v>146</v>
      </c>
    </row>
    <row r="908" spans="1:13" ht="12.75" customHeight="1" x14ac:dyDescent="0.3">
      <c r="A908" s="143" t="s">
        <v>24</v>
      </c>
      <c r="B908" s="139" t="str">
        <f>IFERROR(VLOOKUP($A908, NameDesignation[], 2,FALSE), " ")</f>
        <v>Former Director</v>
      </c>
      <c r="C908" s="139" t="s">
        <v>29</v>
      </c>
      <c r="D908" s="139">
        <v>472</v>
      </c>
      <c r="E908" s="140">
        <v>44748</v>
      </c>
      <c r="F908" s="139" t="str">
        <f t="shared" si="42"/>
        <v>Q3-22</v>
      </c>
      <c r="G908" s="140" t="str">
        <f t="shared" si="43"/>
        <v>Jul'22</v>
      </c>
      <c r="H908" s="140" t="str">
        <f>TEXT(RawData[[#This Row],[Date]], "YYYY")</f>
        <v>2022</v>
      </c>
      <c r="I908" s="141" t="s">
        <v>32</v>
      </c>
      <c r="J908" s="141" t="s">
        <v>90</v>
      </c>
      <c r="K908" s="139">
        <f t="shared" si="44"/>
        <v>1</v>
      </c>
      <c r="L908" s="142">
        <f>IF(RawData[[#This Row],[Paid/Unpaid]]="Paid", IF(VALUE($E908)&gt;VALUE($D$3),$K908* 10000,$K908* 8000), 0)</f>
        <v>8000</v>
      </c>
      <c r="M908" s="53" t="s">
        <v>146</v>
      </c>
    </row>
    <row r="909" spans="1:13" ht="12.75" customHeight="1" x14ac:dyDescent="0.3">
      <c r="A909" s="143" t="s">
        <v>15</v>
      </c>
      <c r="B909" s="139" t="str">
        <f>IFERROR(VLOOKUP($A909, NameDesignation[], 2,FALSE), " ")</f>
        <v>Former Director</v>
      </c>
      <c r="C909" s="139" t="s">
        <v>29</v>
      </c>
      <c r="D909" s="139">
        <v>472</v>
      </c>
      <c r="E909" s="140">
        <v>44748</v>
      </c>
      <c r="F909" s="139" t="str">
        <f t="shared" si="42"/>
        <v>Q3-22</v>
      </c>
      <c r="G909" s="140" t="str">
        <f t="shared" si="43"/>
        <v>Jul'22</v>
      </c>
      <c r="H909" s="140" t="str">
        <f>TEXT(RawData[[#This Row],[Date]], "YYYY")</f>
        <v>2022</v>
      </c>
      <c r="I909" s="141" t="s">
        <v>32</v>
      </c>
      <c r="J909" s="141" t="s">
        <v>90</v>
      </c>
      <c r="K909" s="139">
        <f t="shared" si="44"/>
        <v>1</v>
      </c>
      <c r="L909" s="142">
        <f>IF(RawData[[#This Row],[Paid/Unpaid]]="Paid", IF(VALUE($E909)&gt;VALUE($D$3),$K909* 10000,$K909* 8000), 0)</f>
        <v>8000</v>
      </c>
      <c r="M909" s="53" t="s">
        <v>146</v>
      </c>
    </row>
    <row r="910" spans="1:13" ht="12.75" customHeight="1" x14ac:dyDescent="0.3">
      <c r="A910" s="143" t="s">
        <v>16</v>
      </c>
      <c r="B910" s="139" t="str">
        <f>IFERROR(VLOOKUP($A910, NameDesignation[], 2,FALSE), " ")</f>
        <v>Former Director</v>
      </c>
      <c r="C910" s="139" t="s">
        <v>29</v>
      </c>
      <c r="D910" s="139">
        <v>472</v>
      </c>
      <c r="E910" s="140">
        <v>44748</v>
      </c>
      <c r="F910" s="139" t="str">
        <f t="shared" si="42"/>
        <v>Q3-22</v>
      </c>
      <c r="G910" s="140" t="str">
        <f t="shared" si="43"/>
        <v>Jul'22</v>
      </c>
      <c r="H910" s="140" t="str">
        <f>TEXT(RawData[[#This Row],[Date]], "YYYY")</f>
        <v>2022</v>
      </c>
      <c r="I910" s="141" t="s">
        <v>32</v>
      </c>
      <c r="J910" s="141" t="s">
        <v>90</v>
      </c>
      <c r="K910" s="139">
        <f t="shared" si="44"/>
        <v>1</v>
      </c>
      <c r="L910" s="142">
        <f>IF(RawData[[#This Row],[Paid/Unpaid]]="Paid", IF(VALUE($E910)&gt;VALUE($D$3),$K910* 10000,$K910* 8000), 0)</f>
        <v>8000</v>
      </c>
      <c r="M910" s="53" t="s">
        <v>146</v>
      </c>
    </row>
    <row r="911" spans="1:13" ht="12.75" customHeight="1" x14ac:dyDescent="0.3">
      <c r="A911" s="143" t="s">
        <v>21</v>
      </c>
      <c r="B911" s="139" t="str">
        <f>IFERROR(VLOOKUP($A911, NameDesignation[], 2,FALSE), " ")</f>
        <v>Former Independent Director</v>
      </c>
      <c r="C911" s="139" t="s">
        <v>29</v>
      </c>
      <c r="D911" s="139">
        <v>472</v>
      </c>
      <c r="E911" s="140">
        <v>44748</v>
      </c>
      <c r="F911" s="139" t="str">
        <f t="shared" si="42"/>
        <v>Q3-22</v>
      </c>
      <c r="G911" s="140" t="str">
        <f t="shared" si="43"/>
        <v>Jul'22</v>
      </c>
      <c r="H911" s="140" t="str">
        <f>TEXT(RawData[[#This Row],[Date]], "YYYY")</f>
        <v>2022</v>
      </c>
      <c r="I911" s="141" t="s">
        <v>32</v>
      </c>
      <c r="J911" s="141" t="s">
        <v>90</v>
      </c>
      <c r="K911" s="139">
        <f t="shared" si="44"/>
        <v>1</v>
      </c>
      <c r="L911" s="142">
        <f>IF(RawData[[#This Row],[Paid/Unpaid]]="Paid", IF(VALUE($E911)&gt;VALUE($D$3),$K911* 10000,$K911* 8000), 0)</f>
        <v>8000</v>
      </c>
      <c r="M911" s="53" t="s">
        <v>146</v>
      </c>
    </row>
    <row r="912" spans="1:13" ht="12.75" customHeight="1" x14ac:dyDescent="0.3">
      <c r="A912" s="143" t="s">
        <v>25</v>
      </c>
      <c r="B912" s="139" t="str">
        <f>IFERROR(VLOOKUP($A912, NameDesignation[], 2,FALSE), " ")</f>
        <v>Former Director</v>
      </c>
      <c r="C912" s="139" t="s">
        <v>29</v>
      </c>
      <c r="D912" s="139">
        <v>472</v>
      </c>
      <c r="E912" s="140">
        <v>44748</v>
      </c>
      <c r="F912" s="139" t="str">
        <f t="shared" si="42"/>
        <v>Q3-22</v>
      </c>
      <c r="G912" s="140" t="str">
        <f t="shared" si="43"/>
        <v>Jul'22</v>
      </c>
      <c r="H912" s="140" t="str">
        <f>TEXT(RawData[[#This Row],[Date]], "YYYY")</f>
        <v>2022</v>
      </c>
      <c r="I912" s="141" t="s">
        <v>32</v>
      </c>
      <c r="J912" s="141" t="s">
        <v>90</v>
      </c>
      <c r="K912" s="139">
        <f t="shared" si="44"/>
        <v>1</v>
      </c>
      <c r="L912" s="142">
        <f>IF(RawData[[#This Row],[Paid/Unpaid]]="Paid", IF(VALUE($E912)&gt;VALUE($D$3),$K912* 10000,$K912* 8000), 0)</f>
        <v>8000</v>
      </c>
      <c r="M912" s="53" t="s">
        <v>146</v>
      </c>
    </row>
    <row r="913" spans="1:13" ht="12.75" customHeight="1" x14ac:dyDescent="0.3">
      <c r="A913" s="143" t="s">
        <v>50</v>
      </c>
      <c r="B913" s="139" t="str">
        <f>IFERROR(VLOOKUP($A913, NameDesignation[], 2,FALSE), " ")</f>
        <v>Former Director</v>
      </c>
      <c r="C913" s="139" t="s">
        <v>29</v>
      </c>
      <c r="D913" s="139">
        <v>472</v>
      </c>
      <c r="E913" s="140">
        <v>44748</v>
      </c>
      <c r="F913" s="139" t="str">
        <f t="shared" si="42"/>
        <v>Q3-22</v>
      </c>
      <c r="G913" s="140" t="str">
        <f t="shared" si="43"/>
        <v>Jul'22</v>
      </c>
      <c r="H913" s="140" t="str">
        <f>TEXT(RawData[[#This Row],[Date]], "YYYY")</f>
        <v>2022</v>
      </c>
      <c r="I913" s="141" t="s">
        <v>32</v>
      </c>
      <c r="J913" s="141" t="s">
        <v>90</v>
      </c>
      <c r="K913" s="139">
        <f t="shared" si="44"/>
        <v>1</v>
      </c>
      <c r="L913" s="142">
        <f>IF(RawData[[#This Row],[Paid/Unpaid]]="Paid", IF(VALUE($E913)&gt;VALUE($D$3),$K913* 10000,$K913* 8000), 0)</f>
        <v>8000</v>
      </c>
      <c r="M913" s="53" t="s">
        <v>146</v>
      </c>
    </row>
    <row r="914" spans="1:13" ht="12.75" customHeight="1" x14ac:dyDescent="0.3">
      <c r="A914" s="143" t="s">
        <v>51</v>
      </c>
      <c r="B914" s="139" t="str">
        <f>IFERROR(VLOOKUP($A914, NameDesignation[], 2,FALSE), " ")</f>
        <v>Former Director</v>
      </c>
      <c r="C914" s="139" t="s">
        <v>29</v>
      </c>
      <c r="D914" s="139">
        <v>472</v>
      </c>
      <c r="E914" s="140">
        <v>44748</v>
      </c>
      <c r="F914" s="139" t="str">
        <f t="shared" si="42"/>
        <v>Q3-22</v>
      </c>
      <c r="G914" s="140" t="str">
        <f t="shared" si="43"/>
        <v>Jul'22</v>
      </c>
      <c r="H914" s="140" t="str">
        <f>TEXT(RawData[[#This Row],[Date]], "YYYY")</f>
        <v>2022</v>
      </c>
      <c r="I914" s="141" t="s">
        <v>32</v>
      </c>
      <c r="J914" s="141" t="s">
        <v>90</v>
      </c>
      <c r="K914" s="139">
        <f t="shared" si="44"/>
        <v>1</v>
      </c>
      <c r="L914" s="142">
        <f>IF(RawData[[#This Row],[Paid/Unpaid]]="Paid", IF(VALUE($E914)&gt;VALUE($D$3),$K914* 10000,$K914* 8000), 0)</f>
        <v>8000</v>
      </c>
      <c r="M914" s="53" t="s">
        <v>146</v>
      </c>
    </row>
    <row r="915" spans="1:13" ht="12.75" customHeight="1" x14ac:dyDescent="0.3">
      <c r="A915" s="143" t="s">
        <v>18</v>
      </c>
      <c r="B915" s="139" t="str">
        <f>IFERROR(VLOOKUP($A915, NameDesignation[], 2,FALSE), " ")</f>
        <v>Former Independent Director</v>
      </c>
      <c r="C915" s="139" t="s">
        <v>29</v>
      </c>
      <c r="D915" s="139">
        <v>472</v>
      </c>
      <c r="E915" s="140">
        <v>44748</v>
      </c>
      <c r="F915" s="139" t="str">
        <f t="shared" si="42"/>
        <v>Q3-22</v>
      </c>
      <c r="G915" s="140" t="str">
        <f t="shared" si="43"/>
        <v>Jul'22</v>
      </c>
      <c r="H915" s="140" t="str">
        <f>TEXT(RawData[[#This Row],[Date]], "YYYY")</f>
        <v>2022</v>
      </c>
      <c r="I915" s="141" t="s">
        <v>32</v>
      </c>
      <c r="J915" s="141" t="s">
        <v>91</v>
      </c>
      <c r="K915" s="139">
        <f t="shared" si="44"/>
        <v>0</v>
      </c>
      <c r="L915" s="142">
        <f>IF(RawData[[#This Row],[Paid/Unpaid]]="Paid", IF(VALUE($E915)&gt;VALUE($D$3),$K915* 10000,$K915* 8000), 0)</f>
        <v>0</v>
      </c>
      <c r="M915" s="53" t="s">
        <v>146</v>
      </c>
    </row>
    <row r="916" spans="1:13" ht="12.75" customHeight="1" x14ac:dyDescent="0.3">
      <c r="A916" s="143" t="s">
        <v>34</v>
      </c>
      <c r="B916" s="139" t="str">
        <f>IFERROR(VLOOKUP($A916, NameDesignation[], 2,FALSE), " ")</f>
        <v>Former Managing Director &amp; CEO</v>
      </c>
      <c r="C916" s="139" t="s">
        <v>29</v>
      </c>
      <c r="D916" s="139">
        <v>472</v>
      </c>
      <c r="E916" s="140">
        <v>44748</v>
      </c>
      <c r="F916" s="139" t="str">
        <f t="shared" si="42"/>
        <v>Q3-22</v>
      </c>
      <c r="G916" s="140" t="str">
        <f t="shared" si="43"/>
        <v>Jul'22</v>
      </c>
      <c r="H916" s="140" t="str">
        <f>TEXT(RawData[[#This Row],[Date]], "YYYY")</f>
        <v>2022</v>
      </c>
      <c r="I916" s="141" t="s">
        <v>32</v>
      </c>
      <c r="J916" s="141" t="s">
        <v>90</v>
      </c>
      <c r="K916" s="139">
        <f t="shared" si="44"/>
        <v>1</v>
      </c>
      <c r="L916" s="142">
        <f>IF(RawData[[#This Row],[Paid/Unpaid]]="Paid", IF(VALUE($E916)&gt;VALUE($D$3),$K916* 10000,$K916* 8000), 0)</f>
        <v>8000</v>
      </c>
      <c r="M916" s="53" t="s">
        <v>146</v>
      </c>
    </row>
    <row r="917" spans="1:13" ht="12.75" customHeight="1" x14ac:dyDescent="0.3">
      <c r="A917" s="143" t="s">
        <v>20</v>
      </c>
      <c r="B917" s="139" t="str">
        <f>IFERROR(VLOOKUP($A917, NameDesignation[], 2,FALSE), " ")</f>
        <v>Former Independent Director</v>
      </c>
      <c r="C917" s="139" t="s">
        <v>37</v>
      </c>
      <c r="D917" s="139">
        <v>125</v>
      </c>
      <c r="E917" s="140">
        <v>44768</v>
      </c>
      <c r="F917" s="139" t="str">
        <f t="shared" si="42"/>
        <v>Q3-22</v>
      </c>
      <c r="G917" s="140" t="str">
        <f t="shared" si="43"/>
        <v>Jul'22</v>
      </c>
      <c r="H917" s="140" t="str">
        <f>TEXT(RawData[[#This Row],[Date]], "YYYY")</f>
        <v>2022</v>
      </c>
      <c r="I917" s="141" t="s">
        <v>32</v>
      </c>
      <c r="J917" s="141" t="s">
        <v>90</v>
      </c>
      <c r="K917" s="139">
        <f t="shared" si="44"/>
        <v>1</v>
      </c>
      <c r="L917" s="142">
        <f>IF(RawData[[#This Row],[Paid/Unpaid]]="Paid", IF(VALUE($E917)&gt;VALUE($D$3),$K917* 10000,$K917* 8000), 0)</f>
        <v>8000</v>
      </c>
      <c r="M917" s="53" t="s">
        <v>146</v>
      </c>
    </row>
    <row r="918" spans="1:13" ht="12.75" customHeight="1" x14ac:dyDescent="0.3">
      <c r="A918" s="143" t="s">
        <v>23</v>
      </c>
      <c r="B918" s="139" t="str">
        <f>IFERROR(VLOOKUP($A918, NameDesignation[], 2,FALSE), " ")</f>
        <v>Former Director</v>
      </c>
      <c r="C918" s="139" t="s">
        <v>37</v>
      </c>
      <c r="D918" s="139">
        <v>125</v>
      </c>
      <c r="E918" s="140">
        <v>44768</v>
      </c>
      <c r="F918" s="139" t="str">
        <f t="shared" si="42"/>
        <v>Q3-22</v>
      </c>
      <c r="G918" s="140" t="str">
        <f t="shared" si="43"/>
        <v>Jul'22</v>
      </c>
      <c r="H918" s="140" t="str">
        <f>TEXT(RawData[[#This Row],[Date]], "YYYY")</f>
        <v>2022</v>
      </c>
      <c r="I918" s="141" t="s">
        <v>32</v>
      </c>
      <c r="J918" s="141" t="s">
        <v>91</v>
      </c>
      <c r="K918" s="139">
        <f t="shared" si="44"/>
        <v>0</v>
      </c>
      <c r="L918" s="142">
        <f>IF(RawData[[#This Row],[Paid/Unpaid]]="Paid", IF(VALUE($E918)&gt;VALUE($D$3),$K918* 10000,$K918* 8000), 0)</f>
        <v>0</v>
      </c>
      <c r="M918" s="53" t="s">
        <v>146</v>
      </c>
    </row>
    <row r="919" spans="1:13" ht="12.75" customHeight="1" x14ac:dyDescent="0.3">
      <c r="A919" s="143" t="s">
        <v>24</v>
      </c>
      <c r="B919" s="139" t="str">
        <f>IFERROR(VLOOKUP($A919, NameDesignation[], 2,FALSE), " ")</f>
        <v>Former Director</v>
      </c>
      <c r="C919" s="139" t="s">
        <v>37</v>
      </c>
      <c r="D919" s="139">
        <v>125</v>
      </c>
      <c r="E919" s="140">
        <v>44768</v>
      </c>
      <c r="F919" s="139" t="str">
        <f t="shared" si="42"/>
        <v>Q3-22</v>
      </c>
      <c r="G919" s="140" t="str">
        <f t="shared" si="43"/>
        <v>Jul'22</v>
      </c>
      <c r="H919" s="140" t="str">
        <f>TEXT(RawData[[#This Row],[Date]], "YYYY")</f>
        <v>2022</v>
      </c>
      <c r="I919" s="141" t="s">
        <v>32</v>
      </c>
      <c r="J919" s="141" t="s">
        <v>90</v>
      </c>
      <c r="K919" s="139">
        <f t="shared" si="44"/>
        <v>1</v>
      </c>
      <c r="L919" s="142">
        <f>IF(RawData[[#This Row],[Paid/Unpaid]]="Paid", IF(VALUE($E919)&gt;VALUE($D$3),$K919* 10000,$K919* 8000), 0)</f>
        <v>8000</v>
      </c>
      <c r="M919" s="53" t="s">
        <v>146</v>
      </c>
    </row>
    <row r="920" spans="1:13" ht="12.75" customHeight="1" x14ac:dyDescent="0.3">
      <c r="A920" s="143" t="s">
        <v>21</v>
      </c>
      <c r="B920" s="139" t="str">
        <f>IFERROR(VLOOKUP($A920, NameDesignation[], 2,FALSE), " ")</f>
        <v>Former Independent Director</v>
      </c>
      <c r="C920" s="139" t="s">
        <v>37</v>
      </c>
      <c r="D920" s="139">
        <v>125</v>
      </c>
      <c r="E920" s="140">
        <v>44768</v>
      </c>
      <c r="F920" s="139" t="str">
        <f t="shared" si="42"/>
        <v>Q3-22</v>
      </c>
      <c r="G920" s="140" t="str">
        <f t="shared" si="43"/>
        <v>Jul'22</v>
      </c>
      <c r="H920" s="140" t="str">
        <f>TEXT(RawData[[#This Row],[Date]], "YYYY")</f>
        <v>2022</v>
      </c>
      <c r="I920" s="141" t="s">
        <v>32</v>
      </c>
      <c r="J920" s="141" t="s">
        <v>90</v>
      </c>
      <c r="K920" s="139">
        <f t="shared" si="44"/>
        <v>1</v>
      </c>
      <c r="L920" s="142">
        <f>IF(RawData[[#This Row],[Paid/Unpaid]]="Paid", IF(VALUE($E920)&gt;VALUE($D$3),$K920* 10000,$K920* 8000), 0)</f>
        <v>8000</v>
      </c>
      <c r="M920" s="53" t="s">
        <v>146</v>
      </c>
    </row>
    <row r="921" spans="1:13" ht="12.75" customHeight="1" x14ac:dyDescent="0.3">
      <c r="A921" s="143" t="s">
        <v>18</v>
      </c>
      <c r="B921" s="139" t="str">
        <f>IFERROR(VLOOKUP($A921, NameDesignation[], 2,FALSE), " ")</f>
        <v>Former Independent Director</v>
      </c>
      <c r="C921" s="139" t="s">
        <v>37</v>
      </c>
      <c r="D921" s="139">
        <v>125</v>
      </c>
      <c r="E921" s="140">
        <v>44768</v>
      </c>
      <c r="F921" s="139" t="str">
        <f t="shared" si="42"/>
        <v>Q3-22</v>
      </c>
      <c r="G921" s="140" t="str">
        <f t="shared" si="43"/>
        <v>Jul'22</v>
      </c>
      <c r="H921" s="140" t="str">
        <f>TEXT(RawData[[#This Row],[Date]], "YYYY")</f>
        <v>2022</v>
      </c>
      <c r="I921" s="141" t="s">
        <v>32</v>
      </c>
      <c r="J921" s="141" t="s">
        <v>90</v>
      </c>
      <c r="K921" s="139">
        <f t="shared" si="44"/>
        <v>1</v>
      </c>
      <c r="L921" s="142">
        <f>IF(RawData[[#This Row],[Paid/Unpaid]]="Paid", IF(VALUE($E921)&gt;VALUE($D$3),$K921* 10000,$K921* 8000), 0)</f>
        <v>8000</v>
      </c>
      <c r="M921" s="53" t="s">
        <v>146</v>
      </c>
    </row>
    <row r="922" spans="1:13" ht="12.75" customHeight="1" x14ac:dyDescent="0.3">
      <c r="A922" s="143" t="s">
        <v>11</v>
      </c>
      <c r="B922" s="139" t="str">
        <f>IFERROR(VLOOKUP($A922, NameDesignation[], 2,FALSE), " ")</f>
        <v>Former Director</v>
      </c>
      <c r="C922" s="139" t="s">
        <v>41</v>
      </c>
      <c r="D922" s="139">
        <v>5</v>
      </c>
      <c r="E922" s="140">
        <v>44769</v>
      </c>
      <c r="F922" s="139" t="str">
        <f t="shared" si="42"/>
        <v>Q3-22</v>
      </c>
      <c r="G922" s="140" t="str">
        <f t="shared" si="43"/>
        <v>Jul'22</v>
      </c>
      <c r="H922" s="140" t="str">
        <f>TEXT(RawData[[#This Row],[Date]], "YYYY")</f>
        <v>2022</v>
      </c>
      <c r="I922" s="141" t="s">
        <v>32</v>
      </c>
      <c r="J922" s="141" t="s">
        <v>90</v>
      </c>
      <c r="K922" s="139">
        <f t="shared" si="44"/>
        <v>1</v>
      </c>
      <c r="L922" s="142">
        <f>IF(RawData[[#This Row],[Paid/Unpaid]]="Paid", IF(VALUE($E922)&gt;VALUE($D$3),$K922* 10000,$K922* 8000), 0)</f>
        <v>8000</v>
      </c>
      <c r="M922" s="53" t="s">
        <v>146</v>
      </c>
    </row>
    <row r="923" spans="1:13" ht="12.75" customHeight="1" x14ac:dyDescent="0.3">
      <c r="A923" s="143" t="s">
        <v>54</v>
      </c>
      <c r="B923" s="139" t="str">
        <f>IFERROR(VLOOKUP($A923, NameDesignation[], 2,FALSE), " ")</f>
        <v>Member, Shariah Supervisory Committee</v>
      </c>
      <c r="C923" s="139" t="s">
        <v>41</v>
      </c>
      <c r="D923" s="139">
        <v>5</v>
      </c>
      <c r="E923" s="140">
        <v>44769</v>
      </c>
      <c r="F923" s="139" t="str">
        <f t="shared" si="42"/>
        <v>Q3-22</v>
      </c>
      <c r="G923" s="140" t="str">
        <f t="shared" si="43"/>
        <v>Jul'22</v>
      </c>
      <c r="H923" s="140" t="str">
        <f>TEXT(RawData[[#This Row],[Date]], "YYYY")</f>
        <v>2022</v>
      </c>
      <c r="I923" s="141" t="s">
        <v>32</v>
      </c>
      <c r="J923" s="141" t="s">
        <v>90</v>
      </c>
      <c r="K923" s="139">
        <f t="shared" si="44"/>
        <v>1</v>
      </c>
      <c r="L923" s="142">
        <f>IF(RawData[[#This Row],[Paid/Unpaid]]="Paid", IF(VALUE($E923)&gt;VALUE($D$3),$K923* 10000,$K923* 8000), 0)</f>
        <v>8000</v>
      </c>
      <c r="M923" s="53" t="s">
        <v>146</v>
      </c>
    </row>
    <row r="924" spans="1:13" ht="12.75" customHeight="1" x14ac:dyDescent="0.3">
      <c r="A924" s="143" t="s">
        <v>127</v>
      </c>
      <c r="B924" s="139" t="str">
        <f>IFERROR(VLOOKUP($A924, NameDesignation[], 2,FALSE), " ")</f>
        <v>Chairman, Shariah Supervisory Committee</v>
      </c>
      <c r="C924" s="139" t="s">
        <v>41</v>
      </c>
      <c r="D924" s="139">
        <v>5</v>
      </c>
      <c r="E924" s="140">
        <v>44769</v>
      </c>
      <c r="F924" s="139" t="str">
        <f t="shared" si="42"/>
        <v>Q3-22</v>
      </c>
      <c r="G924" s="140" t="str">
        <f t="shared" si="43"/>
        <v>Jul'22</v>
      </c>
      <c r="H924" s="140" t="str">
        <f>TEXT(RawData[[#This Row],[Date]], "YYYY")</f>
        <v>2022</v>
      </c>
      <c r="I924" s="141" t="s">
        <v>32</v>
      </c>
      <c r="J924" s="141" t="s">
        <v>90</v>
      </c>
      <c r="K924" s="139">
        <f t="shared" si="44"/>
        <v>1</v>
      </c>
      <c r="L924" s="142">
        <f>IF(RawData[[#This Row],[Paid/Unpaid]]="Paid", IF(VALUE($E924)&gt;VALUE($D$3),$K924* 10000,$K924* 8000), 0)</f>
        <v>8000</v>
      </c>
      <c r="M924" s="53" t="s">
        <v>146</v>
      </c>
    </row>
    <row r="925" spans="1:13" ht="12.75" customHeight="1" x14ac:dyDescent="0.3">
      <c r="A925" s="143" t="s">
        <v>52</v>
      </c>
      <c r="B925" s="139" t="str">
        <f>IFERROR(VLOOKUP($A925, NameDesignation[], 2,FALSE), " ")</f>
        <v>Member, Shariah Supervisory Committee</v>
      </c>
      <c r="C925" s="139" t="s">
        <v>41</v>
      </c>
      <c r="D925" s="139">
        <v>5</v>
      </c>
      <c r="E925" s="140">
        <v>44769</v>
      </c>
      <c r="F925" s="139" t="str">
        <f t="shared" si="42"/>
        <v>Q3-22</v>
      </c>
      <c r="G925" s="140" t="str">
        <f t="shared" si="43"/>
        <v>Jul'22</v>
      </c>
      <c r="H925" s="140" t="str">
        <f>TEXT(RawData[[#This Row],[Date]], "YYYY")</f>
        <v>2022</v>
      </c>
      <c r="I925" s="141" t="s">
        <v>32</v>
      </c>
      <c r="J925" s="141" t="s">
        <v>90</v>
      </c>
      <c r="K925" s="139">
        <f t="shared" si="44"/>
        <v>1</v>
      </c>
      <c r="L925" s="142">
        <f>IF(RawData[[#This Row],[Paid/Unpaid]]="Paid", IF(VALUE($E925)&gt;VALUE($D$3),$K925* 10000,$K925* 8000), 0)</f>
        <v>8000</v>
      </c>
      <c r="M925" s="53" t="s">
        <v>146</v>
      </c>
    </row>
    <row r="926" spans="1:13" ht="12.75" customHeight="1" x14ac:dyDescent="0.3">
      <c r="A926" s="143" t="s">
        <v>128</v>
      </c>
      <c r="B926" s="139" t="str">
        <f>IFERROR(VLOOKUP($A926, NameDesignation[], 2,FALSE), " ")</f>
        <v>Member, Shariah Supervisory Committee</v>
      </c>
      <c r="C926" s="139" t="s">
        <v>41</v>
      </c>
      <c r="D926" s="139">
        <v>5</v>
      </c>
      <c r="E926" s="140">
        <v>44769</v>
      </c>
      <c r="F926" s="139" t="str">
        <f t="shared" si="42"/>
        <v>Q3-22</v>
      </c>
      <c r="G926" s="140" t="str">
        <f t="shared" si="43"/>
        <v>Jul'22</v>
      </c>
      <c r="H926" s="140" t="str">
        <f>TEXT(RawData[[#This Row],[Date]], "YYYY")</f>
        <v>2022</v>
      </c>
      <c r="I926" s="141" t="s">
        <v>32</v>
      </c>
      <c r="J926" s="141" t="s">
        <v>90</v>
      </c>
      <c r="K926" s="139">
        <f t="shared" si="44"/>
        <v>1</v>
      </c>
      <c r="L926" s="142">
        <f>IF(RawData[[#This Row],[Paid/Unpaid]]="Paid", IF(VALUE($E926)&gt;VALUE($D$3),$K926* 10000,$K926* 8000), 0)</f>
        <v>8000</v>
      </c>
      <c r="M926" s="53" t="s">
        <v>146</v>
      </c>
    </row>
    <row r="927" spans="1:13" ht="12.75" customHeight="1" x14ac:dyDescent="0.3">
      <c r="A927" s="143" t="s">
        <v>126</v>
      </c>
      <c r="B927" s="139" t="str">
        <f>IFERROR(VLOOKUP($A927, NameDesignation[], 2,FALSE), " ")</f>
        <v>Member, Shariah Supervisory Committee</v>
      </c>
      <c r="C927" s="139" t="s">
        <v>41</v>
      </c>
      <c r="D927" s="139">
        <v>5</v>
      </c>
      <c r="E927" s="140">
        <v>44769</v>
      </c>
      <c r="F927" s="139" t="str">
        <f t="shared" si="42"/>
        <v>Q3-22</v>
      </c>
      <c r="G927" s="140" t="str">
        <f t="shared" si="43"/>
        <v>Jul'22</v>
      </c>
      <c r="H927" s="140" t="str">
        <f>TEXT(RawData[[#This Row],[Date]], "YYYY")</f>
        <v>2022</v>
      </c>
      <c r="I927" s="141" t="s">
        <v>32</v>
      </c>
      <c r="J927" s="141" t="s">
        <v>90</v>
      </c>
      <c r="K927" s="139">
        <f t="shared" si="44"/>
        <v>1</v>
      </c>
      <c r="L927" s="142">
        <f>IF(RawData[[#This Row],[Paid/Unpaid]]="Paid", IF(VALUE($E927)&gt;VALUE($D$3),$K927* 10000,$K927* 8000), 0)</f>
        <v>8000</v>
      </c>
      <c r="M927" s="53" t="s">
        <v>146</v>
      </c>
    </row>
    <row r="928" spans="1:13" ht="12.75" customHeight="1" x14ac:dyDescent="0.3">
      <c r="A928" s="143" t="s">
        <v>34</v>
      </c>
      <c r="B928" s="139" t="str">
        <f>IFERROR(VLOOKUP($A928, NameDesignation[], 2,FALSE), " ")</f>
        <v>Former Managing Director &amp; CEO</v>
      </c>
      <c r="C928" s="139" t="s">
        <v>41</v>
      </c>
      <c r="D928" s="139">
        <v>5</v>
      </c>
      <c r="E928" s="140">
        <v>44769</v>
      </c>
      <c r="F928" s="139" t="str">
        <f t="shared" si="42"/>
        <v>Q3-22</v>
      </c>
      <c r="G928" s="140" t="str">
        <f t="shared" si="43"/>
        <v>Jul'22</v>
      </c>
      <c r="H928" s="140" t="str">
        <f>TEXT(RawData[[#This Row],[Date]], "YYYY")</f>
        <v>2022</v>
      </c>
      <c r="I928" s="141" t="s">
        <v>32</v>
      </c>
      <c r="J928" s="141" t="s">
        <v>91</v>
      </c>
      <c r="K928" s="139">
        <f t="shared" si="44"/>
        <v>0</v>
      </c>
      <c r="L928" s="142">
        <f>IF(RawData[[#This Row],[Paid/Unpaid]]="Paid", IF(VALUE($E928)&gt;VALUE($D$3),$K928* 10000,$K928* 8000), 0)</f>
        <v>0</v>
      </c>
      <c r="M928" s="53" t="s">
        <v>146</v>
      </c>
    </row>
    <row r="929" spans="1:13" ht="12.75" customHeight="1" x14ac:dyDescent="0.3">
      <c r="A929" s="143" t="s">
        <v>7</v>
      </c>
      <c r="B929" s="139" t="str">
        <f>IFERROR(VLOOKUP($A929, NameDesignation[], 2,FALSE), " ")</f>
        <v>Former Director</v>
      </c>
      <c r="C929" s="139" t="s">
        <v>29</v>
      </c>
      <c r="D929" s="139">
        <v>473</v>
      </c>
      <c r="E929" s="140">
        <v>44770</v>
      </c>
      <c r="F929" s="139" t="str">
        <f t="shared" si="42"/>
        <v>Q3-22</v>
      </c>
      <c r="G929" s="140" t="str">
        <f t="shared" si="43"/>
        <v>Jul'22</v>
      </c>
      <c r="H929" s="140" t="str">
        <f>TEXT(RawData[[#This Row],[Date]], "YYYY")</f>
        <v>2022</v>
      </c>
      <c r="I929" s="141" t="s">
        <v>32</v>
      </c>
      <c r="J929" s="141" t="s">
        <v>91</v>
      </c>
      <c r="K929" s="139">
        <f t="shared" si="44"/>
        <v>0</v>
      </c>
      <c r="L929" s="142">
        <f>IF(RawData[[#This Row],[Paid/Unpaid]]="Paid", IF(VALUE($E929)&gt;VALUE($D$3),$K929* 10000,$K929* 8000), 0)</f>
        <v>0</v>
      </c>
      <c r="M929" s="53" t="s">
        <v>146</v>
      </c>
    </row>
    <row r="930" spans="1:13" ht="12.75" customHeight="1" x14ac:dyDescent="0.3">
      <c r="A930" s="143" t="s">
        <v>8</v>
      </c>
      <c r="B930" s="139" t="str">
        <f>IFERROR(VLOOKUP($A930, NameDesignation[], 2,FALSE), " ")</f>
        <v>Former Vice-Chairman</v>
      </c>
      <c r="C930" s="139" t="s">
        <v>29</v>
      </c>
      <c r="D930" s="139">
        <v>473</v>
      </c>
      <c r="E930" s="140">
        <v>44770</v>
      </c>
      <c r="F930" s="139" t="str">
        <f t="shared" si="42"/>
        <v>Q3-22</v>
      </c>
      <c r="G930" s="140" t="str">
        <f t="shared" si="43"/>
        <v>Jul'22</v>
      </c>
      <c r="H930" s="140" t="str">
        <f>TEXT(RawData[[#This Row],[Date]], "YYYY")</f>
        <v>2022</v>
      </c>
      <c r="I930" s="141" t="s">
        <v>32</v>
      </c>
      <c r="J930" s="141" t="s">
        <v>90</v>
      </c>
      <c r="K930" s="139">
        <f t="shared" si="44"/>
        <v>1</v>
      </c>
      <c r="L930" s="142">
        <f>IF(RawData[[#This Row],[Paid/Unpaid]]="Paid", IF(VALUE($E930)&gt;VALUE($D$3),$K930* 10000,$K930* 8000), 0)</f>
        <v>8000</v>
      </c>
      <c r="M930" s="53" t="s">
        <v>146</v>
      </c>
    </row>
    <row r="931" spans="1:13" ht="12.75" customHeight="1" x14ac:dyDescent="0.3">
      <c r="A931" s="143" t="s">
        <v>9</v>
      </c>
      <c r="B931" s="139" t="str">
        <f>IFERROR(VLOOKUP($A931, NameDesignation[], 2,FALSE), " ")</f>
        <v>Former Director</v>
      </c>
      <c r="C931" s="139" t="s">
        <v>29</v>
      </c>
      <c r="D931" s="139">
        <v>473</v>
      </c>
      <c r="E931" s="140">
        <v>44770</v>
      </c>
      <c r="F931" s="139" t="str">
        <f t="shared" si="42"/>
        <v>Q3-22</v>
      </c>
      <c r="G931" s="140" t="str">
        <f t="shared" si="43"/>
        <v>Jul'22</v>
      </c>
      <c r="H931" s="140" t="str">
        <f>TEXT(RawData[[#This Row],[Date]], "YYYY")</f>
        <v>2022</v>
      </c>
      <c r="I931" s="141" t="s">
        <v>32</v>
      </c>
      <c r="J931" s="141" t="s">
        <v>90</v>
      </c>
      <c r="K931" s="139">
        <f t="shared" si="44"/>
        <v>1</v>
      </c>
      <c r="L931" s="142">
        <f>IF(RawData[[#This Row],[Paid/Unpaid]]="Paid", IF(VALUE($E931)&gt;VALUE($D$3),$K931* 10000,$K931* 8000), 0)</f>
        <v>8000</v>
      </c>
      <c r="M931" s="53" t="s">
        <v>146</v>
      </c>
    </row>
    <row r="932" spans="1:13" ht="12.75" customHeight="1" x14ac:dyDescent="0.3">
      <c r="A932" s="143" t="s">
        <v>20</v>
      </c>
      <c r="B932" s="139" t="str">
        <f>IFERROR(VLOOKUP($A932, NameDesignation[], 2,FALSE), " ")</f>
        <v>Former Independent Director</v>
      </c>
      <c r="C932" s="139" t="s">
        <v>29</v>
      </c>
      <c r="D932" s="139">
        <v>473</v>
      </c>
      <c r="E932" s="140">
        <v>44770</v>
      </c>
      <c r="F932" s="139" t="str">
        <f t="shared" si="42"/>
        <v>Q3-22</v>
      </c>
      <c r="G932" s="140" t="str">
        <f t="shared" si="43"/>
        <v>Jul'22</v>
      </c>
      <c r="H932" s="140" t="str">
        <f>TEXT(RawData[[#This Row],[Date]], "YYYY")</f>
        <v>2022</v>
      </c>
      <c r="I932" s="141" t="s">
        <v>32</v>
      </c>
      <c r="J932" s="141" t="s">
        <v>90</v>
      </c>
      <c r="K932" s="139">
        <f t="shared" si="44"/>
        <v>1</v>
      </c>
      <c r="L932" s="142">
        <f>IF(RawData[[#This Row],[Paid/Unpaid]]="Paid", IF(VALUE($E932)&gt;VALUE($D$3),$K932* 10000,$K932* 8000), 0)</f>
        <v>8000</v>
      </c>
      <c r="M932" s="53" t="s">
        <v>146</v>
      </c>
    </row>
    <row r="933" spans="1:13" ht="12.75" customHeight="1" x14ac:dyDescent="0.3">
      <c r="A933" s="143" t="s">
        <v>49</v>
      </c>
      <c r="B933" s="139" t="str">
        <f>IFERROR(VLOOKUP($A933, NameDesignation[], 2,FALSE), " ")</f>
        <v>Former Director</v>
      </c>
      <c r="C933" s="139" t="s">
        <v>29</v>
      </c>
      <c r="D933" s="139">
        <v>473</v>
      </c>
      <c r="E933" s="140">
        <v>44770</v>
      </c>
      <c r="F933" s="139" t="str">
        <f t="shared" si="42"/>
        <v>Q3-22</v>
      </c>
      <c r="G933" s="140" t="str">
        <f t="shared" si="43"/>
        <v>Jul'22</v>
      </c>
      <c r="H933" s="140" t="str">
        <f>TEXT(RawData[[#This Row],[Date]], "YYYY")</f>
        <v>2022</v>
      </c>
      <c r="I933" s="141" t="s">
        <v>32</v>
      </c>
      <c r="J933" s="141" t="s">
        <v>90</v>
      </c>
      <c r="K933" s="139">
        <f t="shared" si="44"/>
        <v>1</v>
      </c>
      <c r="L933" s="142">
        <f>IF(RawData[[#This Row],[Paid/Unpaid]]="Paid", IF(VALUE($E933)&gt;VALUE($D$3),$K933* 10000,$K933* 8000), 0)</f>
        <v>8000</v>
      </c>
      <c r="M933" s="53" t="s">
        <v>146</v>
      </c>
    </row>
    <row r="934" spans="1:13" ht="12.75" customHeight="1" x14ac:dyDescent="0.3">
      <c r="A934" s="143" t="s">
        <v>11</v>
      </c>
      <c r="B934" s="139" t="str">
        <f>IFERROR(VLOOKUP($A934, NameDesignation[], 2,FALSE), " ")</f>
        <v>Former Director</v>
      </c>
      <c r="C934" s="139" t="s">
        <v>29</v>
      </c>
      <c r="D934" s="139">
        <v>473</v>
      </c>
      <c r="E934" s="140">
        <v>44770</v>
      </c>
      <c r="F934" s="139" t="str">
        <f t="shared" si="42"/>
        <v>Q3-22</v>
      </c>
      <c r="G934" s="140" t="str">
        <f t="shared" si="43"/>
        <v>Jul'22</v>
      </c>
      <c r="H934" s="140" t="str">
        <f>TEXT(RawData[[#This Row],[Date]], "YYYY")</f>
        <v>2022</v>
      </c>
      <c r="I934" s="141" t="s">
        <v>32</v>
      </c>
      <c r="J934" s="141" t="s">
        <v>91</v>
      </c>
      <c r="K934" s="139">
        <f t="shared" si="44"/>
        <v>0</v>
      </c>
      <c r="L934" s="142">
        <f>IF(RawData[[#This Row],[Paid/Unpaid]]="Paid", IF(VALUE($E934)&gt;VALUE($D$3),$K934* 10000,$K934* 8000), 0)</f>
        <v>0</v>
      </c>
      <c r="M934" s="53" t="s">
        <v>146</v>
      </c>
    </row>
    <row r="935" spans="1:13" ht="12.75" customHeight="1" x14ac:dyDescent="0.3">
      <c r="A935" s="143" t="s">
        <v>12</v>
      </c>
      <c r="B935" s="139" t="str">
        <f>IFERROR(VLOOKUP($A935, NameDesignation[], 2,FALSE), " ")</f>
        <v>Former Director</v>
      </c>
      <c r="C935" s="139" t="s">
        <v>29</v>
      </c>
      <c r="D935" s="139">
        <v>473</v>
      </c>
      <c r="E935" s="140">
        <v>44770</v>
      </c>
      <c r="F935" s="139" t="str">
        <f t="shared" si="42"/>
        <v>Q3-22</v>
      </c>
      <c r="G935" s="140" t="str">
        <f t="shared" si="43"/>
        <v>Jul'22</v>
      </c>
      <c r="H935" s="140" t="str">
        <f>TEXT(RawData[[#This Row],[Date]], "YYYY")</f>
        <v>2022</v>
      </c>
      <c r="I935" s="141" t="s">
        <v>32</v>
      </c>
      <c r="J935" s="141" t="s">
        <v>90</v>
      </c>
      <c r="K935" s="139">
        <f t="shared" si="44"/>
        <v>1</v>
      </c>
      <c r="L935" s="142">
        <f>IF(RawData[[#This Row],[Paid/Unpaid]]="Paid", IF(VALUE($E935)&gt;VALUE($D$3),$K935* 10000,$K935* 8000), 0)</f>
        <v>8000</v>
      </c>
      <c r="M935" s="53" t="s">
        <v>146</v>
      </c>
    </row>
    <row r="936" spans="1:13" ht="12.75" customHeight="1" x14ac:dyDescent="0.3">
      <c r="A936" s="143" t="s">
        <v>137</v>
      </c>
      <c r="B936" s="139" t="str">
        <f>IFERROR(VLOOKUP($A936, NameDesignation[], 2,FALSE), " ")</f>
        <v>Former Director</v>
      </c>
      <c r="C936" s="139" t="s">
        <v>29</v>
      </c>
      <c r="D936" s="139">
        <v>473</v>
      </c>
      <c r="E936" s="140">
        <v>44770</v>
      </c>
      <c r="F936" s="139" t="str">
        <f t="shared" si="42"/>
        <v>Q3-22</v>
      </c>
      <c r="G936" s="140" t="str">
        <f t="shared" si="43"/>
        <v>Jul'22</v>
      </c>
      <c r="H936" s="140" t="str">
        <f>TEXT(RawData[[#This Row],[Date]], "YYYY")</f>
        <v>2022</v>
      </c>
      <c r="I936" s="141" t="s">
        <v>32</v>
      </c>
      <c r="J936" s="141" t="s">
        <v>90</v>
      </c>
      <c r="K936" s="139">
        <f t="shared" si="44"/>
        <v>1</v>
      </c>
      <c r="L936" s="142">
        <f>IF(RawData[[#This Row],[Paid/Unpaid]]="Paid", IF(VALUE($E936)&gt;VALUE($D$3),$K936* 10000,$K936* 8000), 0)</f>
        <v>8000</v>
      </c>
      <c r="M936" s="53" t="s">
        <v>146</v>
      </c>
    </row>
    <row r="937" spans="1:13" ht="12.75" customHeight="1" x14ac:dyDescent="0.3">
      <c r="A937" s="143" t="s">
        <v>13</v>
      </c>
      <c r="B937" s="139" t="str">
        <f>IFERROR(VLOOKUP($A937, NameDesignation[], 2,FALSE), " ")</f>
        <v>Former Director</v>
      </c>
      <c r="C937" s="139" t="s">
        <v>29</v>
      </c>
      <c r="D937" s="139">
        <v>473</v>
      </c>
      <c r="E937" s="140">
        <v>44770</v>
      </c>
      <c r="F937" s="139" t="str">
        <f t="shared" si="42"/>
        <v>Q3-22</v>
      </c>
      <c r="G937" s="140" t="str">
        <f t="shared" si="43"/>
        <v>Jul'22</v>
      </c>
      <c r="H937" s="140" t="str">
        <f>TEXT(RawData[[#This Row],[Date]], "YYYY")</f>
        <v>2022</v>
      </c>
      <c r="I937" s="141" t="s">
        <v>32</v>
      </c>
      <c r="J937" s="141" t="s">
        <v>90</v>
      </c>
      <c r="K937" s="139">
        <f t="shared" si="44"/>
        <v>1</v>
      </c>
      <c r="L937" s="142">
        <f>IF(RawData[[#This Row],[Paid/Unpaid]]="Paid", IF(VALUE($E937)&gt;VALUE($D$3),$K937* 10000,$K937* 8000), 0)</f>
        <v>8000</v>
      </c>
      <c r="M937" s="53" t="s">
        <v>146</v>
      </c>
    </row>
    <row r="938" spans="1:13" ht="12.75" customHeight="1" x14ac:dyDescent="0.3">
      <c r="A938" s="143" t="s">
        <v>61</v>
      </c>
      <c r="B938" s="139" t="str">
        <f>IFERROR(VLOOKUP($A938, NameDesignation[], 2,FALSE), " ")</f>
        <v>Former Director</v>
      </c>
      <c r="C938" s="139" t="s">
        <v>29</v>
      </c>
      <c r="D938" s="139">
        <v>473</v>
      </c>
      <c r="E938" s="140">
        <v>44770</v>
      </c>
      <c r="F938" s="139" t="str">
        <f t="shared" si="42"/>
        <v>Q3-22</v>
      </c>
      <c r="G938" s="140" t="str">
        <f t="shared" si="43"/>
        <v>Jul'22</v>
      </c>
      <c r="H938" s="140" t="str">
        <f>TEXT(RawData[[#This Row],[Date]], "YYYY")</f>
        <v>2022</v>
      </c>
      <c r="I938" s="141" t="s">
        <v>32</v>
      </c>
      <c r="J938" s="141" t="s">
        <v>90</v>
      </c>
      <c r="K938" s="139">
        <f t="shared" si="44"/>
        <v>1</v>
      </c>
      <c r="L938" s="142">
        <f>IF(RawData[[#This Row],[Paid/Unpaid]]="Paid", IF(VALUE($E938)&gt;VALUE($D$3),$K938* 10000,$K938* 8000), 0)</f>
        <v>8000</v>
      </c>
      <c r="M938" s="53" t="s">
        <v>146</v>
      </c>
    </row>
    <row r="939" spans="1:13" ht="12.75" customHeight="1" x14ac:dyDescent="0.3">
      <c r="A939" s="143" t="s">
        <v>23</v>
      </c>
      <c r="B939" s="139" t="str">
        <f>IFERROR(VLOOKUP($A939, NameDesignation[], 2,FALSE), " ")</f>
        <v>Former Director</v>
      </c>
      <c r="C939" s="139" t="s">
        <v>29</v>
      </c>
      <c r="D939" s="139">
        <v>473</v>
      </c>
      <c r="E939" s="140">
        <v>44770</v>
      </c>
      <c r="F939" s="139" t="str">
        <f t="shared" si="42"/>
        <v>Q3-22</v>
      </c>
      <c r="G939" s="140" t="str">
        <f t="shared" si="43"/>
        <v>Jul'22</v>
      </c>
      <c r="H939" s="140" t="str">
        <f>TEXT(RawData[[#This Row],[Date]], "YYYY")</f>
        <v>2022</v>
      </c>
      <c r="I939" s="141" t="s">
        <v>32</v>
      </c>
      <c r="J939" s="141" t="s">
        <v>90</v>
      </c>
      <c r="K939" s="139">
        <f t="shared" si="44"/>
        <v>1</v>
      </c>
      <c r="L939" s="142">
        <f>IF(RawData[[#This Row],[Paid/Unpaid]]="Paid", IF(VALUE($E939)&gt;VALUE($D$3),$K939* 10000,$K939* 8000), 0)</f>
        <v>8000</v>
      </c>
      <c r="M939" s="53" t="s">
        <v>146</v>
      </c>
    </row>
    <row r="940" spans="1:13" ht="12.75" customHeight="1" x14ac:dyDescent="0.3">
      <c r="A940" s="143" t="s">
        <v>24</v>
      </c>
      <c r="B940" s="139" t="str">
        <f>IFERROR(VLOOKUP($A940, NameDesignation[], 2,FALSE), " ")</f>
        <v>Former Director</v>
      </c>
      <c r="C940" s="139" t="s">
        <v>29</v>
      </c>
      <c r="D940" s="139">
        <v>473</v>
      </c>
      <c r="E940" s="140">
        <v>44770</v>
      </c>
      <c r="F940" s="139" t="str">
        <f t="shared" si="42"/>
        <v>Q3-22</v>
      </c>
      <c r="G940" s="140" t="str">
        <f t="shared" si="43"/>
        <v>Jul'22</v>
      </c>
      <c r="H940" s="140" t="str">
        <f>TEXT(RawData[[#This Row],[Date]], "YYYY")</f>
        <v>2022</v>
      </c>
      <c r="I940" s="141" t="s">
        <v>32</v>
      </c>
      <c r="J940" s="141" t="s">
        <v>90</v>
      </c>
      <c r="K940" s="139">
        <f t="shared" si="44"/>
        <v>1</v>
      </c>
      <c r="L940" s="142">
        <f>IF(RawData[[#This Row],[Paid/Unpaid]]="Paid", IF(VALUE($E940)&gt;VALUE($D$3),$K940* 10000,$K940* 8000), 0)</f>
        <v>8000</v>
      </c>
      <c r="M940" s="53" t="s">
        <v>146</v>
      </c>
    </row>
    <row r="941" spans="1:13" ht="12.75" customHeight="1" x14ac:dyDescent="0.3">
      <c r="A941" s="143" t="s">
        <v>15</v>
      </c>
      <c r="B941" s="139" t="str">
        <f>IFERROR(VLOOKUP($A941, NameDesignation[], 2,FALSE), " ")</f>
        <v>Former Director</v>
      </c>
      <c r="C941" s="139" t="s">
        <v>29</v>
      </c>
      <c r="D941" s="139">
        <v>473</v>
      </c>
      <c r="E941" s="140">
        <v>44770</v>
      </c>
      <c r="F941" s="139" t="str">
        <f t="shared" si="42"/>
        <v>Q3-22</v>
      </c>
      <c r="G941" s="140" t="str">
        <f t="shared" si="43"/>
        <v>Jul'22</v>
      </c>
      <c r="H941" s="140" t="str">
        <f>TEXT(RawData[[#This Row],[Date]], "YYYY")</f>
        <v>2022</v>
      </c>
      <c r="I941" s="141" t="s">
        <v>32</v>
      </c>
      <c r="J941" s="141" t="s">
        <v>90</v>
      </c>
      <c r="K941" s="139">
        <f t="shared" si="44"/>
        <v>1</v>
      </c>
      <c r="L941" s="142">
        <f>IF(RawData[[#This Row],[Paid/Unpaid]]="Paid", IF(VALUE($E941)&gt;VALUE($D$3),$K941* 10000,$K941* 8000), 0)</f>
        <v>8000</v>
      </c>
      <c r="M941" s="53" t="s">
        <v>146</v>
      </c>
    </row>
    <row r="942" spans="1:13" ht="12.75" customHeight="1" x14ac:dyDescent="0.3">
      <c r="A942" s="143" t="s">
        <v>16</v>
      </c>
      <c r="B942" s="139" t="str">
        <f>IFERROR(VLOOKUP($A942, NameDesignation[], 2,FALSE), " ")</f>
        <v>Former Director</v>
      </c>
      <c r="C942" s="139" t="s">
        <v>29</v>
      </c>
      <c r="D942" s="139">
        <v>473</v>
      </c>
      <c r="E942" s="140">
        <v>44770</v>
      </c>
      <c r="F942" s="139" t="str">
        <f t="shared" si="42"/>
        <v>Q3-22</v>
      </c>
      <c r="G942" s="140" t="str">
        <f t="shared" si="43"/>
        <v>Jul'22</v>
      </c>
      <c r="H942" s="140" t="str">
        <f>TEXT(RawData[[#This Row],[Date]], "YYYY")</f>
        <v>2022</v>
      </c>
      <c r="I942" s="141" t="s">
        <v>32</v>
      </c>
      <c r="J942" s="141" t="s">
        <v>90</v>
      </c>
      <c r="K942" s="139">
        <f t="shared" si="44"/>
        <v>1</v>
      </c>
      <c r="L942" s="142">
        <f>IF(RawData[[#This Row],[Paid/Unpaid]]="Paid", IF(VALUE($E942)&gt;VALUE($D$3),$K942* 10000,$K942* 8000), 0)</f>
        <v>8000</v>
      </c>
      <c r="M942" s="53" t="s">
        <v>146</v>
      </c>
    </row>
    <row r="943" spans="1:13" ht="12.75" customHeight="1" x14ac:dyDescent="0.3">
      <c r="A943" s="143" t="s">
        <v>21</v>
      </c>
      <c r="B943" s="139" t="str">
        <f>IFERROR(VLOOKUP($A943, NameDesignation[], 2,FALSE), " ")</f>
        <v>Former Independent Director</v>
      </c>
      <c r="C943" s="139" t="s">
        <v>29</v>
      </c>
      <c r="D943" s="139">
        <v>473</v>
      </c>
      <c r="E943" s="140">
        <v>44770</v>
      </c>
      <c r="F943" s="139" t="str">
        <f t="shared" si="42"/>
        <v>Q3-22</v>
      </c>
      <c r="G943" s="140" t="str">
        <f t="shared" si="43"/>
        <v>Jul'22</v>
      </c>
      <c r="H943" s="140" t="str">
        <f>TEXT(RawData[[#This Row],[Date]], "YYYY")</f>
        <v>2022</v>
      </c>
      <c r="I943" s="141" t="s">
        <v>32</v>
      </c>
      <c r="J943" s="141" t="s">
        <v>90</v>
      </c>
      <c r="K943" s="139">
        <f t="shared" si="44"/>
        <v>1</v>
      </c>
      <c r="L943" s="142">
        <f>IF(RawData[[#This Row],[Paid/Unpaid]]="Paid", IF(VALUE($E943)&gt;VALUE($D$3),$K943* 10000,$K943* 8000), 0)</f>
        <v>8000</v>
      </c>
      <c r="M943" s="53" t="s">
        <v>146</v>
      </c>
    </row>
    <row r="944" spans="1:13" ht="12.75" customHeight="1" x14ac:dyDescent="0.3">
      <c r="A944" s="143" t="s">
        <v>25</v>
      </c>
      <c r="B944" s="139" t="str">
        <f>IFERROR(VLOOKUP($A944, NameDesignation[], 2,FALSE), " ")</f>
        <v>Former Director</v>
      </c>
      <c r="C944" s="139" t="s">
        <v>29</v>
      </c>
      <c r="D944" s="139">
        <v>473</v>
      </c>
      <c r="E944" s="140">
        <v>44770</v>
      </c>
      <c r="F944" s="139" t="str">
        <f t="shared" si="42"/>
        <v>Q3-22</v>
      </c>
      <c r="G944" s="140" t="str">
        <f t="shared" si="43"/>
        <v>Jul'22</v>
      </c>
      <c r="H944" s="140" t="str">
        <f>TEXT(RawData[[#This Row],[Date]], "YYYY")</f>
        <v>2022</v>
      </c>
      <c r="I944" s="141" t="s">
        <v>32</v>
      </c>
      <c r="J944" s="141" t="s">
        <v>90</v>
      </c>
      <c r="K944" s="139">
        <f t="shared" si="44"/>
        <v>1</v>
      </c>
      <c r="L944" s="142">
        <f>IF(RawData[[#This Row],[Paid/Unpaid]]="Paid", IF(VALUE($E944)&gt;VALUE($D$3),$K944* 10000,$K944* 8000), 0)</f>
        <v>8000</v>
      </c>
      <c r="M944" s="53" t="s">
        <v>146</v>
      </c>
    </row>
    <row r="945" spans="1:13" ht="12.75" customHeight="1" x14ac:dyDescent="0.3">
      <c r="A945" s="143" t="s">
        <v>50</v>
      </c>
      <c r="B945" s="139" t="str">
        <f>IFERROR(VLOOKUP($A945, NameDesignation[], 2,FALSE), " ")</f>
        <v>Former Director</v>
      </c>
      <c r="C945" s="139" t="s">
        <v>29</v>
      </c>
      <c r="D945" s="139">
        <v>473</v>
      </c>
      <c r="E945" s="140">
        <v>44770</v>
      </c>
      <c r="F945" s="139" t="str">
        <f t="shared" si="42"/>
        <v>Q3-22</v>
      </c>
      <c r="G945" s="140" t="str">
        <f t="shared" si="43"/>
        <v>Jul'22</v>
      </c>
      <c r="H945" s="140" t="str">
        <f>TEXT(RawData[[#This Row],[Date]], "YYYY")</f>
        <v>2022</v>
      </c>
      <c r="I945" s="141" t="s">
        <v>32</v>
      </c>
      <c r="J945" s="141" t="s">
        <v>91</v>
      </c>
      <c r="K945" s="139">
        <f t="shared" si="44"/>
        <v>0</v>
      </c>
      <c r="L945" s="142">
        <f>IF(RawData[[#This Row],[Paid/Unpaid]]="Paid", IF(VALUE($E945)&gt;VALUE($D$3),$K945* 10000,$K945* 8000), 0)</f>
        <v>0</v>
      </c>
      <c r="M945" s="53" t="s">
        <v>146</v>
      </c>
    </row>
    <row r="946" spans="1:13" ht="12.75" customHeight="1" x14ac:dyDescent="0.3">
      <c r="A946" s="143" t="s">
        <v>51</v>
      </c>
      <c r="B946" s="139" t="str">
        <f>IFERROR(VLOOKUP($A946, NameDesignation[], 2,FALSE), " ")</f>
        <v>Former Director</v>
      </c>
      <c r="C946" s="139" t="s">
        <v>29</v>
      </c>
      <c r="D946" s="139">
        <v>473</v>
      </c>
      <c r="E946" s="140">
        <v>44770</v>
      </c>
      <c r="F946" s="139" t="str">
        <f t="shared" si="42"/>
        <v>Q3-22</v>
      </c>
      <c r="G946" s="140" t="str">
        <f t="shared" si="43"/>
        <v>Jul'22</v>
      </c>
      <c r="H946" s="140" t="str">
        <f>TEXT(RawData[[#This Row],[Date]], "YYYY")</f>
        <v>2022</v>
      </c>
      <c r="I946" s="141" t="s">
        <v>32</v>
      </c>
      <c r="J946" s="141" t="s">
        <v>90</v>
      </c>
      <c r="K946" s="139">
        <f t="shared" si="44"/>
        <v>1</v>
      </c>
      <c r="L946" s="142">
        <f>IF(RawData[[#This Row],[Paid/Unpaid]]="Paid", IF(VALUE($E946)&gt;VALUE($D$3),$K946* 10000,$K946* 8000), 0)</f>
        <v>8000</v>
      </c>
      <c r="M946" s="53" t="s">
        <v>146</v>
      </c>
    </row>
    <row r="947" spans="1:13" ht="12.75" customHeight="1" x14ac:dyDescent="0.3">
      <c r="A947" s="143" t="s">
        <v>18</v>
      </c>
      <c r="B947" s="139" t="str">
        <f>IFERROR(VLOOKUP($A947, NameDesignation[], 2,FALSE), " ")</f>
        <v>Former Independent Director</v>
      </c>
      <c r="C947" s="139" t="s">
        <v>29</v>
      </c>
      <c r="D947" s="139">
        <v>473</v>
      </c>
      <c r="E947" s="140">
        <v>44770</v>
      </c>
      <c r="F947" s="139" t="str">
        <f t="shared" si="42"/>
        <v>Q3-22</v>
      </c>
      <c r="G947" s="140" t="str">
        <f t="shared" si="43"/>
        <v>Jul'22</v>
      </c>
      <c r="H947" s="140" t="str">
        <f>TEXT(RawData[[#This Row],[Date]], "YYYY")</f>
        <v>2022</v>
      </c>
      <c r="I947" s="141" t="s">
        <v>32</v>
      </c>
      <c r="J947" s="141" t="s">
        <v>90</v>
      </c>
      <c r="K947" s="139">
        <f t="shared" si="44"/>
        <v>1</v>
      </c>
      <c r="L947" s="142">
        <f>IF(RawData[[#This Row],[Paid/Unpaid]]="Paid", IF(VALUE($E947)&gt;VALUE($D$3),$K947* 10000,$K947* 8000), 0)</f>
        <v>8000</v>
      </c>
      <c r="M947" s="53" t="s">
        <v>146</v>
      </c>
    </row>
    <row r="948" spans="1:13" ht="12.75" customHeight="1" x14ac:dyDescent="0.3">
      <c r="A948" s="143" t="s">
        <v>7</v>
      </c>
      <c r="B948" s="139" t="str">
        <f>IFERROR(VLOOKUP($A948, NameDesignation[], 2,FALSE), " ")</f>
        <v>Former Director</v>
      </c>
      <c r="C948" s="139" t="s">
        <v>29</v>
      </c>
      <c r="D948" s="139">
        <v>474</v>
      </c>
      <c r="E948" s="140">
        <v>44770</v>
      </c>
      <c r="F948" s="139" t="str">
        <f t="shared" si="42"/>
        <v>Q3-22</v>
      </c>
      <c r="G948" s="140" t="str">
        <f t="shared" si="43"/>
        <v>Jul'22</v>
      </c>
      <c r="H948" s="140" t="str">
        <f>TEXT(RawData[[#This Row],[Date]], "YYYY")</f>
        <v>2022</v>
      </c>
      <c r="I948" s="141" t="s">
        <v>32</v>
      </c>
      <c r="J948" s="141" t="s">
        <v>90</v>
      </c>
      <c r="K948" s="139">
        <f t="shared" si="44"/>
        <v>1</v>
      </c>
      <c r="L948" s="142">
        <f>IF(RawData[[#This Row],[Paid/Unpaid]]="Paid", IF(VALUE($E948)&gt;VALUE($D$3),$K948* 10000,$K948* 8000), 0)</f>
        <v>8000</v>
      </c>
      <c r="M948" s="53" t="s">
        <v>146</v>
      </c>
    </row>
    <row r="949" spans="1:13" ht="12.75" customHeight="1" x14ac:dyDescent="0.3">
      <c r="A949" s="143" t="s">
        <v>8</v>
      </c>
      <c r="B949" s="139" t="str">
        <f>IFERROR(VLOOKUP($A949, NameDesignation[], 2,FALSE), " ")</f>
        <v>Former Vice-Chairman</v>
      </c>
      <c r="C949" s="139" t="s">
        <v>29</v>
      </c>
      <c r="D949" s="139">
        <v>474</v>
      </c>
      <c r="E949" s="140">
        <v>44770</v>
      </c>
      <c r="F949" s="139" t="str">
        <f t="shared" si="42"/>
        <v>Q3-22</v>
      </c>
      <c r="G949" s="140" t="str">
        <f t="shared" si="43"/>
        <v>Jul'22</v>
      </c>
      <c r="H949" s="140" t="str">
        <f>TEXT(RawData[[#This Row],[Date]], "YYYY")</f>
        <v>2022</v>
      </c>
      <c r="I949" s="141" t="s">
        <v>32</v>
      </c>
      <c r="J949" s="141" t="s">
        <v>90</v>
      </c>
      <c r="K949" s="139">
        <f t="shared" si="44"/>
        <v>1</v>
      </c>
      <c r="L949" s="142">
        <f>IF(RawData[[#This Row],[Paid/Unpaid]]="Paid", IF(VALUE($E949)&gt;VALUE($D$3),$K949* 10000,$K949* 8000), 0)</f>
        <v>8000</v>
      </c>
      <c r="M949" s="53" t="s">
        <v>146</v>
      </c>
    </row>
    <row r="950" spans="1:13" ht="12.75" customHeight="1" x14ac:dyDescent="0.3">
      <c r="A950" s="143" t="s">
        <v>9</v>
      </c>
      <c r="B950" s="139" t="str">
        <f>IFERROR(VLOOKUP($A950, NameDesignation[], 2,FALSE), " ")</f>
        <v>Former Director</v>
      </c>
      <c r="C950" s="139" t="s">
        <v>29</v>
      </c>
      <c r="D950" s="139">
        <v>474</v>
      </c>
      <c r="E950" s="140">
        <v>44770</v>
      </c>
      <c r="F950" s="139" t="str">
        <f t="shared" si="42"/>
        <v>Q3-22</v>
      </c>
      <c r="G950" s="140" t="str">
        <f t="shared" si="43"/>
        <v>Jul'22</v>
      </c>
      <c r="H950" s="140" t="str">
        <f>TEXT(RawData[[#This Row],[Date]], "YYYY")</f>
        <v>2022</v>
      </c>
      <c r="I950" s="141" t="s">
        <v>32</v>
      </c>
      <c r="J950" s="141" t="s">
        <v>90</v>
      </c>
      <c r="K950" s="139">
        <f t="shared" si="44"/>
        <v>1</v>
      </c>
      <c r="L950" s="142">
        <f>IF(RawData[[#This Row],[Paid/Unpaid]]="Paid", IF(VALUE($E950)&gt;VALUE($D$3),$K950* 10000,$K950* 8000), 0)</f>
        <v>8000</v>
      </c>
      <c r="M950" s="53" t="s">
        <v>146</v>
      </c>
    </row>
    <row r="951" spans="1:13" ht="12.75" customHeight="1" x14ac:dyDescent="0.3">
      <c r="A951" s="143" t="s">
        <v>20</v>
      </c>
      <c r="B951" s="139" t="str">
        <f>IFERROR(VLOOKUP($A951, NameDesignation[], 2,FALSE), " ")</f>
        <v>Former Independent Director</v>
      </c>
      <c r="C951" s="139" t="s">
        <v>29</v>
      </c>
      <c r="D951" s="139">
        <v>474</v>
      </c>
      <c r="E951" s="140">
        <v>44770</v>
      </c>
      <c r="F951" s="139" t="str">
        <f t="shared" si="42"/>
        <v>Q3-22</v>
      </c>
      <c r="G951" s="140" t="str">
        <f t="shared" si="43"/>
        <v>Jul'22</v>
      </c>
      <c r="H951" s="140" t="str">
        <f>TEXT(RawData[[#This Row],[Date]], "YYYY")</f>
        <v>2022</v>
      </c>
      <c r="I951" s="141" t="s">
        <v>32</v>
      </c>
      <c r="J951" s="141" t="s">
        <v>90</v>
      </c>
      <c r="K951" s="139">
        <f t="shared" si="44"/>
        <v>1</v>
      </c>
      <c r="L951" s="142">
        <f>IF(RawData[[#This Row],[Paid/Unpaid]]="Paid", IF(VALUE($E951)&gt;VALUE($D$3),$K951* 10000,$K951* 8000), 0)</f>
        <v>8000</v>
      </c>
      <c r="M951" s="53" t="s">
        <v>146</v>
      </c>
    </row>
    <row r="952" spans="1:13" ht="12.75" customHeight="1" x14ac:dyDescent="0.3">
      <c r="A952" s="143" t="s">
        <v>49</v>
      </c>
      <c r="B952" s="139" t="str">
        <f>IFERROR(VLOOKUP($A952, NameDesignation[], 2,FALSE), " ")</f>
        <v>Former Director</v>
      </c>
      <c r="C952" s="139" t="s">
        <v>29</v>
      </c>
      <c r="D952" s="139">
        <v>474</v>
      </c>
      <c r="E952" s="140">
        <v>44770</v>
      </c>
      <c r="F952" s="139" t="str">
        <f t="shared" si="42"/>
        <v>Q3-22</v>
      </c>
      <c r="G952" s="140" t="str">
        <f t="shared" si="43"/>
        <v>Jul'22</v>
      </c>
      <c r="H952" s="140" t="str">
        <f>TEXT(RawData[[#This Row],[Date]], "YYYY")</f>
        <v>2022</v>
      </c>
      <c r="I952" s="141" t="s">
        <v>32</v>
      </c>
      <c r="J952" s="141" t="s">
        <v>90</v>
      </c>
      <c r="K952" s="139">
        <f t="shared" si="44"/>
        <v>1</v>
      </c>
      <c r="L952" s="142">
        <f>IF(RawData[[#This Row],[Paid/Unpaid]]="Paid", IF(VALUE($E952)&gt;VALUE($D$3),$K952* 10000,$K952* 8000), 0)</f>
        <v>8000</v>
      </c>
      <c r="M952" s="53" t="s">
        <v>146</v>
      </c>
    </row>
    <row r="953" spans="1:13" ht="12.75" customHeight="1" x14ac:dyDescent="0.3">
      <c r="A953" s="143" t="s">
        <v>11</v>
      </c>
      <c r="B953" s="139" t="str">
        <f>IFERROR(VLOOKUP($A953, NameDesignation[], 2,FALSE), " ")</f>
        <v>Former Director</v>
      </c>
      <c r="C953" s="139" t="s">
        <v>29</v>
      </c>
      <c r="D953" s="139">
        <v>474</v>
      </c>
      <c r="E953" s="140">
        <v>44770</v>
      </c>
      <c r="F953" s="139" t="str">
        <f t="shared" si="42"/>
        <v>Q3-22</v>
      </c>
      <c r="G953" s="140" t="str">
        <f t="shared" si="43"/>
        <v>Jul'22</v>
      </c>
      <c r="H953" s="140" t="str">
        <f>TEXT(RawData[[#This Row],[Date]], "YYYY")</f>
        <v>2022</v>
      </c>
      <c r="I953" s="141" t="s">
        <v>32</v>
      </c>
      <c r="J953" s="141" t="s">
        <v>90</v>
      </c>
      <c r="K953" s="139">
        <f t="shared" si="44"/>
        <v>1</v>
      </c>
      <c r="L953" s="142">
        <f>IF(RawData[[#This Row],[Paid/Unpaid]]="Paid", IF(VALUE($E953)&gt;VALUE($D$3),$K953* 10000,$K953* 8000), 0)</f>
        <v>8000</v>
      </c>
      <c r="M953" s="53" t="s">
        <v>146</v>
      </c>
    </row>
    <row r="954" spans="1:13" ht="12.75" customHeight="1" x14ac:dyDescent="0.3">
      <c r="A954" s="143" t="s">
        <v>12</v>
      </c>
      <c r="B954" s="139" t="str">
        <f>IFERROR(VLOOKUP($A954, NameDesignation[], 2,FALSE), " ")</f>
        <v>Former Director</v>
      </c>
      <c r="C954" s="139" t="s">
        <v>29</v>
      </c>
      <c r="D954" s="139">
        <v>474</v>
      </c>
      <c r="E954" s="140">
        <v>44770</v>
      </c>
      <c r="F954" s="139" t="str">
        <f t="shared" si="42"/>
        <v>Q3-22</v>
      </c>
      <c r="G954" s="140" t="str">
        <f t="shared" si="43"/>
        <v>Jul'22</v>
      </c>
      <c r="H954" s="140" t="str">
        <f>TEXT(RawData[[#This Row],[Date]], "YYYY")</f>
        <v>2022</v>
      </c>
      <c r="I954" s="141" t="s">
        <v>32</v>
      </c>
      <c r="J954" s="141" t="s">
        <v>90</v>
      </c>
      <c r="K954" s="139">
        <f t="shared" si="44"/>
        <v>1</v>
      </c>
      <c r="L954" s="142">
        <f>IF(RawData[[#This Row],[Paid/Unpaid]]="Paid", IF(VALUE($E954)&gt;VALUE($D$3),$K954* 10000,$K954* 8000), 0)</f>
        <v>8000</v>
      </c>
      <c r="M954" s="53" t="s">
        <v>146</v>
      </c>
    </row>
    <row r="955" spans="1:13" ht="12.75" customHeight="1" x14ac:dyDescent="0.3">
      <c r="A955" s="143" t="s">
        <v>137</v>
      </c>
      <c r="B955" s="139" t="str">
        <f>IFERROR(VLOOKUP($A955, NameDesignation[], 2,FALSE), " ")</f>
        <v>Former Director</v>
      </c>
      <c r="C955" s="139" t="s">
        <v>29</v>
      </c>
      <c r="D955" s="139">
        <v>474</v>
      </c>
      <c r="E955" s="140">
        <v>44770</v>
      </c>
      <c r="F955" s="139" t="str">
        <f t="shared" si="42"/>
        <v>Q3-22</v>
      </c>
      <c r="G955" s="140" t="str">
        <f t="shared" si="43"/>
        <v>Jul'22</v>
      </c>
      <c r="H955" s="140" t="str">
        <f>TEXT(RawData[[#This Row],[Date]], "YYYY")</f>
        <v>2022</v>
      </c>
      <c r="I955" s="141" t="s">
        <v>32</v>
      </c>
      <c r="J955" s="141" t="s">
        <v>90</v>
      </c>
      <c r="K955" s="139">
        <f t="shared" si="44"/>
        <v>1</v>
      </c>
      <c r="L955" s="142">
        <f>IF(RawData[[#This Row],[Paid/Unpaid]]="Paid", IF(VALUE($E955)&gt;VALUE($D$3),$K955* 10000,$K955* 8000), 0)</f>
        <v>8000</v>
      </c>
      <c r="M955" s="53" t="s">
        <v>146</v>
      </c>
    </row>
    <row r="956" spans="1:13" ht="12.75" customHeight="1" x14ac:dyDescent="0.3">
      <c r="A956" s="143" t="s">
        <v>13</v>
      </c>
      <c r="B956" s="139" t="str">
        <f>IFERROR(VLOOKUP($A956, NameDesignation[], 2,FALSE), " ")</f>
        <v>Former Director</v>
      </c>
      <c r="C956" s="139" t="s">
        <v>29</v>
      </c>
      <c r="D956" s="139">
        <v>474</v>
      </c>
      <c r="E956" s="140">
        <v>44770</v>
      </c>
      <c r="F956" s="139" t="str">
        <f t="shared" si="42"/>
        <v>Q3-22</v>
      </c>
      <c r="G956" s="140" t="str">
        <f t="shared" si="43"/>
        <v>Jul'22</v>
      </c>
      <c r="H956" s="140" t="str">
        <f>TEXT(RawData[[#This Row],[Date]], "YYYY")</f>
        <v>2022</v>
      </c>
      <c r="I956" s="141" t="s">
        <v>32</v>
      </c>
      <c r="J956" s="141" t="s">
        <v>90</v>
      </c>
      <c r="K956" s="139">
        <f t="shared" si="44"/>
        <v>1</v>
      </c>
      <c r="L956" s="142">
        <f>IF(RawData[[#This Row],[Paid/Unpaid]]="Paid", IF(VALUE($E956)&gt;VALUE($D$3),$K956* 10000,$K956* 8000), 0)</f>
        <v>8000</v>
      </c>
      <c r="M956" s="53" t="s">
        <v>146</v>
      </c>
    </row>
    <row r="957" spans="1:13" ht="12.75" customHeight="1" x14ac:dyDescent="0.3">
      <c r="A957" s="143" t="s">
        <v>61</v>
      </c>
      <c r="B957" s="139" t="str">
        <f>IFERROR(VLOOKUP($A957, NameDesignation[], 2,FALSE), " ")</f>
        <v>Former Director</v>
      </c>
      <c r="C957" s="139" t="s">
        <v>29</v>
      </c>
      <c r="D957" s="139">
        <v>474</v>
      </c>
      <c r="E957" s="140">
        <v>44770</v>
      </c>
      <c r="F957" s="139" t="str">
        <f t="shared" si="42"/>
        <v>Q3-22</v>
      </c>
      <c r="G957" s="140" t="str">
        <f t="shared" si="43"/>
        <v>Jul'22</v>
      </c>
      <c r="H957" s="140" t="str">
        <f>TEXT(RawData[[#This Row],[Date]], "YYYY")</f>
        <v>2022</v>
      </c>
      <c r="I957" s="141" t="s">
        <v>32</v>
      </c>
      <c r="J957" s="141" t="s">
        <v>90</v>
      </c>
      <c r="K957" s="139">
        <f t="shared" si="44"/>
        <v>1</v>
      </c>
      <c r="L957" s="142">
        <f>IF(RawData[[#This Row],[Paid/Unpaid]]="Paid", IF(VALUE($E957)&gt;VALUE($D$3),$K957* 10000,$K957* 8000), 0)</f>
        <v>8000</v>
      </c>
      <c r="M957" s="53" t="s">
        <v>146</v>
      </c>
    </row>
    <row r="958" spans="1:13" ht="12.75" customHeight="1" x14ac:dyDescent="0.3">
      <c r="A958" s="143" t="s">
        <v>23</v>
      </c>
      <c r="B958" s="139" t="str">
        <f>IFERROR(VLOOKUP($A958, NameDesignation[], 2,FALSE), " ")</f>
        <v>Former Director</v>
      </c>
      <c r="C958" s="139" t="s">
        <v>29</v>
      </c>
      <c r="D958" s="139">
        <v>474</v>
      </c>
      <c r="E958" s="140">
        <v>44770</v>
      </c>
      <c r="F958" s="139" t="str">
        <f t="shared" si="42"/>
        <v>Q3-22</v>
      </c>
      <c r="G958" s="140" t="str">
        <f t="shared" si="43"/>
        <v>Jul'22</v>
      </c>
      <c r="H958" s="140" t="str">
        <f>TEXT(RawData[[#This Row],[Date]], "YYYY")</f>
        <v>2022</v>
      </c>
      <c r="I958" s="141" t="s">
        <v>32</v>
      </c>
      <c r="J958" s="141" t="s">
        <v>90</v>
      </c>
      <c r="K958" s="139">
        <f t="shared" si="44"/>
        <v>1</v>
      </c>
      <c r="L958" s="142">
        <f>IF(RawData[[#This Row],[Paid/Unpaid]]="Paid", IF(VALUE($E958)&gt;VALUE($D$3),$K958* 10000,$K958* 8000), 0)</f>
        <v>8000</v>
      </c>
      <c r="M958" s="53" t="s">
        <v>146</v>
      </c>
    </row>
    <row r="959" spans="1:13" ht="12.75" customHeight="1" x14ac:dyDescent="0.3">
      <c r="A959" s="143" t="s">
        <v>24</v>
      </c>
      <c r="B959" s="139" t="str">
        <f>IFERROR(VLOOKUP($A959, NameDesignation[], 2,FALSE), " ")</f>
        <v>Former Director</v>
      </c>
      <c r="C959" s="139" t="s">
        <v>29</v>
      </c>
      <c r="D959" s="139">
        <v>474</v>
      </c>
      <c r="E959" s="140">
        <v>44770</v>
      </c>
      <c r="F959" s="139" t="str">
        <f t="shared" si="42"/>
        <v>Q3-22</v>
      </c>
      <c r="G959" s="140" t="str">
        <f t="shared" si="43"/>
        <v>Jul'22</v>
      </c>
      <c r="H959" s="140" t="str">
        <f>TEXT(RawData[[#This Row],[Date]], "YYYY")</f>
        <v>2022</v>
      </c>
      <c r="I959" s="141" t="s">
        <v>32</v>
      </c>
      <c r="J959" s="141" t="s">
        <v>90</v>
      </c>
      <c r="K959" s="139">
        <f t="shared" si="44"/>
        <v>1</v>
      </c>
      <c r="L959" s="142">
        <f>IF(RawData[[#This Row],[Paid/Unpaid]]="Paid", IF(VALUE($E959)&gt;VALUE($D$3),$K959* 10000,$K959* 8000), 0)</f>
        <v>8000</v>
      </c>
      <c r="M959" s="53" t="s">
        <v>146</v>
      </c>
    </row>
    <row r="960" spans="1:13" ht="12.75" customHeight="1" x14ac:dyDescent="0.3">
      <c r="A960" s="143" t="s">
        <v>15</v>
      </c>
      <c r="B960" s="139" t="str">
        <f>IFERROR(VLOOKUP($A960, NameDesignation[], 2,FALSE), " ")</f>
        <v>Former Director</v>
      </c>
      <c r="C960" s="139" t="s">
        <v>29</v>
      </c>
      <c r="D960" s="139">
        <v>474</v>
      </c>
      <c r="E960" s="140">
        <v>44770</v>
      </c>
      <c r="F960" s="139" t="str">
        <f t="shared" si="42"/>
        <v>Q3-22</v>
      </c>
      <c r="G960" s="140" t="str">
        <f t="shared" si="43"/>
        <v>Jul'22</v>
      </c>
      <c r="H960" s="140" t="str">
        <f>TEXT(RawData[[#This Row],[Date]], "YYYY")</f>
        <v>2022</v>
      </c>
      <c r="I960" s="141" t="s">
        <v>32</v>
      </c>
      <c r="J960" s="141" t="s">
        <v>90</v>
      </c>
      <c r="K960" s="139">
        <f t="shared" si="44"/>
        <v>1</v>
      </c>
      <c r="L960" s="142">
        <f>IF(RawData[[#This Row],[Paid/Unpaid]]="Paid", IF(VALUE($E960)&gt;VALUE($D$3),$K960* 10000,$K960* 8000), 0)</f>
        <v>8000</v>
      </c>
      <c r="M960" s="53" t="s">
        <v>146</v>
      </c>
    </row>
    <row r="961" spans="1:13" ht="12.75" customHeight="1" x14ac:dyDescent="0.3">
      <c r="A961" s="143" t="s">
        <v>16</v>
      </c>
      <c r="B961" s="139" t="str">
        <f>IFERROR(VLOOKUP($A961, NameDesignation[], 2,FALSE), " ")</f>
        <v>Former Director</v>
      </c>
      <c r="C961" s="139" t="s">
        <v>29</v>
      </c>
      <c r="D961" s="139">
        <v>474</v>
      </c>
      <c r="E961" s="140">
        <v>44770</v>
      </c>
      <c r="F961" s="139" t="str">
        <f t="shared" si="42"/>
        <v>Q3-22</v>
      </c>
      <c r="G961" s="140" t="str">
        <f t="shared" si="43"/>
        <v>Jul'22</v>
      </c>
      <c r="H961" s="140" t="str">
        <f>TEXT(RawData[[#This Row],[Date]], "YYYY")</f>
        <v>2022</v>
      </c>
      <c r="I961" s="141" t="s">
        <v>32</v>
      </c>
      <c r="J961" s="141" t="s">
        <v>90</v>
      </c>
      <c r="K961" s="139">
        <f t="shared" si="44"/>
        <v>1</v>
      </c>
      <c r="L961" s="142">
        <f>IF(RawData[[#This Row],[Paid/Unpaid]]="Paid", IF(VALUE($E961)&gt;VALUE($D$3),$K961* 10000,$K961* 8000), 0)</f>
        <v>8000</v>
      </c>
      <c r="M961" s="53" t="s">
        <v>146</v>
      </c>
    </row>
    <row r="962" spans="1:13" ht="12.75" customHeight="1" x14ac:dyDescent="0.3">
      <c r="A962" s="143" t="s">
        <v>21</v>
      </c>
      <c r="B962" s="139" t="str">
        <f>IFERROR(VLOOKUP($A962, NameDesignation[], 2,FALSE), " ")</f>
        <v>Former Independent Director</v>
      </c>
      <c r="C962" s="139" t="s">
        <v>29</v>
      </c>
      <c r="D962" s="139">
        <v>474</v>
      </c>
      <c r="E962" s="140">
        <v>44770</v>
      </c>
      <c r="F962" s="139" t="str">
        <f t="shared" si="42"/>
        <v>Q3-22</v>
      </c>
      <c r="G962" s="140" t="str">
        <f t="shared" si="43"/>
        <v>Jul'22</v>
      </c>
      <c r="H962" s="140" t="str">
        <f>TEXT(RawData[[#This Row],[Date]], "YYYY")</f>
        <v>2022</v>
      </c>
      <c r="I962" s="141" t="s">
        <v>32</v>
      </c>
      <c r="J962" s="141" t="s">
        <v>90</v>
      </c>
      <c r="K962" s="139">
        <f t="shared" si="44"/>
        <v>1</v>
      </c>
      <c r="L962" s="142">
        <f>IF(RawData[[#This Row],[Paid/Unpaid]]="Paid", IF(VALUE($E962)&gt;VALUE($D$3),$K962* 10000,$K962* 8000), 0)</f>
        <v>8000</v>
      </c>
      <c r="M962" s="53" t="s">
        <v>146</v>
      </c>
    </row>
    <row r="963" spans="1:13" ht="12.75" customHeight="1" x14ac:dyDescent="0.3">
      <c r="A963" s="143" t="s">
        <v>25</v>
      </c>
      <c r="B963" s="139" t="str">
        <f>IFERROR(VLOOKUP($A963, NameDesignation[], 2,FALSE), " ")</f>
        <v>Former Director</v>
      </c>
      <c r="C963" s="139" t="s">
        <v>29</v>
      </c>
      <c r="D963" s="139">
        <v>474</v>
      </c>
      <c r="E963" s="140">
        <v>44770</v>
      </c>
      <c r="F963" s="139" t="str">
        <f t="shared" si="42"/>
        <v>Q3-22</v>
      </c>
      <c r="G963" s="140" t="str">
        <f t="shared" si="43"/>
        <v>Jul'22</v>
      </c>
      <c r="H963" s="140" t="str">
        <f>TEXT(RawData[[#This Row],[Date]], "YYYY")</f>
        <v>2022</v>
      </c>
      <c r="I963" s="141" t="s">
        <v>32</v>
      </c>
      <c r="J963" s="141" t="s">
        <v>90</v>
      </c>
      <c r="K963" s="139">
        <f t="shared" si="44"/>
        <v>1</v>
      </c>
      <c r="L963" s="142">
        <f>IF(RawData[[#This Row],[Paid/Unpaid]]="Paid", IF(VALUE($E963)&gt;VALUE($D$3),$K963* 10000,$K963* 8000), 0)</f>
        <v>8000</v>
      </c>
      <c r="M963" s="53" t="s">
        <v>146</v>
      </c>
    </row>
    <row r="964" spans="1:13" ht="12.75" customHeight="1" x14ac:dyDescent="0.3">
      <c r="A964" s="143" t="s">
        <v>50</v>
      </c>
      <c r="B964" s="139" t="str">
        <f>IFERROR(VLOOKUP($A964, NameDesignation[], 2,FALSE), " ")</f>
        <v>Former Director</v>
      </c>
      <c r="C964" s="139" t="s">
        <v>29</v>
      </c>
      <c r="D964" s="139">
        <v>474</v>
      </c>
      <c r="E964" s="140">
        <v>44770</v>
      </c>
      <c r="F964" s="139" t="str">
        <f t="shared" si="42"/>
        <v>Q3-22</v>
      </c>
      <c r="G964" s="140" t="str">
        <f t="shared" si="43"/>
        <v>Jul'22</v>
      </c>
      <c r="H964" s="140" t="str">
        <f>TEXT(RawData[[#This Row],[Date]], "YYYY")</f>
        <v>2022</v>
      </c>
      <c r="I964" s="141" t="s">
        <v>32</v>
      </c>
      <c r="J964" s="141" t="s">
        <v>90</v>
      </c>
      <c r="K964" s="139">
        <f t="shared" si="44"/>
        <v>1</v>
      </c>
      <c r="L964" s="142">
        <f>IF(RawData[[#This Row],[Paid/Unpaid]]="Paid", IF(VALUE($E964)&gt;VALUE($D$3),$K964* 10000,$K964* 8000), 0)</f>
        <v>8000</v>
      </c>
      <c r="M964" s="53" t="s">
        <v>146</v>
      </c>
    </row>
    <row r="965" spans="1:13" ht="12.75" customHeight="1" x14ac:dyDescent="0.3">
      <c r="A965" s="143" t="s">
        <v>51</v>
      </c>
      <c r="B965" s="139" t="str">
        <f>IFERROR(VLOOKUP($A965, NameDesignation[], 2,FALSE), " ")</f>
        <v>Former Director</v>
      </c>
      <c r="C965" s="139" t="s">
        <v>29</v>
      </c>
      <c r="D965" s="139">
        <v>474</v>
      </c>
      <c r="E965" s="140">
        <v>44770</v>
      </c>
      <c r="F965" s="139" t="str">
        <f t="shared" si="42"/>
        <v>Q3-22</v>
      </c>
      <c r="G965" s="140" t="str">
        <f t="shared" si="43"/>
        <v>Jul'22</v>
      </c>
      <c r="H965" s="140" t="str">
        <f>TEXT(RawData[[#This Row],[Date]], "YYYY")</f>
        <v>2022</v>
      </c>
      <c r="I965" s="141" t="s">
        <v>32</v>
      </c>
      <c r="J965" s="141" t="s">
        <v>90</v>
      </c>
      <c r="K965" s="139">
        <f t="shared" si="44"/>
        <v>1</v>
      </c>
      <c r="L965" s="142">
        <f>IF(RawData[[#This Row],[Paid/Unpaid]]="Paid", IF(VALUE($E965)&gt;VALUE($D$3),$K965* 10000,$K965* 8000), 0)</f>
        <v>8000</v>
      </c>
      <c r="M965" s="53" t="s">
        <v>146</v>
      </c>
    </row>
    <row r="966" spans="1:13" ht="12.75" customHeight="1" x14ac:dyDescent="0.3">
      <c r="A966" s="143" t="s">
        <v>18</v>
      </c>
      <c r="B966" s="139" t="str">
        <f>IFERROR(VLOOKUP($A966, NameDesignation[], 2,FALSE), " ")</f>
        <v>Former Independent Director</v>
      </c>
      <c r="C966" s="139" t="s">
        <v>29</v>
      </c>
      <c r="D966" s="139">
        <v>474</v>
      </c>
      <c r="E966" s="140">
        <v>44770</v>
      </c>
      <c r="F966" s="139" t="str">
        <f t="shared" ref="F966:F1029" si="45">CONCATENATE("Q", ROUNDUP(MONTH($E966)/3,0),"-",TEXT($E966, "yy"))</f>
        <v>Q3-22</v>
      </c>
      <c r="G966" s="140" t="str">
        <f t="shared" ref="G966:G1029" si="46">CONCATENATE(TEXT($E966, "mmm"),"'", TEXT($E966, "yy"))</f>
        <v>Jul'22</v>
      </c>
      <c r="H966" s="140" t="str">
        <f>TEXT(RawData[[#This Row],[Date]], "YYYY")</f>
        <v>2022</v>
      </c>
      <c r="I966" s="141" t="s">
        <v>32</v>
      </c>
      <c r="J966" s="141" t="s">
        <v>90</v>
      </c>
      <c r="K966" s="139">
        <f t="shared" ref="K966:K1029" si="47">IF($J966="Present", 1, 0)</f>
        <v>1</v>
      </c>
      <c r="L966" s="142">
        <f>IF(RawData[[#This Row],[Paid/Unpaid]]="Paid", IF(VALUE($E966)&gt;VALUE($D$3),$K966* 10000,$K966* 8000), 0)</f>
        <v>8000</v>
      </c>
      <c r="M966" s="53" t="s">
        <v>146</v>
      </c>
    </row>
    <row r="967" spans="1:13" ht="12.75" customHeight="1" x14ac:dyDescent="0.3">
      <c r="A967" s="143" t="s">
        <v>34</v>
      </c>
      <c r="B967" s="139" t="str">
        <f>IFERROR(VLOOKUP($A967, NameDesignation[], 2,FALSE), " ")</f>
        <v>Former Managing Director &amp; CEO</v>
      </c>
      <c r="C967" s="139" t="s">
        <v>29</v>
      </c>
      <c r="D967" s="139">
        <v>473</v>
      </c>
      <c r="E967" s="140">
        <v>44770</v>
      </c>
      <c r="F967" s="139" t="str">
        <f t="shared" si="45"/>
        <v>Q3-22</v>
      </c>
      <c r="G967" s="140" t="str">
        <f t="shared" si="46"/>
        <v>Jul'22</v>
      </c>
      <c r="H967" s="140" t="str">
        <f>TEXT(RawData[[#This Row],[Date]], "YYYY")</f>
        <v>2022</v>
      </c>
      <c r="I967" s="141" t="s">
        <v>32</v>
      </c>
      <c r="J967" s="141" t="s">
        <v>90</v>
      </c>
      <c r="K967" s="139">
        <f t="shared" si="47"/>
        <v>1</v>
      </c>
      <c r="L967" s="142">
        <f>IF(RawData[[#This Row],[Paid/Unpaid]]="Paid", IF(VALUE($E967)&gt;VALUE($D$3),$K967* 10000,$K967* 8000), 0)</f>
        <v>8000</v>
      </c>
      <c r="M967" s="53" t="s">
        <v>146</v>
      </c>
    </row>
    <row r="968" spans="1:13" ht="12.75" customHeight="1" x14ac:dyDescent="0.3">
      <c r="A968" s="143" t="s">
        <v>34</v>
      </c>
      <c r="B968" s="139" t="str">
        <f>IFERROR(VLOOKUP($A968, NameDesignation[], 2,FALSE), " ")</f>
        <v>Former Managing Director &amp; CEO</v>
      </c>
      <c r="C968" s="139" t="s">
        <v>29</v>
      </c>
      <c r="D968" s="139">
        <v>474</v>
      </c>
      <c r="E968" s="140">
        <v>44770</v>
      </c>
      <c r="F968" s="139" t="str">
        <f t="shared" si="45"/>
        <v>Q3-22</v>
      </c>
      <c r="G968" s="140" t="str">
        <f t="shared" si="46"/>
        <v>Jul'22</v>
      </c>
      <c r="H968" s="140" t="str">
        <f>TEXT(RawData[[#This Row],[Date]], "YYYY")</f>
        <v>2022</v>
      </c>
      <c r="I968" s="141" t="s">
        <v>32</v>
      </c>
      <c r="J968" s="141" t="s">
        <v>90</v>
      </c>
      <c r="K968" s="139">
        <f t="shared" si="47"/>
        <v>1</v>
      </c>
      <c r="L968" s="142">
        <f>IF(RawData[[#This Row],[Paid/Unpaid]]="Paid", IF(VALUE($E968)&gt;VALUE($D$3),$K968* 10000,$K968* 8000), 0)</f>
        <v>8000</v>
      </c>
      <c r="M968" s="53" t="s">
        <v>146</v>
      </c>
    </row>
    <row r="969" spans="1:13" ht="12.75" customHeight="1" x14ac:dyDescent="0.3">
      <c r="A969" s="143" t="s">
        <v>18</v>
      </c>
      <c r="B969" s="139" t="str">
        <f>IFERROR(VLOOKUP($A969, NameDesignation[], 2,FALSE), " ")</f>
        <v>Former Independent Director</v>
      </c>
      <c r="C969" s="139" t="s">
        <v>37</v>
      </c>
      <c r="D969" s="139">
        <v>125</v>
      </c>
      <c r="E969" s="140">
        <v>44770</v>
      </c>
      <c r="F969" s="139" t="str">
        <f t="shared" si="45"/>
        <v>Q3-22</v>
      </c>
      <c r="G969" s="140" t="str">
        <f t="shared" si="46"/>
        <v>Jul'22</v>
      </c>
      <c r="H969" s="140" t="str">
        <f>TEXT(RawData[[#This Row],[Date]], "YYYY")</f>
        <v>2022</v>
      </c>
      <c r="I969" s="141" t="s">
        <v>32</v>
      </c>
      <c r="J969" s="141" t="s">
        <v>90</v>
      </c>
      <c r="K969" s="139">
        <f t="shared" si="47"/>
        <v>1</v>
      </c>
      <c r="L969" s="142">
        <f>IF(RawData[[#This Row],[Paid/Unpaid]]="Paid", IF(VALUE($E969)&gt;VALUE($D$3),$K969* 10000,$K969* 8000), 0)</f>
        <v>8000</v>
      </c>
      <c r="M969" s="53" t="s">
        <v>146</v>
      </c>
    </row>
    <row r="970" spans="1:13" ht="12.75" customHeight="1" x14ac:dyDescent="0.3">
      <c r="A970" s="143" t="s">
        <v>23</v>
      </c>
      <c r="B970" s="139" t="str">
        <f>IFERROR(VLOOKUP($A970, NameDesignation[], 2,FALSE), " ")</f>
        <v>Former Director</v>
      </c>
      <c r="C970" s="139" t="s">
        <v>37</v>
      </c>
      <c r="D970" s="139">
        <v>125</v>
      </c>
      <c r="E970" s="140">
        <v>44770</v>
      </c>
      <c r="F970" s="139" t="str">
        <f t="shared" si="45"/>
        <v>Q3-22</v>
      </c>
      <c r="G970" s="140" t="str">
        <f t="shared" si="46"/>
        <v>Jul'22</v>
      </c>
      <c r="H970" s="140" t="str">
        <f>TEXT(RawData[[#This Row],[Date]], "YYYY")</f>
        <v>2022</v>
      </c>
      <c r="I970" s="141" t="s">
        <v>32</v>
      </c>
      <c r="J970" s="141" t="s">
        <v>90</v>
      </c>
      <c r="K970" s="139">
        <f t="shared" si="47"/>
        <v>1</v>
      </c>
      <c r="L970" s="142">
        <f>IF(RawData[[#This Row],[Paid/Unpaid]]="Paid", IF(VALUE($E970)&gt;VALUE($D$3),$K970* 10000,$K970* 8000), 0)</f>
        <v>8000</v>
      </c>
      <c r="M970" s="53" t="s">
        <v>146</v>
      </c>
    </row>
    <row r="971" spans="1:13" ht="12.75" customHeight="1" x14ac:dyDescent="0.3">
      <c r="A971" s="143" t="s">
        <v>24</v>
      </c>
      <c r="B971" s="139" t="str">
        <f>IFERROR(VLOOKUP($A971, NameDesignation[], 2,FALSE), " ")</f>
        <v>Former Director</v>
      </c>
      <c r="C971" s="139" t="s">
        <v>37</v>
      </c>
      <c r="D971" s="139">
        <v>125</v>
      </c>
      <c r="E971" s="140">
        <v>44770</v>
      </c>
      <c r="F971" s="139" t="str">
        <f t="shared" si="45"/>
        <v>Q3-22</v>
      </c>
      <c r="G971" s="140" t="str">
        <f t="shared" si="46"/>
        <v>Jul'22</v>
      </c>
      <c r="H971" s="140" t="str">
        <f>TEXT(RawData[[#This Row],[Date]], "YYYY")</f>
        <v>2022</v>
      </c>
      <c r="I971" s="141" t="s">
        <v>32</v>
      </c>
      <c r="J971" s="141" t="s">
        <v>90</v>
      </c>
      <c r="K971" s="139">
        <f t="shared" si="47"/>
        <v>1</v>
      </c>
      <c r="L971" s="142">
        <f>IF(RawData[[#This Row],[Paid/Unpaid]]="Paid", IF(VALUE($E971)&gt;VALUE($D$3),$K971* 10000,$K971* 8000), 0)</f>
        <v>8000</v>
      </c>
      <c r="M971" s="53" t="s">
        <v>146</v>
      </c>
    </row>
    <row r="972" spans="1:13" ht="12.75" customHeight="1" x14ac:dyDescent="0.3">
      <c r="A972" s="143" t="s">
        <v>21</v>
      </c>
      <c r="B972" s="139" t="str">
        <f>IFERROR(VLOOKUP($A972, NameDesignation[], 2,FALSE), " ")</f>
        <v>Former Independent Director</v>
      </c>
      <c r="C972" s="139" t="s">
        <v>37</v>
      </c>
      <c r="D972" s="139">
        <v>125</v>
      </c>
      <c r="E972" s="140">
        <v>44770</v>
      </c>
      <c r="F972" s="139" t="str">
        <f t="shared" si="45"/>
        <v>Q3-22</v>
      </c>
      <c r="G972" s="140" t="str">
        <f t="shared" si="46"/>
        <v>Jul'22</v>
      </c>
      <c r="H972" s="140" t="str">
        <f>TEXT(RawData[[#This Row],[Date]], "YYYY")</f>
        <v>2022</v>
      </c>
      <c r="I972" s="141" t="s">
        <v>32</v>
      </c>
      <c r="J972" s="141" t="s">
        <v>90</v>
      </c>
      <c r="K972" s="139">
        <f t="shared" si="47"/>
        <v>1</v>
      </c>
      <c r="L972" s="142">
        <f>IF(RawData[[#This Row],[Paid/Unpaid]]="Paid", IF(VALUE($E972)&gt;VALUE($D$3),$K972* 10000,$K972* 8000), 0)</f>
        <v>8000</v>
      </c>
      <c r="M972" s="53" t="s">
        <v>146</v>
      </c>
    </row>
    <row r="973" spans="1:13" ht="12.75" customHeight="1" x14ac:dyDescent="0.3">
      <c r="A973" s="143" t="s">
        <v>20</v>
      </c>
      <c r="B973" s="139" t="str">
        <f>IFERROR(VLOOKUP($A973, NameDesignation[], 2,FALSE), " ")</f>
        <v>Former Independent Director</v>
      </c>
      <c r="C973" s="139" t="s">
        <v>37</v>
      </c>
      <c r="D973" s="139">
        <v>125</v>
      </c>
      <c r="E973" s="140">
        <v>44770</v>
      </c>
      <c r="F973" s="139" t="str">
        <f t="shared" si="45"/>
        <v>Q3-22</v>
      </c>
      <c r="G973" s="140" t="str">
        <f t="shared" si="46"/>
        <v>Jul'22</v>
      </c>
      <c r="H973" s="140" t="str">
        <f>TEXT(RawData[[#This Row],[Date]], "YYYY")</f>
        <v>2022</v>
      </c>
      <c r="I973" s="141" t="s">
        <v>32</v>
      </c>
      <c r="J973" s="141" t="s">
        <v>90</v>
      </c>
      <c r="K973" s="139">
        <f t="shared" si="47"/>
        <v>1</v>
      </c>
      <c r="L973" s="142">
        <f>IF(RawData[[#This Row],[Paid/Unpaid]]="Paid", IF(VALUE($E973)&gt;VALUE($D$3),$K973* 10000,$K973* 8000), 0)</f>
        <v>8000</v>
      </c>
      <c r="M973" s="53" t="s">
        <v>146</v>
      </c>
    </row>
    <row r="974" spans="1:13" ht="12.75" customHeight="1" x14ac:dyDescent="0.3">
      <c r="A974" s="144" t="s">
        <v>9</v>
      </c>
      <c r="B974" s="139" t="str">
        <f>IFERROR(VLOOKUP($A974, NameDesignation[], 2,FALSE), " ")</f>
        <v>Former Director</v>
      </c>
      <c r="C974" s="139" t="s">
        <v>30</v>
      </c>
      <c r="D974" s="139">
        <v>452</v>
      </c>
      <c r="E974" s="140">
        <v>44773</v>
      </c>
      <c r="F974" s="139" t="str">
        <f t="shared" si="45"/>
        <v>Q3-22</v>
      </c>
      <c r="G974" s="140" t="str">
        <f t="shared" si="46"/>
        <v>Jul'22</v>
      </c>
      <c r="H974" s="140" t="str">
        <f>TEXT(RawData[[#This Row],[Date]], "YYYY")</f>
        <v>2022</v>
      </c>
      <c r="I974" s="141" t="s">
        <v>32</v>
      </c>
      <c r="J974" s="141" t="s">
        <v>90</v>
      </c>
      <c r="K974" s="139">
        <f t="shared" si="47"/>
        <v>1</v>
      </c>
      <c r="L974" s="142">
        <f>IF(RawData[[#This Row],[Paid/Unpaid]]="Paid", IF(VALUE($E974)&gt;VALUE($D$3),$K974* 10000,$K974* 8000), 0)</f>
        <v>8000</v>
      </c>
      <c r="M974" s="53" t="s">
        <v>146</v>
      </c>
    </row>
    <row r="975" spans="1:13" ht="12.75" customHeight="1" x14ac:dyDescent="0.3">
      <c r="A975" s="144" t="s">
        <v>8</v>
      </c>
      <c r="B975" s="139" t="str">
        <f>IFERROR(VLOOKUP($A975, NameDesignation[], 2,FALSE), " ")</f>
        <v>Former Vice-Chairman</v>
      </c>
      <c r="C975" s="139" t="s">
        <v>30</v>
      </c>
      <c r="D975" s="139">
        <v>452</v>
      </c>
      <c r="E975" s="140">
        <v>44773</v>
      </c>
      <c r="F975" s="139" t="str">
        <f t="shared" si="45"/>
        <v>Q3-22</v>
      </c>
      <c r="G975" s="140" t="str">
        <f t="shared" si="46"/>
        <v>Jul'22</v>
      </c>
      <c r="H975" s="140" t="str">
        <f>TEXT(RawData[[#This Row],[Date]], "YYYY")</f>
        <v>2022</v>
      </c>
      <c r="I975" s="141" t="s">
        <v>32</v>
      </c>
      <c r="J975" s="141" t="s">
        <v>90</v>
      </c>
      <c r="K975" s="139">
        <f t="shared" si="47"/>
        <v>1</v>
      </c>
      <c r="L975" s="142">
        <f>IF(RawData[[#This Row],[Paid/Unpaid]]="Paid", IF(VALUE($E975)&gt;VALUE($D$3),$K975* 10000,$K975* 8000), 0)</f>
        <v>8000</v>
      </c>
      <c r="M975" s="53" t="s">
        <v>146</v>
      </c>
    </row>
    <row r="976" spans="1:13" ht="12.75" customHeight="1" x14ac:dyDescent="0.3">
      <c r="A976" s="144" t="s">
        <v>49</v>
      </c>
      <c r="B976" s="139" t="str">
        <f>IFERROR(VLOOKUP($A976, NameDesignation[], 2,FALSE), " ")</f>
        <v>Former Director</v>
      </c>
      <c r="C976" s="139" t="s">
        <v>30</v>
      </c>
      <c r="D976" s="139">
        <v>452</v>
      </c>
      <c r="E976" s="140">
        <v>44773</v>
      </c>
      <c r="F976" s="139" t="str">
        <f t="shared" si="45"/>
        <v>Q3-22</v>
      </c>
      <c r="G976" s="140" t="str">
        <f t="shared" si="46"/>
        <v>Jul'22</v>
      </c>
      <c r="H976" s="140" t="str">
        <f>TEXT(RawData[[#This Row],[Date]], "YYYY")</f>
        <v>2022</v>
      </c>
      <c r="I976" s="141" t="s">
        <v>32</v>
      </c>
      <c r="J976" s="141" t="s">
        <v>90</v>
      </c>
      <c r="K976" s="139">
        <f t="shared" si="47"/>
        <v>1</v>
      </c>
      <c r="L976" s="142">
        <f>IF(RawData[[#This Row],[Paid/Unpaid]]="Paid", IF(VALUE($E976)&gt;VALUE($D$3),$K976* 10000,$K976* 8000), 0)</f>
        <v>8000</v>
      </c>
      <c r="M976" s="53" t="s">
        <v>146</v>
      </c>
    </row>
    <row r="977" spans="1:13" ht="12.75" customHeight="1" x14ac:dyDescent="0.3">
      <c r="A977" s="144" t="s">
        <v>11</v>
      </c>
      <c r="B977" s="139" t="str">
        <f>IFERROR(VLOOKUP($A977, NameDesignation[], 2,FALSE), " ")</f>
        <v>Former Director</v>
      </c>
      <c r="C977" s="139" t="s">
        <v>30</v>
      </c>
      <c r="D977" s="139">
        <v>452</v>
      </c>
      <c r="E977" s="140">
        <v>44773</v>
      </c>
      <c r="F977" s="139" t="str">
        <f t="shared" si="45"/>
        <v>Q3-22</v>
      </c>
      <c r="G977" s="140" t="str">
        <f t="shared" si="46"/>
        <v>Jul'22</v>
      </c>
      <c r="H977" s="140" t="str">
        <f>TEXT(RawData[[#This Row],[Date]], "YYYY")</f>
        <v>2022</v>
      </c>
      <c r="I977" s="141" t="s">
        <v>32</v>
      </c>
      <c r="J977" s="141" t="s">
        <v>90</v>
      </c>
      <c r="K977" s="139">
        <f t="shared" si="47"/>
        <v>1</v>
      </c>
      <c r="L977" s="142">
        <f>IF(RawData[[#This Row],[Paid/Unpaid]]="Paid", IF(VALUE($E977)&gt;VALUE($D$3),$K977* 10000,$K977* 8000), 0)</f>
        <v>8000</v>
      </c>
      <c r="M977" s="53" t="s">
        <v>146</v>
      </c>
    </row>
    <row r="978" spans="1:13" ht="12.75" customHeight="1" x14ac:dyDescent="0.3">
      <c r="A978" s="144" t="s">
        <v>137</v>
      </c>
      <c r="B978" s="139" t="str">
        <f>IFERROR(VLOOKUP($A978, NameDesignation[], 2,FALSE), " ")</f>
        <v>Former Director</v>
      </c>
      <c r="C978" s="139" t="s">
        <v>30</v>
      </c>
      <c r="D978" s="139">
        <v>452</v>
      </c>
      <c r="E978" s="140">
        <v>44773</v>
      </c>
      <c r="F978" s="139" t="str">
        <f t="shared" si="45"/>
        <v>Q3-22</v>
      </c>
      <c r="G978" s="140" t="str">
        <f t="shared" si="46"/>
        <v>Jul'22</v>
      </c>
      <c r="H978" s="140" t="str">
        <f>TEXT(RawData[[#This Row],[Date]], "YYYY")</f>
        <v>2022</v>
      </c>
      <c r="I978" s="141" t="s">
        <v>32</v>
      </c>
      <c r="J978" s="141" t="s">
        <v>90</v>
      </c>
      <c r="K978" s="139">
        <f t="shared" si="47"/>
        <v>1</v>
      </c>
      <c r="L978" s="142">
        <f>IF(RawData[[#This Row],[Paid/Unpaid]]="Paid", IF(VALUE($E978)&gt;VALUE($D$3),$K978* 10000,$K978* 8000), 0)</f>
        <v>8000</v>
      </c>
      <c r="M978" s="53" t="s">
        <v>146</v>
      </c>
    </row>
    <row r="979" spans="1:13" ht="12.75" customHeight="1" x14ac:dyDescent="0.3">
      <c r="A979" s="144" t="s">
        <v>13</v>
      </c>
      <c r="B979" s="139" t="str">
        <f>IFERROR(VLOOKUP($A979, NameDesignation[], 2,FALSE), " ")</f>
        <v>Former Director</v>
      </c>
      <c r="C979" s="139" t="s">
        <v>30</v>
      </c>
      <c r="D979" s="139">
        <v>452</v>
      </c>
      <c r="E979" s="140">
        <v>44773</v>
      </c>
      <c r="F979" s="139" t="str">
        <f t="shared" si="45"/>
        <v>Q3-22</v>
      </c>
      <c r="G979" s="140" t="str">
        <f t="shared" si="46"/>
        <v>Jul'22</v>
      </c>
      <c r="H979" s="140" t="str">
        <f>TEXT(RawData[[#This Row],[Date]], "YYYY")</f>
        <v>2022</v>
      </c>
      <c r="I979" s="141" t="s">
        <v>32</v>
      </c>
      <c r="J979" s="141" t="s">
        <v>90</v>
      </c>
      <c r="K979" s="139">
        <f t="shared" si="47"/>
        <v>1</v>
      </c>
      <c r="L979" s="142">
        <f>IF(RawData[[#This Row],[Paid/Unpaid]]="Paid", IF(VALUE($E979)&gt;VALUE($D$3),$K979* 10000,$K979* 8000), 0)</f>
        <v>8000</v>
      </c>
      <c r="M979" s="53" t="s">
        <v>146</v>
      </c>
    </row>
    <row r="980" spans="1:13" ht="12.75" customHeight="1" x14ac:dyDescent="0.3">
      <c r="A980" s="144" t="s">
        <v>25</v>
      </c>
      <c r="B980" s="139" t="str">
        <f>IFERROR(VLOOKUP($A980, NameDesignation[], 2,FALSE), " ")</f>
        <v>Former Director</v>
      </c>
      <c r="C980" s="139" t="s">
        <v>30</v>
      </c>
      <c r="D980" s="139">
        <v>452</v>
      </c>
      <c r="E980" s="140">
        <v>44773</v>
      </c>
      <c r="F980" s="139" t="str">
        <f t="shared" si="45"/>
        <v>Q3-22</v>
      </c>
      <c r="G980" s="140" t="str">
        <f t="shared" si="46"/>
        <v>Jul'22</v>
      </c>
      <c r="H980" s="140" t="str">
        <f>TEXT(RawData[[#This Row],[Date]], "YYYY")</f>
        <v>2022</v>
      </c>
      <c r="I980" s="141" t="s">
        <v>32</v>
      </c>
      <c r="J980" s="141" t="s">
        <v>91</v>
      </c>
      <c r="K980" s="139">
        <f t="shared" si="47"/>
        <v>0</v>
      </c>
      <c r="L980" s="142">
        <f>IF(RawData[[#This Row],[Paid/Unpaid]]="Paid", IF(VALUE($E980)&gt;VALUE($D$3),$K980* 10000,$K980* 8000), 0)</f>
        <v>0</v>
      </c>
      <c r="M980" s="53" t="s">
        <v>146</v>
      </c>
    </row>
    <row r="981" spans="1:13" ht="12.75" customHeight="1" x14ac:dyDescent="0.3">
      <c r="A981" s="143" t="s">
        <v>49</v>
      </c>
      <c r="B981" s="139" t="str">
        <f>IFERROR(VLOOKUP($A981, NameDesignation[], 2,FALSE), " ")</f>
        <v>Former Director</v>
      </c>
      <c r="C981" s="139" t="s">
        <v>38</v>
      </c>
      <c r="D981" s="139">
        <v>35</v>
      </c>
      <c r="E981" s="140">
        <v>44773</v>
      </c>
      <c r="F981" s="139" t="str">
        <f t="shared" si="45"/>
        <v>Q3-22</v>
      </c>
      <c r="G981" s="140" t="str">
        <f t="shared" si="46"/>
        <v>Jul'22</v>
      </c>
      <c r="H981" s="140" t="str">
        <f>TEXT(RawData[[#This Row],[Date]], "YYYY")</f>
        <v>2022</v>
      </c>
      <c r="I981" s="141" t="s">
        <v>32</v>
      </c>
      <c r="J981" s="141" t="s">
        <v>90</v>
      </c>
      <c r="K981" s="139">
        <f t="shared" si="47"/>
        <v>1</v>
      </c>
      <c r="L981" s="142">
        <f>IF(RawData[[#This Row],[Paid/Unpaid]]="Paid", IF(VALUE($E981)&gt;VALUE($D$3),$K981* 10000,$K981* 8000), 0)</f>
        <v>8000</v>
      </c>
      <c r="M981" s="53" t="s">
        <v>146</v>
      </c>
    </row>
    <row r="982" spans="1:13" ht="12.75" customHeight="1" x14ac:dyDescent="0.3">
      <c r="A982" s="143" t="s">
        <v>9</v>
      </c>
      <c r="B982" s="139" t="str">
        <f>IFERROR(VLOOKUP($A982, NameDesignation[], 2,FALSE), " ")</f>
        <v>Former Director</v>
      </c>
      <c r="C982" s="139" t="s">
        <v>38</v>
      </c>
      <c r="D982" s="139">
        <v>35</v>
      </c>
      <c r="E982" s="140">
        <v>44773</v>
      </c>
      <c r="F982" s="139" t="str">
        <f t="shared" si="45"/>
        <v>Q3-22</v>
      </c>
      <c r="G982" s="140" t="str">
        <f t="shared" si="46"/>
        <v>Jul'22</v>
      </c>
      <c r="H982" s="140" t="str">
        <f>TEXT(RawData[[#This Row],[Date]], "YYYY")</f>
        <v>2022</v>
      </c>
      <c r="I982" s="141" t="s">
        <v>32</v>
      </c>
      <c r="J982" s="141" t="s">
        <v>90</v>
      </c>
      <c r="K982" s="139">
        <f t="shared" si="47"/>
        <v>1</v>
      </c>
      <c r="L982" s="142">
        <f>IF(RawData[[#This Row],[Paid/Unpaid]]="Paid", IF(VALUE($E982)&gt;VALUE($D$3),$K982* 10000,$K982* 8000), 0)</f>
        <v>8000</v>
      </c>
      <c r="M982" s="53" t="s">
        <v>146</v>
      </c>
    </row>
    <row r="983" spans="1:13" ht="12.75" customHeight="1" x14ac:dyDescent="0.3">
      <c r="A983" s="143" t="s">
        <v>12</v>
      </c>
      <c r="B983" s="139" t="str">
        <f>IFERROR(VLOOKUP($A983, NameDesignation[], 2,FALSE), " ")</f>
        <v>Former Director</v>
      </c>
      <c r="C983" s="139" t="s">
        <v>38</v>
      </c>
      <c r="D983" s="139">
        <v>35</v>
      </c>
      <c r="E983" s="140">
        <v>44773</v>
      </c>
      <c r="F983" s="139" t="str">
        <f t="shared" si="45"/>
        <v>Q3-22</v>
      </c>
      <c r="G983" s="140" t="str">
        <f t="shared" si="46"/>
        <v>Jul'22</v>
      </c>
      <c r="H983" s="140" t="str">
        <f>TEXT(RawData[[#This Row],[Date]], "YYYY")</f>
        <v>2022</v>
      </c>
      <c r="I983" s="141" t="s">
        <v>32</v>
      </c>
      <c r="J983" s="141" t="s">
        <v>90</v>
      </c>
      <c r="K983" s="139">
        <f t="shared" si="47"/>
        <v>1</v>
      </c>
      <c r="L983" s="142">
        <f>IF(RawData[[#This Row],[Paid/Unpaid]]="Paid", IF(VALUE($E983)&gt;VALUE($D$3),$K983* 10000,$K983* 8000), 0)</f>
        <v>8000</v>
      </c>
      <c r="M983" s="53" t="s">
        <v>146</v>
      </c>
    </row>
    <row r="984" spans="1:13" ht="12.75" customHeight="1" x14ac:dyDescent="0.3">
      <c r="A984" s="143" t="s">
        <v>61</v>
      </c>
      <c r="B984" s="139" t="str">
        <f>IFERROR(VLOOKUP($A984, NameDesignation[], 2,FALSE), " ")</f>
        <v>Former Director</v>
      </c>
      <c r="C984" s="139" t="s">
        <v>38</v>
      </c>
      <c r="D984" s="139">
        <v>35</v>
      </c>
      <c r="E984" s="140">
        <v>44773</v>
      </c>
      <c r="F984" s="139" t="str">
        <f t="shared" si="45"/>
        <v>Q3-22</v>
      </c>
      <c r="G984" s="140" t="str">
        <f t="shared" si="46"/>
        <v>Jul'22</v>
      </c>
      <c r="H984" s="140" t="str">
        <f>TEXT(RawData[[#This Row],[Date]], "YYYY")</f>
        <v>2022</v>
      </c>
      <c r="I984" s="141" t="s">
        <v>32</v>
      </c>
      <c r="J984" s="141" t="s">
        <v>90</v>
      </c>
      <c r="K984" s="139">
        <f t="shared" si="47"/>
        <v>1</v>
      </c>
      <c r="L984" s="142">
        <f>IF(RawData[[#This Row],[Paid/Unpaid]]="Paid", IF(VALUE($E984)&gt;VALUE($D$3),$K984* 10000,$K984* 8000), 0)</f>
        <v>8000</v>
      </c>
      <c r="M984" s="53" t="s">
        <v>146</v>
      </c>
    </row>
    <row r="985" spans="1:13" ht="12.75" customHeight="1" x14ac:dyDescent="0.3">
      <c r="A985" s="143" t="s">
        <v>15</v>
      </c>
      <c r="B985" s="139" t="str">
        <f>IFERROR(VLOOKUP($A985, NameDesignation[], 2,FALSE), " ")</f>
        <v>Former Director</v>
      </c>
      <c r="C985" s="139" t="s">
        <v>38</v>
      </c>
      <c r="D985" s="139">
        <v>35</v>
      </c>
      <c r="E985" s="140">
        <v>44773</v>
      </c>
      <c r="F985" s="139" t="str">
        <f t="shared" si="45"/>
        <v>Q3-22</v>
      </c>
      <c r="G985" s="140" t="str">
        <f t="shared" si="46"/>
        <v>Jul'22</v>
      </c>
      <c r="H985" s="140" t="str">
        <f>TEXT(RawData[[#This Row],[Date]], "YYYY")</f>
        <v>2022</v>
      </c>
      <c r="I985" s="141" t="s">
        <v>32</v>
      </c>
      <c r="J985" s="141" t="s">
        <v>90</v>
      </c>
      <c r="K985" s="139">
        <f t="shared" si="47"/>
        <v>1</v>
      </c>
      <c r="L985" s="142">
        <f>IF(RawData[[#This Row],[Paid/Unpaid]]="Paid", IF(VALUE($E985)&gt;VALUE($D$3),$K985* 10000,$K985* 8000), 0)</f>
        <v>8000</v>
      </c>
      <c r="M985" s="53" t="s">
        <v>146</v>
      </c>
    </row>
    <row r="986" spans="1:13" ht="12.75" customHeight="1" x14ac:dyDescent="0.3">
      <c r="A986" s="144" t="s">
        <v>9</v>
      </c>
      <c r="B986" s="139" t="str">
        <f>IFERROR(VLOOKUP($A986, NameDesignation[], 2,FALSE), " ")</f>
        <v>Former Director</v>
      </c>
      <c r="C986" s="139" t="s">
        <v>30</v>
      </c>
      <c r="D986" s="139">
        <v>453</v>
      </c>
      <c r="E986" s="140">
        <v>44797</v>
      </c>
      <c r="F986" s="139" t="str">
        <f t="shared" si="45"/>
        <v>Q3-22</v>
      </c>
      <c r="G986" s="140" t="str">
        <f t="shared" si="46"/>
        <v>Aug'22</v>
      </c>
      <c r="H986" s="140" t="str">
        <f>TEXT(RawData[[#This Row],[Date]], "YYYY")</f>
        <v>2022</v>
      </c>
      <c r="I986" s="141" t="s">
        <v>32</v>
      </c>
      <c r="J986" s="141" t="s">
        <v>90</v>
      </c>
      <c r="K986" s="139">
        <f t="shared" si="47"/>
        <v>1</v>
      </c>
      <c r="L986" s="142">
        <f>IF(RawData[[#This Row],[Paid/Unpaid]]="Paid", IF(VALUE($E986)&gt;VALUE($D$3),$K986* 10000,$K986* 8000), 0)</f>
        <v>8000</v>
      </c>
      <c r="M986" s="53" t="s">
        <v>146</v>
      </c>
    </row>
    <row r="987" spans="1:13" ht="12.75" customHeight="1" x14ac:dyDescent="0.3">
      <c r="A987" s="144" t="s">
        <v>8</v>
      </c>
      <c r="B987" s="139" t="str">
        <f>IFERROR(VLOOKUP($A987, NameDesignation[], 2,FALSE), " ")</f>
        <v>Former Vice-Chairman</v>
      </c>
      <c r="C987" s="139" t="s">
        <v>30</v>
      </c>
      <c r="D987" s="139">
        <v>453</v>
      </c>
      <c r="E987" s="140">
        <v>44797</v>
      </c>
      <c r="F987" s="139" t="str">
        <f t="shared" si="45"/>
        <v>Q3-22</v>
      </c>
      <c r="G987" s="140" t="str">
        <f t="shared" si="46"/>
        <v>Aug'22</v>
      </c>
      <c r="H987" s="140" t="str">
        <f>TEXT(RawData[[#This Row],[Date]], "YYYY")</f>
        <v>2022</v>
      </c>
      <c r="I987" s="141" t="s">
        <v>32</v>
      </c>
      <c r="J987" s="141" t="s">
        <v>90</v>
      </c>
      <c r="K987" s="139">
        <f t="shared" si="47"/>
        <v>1</v>
      </c>
      <c r="L987" s="142">
        <f>IF(RawData[[#This Row],[Paid/Unpaid]]="Paid", IF(VALUE($E987)&gt;VALUE($D$3),$K987* 10000,$K987* 8000), 0)</f>
        <v>8000</v>
      </c>
      <c r="M987" s="53" t="s">
        <v>146</v>
      </c>
    </row>
    <row r="988" spans="1:13" ht="12.75" customHeight="1" x14ac:dyDescent="0.3">
      <c r="A988" s="144" t="s">
        <v>49</v>
      </c>
      <c r="B988" s="139" t="str">
        <f>IFERROR(VLOOKUP($A988, NameDesignation[], 2,FALSE), " ")</f>
        <v>Former Director</v>
      </c>
      <c r="C988" s="139" t="s">
        <v>30</v>
      </c>
      <c r="D988" s="139">
        <v>453</v>
      </c>
      <c r="E988" s="140">
        <v>44797</v>
      </c>
      <c r="F988" s="139" t="str">
        <f t="shared" si="45"/>
        <v>Q3-22</v>
      </c>
      <c r="G988" s="140" t="str">
        <f t="shared" si="46"/>
        <v>Aug'22</v>
      </c>
      <c r="H988" s="140" t="str">
        <f>TEXT(RawData[[#This Row],[Date]], "YYYY")</f>
        <v>2022</v>
      </c>
      <c r="I988" s="141" t="s">
        <v>32</v>
      </c>
      <c r="J988" s="141" t="s">
        <v>90</v>
      </c>
      <c r="K988" s="139">
        <f t="shared" si="47"/>
        <v>1</v>
      </c>
      <c r="L988" s="142">
        <f>IF(RawData[[#This Row],[Paid/Unpaid]]="Paid", IF(VALUE($E988)&gt;VALUE($D$3),$K988* 10000,$K988* 8000), 0)</f>
        <v>8000</v>
      </c>
      <c r="M988" s="53" t="s">
        <v>146</v>
      </c>
    </row>
    <row r="989" spans="1:13" ht="12.75" customHeight="1" x14ac:dyDescent="0.3">
      <c r="A989" s="144" t="s">
        <v>11</v>
      </c>
      <c r="B989" s="139" t="str">
        <f>IFERROR(VLOOKUP($A989, NameDesignation[], 2,FALSE), " ")</f>
        <v>Former Director</v>
      </c>
      <c r="C989" s="139" t="s">
        <v>30</v>
      </c>
      <c r="D989" s="139">
        <v>453</v>
      </c>
      <c r="E989" s="140">
        <v>44797</v>
      </c>
      <c r="F989" s="139" t="str">
        <f t="shared" si="45"/>
        <v>Q3-22</v>
      </c>
      <c r="G989" s="140" t="str">
        <f t="shared" si="46"/>
        <v>Aug'22</v>
      </c>
      <c r="H989" s="140" t="str">
        <f>TEXT(RawData[[#This Row],[Date]], "YYYY")</f>
        <v>2022</v>
      </c>
      <c r="I989" s="141" t="s">
        <v>32</v>
      </c>
      <c r="J989" s="141" t="s">
        <v>90</v>
      </c>
      <c r="K989" s="139">
        <f t="shared" si="47"/>
        <v>1</v>
      </c>
      <c r="L989" s="142">
        <f>IF(RawData[[#This Row],[Paid/Unpaid]]="Paid", IF(VALUE($E989)&gt;VALUE($D$3),$K989* 10000,$K989* 8000), 0)</f>
        <v>8000</v>
      </c>
      <c r="M989" s="53" t="s">
        <v>146</v>
      </c>
    </row>
    <row r="990" spans="1:13" ht="12.75" customHeight="1" x14ac:dyDescent="0.3">
      <c r="A990" s="144" t="s">
        <v>137</v>
      </c>
      <c r="B990" s="139" t="str">
        <f>IFERROR(VLOOKUP($A990, NameDesignation[], 2,FALSE), " ")</f>
        <v>Former Director</v>
      </c>
      <c r="C990" s="139" t="s">
        <v>30</v>
      </c>
      <c r="D990" s="139">
        <v>453</v>
      </c>
      <c r="E990" s="140">
        <v>44797</v>
      </c>
      <c r="F990" s="139" t="str">
        <f t="shared" si="45"/>
        <v>Q3-22</v>
      </c>
      <c r="G990" s="140" t="str">
        <f t="shared" si="46"/>
        <v>Aug'22</v>
      </c>
      <c r="H990" s="140" t="str">
        <f>TEXT(RawData[[#This Row],[Date]], "YYYY")</f>
        <v>2022</v>
      </c>
      <c r="I990" s="141" t="s">
        <v>32</v>
      </c>
      <c r="J990" s="141" t="s">
        <v>90</v>
      </c>
      <c r="K990" s="139">
        <f t="shared" si="47"/>
        <v>1</v>
      </c>
      <c r="L990" s="142">
        <f>IF(RawData[[#This Row],[Paid/Unpaid]]="Paid", IF(VALUE($E990)&gt;VALUE($D$3),$K990* 10000,$K990* 8000), 0)</f>
        <v>8000</v>
      </c>
      <c r="M990" s="53" t="s">
        <v>146</v>
      </c>
    </row>
    <row r="991" spans="1:13" ht="12.75" customHeight="1" x14ac:dyDescent="0.3">
      <c r="A991" s="144" t="s">
        <v>13</v>
      </c>
      <c r="B991" s="139" t="str">
        <f>IFERROR(VLOOKUP($A991, NameDesignation[], 2,FALSE), " ")</f>
        <v>Former Director</v>
      </c>
      <c r="C991" s="139" t="s">
        <v>30</v>
      </c>
      <c r="D991" s="139">
        <v>453</v>
      </c>
      <c r="E991" s="140">
        <v>44797</v>
      </c>
      <c r="F991" s="139" t="str">
        <f t="shared" si="45"/>
        <v>Q3-22</v>
      </c>
      <c r="G991" s="140" t="str">
        <f t="shared" si="46"/>
        <v>Aug'22</v>
      </c>
      <c r="H991" s="140" t="str">
        <f>TEXT(RawData[[#This Row],[Date]], "YYYY")</f>
        <v>2022</v>
      </c>
      <c r="I991" s="141" t="s">
        <v>32</v>
      </c>
      <c r="J991" s="141" t="s">
        <v>90</v>
      </c>
      <c r="K991" s="139">
        <f t="shared" si="47"/>
        <v>1</v>
      </c>
      <c r="L991" s="142">
        <f>IF(RawData[[#This Row],[Paid/Unpaid]]="Paid", IF(VALUE($E991)&gt;VALUE($D$3),$K991* 10000,$K991* 8000), 0)</f>
        <v>8000</v>
      </c>
      <c r="M991" s="53" t="s">
        <v>146</v>
      </c>
    </row>
    <row r="992" spans="1:13" ht="12.75" customHeight="1" x14ac:dyDescent="0.3">
      <c r="A992" s="144" t="s">
        <v>25</v>
      </c>
      <c r="B992" s="139" t="str">
        <f>IFERROR(VLOOKUP($A992, NameDesignation[], 2,FALSE), " ")</f>
        <v>Former Director</v>
      </c>
      <c r="C992" s="139" t="s">
        <v>30</v>
      </c>
      <c r="D992" s="139">
        <v>453</v>
      </c>
      <c r="E992" s="140">
        <v>44797</v>
      </c>
      <c r="F992" s="139" t="str">
        <f t="shared" si="45"/>
        <v>Q3-22</v>
      </c>
      <c r="G992" s="140" t="str">
        <f t="shared" si="46"/>
        <v>Aug'22</v>
      </c>
      <c r="H992" s="140" t="str">
        <f>TEXT(RawData[[#This Row],[Date]], "YYYY")</f>
        <v>2022</v>
      </c>
      <c r="I992" s="141" t="s">
        <v>32</v>
      </c>
      <c r="J992" s="141" t="s">
        <v>90</v>
      </c>
      <c r="K992" s="139">
        <f t="shared" si="47"/>
        <v>1</v>
      </c>
      <c r="L992" s="142">
        <f>IF(RawData[[#This Row],[Paid/Unpaid]]="Paid", IF(VALUE($E992)&gt;VALUE($D$3),$K992* 10000,$K992* 8000), 0)</f>
        <v>8000</v>
      </c>
      <c r="M992" s="53" t="s">
        <v>146</v>
      </c>
    </row>
    <row r="993" spans="1:13" ht="12.75" customHeight="1" x14ac:dyDescent="0.3">
      <c r="A993" s="143" t="s">
        <v>7</v>
      </c>
      <c r="B993" s="139" t="str">
        <f>IFERROR(VLOOKUP($A993, NameDesignation[], 2,FALSE), " ")</f>
        <v>Former Director</v>
      </c>
      <c r="C993" s="139" t="s">
        <v>29</v>
      </c>
      <c r="D993" s="139">
        <v>475</v>
      </c>
      <c r="E993" s="140">
        <v>44797</v>
      </c>
      <c r="F993" s="139" t="str">
        <f t="shared" si="45"/>
        <v>Q3-22</v>
      </c>
      <c r="G993" s="140" t="str">
        <f t="shared" si="46"/>
        <v>Aug'22</v>
      </c>
      <c r="H993" s="140" t="str">
        <f>TEXT(RawData[[#This Row],[Date]], "YYYY")</f>
        <v>2022</v>
      </c>
      <c r="I993" s="141" t="s">
        <v>32</v>
      </c>
      <c r="J993" s="141" t="s">
        <v>91</v>
      </c>
      <c r="K993" s="139">
        <f t="shared" si="47"/>
        <v>0</v>
      </c>
      <c r="L993" s="142">
        <f>IF(RawData[[#This Row],[Paid/Unpaid]]="Paid", IF(VALUE($E993)&gt;VALUE($D$3),$K993* 10000,$K993* 8000), 0)</f>
        <v>0</v>
      </c>
      <c r="M993" s="53" t="s">
        <v>146</v>
      </c>
    </row>
    <row r="994" spans="1:13" ht="12.75" customHeight="1" x14ac:dyDescent="0.3">
      <c r="A994" s="143" t="s">
        <v>8</v>
      </c>
      <c r="B994" s="139" t="str">
        <f>IFERROR(VLOOKUP($A994, NameDesignation[], 2,FALSE), " ")</f>
        <v>Former Vice-Chairman</v>
      </c>
      <c r="C994" s="139" t="s">
        <v>29</v>
      </c>
      <c r="D994" s="139">
        <v>475</v>
      </c>
      <c r="E994" s="140">
        <v>44797</v>
      </c>
      <c r="F994" s="139" t="str">
        <f t="shared" si="45"/>
        <v>Q3-22</v>
      </c>
      <c r="G994" s="140" t="str">
        <f t="shared" si="46"/>
        <v>Aug'22</v>
      </c>
      <c r="H994" s="140" t="str">
        <f>TEXT(RawData[[#This Row],[Date]], "YYYY")</f>
        <v>2022</v>
      </c>
      <c r="I994" s="141" t="s">
        <v>32</v>
      </c>
      <c r="J994" s="141" t="s">
        <v>90</v>
      </c>
      <c r="K994" s="139">
        <f t="shared" si="47"/>
        <v>1</v>
      </c>
      <c r="L994" s="142">
        <f>IF(RawData[[#This Row],[Paid/Unpaid]]="Paid", IF(VALUE($E994)&gt;VALUE($D$3),$K994* 10000,$K994* 8000), 0)</f>
        <v>8000</v>
      </c>
      <c r="M994" s="53" t="s">
        <v>146</v>
      </c>
    </row>
    <row r="995" spans="1:13" ht="12.75" customHeight="1" x14ac:dyDescent="0.3">
      <c r="A995" s="143" t="s">
        <v>9</v>
      </c>
      <c r="B995" s="139" t="str">
        <f>IFERROR(VLOOKUP($A995, NameDesignation[], 2,FALSE), " ")</f>
        <v>Former Director</v>
      </c>
      <c r="C995" s="139" t="s">
        <v>29</v>
      </c>
      <c r="D995" s="139">
        <v>475</v>
      </c>
      <c r="E995" s="140">
        <v>44797</v>
      </c>
      <c r="F995" s="139" t="str">
        <f t="shared" si="45"/>
        <v>Q3-22</v>
      </c>
      <c r="G995" s="140" t="str">
        <f t="shared" si="46"/>
        <v>Aug'22</v>
      </c>
      <c r="H995" s="140" t="str">
        <f>TEXT(RawData[[#This Row],[Date]], "YYYY")</f>
        <v>2022</v>
      </c>
      <c r="I995" s="141" t="s">
        <v>32</v>
      </c>
      <c r="J995" s="141" t="s">
        <v>90</v>
      </c>
      <c r="K995" s="139">
        <f t="shared" si="47"/>
        <v>1</v>
      </c>
      <c r="L995" s="142">
        <f>IF(RawData[[#This Row],[Paid/Unpaid]]="Paid", IF(VALUE($E995)&gt;VALUE($D$3),$K995* 10000,$K995* 8000), 0)</f>
        <v>8000</v>
      </c>
      <c r="M995" s="53" t="s">
        <v>146</v>
      </c>
    </row>
    <row r="996" spans="1:13" ht="12.75" customHeight="1" x14ac:dyDescent="0.3">
      <c r="A996" s="143" t="s">
        <v>20</v>
      </c>
      <c r="B996" s="139" t="str">
        <f>IFERROR(VLOOKUP($A996, NameDesignation[], 2,FALSE), " ")</f>
        <v>Former Independent Director</v>
      </c>
      <c r="C996" s="139" t="s">
        <v>29</v>
      </c>
      <c r="D996" s="139">
        <v>475</v>
      </c>
      <c r="E996" s="140">
        <v>44797</v>
      </c>
      <c r="F996" s="139" t="str">
        <f t="shared" si="45"/>
        <v>Q3-22</v>
      </c>
      <c r="G996" s="140" t="str">
        <f t="shared" si="46"/>
        <v>Aug'22</v>
      </c>
      <c r="H996" s="140" t="str">
        <f>TEXT(RawData[[#This Row],[Date]], "YYYY")</f>
        <v>2022</v>
      </c>
      <c r="I996" s="141" t="s">
        <v>32</v>
      </c>
      <c r="J996" s="141" t="s">
        <v>90</v>
      </c>
      <c r="K996" s="139">
        <f t="shared" si="47"/>
        <v>1</v>
      </c>
      <c r="L996" s="142">
        <f>IF(RawData[[#This Row],[Paid/Unpaid]]="Paid", IF(VALUE($E996)&gt;VALUE($D$3),$K996* 10000,$K996* 8000), 0)</f>
        <v>8000</v>
      </c>
      <c r="M996" s="53" t="s">
        <v>146</v>
      </c>
    </row>
    <row r="997" spans="1:13" ht="12.75" customHeight="1" x14ac:dyDescent="0.3">
      <c r="A997" s="143" t="s">
        <v>49</v>
      </c>
      <c r="B997" s="139" t="str">
        <f>IFERROR(VLOOKUP($A997, NameDesignation[], 2,FALSE), " ")</f>
        <v>Former Director</v>
      </c>
      <c r="C997" s="139" t="s">
        <v>29</v>
      </c>
      <c r="D997" s="139">
        <v>475</v>
      </c>
      <c r="E997" s="140">
        <v>44797</v>
      </c>
      <c r="F997" s="139" t="str">
        <f t="shared" si="45"/>
        <v>Q3-22</v>
      </c>
      <c r="G997" s="140" t="str">
        <f t="shared" si="46"/>
        <v>Aug'22</v>
      </c>
      <c r="H997" s="140" t="str">
        <f>TEXT(RawData[[#This Row],[Date]], "YYYY")</f>
        <v>2022</v>
      </c>
      <c r="I997" s="141" t="s">
        <v>32</v>
      </c>
      <c r="J997" s="141" t="s">
        <v>90</v>
      </c>
      <c r="K997" s="139">
        <f t="shared" si="47"/>
        <v>1</v>
      </c>
      <c r="L997" s="142">
        <f>IF(RawData[[#This Row],[Paid/Unpaid]]="Paid", IF(VALUE($E997)&gt;VALUE($D$3),$K997* 10000,$K997* 8000), 0)</f>
        <v>8000</v>
      </c>
      <c r="M997" s="53" t="s">
        <v>146</v>
      </c>
    </row>
    <row r="998" spans="1:13" ht="12.75" customHeight="1" x14ac:dyDescent="0.3">
      <c r="A998" s="143" t="s">
        <v>11</v>
      </c>
      <c r="B998" s="139" t="str">
        <f>IFERROR(VLOOKUP($A998, NameDesignation[], 2,FALSE), " ")</f>
        <v>Former Director</v>
      </c>
      <c r="C998" s="139" t="s">
        <v>29</v>
      </c>
      <c r="D998" s="139">
        <v>475</v>
      </c>
      <c r="E998" s="140">
        <v>44797</v>
      </c>
      <c r="F998" s="139" t="str">
        <f t="shared" si="45"/>
        <v>Q3-22</v>
      </c>
      <c r="G998" s="140" t="str">
        <f t="shared" si="46"/>
        <v>Aug'22</v>
      </c>
      <c r="H998" s="140" t="str">
        <f>TEXT(RawData[[#This Row],[Date]], "YYYY")</f>
        <v>2022</v>
      </c>
      <c r="I998" s="141" t="s">
        <v>32</v>
      </c>
      <c r="J998" s="141" t="s">
        <v>90</v>
      </c>
      <c r="K998" s="139">
        <f t="shared" si="47"/>
        <v>1</v>
      </c>
      <c r="L998" s="142">
        <f>IF(RawData[[#This Row],[Paid/Unpaid]]="Paid", IF(VALUE($E998)&gt;VALUE($D$3),$K998* 10000,$K998* 8000), 0)</f>
        <v>8000</v>
      </c>
      <c r="M998" s="53" t="s">
        <v>146</v>
      </c>
    </row>
    <row r="999" spans="1:13" ht="12.75" customHeight="1" x14ac:dyDescent="0.3">
      <c r="A999" s="143" t="s">
        <v>12</v>
      </c>
      <c r="B999" s="139" t="str">
        <f>IFERROR(VLOOKUP($A999, NameDesignation[], 2,FALSE), " ")</f>
        <v>Former Director</v>
      </c>
      <c r="C999" s="139" t="s">
        <v>29</v>
      </c>
      <c r="D999" s="139">
        <v>475</v>
      </c>
      <c r="E999" s="140">
        <v>44797</v>
      </c>
      <c r="F999" s="139" t="str">
        <f t="shared" si="45"/>
        <v>Q3-22</v>
      </c>
      <c r="G999" s="140" t="str">
        <f t="shared" si="46"/>
        <v>Aug'22</v>
      </c>
      <c r="H999" s="140" t="str">
        <f>TEXT(RawData[[#This Row],[Date]], "YYYY")</f>
        <v>2022</v>
      </c>
      <c r="I999" s="141" t="s">
        <v>32</v>
      </c>
      <c r="J999" s="141" t="s">
        <v>91</v>
      </c>
      <c r="K999" s="139">
        <f t="shared" si="47"/>
        <v>0</v>
      </c>
      <c r="L999" s="142">
        <f>IF(RawData[[#This Row],[Paid/Unpaid]]="Paid", IF(VALUE($E999)&gt;VALUE($D$3),$K999* 10000,$K999* 8000), 0)</f>
        <v>0</v>
      </c>
      <c r="M999" s="53" t="s">
        <v>146</v>
      </c>
    </row>
    <row r="1000" spans="1:13" ht="12.75" customHeight="1" x14ac:dyDescent="0.3">
      <c r="A1000" s="143" t="s">
        <v>137</v>
      </c>
      <c r="B1000" s="139" t="str">
        <f>IFERROR(VLOOKUP($A1000, NameDesignation[], 2,FALSE), " ")</f>
        <v>Former Director</v>
      </c>
      <c r="C1000" s="139" t="s">
        <v>29</v>
      </c>
      <c r="D1000" s="139">
        <v>475</v>
      </c>
      <c r="E1000" s="140">
        <v>44797</v>
      </c>
      <c r="F1000" s="139" t="str">
        <f t="shared" si="45"/>
        <v>Q3-22</v>
      </c>
      <c r="G1000" s="140" t="str">
        <f t="shared" si="46"/>
        <v>Aug'22</v>
      </c>
      <c r="H1000" s="140" t="str">
        <f>TEXT(RawData[[#This Row],[Date]], "YYYY")</f>
        <v>2022</v>
      </c>
      <c r="I1000" s="141" t="s">
        <v>32</v>
      </c>
      <c r="J1000" s="141" t="s">
        <v>91</v>
      </c>
      <c r="K1000" s="139">
        <f t="shared" si="47"/>
        <v>0</v>
      </c>
      <c r="L1000" s="142">
        <f>IF(RawData[[#This Row],[Paid/Unpaid]]="Paid", IF(VALUE($E1000)&gt;VALUE($D$3),$K1000* 10000,$K1000* 8000), 0)</f>
        <v>0</v>
      </c>
      <c r="M1000" s="53" t="s">
        <v>146</v>
      </c>
    </row>
    <row r="1001" spans="1:13" ht="12.75" customHeight="1" x14ac:dyDescent="0.3">
      <c r="A1001" s="143" t="s">
        <v>13</v>
      </c>
      <c r="B1001" s="139" t="str">
        <f>IFERROR(VLOOKUP($A1001, NameDesignation[], 2,FALSE), " ")</f>
        <v>Former Director</v>
      </c>
      <c r="C1001" s="139" t="s">
        <v>29</v>
      </c>
      <c r="D1001" s="139">
        <v>475</v>
      </c>
      <c r="E1001" s="140">
        <v>44797</v>
      </c>
      <c r="F1001" s="139" t="str">
        <f t="shared" si="45"/>
        <v>Q3-22</v>
      </c>
      <c r="G1001" s="140" t="str">
        <f t="shared" si="46"/>
        <v>Aug'22</v>
      </c>
      <c r="H1001" s="140" t="str">
        <f>TEXT(RawData[[#This Row],[Date]], "YYYY")</f>
        <v>2022</v>
      </c>
      <c r="I1001" s="141" t="s">
        <v>32</v>
      </c>
      <c r="J1001" s="141" t="s">
        <v>90</v>
      </c>
      <c r="K1001" s="139">
        <f t="shared" si="47"/>
        <v>1</v>
      </c>
      <c r="L1001" s="142">
        <f>IF(RawData[[#This Row],[Paid/Unpaid]]="Paid", IF(VALUE($E1001)&gt;VALUE($D$3),$K1001* 10000,$K1001* 8000), 0)</f>
        <v>8000</v>
      </c>
      <c r="M1001" s="53" t="s">
        <v>146</v>
      </c>
    </row>
    <row r="1002" spans="1:13" ht="12.75" customHeight="1" x14ac:dyDescent="0.3">
      <c r="A1002" s="143" t="s">
        <v>61</v>
      </c>
      <c r="B1002" s="139" t="str">
        <f>IFERROR(VLOOKUP($A1002, NameDesignation[], 2,FALSE), " ")</f>
        <v>Former Director</v>
      </c>
      <c r="C1002" s="139" t="s">
        <v>29</v>
      </c>
      <c r="D1002" s="139">
        <v>475</v>
      </c>
      <c r="E1002" s="140">
        <v>44797</v>
      </c>
      <c r="F1002" s="139" t="str">
        <f t="shared" si="45"/>
        <v>Q3-22</v>
      </c>
      <c r="G1002" s="140" t="str">
        <f t="shared" si="46"/>
        <v>Aug'22</v>
      </c>
      <c r="H1002" s="140" t="str">
        <f>TEXT(RawData[[#This Row],[Date]], "YYYY")</f>
        <v>2022</v>
      </c>
      <c r="I1002" s="141" t="s">
        <v>32</v>
      </c>
      <c r="J1002" s="141" t="s">
        <v>91</v>
      </c>
      <c r="K1002" s="139">
        <f t="shared" si="47"/>
        <v>0</v>
      </c>
      <c r="L1002" s="142">
        <f>IF(RawData[[#This Row],[Paid/Unpaid]]="Paid", IF(VALUE($E1002)&gt;VALUE($D$3),$K1002* 10000,$K1002* 8000), 0)</f>
        <v>0</v>
      </c>
      <c r="M1002" s="53" t="s">
        <v>146</v>
      </c>
    </row>
    <row r="1003" spans="1:13" ht="12.75" customHeight="1" x14ac:dyDescent="0.3">
      <c r="A1003" s="143" t="s">
        <v>23</v>
      </c>
      <c r="B1003" s="139" t="str">
        <f>IFERROR(VLOOKUP($A1003, NameDesignation[], 2,FALSE), " ")</f>
        <v>Former Director</v>
      </c>
      <c r="C1003" s="139" t="s">
        <v>29</v>
      </c>
      <c r="D1003" s="139">
        <v>475</v>
      </c>
      <c r="E1003" s="140">
        <v>44797</v>
      </c>
      <c r="F1003" s="139" t="str">
        <f t="shared" si="45"/>
        <v>Q3-22</v>
      </c>
      <c r="G1003" s="140" t="str">
        <f t="shared" si="46"/>
        <v>Aug'22</v>
      </c>
      <c r="H1003" s="140" t="str">
        <f>TEXT(RawData[[#This Row],[Date]], "YYYY")</f>
        <v>2022</v>
      </c>
      <c r="I1003" s="141" t="s">
        <v>32</v>
      </c>
      <c r="J1003" s="141" t="s">
        <v>90</v>
      </c>
      <c r="K1003" s="139">
        <f t="shared" si="47"/>
        <v>1</v>
      </c>
      <c r="L1003" s="142">
        <f>IF(RawData[[#This Row],[Paid/Unpaid]]="Paid", IF(VALUE($E1003)&gt;VALUE($D$3),$K1003* 10000,$K1003* 8000), 0)</f>
        <v>8000</v>
      </c>
      <c r="M1003" s="53" t="s">
        <v>146</v>
      </c>
    </row>
    <row r="1004" spans="1:13" ht="12.75" customHeight="1" x14ac:dyDescent="0.3">
      <c r="A1004" s="143" t="s">
        <v>24</v>
      </c>
      <c r="B1004" s="139" t="str">
        <f>IFERROR(VLOOKUP($A1004, NameDesignation[], 2,FALSE), " ")</f>
        <v>Former Director</v>
      </c>
      <c r="C1004" s="139" t="s">
        <v>29</v>
      </c>
      <c r="D1004" s="139">
        <v>475</v>
      </c>
      <c r="E1004" s="140">
        <v>44797</v>
      </c>
      <c r="F1004" s="139" t="str">
        <f t="shared" si="45"/>
        <v>Q3-22</v>
      </c>
      <c r="G1004" s="140" t="str">
        <f t="shared" si="46"/>
        <v>Aug'22</v>
      </c>
      <c r="H1004" s="140" t="str">
        <f>TEXT(RawData[[#This Row],[Date]], "YYYY")</f>
        <v>2022</v>
      </c>
      <c r="I1004" s="141" t="s">
        <v>32</v>
      </c>
      <c r="J1004" s="141" t="s">
        <v>90</v>
      </c>
      <c r="K1004" s="139">
        <f t="shared" si="47"/>
        <v>1</v>
      </c>
      <c r="L1004" s="142">
        <f>IF(RawData[[#This Row],[Paid/Unpaid]]="Paid", IF(VALUE($E1004)&gt;VALUE($D$3),$K1004* 10000,$K1004* 8000), 0)</f>
        <v>8000</v>
      </c>
      <c r="M1004" s="53" t="s">
        <v>146</v>
      </c>
    </row>
    <row r="1005" spans="1:13" ht="12.75" customHeight="1" x14ac:dyDescent="0.3">
      <c r="A1005" s="143" t="s">
        <v>15</v>
      </c>
      <c r="B1005" s="139" t="str">
        <f>IFERROR(VLOOKUP($A1005, NameDesignation[], 2,FALSE), " ")</f>
        <v>Former Director</v>
      </c>
      <c r="C1005" s="139" t="s">
        <v>29</v>
      </c>
      <c r="D1005" s="139">
        <v>475</v>
      </c>
      <c r="E1005" s="140">
        <v>44797</v>
      </c>
      <c r="F1005" s="139" t="str">
        <f t="shared" si="45"/>
        <v>Q3-22</v>
      </c>
      <c r="G1005" s="140" t="str">
        <f t="shared" si="46"/>
        <v>Aug'22</v>
      </c>
      <c r="H1005" s="140" t="str">
        <f>TEXT(RawData[[#This Row],[Date]], "YYYY")</f>
        <v>2022</v>
      </c>
      <c r="I1005" s="141" t="s">
        <v>32</v>
      </c>
      <c r="J1005" s="141" t="s">
        <v>90</v>
      </c>
      <c r="K1005" s="139">
        <f t="shared" si="47"/>
        <v>1</v>
      </c>
      <c r="L1005" s="142">
        <f>IF(RawData[[#This Row],[Paid/Unpaid]]="Paid", IF(VALUE($E1005)&gt;VALUE($D$3),$K1005* 10000,$K1005* 8000), 0)</f>
        <v>8000</v>
      </c>
      <c r="M1005" s="53" t="s">
        <v>146</v>
      </c>
    </row>
    <row r="1006" spans="1:13" ht="12.75" customHeight="1" x14ac:dyDescent="0.3">
      <c r="A1006" s="143" t="s">
        <v>16</v>
      </c>
      <c r="B1006" s="139" t="str">
        <f>IFERROR(VLOOKUP($A1006, NameDesignation[], 2,FALSE), " ")</f>
        <v>Former Director</v>
      </c>
      <c r="C1006" s="139" t="s">
        <v>29</v>
      </c>
      <c r="D1006" s="139">
        <v>475</v>
      </c>
      <c r="E1006" s="140">
        <v>44797</v>
      </c>
      <c r="F1006" s="139" t="str">
        <f t="shared" si="45"/>
        <v>Q3-22</v>
      </c>
      <c r="G1006" s="140" t="str">
        <f t="shared" si="46"/>
        <v>Aug'22</v>
      </c>
      <c r="H1006" s="140" t="str">
        <f>TEXT(RawData[[#This Row],[Date]], "YYYY")</f>
        <v>2022</v>
      </c>
      <c r="I1006" s="141" t="s">
        <v>32</v>
      </c>
      <c r="J1006" s="141" t="s">
        <v>90</v>
      </c>
      <c r="K1006" s="139">
        <f t="shared" si="47"/>
        <v>1</v>
      </c>
      <c r="L1006" s="142">
        <f>IF(RawData[[#This Row],[Paid/Unpaid]]="Paid", IF(VALUE($E1006)&gt;VALUE($D$3),$K1006* 10000,$K1006* 8000), 0)</f>
        <v>8000</v>
      </c>
      <c r="M1006" s="53" t="s">
        <v>146</v>
      </c>
    </row>
    <row r="1007" spans="1:13" ht="12.75" customHeight="1" x14ac:dyDescent="0.3">
      <c r="A1007" s="143" t="s">
        <v>25</v>
      </c>
      <c r="B1007" s="139" t="str">
        <f>IFERROR(VLOOKUP($A1007, NameDesignation[], 2,FALSE), " ")</f>
        <v>Former Director</v>
      </c>
      <c r="C1007" s="139" t="s">
        <v>29</v>
      </c>
      <c r="D1007" s="139">
        <v>475</v>
      </c>
      <c r="E1007" s="140">
        <v>44797</v>
      </c>
      <c r="F1007" s="139" t="str">
        <f t="shared" si="45"/>
        <v>Q3-22</v>
      </c>
      <c r="G1007" s="140" t="str">
        <f t="shared" si="46"/>
        <v>Aug'22</v>
      </c>
      <c r="H1007" s="140" t="str">
        <f>TEXT(RawData[[#This Row],[Date]], "YYYY")</f>
        <v>2022</v>
      </c>
      <c r="I1007" s="141" t="s">
        <v>32</v>
      </c>
      <c r="J1007" s="141" t="s">
        <v>90</v>
      </c>
      <c r="K1007" s="139">
        <f t="shared" si="47"/>
        <v>1</v>
      </c>
      <c r="L1007" s="142">
        <f>IF(RawData[[#This Row],[Paid/Unpaid]]="Paid", IF(VALUE($E1007)&gt;VALUE($D$3),$K1007* 10000,$K1007* 8000), 0)</f>
        <v>8000</v>
      </c>
      <c r="M1007" s="53" t="s">
        <v>146</v>
      </c>
    </row>
    <row r="1008" spans="1:13" ht="12.75" customHeight="1" x14ac:dyDescent="0.3">
      <c r="A1008" s="143" t="s">
        <v>50</v>
      </c>
      <c r="B1008" s="139" t="str">
        <f>IFERROR(VLOOKUP($A1008, NameDesignation[], 2,FALSE), " ")</f>
        <v>Former Director</v>
      </c>
      <c r="C1008" s="139" t="s">
        <v>29</v>
      </c>
      <c r="D1008" s="139">
        <v>475</v>
      </c>
      <c r="E1008" s="140">
        <v>44797</v>
      </c>
      <c r="F1008" s="139" t="str">
        <f t="shared" si="45"/>
        <v>Q3-22</v>
      </c>
      <c r="G1008" s="140" t="str">
        <f t="shared" si="46"/>
        <v>Aug'22</v>
      </c>
      <c r="H1008" s="140" t="str">
        <f>TEXT(RawData[[#This Row],[Date]], "YYYY")</f>
        <v>2022</v>
      </c>
      <c r="I1008" s="141" t="s">
        <v>32</v>
      </c>
      <c r="J1008" s="141" t="s">
        <v>91</v>
      </c>
      <c r="K1008" s="139">
        <f t="shared" si="47"/>
        <v>0</v>
      </c>
      <c r="L1008" s="142">
        <f>IF(RawData[[#This Row],[Paid/Unpaid]]="Paid", IF(VALUE($E1008)&gt;VALUE($D$3),$K1008* 10000,$K1008* 8000), 0)</f>
        <v>0</v>
      </c>
      <c r="M1008" s="53" t="s">
        <v>146</v>
      </c>
    </row>
    <row r="1009" spans="1:13" ht="12.75" customHeight="1" x14ac:dyDescent="0.3">
      <c r="A1009" s="143" t="s">
        <v>51</v>
      </c>
      <c r="B1009" s="139" t="str">
        <f>IFERROR(VLOOKUP($A1009, NameDesignation[], 2,FALSE), " ")</f>
        <v>Former Director</v>
      </c>
      <c r="C1009" s="139" t="s">
        <v>29</v>
      </c>
      <c r="D1009" s="139">
        <v>475</v>
      </c>
      <c r="E1009" s="140">
        <v>44797</v>
      </c>
      <c r="F1009" s="139" t="str">
        <f t="shared" si="45"/>
        <v>Q3-22</v>
      </c>
      <c r="G1009" s="140" t="str">
        <f t="shared" si="46"/>
        <v>Aug'22</v>
      </c>
      <c r="H1009" s="140" t="str">
        <f>TEXT(RawData[[#This Row],[Date]], "YYYY")</f>
        <v>2022</v>
      </c>
      <c r="I1009" s="141" t="s">
        <v>32</v>
      </c>
      <c r="J1009" s="141" t="s">
        <v>90</v>
      </c>
      <c r="K1009" s="139">
        <f t="shared" si="47"/>
        <v>1</v>
      </c>
      <c r="L1009" s="142">
        <f>IF(RawData[[#This Row],[Paid/Unpaid]]="Paid", IF(VALUE($E1009)&gt;VALUE($D$3),$K1009* 10000,$K1009* 8000), 0)</f>
        <v>8000</v>
      </c>
      <c r="M1009" s="53" t="s">
        <v>146</v>
      </c>
    </row>
    <row r="1010" spans="1:13" ht="12.75" customHeight="1" x14ac:dyDescent="0.3">
      <c r="A1010" s="143" t="s">
        <v>34</v>
      </c>
      <c r="B1010" s="139" t="str">
        <f>IFERROR(VLOOKUP($A1010, NameDesignation[], 2,FALSE), " ")</f>
        <v>Former Managing Director &amp; CEO</v>
      </c>
      <c r="C1010" s="139" t="s">
        <v>29</v>
      </c>
      <c r="D1010" s="139">
        <v>475</v>
      </c>
      <c r="E1010" s="140">
        <v>44797</v>
      </c>
      <c r="F1010" s="139" t="str">
        <f t="shared" si="45"/>
        <v>Q3-22</v>
      </c>
      <c r="G1010" s="140" t="str">
        <f t="shared" si="46"/>
        <v>Aug'22</v>
      </c>
      <c r="H1010" s="140" t="str">
        <f>TEXT(RawData[[#This Row],[Date]], "YYYY")</f>
        <v>2022</v>
      </c>
      <c r="I1010" s="141" t="s">
        <v>32</v>
      </c>
      <c r="J1010" s="141" t="s">
        <v>90</v>
      </c>
      <c r="K1010" s="139">
        <f t="shared" si="47"/>
        <v>1</v>
      </c>
      <c r="L1010" s="142">
        <f>IF(RawData[[#This Row],[Paid/Unpaid]]="Paid", IF(VALUE($E1010)&gt;VALUE($D$3),$K1010* 10000,$K1010* 8000), 0)</f>
        <v>8000</v>
      </c>
      <c r="M1010" s="53" t="s">
        <v>146</v>
      </c>
    </row>
    <row r="1011" spans="1:13" ht="12.75" customHeight="1" x14ac:dyDescent="0.3">
      <c r="A1011" s="144" t="s">
        <v>9</v>
      </c>
      <c r="B1011" s="139" t="str">
        <f>IFERROR(VLOOKUP($A1011, NameDesignation[], 2,FALSE), " ")</f>
        <v>Former Director</v>
      </c>
      <c r="C1011" s="139" t="s">
        <v>30</v>
      </c>
      <c r="D1011" s="139">
        <v>454</v>
      </c>
      <c r="E1011" s="140">
        <v>44829</v>
      </c>
      <c r="F1011" s="139" t="str">
        <f t="shared" si="45"/>
        <v>Q3-22</v>
      </c>
      <c r="G1011" s="140" t="str">
        <f t="shared" si="46"/>
        <v>Sep'22</v>
      </c>
      <c r="H1011" s="140" t="str">
        <f>TEXT(RawData[[#This Row],[Date]], "YYYY")</f>
        <v>2022</v>
      </c>
      <c r="I1011" s="141" t="s">
        <v>32</v>
      </c>
      <c r="J1011" s="141" t="s">
        <v>90</v>
      </c>
      <c r="K1011" s="139">
        <f t="shared" si="47"/>
        <v>1</v>
      </c>
      <c r="L1011" s="142">
        <f>IF(RawData[[#This Row],[Paid/Unpaid]]="Paid", IF(VALUE($E1011)&gt;VALUE($D$3),$K1011* 10000,$K1011* 8000), 0)</f>
        <v>8000</v>
      </c>
      <c r="M1011" s="53" t="s">
        <v>146</v>
      </c>
    </row>
    <row r="1012" spans="1:13" ht="12.75" customHeight="1" x14ac:dyDescent="0.3">
      <c r="A1012" s="144" t="s">
        <v>8</v>
      </c>
      <c r="B1012" s="139" t="str">
        <f>IFERROR(VLOOKUP($A1012, NameDesignation[], 2,FALSE), " ")</f>
        <v>Former Vice-Chairman</v>
      </c>
      <c r="C1012" s="139" t="s">
        <v>30</v>
      </c>
      <c r="D1012" s="139">
        <v>454</v>
      </c>
      <c r="E1012" s="140">
        <v>44829</v>
      </c>
      <c r="F1012" s="139" t="str">
        <f t="shared" si="45"/>
        <v>Q3-22</v>
      </c>
      <c r="G1012" s="140" t="str">
        <f t="shared" si="46"/>
        <v>Sep'22</v>
      </c>
      <c r="H1012" s="140" t="str">
        <f>TEXT(RawData[[#This Row],[Date]], "YYYY")</f>
        <v>2022</v>
      </c>
      <c r="I1012" s="141" t="s">
        <v>32</v>
      </c>
      <c r="J1012" s="141" t="s">
        <v>90</v>
      </c>
      <c r="K1012" s="139">
        <f t="shared" si="47"/>
        <v>1</v>
      </c>
      <c r="L1012" s="142">
        <f>IF(RawData[[#This Row],[Paid/Unpaid]]="Paid", IF(VALUE($E1012)&gt;VALUE($D$3),$K1012* 10000,$K1012* 8000), 0)</f>
        <v>8000</v>
      </c>
      <c r="M1012" s="53" t="s">
        <v>146</v>
      </c>
    </row>
    <row r="1013" spans="1:13" ht="12.75" customHeight="1" x14ac:dyDescent="0.3">
      <c r="A1013" s="144" t="s">
        <v>49</v>
      </c>
      <c r="B1013" s="139" t="str">
        <f>IFERROR(VLOOKUP($A1013, NameDesignation[], 2,FALSE), " ")</f>
        <v>Former Director</v>
      </c>
      <c r="C1013" s="139" t="s">
        <v>30</v>
      </c>
      <c r="D1013" s="139">
        <v>454</v>
      </c>
      <c r="E1013" s="140">
        <v>44829</v>
      </c>
      <c r="F1013" s="139" t="str">
        <f t="shared" si="45"/>
        <v>Q3-22</v>
      </c>
      <c r="G1013" s="140" t="str">
        <f t="shared" si="46"/>
        <v>Sep'22</v>
      </c>
      <c r="H1013" s="140" t="str">
        <f>TEXT(RawData[[#This Row],[Date]], "YYYY")</f>
        <v>2022</v>
      </c>
      <c r="I1013" s="141" t="s">
        <v>32</v>
      </c>
      <c r="J1013" s="141" t="s">
        <v>90</v>
      </c>
      <c r="K1013" s="139">
        <f t="shared" si="47"/>
        <v>1</v>
      </c>
      <c r="L1013" s="142">
        <f>IF(RawData[[#This Row],[Paid/Unpaid]]="Paid", IF(VALUE($E1013)&gt;VALUE($D$3),$K1013* 10000,$K1013* 8000), 0)</f>
        <v>8000</v>
      </c>
      <c r="M1013" s="53" t="s">
        <v>146</v>
      </c>
    </row>
    <row r="1014" spans="1:13" ht="12.75" customHeight="1" x14ac:dyDescent="0.3">
      <c r="A1014" s="144" t="s">
        <v>11</v>
      </c>
      <c r="B1014" s="139" t="str">
        <f>IFERROR(VLOOKUP($A1014, NameDesignation[], 2,FALSE), " ")</f>
        <v>Former Director</v>
      </c>
      <c r="C1014" s="139" t="s">
        <v>30</v>
      </c>
      <c r="D1014" s="139">
        <v>454</v>
      </c>
      <c r="E1014" s="140">
        <v>44829</v>
      </c>
      <c r="F1014" s="139" t="str">
        <f t="shared" si="45"/>
        <v>Q3-22</v>
      </c>
      <c r="G1014" s="140" t="str">
        <f t="shared" si="46"/>
        <v>Sep'22</v>
      </c>
      <c r="H1014" s="140" t="str">
        <f>TEXT(RawData[[#This Row],[Date]], "YYYY")</f>
        <v>2022</v>
      </c>
      <c r="I1014" s="141" t="s">
        <v>32</v>
      </c>
      <c r="J1014" s="141" t="s">
        <v>90</v>
      </c>
      <c r="K1014" s="139">
        <f t="shared" si="47"/>
        <v>1</v>
      </c>
      <c r="L1014" s="142">
        <f>IF(RawData[[#This Row],[Paid/Unpaid]]="Paid", IF(VALUE($E1014)&gt;VALUE($D$3),$K1014* 10000,$K1014* 8000), 0)</f>
        <v>8000</v>
      </c>
      <c r="M1014" s="53" t="s">
        <v>146</v>
      </c>
    </row>
    <row r="1015" spans="1:13" ht="12.75" customHeight="1" x14ac:dyDescent="0.3">
      <c r="A1015" s="144" t="s">
        <v>137</v>
      </c>
      <c r="B1015" s="139" t="str">
        <f>IFERROR(VLOOKUP($A1015, NameDesignation[], 2,FALSE), " ")</f>
        <v>Former Director</v>
      </c>
      <c r="C1015" s="139" t="s">
        <v>30</v>
      </c>
      <c r="D1015" s="139">
        <v>454</v>
      </c>
      <c r="E1015" s="140">
        <v>44829</v>
      </c>
      <c r="F1015" s="139" t="str">
        <f t="shared" si="45"/>
        <v>Q3-22</v>
      </c>
      <c r="G1015" s="140" t="str">
        <f t="shared" si="46"/>
        <v>Sep'22</v>
      </c>
      <c r="H1015" s="140" t="str">
        <f>TEXT(RawData[[#This Row],[Date]], "YYYY")</f>
        <v>2022</v>
      </c>
      <c r="I1015" s="141" t="s">
        <v>32</v>
      </c>
      <c r="J1015" s="141" t="s">
        <v>91</v>
      </c>
      <c r="K1015" s="139">
        <f t="shared" si="47"/>
        <v>0</v>
      </c>
      <c r="L1015" s="142">
        <f>IF(RawData[[#This Row],[Paid/Unpaid]]="Paid", IF(VALUE($E1015)&gt;VALUE($D$3),$K1015* 10000,$K1015* 8000), 0)</f>
        <v>0</v>
      </c>
      <c r="M1015" s="53" t="s">
        <v>146</v>
      </c>
    </row>
    <row r="1016" spans="1:13" ht="12.75" customHeight="1" x14ac:dyDescent="0.3">
      <c r="A1016" s="144" t="s">
        <v>13</v>
      </c>
      <c r="B1016" s="139" t="str">
        <f>IFERROR(VLOOKUP($A1016, NameDesignation[], 2,FALSE), " ")</f>
        <v>Former Director</v>
      </c>
      <c r="C1016" s="139" t="s">
        <v>30</v>
      </c>
      <c r="D1016" s="139">
        <v>454</v>
      </c>
      <c r="E1016" s="140">
        <v>44829</v>
      </c>
      <c r="F1016" s="139" t="str">
        <f t="shared" si="45"/>
        <v>Q3-22</v>
      </c>
      <c r="G1016" s="140" t="str">
        <f t="shared" si="46"/>
        <v>Sep'22</v>
      </c>
      <c r="H1016" s="140" t="str">
        <f>TEXT(RawData[[#This Row],[Date]], "YYYY")</f>
        <v>2022</v>
      </c>
      <c r="I1016" s="141" t="s">
        <v>32</v>
      </c>
      <c r="J1016" s="141" t="s">
        <v>91</v>
      </c>
      <c r="K1016" s="139">
        <f t="shared" si="47"/>
        <v>0</v>
      </c>
      <c r="L1016" s="142">
        <f>IF(RawData[[#This Row],[Paid/Unpaid]]="Paid", IF(VALUE($E1016)&gt;VALUE($D$3),$K1016* 10000,$K1016* 8000), 0)</f>
        <v>0</v>
      </c>
      <c r="M1016" s="53" t="s">
        <v>146</v>
      </c>
    </row>
    <row r="1017" spans="1:13" ht="12.75" customHeight="1" x14ac:dyDescent="0.3">
      <c r="A1017" s="144" t="s">
        <v>25</v>
      </c>
      <c r="B1017" s="139" t="str">
        <f>IFERROR(VLOOKUP($A1017, NameDesignation[], 2,FALSE), " ")</f>
        <v>Former Director</v>
      </c>
      <c r="C1017" s="139" t="s">
        <v>30</v>
      </c>
      <c r="D1017" s="139">
        <v>454</v>
      </c>
      <c r="E1017" s="140">
        <v>44829</v>
      </c>
      <c r="F1017" s="139" t="str">
        <f t="shared" si="45"/>
        <v>Q3-22</v>
      </c>
      <c r="G1017" s="140" t="str">
        <f t="shared" si="46"/>
        <v>Sep'22</v>
      </c>
      <c r="H1017" s="140" t="str">
        <f>TEXT(RawData[[#This Row],[Date]], "YYYY")</f>
        <v>2022</v>
      </c>
      <c r="I1017" s="141" t="s">
        <v>32</v>
      </c>
      <c r="J1017" s="141" t="s">
        <v>90</v>
      </c>
      <c r="K1017" s="139">
        <f t="shared" si="47"/>
        <v>1</v>
      </c>
      <c r="L1017" s="142">
        <f>IF(RawData[[#This Row],[Paid/Unpaid]]="Paid", IF(VALUE($E1017)&gt;VALUE($D$3),$K1017* 10000,$K1017* 8000), 0)</f>
        <v>8000</v>
      </c>
      <c r="M1017" s="53" t="s">
        <v>146</v>
      </c>
    </row>
    <row r="1018" spans="1:13" ht="12.75" customHeight="1" x14ac:dyDescent="0.3">
      <c r="A1018" s="143" t="s">
        <v>34</v>
      </c>
      <c r="B1018" s="139" t="str">
        <f>IFERROR(VLOOKUP($A1018, NameDesignation[], 2,FALSE), " ")</f>
        <v>Former Managing Director &amp; CEO</v>
      </c>
      <c r="C1018" s="139" t="s">
        <v>29</v>
      </c>
      <c r="D1018" s="139">
        <v>476</v>
      </c>
      <c r="E1018" s="140">
        <v>44832</v>
      </c>
      <c r="F1018" s="139" t="str">
        <f t="shared" si="45"/>
        <v>Q3-22</v>
      </c>
      <c r="G1018" s="140" t="str">
        <f t="shared" si="46"/>
        <v>Sep'22</v>
      </c>
      <c r="H1018" s="140" t="str">
        <f>TEXT(RawData[[#This Row],[Date]], "YYYY")</f>
        <v>2022</v>
      </c>
      <c r="I1018" s="141" t="s">
        <v>32</v>
      </c>
      <c r="J1018" s="141" t="s">
        <v>90</v>
      </c>
      <c r="K1018" s="139">
        <f t="shared" si="47"/>
        <v>1</v>
      </c>
      <c r="L1018" s="142">
        <f>IF(RawData[[#This Row],[Paid/Unpaid]]="Paid", IF(VALUE($E1018)&gt;VALUE($D$3),$K1018* 10000,$K1018* 8000), 0)</f>
        <v>8000</v>
      </c>
      <c r="M1018" s="53" t="s">
        <v>146</v>
      </c>
    </row>
    <row r="1019" spans="1:13" ht="12.75" customHeight="1" x14ac:dyDescent="0.3">
      <c r="A1019" s="143" t="s">
        <v>7</v>
      </c>
      <c r="B1019" s="139" t="str">
        <f>IFERROR(VLOOKUP($A1019, NameDesignation[], 2,FALSE), " ")</f>
        <v>Former Director</v>
      </c>
      <c r="C1019" s="139" t="s">
        <v>29</v>
      </c>
      <c r="D1019" s="139">
        <v>476</v>
      </c>
      <c r="E1019" s="140">
        <v>44832</v>
      </c>
      <c r="F1019" s="139" t="str">
        <f t="shared" si="45"/>
        <v>Q3-22</v>
      </c>
      <c r="G1019" s="140" t="str">
        <f t="shared" si="46"/>
        <v>Sep'22</v>
      </c>
      <c r="H1019" s="140" t="str">
        <f>TEXT(RawData[[#This Row],[Date]], "YYYY")</f>
        <v>2022</v>
      </c>
      <c r="I1019" s="141" t="s">
        <v>32</v>
      </c>
      <c r="J1019" s="141" t="s">
        <v>90</v>
      </c>
      <c r="K1019" s="139">
        <f t="shared" si="47"/>
        <v>1</v>
      </c>
      <c r="L1019" s="142">
        <f>IF(RawData[[#This Row],[Paid/Unpaid]]="Paid", IF(VALUE($E1019)&gt;VALUE($D$3),$K1019* 10000,$K1019* 8000), 0)</f>
        <v>8000</v>
      </c>
      <c r="M1019" s="53" t="s">
        <v>146</v>
      </c>
    </row>
    <row r="1020" spans="1:13" ht="12.75" customHeight="1" x14ac:dyDescent="0.3">
      <c r="A1020" s="143" t="s">
        <v>8</v>
      </c>
      <c r="B1020" s="139" t="str">
        <f>IFERROR(VLOOKUP($A1020, NameDesignation[], 2,FALSE), " ")</f>
        <v>Former Vice-Chairman</v>
      </c>
      <c r="C1020" s="139" t="s">
        <v>29</v>
      </c>
      <c r="D1020" s="139">
        <v>476</v>
      </c>
      <c r="E1020" s="140">
        <v>44832</v>
      </c>
      <c r="F1020" s="139" t="str">
        <f t="shared" si="45"/>
        <v>Q3-22</v>
      </c>
      <c r="G1020" s="140" t="str">
        <f t="shared" si="46"/>
        <v>Sep'22</v>
      </c>
      <c r="H1020" s="140" t="str">
        <f>TEXT(RawData[[#This Row],[Date]], "YYYY")</f>
        <v>2022</v>
      </c>
      <c r="I1020" s="141" t="s">
        <v>32</v>
      </c>
      <c r="J1020" s="141" t="s">
        <v>90</v>
      </c>
      <c r="K1020" s="139">
        <f t="shared" si="47"/>
        <v>1</v>
      </c>
      <c r="L1020" s="142">
        <f>IF(RawData[[#This Row],[Paid/Unpaid]]="Paid", IF(VALUE($E1020)&gt;VALUE($D$3),$K1020* 10000,$K1020* 8000), 0)</f>
        <v>8000</v>
      </c>
      <c r="M1020" s="53" t="s">
        <v>146</v>
      </c>
    </row>
    <row r="1021" spans="1:13" ht="12.75" customHeight="1" x14ac:dyDescent="0.3">
      <c r="A1021" s="143" t="s">
        <v>9</v>
      </c>
      <c r="B1021" s="139" t="str">
        <f>IFERROR(VLOOKUP($A1021, NameDesignation[], 2,FALSE), " ")</f>
        <v>Former Director</v>
      </c>
      <c r="C1021" s="139" t="s">
        <v>29</v>
      </c>
      <c r="D1021" s="139">
        <v>476</v>
      </c>
      <c r="E1021" s="140">
        <v>44832</v>
      </c>
      <c r="F1021" s="139" t="str">
        <f t="shared" si="45"/>
        <v>Q3-22</v>
      </c>
      <c r="G1021" s="140" t="str">
        <f t="shared" si="46"/>
        <v>Sep'22</v>
      </c>
      <c r="H1021" s="140" t="str">
        <f>TEXT(RawData[[#This Row],[Date]], "YYYY")</f>
        <v>2022</v>
      </c>
      <c r="I1021" s="141" t="s">
        <v>32</v>
      </c>
      <c r="J1021" s="141" t="s">
        <v>91</v>
      </c>
      <c r="K1021" s="139">
        <f t="shared" si="47"/>
        <v>0</v>
      </c>
      <c r="L1021" s="142">
        <f>IF(RawData[[#This Row],[Paid/Unpaid]]="Paid", IF(VALUE($E1021)&gt;VALUE($D$3),$K1021* 10000,$K1021* 8000), 0)</f>
        <v>0</v>
      </c>
      <c r="M1021" s="53" t="s">
        <v>146</v>
      </c>
    </row>
    <row r="1022" spans="1:13" ht="12.75" customHeight="1" x14ac:dyDescent="0.3">
      <c r="A1022" s="143" t="s">
        <v>20</v>
      </c>
      <c r="B1022" s="139" t="str">
        <f>IFERROR(VLOOKUP($A1022, NameDesignation[], 2,FALSE), " ")</f>
        <v>Former Independent Director</v>
      </c>
      <c r="C1022" s="139" t="s">
        <v>29</v>
      </c>
      <c r="D1022" s="139">
        <v>476</v>
      </c>
      <c r="E1022" s="140">
        <v>44832</v>
      </c>
      <c r="F1022" s="139" t="str">
        <f t="shared" si="45"/>
        <v>Q3-22</v>
      </c>
      <c r="G1022" s="140" t="str">
        <f t="shared" si="46"/>
        <v>Sep'22</v>
      </c>
      <c r="H1022" s="140" t="str">
        <f>TEXT(RawData[[#This Row],[Date]], "YYYY")</f>
        <v>2022</v>
      </c>
      <c r="I1022" s="141" t="s">
        <v>32</v>
      </c>
      <c r="J1022" s="141" t="s">
        <v>90</v>
      </c>
      <c r="K1022" s="139">
        <f t="shared" si="47"/>
        <v>1</v>
      </c>
      <c r="L1022" s="142">
        <f>IF(RawData[[#This Row],[Paid/Unpaid]]="Paid", IF(VALUE($E1022)&gt;VALUE($D$3),$K1022* 10000,$K1022* 8000), 0)</f>
        <v>8000</v>
      </c>
      <c r="M1022" s="53" t="s">
        <v>146</v>
      </c>
    </row>
    <row r="1023" spans="1:13" ht="12.75" customHeight="1" x14ac:dyDescent="0.3">
      <c r="A1023" s="143" t="s">
        <v>49</v>
      </c>
      <c r="B1023" s="139" t="str">
        <f>IFERROR(VLOOKUP($A1023, NameDesignation[], 2,FALSE), " ")</f>
        <v>Former Director</v>
      </c>
      <c r="C1023" s="139" t="s">
        <v>29</v>
      </c>
      <c r="D1023" s="139">
        <v>476</v>
      </c>
      <c r="E1023" s="140">
        <v>44832</v>
      </c>
      <c r="F1023" s="139" t="str">
        <f t="shared" si="45"/>
        <v>Q3-22</v>
      </c>
      <c r="G1023" s="140" t="str">
        <f t="shared" si="46"/>
        <v>Sep'22</v>
      </c>
      <c r="H1023" s="140" t="str">
        <f>TEXT(RawData[[#This Row],[Date]], "YYYY")</f>
        <v>2022</v>
      </c>
      <c r="I1023" s="141" t="s">
        <v>32</v>
      </c>
      <c r="J1023" s="141" t="s">
        <v>90</v>
      </c>
      <c r="K1023" s="139">
        <f t="shared" si="47"/>
        <v>1</v>
      </c>
      <c r="L1023" s="142">
        <f>IF(RawData[[#This Row],[Paid/Unpaid]]="Paid", IF(VALUE($E1023)&gt;VALUE($D$3),$K1023* 10000,$K1023* 8000), 0)</f>
        <v>8000</v>
      </c>
      <c r="M1023" s="53" t="s">
        <v>146</v>
      </c>
    </row>
    <row r="1024" spans="1:13" ht="12.75" customHeight="1" x14ac:dyDescent="0.3">
      <c r="A1024" s="143" t="s">
        <v>11</v>
      </c>
      <c r="B1024" s="139" t="str">
        <f>IFERROR(VLOOKUP($A1024, NameDesignation[], 2,FALSE), " ")</f>
        <v>Former Director</v>
      </c>
      <c r="C1024" s="139" t="s">
        <v>29</v>
      </c>
      <c r="D1024" s="139">
        <v>476</v>
      </c>
      <c r="E1024" s="140">
        <v>44832</v>
      </c>
      <c r="F1024" s="139" t="str">
        <f t="shared" si="45"/>
        <v>Q3-22</v>
      </c>
      <c r="G1024" s="140" t="str">
        <f t="shared" si="46"/>
        <v>Sep'22</v>
      </c>
      <c r="H1024" s="140" t="str">
        <f>TEXT(RawData[[#This Row],[Date]], "YYYY")</f>
        <v>2022</v>
      </c>
      <c r="I1024" s="141" t="s">
        <v>32</v>
      </c>
      <c r="J1024" s="141" t="s">
        <v>90</v>
      </c>
      <c r="K1024" s="139">
        <f t="shared" si="47"/>
        <v>1</v>
      </c>
      <c r="L1024" s="142">
        <f>IF(RawData[[#This Row],[Paid/Unpaid]]="Paid", IF(VALUE($E1024)&gt;VALUE($D$3),$K1024* 10000,$K1024* 8000), 0)</f>
        <v>8000</v>
      </c>
      <c r="M1024" s="53" t="s">
        <v>146</v>
      </c>
    </row>
    <row r="1025" spans="1:13" ht="12.75" customHeight="1" x14ac:dyDescent="0.3">
      <c r="A1025" s="143" t="s">
        <v>12</v>
      </c>
      <c r="B1025" s="139" t="str">
        <f>IFERROR(VLOOKUP($A1025, NameDesignation[], 2,FALSE), " ")</f>
        <v>Former Director</v>
      </c>
      <c r="C1025" s="139" t="s">
        <v>29</v>
      </c>
      <c r="D1025" s="139">
        <v>476</v>
      </c>
      <c r="E1025" s="140">
        <v>44832</v>
      </c>
      <c r="F1025" s="139" t="str">
        <f t="shared" si="45"/>
        <v>Q3-22</v>
      </c>
      <c r="G1025" s="140" t="str">
        <f t="shared" si="46"/>
        <v>Sep'22</v>
      </c>
      <c r="H1025" s="140" t="str">
        <f>TEXT(RawData[[#This Row],[Date]], "YYYY")</f>
        <v>2022</v>
      </c>
      <c r="I1025" s="141" t="s">
        <v>32</v>
      </c>
      <c r="J1025" s="141" t="s">
        <v>90</v>
      </c>
      <c r="K1025" s="139">
        <f t="shared" si="47"/>
        <v>1</v>
      </c>
      <c r="L1025" s="142">
        <f>IF(RawData[[#This Row],[Paid/Unpaid]]="Paid", IF(VALUE($E1025)&gt;VALUE($D$3),$K1025* 10000,$K1025* 8000), 0)</f>
        <v>8000</v>
      </c>
      <c r="M1025" s="53" t="s">
        <v>146</v>
      </c>
    </row>
    <row r="1026" spans="1:13" ht="12.75" customHeight="1" x14ac:dyDescent="0.3">
      <c r="A1026" s="143" t="s">
        <v>137</v>
      </c>
      <c r="B1026" s="139" t="str">
        <f>IFERROR(VLOOKUP($A1026, NameDesignation[], 2,FALSE), " ")</f>
        <v>Former Director</v>
      </c>
      <c r="C1026" s="139" t="s">
        <v>29</v>
      </c>
      <c r="D1026" s="139">
        <v>476</v>
      </c>
      <c r="E1026" s="140">
        <v>44832</v>
      </c>
      <c r="F1026" s="139" t="str">
        <f t="shared" si="45"/>
        <v>Q3-22</v>
      </c>
      <c r="G1026" s="140" t="str">
        <f t="shared" si="46"/>
        <v>Sep'22</v>
      </c>
      <c r="H1026" s="140" t="str">
        <f>TEXT(RawData[[#This Row],[Date]], "YYYY")</f>
        <v>2022</v>
      </c>
      <c r="I1026" s="141" t="s">
        <v>32</v>
      </c>
      <c r="J1026" s="141" t="s">
        <v>90</v>
      </c>
      <c r="K1026" s="139">
        <f t="shared" si="47"/>
        <v>1</v>
      </c>
      <c r="L1026" s="142">
        <f>IF(RawData[[#This Row],[Paid/Unpaid]]="Paid", IF(VALUE($E1026)&gt;VALUE($D$3),$K1026* 10000,$K1026* 8000), 0)</f>
        <v>8000</v>
      </c>
      <c r="M1026" s="53" t="s">
        <v>146</v>
      </c>
    </row>
    <row r="1027" spans="1:13" ht="12.75" customHeight="1" x14ac:dyDescent="0.3">
      <c r="A1027" s="143" t="s">
        <v>13</v>
      </c>
      <c r="B1027" s="139" t="str">
        <f>IFERROR(VLOOKUP($A1027, NameDesignation[], 2,FALSE), " ")</f>
        <v>Former Director</v>
      </c>
      <c r="C1027" s="139" t="s">
        <v>29</v>
      </c>
      <c r="D1027" s="139">
        <v>476</v>
      </c>
      <c r="E1027" s="140">
        <v>44832</v>
      </c>
      <c r="F1027" s="139" t="str">
        <f t="shared" si="45"/>
        <v>Q3-22</v>
      </c>
      <c r="G1027" s="140" t="str">
        <f t="shared" si="46"/>
        <v>Sep'22</v>
      </c>
      <c r="H1027" s="140" t="str">
        <f>TEXT(RawData[[#This Row],[Date]], "YYYY")</f>
        <v>2022</v>
      </c>
      <c r="I1027" s="141" t="s">
        <v>32</v>
      </c>
      <c r="J1027" s="141" t="s">
        <v>90</v>
      </c>
      <c r="K1027" s="139">
        <f t="shared" si="47"/>
        <v>1</v>
      </c>
      <c r="L1027" s="142">
        <f>IF(RawData[[#This Row],[Paid/Unpaid]]="Paid", IF(VALUE($E1027)&gt;VALUE($D$3),$K1027* 10000,$K1027* 8000), 0)</f>
        <v>8000</v>
      </c>
      <c r="M1027" s="53" t="s">
        <v>146</v>
      </c>
    </row>
    <row r="1028" spans="1:13" ht="12.75" customHeight="1" x14ac:dyDescent="0.3">
      <c r="A1028" s="143" t="s">
        <v>61</v>
      </c>
      <c r="B1028" s="139" t="str">
        <f>IFERROR(VLOOKUP($A1028, NameDesignation[], 2,FALSE), " ")</f>
        <v>Former Director</v>
      </c>
      <c r="C1028" s="139" t="s">
        <v>29</v>
      </c>
      <c r="D1028" s="139">
        <v>476</v>
      </c>
      <c r="E1028" s="140">
        <v>44832</v>
      </c>
      <c r="F1028" s="139" t="str">
        <f t="shared" si="45"/>
        <v>Q3-22</v>
      </c>
      <c r="G1028" s="140" t="str">
        <f t="shared" si="46"/>
        <v>Sep'22</v>
      </c>
      <c r="H1028" s="140" t="str">
        <f>TEXT(RawData[[#This Row],[Date]], "YYYY")</f>
        <v>2022</v>
      </c>
      <c r="I1028" s="141" t="s">
        <v>32</v>
      </c>
      <c r="J1028" s="141" t="s">
        <v>90</v>
      </c>
      <c r="K1028" s="139">
        <f t="shared" si="47"/>
        <v>1</v>
      </c>
      <c r="L1028" s="142">
        <f>IF(RawData[[#This Row],[Paid/Unpaid]]="Paid", IF(VALUE($E1028)&gt;VALUE($D$3),$K1028* 10000,$K1028* 8000), 0)</f>
        <v>8000</v>
      </c>
      <c r="M1028" s="53" t="s">
        <v>146</v>
      </c>
    </row>
    <row r="1029" spans="1:13" ht="12.75" customHeight="1" x14ac:dyDescent="0.3">
      <c r="A1029" s="143" t="s">
        <v>23</v>
      </c>
      <c r="B1029" s="139" t="str">
        <f>IFERROR(VLOOKUP($A1029, NameDesignation[], 2,FALSE), " ")</f>
        <v>Former Director</v>
      </c>
      <c r="C1029" s="139" t="s">
        <v>29</v>
      </c>
      <c r="D1029" s="139">
        <v>476</v>
      </c>
      <c r="E1029" s="140">
        <v>44832</v>
      </c>
      <c r="F1029" s="139" t="str">
        <f t="shared" si="45"/>
        <v>Q3-22</v>
      </c>
      <c r="G1029" s="140" t="str">
        <f t="shared" si="46"/>
        <v>Sep'22</v>
      </c>
      <c r="H1029" s="140" t="str">
        <f>TEXT(RawData[[#This Row],[Date]], "YYYY")</f>
        <v>2022</v>
      </c>
      <c r="I1029" s="141" t="s">
        <v>32</v>
      </c>
      <c r="J1029" s="141" t="s">
        <v>90</v>
      </c>
      <c r="K1029" s="139">
        <f t="shared" si="47"/>
        <v>1</v>
      </c>
      <c r="L1029" s="142">
        <f>IF(RawData[[#This Row],[Paid/Unpaid]]="Paid", IF(VALUE($E1029)&gt;VALUE($D$3),$K1029* 10000,$K1029* 8000), 0)</f>
        <v>8000</v>
      </c>
      <c r="M1029" s="53" t="s">
        <v>146</v>
      </c>
    </row>
    <row r="1030" spans="1:13" ht="12.75" customHeight="1" x14ac:dyDescent="0.3">
      <c r="A1030" s="143" t="s">
        <v>24</v>
      </c>
      <c r="B1030" s="139" t="str">
        <f>IFERROR(VLOOKUP($A1030, NameDesignation[], 2,FALSE), " ")</f>
        <v>Former Director</v>
      </c>
      <c r="C1030" s="139" t="s">
        <v>29</v>
      </c>
      <c r="D1030" s="139">
        <v>476</v>
      </c>
      <c r="E1030" s="140">
        <v>44832</v>
      </c>
      <c r="F1030" s="139" t="str">
        <f t="shared" ref="F1030:F1093" si="48">CONCATENATE("Q", ROUNDUP(MONTH($E1030)/3,0),"-",TEXT($E1030, "yy"))</f>
        <v>Q3-22</v>
      </c>
      <c r="G1030" s="140" t="str">
        <f t="shared" ref="G1030:G1093" si="49">CONCATENATE(TEXT($E1030, "mmm"),"'", TEXT($E1030, "yy"))</f>
        <v>Sep'22</v>
      </c>
      <c r="H1030" s="140" t="str">
        <f>TEXT(RawData[[#This Row],[Date]], "YYYY")</f>
        <v>2022</v>
      </c>
      <c r="I1030" s="141" t="s">
        <v>32</v>
      </c>
      <c r="J1030" s="141" t="s">
        <v>90</v>
      </c>
      <c r="K1030" s="139">
        <f t="shared" ref="K1030:K1093" si="50">IF($J1030="Present", 1, 0)</f>
        <v>1</v>
      </c>
      <c r="L1030" s="142">
        <f>IF(RawData[[#This Row],[Paid/Unpaid]]="Paid", IF(VALUE($E1030)&gt;VALUE($D$3),$K1030* 10000,$K1030* 8000), 0)</f>
        <v>8000</v>
      </c>
      <c r="M1030" s="53" t="s">
        <v>146</v>
      </c>
    </row>
    <row r="1031" spans="1:13" ht="12.75" customHeight="1" x14ac:dyDescent="0.3">
      <c r="A1031" s="143" t="s">
        <v>15</v>
      </c>
      <c r="B1031" s="139" t="str">
        <f>IFERROR(VLOOKUP($A1031, NameDesignation[], 2,FALSE), " ")</f>
        <v>Former Director</v>
      </c>
      <c r="C1031" s="139" t="s">
        <v>29</v>
      </c>
      <c r="D1031" s="139">
        <v>476</v>
      </c>
      <c r="E1031" s="140">
        <v>44832</v>
      </c>
      <c r="F1031" s="139" t="str">
        <f t="shared" si="48"/>
        <v>Q3-22</v>
      </c>
      <c r="G1031" s="140" t="str">
        <f t="shared" si="49"/>
        <v>Sep'22</v>
      </c>
      <c r="H1031" s="140" t="str">
        <f>TEXT(RawData[[#This Row],[Date]], "YYYY")</f>
        <v>2022</v>
      </c>
      <c r="I1031" s="141" t="s">
        <v>32</v>
      </c>
      <c r="J1031" s="141" t="s">
        <v>90</v>
      </c>
      <c r="K1031" s="139">
        <f t="shared" si="50"/>
        <v>1</v>
      </c>
      <c r="L1031" s="142">
        <f>IF(RawData[[#This Row],[Paid/Unpaid]]="Paid", IF(VALUE($E1031)&gt;VALUE($D$3),$K1031* 10000,$K1031* 8000), 0)</f>
        <v>8000</v>
      </c>
      <c r="M1031" s="53" t="s">
        <v>146</v>
      </c>
    </row>
    <row r="1032" spans="1:13" ht="12.75" customHeight="1" x14ac:dyDescent="0.3">
      <c r="A1032" s="143" t="s">
        <v>16</v>
      </c>
      <c r="B1032" s="139" t="str">
        <f>IFERROR(VLOOKUP($A1032, NameDesignation[], 2,FALSE), " ")</f>
        <v>Former Director</v>
      </c>
      <c r="C1032" s="139" t="s">
        <v>29</v>
      </c>
      <c r="D1032" s="139">
        <v>476</v>
      </c>
      <c r="E1032" s="140">
        <v>44832</v>
      </c>
      <c r="F1032" s="139" t="str">
        <f t="shared" si="48"/>
        <v>Q3-22</v>
      </c>
      <c r="G1032" s="140" t="str">
        <f t="shared" si="49"/>
        <v>Sep'22</v>
      </c>
      <c r="H1032" s="140" t="str">
        <f>TEXT(RawData[[#This Row],[Date]], "YYYY")</f>
        <v>2022</v>
      </c>
      <c r="I1032" s="141" t="s">
        <v>32</v>
      </c>
      <c r="J1032" s="141" t="s">
        <v>90</v>
      </c>
      <c r="K1032" s="139">
        <f t="shared" si="50"/>
        <v>1</v>
      </c>
      <c r="L1032" s="142">
        <f>IF(RawData[[#This Row],[Paid/Unpaid]]="Paid", IF(VALUE($E1032)&gt;VALUE($D$3),$K1032* 10000,$K1032* 8000), 0)</f>
        <v>8000</v>
      </c>
      <c r="M1032" s="53" t="s">
        <v>146</v>
      </c>
    </row>
    <row r="1033" spans="1:13" ht="12.75" customHeight="1" x14ac:dyDescent="0.3">
      <c r="A1033" s="143" t="s">
        <v>25</v>
      </c>
      <c r="B1033" s="139" t="str">
        <f>IFERROR(VLOOKUP($A1033, NameDesignation[], 2,FALSE), " ")</f>
        <v>Former Director</v>
      </c>
      <c r="C1033" s="139" t="s">
        <v>29</v>
      </c>
      <c r="D1033" s="139">
        <v>476</v>
      </c>
      <c r="E1033" s="140">
        <v>44832</v>
      </c>
      <c r="F1033" s="139" t="str">
        <f t="shared" si="48"/>
        <v>Q3-22</v>
      </c>
      <c r="G1033" s="140" t="str">
        <f t="shared" si="49"/>
        <v>Sep'22</v>
      </c>
      <c r="H1033" s="140" t="str">
        <f>TEXT(RawData[[#This Row],[Date]], "YYYY")</f>
        <v>2022</v>
      </c>
      <c r="I1033" s="141" t="s">
        <v>32</v>
      </c>
      <c r="J1033" s="141" t="s">
        <v>91</v>
      </c>
      <c r="K1033" s="139">
        <f t="shared" si="50"/>
        <v>0</v>
      </c>
      <c r="L1033" s="142">
        <f>IF(RawData[[#This Row],[Paid/Unpaid]]="Paid", IF(VALUE($E1033)&gt;VALUE($D$3),$K1033* 10000,$K1033* 8000), 0)</f>
        <v>0</v>
      </c>
      <c r="M1033" s="53" t="s">
        <v>146</v>
      </c>
    </row>
    <row r="1034" spans="1:13" ht="12.75" customHeight="1" x14ac:dyDescent="0.3">
      <c r="A1034" s="143" t="s">
        <v>50</v>
      </c>
      <c r="B1034" s="139" t="str">
        <f>IFERROR(VLOOKUP($A1034, NameDesignation[], 2,FALSE), " ")</f>
        <v>Former Director</v>
      </c>
      <c r="C1034" s="139" t="s">
        <v>29</v>
      </c>
      <c r="D1034" s="139">
        <v>476</v>
      </c>
      <c r="E1034" s="140">
        <v>44832</v>
      </c>
      <c r="F1034" s="139" t="str">
        <f t="shared" si="48"/>
        <v>Q3-22</v>
      </c>
      <c r="G1034" s="140" t="str">
        <f t="shared" si="49"/>
        <v>Sep'22</v>
      </c>
      <c r="H1034" s="140" t="str">
        <f>TEXT(RawData[[#This Row],[Date]], "YYYY")</f>
        <v>2022</v>
      </c>
      <c r="I1034" s="141" t="s">
        <v>32</v>
      </c>
      <c r="J1034" s="141" t="s">
        <v>90</v>
      </c>
      <c r="K1034" s="139">
        <f t="shared" si="50"/>
        <v>1</v>
      </c>
      <c r="L1034" s="142">
        <f>IF(RawData[[#This Row],[Paid/Unpaid]]="Paid", IF(VALUE($E1034)&gt;VALUE($D$3),$K1034* 10000,$K1034* 8000), 0)</f>
        <v>8000</v>
      </c>
      <c r="M1034" s="53" t="s">
        <v>146</v>
      </c>
    </row>
    <row r="1035" spans="1:13" ht="12.75" customHeight="1" x14ac:dyDescent="0.3">
      <c r="A1035" s="143" t="s">
        <v>51</v>
      </c>
      <c r="B1035" s="139" t="str">
        <f>IFERROR(VLOOKUP($A1035, NameDesignation[], 2,FALSE), " ")</f>
        <v>Former Director</v>
      </c>
      <c r="C1035" s="139" t="s">
        <v>29</v>
      </c>
      <c r="D1035" s="139">
        <v>476</v>
      </c>
      <c r="E1035" s="140">
        <v>44832</v>
      </c>
      <c r="F1035" s="139" t="str">
        <f t="shared" si="48"/>
        <v>Q3-22</v>
      </c>
      <c r="G1035" s="140" t="str">
        <f t="shared" si="49"/>
        <v>Sep'22</v>
      </c>
      <c r="H1035" s="140" t="str">
        <f>TEXT(RawData[[#This Row],[Date]], "YYYY")</f>
        <v>2022</v>
      </c>
      <c r="I1035" s="141" t="s">
        <v>32</v>
      </c>
      <c r="J1035" s="141" t="s">
        <v>90</v>
      </c>
      <c r="K1035" s="139">
        <f t="shared" si="50"/>
        <v>1</v>
      </c>
      <c r="L1035" s="142">
        <f>IF(RawData[[#This Row],[Paid/Unpaid]]="Paid", IF(VALUE($E1035)&gt;VALUE($D$3),$K1035* 10000,$K1035* 8000), 0)</f>
        <v>8000</v>
      </c>
      <c r="M1035" s="53" t="s">
        <v>146</v>
      </c>
    </row>
    <row r="1036" spans="1:13" ht="12.75" customHeight="1" x14ac:dyDescent="0.3">
      <c r="A1036" s="144" t="s">
        <v>9</v>
      </c>
      <c r="B1036" s="139" t="str">
        <f>IFERROR(VLOOKUP($A1036, NameDesignation[], 2,FALSE), " ")</f>
        <v>Former Director</v>
      </c>
      <c r="C1036" s="139" t="s">
        <v>30</v>
      </c>
      <c r="D1036" s="139">
        <v>455</v>
      </c>
      <c r="E1036" s="140">
        <v>44857</v>
      </c>
      <c r="F1036" s="139" t="str">
        <f t="shared" si="48"/>
        <v>Q4-22</v>
      </c>
      <c r="G1036" s="140" t="str">
        <f t="shared" si="49"/>
        <v>Oct'22</v>
      </c>
      <c r="H1036" s="140" t="str">
        <f>TEXT(RawData[[#This Row],[Date]], "YYYY")</f>
        <v>2022</v>
      </c>
      <c r="I1036" s="141" t="s">
        <v>32</v>
      </c>
      <c r="J1036" s="141" t="s">
        <v>90</v>
      </c>
      <c r="K1036" s="139">
        <f t="shared" si="50"/>
        <v>1</v>
      </c>
      <c r="L1036" s="142">
        <f>IF(RawData[[#This Row],[Paid/Unpaid]]="Paid", IF(VALUE($E1036)&gt;VALUE($D$3),$K1036* 10000,$K1036* 8000), 0)</f>
        <v>8000</v>
      </c>
      <c r="M1036" s="53" t="s">
        <v>146</v>
      </c>
    </row>
    <row r="1037" spans="1:13" ht="12.75" customHeight="1" x14ac:dyDescent="0.3">
      <c r="A1037" s="144" t="s">
        <v>8</v>
      </c>
      <c r="B1037" s="139" t="str">
        <f>IFERROR(VLOOKUP($A1037, NameDesignation[], 2,FALSE), " ")</f>
        <v>Former Vice-Chairman</v>
      </c>
      <c r="C1037" s="139" t="s">
        <v>30</v>
      </c>
      <c r="D1037" s="139">
        <v>455</v>
      </c>
      <c r="E1037" s="140">
        <v>44857</v>
      </c>
      <c r="F1037" s="139" t="str">
        <f t="shared" si="48"/>
        <v>Q4-22</v>
      </c>
      <c r="G1037" s="140" t="str">
        <f t="shared" si="49"/>
        <v>Oct'22</v>
      </c>
      <c r="H1037" s="140" t="str">
        <f>TEXT(RawData[[#This Row],[Date]], "YYYY")</f>
        <v>2022</v>
      </c>
      <c r="I1037" s="141" t="s">
        <v>32</v>
      </c>
      <c r="J1037" s="141" t="s">
        <v>90</v>
      </c>
      <c r="K1037" s="139">
        <f t="shared" si="50"/>
        <v>1</v>
      </c>
      <c r="L1037" s="142">
        <f>IF(RawData[[#This Row],[Paid/Unpaid]]="Paid", IF(VALUE($E1037)&gt;VALUE($D$3),$K1037* 10000,$K1037* 8000), 0)</f>
        <v>8000</v>
      </c>
      <c r="M1037" s="53" t="s">
        <v>146</v>
      </c>
    </row>
    <row r="1038" spans="1:13" ht="12.75" customHeight="1" x14ac:dyDescent="0.3">
      <c r="A1038" s="144" t="s">
        <v>49</v>
      </c>
      <c r="B1038" s="139" t="str">
        <f>IFERROR(VLOOKUP($A1038, NameDesignation[], 2,FALSE), " ")</f>
        <v>Former Director</v>
      </c>
      <c r="C1038" s="139" t="s">
        <v>30</v>
      </c>
      <c r="D1038" s="139">
        <v>455</v>
      </c>
      <c r="E1038" s="140">
        <v>44857</v>
      </c>
      <c r="F1038" s="139" t="str">
        <f t="shared" si="48"/>
        <v>Q4-22</v>
      </c>
      <c r="G1038" s="140" t="str">
        <f t="shared" si="49"/>
        <v>Oct'22</v>
      </c>
      <c r="H1038" s="140" t="str">
        <f>TEXT(RawData[[#This Row],[Date]], "YYYY")</f>
        <v>2022</v>
      </c>
      <c r="I1038" s="141" t="s">
        <v>32</v>
      </c>
      <c r="J1038" s="141" t="s">
        <v>91</v>
      </c>
      <c r="K1038" s="139">
        <f t="shared" si="50"/>
        <v>0</v>
      </c>
      <c r="L1038" s="142">
        <f>IF(RawData[[#This Row],[Paid/Unpaid]]="Paid", IF(VALUE($E1038)&gt;VALUE($D$3),$K1038* 10000,$K1038* 8000), 0)</f>
        <v>0</v>
      </c>
      <c r="M1038" s="53" t="s">
        <v>146</v>
      </c>
    </row>
    <row r="1039" spans="1:13" ht="12.75" customHeight="1" x14ac:dyDescent="0.3">
      <c r="A1039" s="144" t="s">
        <v>11</v>
      </c>
      <c r="B1039" s="139" t="str">
        <f>IFERROR(VLOOKUP($A1039, NameDesignation[], 2,FALSE), " ")</f>
        <v>Former Director</v>
      </c>
      <c r="C1039" s="139" t="s">
        <v>30</v>
      </c>
      <c r="D1039" s="139">
        <v>455</v>
      </c>
      <c r="E1039" s="140">
        <v>44857</v>
      </c>
      <c r="F1039" s="139" t="str">
        <f t="shared" si="48"/>
        <v>Q4-22</v>
      </c>
      <c r="G1039" s="140" t="str">
        <f t="shared" si="49"/>
        <v>Oct'22</v>
      </c>
      <c r="H1039" s="140" t="str">
        <f>TEXT(RawData[[#This Row],[Date]], "YYYY")</f>
        <v>2022</v>
      </c>
      <c r="I1039" s="141" t="s">
        <v>32</v>
      </c>
      <c r="J1039" s="141" t="s">
        <v>90</v>
      </c>
      <c r="K1039" s="139">
        <f t="shared" si="50"/>
        <v>1</v>
      </c>
      <c r="L1039" s="142">
        <f>IF(RawData[[#This Row],[Paid/Unpaid]]="Paid", IF(VALUE($E1039)&gt;VALUE($D$3),$K1039* 10000,$K1039* 8000), 0)</f>
        <v>8000</v>
      </c>
      <c r="M1039" s="53" t="s">
        <v>146</v>
      </c>
    </row>
    <row r="1040" spans="1:13" ht="12.75" customHeight="1" x14ac:dyDescent="0.3">
      <c r="A1040" s="144" t="s">
        <v>137</v>
      </c>
      <c r="B1040" s="139" t="str">
        <f>IFERROR(VLOOKUP($A1040, NameDesignation[], 2,FALSE), " ")</f>
        <v>Former Director</v>
      </c>
      <c r="C1040" s="139" t="s">
        <v>30</v>
      </c>
      <c r="D1040" s="139">
        <v>455</v>
      </c>
      <c r="E1040" s="140">
        <v>44857</v>
      </c>
      <c r="F1040" s="139" t="str">
        <f t="shared" si="48"/>
        <v>Q4-22</v>
      </c>
      <c r="G1040" s="140" t="str">
        <f t="shared" si="49"/>
        <v>Oct'22</v>
      </c>
      <c r="H1040" s="140" t="str">
        <f>TEXT(RawData[[#This Row],[Date]], "YYYY")</f>
        <v>2022</v>
      </c>
      <c r="I1040" s="141" t="s">
        <v>32</v>
      </c>
      <c r="J1040" s="141" t="s">
        <v>91</v>
      </c>
      <c r="K1040" s="139">
        <f t="shared" si="50"/>
        <v>0</v>
      </c>
      <c r="L1040" s="142">
        <f>IF(RawData[[#This Row],[Paid/Unpaid]]="Paid", IF(VALUE($E1040)&gt;VALUE($D$3),$K1040* 10000,$K1040* 8000), 0)</f>
        <v>0</v>
      </c>
      <c r="M1040" s="53" t="s">
        <v>146</v>
      </c>
    </row>
    <row r="1041" spans="1:13" ht="12.75" customHeight="1" x14ac:dyDescent="0.3">
      <c r="A1041" s="144" t="s">
        <v>13</v>
      </c>
      <c r="B1041" s="139" t="str">
        <f>IFERROR(VLOOKUP($A1041, NameDesignation[], 2,FALSE), " ")</f>
        <v>Former Director</v>
      </c>
      <c r="C1041" s="139" t="s">
        <v>30</v>
      </c>
      <c r="D1041" s="139">
        <v>455</v>
      </c>
      <c r="E1041" s="140">
        <v>44857</v>
      </c>
      <c r="F1041" s="139" t="str">
        <f t="shared" si="48"/>
        <v>Q4-22</v>
      </c>
      <c r="G1041" s="140" t="str">
        <f t="shared" si="49"/>
        <v>Oct'22</v>
      </c>
      <c r="H1041" s="140" t="str">
        <f>TEXT(RawData[[#This Row],[Date]], "YYYY")</f>
        <v>2022</v>
      </c>
      <c r="I1041" s="141" t="s">
        <v>32</v>
      </c>
      <c r="J1041" s="141" t="s">
        <v>91</v>
      </c>
      <c r="K1041" s="139">
        <f t="shared" si="50"/>
        <v>0</v>
      </c>
      <c r="L1041" s="142">
        <f>IF(RawData[[#This Row],[Paid/Unpaid]]="Paid", IF(VALUE($E1041)&gt;VALUE($D$3),$K1041* 10000,$K1041* 8000), 0)</f>
        <v>0</v>
      </c>
      <c r="M1041" s="53" t="s">
        <v>146</v>
      </c>
    </row>
    <row r="1042" spans="1:13" ht="12.75" customHeight="1" x14ac:dyDescent="0.3">
      <c r="A1042" s="144" t="s">
        <v>25</v>
      </c>
      <c r="B1042" s="139" t="str">
        <f>IFERROR(VLOOKUP($A1042, NameDesignation[], 2,FALSE), " ")</f>
        <v>Former Director</v>
      </c>
      <c r="C1042" s="139" t="s">
        <v>30</v>
      </c>
      <c r="D1042" s="139">
        <v>455</v>
      </c>
      <c r="E1042" s="140">
        <v>44857</v>
      </c>
      <c r="F1042" s="139" t="str">
        <f t="shared" si="48"/>
        <v>Q4-22</v>
      </c>
      <c r="G1042" s="140" t="str">
        <f t="shared" si="49"/>
        <v>Oct'22</v>
      </c>
      <c r="H1042" s="140" t="str">
        <f>TEXT(RawData[[#This Row],[Date]], "YYYY")</f>
        <v>2022</v>
      </c>
      <c r="I1042" s="141" t="s">
        <v>32</v>
      </c>
      <c r="J1042" s="141" t="s">
        <v>91</v>
      </c>
      <c r="K1042" s="139">
        <f t="shared" si="50"/>
        <v>0</v>
      </c>
      <c r="L1042" s="142">
        <f>IF(RawData[[#This Row],[Paid/Unpaid]]="Paid", IF(VALUE($E1042)&gt;VALUE($D$3),$K1042* 10000,$K1042* 8000), 0)</f>
        <v>0</v>
      </c>
      <c r="M1042" s="53" t="s">
        <v>146</v>
      </c>
    </row>
    <row r="1043" spans="1:13" ht="12.75" customHeight="1" x14ac:dyDescent="0.3">
      <c r="A1043" s="143" t="s">
        <v>7</v>
      </c>
      <c r="B1043" s="139" t="str">
        <f>IFERROR(VLOOKUP($A1043, NameDesignation[], 2,FALSE), " ")</f>
        <v>Former Director</v>
      </c>
      <c r="C1043" s="139" t="s">
        <v>29</v>
      </c>
      <c r="D1043" s="139">
        <v>477</v>
      </c>
      <c r="E1043" s="140">
        <v>44857</v>
      </c>
      <c r="F1043" s="139" t="str">
        <f t="shared" si="48"/>
        <v>Q4-22</v>
      </c>
      <c r="G1043" s="140" t="str">
        <f t="shared" si="49"/>
        <v>Oct'22</v>
      </c>
      <c r="H1043" s="140" t="str">
        <f>TEXT(RawData[[#This Row],[Date]], "YYYY")</f>
        <v>2022</v>
      </c>
      <c r="I1043" s="141" t="s">
        <v>32</v>
      </c>
      <c r="J1043" s="141" t="s">
        <v>91</v>
      </c>
      <c r="K1043" s="139">
        <f t="shared" si="50"/>
        <v>0</v>
      </c>
      <c r="L1043" s="142">
        <f>IF(RawData[[#This Row],[Paid/Unpaid]]="Paid", IF(VALUE($E1043)&gt;VALUE($D$3),$K1043* 10000,$K1043* 8000), 0)</f>
        <v>0</v>
      </c>
      <c r="M1043" s="53" t="s">
        <v>146</v>
      </c>
    </row>
    <row r="1044" spans="1:13" ht="12.75" customHeight="1" x14ac:dyDescent="0.3">
      <c r="A1044" s="143" t="s">
        <v>8</v>
      </c>
      <c r="B1044" s="139" t="str">
        <f>IFERROR(VLOOKUP($A1044, NameDesignation[], 2,FALSE), " ")</f>
        <v>Former Vice-Chairman</v>
      </c>
      <c r="C1044" s="139" t="s">
        <v>29</v>
      </c>
      <c r="D1044" s="139">
        <v>477</v>
      </c>
      <c r="E1044" s="140">
        <v>44857</v>
      </c>
      <c r="F1044" s="139" t="str">
        <f t="shared" si="48"/>
        <v>Q4-22</v>
      </c>
      <c r="G1044" s="140" t="str">
        <f t="shared" si="49"/>
        <v>Oct'22</v>
      </c>
      <c r="H1044" s="140" t="str">
        <f>TEXT(RawData[[#This Row],[Date]], "YYYY")</f>
        <v>2022</v>
      </c>
      <c r="I1044" s="141" t="s">
        <v>32</v>
      </c>
      <c r="J1044" s="141" t="s">
        <v>90</v>
      </c>
      <c r="K1044" s="139">
        <f t="shared" si="50"/>
        <v>1</v>
      </c>
      <c r="L1044" s="142">
        <f>IF(RawData[[#This Row],[Paid/Unpaid]]="Paid", IF(VALUE($E1044)&gt;VALUE($D$3),$K1044* 10000,$K1044* 8000), 0)</f>
        <v>8000</v>
      </c>
      <c r="M1044" s="53" t="s">
        <v>146</v>
      </c>
    </row>
    <row r="1045" spans="1:13" ht="12.75" customHeight="1" x14ac:dyDescent="0.3">
      <c r="A1045" s="143" t="s">
        <v>9</v>
      </c>
      <c r="B1045" s="139" t="str">
        <f>IFERROR(VLOOKUP($A1045, NameDesignation[], 2,FALSE), " ")</f>
        <v>Former Director</v>
      </c>
      <c r="C1045" s="139" t="s">
        <v>29</v>
      </c>
      <c r="D1045" s="139">
        <v>477</v>
      </c>
      <c r="E1045" s="140">
        <v>44857</v>
      </c>
      <c r="F1045" s="139" t="str">
        <f t="shared" si="48"/>
        <v>Q4-22</v>
      </c>
      <c r="G1045" s="140" t="str">
        <f t="shared" si="49"/>
        <v>Oct'22</v>
      </c>
      <c r="H1045" s="140" t="str">
        <f>TEXT(RawData[[#This Row],[Date]], "YYYY")</f>
        <v>2022</v>
      </c>
      <c r="I1045" s="141" t="s">
        <v>32</v>
      </c>
      <c r="J1045" s="141" t="s">
        <v>90</v>
      </c>
      <c r="K1045" s="139">
        <f t="shared" si="50"/>
        <v>1</v>
      </c>
      <c r="L1045" s="142">
        <f>IF(RawData[[#This Row],[Paid/Unpaid]]="Paid", IF(VALUE($E1045)&gt;VALUE($D$3),$K1045* 10000,$K1045* 8000), 0)</f>
        <v>8000</v>
      </c>
      <c r="M1045" s="53" t="s">
        <v>146</v>
      </c>
    </row>
    <row r="1046" spans="1:13" ht="12.75" customHeight="1" x14ac:dyDescent="0.3">
      <c r="A1046" s="143" t="s">
        <v>20</v>
      </c>
      <c r="B1046" s="139" t="str">
        <f>IFERROR(VLOOKUP($A1046, NameDesignation[], 2,FALSE), " ")</f>
        <v>Former Independent Director</v>
      </c>
      <c r="C1046" s="139" t="s">
        <v>29</v>
      </c>
      <c r="D1046" s="139">
        <v>477</v>
      </c>
      <c r="E1046" s="140">
        <v>44857</v>
      </c>
      <c r="F1046" s="139" t="str">
        <f t="shared" si="48"/>
        <v>Q4-22</v>
      </c>
      <c r="G1046" s="140" t="str">
        <f t="shared" si="49"/>
        <v>Oct'22</v>
      </c>
      <c r="H1046" s="140" t="str">
        <f>TEXT(RawData[[#This Row],[Date]], "YYYY")</f>
        <v>2022</v>
      </c>
      <c r="I1046" s="141" t="s">
        <v>32</v>
      </c>
      <c r="J1046" s="141" t="s">
        <v>90</v>
      </c>
      <c r="K1046" s="139">
        <f t="shared" si="50"/>
        <v>1</v>
      </c>
      <c r="L1046" s="142">
        <f>IF(RawData[[#This Row],[Paid/Unpaid]]="Paid", IF(VALUE($E1046)&gt;VALUE($D$3),$K1046* 10000,$K1046* 8000), 0)</f>
        <v>8000</v>
      </c>
      <c r="M1046" s="53" t="s">
        <v>146</v>
      </c>
    </row>
    <row r="1047" spans="1:13" ht="12.75" customHeight="1" x14ac:dyDescent="0.3">
      <c r="A1047" s="143" t="s">
        <v>49</v>
      </c>
      <c r="B1047" s="139" t="str">
        <f>IFERROR(VLOOKUP($A1047, NameDesignation[], 2,FALSE), " ")</f>
        <v>Former Director</v>
      </c>
      <c r="C1047" s="139" t="s">
        <v>29</v>
      </c>
      <c r="D1047" s="139">
        <v>477</v>
      </c>
      <c r="E1047" s="140">
        <v>44857</v>
      </c>
      <c r="F1047" s="139" t="str">
        <f t="shared" si="48"/>
        <v>Q4-22</v>
      </c>
      <c r="G1047" s="140" t="str">
        <f t="shared" si="49"/>
        <v>Oct'22</v>
      </c>
      <c r="H1047" s="140" t="str">
        <f>TEXT(RawData[[#This Row],[Date]], "YYYY")</f>
        <v>2022</v>
      </c>
      <c r="I1047" s="141" t="s">
        <v>32</v>
      </c>
      <c r="J1047" s="141" t="s">
        <v>91</v>
      </c>
      <c r="K1047" s="139">
        <f t="shared" si="50"/>
        <v>0</v>
      </c>
      <c r="L1047" s="142">
        <f>IF(RawData[[#This Row],[Paid/Unpaid]]="Paid", IF(VALUE($E1047)&gt;VALUE($D$3),$K1047* 10000,$K1047* 8000), 0)</f>
        <v>0</v>
      </c>
      <c r="M1047" s="53" t="s">
        <v>146</v>
      </c>
    </row>
    <row r="1048" spans="1:13" ht="12.75" customHeight="1" x14ac:dyDescent="0.3">
      <c r="A1048" s="143" t="s">
        <v>11</v>
      </c>
      <c r="B1048" s="139" t="str">
        <f>IFERROR(VLOOKUP($A1048, NameDesignation[], 2,FALSE), " ")</f>
        <v>Former Director</v>
      </c>
      <c r="C1048" s="139" t="s">
        <v>29</v>
      </c>
      <c r="D1048" s="139">
        <v>477</v>
      </c>
      <c r="E1048" s="140">
        <v>44857</v>
      </c>
      <c r="F1048" s="139" t="str">
        <f t="shared" si="48"/>
        <v>Q4-22</v>
      </c>
      <c r="G1048" s="140" t="str">
        <f t="shared" si="49"/>
        <v>Oct'22</v>
      </c>
      <c r="H1048" s="140" t="str">
        <f>TEXT(RawData[[#This Row],[Date]], "YYYY")</f>
        <v>2022</v>
      </c>
      <c r="I1048" s="141" t="s">
        <v>32</v>
      </c>
      <c r="J1048" s="141" t="s">
        <v>90</v>
      </c>
      <c r="K1048" s="139">
        <f t="shared" si="50"/>
        <v>1</v>
      </c>
      <c r="L1048" s="142">
        <f>IF(RawData[[#This Row],[Paid/Unpaid]]="Paid", IF(VALUE($E1048)&gt;VALUE($D$3),$K1048* 10000,$K1048* 8000), 0)</f>
        <v>8000</v>
      </c>
      <c r="M1048" s="53" t="s">
        <v>146</v>
      </c>
    </row>
    <row r="1049" spans="1:13" ht="12.75" customHeight="1" x14ac:dyDescent="0.3">
      <c r="A1049" s="143" t="s">
        <v>12</v>
      </c>
      <c r="B1049" s="139" t="str">
        <f>IFERROR(VLOOKUP($A1049, NameDesignation[], 2,FALSE), " ")</f>
        <v>Former Director</v>
      </c>
      <c r="C1049" s="139" t="s">
        <v>29</v>
      </c>
      <c r="D1049" s="139">
        <v>477</v>
      </c>
      <c r="E1049" s="140">
        <v>44857</v>
      </c>
      <c r="F1049" s="139" t="str">
        <f t="shared" si="48"/>
        <v>Q4-22</v>
      </c>
      <c r="G1049" s="140" t="str">
        <f t="shared" si="49"/>
        <v>Oct'22</v>
      </c>
      <c r="H1049" s="140" t="str">
        <f>TEXT(RawData[[#This Row],[Date]], "YYYY")</f>
        <v>2022</v>
      </c>
      <c r="I1049" s="141" t="s">
        <v>32</v>
      </c>
      <c r="J1049" s="141" t="s">
        <v>90</v>
      </c>
      <c r="K1049" s="139">
        <f t="shared" si="50"/>
        <v>1</v>
      </c>
      <c r="L1049" s="142">
        <f>IF(RawData[[#This Row],[Paid/Unpaid]]="Paid", IF(VALUE($E1049)&gt;VALUE($D$3),$K1049* 10000,$K1049* 8000), 0)</f>
        <v>8000</v>
      </c>
      <c r="M1049" s="53" t="s">
        <v>146</v>
      </c>
    </row>
    <row r="1050" spans="1:13" ht="12.75" customHeight="1" x14ac:dyDescent="0.3">
      <c r="A1050" s="143" t="s">
        <v>137</v>
      </c>
      <c r="B1050" s="139" t="str">
        <f>IFERROR(VLOOKUP($A1050, NameDesignation[], 2,FALSE), " ")</f>
        <v>Former Director</v>
      </c>
      <c r="C1050" s="139" t="s">
        <v>29</v>
      </c>
      <c r="D1050" s="139">
        <v>477</v>
      </c>
      <c r="E1050" s="140">
        <v>44857</v>
      </c>
      <c r="F1050" s="139" t="str">
        <f t="shared" si="48"/>
        <v>Q4-22</v>
      </c>
      <c r="G1050" s="140" t="str">
        <f t="shared" si="49"/>
        <v>Oct'22</v>
      </c>
      <c r="H1050" s="140" t="str">
        <f>TEXT(RawData[[#This Row],[Date]], "YYYY")</f>
        <v>2022</v>
      </c>
      <c r="I1050" s="141" t="s">
        <v>32</v>
      </c>
      <c r="J1050" s="141" t="s">
        <v>91</v>
      </c>
      <c r="K1050" s="139">
        <f t="shared" si="50"/>
        <v>0</v>
      </c>
      <c r="L1050" s="142">
        <f>IF(RawData[[#This Row],[Paid/Unpaid]]="Paid", IF(VALUE($E1050)&gt;VALUE($D$3),$K1050* 10000,$K1050* 8000), 0)</f>
        <v>0</v>
      </c>
      <c r="M1050" s="53" t="s">
        <v>146</v>
      </c>
    </row>
    <row r="1051" spans="1:13" ht="12.75" customHeight="1" x14ac:dyDescent="0.3">
      <c r="A1051" s="143" t="s">
        <v>13</v>
      </c>
      <c r="B1051" s="139" t="str">
        <f>IFERROR(VLOOKUP($A1051, NameDesignation[], 2,FALSE), " ")</f>
        <v>Former Director</v>
      </c>
      <c r="C1051" s="139" t="s">
        <v>29</v>
      </c>
      <c r="D1051" s="139">
        <v>477</v>
      </c>
      <c r="E1051" s="140">
        <v>44857</v>
      </c>
      <c r="F1051" s="139" t="str">
        <f t="shared" si="48"/>
        <v>Q4-22</v>
      </c>
      <c r="G1051" s="140" t="str">
        <f t="shared" si="49"/>
        <v>Oct'22</v>
      </c>
      <c r="H1051" s="140" t="str">
        <f>TEXT(RawData[[#This Row],[Date]], "YYYY")</f>
        <v>2022</v>
      </c>
      <c r="I1051" s="141" t="s">
        <v>32</v>
      </c>
      <c r="J1051" s="141" t="s">
        <v>91</v>
      </c>
      <c r="K1051" s="139">
        <f t="shared" si="50"/>
        <v>0</v>
      </c>
      <c r="L1051" s="142">
        <f>IF(RawData[[#This Row],[Paid/Unpaid]]="Paid", IF(VALUE($E1051)&gt;VALUE($D$3),$K1051* 10000,$K1051* 8000), 0)</f>
        <v>0</v>
      </c>
      <c r="M1051" s="53" t="s">
        <v>146</v>
      </c>
    </row>
    <row r="1052" spans="1:13" ht="12.75" customHeight="1" x14ac:dyDescent="0.3">
      <c r="A1052" s="143" t="s">
        <v>61</v>
      </c>
      <c r="B1052" s="139" t="str">
        <f>IFERROR(VLOOKUP($A1052, NameDesignation[], 2,FALSE), " ")</f>
        <v>Former Director</v>
      </c>
      <c r="C1052" s="139" t="s">
        <v>29</v>
      </c>
      <c r="D1052" s="139">
        <v>477</v>
      </c>
      <c r="E1052" s="140">
        <v>44857</v>
      </c>
      <c r="F1052" s="139" t="str">
        <f t="shared" si="48"/>
        <v>Q4-22</v>
      </c>
      <c r="G1052" s="140" t="str">
        <f t="shared" si="49"/>
        <v>Oct'22</v>
      </c>
      <c r="H1052" s="140" t="str">
        <f>TEXT(RawData[[#This Row],[Date]], "YYYY")</f>
        <v>2022</v>
      </c>
      <c r="I1052" s="141" t="s">
        <v>32</v>
      </c>
      <c r="J1052" s="141" t="s">
        <v>91</v>
      </c>
      <c r="K1052" s="139">
        <f t="shared" si="50"/>
        <v>0</v>
      </c>
      <c r="L1052" s="142">
        <f>IF(RawData[[#This Row],[Paid/Unpaid]]="Paid", IF(VALUE($E1052)&gt;VALUE($D$3),$K1052* 10000,$K1052* 8000), 0)</f>
        <v>0</v>
      </c>
      <c r="M1052" s="53" t="s">
        <v>146</v>
      </c>
    </row>
    <row r="1053" spans="1:13" ht="12.75" customHeight="1" x14ac:dyDescent="0.3">
      <c r="A1053" s="143" t="s">
        <v>23</v>
      </c>
      <c r="B1053" s="139" t="str">
        <f>IFERROR(VLOOKUP($A1053, NameDesignation[], 2,FALSE), " ")</f>
        <v>Former Director</v>
      </c>
      <c r="C1053" s="139" t="s">
        <v>29</v>
      </c>
      <c r="D1053" s="139">
        <v>477</v>
      </c>
      <c r="E1053" s="140">
        <v>44857</v>
      </c>
      <c r="F1053" s="139" t="str">
        <f t="shared" si="48"/>
        <v>Q4-22</v>
      </c>
      <c r="G1053" s="140" t="str">
        <f t="shared" si="49"/>
        <v>Oct'22</v>
      </c>
      <c r="H1053" s="140" t="str">
        <f>TEXT(RawData[[#This Row],[Date]], "YYYY")</f>
        <v>2022</v>
      </c>
      <c r="I1053" s="141" t="s">
        <v>32</v>
      </c>
      <c r="J1053" s="141" t="s">
        <v>90</v>
      </c>
      <c r="K1053" s="139">
        <f t="shared" si="50"/>
        <v>1</v>
      </c>
      <c r="L1053" s="142">
        <f>IF(RawData[[#This Row],[Paid/Unpaid]]="Paid", IF(VALUE($E1053)&gt;VALUE($D$3),$K1053* 10000,$K1053* 8000), 0)</f>
        <v>8000</v>
      </c>
      <c r="M1053" s="53" t="s">
        <v>146</v>
      </c>
    </row>
    <row r="1054" spans="1:13" ht="12.75" customHeight="1" x14ac:dyDescent="0.3">
      <c r="A1054" s="143" t="s">
        <v>24</v>
      </c>
      <c r="B1054" s="139" t="str">
        <f>IFERROR(VLOOKUP($A1054, NameDesignation[], 2,FALSE), " ")</f>
        <v>Former Director</v>
      </c>
      <c r="C1054" s="139" t="s">
        <v>29</v>
      </c>
      <c r="D1054" s="139">
        <v>477</v>
      </c>
      <c r="E1054" s="140">
        <v>44857</v>
      </c>
      <c r="F1054" s="139" t="str">
        <f t="shared" si="48"/>
        <v>Q4-22</v>
      </c>
      <c r="G1054" s="140" t="str">
        <f t="shared" si="49"/>
        <v>Oct'22</v>
      </c>
      <c r="H1054" s="140" t="str">
        <f>TEXT(RawData[[#This Row],[Date]], "YYYY")</f>
        <v>2022</v>
      </c>
      <c r="I1054" s="141" t="s">
        <v>32</v>
      </c>
      <c r="J1054" s="141" t="s">
        <v>90</v>
      </c>
      <c r="K1054" s="139">
        <f t="shared" si="50"/>
        <v>1</v>
      </c>
      <c r="L1054" s="142">
        <f>IF(RawData[[#This Row],[Paid/Unpaid]]="Paid", IF(VALUE($E1054)&gt;VALUE($D$3),$K1054* 10000,$K1054* 8000), 0)</f>
        <v>8000</v>
      </c>
      <c r="M1054" s="53" t="s">
        <v>146</v>
      </c>
    </row>
    <row r="1055" spans="1:13" ht="12.75" customHeight="1" x14ac:dyDescent="0.3">
      <c r="A1055" s="143" t="s">
        <v>15</v>
      </c>
      <c r="B1055" s="139" t="str">
        <f>IFERROR(VLOOKUP($A1055, NameDesignation[], 2,FALSE), " ")</f>
        <v>Former Director</v>
      </c>
      <c r="C1055" s="139" t="s">
        <v>29</v>
      </c>
      <c r="D1055" s="139">
        <v>477</v>
      </c>
      <c r="E1055" s="140">
        <v>44857</v>
      </c>
      <c r="F1055" s="139" t="str">
        <f t="shared" si="48"/>
        <v>Q4-22</v>
      </c>
      <c r="G1055" s="140" t="str">
        <f t="shared" si="49"/>
        <v>Oct'22</v>
      </c>
      <c r="H1055" s="140" t="str">
        <f>TEXT(RawData[[#This Row],[Date]], "YYYY")</f>
        <v>2022</v>
      </c>
      <c r="I1055" s="141" t="s">
        <v>32</v>
      </c>
      <c r="J1055" s="141" t="s">
        <v>90</v>
      </c>
      <c r="K1055" s="139">
        <f t="shared" si="50"/>
        <v>1</v>
      </c>
      <c r="L1055" s="142">
        <f>IF(RawData[[#This Row],[Paid/Unpaid]]="Paid", IF(VALUE($E1055)&gt;VALUE($D$3),$K1055* 10000,$K1055* 8000), 0)</f>
        <v>8000</v>
      </c>
      <c r="M1055" s="53" t="s">
        <v>146</v>
      </c>
    </row>
    <row r="1056" spans="1:13" ht="12.75" customHeight="1" x14ac:dyDescent="0.3">
      <c r="A1056" s="143" t="s">
        <v>16</v>
      </c>
      <c r="B1056" s="139" t="str">
        <f>IFERROR(VLOOKUP($A1056, NameDesignation[], 2,FALSE), " ")</f>
        <v>Former Director</v>
      </c>
      <c r="C1056" s="139" t="s">
        <v>29</v>
      </c>
      <c r="D1056" s="139">
        <v>477</v>
      </c>
      <c r="E1056" s="140">
        <v>44857</v>
      </c>
      <c r="F1056" s="139" t="str">
        <f t="shared" si="48"/>
        <v>Q4-22</v>
      </c>
      <c r="G1056" s="140" t="str">
        <f t="shared" si="49"/>
        <v>Oct'22</v>
      </c>
      <c r="H1056" s="140" t="str">
        <f>TEXT(RawData[[#This Row],[Date]], "YYYY")</f>
        <v>2022</v>
      </c>
      <c r="I1056" s="141" t="s">
        <v>32</v>
      </c>
      <c r="J1056" s="141" t="s">
        <v>90</v>
      </c>
      <c r="K1056" s="139">
        <f t="shared" si="50"/>
        <v>1</v>
      </c>
      <c r="L1056" s="142">
        <f>IF(RawData[[#This Row],[Paid/Unpaid]]="Paid", IF(VALUE($E1056)&gt;VALUE($D$3),$K1056* 10000,$K1056* 8000), 0)</f>
        <v>8000</v>
      </c>
      <c r="M1056" s="53" t="s">
        <v>146</v>
      </c>
    </row>
    <row r="1057" spans="1:13" ht="12.75" customHeight="1" x14ac:dyDescent="0.3">
      <c r="A1057" s="143" t="s">
        <v>25</v>
      </c>
      <c r="B1057" s="139" t="str">
        <f>IFERROR(VLOOKUP($A1057, NameDesignation[], 2,FALSE), " ")</f>
        <v>Former Director</v>
      </c>
      <c r="C1057" s="139" t="s">
        <v>29</v>
      </c>
      <c r="D1057" s="139">
        <v>477</v>
      </c>
      <c r="E1057" s="140">
        <v>44857</v>
      </c>
      <c r="F1057" s="139" t="str">
        <f t="shared" si="48"/>
        <v>Q4-22</v>
      </c>
      <c r="G1057" s="140" t="str">
        <f t="shared" si="49"/>
        <v>Oct'22</v>
      </c>
      <c r="H1057" s="140" t="str">
        <f>TEXT(RawData[[#This Row],[Date]], "YYYY")</f>
        <v>2022</v>
      </c>
      <c r="I1057" s="141" t="s">
        <v>32</v>
      </c>
      <c r="J1057" s="141" t="s">
        <v>91</v>
      </c>
      <c r="K1057" s="139">
        <f t="shared" si="50"/>
        <v>0</v>
      </c>
      <c r="L1057" s="142">
        <f>IF(RawData[[#This Row],[Paid/Unpaid]]="Paid", IF(VALUE($E1057)&gt;VALUE($D$3),$K1057* 10000,$K1057* 8000), 0)</f>
        <v>0</v>
      </c>
      <c r="M1057" s="53" t="s">
        <v>146</v>
      </c>
    </row>
    <row r="1058" spans="1:13" ht="12.75" customHeight="1" x14ac:dyDescent="0.3">
      <c r="A1058" s="143" t="s">
        <v>50</v>
      </c>
      <c r="B1058" s="139" t="str">
        <f>IFERROR(VLOOKUP($A1058, NameDesignation[], 2,FALSE), " ")</f>
        <v>Former Director</v>
      </c>
      <c r="C1058" s="139" t="s">
        <v>29</v>
      </c>
      <c r="D1058" s="139">
        <v>477</v>
      </c>
      <c r="E1058" s="140">
        <v>44857</v>
      </c>
      <c r="F1058" s="139" t="str">
        <f t="shared" si="48"/>
        <v>Q4-22</v>
      </c>
      <c r="G1058" s="140" t="str">
        <f t="shared" si="49"/>
        <v>Oct'22</v>
      </c>
      <c r="H1058" s="140" t="str">
        <f>TEXT(RawData[[#This Row],[Date]], "YYYY")</f>
        <v>2022</v>
      </c>
      <c r="I1058" s="141" t="s">
        <v>32</v>
      </c>
      <c r="J1058" s="141" t="s">
        <v>91</v>
      </c>
      <c r="K1058" s="139">
        <f t="shared" si="50"/>
        <v>0</v>
      </c>
      <c r="L1058" s="142">
        <f>IF(RawData[[#This Row],[Paid/Unpaid]]="Paid", IF(VALUE($E1058)&gt;VALUE($D$3),$K1058* 10000,$K1058* 8000), 0)</f>
        <v>0</v>
      </c>
      <c r="M1058" s="53" t="s">
        <v>146</v>
      </c>
    </row>
    <row r="1059" spans="1:13" ht="12.75" customHeight="1" x14ac:dyDescent="0.3">
      <c r="A1059" s="143" t="s">
        <v>20</v>
      </c>
      <c r="B1059" s="139" t="str">
        <f>IFERROR(VLOOKUP($A1059, NameDesignation[], 2,FALSE), " ")</f>
        <v>Former Independent Director</v>
      </c>
      <c r="C1059" s="139" t="s">
        <v>37</v>
      </c>
      <c r="D1059" s="139">
        <v>126</v>
      </c>
      <c r="E1059" s="140">
        <v>44857</v>
      </c>
      <c r="F1059" s="139" t="str">
        <f t="shared" si="48"/>
        <v>Q4-22</v>
      </c>
      <c r="G1059" s="140" t="str">
        <f t="shared" si="49"/>
        <v>Oct'22</v>
      </c>
      <c r="H1059" s="140" t="str">
        <f>TEXT(RawData[[#This Row],[Date]], "YYYY")</f>
        <v>2022</v>
      </c>
      <c r="I1059" s="141" t="s">
        <v>32</v>
      </c>
      <c r="J1059" s="141" t="s">
        <v>90</v>
      </c>
      <c r="K1059" s="139">
        <f t="shared" si="50"/>
        <v>1</v>
      </c>
      <c r="L1059" s="142">
        <f>IF(RawData[[#This Row],[Paid/Unpaid]]="Paid", IF(VALUE($E1059)&gt;VALUE($D$3),$K1059* 10000,$K1059* 8000), 0)</f>
        <v>8000</v>
      </c>
      <c r="M1059" s="53" t="s">
        <v>146</v>
      </c>
    </row>
    <row r="1060" spans="1:13" ht="12.75" customHeight="1" x14ac:dyDescent="0.3">
      <c r="A1060" s="143" t="s">
        <v>23</v>
      </c>
      <c r="B1060" s="139" t="str">
        <f>IFERROR(VLOOKUP($A1060, NameDesignation[], 2,FALSE), " ")</f>
        <v>Former Director</v>
      </c>
      <c r="C1060" s="139" t="s">
        <v>37</v>
      </c>
      <c r="D1060" s="139">
        <v>126</v>
      </c>
      <c r="E1060" s="140">
        <v>44857</v>
      </c>
      <c r="F1060" s="139" t="str">
        <f t="shared" si="48"/>
        <v>Q4-22</v>
      </c>
      <c r="G1060" s="140" t="str">
        <f t="shared" si="49"/>
        <v>Oct'22</v>
      </c>
      <c r="H1060" s="140" t="str">
        <f>TEXT(RawData[[#This Row],[Date]], "YYYY")</f>
        <v>2022</v>
      </c>
      <c r="I1060" s="141" t="s">
        <v>32</v>
      </c>
      <c r="J1060" s="141" t="s">
        <v>90</v>
      </c>
      <c r="K1060" s="139">
        <f t="shared" si="50"/>
        <v>1</v>
      </c>
      <c r="L1060" s="142">
        <f>IF(RawData[[#This Row],[Paid/Unpaid]]="Paid", IF(VALUE($E1060)&gt;VALUE($D$3),$K1060* 10000,$K1060* 8000), 0)</f>
        <v>8000</v>
      </c>
      <c r="M1060" s="53" t="s">
        <v>146</v>
      </c>
    </row>
    <row r="1061" spans="1:13" ht="12.75" customHeight="1" x14ac:dyDescent="0.3">
      <c r="A1061" s="143" t="s">
        <v>24</v>
      </c>
      <c r="B1061" s="139" t="str">
        <f>IFERROR(VLOOKUP($A1061, NameDesignation[], 2,FALSE), " ")</f>
        <v>Former Director</v>
      </c>
      <c r="C1061" s="139" t="s">
        <v>37</v>
      </c>
      <c r="D1061" s="139">
        <v>126</v>
      </c>
      <c r="E1061" s="140">
        <v>44857</v>
      </c>
      <c r="F1061" s="139" t="str">
        <f t="shared" si="48"/>
        <v>Q4-22</v>
      </c>
      <c r="G1061" s="140" t="str">
        <f t="shared" si="49"/>
        <v>Oct'22</v>
      </c>
      <c r="H1061" s="140" t="str">
        <f>TEXT(RawData[[#This Row],[Date]], "YYYY")</f>
        <v>2022</v>
      </c>
      <c r="I1061" s="141" t="s">
        <v>32</v>
      </c>
      <c r="J1061" s="141" t="s">
        <v>90</v>
      </c>
      <c r="K1061" s="139">
        <f t="shared" si="50"/>
        <v>1</v>
      </c>
      <c r="L1061" s="142">
        <f>IF(RawData[[#This Row],[Paid/Unpaid]]="Paid", IF(VALUE($E1061)&gt;VALUE($D$3),$K1061* 10000,$K1061* 8000), 0)</f>
        <v>8000</v>
      </c>
      <c r="M1061" s="53" t="s">
        <v>146</v>
      </c>
    </row>
    <row r="1062" spans="1:13" ht="12.75" customHeight="1" x14ac:dyDescent="0.3">
      <c r="A1062" s="143" t="s">
        <v>34</v>
      </c>
      <c r="B1062" s="139" t="str">
        <f>IFERROR(VLOOKUP($A1062, NameDesignation[], 2,FALSE), " ")</f>
        <v>Former Managing Director &amp; CEO</v>
      </c>
      <c r="C1062" s="139" t="s">
        <v>29</v>
      </c>
      <c r="D1062" s="139">
        <v>477</v>
      </c>
      <c r="E1062" s="140">
        <v>44857</v>
      </c>
      <c r="F1062" s="139" t="str">
        <f t="shared" si="48"/>
        <v>Q4-22</v>
      </c>
      <c r="G1062" s="140" t="str">
        <f t="shared" si="49"/>
        <v>Oct'22</v>
      </c>
      <c r="H1062" s="140" t="str">
        <f>TEXT(RawData[[#This Row],[Date]], "YYYY")</f>
        <v>2022</v>
      </c>
      <c r="I1062" s="141" t="s">
        <v>32</v>
      </c>
      <c r="J1062" s="141" t="s">
        <v>90</v>
      </c>
      <c r="K1062" s="139">
        <f t="shared" si="50"/>
        <v>1</v>
      </c>
      <c r="L1062" s="142">
        <f>IF(RawData[[#This Row],[Paid/Unpaid]]="Paid", IF(VALUE($E1062)&gt;VALUE($D$3),$K1062* 10000,$K1062* 8000), 0)</f>
        <v>8000</v>
      </c>
      <c r="M1062" s="53" t="s">
        <v>146</v>
      </c>
    </row>
    <row r="1063" spans="1:13" ht="12.75" customHeight="1" x14ac:dyDescent="0.3">
      <c r="A1063" s="143" t="s">
        <v>11</v>
      </c>
      <c r="B1063" s="139" t="str">
        <f>IFERROR(VLOOKUP($A1063, NameDesignation[], 2,FALSE), " ")</f>
        <v>Former Director</v>
      </c>
      <c r="C1063" s="139" t="s">
        <v>41</v>
      </c>
      <c r="D1063" s="139">
        <v>6</v>
      </c>
      <c r="E1063" s="140">
        <v>44886</v>
      </c>
      <c r="F1063" s="139" t="str">
        <f t="shared" si="48"/>
        <v>Q4-22</v>
      </c>
      <c r="G1063" s="140" t="str">
        <f t="shared" si="49"/>
        <v>Nov'22</v>
      </c>
      <c r="H1063" s="140" t="str">
        <f>TEXT(RawData[[#This Row],[Date]], "YYYY")</f>
        <v>2022</v>
      </c>
      <c r="I1063" s="141" t="s">
        <v>32</v>
      </c>
      <c r="J1063" s="141" t="s">
        <v>90</v>
      </c>
      <c r="K1063" s="139">
        <f t="shared" si="50"/>
        <v>1</v>
      </c>
      <c r="L1063" s="142">
        <f>IF(RawData[[#This Row],[Paid/Unpaid]]="Paid", IF(VALUE($E1063)&gt;VALUE($D$3),$K1063* 10000,$K1063* 8000), 0)</f>
        <v>8000</v>
      </c>
      <c r="M1063" s="53" t="s">
        <v>146</v>
      </c>
    </row>
    <row r="1064" spans="1:13" ht="12.75" customHeight="1" x14ac:dyDescent="0.3">
      <c r="A1064" s="143" t="s">
        <v>54</v>
      </c>
      <c r="B1064" s="139" t="str">
        <f>IFERROR(VLOOKUP($A1064, NameDesignation[], 2,FALSE), " ")</f>
        <v>Member, Shariah Supervisory Committee</v>
      </c>
      <c r="C1064" s="139" t="s">
        <v>41</v>
      </c>
      <c r="D1064" s="139">
        <v>6</v>
      </c>
      <c r="E1064" s="140">
        <v>44886</v>
      </c>
      <c r="F1064" s="139" t="str">
        <f t="shared" si="48"/>
        <v>Q4-22</v>
      </c>
      <c r="G1064" s="140" t="str">
        <f t="shared" si="49"/>
        <v>Nov'22</v>
      </c>
      <c r="H1064" s="140" t="str">
        <f>TEXT(RawData[[#This Row],[Date]], "YYYY")</f>
        <v>2022</v>
      </c>
      <c r="I1064" s="141" t="s">
        <v>32</v>
      </c>
      <c r="J1064" s="141" t="s">
        <v>90</v>
      </c>
      <c r="K1064" s="139">
        <f t="shared" si="50"/>
        <v>1</v>
      </c>
      <c r="L1064" s="142">
        <f>IF(RawData[[#This Row],[Paid/Unpaid]]="Paid", IF(VALUE($E1064)&gt;VALUE($D$3),$K1064* 10000,$K1064* 8000), 0)</f>
        <v>8000</v>
      </c>
      <c r="M1064" s="53" t="s">
        <v>146</v>
      </c>
    </row>
    <row r="1065" spans="1:13" ht="12.75" customHeight="1" x14ac:dyDescent="0.3">
      <c r="A1065" s="143" t="s">
        <v>127</v>
      </c>
      <c r="B1065" s="139" t="str">
        <f>IFERROR(VLOOKUP($A1065, NameDesignation[], 2,FALSE), " ")</f>
        <v>Chairman, Shariah Supervisory Committee</v>
      </c>
      <c r="C1065" s="139" t="s">
        <v>41</v>
      </c>
      <c r="D1065" s="139">
        <v>6</v>
      </c>
      <c r="E1065" s="140">
        <v>44886</v>
      </c>
      <c r="F1065" s="139" t="str">
        <f t="shared" si="48"/>
        <v>Q4-22</v>
      </c>
      <c r="G1065" s="140" t="str">
        <f t="shared" si="49"/>
        <v>Nov'22</v>
      </c>
      <c r="H1065" s="140" t="str">
        <f>TEXT(RawData[[#This Row],[Date]], "YYYY")</f>
        <v>2022</v>
      </c>
      <c r="I1065" s="141" t="s">
        <v>32</v>
      </c>
      <c r="J1065" s="141" t="s">
        <v>90</v>
      </c>
      <c r="K1065" s="139">
        <f t="shared" si="50"/>
        <v>1</v>
      </c>
      <c r="L1065" s="142">
        <f>IF(RawData[[#This Row],[Paid/Unpaid]]="Paid", IF(VALUE($E1065)&gt;VALUE($D$3),$K1065* 10000,$K1065* 8000), 0)</f>
        <v>8000</v>
      </c>
      <c r="M1065" s="53" t="s">
        <v>146</v>
      </c>
    </row>
    <row r="1066" spans="1:13" ht="12.75" customHeight="1" x14ac:dyDescent="0.3">
      <c r="A1066" s="143" t="s">
        <v>52</v>
      </c>
      <c r="B1066" s="139" t="str">
        <f>IFERROR(VLOOKUP($A1066, NameDesignation[], 2,FALSE), " ")</f>
        <v>Member, Shariah Supervisory Committee</v>
      </c>
      <c r="C1066" s="139" t="s">
        <v>41</v>
      </c>
      <c r="D1066" s="139">
        <v>6</v>
      </c>
      <c r="E1066" s="140">
        <v>44886</v>
      </c>
      <c r="F1066" s="139" t="str">
        <f t="shared" si="48"/>
        <v>Q4-22</v>
      </c>
      <c r="G1066" s="140" t="str">
        <f t="shared" si="49"/>
        <v>Nov'22</v>
      </c>
      <c r="H1066" s="140" t="str">
        <f>TEXT(RawData[[#This Row],[Date]], "YYYY")</f>
        <v>2022</v>
      </c>
      <c r="I1066" s="141" t="s">
        <v>32</v>
      </c>
      <c r="J1066" s="141" t="s">
        <v>90</v>
      </c>
      <c r="K1066" s="139">
        <f t="shared" si="50"/>
        <v>1</v>
      </c>
      <c r="L1066" s="142">
        <f>IF(RawData[[#This Row],[Paid/Unpaid]]="Paid", IF(VALUE($E1066)&gt;VALUE($D$3),$K1066* 10000,$K1066* 8000), 0)</f>
        <v>8000</v>
      </c>
      <c r="M1066" s="53" t="s">
        <v>146</v>
      </c>
    </row>
    <row r="1067" spans="1:13" ht="12.75" customHeight="1" x14ac:dyDescent="0.3">
      <c r="A1067" s="143" t="s">
        <v>128</v>
      </c>
      <c r="B1067" s="139" t="str">
        <f>IFERROR(VLOOKUP($A1067, NameDesignation[], 2,FALSE), " ")</f>
        <v>Member, Shariah Supervisory Committee</v>
      </c>
      <c r="C1067" s="139" t="s">
        <v>41</v>
      </c>
      <c r="D1067" s="139">
        <v>6</v>
      </c>
      <c r="E1067" s="140">
        <v>44886</v>
      </c>
      <c r="F1067" s="139" t="str">
        <f t="shared" si="48"/>
        <v>Q4-22</v>
      </c>
      <c r="G1067" s="140" t="str">
        <f t="shared" si="49"/>
        <v>Nov'22</v>
      </c>
      <c r="H1067" s="140" t="str">
        <f>TEXT(RawData[[#This Row],[Date]], "YYYY")</f>
        <v>2022</v>
      </c>
      <c r="I1067" s="141" t="s">
        <v>32</v>
      </c>
      <c r="J1067" s="141" t="s">
        <v>90</v>
      </c>
      <c r="K1067" s="139">
        <f t="shared" si="50"/>
        <v>1</v>
      </c>
      <c r="L1067" s="142">
        <f>IF(RawData[[#This Row],[Paid/Unpaid]]="Paid", IF(VALUE($E1067)&gt;VALUE($D$3),$K1067* 10000,$K1067* 8000), 0)</f>
        <v>8000</v>
      </c>
      <c r="M1067" s="53" t="s">
        <v>146</v>
      </c>
    </row>
    <row r="1068" spans="1:13" ht="12.75" customHeight="1" x14ac:dyDescent="0.3">
      <c r="A1068" s="143" t="s">
        <v>126</v>
      </c>
      <c r="B1068" s="139" t="str">
        <f>IFERROR(VLOOKUP($A1068, NameDesignation[], 2,FALSE), " ")</f>
        <v>Member, Shariah Supervisory Committee</v>
      </c>
      <c r="C1068" s="139" t="s">
        <v>41</v>
      </c>
      <c r="D1068" s="139">
        <v>6</v>
      </c>
      <c r="E1068" s="140">
        <v>44886</v>
      </c>
      <c r="F1068" s="139" t="str">
        <f t="shared" si="48"/>
        <v>Q4-22</v>
      </c>
      <c r="G1068" s="140" t="str">
        <f t="shared" si="49"/>
        <v>Nov'22</v>
      </c>
      <c r="H1068" s="140" t="str">
        <f>TEXT(RawData[[#This Row],[Date]], "YYYY")</f>
        <v>2022</v>
      </c>
      <c r="I1068" s="141" t="s">
        <v>32</v>
      </c>
      <c r="J1068" s="141" t="s">
        <v>90</v>
      </c>
      <c r="K1068" s="139">
        <f t="shared" si="50"/>
        <v>1</v>
      </c>
      <c r="L1068" s="142">
        <f>IF(RawData[[#This Row],[Paid/Unpaid]]="Paid", IF(VALUE($E1068)&gt;VALUE($D$3),$K1068* 10000,$K1068* 8000), 0)</f>
        <v>8000</v>
      </c>
      <c r="M1068" s="53" t="s">
        <v>146</v>
      </c>
    </row>
    <row r="1069" spans="1:13" ht="12.75" customHeight="1" x14ac:dyDescent="0.3">
      <c r="A1069" s="143" t="s">
        <v>34</v>
      </c>
      <c r="B1069" s="139" t="str">
        <f>IFERROR(VLOOKUP($A1069, NameDesignation[], 2,FALSE), " ")</f>
        <v>Former Managing Director &amp; CEO</v>
      </c>
      <c r="C1069" s="139" t="s">
        <v>41</v>
      </c>
      <c r="D1069" s="139">
        <v>6</v>
      </c>
      <c r="E1069" s="140">
        <v>44886</v>
      </c>
      <c r="F1069" s="139" t="str">
        <f t="shared" si="48"/>
        <v>Q4-22</v>
      </c>
      <c r="G1069" s="140" t="str">
        <f t="shared" si="49"/>
        <v>Nov'22</v>
      </c>
      <c r="H1069" s="140" t="str">
        <f>TEXT(RawData[[#This Row],[Date]], "YYYY")</f>
        <v>2022</v>
      </c>
      <c r="I1069" s="141" t="s">
        <v>32</v>
      </c>
      <c r="J1069" s="141" t="s">
        <v>91</v>
      </c>
      <c r="K1069" s="139">
        <f t="shared" si="50"/>
        <v>0</v>
      </c>
      <c r="L1069" s="142">
        <f>IF(RawData[[#This Row],[Paid/Unpaid]]="Paid", IF(VALUE($E1069)&gt;VALUE($D$3),$K1069* 10000,$K1069* 8000), 0)</f>
        <v>0</v>
      </c>
      <c r="M1069" s="53" t="s">
        <v>146</v>
      </c>
    </row>
    <row r="1070" spans="1:13" ht="12.75" customHeight="1" x14ac:dyDescent="0.3">
      <c r="A1070" s="143" t="s">
        <v>49</v>
      </c>
      <c r="B1070" s="139" t="str">
        <f>IFERROR(VLOOKUP($A1070, NameDesignation[], 2,FALSE), " ")</f>
        <v>Former Director</v>
      </c>
      <c r="C1070" s="139" t="s">
        <v>38</v>
      </c>
      <c r="D1070" s="139">
        <v>36</v>
      </c>
      <c r="E1070" s="140">
        <v>44906</v>
      </c>
      <c r="F1070" s="139" t="str">
        <f t="shared" si="48"/>
        <v>Q4-22</v>
      </c>
      <c r="G1070" s="140" t="str">
        <f t="shared" si="49"/>
        <v>Dec'22</v>
      </c>
      <c r="H1070" s="140" t="str">
        <f>TEXT(RawData[[#This Row],[Date]], "YYYY")</f>
        <v>2022</v>
      </c>
      <c r="I1070" s="141" t="s">
        <v>32</v>
      </c>
      <c r="J1070" s="141" t="s">
        <v>90</v>
      </c>
      <c r="K1070" s="139">
        <f t="shared" si="50"/>
        <v>1</v>
      </c>
      <c r="L1070" s="142">
        <f>IF(RawData[[#This Row],[Paid/Unpaid]]="Paid", IF(VALUE($E1070)&gt;VALUE($D$3),$K1070* 10000,$K1070* 8000), 0)</f>
        <v>8000</v>
      </c>
      <c r="M1070" s="53" t="s">
        <v>146</v>
      </c>
    </row>
    <row r="1071" spans="1:13" ht="12.75" customHeight="1" x14ac:dyDescent="0.3">
      <c r="A1071" s="143" t="s">
        <v>9</v>
      </c>
      <c r="B1071" s="139" t="str">
        <f>IFERROR(VLOOKUP($A1071, NameDesignation[], 2,FALSE), " ")</f>
        <v>Former Director</v>
      </c>
      <c r="C1071" s="139" t="s">
        <v>38</v>
      </c>
      <c r="D1071" s="139">
        <v>36</v>
      </c>
      <c r="E1071" s="140">
        <v>44906</v>
      </c>
      <c r="F1071" s="139" t="str">
        <f t="shared" si="48"/>
        <v>Q4-22</v>
      </c>
      <c r="G1071" s="140" t="str">
        <f t="shared" si="49"/>
        <v>Dec'22</v>
      </c>
      <c r="H1071" s="140" t="str">
        <f>TEXT(RawData[[#This Row],[Date]], "YYYY")</f>
        <v>2022</v>
      </c>
      <c r="I1071" s="141" t="s">
        <v>32</v>
      </c>
      <c r="J1071" s="141" t="s">
        <v>90</v>
      </c>
      <c r="K1071" s="139">
        <f t="shared" si="50"/>
        <v>1</v>
      </c>
      <c r="L1071" s="142">
        <f>IF(RawData[[#This Row],[Paid/Unpaid]]="Paid", IF(VALUE($E1071)&gt;VALUE($D$3),$K1071* 10000,$K1071* 8000), 0)</f>
        <v>8000</v>
      </c>
      <c r="M1071" s="53" t="s">
        <v>146</v>
      </c>
    </row>
    <row r="1072" spans="1:13" ht="12.75" customHeight="1" x14ac:dyDescent="0.3">
      <c r="A1072" s="143" t="s">
        <v>12</v>
      </c>
      <c r="B1072" s="139" t="str">
        <f>IFERROR(VLOOKUP($A1072, NameDesignation[], 2,FALSE), " ")</f>
        <v>Former Director</v>
      </c>
      <c r="C1072" s="139" t="s">
        <v>38</v>
      </c>
      <c r="D1072" s="139">
        <v>36</v>
      </c>
      <c r="E1072" s="140">
        <v>44906</v>
      </c>
      <c r="F1072" s="139" t="str">
        <f t="shared" si="48"/>
        <v>Q4-22</v>
      </c>
      <c r="G1072" s="140" t="str">
        <f t="shared" si="49"/>
        <v>Dec'22</v>
      </c>
      <c r="H1072" s="140" t="str">
        <f>TEXT(RawData[[#This Row],[Date]], "YYYY")</f>
        <v>2022</v>
      </c>
      <c r="I1072" s="141" t="s">
        <v>32</v>
      </c>
      <c r="J1072" s="141" t="s">
        <v>90</v>
      </c>
      <c r="K1072" s="139">
        <f t="shared" si="50"/>
        <v>1</v>
      </c>
      <c r="L1072" s="142">
        <f>IF(RawData[[#This Row],[Paid/Unpaid]]="Paid", IF(VALUE($E1072)&gt;VALUE($D$3),$K1072* 10000,$K1072* 8000), 0)</f>
        <v>8000</v>
      </c>
      <c r="M1072" s="53" t="s">
        <v>146</v>
      </c>
    </row>
    <row r="1073" spans="1:13" ht="12.75" customHeight="1" x14ac:dyDescent="0.3">
      <c r="A1073" s="143" t="s">
        <v>61</v>
      </c>
      <c r="B1073" s="139" t="str">
        <f>IFERROR(VLOOKUP($A1073, NameDesignation[], 2,FALSE), " ")</f>
        <v>Former Director</v>
      </c>
      <c r="C1073" s="139" t="s">
        <v>38</v>
      </c>
      <c r="D1073" s="139">
        <v>36</v>
      </c>
      <c r="E1073" s="140">
        <v>44906</v>
      </c>
      <c r="F1073" s="139" t="str">
        <f t="shared" si="48"/>
        <v>Q4-22</v>
      </c>
      <c r="G1073" s="140" t="str">
        <f t="shared" si="49"/>
        <v>Dec'22</v>
      </c>
      <c r="H1073" s="140" t="str">
        <f>TEXT(RawData[[#This Row],[Date]], "YYYY")</f>
        <v>2022</v>
      </c>
      <c r="I1073" s="141" t="s">
        <v>32</v>
      </c>
      <c r="J1073" s="141" t="s">
        <v>91</v>
      </c>
      <c r="K1073" s="139">
        <f t="shared" si="50"/>
        <v>0</v>
      </c>
      <c r="L1073" s="142">
        <f>IF(RawData[[#This Row],[Paid/Unpaid]]="Paid", IF(VALUE($E1073)&gt;VALUE($D$3),$K1073* 10000,$K1073* 8000), 0)</f>
        <v>0</v>
      </c>
      <c r="M1073" s="53" t="s">
        <v>146</v>
      </c>
    </row>
    <row r="1074" spans="1:13" ht="12.75" customHeight="1" x14ac:dyDescent="0.3">
      <c r="A1074" s="143" t="s">
        <v>15</v>
      </c>
      <c r="B1074" s="139" t="str">
        <f>IFERROR(VLOOKUP($A1074, NameDesignation[], 2,FALSE), " ")</f>
        <v>Former Director</v>
      </c>
      <c r="C1074" s="139" t="s">
        <v>38</v>
      </c>
      <c r="D1074" s="139">
        <v>36</v>
      </c>
      <c r="E1074" s="140">
        <v>44906</v>
      </c>
      <c r="F1074" s="139" t="str">
        <f t="shared" si="48"/>
        <v>Q4-22</v>
      </c>
      <c r="G1074" s="140" t="str">
        <f t="shared" si="49"/>
        <v>Dec'22</v>
      </c>
      <c r="H1074" s="140" t="str">
        <f>TEXT(RawData[[#This Row],[Date]], "YYYY")</f>
        <v>2022</v>
      </c>
      <c r="I1074" s="141" t="s">
        <v>32</v>
      </c>
      <c r="J1074" s="141" t="s">
        <v>90</v>
      </c>
      <c r="K1074" s="139">
        <f t="shared" si="50"/>
        <v>1</v>
      </c>
      <c r="L1074" s="142">
        <f>IF(RawData[[#This Row],[Paid/Unpaid]]="Paid", IF(VALUE($E1074)&gt;VALUE($D$3),$K1074* 10000,$K1074* 8000), 0)</f>
        <v>8000</v>
      </c>
      <c r="M1074" s="53" t="s">
        <v>146</v>
      </c>
    </row>
    <row r="1075" spans="1:13" ht="12.75" customHeight="1" x14ac:dyDescent="0.3">
      <c r="A1075" s="143" t="s">
        <v>20</v>
      </c>
      <c r="B1075" s="139" t="str">
        <f>IFERROR(VLOOKUP($A1075, NameDesignation[], 2,FALSE), " ")</f>
        <v>Former Independent Director</v>
      </c>
      <c r="C1075" s="139" t="s">
        <v>37</v>
      </c>
      <c r="D1075" s="139">
        <v>127</v>
      </c>
      <c r="E1075" s="140">
        <v>44916</v>
      </c>
      <c r="F1075" s="139" t="str">
        <f t="shared" si="48"/>
        <v>Q4-22</v>
      </c>
      <c r="G1075" s="140" t="str">
        <f t="shared" si="49"/>
        <v>Dec'22</v>
      </c>
      <c r="H1075" s="140" t="str">
        <f>TEXT(RawData[[#This Row],[Date]], "YYYY")</f>
        <v>2022</v>
      </c>
      <c r="I1075" s="141" t="s">
        <v>32</v>
      </c>
      <c r="J1075" s="141" t="s">
        <v>90</v>
      </c>
      <c r="K1075" s="139">
        <f t="shared" si="50"/>
        <v>1</v>
      </c>
      <c r="L1075" s="142">
        <f>IF(RawData[[#This Row],[Paid/Unpaid]]="Paid", IF(VALUE($E1075)&gt;VALUE($D$3),$K1075* 10000,$K1075* 8000), 0)</f>
        <v>8000</v>
      </c>
      <c r="M1075" s="53" t="s">
        <v>146</v>
      </c>
    </row>
    <row r="1076" spans="1:13" ht="12.75" customHeight="1" x14ac:dyDescent="0.3">
      <c r="A1076" s="143" t="s">
        <v>23</v>
      </c>
      <c r="B1076" s="139" t="str">
        <f>IFERROR(VLOOKUP($A1076, NameDesignation[], 2,FALSE), " ")</f>
        <v>Former Director</v>
      </c>
      <c r="C1076" s="139" t="s">
        <v>37</v>
      </c>
      <c r="D1076" s="139">
        <v>127</v>
      </c>
      <c r="E1076" s="140">
        <v>44916</v>
      </c>
      <c r="F1076" s="139" t="str">
        <f t="shared" si="48"/>
        <v>Q4-22</v>
      </c>
      <c r="G1076" s="140" t="str">
        <f t="shared" si="49"/>
        <v>Dec'22</v>
      </c>
      <c r="H1076" s="140" t="str">
        <f>TEXT(RawData[[#This Row],[Date]], "YYYY")</f>
        <v>2022</v>
      </c>
      <c r="I1076" s="141" t="s">
        <v>32</v>
      </c>
      <c r="J1076" s="141" t="s">
        <v>90</v>
      </c>
      <c r="K1076" s="139">
        <f t="shared" si="50"/>
        <v>1</v>
      </c>
      <c r="L1076" s="142">
        <f>IF(RawData[[#This Row],[Paid/Unpaid]]="Paid", IF(VALUE($E1076)&gt;VALUE($D$3),$K1076* 10000,$K1076* 8000), 0)</f>
        <v>8000</v>
      </c>
      <c r="M1076" s="53" t="s">
        <v>146</v>
      </c>
    </row>
    <row r="1077" spans="1:13" ht="12.75" customHeight="1" x14ac:dyDescent="0.3">
      <c r="A1077" s="143" t="s">
        <v>24</v>
      </c>
      <c r="B1077" s="139" t="str">
        <f>IFERROR(VLOOKUP($A1077, NameDesignation[], 2,FALSE), " ")</f>
        <v>Former Director</v>
      </c>
      <c r="C1077" s="139" t="s">
        <v>37</v>
      </c>
      <c r="D1077" s="139">
        <v>127</v>
      </c>
      <c r="E1077" s="140">
        <v>44916</v>
      </c>
      <c r="F1077" s="139" t="str">
        <f t="shared" si="48"/>
        <v>Q4-22</v>
      </c>
      <c r="G1077" s="140" t="str">
        <f t="shared" si="49"/>
        <v>Dec'22</v>
      </c>
      <c r="H1077" s="140" t="str">
        <f>TEXT(RawData[[#This Row],[Date]], "YYYY")</f>
        <v>2022</v>
      </c>
      <c r="I1077" s="141" t="s">
        <v>32</v>
      </c>
      <c r="J1077" s="141" t="s">
        <v>90</v>
      </c>
      <c r="K1077" s="139">
        <f t="shared" si="50"/>
        <v>1</v>
      </c>
      <c r="L1077" s="142">
        <f>IF(RawData[[#This Row],[Paid/Unpaid]]="Paid", IF(VALUE($E1077)&gt;VALUE($D$3),$K1077* 10000,$K1077* 8000), 0)</f>
        <v>8000</v>
      </c>
      <c r="M1077" s="53" t="s">
        <v>146</v>
      </c>
    </row>
    <row r="1078" spans="1:13" ht="12.75" customHeight="1" x14ac:dyDescent="0.3">
      <c r="A1078" s="143" t="s">
        <v>21</v>
      </c>
      <c r="B1078" s="139" t="str">
        <f>IFERROR(VLOOKUP($A1078, NameDesignation[], 2,FALSE), " ")</f>
        <v>Former Independent Director</v>
      </c>
      <c r="C1078" s="139" t="s">
        <v>37</v>
      </c>
      <c r="D1078" s="139">
        <v>127</v>
      </c>
      <c r="E1078" s="140">
        <v>44916</v>
      </c>
      <c r="F1078" s="139" t="str">
        <f t="shared" si="48"/>
        <v>Q4-22</v>
      </c>
      <c r="G1078" s="140" t="str">
        <f t="shared" si="49"/>
        <v>Dec'22</v>
      </c>
      <c r="H1078" s="140" t="str">
        <f>TEXT(RawData[[#This Row],[Date]], "YYYY")</f>
        <v>2022</v>
      </c>
      <c r="I1078" s="141" t="s">
        <v>32</v>
      </c>
      <c r="J1078" s="141" t="s">
        <v>91</v>
      </c>
      <c r="K1078" s="139">
        <f t="shared" si="50"/>
        <v>0</v>
      </c>
      <c r="L1078" s="142">
        <f>IF(RawData[[#This Row],[Paid/Unpaid]]="Paid", IF(VALUE($E1078)&gt;VALUE($D$3),$K1078* 10000,$K1078* 8000), 0)</f>
        <v>0</v>
      </c>
      <c r="M1078" s="53" t="s">
        <v>146</v>
      </c>
    </row>
    <row r="1079" spans="1:13" ht="12.75" customHeight="1" x14ac:dyDescent="0.3">
      <c r="A1079" s="143" t="s">
        <v>49</v>
      </c>
      <c r="B1079" s="139" t="str">
        <f>IFERROR(VLOOKUP($A1079, NameDesignation[], 2,FALSE), " ")</f>
        <v>Former Director</v>
      </c>
      <c r="C1079" s="139" t="s">
        <v>38</v>
      </c>
      <c r="D1079" s="139">
        <v>37</v>
      </c>
      <c r="E1079" s="140">
        <v>44922</v>
      </c>
      <c r="F1079" s="139" t="str">
        <f t="shared" si="48"/>
        <v>Q4-22</v>
      </c>
      <c r="G1079" s="140" t="str">
        <f t="shared" si="49"/>
        <v>Dec'22</v>
      </c>
      <c r="H1079" s="140" t="str">
        <f>TEXT(RawData[[#This Row],[Date]], "YYYY")</f>
        <v>2022</v>
      </c>
      <c r="I1079" s="141" t="s">
        <v>32</v>
      </c>
      <c r="J1079" s="141" t="s">
        <v>90</v>
      </c>
      <c r="K1079" s="139">
        <f t="shared" si="50"/>
        <v>1</v>
      </c>
      <c r="L1079" s="142">
        <f>IF(RawData[[#This Row],[Paid/Unpaid]]="Paid", IF(VALUE($E1079)&gt;VALUE($D$3),$K1079* 10000,$K1079* 8000), 0)</f>
        <v>8000</v>
      </c>
      <c r="M1079" s="53" t="s">
        <v>146</v>
      </c>
    </row>
    <row r="1080" spans="1:13" ht="12.75" customHeight="1" x14ac:dyDescent="0.3">
      <c r="A1080" s="143" t="s">
        <v>9</v>
      </c>
      <c r="B1080" s="139" t="str">
        <f>IFERROR(VLOOKUP($A1080, NameDesignation[], 2,FALSE), " ")</f>
        <v>Former Director</v>
      </c>
      <c r="C1080" s="139" t="s">
        <v>38</v>
      </c>
      <c r="D1080" s="139">
        <v>37</v>
      </c>
      <c r="E1080" s="140">
        <v>44922</v>
      </c>
      <c r="F1080" s="139" t="str">
        <f t="shared" si="48"/>
        <v>Q4-22</v>
      </c>
      <c r="G1080" s="140" t="str">
        <f t="shared" si="49"/>
        <v>Dec'22</v>
      </c>
      <c r="H1080" s="140" t="str">
        <f>TEXT(RawData[[#This Row],[Date]], "YYYY")</f>
        <v>2022</v>
      </c>
      <c r="I1080" s="141" t="s">
        <v>32</v>
      </c>
      <c r="J1080" s="141" t="s">
        <v>90</v>
      </c>
      <c r="K1080" s="139">
        <f t="shared" si="50"/>
        <v>1</v>
      </c>
      <c r="L1080" s="142">
        <f>IF(RawData[[#This Row],[Paid/Unpaid]]="Paid", IF(VALUE($E1080)&gt;VALUE($D$3),$K1080* 10000,$K1080* 8000), 0)</f>
        <v>8000</v>
      </c>
      <c r="M1080" s="53" t="s">
        <v>146</v>
      </c>
    </row>
    <row r="1081" spans="1:13" ht="12.75" customHeight="1" x14ac:dyDescent="0.3">
      <c r="A1081" s="143" t="s">
        <v>12</v>
      </c>
      <c r="B1081" s="139" t="str">
        <f>IFERROR(VLOOKUP($A1081, NameDesignation[], 2,FALSE), " ")</f>
        <v>Former Director</v>
      </c>
      <c r="C1081" s="139" t="s">
        <v>38</v>
      </c>
      <c r="D1081" s="139">
        <v>37</v>
      </c>
      <c r="E1081" s="140">
        <v>44922</v>
      </c>
      <c r="F1081" s="139" t="str">
        <f t="shared" si="48"/>
        <v>Q4-22</v>
      </c>
      <c r="G1081" s="140" t="str">
        <f t="shared" si="49"/>
        <v>Dec'22</v>
      </c>
      <c r="H1081" s="140" t="str">
        <f>TEXT(RawData[[#This Row],[Date]], "YYYY")</f>
        <v>2022</v>
      </c>
      <c r="I1081" s="141" t="s">
        <v>32</v>
      </c>
      <c r="J1081" s="141" t="s">
        <v>90</v>
      </c>
      <c r="K1081" s="139">
        <f t="shared" si="50"/>
        <v>1</v>
      </c>
      <c r="L1081" s="142">
        <f>IF(RawData[[#This Row],[Paid/Unpaid]]="Paid", IF(VALUE($E1081)&gt;VALUE($D$3),$K1081* 10000,$K1081* 8000), 0)</f>
        <v>8000</v>
      </c>
      <c r="M1081" s="53" t="s">
        <v>146</v>
      </c>
    </row>
    <row r="1082" spans="1:13" ht="12.75" customHeight="1" x14ac:dyDescent="0.3">
      <c r="A1082" s="143" t="s">
        <v>61</v>
      </c>
      <c r="B1082" s="139" t="str">
        <f>IFERROR(VLOOKUP($A1082, NameDesignation[], 2,FALSE), " ")</f>
        <v>Former Director</v>
      </c>
      <c r="C1082" s="139" t="s">
        <v>38</v>
      </c>
      <c r="D1082" s="139">
        <v>37</v>
      </c>
      <c r="E1082" s="140">
        <v>44922</v>
      </c>
      <c r="F1082" s="139" t="str">
        <f t="shared" si="48"/>
        <v>Q4-22</v>
      </c>
      <c r="G1082" s="140" t="str">
        <f t="shared" si="49"/>
        <v>Dec'22</v>
      </c>
      <c r="H1082" s="140" t="str">
        <f>TEXT(RawData[[#This Row],[Date]], "YYYY")</f>
        <v>2022</v>
      </c>
      <c r="I1082" s="141" t="s">
        <v>32</v>
      </c>
      <c r="J1082" s="141" t="s">
        <v>90</v>
      </c>
      <c r="K1082" s="139">
        <f t="shared" si="50"/>
        <v>1</v>
      </c>
      <c r="L1082" s="142">
        <f>IF(RawData[[#This Row],[Paid/Unpaid]]="Paid", IF(VALUE($E1082)&gt;VALUE($D$3),$K1082* 10000,$K1082* 8000), 0)</f>
        <v>8000</v>
      </c>
      <c r="M1082" s="53" t="s">
        <v>146</v>
      </c>
    </row>
    <row r="1083" spans="1:13" ht="12.75" customHeight="1" x14ac:dyDescent="0.3">
      <c r="A1083" s="143" t="s">
        <v>15</v>
      </c>
      <c r="B1083" s="139" t="str">
        <f>IFERROR(VLOOKUP($A1083, NameDesignation[], 2,FALSE), " ")</f>
        <v>Former Director</v>
      </c>
      <c r="C1083" s="139" t="s">
        <v>38</v>
      </c>
      <c r="D1083" s="139">
        <v>37</v>
      </c>
      <c r="E1083" s="140">
        <v>44922</v>
      </c>
      <c r="F1083" s="139" t="str">
        <f t="shared" si="48"/>
        <v>Q4-22</v>
      </c>
      <c r="G1083" s="140" t="str">
        <f t="shared" si="49"/>
        <v>Dec'22</v>
      </c>
      <c r="H1083" s="140" t="str">
        <f>TEXT(RawData[[#This Row],[Date]], "YYYY")</f>
        <v>2022</v>
      </c>
      <c r="I1083" s="141" t="s">
        <v>32</v>
      </c>
      <c r="J1083" s="141" t="s">
        <v>90</v>
      </c>
      <c r="K1083" s="139">
        <f t="shared" si="50"/>
        <v>1</v>
      </c>
      <c r="L1083" s="142">
        <f>IF(RawData[[#This Row],[Paid/Unpaid]]="Paid", IF(VALUE($E1083)&gt;VALUE($D$3),$K1083* 10000,$K1083* 8000), 0)</f>
        <v>8000</v>
      </c>
      <c r="M1083" s="53" t="s">
        <v>146</v>
      </c>
    </row>
    <row r="1084" spans="1:13" ht="12.75" customHeight="1" x14ac:dyDescent="0.3">
      <c r="A1084" s="143" t="s">
        <v>11</v>
      </c>
      <c r="B1084" s="139" t="str">
        <f>IFERROR(VLOOKUP($A1084, NameDesignation[], 2,FALSE), " ")</f>
        <v>Former Director</v>
      </c>
      <c r="C1084" s="139" t="s">
        <v>41</v>
      </c>
      <c r="D1084" s="139">
        <v>7</v>
      </c>
      <c r="E1084" s="140">
        <v>44922</v>
      </c>
      <c r="F1084" s="139" t="str">
        <f t="shared" si="48"/>
        <v>Q4-22</v>
      </c>
      <c r="G1084" s="140" t="str">
        <f t="shared" si="49"/>
        <v>Dec'22</v>
      </c>
      <c r="H1084" s="140" t="str">
        <f>TEXT(RawData[[#This Row],[Date]], "YYYY")</f>
        <v>2022</v>
      </c>
      <c r="I1084" s="141" t="s">
        <v>32</v>
      </c>
      <c r="J1084" s="141" t="s">
        <v>90</v>
      </c>
      <c r="K1084" s="139">
        <f t="shared" si="50"/>
        <v>1</v>
      </c>
      <c r="L1084" s="142">
        <f>IF(RawData[[#This Row],[Paid/Unpaid]]="Paid", IF(VALUE($E1084)&gt;VALUE($D$3),$K1084* 10000,$K1084* 8000), 0)</f>
        <v>8000</v>
      </c>
      <c r="M1084" s="53" t="s">
        <v>146</v>
      </c>
    </row>
    <row r="1085" spans="1:13" ht="12.75" customHeight="1" x14ac:dyDescent="0.3">
      <c r="A1085" s="143" t="s">
        <v>54</v>
      </c>
      <c r="B1085" s="139" t="str">
        <f>IFERROR(VLOOKUP($A1085, NameDesignation[], 2,FALSE), " ")</f>
        <v>Member, Shariah Supervisory Committee</v>
      </c>
      <c r="C1085" s="139" t="s">
        <v>41</v>
      </c>
      <c r="D1085" s="139">
        <v>7</v>
      </c>
      <c r="E1085" s="140">
        <v>44922</v>
      </c>
      <c r="F1085" s="139" t="str">
        <f t="shared" si="48"/>
        <v>Q4-22</v>
      </c>
      <c r="G1085" s="140" t="str">
        <f t="shared" si="49"/>
        <v>Dec'22</v>
      </c>
      <c r="H1085" s="140" t="str">
        <f>TEXT(RawData[[#This Row],[Date]], "YYYY")</f>
        <v>2022</v>
      </c>
      <c r="I1085" s="141" t="s">
        <v>32</v>
      </c>
      <c r="J1085" s="141" t="s">
        <v>90</v>
      </c>
      <c r="K1085" s="139">
        <f t="shared" si="50"/>
        <v>1</v>
      </c>
      <c r="L1085" s="142">
        <f>IF(RawData[[#This Row],[Paid/Unpaid]]="Paid", IF(VALUE($E1085)&gt;VALUE($D$3),$K1085* 10000,$K1085* 8000), 0)</f>
        <v>8000</v>
      </c>
      <c r="M1085" s="53" t="s">
        <v>146</v>
      </c>
    </row>
    <row r="1086" spans="1:13" ht="12.75" customHeight="1" x14ac:dyDescent="0.3">
      <c r="A1086" s="143" t="s">
        <v>127</v>
      </c>
      <c r="B1086" s="139" t="str">
        <f>IFERROR(VLOOKUP($A1086, NameDesignation[], 2,FALSE), " ")</f>
        <v>Chairman, Shariah Supervisory Committee</v>
      </c>
      <c r="C1086" s="139" t="s">
        <v>41</v>
      </c>
      <c r="D1086" s="139">
        <v>7</v>
      </c>
      <c r="E1086" s="140">
        <v>44922</v>
      </c>
      <c r="F1086" s="139" t="str">
        <f t="shared" si="48"/>
        <v>Q4-22</v>
      </c>
      <c r="G1086" s="140" t="str">
        <f t="shared" si="49"/>
        <v>Dec'22</v>
      </c>
      <c r="H1086" s="140" t="str">
        <f>TEXT(RawData[[#This Row],[Date]], "YYYY")</f>
        <v>2022</v>
      </c>
      <c r="I1086" s="141" t="s">
        <v>32</v>
      </c>
      <c r="J1086" s="141" t="s">
        <v>90</v>
      </c>
      <c r="K1086" s="139">
        <f t="shared" si="50"/>
        <v>1</v>
      </c>
      <c r="L1086" s="142">
        <f>IF(RawData[[#This Row],[Paid/Unpaid]]="Paid", IF(VALUE($E1086)&gt;VALUE($D$3),$K1086* 10000,$K1086* 8000), 0)</f>
        <v>8000</v>
      </c>
      <c r="M1086" s="53" t="s">
        <v>146</v>
      </c>
    </row>
    <row r="1087" spans="1:13" ht="12.75" customHeight="1" x14ac:dyDescent="0.3">
      <c r="A1087" s="143" t="s">
        <v>52</v>
      </c>
      <c r="B1087" s="139" t="str">
        <f>IFERROR(VLOOKUP($A1087, NameDesignation[], 2,FALSE), " ")</f>
        <v>Member, Shariah Supervisory Committee</v>
      </c>
      <c r="C1087" s="139" t="s">
        <v>41</v>
      </c>
      <c r="D1087" s="139">
        <v>7</v>
      </c>
      <c r="E1087" s="140">
        <v>44922</v>
      </c>
      <c r="F1087" s="139" t="str">
        <f t="shared" si="48"/>
        <v>Q4-22</v>
      </c>
      <c r="G1087" s="140" t="str">
        <f t="shared" si="49"/>
        <v>Dec'22</v>
      </c>
      <c r="H1087" s="140" t="str">
        <f>TEXT(RawData[[#This Row],[Date]], "YYYY")</f>
        <v>2022</v>
      </c>
      <c r="I1087" s="141" t="s">
        <v>32</v>
      </c>
      <c r="J1087" s="141" t="s">
        <v>90</v>
      </c>
      <c r="K1087" s="139">
        <f t="shared" si="50"/>
        <v>1</v>
      </c>
      <c r="L1087" s="142">
        <f>IF(RawData[[#This Row],[Paid/Unpaid]]="Paid", IF(VALUE($E1087)&gt;VALUE($D$3),$K1087* 10000,$K1087* 8000), 0)</f>
        <v>8000</v>
      </c>
      <c r="M1087" s="53" t="s">
        <v>146</v>
      </c>
    </row>
    <row r="1088" spans="1:13" ht="12.75" customHeight="1" x14ac:dyDescent="0.3">
      <c r="A1088" s="143" t="s">
        <v>128</v>
      </c>
      <c r="B1088" s="139" t="str">
        <f>IFERROR(VLOOKUP($A1088, NameDesignation[], 2,FALSE), " ")</f>
        <v>Member, Shariah Supervisory Committee</v>
      </c>
      <c r="C1088" s="139" t="s">
        <v>41</v>
      </c>
      <c r="D1088" s="139">
        <v>7</v>
      </c>
      <c r="E1088" s="140">
        <v>44922</v>
      </c>
      <c r="F1088" s="139" t="str">
        <f t="shared" si="48"/>
        <v>Q4-22</v>
      </c>
      <c r="G1088" s="140" t="str">
        <f t="shared" si="49"/>
        <v>Dec'22</v>
      </c>
      <c r="H1088" s="140" t="str">
        <f>TEXT(RawData[[#This Row],[Date]], "YYYY")</f>
        <v>2022</v>
      </c>
      <c r="I1088" s="141" t="s">
        <v>32</v>
      </c>
      <c r="J1088" s="141" t="s">
        <v>90</v>
      </c>
      <c r="K1088" s="139">
        <f t="shared" si="50"/>
        <v>1</v>
      </c>
      <c r="L1088" s="142">
        <f>IF(RawData[[#This Row],[Paid/Unpaid]]="Paid", IF(VALUE($E1088)&gt;VALUE($D$3),$K1088* 10000,$K1088* 8000), 0)</f>
        <v>8000</v>
      </c>
      <c r="M1088" s="53" t="s">
        <v>146</v>
      </c>
    </row>
    <row r="1089" spans="1:13" ht="12.75" customHeight="1" x14ac:dyDescent="0.3">
      <c r="A1089" s="143" t="s">
        <v>126</v>
      </c>
      <c r="B1089" s="139" t="str">
        <f>IFERROR(VLOOKUP($A1089, NameDesignation[], 2,FALSE), " ")</f>
        <v>Member, Shariah Supervisory Committee</v>
      </c>
      <c r="C1089" s="139" t="s">
        <v>41</v>
      </c>
      <c r="D1089" s="139">
        <v>7</v>
      </c>
      <c r="E1089" s="140">
        <v>44922</v>
      </c>
      <c r="F1089" s="139" t="str">
        <f t="shared" si="48"/>
        <v>Q4-22</v>
      </c>
      <c r="G1089" s="140" t="str">
        <f t="shared" si="49"/>
        <v>Dec'22</v>
      </c>
      <c r="H1089" s="140" t="str">
        <f>TEXT(RawData[[#This Row],[Date]], "YYYY")</f>
        <v>2022</v>
      </c>
      <c r="I1089" s="141" t="s">
        <v>32</v>
      </c>
      <c r="J1089" s="141" t="s">
        <v>90</v>
      </c>
      <c r="K1089" s="139">
        <f t="shared" si="50"/>
        <v>1</v>
      </c>
      <c r="L1089" s="142">
        <f>IF(RawData[[#This Row],[Paid/Unpaid]]="Paid", IF(VALUE($E1089)&gt;VALUE($D$3),$K1089* 10000,$K1089* 8000), 0)</f>
        <v>8000</v>
      </c>
      <c r="M1089" s="53" t="s">
        <v>146</v>
      </c>
    </row>
    <row r="1090" spans="1:13" ht="12.75" customHeight="1" x14ac:dyDescent="0.3">
      <c r="A1090" s="143" t="s">
        <v>34</v>
      </c>
      <c r="B1090" s="139" t="str">
        <f>IFERROR(VLOOKUP($A1090, NameDesignation[], 2,FALSE), " ")</f>
        <v>Former Managing Director &amp; CEO</v>
      </c>
      <c r="C1090" s="139" t="s">
        <v>41</v>
      </c>
      <c r="D1090" s="139">
        <v>7</v>
      </c>
      <c r="E1090" s="140">
        <v>44922</v>
      </c>
      <c r="F1090" s="139" t="str">
        <f t="shared" si="48"/>
        <v>Q4-22</v>
      </c>
      <c r="G1090" s="140" t="str">
        <f t="shared" si="49"/>
        <v>Dec'22</v>
      </c>
      <c r="H1090" s="140" t="str">
        <f>TEXT(RawData[[#This Row],[Date]], "YYYY")</f>
        <v>2022</v>
      </c>
      <c r="I1090" s="141" t="s">
        <v>32</v>
      </c>
      <c r="J1090" s="141" t="s">
        <v>90</v>
      </c>
      <c r="K1090" s="139">
        <f t="shared" si="50"/>
        <v>1</v>
      </c>
      <c r="L1090" s="142">
        <f>IF(RawData[[#This Row],[Paid/Unpaid]]="Paid", IF(VALUE($E1090)&gt;VALUE($D$3),$K1090* 10000,$K1090* 8000), 0)</f>
        <v>8000</v>
      </c>
      <c r="M1090" s="53" t="s">
        <v>146</v>
      </c>
    </row>
    <row r="1091" spans="1:13" ht="12.75" customHeight="1" x14ac:dyDescent="0.3">
      <c r="A1091" s="144" t="s">
        <v>9</v>
      </c>
      <c r="B1091" s="139" t="str">
        <f>IFERROR(VLOOKUP($A1091, NameDesignation[], 2,FALSE), " ")</f>
        <v>Former Director</v>
      </c>
      <c r="C1091" s="139" t="s">
        <v>30</v>
      </c>
      <c r="D1091" s="139">
        <v>456</v>
      </c>
      <c r="E1091" s="140">
        <v>44923</v>
      </c>
      <c r="F1091" s="139" t="str">
        <f t="shared" si="48"/>
        <v>Q4-22</v>
      </c>
      <c r="G1091" s="140" t="str">
        <f t="shared" si="49"/>
        <v>Dec'22</v>
      </c>
      <c r="H1091" s="140" t="str">
        <f>TEXT(RawData[[#This Row],[Date]], "YYYY")</f>
        <v>2022</v>
      </c>
      <c r="I1091" s="141" t="s">
        <v>32</v>
      </c>
      <c r="J1091" s="141" t="s">
        <v>90</v>
      </c>
      <c r="K1091" s="139">
        <f t="shared" si="50"/>
        <v>1</v>
      </c>
      <c r="L1091" s="142">
        <f>IF(RawData[[#This Row],[Paid/Unpaid]]="Paid", IF(VALUE($E1091)&gt;VALUE($D$3),$K1091* 10000,$K1091* 8000), 0)</f>
        <v>8000</v>
      </c>
      <c r="M1091" s="53" t="s">
        <v>146</v>
      </c>
    </row>
    <row r="1092" spans="1:13" ht="12.75" customHeight="1" x14ac:dyDescent="0.3">
      <c r="A1092" s="144" t="s">
        <v>8</v>
      </c>
      <c r="B1092" s="139" t="str">
        <f>IFERROR(VLOOKUP($A1092, NameDesignation[], 2,FALSE), " ")</f>
        <v>Former Vice-Chairman</v>
      </c>
      <c r="C1092" s="139" t="s">
        <v>30</v>
      </c>
      <c r="D1092" s="139">
        <v>456</v>
      </c>
      <c r="E1092" s="140">
        <v>44923</v>
      </c>
      <c r="F1092" s="139" t="str">
        <f t="shared" si="48"/>
        <v>Q4-22</v>
      </c>
      <c r="G1092" s="140" t="str">
        <f t="shared" si="49"/>
        <v>Dec'22</v>
      </c>
      <c r="H1092" s="140" t="str">
        <f>TEXT(RawData[[#This Row],[Date]], "YYYY")</f>
        <v>2022</v>
      </c>
      <c r="I1092" s="141" t="s">
        <v>32</v>
      </c>
      <c r="J1092" s="141" t="s">
        <v>90</v>
      </c>
      <c r="K1092" s="139">
        <f t="shared" si="50"/>
        <v>1</v>
      </c>
      <c r="L1092" s="142">
        <f>IF(RawData[[#This Row],[Paid/Unpaid]]="Paid", IF(VALUE($E1092)&gt;VALUE($D$3),$K1092* 10000,$K1092* 8000), 0)</f>
        <v>8000</v>
      </c>
      <c r="M1092" s="53" t="s">
        <v>146</v>
      </c>
    </row>
    <row r="1093" spans="1:13" ht="12.75" customHeight="1" x14ac:dyDescent="0.3">
      <c r="A1093" s="144" t="s">
        <v>49</v>
      </c>
      <c r="B1093" s="139" t="str">
        <f>IFERROR(VLOOKUP($A1093, NameDesignation[], 2,FALSE), " ")</f>
        <v>Former Director</v>
      </c>
      <c r="C1093" s="139" t="s">
        <v>30</v>
      </c>
      <c r="D1093" s="139">
        <v>456</v>
      </c>
      <c r="E1093" s="140">
        <v>44923</v>
      </c>
      <c r="F1093" s="139" t="str">
        <f t="shared" si="48"/>
        <v>Q4-22</v>
      </c>
      <c r="G1093" s="140" t="str">
        <f t="shared" si="49"/>
        <v>Dec'22</v>
      </c>
      <c r="H1093" s="140" t="str">
        <f>TEXT(RawData[[#This Row],[Date]], "YYYY")</f>
        <v>2022</v>
      </c>
      <c r="I1093" s="141" t="s">
        <v>32</v>
      </c>
      <c r="J1093" s="141" t="s">
        <v>90</v>
      </c>
      <c r="K1093" s="139">
        <f t="shared" si="50"/>
        <v>1</v>
      </c>
      <c r="L1093" s="142">
        <f>IF(RawData[[#This Row],[Paid/Unpaid]]="Paid", IF(VALUE($E1093)&gt;VALUE($D$3),$K1093* 10000,$K1093* 8000), 0)</f>
        <v>8000</v>
      </c>
      <c r="M1093" s="53" t="s">
        <v>146</v>
      </c>
    </row>
    <row r="1094" spans="1:13" ht="12.75" customHeight="1" x14ac:dyDescent="0.3">
      <c r="A1094" s="144" t="s">
        <v>11</v>
      </c>
      <c r="B1094" s="139" t="str">
        <f>IFERROR(VLOOKUP($A1094, NameDesignation[], 2,FALSE), " ")</f>
        <v>Former Director</v>
      </c>
      <c r="C1094" s="139" t="s">
        <v>30</v>
      </c>
      <c r="D1094" s="139">
        <v>456</v>
      </c>
      <c r="E1094" s="140">
        <v>44923</v>
      </c>
      <c r="F1094" s="139" t="str">
        <f t="shared" ref="F1094:F1157" si="51">CONCATENATE("Q", ROUNDUP(MONTH($E1094)/3,0),"-",TEXT($E1094, "yy"))</f>
        <v>Q4-22</v>
      </c>
      <c r="G1094" s="140" t="str">
        <f t="shared" ref="G1094:G1157" si="52">CONCATENATE(TEXT($E1094, "mmm"),"'", TEXT($E1094, "yy"))</f>
        <v>Dec'22</v>
      </c>
      <c r="H1094" s="140" t="str">
        <f>TEXT(RawData[[#This Row],[Date]], "YYYY")</f>
        <v>2022</v>
      </c>
      <c r="I1094" s="141" t="s">
        <v>32</v>
      </c>
      <c r="J1094" s="141" t="s">
        <v>90</v>
      </c>
      <c r="K1094" s="139">
        <f t="shared" ref="K1094:K1157" si="53">IF($J1094="Present", 1, 0)</f>
        <v>1</v>
      </c>
      <c r="L1094" s="142">
        <f>IF(RawData[[#This Row],[Paid/Unpaid]]="Paid", IF(VALUE($E1094)&gt;VALUE($D$3),$K1094* 10000,$K1094* 8000), 0)</f>
        <v>8000</v>
      </c>
      <c r="M1094" s="53" t="s">
        <v>146</v>
      </c>
    </row>
    <row r="1095" spans="1:13" ht="12.75" customHeight="1" x14ac:dyDescent="0.3">
      <c r="A1095" s="144" t="s">
        <v>137</v>
      </c>
      <c r="B1095" s="139" t="str">
        <f>IFERROR(VLOOKUP($A1095, NameDesignation[], 2,FALSE), " ")</f>
        <v>Former Director</v>
      </c>
      <c r="C1095" s="139" t="s">
        <v>30</v>
      </c>
      <c r="D1095" s="139">
        <v>456</v>
      </c>
      <c r="E1095" s="140">
        <v>44923</v>
      </c>
      <c r="F1095" s="139" t="str">
        <f t="shared" si="51"/>
        <v>Q4-22</v>
      </c>
      <c r="G1095" s="140" t="str">
        <f t="shared" si="52"/>
        <v>Dec'22</v>
      </c>
      <c r="H1095" s="140" t="str">
        <f>TEXT(RawData[[#This Row],[Date]], "YYYY")</f>
        <v>2022</v>
      </c>
      <c r="I1095" s="141" t="s">
        <v>32</v>
      </c>
      <c r="J1095" s="141" t="s">
        <v>90</v>
      </c>
      <c r="K1095" s="139">
        <f t="shared" si="53"/>
        <v>1</v>
      </c>
      <c r="L1095" s="142">
        <f>IF(RawData[[#This Row],[Paid/Unpaid]]="Paid", IF(VALUE($E1095)&gt;VALUE($D$3),$K1095* 10000,$K1095* 8000), 0)</f>
        <v>8000</v>
      </c>
      <c r="M1095" s="53" t="s">
        <v>146</v>
      </c>
    </row>
    <row r="1096" spans="1:13" ht="12.75" customHeight="1" x14ac:dyDescent="0.3">
      <c r="A1096" s="144" t="s">
        <v>13</v>
      </c>
      <c r="B1096" s="139" t="str">
        <f>IFERROR(VLOOKUP($A1096, NameDesignation[], 2,FALSE), " ")</f>
        <v>Former Director</v>
      </c>
      <c r="C1096" s="139" t="s">
        <v>30</v>
      </c>
      <c r="D1096" s="139">
        <v>456</v>
      </c>
      <c r="E1096" s="140">
        <v>44923</v>
      </c>
      <c r="F1096" s="139" t="str">
        <f t="shared" si="51"/>
        <v>Q4-22</v>
      </c>
      <c r="G1096" s="140" t="str">
        <f t="shared" si="52"/>
        <v>Dec'22</v>
      </c>
      <c r="H1096" s="140" t="str">
        <f>TEXT(RawData[[#This Row],[Date]], "YYYY")</f>
        <v>2022</v>
      </c>
      <c r="I1096" s="141" t="s">
        <v>32</v>
      </c>
      <c r="J1096" s="141" t="s">
        <v>91</v>
      </c>
      <c r="K1096" s="139">
        <f t="shared" si="53"/>
        <v>0</v>
      </c>
      <c r="L1096" s="142">
        <f>IF(RawData[[#This Row],[Paid/Unpaid]]="Paid", IF(VALUE($E1096)&gt;VALUE($D$3),$K1096* 10000,$K1096* 8000), 0)</f>
        <v>0</v>
      </c>
      <c r="M1096" s="53" t="s">
        <v>146</v>
      </c>
    </row>
    <row r="1097" spans="1:13" ht="12.75" customHeight="1" x14ac:dyDescent="0.3">
      <c r="A1097" s="144" t="s">
        <v>25</v>
      </c>
      <c r="B1097" s="139" t="str">
        <f>IFERROR(VLOOKUP($A1097, NameDesignation[], 2,FALSE), " ")</f>
        <v>Former Director</v>
      </c>
      <c r="C1097" s="139" t="s">
        <v>30</v>
      </c>
      <c r="D1097" s="139">
        <v>456</v>
      </c>
      <c r="E1097" s="140">
        <v>44923</v>
      </c>
      <c r="F1097" s="139" t="str">
        <f t="shared" si="51"/>
        <v>Q4-22</v>
      </c>
      <c r="G1097" s="140" t="str">
        <f t="shared" si="52"/>
        <v>Dec'22</v>
      </c>
      <c r="H1097" s="140" t="str">
        <f>TEXT(RawData[[#This Row],[Date]], "YYYY")</f>
        <v>2022</v>
      </c>
      <c r="I1097" s="141" t="s">
        <v>32</v>
      </c>
      <c r="J1097" s="141" t="s">
        <v>91</v>
      </c>
      <c r="K1097" s="139">
        <f t="shared" si="53"/>
        <v>0</v>
      </c>
      <c r="L1097" s="142">
        <f>IF(RawData[[#This Row],[Paid/Unpaid]]="Paid", IF(VALUE($E1097)&gt;VALUE($D$3),$K1097* 10000,$K1097* 8000), 0)</f>
        <v>0</v>
      </c>
      <c r="M1097" s="53" t="s">
        <v>146</v>
      </c>
    </row>
    <row r="1098" spans="1:13" ht="12.75" customHeight="1" x14ac:dyDescent="0.3">
      <c r="A1098" s="143" t="s">
        <v>7</v>
      </c>
      <c r="B1098" s="139" t="str">
        <f>IFERROR(VLOOKUP($A1098, NameDesignation[], 2,FALSE), " ")</f>
        <v>Former Director</v>
      </c>
      <c r="C1098" s="139" t="s">
        <v>29</v>
      </c>
      <c r="D1098" s="139">
        <v>478</v>
      </c>
      <c r="E1098" s="140">
        <v>44923</v>
      </c>
      <c r="F1098" s="139" t="str">
        <f t="shared" si="51"/>
        <v>Q4-22</v>
      </c>
      <c r="G1098" s="140" t="str">
        <f t="shared" si="52"/>
        <v>Dec'22</v>
      </c>
      <c r="H1098" s="140" t="str">
        <f>TEXT(RawData[[#This Row],[Date]], "YYYY")</f>
        <v>2022</v>
      </c>
      <c r="I1098" s="141" t="s">
        <v>32</v>
      </c>
      <c r="J1098" s="141" t="s">
        <v>90</v>
      </c>
      <c r="K1098" s="139">
        <f t="shared" si="53"/>
        <v>1</v>
      </c>
      <c r="L1098" s="142">
        <f>IF(RawData[[#This Row],[Paid/Unpaid]]="Paid", IF(VALUE($E1098)&gt;VALUE($D$3),$K1098* 10000,$K1098* 8000), 0)</f>
        <v>8000</v>
      </c>
      <c r="M1098" s="53" t="s">
        <v>146</v>
      </c>
    </row>
    <row r="1099" spans="1:13" ht="12.75" customHeight="1" x14ac:dyDescent="0.3">
      <c r="A1099" s="143" t="s">
        <v>8</v>
      </c>
      <c r="B1099" s="139" t="str">
        <f>IFERROR(VLOOKUP($A1099, NameDesignation[], 2,FALSE), " ")</f>
        <v>Former Vice-Chairman</v>
      </c>
      <c r="C1099" s="139" t="s">
        <v>29</v>
      </c>
      <c r="D1099" s="139">
        <v>478</v>
      </c>
      <c r="E1099" s="140">
        <v>44923</v>
      </c>
      <c r="F1099" s="139" t="str">
        <f t="shared" si="51"/>
        <v>Q4-22</v>
      </c>
      <c r="G1099" s="140" t="str">
        <f t="shared" si="52"/>
        <v>Dec'22</v>
      </c>
      <c r="H1099" s="140" t="str">
        <f>TEXT(RawData[[#This Row],[Date]], "YYYY")</f>
        <v>2022</v>
      </c>
      <c r="I1099" s="141" t="s">
        <v>32</v>
      </c>
      <c r="J1099" s="141" t="s">
        <v>90</v>
      </c>
      <c r="K1099" s="139">
        <f t="shared" si="53"/>
        <v>1</v>
      </c>
      <c r="L1099" s="142">
        <f>IF(RawData[[#This Row],[Paid/Unpaid]]="Paid", IF(VALUE($E1099)&gt;VALUE($D$3),$K1099* 10000,$K1099* 8000), 0)</f>
        <v>8000</v>
      </c>
      <c r="M1099" s="53" t="s">
        <v>146</v>
      </c>
    </row>
    <row r="1100" spans="1:13" ht="12.75" customHeight="1" x14ac:dyDescent="0.3">
      <c r="A1100" s="143" t="s">
        <v>9</v>
      </c>
      <c r="B1100" s="139" t="str">
        <f>IFERROR(VLOOKUP($A1100, NameDesignation[], 2,FALSE), " ")</f>
        <v>Former Director</v>
      </c>
      <c r="C1100" s="139" t="s">
        <v>29</v>
      </c>
      <c r="D1100" s="139">
        <v>478</v>
      </c>
      <c r="E1100" s="140">
        <v>44923</v>
      </c>
      <c r="F1100" s="139" t="str">
        <f t="shared" si="51"/>
        <v>Q4-22</v>
      </c>
      <c r="G1100" s="140" t="str">
        <f t="shared" si="52"/>
        <v>Dec'22</v>
      </c>
      <c r="H1100" s="140" t="str">
        <f>TEXT(RawData[[#This Row],[Date]], "YYYY")</f>
        <v>2022</v>
      </c>
      <c r="I1100" s="141" t="s">
        <v>32</v>
      </c>
      <c r="J1100" s="141" t="s">
        <v>90</v>
      </c>
      <c r="K1100" s="139">
        <f t="shared" si="53"/>
        <v>1</v>
      </c>
      <c r="L1100" s="142">
        <f>IF(RawData[[#This Row],[Paid/Unpaid]]="Paid", IF(VALUE($E1100)&gt;VALUE($D$3),$K1100* 10000,$K1100* 8000), 0)</f>
        <v>8000</v>
      </c>
      <c r="M1100" s="53" t="s">
        <v>146</v>
      </c>
    </row>
    <row r="1101" spans="1:13" ht="12.75" customHeight="1" x14ac:dyDescent="0.3">
      <c r="A1101" s="143" t="s">
        <v>20</v>
      </c>
      <c r="B1101" s="139" t="str">
        <f>IFERROR(VLOOKUP($A1101, NameDesignation[], 2,FALSE), " ")</f>
        <v>Former Independent Director</v>
      </c>
      <c r="C1101" s="139" t="s">
        <v>29</v>
      </c>
      <c r="D1101" s="139">
        <v>478</v>
      </c>
      <c r="E1101" s="140">
        <v>44923</v>
      </c>
      <c r="F1101" s="139" t="str">
        <f t="shared" si="51"/>
        <v>Q4-22</v>
      </c>
      <c r="G1101" s="140" t="str">
        <f t="shared" si="52"/>
        <v>Dec'22</v>
      </c>
      <c r="H1101" s="140" t="str">
        <f>TEXT(RawData[[#This Row],[Date]], "YYYY")</f>
        <v>2022</v>
      </c>
      <c r="I1101" s="141" t="s">
        <v>32</v>
      </c>
      <c r="J1101" s="141" t="s">
        <v>90</v>
      </c>
      <c r="K1101" s="139">
        <f t="shared" si="53"/>
        <v>1</v>
      </c>
      <c r="L1101" s="142">
        <f>IF(RawData[[#This Row],[Paid/Unpaid]]="Paid", IF(VALUE($E1101)&gt;VALUE($D$3),$K1101* 10000,$K1101* 8000), 0)</f>
        <v>8000</v>
      </c>
      <c r="M1101" s="53" t="s">
        <v>146</v>
      </c>
    </row>
    <row r="1102" spans="1:13" ht="12.75" customHeight="1" x14ac:dyDescent="0.3">
      <c r="A1102" s="143" t="s">
        <v>49</v>
      </c>
      <c r="B1102" s="139" t="str">
        <f>IFERROR(VLOOKUP($A1102, NameDesignation[], 2,FALSE), " ")</f>
        <v>Former Director</v>
      </c>
      <c r="C1102" s="139" t="s">
        <v>29</v>
      </c>
      <c r="D1102" s="139">
        <v>478</v>
      </c>
      <c r="E1102" s="140">
        <v>44923</v>
      </c>
      <c r="F1102" s="139" t="str">
        <f t="shared" si="51"/>
        <v>Q4-22</v>
      </c>
      <c r="G1102" s="140" t="str">
        <f t="shared" si="52"/>
        <v>Dec'22</v>
      </c>
      <c r="H1102" s="140" t="str">
        <f>TEXT(RawData[[#This Row],[Date]], "YYYY")</f>
        <v>2022</v>
      </c>
      <c r="I1102" s="141" t="s">
        <v>32</v>
      </c>
      <c r="J1102" s="141" t="s">
        <v>90</v>
      </c>
      <c r="K1102" s="139">
        <f t="shared" si="53"/>
        <v>1</v>
      </c>
      <c r="L1102" s="142">
        <f>IF(RawData[[#This Row],[Paid/Unpaid]]="Paid", IF(VALUE($E1102)&gt;VALUE($D$3),$K1102* 10000,$K1102* 8000), 0)</f>
        <v>8000</v>
      </c>
      <c r="M1102" s="53" t="s">
        <v>146</v>
      </c>
    </row>
    <row r="1103" spans="1:13" ht="12.75" customHeight="1" x14ac:dyDescent="0.3">
      <c r="A1103" s="143" t="s">
        <v>11</v>
      </c>
      <c r="B1103" s="139" t="str">
        <f>IFERROR(VLOOKUP($A1103, NameDesignation[], 2,FALSE), " ")</f>
        <v>Former Director</v>
      </c>
      <c r="C1103" s="139" t="s">
        <v>29</v>
      </c>
      <c r="D1103" s="139">
        <v>478</v>
      </c>
      <c r="E1103" s="140">
        <v>44923</v>
      </c>
      <c r="F1103" s="139" t="str">
        <f t="shared" si="51"/>
        <v>Q4-22</v>
      </c>
      <c r="G1103" s="140" t="str">
        <f t="shared" si="52"/>
        <v>Dec'22</v>
      </c>
      <c r="H1103" s="140" t="str">
        <f>TEXT(RawData[[#This Row],[Date]], "YYYY")</f>
        <v>2022</v>
      </c>
      <c r="I1103" s="141" t="s">
        <v>32</v>
      </c>
      <c r="J1103" s="141" t="s">
        <v>90</v>
      </c>
      <c r="K1103" s="139">
        <f t="shared" si="53"/>
        <v>1</v>
      </c>
      <c r="L1103" s="142">
        <f>IF(RawData[[#This Row],[Paid/Unpaid]]="Paid", IF(VALUE($E1103)&gt;VALUE($D$3),$K1103* 10000,$K1103* 8000), 0)</f>
        <v>8000</v>
      </c>
      <c r="M1103" s="53" t="s">
        <v>146</v>
      </c>
    </row>
    <row r="1104" spans="1:13" ht="12.75" customHeight="1" x14ac:dyDescent="0.3">
      <c r="A1104" s="143" t="s">
        <v>12</v>
      </c>
      <c r="B1104" s="139" t="str">
        <f>IFERROR(VLOOKUP($A1104, NameDesignation[], 2,FALSE), " ")</f>
        <v>Former Director</v>
      </c>
      <c r="C1104" s="139" t="s">
        <v>29</v>
      </c>
      <c r="D1104" s="139">
        <v>478</v>
      </c>
      <c r="E1104" s="140">
        <v>44923</v>
      </c>
      <c r="F1104" s="139" t="str">
        <f t="shared" si="51"/>
        <v>Q4-22</v>
      </c>
      <c r="G1104" s="140" t="str">
        <f t="shared" si="52"/>
        <v>Dec'22</v>
      </c>
      <c r="H1104" s="140" t="str">
        <f>TEXT(RawData[[#This Row],[Date]], "YYYY")</f>
        <v>2022</v>
      </c>
      <c r="I1104" s="141" t="s">
        <v>32</v>
      </c>
      <c r="J1104" s="141" t="s">
        <v>90</v>
      </c>
      <c r="K1104" s="139">
        <f t="shared" si="53"/>
        <v>1</v>
      </c>
      <c r="L1104" s="142">
        <f>IF(RawData[[#This Row],[Paid/Unpaid]]="Paid", IF(VALUE($E1104)&gt;VALUE($D$3),$K1104* 10000,$K1104* 8000), 0)</f>
        <v>8000</v>
      </c>
      <c r="M1104" s="53" t="s">
        <v>146</v>
      </c>
    </row>
    <row r="1105" spans="1:13" ht="12.75" customHeight="1" x14ac:dyDescent="0.3">
      <c r="A1105" s="143" t="s">
        <v>137</v>
      </c>
      <c r="B1105" s="139" t="str">
        <f>IFERROR(VLOOKUP($A1105, NameDesignation[], 2,FALSE), " ")</f>
        <v>Former Director</v>
      </c>
      <c r="C1105" s="139" t="s">
        <v>29</v>
      </c>
      <c r="D1105" s="139">
        <v>478</v>
      </c>
      <c r="E1105" s="140">
        <v>44923</v>
      </c>
      <c r="F1105" s="139" t="str">
        <f t="shared" si="51"/>
        <v>Q4-22</v>
      </c>
      <c r="G1105" s="140" t="str">
        <f t="shared" si="52"/>
        <v>Dec'22</v>
      </c>
      <c r="H1105" s="140" t="str">
        <f>TEXT(RawData[[#This Row],[Date]], "YYYY")</f>
        <v>2022</v>
      </c>
      <c r="I1105" s="141" t="s">
        <v>32</v>
      </c>
      <c r="J1105" s="141" t="s">
        <v>90</v>
      </c>
      <c r="K1105" s="139">
        <f t="shared" si="53"/>
        <v>1</v>
      </c>
      <c r="L1105" s="142">
        <f>IF(RawData[[#This Row],[Paid/Unpaid]]="Paid", IF(VALUE($E1105)&gt;VALUE($D$3),$K1105* 10000,$K1105* 8000), 0)</f>
        <v>8000</v>
      </c>
      <c r="M1105" s="53" t="s">
        <v>146</v>
      </c>
    </row>
    <row r="1106" spans="1:13" ht="12.75" customHeight="1" x14ac:dyDescent="0.3">
      <c r="A1106" s="143" t="s">
        <v>13</v>
      </c>
      <c r="B1106" s="139" t="str">
        <f>IFERROR(VLOOKUP($A1106, NameDesignation[], 2,FALSE), " ")</f>
        <v>Former Director</v>
      </c>
      <c r="C1106" s="139" t="s">
        <v>29</v>
      </c>
      <c r="D1106" s="139">
        <v>478</v>
      </c>
      <c r="E1106" s="140">
        <v>44923</v>
      </c>
      <c r="F1106" s="139" t="str">
        <f t="shared" si="51"/>
        <v>Q4-22</v>
      </c>
      <c r="G1106" s="140" t="str">
        <f t="shared" si="52"/>
        <v>Dec'22</v>
      </c>
      <c r="H1106" s="140" t="str">
        <f>TEXT(RawData[[#This Row],[Date]], "YYYY")</f>
        <v>2022</v>
      </c>
      <c r="I1106" s="141" t="s">
        <v>32</v>
      </c>
      <c r="J1106" s="141" t="s">
        <v>91</v>
      </c>
      <c r="K1106" s="139">
        <f t="shared" si="53"/>
        <v>0</v>
      </c>
      <c r="L1106" s="142">
        <f>IF(RawData[[#This Row],[Paid/Unpaid]]="Paid", IF(VALUE($E1106)&gt;VALUE($D$3),$K1106* 10000,$K1106* 8000), 0)</f>
        <v>0</v>
      </c>
      <c r="M1106" s="53" t="s">
        <v>146</v>
      </c>
    </row>
    <row r="1107" spans="1:13" ht="12.75" customHeight="1" x14ac:dyDescent="0.3">
      <c r="A1107" s="143" t="s">
        <v>61</v>
      </c>
      <c r="B1107" s="139" t="str">
        <f>IFERROR(VLOOKUP($A1107, NameDesignation[], 2,FALSE), " ")</f>
        <v>Former Director</v>
      </c>
      <c r="C1107" s="139" t="s">
        <v>29</v>
      </c>
      <c r="D1107" s="139">
        <v>478</v>
      </c>
      <c r="E1107" s="140">
        <v>44923</v>
      </c>
      <c r="F1107" s="139" t="str">
        <f t="shared" si="51"/>
        <v>Q4-22</v>
      </c>
      <c r="G1107" s="140" t="str">
        <f t="shared" si="52"/>
        <v>Dec'22</v>
      </c>
      <c r="H1107" s="140" t="str">
        <f>TEXT(RawData[[#This Row],[Date]], "YYYY")</f>
        <v>2022</v>
      </c>
      <c r="I1107" s="141" t="s">
        <v>32</v>
      </c>
      <c r="J1107" s="141" t="s">
        <v>90</v>
      </c>
      <c r="K1107" s="139">
        <f t="shared" si="53"/>
        <v>1</v>
      </c>
      <c r="L1107" s="142">
        <f>IF(RawData[[#This Row],[Paid/Unpaid]]="Paid", IF(VALUE($E1107)&gt;VALUE($D$3),$K1107* 10000,$K1107* 8000), 0)</f>
        <v>8000</v>
      </c>
      <c r="M1107" s="53" t="s">
        <v>146</v>
      </c>
    </row>
    <row r="1108" spans="1:13" ht="12.75" customHeight="1" x14ac:dyDescent="0.3">
      <c r="A1108" s="143" t="s">
        <v>14</v>
      </c>
      <c r="B1108" s="139" t="str">
        <f>IFERROR(VLOOKUP($A1108, NameDesignation[], 2,FALSE), " ")</f>
        <v>Former Director</v>
      </c>
      <c r="C1108" s="139" t="s">
        <v>29</v>
      </c>
      <c r="D1108" s="139">
        <v>478</v>
      </c>
      <c r="E1108" s="140">
        <v>44923</v>
      </c>
      <c r="F1108" s="139" t="str">
        <f t="shared" si="51"/>
        <v>Q4-22</v>
      </c>
      <c r="G1108" s="140" t="str">
        <f t="shared" si="52"/>
        <v>Dec'22</v>
      </c>
      <c r="H1108" s="140" t="str">
        <f>TEXT(RawData[[#This Row],[Date]], "YYYY")</f>
        <v>2022</v>
      </c>
      <c r="I1108" s="141" t="s">
        <v>32</v>
      </c>
      <c r="J1108" s="141" t="s">
        <v>90</v>
      </c>
      <c r="K1108" s="139">
        <f t="shared" si="53"/>
        <v>1</v>
      </c>
      <c r="L1108" s="142">
        <f>IF(RawData[[#This Row],[Paid/Unpaid]]="Paid", IF(VALUE($E1108)&gt;VALUE($D$3),$K1108* 10000,$K1108* 8000), 0)</f>
        <v>8000</v>
      </c>
      <c r="M1108" s="53" t="s">
        <v>146</v>
      </c>
    </row>
    <row r="1109" spans="1:13" ht="12.75" customHeight="1" x14ac:dyDescent="0.3">
      <c r="A1109" s="143" t="s">
        <v>23</v>
      </c>
      <c r="B1109" s="139" t="str">
        <f>IFERROR(VLOOKUP($A1109, NameDesignation[], 2,FALSE), " ")</f>
        <v>Former Director</v>
      </c>
      <c r="C1109" s="139" t="s">
        <v>29</v>
      </c>
      <c r="D1109" s="139">
        <v>478</v>
      </c>
      <c r="E1109" s="140">
        <v>44923</v>
      </c>
      <c r="F1109" s="139" t="str">
        <f t="shared" si="51"/>
        <v>Q4-22</v>
      </c>
      <c r="G1109" s="140" t="str">
        <f t="shared" si="52"/>
        <v>Dec'22</v>
      </c>
      <c r="H1109" s="140" t="str">
        <f>TEXT(RawData[[#This Row],[Date]], "YYYY")</f>
        <v>2022</v>
      </c>
      <c r="I1109" s="141" t="s">
        <v>32</v>
      </c>
      <c r="J1109" s="141" t="s">
        <v>90</v>
      </c>
      <c r="K1109" s="139">
        <f t="shared" si="53"/>
        <v>1</v>
      </c>
      <c r="L1109" s="142">
        <f>IF(RawData[[#This Row],[Paid/Unpaid]]="Paid", IF(VALUE($E1109)&gt;VALUE($D$3),$K1109* 10000,$K1109* 8000), 0)</f>
        <v>8000</v>
      </c>
      <c r="M1109" s="53" t="s">
        <v>146</v>
      </c>
    </row>
    <row r="1110" spans="1:13" ht="12.75" customHeight="1" x14ac:dyDescent="0.3">
      <c r="A1110" s="143" t="s">
        <v>24</v>
      </c>
      <c r="B1110" s="139" t="str">
        <f>IFERROR(VLOOKUP($A1110, NameDesignation[], 2,FALSE), " ")</f>
        <v>Former Director</v>
      </c>
      <c r="C1110" s="139" t="s">
        <v>29</v>
      </c>
      <c r="D1110" s="139">
        <v>478</v>
      </c>
      <c r="E1110" s="140">
        <v>44923</v>
      </c>
      <c r="F1110" s="139" t="str">
        <f t="shared" si="51"/>
        <v>Q4-22</v>
      </c>
      <c r="G1110" s="140" t="str">
        <f t="shared" si="52"/>
        <v>Dec'22</v>
      </c>
      <c r="H1110" s="140" t="str">
        <f>TEXT(RawData[[#This Row],[Date]], "YYYY")</f>
        <v>2022</v>
      </c>
      <c r="I1110" s="141" t="s">
        <v>32</v>
      </c>
      <c r="J1110" s="141" t="s">
        <v>90</v>
      </c>
      <c r="K1110" s="139">
        <f t="shared" si="53"/>
        <v>1</v>
      </c>
      <c r="L1110" s="142">
        <f>IF(RawData[[#This Row],[Paid/Unpaid]]="Paid", IF(VALUE($E1110)&gt;VALUE($D$3),$K1110* 10000,$K1110* 8000), 0)</f>
        <v>8000</v>
      </c>
      <c r="M1110" s="53" t="s">
        <v>146</v>
      </c>
    </row>
    <row r="1111" spans="1:13" ht="12.75" customHeight="1" x14ac:dyDescent="0.3">
      <c r="A1111" s="143" t="s">
        <v>15</v>
      </c>
      <c r="B1111" s="139" t="str">
        <f>IFERROR(VLOOKUP($A1111, NameDesignation[], 2,FALSE), " ")</f>
        <v>Former Director</v>
      </c>
      <c r="C1111" s="139" t="s">
        <v>29</v>
      </c>
      <c r="D1111" s="139">
        <v>478</v>
      </c>
      <c r="E1111" s="140">
        <v>44923</v>
      </c>
      <c r="F1111" s="139" t="str">
        <f t="shared" si="51"/>
        <v>Q4-22</v>
      </c>
      <c r="G1111" s="140" t="str">
        <f t="shared" si="52"/>
        <v>Dec'22</v>
      </c>
      <c r="H1111" s="140" t="str">
        <f>TEXT(RawData[[#This Row],[Date]], "YYYY")</f>
        <v>2022</v>
      </c>
      <c r="I1111" s="141" t="s">
        <v>32</v>
      </c>
      <c r="J1111" s="141" t="s">
        <v>90</v>
      </c>
      <c r="K1111" s="139">
        <f t="shared" si="53"/>
        <v>1</v>
      </c>
      <c r="L1111" s="142">
        <f>IF(RawData[[#This Row],[Paid/Unpaid]]="Paid", IF(VALUE($E1111)&gt;VALUE($D$3),$K1111* 10000,$K1111* 8000), 0)</f>
        <v>8000</v>
      </c>
      <c r="M1111" s="53" t="s">
        <v>146</v>
      </c>
    </row>
    <row r="1112" spans="1:13" ht="12.75" customHeight="1" x14ac:dyDescent="0.3">
      <c r="A1112" s="143" t="s">
        <v>16</v>
      </c>
      <c r="B1112" s="139" t="str">
        <f>IFERROR(VLOOKUP($A1112, NameDesignation[], 2,FALSE), " ")</f>
        <v>Former Director</v>
      </c>
      <c r="C1112" s="139" t="s">
        <v>29</v>
      </c>
      <c r="D1112" s="139">
        <v>478</v>
      </c>
      <c r="E1112" s="140">
        <v>44923</v>
      </c>
      <c r="F1112" s="139" t="str">
        <f t="shared" si="51"/>
        <v>Q4-22</v>
      </c>
      <c r="G1112" s="140" t="str">
        <f t="shared" si="52"/>
        <v>Dec'22</v>
      </c>
      <c r="H1112" s="140" t="str">
        <f>TEXT(RawData[[#This Row],[Date]], "YYYY")</f>
        <v>2022</v>
      </c>
      <c r="I1112" s="141" t="s">
        <v>32</v>
      </c>
      <c r="J1112" s="141" t="s">
        <v>90</v>
      </c>
      <c r="K1112" s="139">
        <f t="shared" si="53"/>
        <v>1</v>
      </c>
      <c r="L1112" s="142">
        <f>IF(RawData[[#This Row],[Paid/Unpaid]]="Paid", IF(VALUE($E1112)&gt;VALUE($D$3),$K1112* 10000,$K1112* 8000), 0)</f>
        <v>8000</v>
      </c>
      <c r="M1112" s="53" t="s">
        <v>146</v>
      </c>
    </row>
    <row r="1113" spans="1:13" ht="12.75" customHeight="1" x14ac:dyDescent="0.3">
      <c r="A1113" s="143" t="s">
        <v>21</v>
      </c>
      <c r="B1113" s="139" t="str">
        <f>IFERROR(VLOOKUP($A1113, NameDesignation[], 2,FALSE), " ")</f>
        <v>Former Independent Director</v>
      </c>
      <c r="C1113" s="139" t="s">
        <v>29</v>
      </c>
      <c r="D1113" s="139">
        <v>478</v>
      </c>
      <c r="E1113" s="140">
        <v>44923</v>
      </c>
      <c r="F1113" s="139" t="str">
        <f t="shared" si="51"/>
        <v>Q4-22</v>
      </c>
      <c r="G1113" s="140" t="str">
        <f t="shared" si="52"/>
        <v>Dec'22</v>
      </c>
      <c r="H1113" s="140" t="str">
        <f>TEXT(RawData[[#This Row],[Date]], "YYYY")</f>
        <v>2022</v>
      </c>
      <c r="I1113" s="141" t="s">
        <v>32</v>
      </c>
      <c r="J1113" s="141" t="s">
        <v>90</v>
      </c>
      <c r="K1113" s="139">
        <f t="shared" si="53"/>
        <v>1</v>
      </c>
      <c r="L1113" s="142">
        <f>IF(RawData[[#This Row],[Paid/Unpaid]]="Paid", IF(VALUE($E1113)&gt;VALUE($D$3),$K1113* 10000,$K1113* 8000), 0)</f>
        <v>8000</v>
      </c>
      <c r="M1113" s="53" t="s">
        <v>146</v>
      </c>
    </row>
    <row r="1114" spans="1:13" ht="12.75" customHeight="1" x14ac:dyDescent="0.3">
      <c r="A1114" s="143" t="s">
        <v>17</v>
      </c>
      <c r="B1114" s="139" t="str">
        <f>IFERROR(VLOOKUP($A1114, NameDesignation[], 2,FALSE), " ")</f>
        <v>Former Independent Director</v>
      </c>
      <c r="C1114" s="139" t="s">
        <v>29</v>
      </c>
      <c r="D1114" s="139">
        <v>478</v>
      </c>
      <c r="E1114" s="140">
        <v>44923</v>
      </c>
      <c r="F1114" s="139" t="str">
        <f t="shared" si="51"/>
        <v>Q4-22</v>
      </c>
      <c r="G1114" s="140" t="str">
        <f t="shared" si="52"/>
        <v>Dec'22</v>
      </c>
      <c r="H1114" s="140" t="str">
        <f>TEXT(RawData[[#This Row],[Date]], "YYYY")</f>
        <v>2022</v>
      </c>
      <c r="I1114" s="141" t="s">
        <v>32</v>
      </c>
      <c r="J1114" s="141" t="s">
        <v>90</v>
      </c>
      <c r="K1114" s="139">
        <f t="shared" si="53"/>
        <v>1</v>
      </c>
      <c r="L1114" s="142">
        <f>IF(RawData[[#This Row],[Paid/Unpaid]]="Paid", IF(VALUE($E1114)&gt;VALUE($D$3),$K1114* 10000,$K1114* 8000), 0)</f>
        <v>8000</v>
      </c>
      <c r="M1114" s="53" t="s">
        <v>146</v>
      </c>
    </row>
    <row r="1115" spans="1:13" ht="12.75" customHeight="1" x14ac:dyDescent="0.3">
      <c r="A1115" s="143" t="s">
        <v>25</v>
      </c>
      <c r="B1115" s="139" t="str">
        <f>IFERROR(VLOOKUP($A1115, NameDesignation[], 2,FALSE), " ")</f>
        <v>Former Director</v>
      </c>
      <c r="C1115" s="139" t="s">
        <v>29</v>
      </c>
      <c r="D1115" s="139">
        <v>478</v>
      </c>
      <c r="E1115" s="140">
        <v>44923</v>
      </c>
      <c r="F1115" s="139" t="str">
        <f t="shared" si="51"/>
        <v>Q4-22</v>
      </c>
      <c r="G1115" s="140" t="str">
        <f t="shared" si="52"/>
        <v>Dec'22</v>
      </c>
      <c r="H1115" s="140" t="str">
        <f>TEXT(RawData[[#This Row],[Date]], "YYYY")</f>
        <v>2022</v>
      </c>
      <c r="I1115" s="141" t="s">
        <v>32</v>
      </c>
      <c r="J1115" s="141" t="s">
        <v>91</v>
      </c>
      <c r="K1115" s="139">
        <f t="shared" si="53"/>
        <v>0</v>
      </c>
      <c r="L1115" s="142">
        <f>IF(RawData[[#This Row],[Paid/Unpaid]]="Paid", IF(VALUE($E1115)&gt;VALUE($D$3),$K1115* 10000,$K1115* 8000), 0)</f>
        <v>0</v>
      </c>
      <c r="M1115" s="53" t="s">
        <v>146</v>
      </c>
    </row>
    <row r="1116" spans="1:13" ht="12.75" customHeight="1" x14ac:dyDescent="0.3">
      <c r="A1116" s="143" t="s">
        <v>50</v>
      </c>
      <c r="B1116" s="139" t="str">
        <f>IFERROR(VLOOKUP($A1116, NameDesignation[], 2,FALSE), " ")</f>
        <v>Former Director</v>
      </c>
      <c r="C1116" s="139" t="s">
        <v>29</v>
      </c>
      <c r="D1116" s="139">
        <v>478</v>
      </c>
      <c r="E1116" s="140">
        <v>44923</v>
      </c>
      <c r="F1116" s="139" t="str">
        <f t="shared" si="51"/>
        <v>Q4-22</v>
      </c>
      <c r="G1116" s="140" t="str">
        <f t="shared" si="52"/>
        <v>Dec'22</v>
      </c>
      <c r="H1116" s="140" t="str">
        <f>TEXT(RawData[[#This Row],[Date]], "YYYY")</f>
        <v>2022</v>
      </c>
      <c r="I1116" s="141" t="s">
        <v>32</v>
      </c>
      <c r="J1116" s="141" t="s">
        <v>91</v>
      </c>
      <c r="K1116" s="139">
        <f t="shared" si="53"/>
        <v>0</v>
      </c>
      <c r="L1116" s="142">
        <f>IF(RawData[[#This Row],[Paid/Unpaid]]="Paid", IF(VALUE($E1116)&gt;VALUE($D$3),$K1116* 10000,$K1116* 8000), 0)</f>
        <v>0</v>
      </c>
      <c r="M1116" s="53" t="s">
        <v>146</v>
      </c>
    </row>
    <row r="1117" spans="1:13" ht="12.75" customHeight="1" x14ac:dyDescent="0.3">
      <c r="A1117" s="143" t="s">
        <v>34</v>
      </c>
      <c r="B1117" s="139" t="str">
        <f>IFERROR(VLOOKUP($A1117, NameDesignation[], 2,FALSE), " ")</f>
        <v>Former Managing Director &amp; CEO</v>
      </c>
      <c r="C1117" s="139" t="s">
        <v>29</v>
      </c>
      <c r="D1117" s="139">
        <v>478</v>
      </c>
      <c r="E1117" s="140">
        <v>44923</v>
      </c>
      <c r="F1117" s="139" t="str">
        <f t="shared" si="51"/>
        <v>Q4-22</v>
      </c>
      <c r="G1117" s="140" t="str">
        <f t="shared" si="52"/>
        <v>Dec'22</v>
      </c>
      <c r="H1117" s="140" t="str">
        <f>TEXT(RawData[[#This Row],[Date]], "YYYY")</f>
        <v>2022</v>
      </c>
      <c r="I1117" s="141" t="s">
        <v>32</v>
      </c>
      <c r="J1117" s="141" t="s">
        <v>90</v>
      </c>
      <c r="K1117" s="139">
        <f t="shared" si="53"/>
        <v>1</v>
      </c>
      <c r="L1117" s="142">
        <f>IF(RawData[[#This Row],[Paid/Unpaid]]="Paid", IF(VALUE($E1117)&gt;VALUE($D$3),$K1117* 10000,$K1117* 8000), 0)</f>
        <v>8000</v>
      </c>
      <c r="M1117" s="53" t="s">
        <v>146</v>
      </c>
    </row>
    <row r="1118" spans="1:13" ht="12.75" customHeight="1" x14ac:dyDescent="0.3">
      <c r="A1118" s="143" t="s">
        <v>7</v>
      </c>
      <c r="B1118" s="139" t="str">
        <f>IFERROR(VLOOKUP($A1118, NameDesignation[], 2,FALSE), " ")</f>
        <v>Former Director</v>
      </c>
      <c r="C1118" s="139" t="s">
        <v>29</v>
      </c>
      <c r="D1118" s="139">
        <v>479</v>
      </c>
      <c r="E1118" s="140">
        <v>44951</v>
      </c>
      <c r="F1118" s="139" t="str">
        <f t="shared" si="51"/>
        <v>Q1-23</v>
      </c>
      <c r="G1118" s="140" t="str">
        <f t="shared" si="52"/>
        <v>Jan'23</v>
      </c>
      <c r="H1118" s="140" t="str">
        <f>TEXT(RawData[[#This Row],[Date]], "YYYY")</f>
        <v>2023</v>
      </c>
      <c r="I1118" s="141" t="s">
        <v>32</v>
      </c>
      <c r="J1118" s="141" t="s">
        <v>90</v>
      </c>
      <c r="K1118" s="139">
        <f t="shared" si="53"/>
        <v>1</v>
      </c>
      <c r="L1118" s="142">
        <f>IF(RawData[[#This Row],[Paid/Unpaid]]="Paid", IF(VALUE($E1118)&gt;VALUE($D$3),$K1118* 10000,$K1118* 8000), 0)</f>
        <v>8000</v>
      </c>
      <c r="M1118" s="53" t="s">
        <v>146</v>
      </c>
    </row>
    <row r="1119" spans="1:13" ht="12.75" customHeight="1" x14ac:dyDescent="0.3">
      <c r="A1119" s="143" t="s">
        <v>8</v>
      </c>
      <c r="B1119" s="139" t="str">
        <f>IFERROR(VLOOKUP($A1119, NameDesignation[], 2,FALSE), " ")</f>
        <v>Former Vice-Chairman</v>
      </c>
      <c r="C1119" s="139" t="s">
        <v>29</v>
      </c>
      <c r="D1119" s="139">
        <v>479</v>
      </c>
      <c r="E1119" s="140">
        <v>44951</v>
      </c>
      <c r="F1119" s="139" t="str">
        <f t="shared" si="51"/>
        <v>Q1-23</v>
      </c>
      <c r="G1119" s="140" t="str">
        <f t="shared" si="52"/>
        <v>Jan'23</v>
      </c>
      <c r="H1119" s="140" t="str">
        <f>TEXT(RawData[[#This Row],[Date]], "YYYY")</f>
        <v>2023</v>
      </c>
      <c r="I1119" s="141" t="s">
        <v>32</v>
      </c>
      <c r="J1119" s="141" t="s">
        <v>90</v>
      </c>
      <c r="K1119" s="139">
        <f t="shared" si="53"/>
        <v>1</v>
      </c>
      <c r="L1119" s="142">
        <f>IF(RawData[[#This Row],[Paid/Unpaid]]="Paid", IF(VALUE($E1119)&gt;VALUE($D$3),$K1119* 10000,$K1119* 8000), 0)</f>
        <v>8000</v>
      </c>
      <c r="M1119" s="53" t="s">
        <v>146</v>
      </c>
    </row>
    <row r="1120" spans="1:13" ht="12.75" customHeight="1" x14ac:dyDescent="0.3">
      <c r="A1120" s="143" t="s">
        <v>9</v>
      </c>
      <c r="B1120" s="139" t="str">
        <f>IFERROR(VLOOKUP($A1120, NameDesignation[], 2,FALSE), " ")</f>
        <v>Former Director</v>
      </c>
      <c r="C1120" s="139" t="s">
        <v>29</v>
      </c>
      <c r="D1120" s="139">
        <v>479</v>
      </c>
      <c r="E1120" s="140">
        <v>44951</v>
      </c>
      <c r="F1120" s="139" t="str">
        <f t="shared" si="51"/>
        <v>Q1-23</v>
      </c>
      <c r="G1120" s="140" t="str">
        <f t="shared" si="52"/>
        <v>Jan'23</v>
      </c>
      <c r="H1120" s="140" t="str">
        <f>TEXT(RawData[[#This Row],[Date]], "YYYY")</f>
        <v>2023</v>
      </c>
      <c r="I1120" s="141" t="s">
        <v>32</v>
      </c>
      <c r="J1120" s="141" t="s">
        <v>90</v>
      </c>
      <c r="K1120" s="139">
        <f t="shared" si="53"/>
        <v>1</v>
      </c>
      <c r="L1120" s="142">
        <f>IF(RawData[[#This Row],[Paid/Unpaid]]="Paid", IF(VALUE($E1120)&gt;VALUE($D$3),$K1120* 10000,$K1120* 8000), 0)</f>
        <v>8000</v>
      </c>
      <c r="M1120" s="53" t="s">
        <v>146</v>
      </c>
    </row>
    <row r="1121" spans="1:13" ht="12.75" customHeight="1" x14ac:dyDescent="0.3">
      <c r="A1121" s="143" t="s">
        <v>49</v>
      </c>
      <c r="B1121" s="139" t="str">
        <f>IFERROR(VLOOKUP($A1121, NameDesignation[], 2,FALSE), " ")</f>
        <v>Former Director</v>
      </c>
      <c r="C1121" s="139" t="s">
        <v>29</v>
      </c>
      <c r="D1121" s="139">
        <v>479</v>
      </c>
      <c r="E1121" s="140">
        <v>44951</v>
      </c>
      <c r="F1121" s="139" t="str">
        <f t="shared" si="51"/>
        <v>Q1-23</v>
      </c>
      <c r="G1121" s="140" t="str">
        <f t="shared" si="52"/>
        <v>Jan'23</v>
      </c>
      <c r="H1121" s="140" t="str">
        <f>TEXT(RawData[[#This Row],[Date]], "YYYY")</f>
        <v>2023</v>
      </c>
      <c r="I1121" s="141" t="s">
        <v>32</v>
      </c>
      <c r="J1121" s="141" t="s">
        <v>90</v>
      </c>
      <c r="K1121" s="139">
        <f t="shared" si="53"/>
        <v>1</v>
      </c>
      <c r="L1121" s="142">
        <f>IF(RawData[[#This Row],[Paid/Unpaid]]="Paid", IF(VALUE($E1121)&gt;VALUE($D$3),$K1121* 10000,$K1121* 8000), 0)</f>
        <v>8000</v>
      </c>
      <c r="M1121" s="53" t="s">
        <v>146</v>
      </c>
    </row>
    <row r="1122" spans="1:13" ht="12.75" customHeight="1" x14ac:dyDescent="0.3">
      <c r="A1122" s="143" t="s">
        <v>11</v>
      </c>
      <c r="B1122" s="139" t="str">
        <f>IFERROR(VLOOKUP($A1122, NameDesignation[], 2,FALSE), " ")</f>
        <v>Former Director</v>
      </c>
      <c r="C1122" s="139" t="s">
        <v>29</v>
      </c>
      <c r="D1122" s="139">
        <v>479</v>
      </c>
      <c r="E1122" s="140">
        <v>44951</v>
      </c>
      <c r="F1122" s="139" t="str">
        <f t="shared" si="51"/>
        <v>Q1-23</v>
      </c>
      <c r="G1122" s="140" t="str">
        <f t="shared" si="52"/>
        <v>Jan'23</v>
      </c>
      <c r="H1122" s="140" t="str">
        <f>TEXT(RawData[[#This Row],[Date]], "YYYY")</f>
        <v>2023</v>
      </c>
      <c r="I1122" s="141" t="s">
        <v>32</v>
      </c>
      <c r="J1122" s="141" t="s">
        <v>90</v>
      </c>
      <c r="K1122" s="139">
        <f t="shared" si="53"/>
        <v>1</v>
      </c>
      <c r="L1122" s="142">
        <f>IF(RawData[[#This Row],[Paid/Unpaid]]="Paid", IF(VALUE($E1122)&gt;VALUE($D$3),$K1122* 10000,$K1122* 8000), 0)</f>
        <v>8000</v>
      </c>
      <c r="M1122" s="53" t="s">
        <v>146</v>
      </c>
    </row>
    <row r="1123" spans="1:13" ht="12.75" customHeight="1" x14ac:dyDescent="0.3">
      <c r="A1123" s="143" t="s">
        <v>12</v>
      </c>
      <c r="B1123" s="139" t="str">
        <f>IFERROR(VLOOKUP($A1123, NameDesignation[], 2,FALSE), " ")</f>
        <v>Former Director</v>
      </c>
      <c r="C1123" s="139" t="s">
        <v>29</v>
      </c>
      <c r="D1123" s="139">
        <v>479</v>
      </c>
      <c r="E1123" s="140">
        <v>44951</v>
      </c>
      <c r="F1123" s="139" t="str">
        <f t="shared" si="51"/>
        <v>Q1-23</v>
      </c>
      <c r="G1123" s="140" t="str">
        <f t="shared" si="52"/>
        <v>Jan'23</v>
      </c>
      <c r="H1123" s="140" t="str">
        <f>TEXT(RawData[[#This Row],[Date]], "YYYY")</f>
        <v>2023</v>
      </c>
      <c r="I1123" s="141" t="s">
        <v>32</v>
      </c>
      <c r="J1123" s="141" t="s">
        <v>90</v>
      </c>
      <c r="K1123" s="139">
        <f t="shared" si="53"/>
        <v>1</v>
      </c>
      <c r="L1123" s="142">
        <f>IF(RawData[[#This Row],[Paid/Unpaid]]="Paid", IF(VALUE($E1123)&gt;VALUE($D$3),$K1123* 10000,$K1123* 8000), 0)</f>
        <v>8000</v>
      </c>
      <c r="M1123" s="53" t="s">
        <v>146</v>
      </c>
    </row>
    <row r="1124" spans="1:13" ht="12.75" customHeight="1" x14ac:dyDescent="0.3">
      <c r="A1124" s="143" t="s">
        <v>137</v>
      </c>
      <c r="B1124" s="139" t="str">
        <f>IFERROR(VLOOKUP($A1124, NameDesignation[], 2,FALSE), " ")</f>
        <v>Former Director</v>
      </c>
      <c r="C1124" s="139" t="s">
        <v>29</v>
      </c>
      <c r="D1124" s="139">
        <v>479</v>
      </c>
      <c r="E1124" s="140">
        <v>44951</v>
      </c>
      <c r="F1124" s="139" t="str">
        <f t="shared" si="51"/>
        <v>Q1-23</v>
      </c>
      <c r="G1124" s="140" t="str">
        <f t="shared" si="52"/>
        <v>Jan'23</v>
      </c>
      <c r="H1124" s="140" t="str">
        <f>TEXT(RawData[[#This Row],[Date]], "YYYY")</f>
        <v>2023</v>
      </c>
      <c r="I1124" s="141" t="s">
        <v>32</v>
      </c>
      <c r="J1124" s="141" t="s">
        <v>90</v>
      </c>
      <c r="K1124" s="139">
        <f t="shared" si="53"/>
        <v>1</v>
      </c>
      <c r="L1124" s="142">
        <f>IF(RawData[[#This Row],[Paid/Unpaid]]="Paid", IF(VALUE($E1124)&gt;VALUE($D$3),$K1124* 10000,$K1124* 8000), 0)</f>
        <v>8000</v>
      </c>
      <c r="M1124" s="53" t="s">
        <v>146</v>
      </c>
    </row>
    <row r="1125" spans="1:13" ht="12.75" customHeight="1" x14ac:dyDescent="0.3">
      <c r="A1125" s="143" t="s">
        <v>13</v>
      </c>
      <c r="B1125" s="139" t="str">
        <f>IFERROR(VLOOKUP($A1125, NameDesignation[], 2,FALSE), " ")</f>
        <v>Former Director</v>
      </c>
      <c r="C1125" s="139" t="s">
        <v>29</v>
      </c>
      <c r="D1125" s="139">
        <v>479</v>
      </c>
      <c r="E1125" s="140">
        <v>44951</v>
      </c>
      <c r="F1125" s="139" t="str">
        <f t="shared" si="51"/>
        <v>Q1-23</v>
      </c>
      <c r="G1125" s="140" t="str">
        <f t="shared" si="52"/>
        <v>Jan'23</v>
      </c>
      <c r="H1125" s="140" t="str">
        <f>TEXT(RawData[[#This Row],[Date]], "YYYY")</f>
        <v>2023</v>
      </c>
      <c r="I1125" s="141" t="s">
        <v>32</v>
      </c>
      <c r="J1125" s="141" t="s">
        <v>90</v>
      </c>
      <c r="K1125" s="139">
        <f t="shared" si="53"/>
        <v>1</v>
      </c>
      <c r="L1125" s="142">
        <f>IF(RawData[[#This Row],[Paid/Unpaid]]="Paid", IF(VALUE($E1125)&gt;VALUE($D$3),$K1125* 10000,$K1125* 8000), 0)</f>
        <v>8000</v>
      </c>
      <c r="M1125" s="53" t="s">
        <v>146</v>
      </c>
    </row>
    <row r="1126" spans="1:13" ht="12.75" customHeight="1" x14ac:dyDescent="0.3">
      <c r="A1126" s="143" t="s">
        <v>61</v>
      </c>
      <c r="B1126" s="139" t="str">
        <f>IFERROR(VLOOKUP($A1126, NameDesignation[], 2,FALSE), " ")</f>
        <v>Former Director</v>
      </c>
      <c r="C1126" s="139" t="s">
        <v>29</v>
      </c>
      <c r="D1126" s="139">
        <v>479</v>
      </c>
      <c r="E1126" s="140">
        <v>44951</v>
      </c>
      <c r="F1126" s="139" t="str">
        <f t="shared" si="51"/>
        <v>Q1-23</v>
      </c>
      <c r="G1126" s="140" t="str">
        <f t="shared" si="52"/>
        <v>Jan'23</v>
      </c>
      <c r="H1126" s="140" t="str">
        <f>TEXT(RawData[[#This Row],[Date]], "YYYY")</f>
        <v>2023</v>
      </c>
      <c r="I1126" s="141" t="s">
        <v>32</v>
      </c>
      <c r="J1126" s="141" t="s">
        <v>90</v>
      </c>
      <c r="K1126" s="139">
        <f t="shared" si="53"/>
        <v>1</v>
      </c>
      <c r="L1126" s="142">
        <f>IF(RawData[[#This Row],[Paid/Unpaid]]="Paid", IF(VALUE($E1126)&gt;VALUE($D$3),$K1126* 10000,$K1126* 8000), 0)</f>
        <v>8000</v>
      </c>
      <c r="M1126" s="53" t="s">
        <v>146</v>
      </c>
    </row>
    <row r="1127" spans="1:13" ht="12.75" customHeight="1" x14ac:dyDescent="0.3">
      <c r="A1127" s="143" t="s">
        <v>14</v>
      </c>
      <c r="B1127" s="139" t="str">
        <f>IFERROR(VLOOKUP($A1127, NameDesignation[], 2,FALSE), " ")</f>
        <v>Former Director</v>
      </c>
      <c r="C1127" s="139" t="s">
        <v>29</v>
      </c>
      <c r="D1127" s="139">
        <v>479</v>
      </c>
      <c r="E1127" s="140">
        <v>44951</v>
      </c>
      <c r="F1127" s="139" t="str">
        <f t="shared" si="51"/>
        <v>Q1-23</v>
      </c>
      <c r="G1127" s="140" t="str">
        <f t="shared" si="52"/>
        <v>Jan'23</v>
      </c>
      <c r="H1127" s="140" t="str">
        <f>TEXT(RawData[[#This Row],[Date]], "YYYY")</f>
        <v>2023</v>
      </c>
      <c r="I1127" s="141" t="s">
        <v>32</v>
      </c>
      <c r="J1127" s="141" t="s">
        <v>90</v>
      </c>
      <c r="K1127" s="139">
        <f t="shared" si="53"/>
        <v>1</v>
      </c>
      <c r="L1127" s="142">
        <f>IF(RawData[[#This Row],[Paid/Unpaid]]="Paid", IF(VALUE($E1127)&gt;VALUE($D$3),$K1127* 10000,$K1127* 8000), 0)</f>
        <v>8000</v>
      </c>
      <c r="M1127" s="53" t="s">
        <v>146</v>
      </c>
    </row>
    <row r="1128" spans="1:13" ht="12.75" customHeight="1" x14ac:dyDescent="0.3">
      <c r="A1128" s="143" t="s">
        <v>23</v>
      </c>
      <c r="B1128" s="139" t="str">
        <f>IFERROR(VLOOKUP($A1128, NameDesignation[], 2,FALSE), " ")</f>
        <v>Former Director</v>
      </c>
      <c r="C1128" s="139" t="s">
        <v>29</v>
      </c>
      <c r="D1128" s="139">
        <v>479</v>
      </c>
      <c r="E1128" s="140">
        <v>44951</v>
      </c>
      <c r="F1128" s="139" t="str">
        <f t="shared" si="51"/>
        <v>Q1-23</v>
      </c>
      <c r="G1128" s="140" t="str">
        <f t="shared" si="52"/>
        <v>Jan'23</v>
      </c>
      <c r="H1128" s="140" t="str">
        <f>TEXT(RawData[[#This Row],[Date]], "YYYY")</f>
        <v>2023</v>
      </c>
      <c r="I1128" s="141" t="s">
        <v>32</v>
      </c>
      <c r="J1128" s="141" t="s">
        <v>90</v>
      </c>
      <c r="K1128" s="139">
        <f t="shared" si="53"/>
        <v>1</v>
      </c>
      <c r="L1128" s="142">
        <f>IF(RawData[[#This Row],[Paid/Unpaid]]="Paid", IF(VALUE($E1128)&gt;VALUE($D$3),$K1128* 10000,$K1128* 8000), 0)</f>
        <v>8000</v>
      </c>
      <c r="M1128" s="53" t="s">
        <v>146</v>
      </c>
    </row>
    <row r="1129" spans="1:13" ht="12.75" customHeight="1" x14ac:dyDescent="0.3">
      <c r="A1129" s="143" t="s">
        <v>24</v>
      </c>
      <c r="B1129" s="139" t="str">
        <f>IFERROR(VLOOKUP($A1129, NameDesignation[], 2,FALSE), " ")</f>
        <v>Former Director</v>
      </c>
      <c r="C1129" s="139" t="s">
        <v>29</v>
      </c>
      <c r="D1129" s="139">
        <v>479</v>
      </c>
      <c r="E1129" s="140">
        <v>44951</v>
      </c>
      <c r="F1129" s="139" t="str">
        <f t="shared" si="51"/>
        <v>Q1-23</v>
      </c>
      <c r="G1129" s="140" t="str">
        <f t="shared" si="52"/>
        <v>Jan'23</v>
      </c>
      <c r="H1129" s="140" t="str">
        <f>TEXT(RawData[[#This Row],[Date]], "YYYY")</f>
        <v>2023</v>
      </c>
      <c r="I1129" s="141" t="s">
        <v>32</v>
      </c>
      <c r="J1129" s="141" t="s">
        <v>90</v>
      </c>
      <c r="K1129" s="139">
        <f t="shared" si="53"/>
        <v>1</v>
      </c>
      <c r="L1129" s="142">
        <f>IF(RawData[[#This Row],[Paid/Unpaid]]="Paid", IF(VALUE($E1129)&gt;VALUE($D$3),$K1129* 10000,$K1129* 8000), 0)</f>
        <v>8000</v>
      </c>
      <c r="M1129" s="53" t="s">
        <v>146</v>
      </c>
    </row>
    <row r="1130" spans="1:13" ht="12.75" customHeight="1" x14ac:dyDescent="0.3">
      <c r="A1130" s="143" t="s">
        <v>15</v>
      </c>
      <c r="B1130" s="139" t="str">
        <f>IFERROR(VLOOKUP($A1130, NameDesignation[], 2,FALSE), " ")</f>
        <v>Former Director</v>
      </c>
      <c r="C1130" s="139" t="s">
        <v>29</v>
      </c>
      <c r="D1130" s="139">
        <v>479</v>
      </c>
      <c r="E1130" s="140">
        <v>44951</v>
      </c>
      <c r="F1130" s="139" t="str">
        <f t="shared" si="51"/>
        <v>Q1-23</v>
      </c>
      <c r="G1130" s="140" t="str">
        <f t="shared" si="52"/>
        <v>Jan'23</v>
      </c>
      <c r="H1130" s="140" t="str">
        <f>TEXT(RawData[[#This Row],[Date]], "YYYY")</f>
        <v>2023</v>
      </c>
      <c r="I1130" s="141" t="s">
        <v>32</v>
      </c>
      <c r="J1130" s="141" t="s">
        <v>90</v>
      </c>
      <c r="K1130" s="139">
        <f t="shared" si="53"/>
        <v>1</v>
      </c>
      <c r="L1130" s="142">
        <f>IF(RawData[[#This Row],[Paid/Unpaid]]="Paid", IF(VALUE($E1130)&gt;VALUE($D$3),$K1130* 10000,$K1130* 8000), 0)</f>
        <v>8000</v>
      </c>
      <c r="M1130" s="53" t="s">
        <v>146</v>
      </c>
    </row>
    <row r="1131" spans="1:13" ht="12.75" customHeight="1" x14ac:dyDescent="0.3">
      <c r="A1131" s="143" t="s">
        <v>16</v>
      </c>
      <c r="B1131" s="139" t="str">
        <f>IFERROR(VLOOKUP($A1131, NameDesignation[], 2,FALSE), " ")</f>
        <v>Former Director</v>
      </c>
      <c r="C1131" s="139" t="s">
        <v>29</v>
      </c>
      <c r="D1131" s="139">
        <v>479</v>
      </c>
      <c r="E1131" s="140">
        <v>44951</v>
      </c>
      <c r="F1131" s="139" t="str">
        <f t="shared" si="51"/>
        <v>Q1-23</v>
      </c>
      <c r="G1131" s="140" t="str">
        <f t="shared" si="52"/>
        <v>Jan'23</v>
      </c>
      <c r="H1131" s="140" t="str">
        <f>TEXT(RawData[[#This Row],[Date]], "YYYY")</f>
        <v>2023</v>
      </c>
      <c r="I1131" s="141" t="s">
        <v>32</v>
      </c>
      <c r="J1131" s="141" t="s">
        <v>90</v>
      </c>
      <c r="K1131" s="139">
        <f t="shared" si="53"/>
        <v>1</v>
      </c>
      <c r="L1131" s="142">
        <f>IF(RawData[[#This Row],[Paid/Unpaid]]="Paid", IF(VALUE($E1131)&gt;VALUE($D$3),$K1131* 10000,$K1131* 8000), 0)</f>
        <v>8000</v>
      </c>
      <c r="M1131" s="53" t="s">
        <v>146</v>
      </c>
    </row>
    <row r="1132" spans="1:13" ht="12.75" customHeight="1" x14ac:dyDescent="0.3">
      <c r="A1132" s="143" t="s">
        <v>21</v>
      </c>
      <c r="B1132" s="139" t="str">
        <f>IFERROR(VLOOKUP($A1132, NameDesignation[], 2,FALSE), " ")</f>
        <v>Former Independent Director</v>
      </c>
      <c r="C1132" s="139" t="s">
        <v>29</v>
      </c>
      <c r="D1132" s="139">
        <v>479</v>
      </c>
      <c r="E1132" s="140">
        <v>44951</v>
      </c>
      <c r="F1132" s="139" t="str">
        <f t="shared" si="51"/>
        <v>Q1-23</v>
      </c>
      <c r="G1132" s="140" t="str">
        <f t="shared" si="52"/>
        <v>Jan'23</v>
      </c>
      <c r="H1132" s="140" t="str">
        <f>TEXT(RawData[[#This Row],[Date]], "YYYY")</f>
        <v>2023</v>
      </c>
      <c r="I1132" s="141" t="s">
        <v>32</v>
      </c>
      <c r="J1132" s="141" t="s">
        <v>90</v>
      </c>
      <c r="K1132" s="139">
        <f t="shared" si="53"/>
        <v>1</v>
      </c>
      <c r="L1132" s="142">
        <f>IF(RawData[[#This Row],[Paid/Unpaid]]="Paid", IF(VALUE($E1132)&gt;VALUE($D$3),$K1132* 10000,$K1132* 8000), 0)</f>
        <v>8000</v>
      </c>
      <c r="M1132" s="53" t="s">
        <v>146</v>
      </c>
    </row>
    <row r="1133" spans="1:13" ht="12.75" customHeight="1" x14ac:dyDescent="0.3">
      <c r="A1133" s="143" t="s">
        <v>17</v>
      </c>
      <c r="B1133" s="139" t="str">
        <f>IFERROR(VLOOKUP($A1133, NameDesignation[], 2,FALSE), " ")</f>
        <v>Former Independent Director</v>
      </c>
      <c r="C1133" s="139" t="s">
        <v>29</v>
      </c>
      <c r="D1133" s="139">
        <v>479</v>
      </c>
      <c r="E1133" s="140">
        <v>44951</v>
      </c>
      <c r="F1133" s="139" t="str">
        <f t="shared" si="51"/>
        <v>Q1-23</v>
      </c>
      <c r="G1133" s="140" t="str">
        <f t="shared" si="52"/>
        <v>Jan'23</v>
      </c>
      <c r="H1133" s="140" t="str">
        <f>TEXT(RawData[[#This Row],[Date]], "YYYY")</f>
        <v>2023</v>
      </c>
      <c r="I1133" s="141" t="s">
        <v>32</v>
      </c>
      <c r="J1133" s="141" t="s">
        <v>90</v>
      </c>
      <c r="K1133" s="139">
        <f t="shared" si="53"/>
        <v>1</v>
      </c>
      <c r="L1133" s="142">
        <f>IF(RawData[[#This Row],[Paid/Unpaid]]="Paid", IF(VALUE($E1133)&gt;VALUE($D$3),$K1133* 10000,$K1133* 8000), 0)</f>
        <v>8000</v>
      </c>
      <c r="M1133" s="53" t="s">
        <v>146</v>
      </c>
    </row>
    <row r="1134" spans="1:13" ht="12.75" customHeight="1" x14ac:dyDescent="0.3">
      <c r="A1134" s="143" t="s">
        <v>25</v>
      </c>
      <c r="B1134" s="139" t="str">
        <f>IFERROR(VLOOKUP($A1134, NameDesignation[], 2,FALSE), " ")</f>
        <v>Former Director</v>
      </c>
      <c r="C1134" s="139" t="s">
        <v>29</v>
      </c>
      <c r="D1134" s="139">
        <v>479</v>
      </c>
      <c r="E1134" s="140">
        <v>44951</v>
      </c>
      <c r="F1134" s="139" t="str">
        <f t="shared" si="51"/>
        <v>Q1-23</v>
      </c>
      <c r="G1134" s="140" t="str">
        <f t="shared" si="52"/>
        <v>Jan'23</v>
      </c>
      <c r="H1134" s="140" t="str">
        <f>TEXT(RawData[[#This Row],[Date]], "YYYY")</f>
        <v>2023</v>
      </c>
      <c r="I1134" s="141" t="s">
        <v>32</v>
      </c>
      <c r="J1134" s="141" t="s">
        <v>90</v>
      </c>
      <c r="K1134" s="139">
        <f t="shared" si="53"/>
        <v>1</v>
      </c>
      <c r="L1134" s="142">
        <f>IF(RawData[[#This Row],[Paid/Unpaid]]="Paid", IF(VALUE($E1134)&gt;VALUE($D$3),$K1134* 10000,$K1134* 8000), 0)</f>
        <v>8000</v>
      </c>
      <c r="M1134" s="53" t="s">
        <v>146</v>
      </c>
    </row>
    <row r="1135" spans="1:13" ht="12.75" customHeight="1" x14ac:dyDescent="0.3">
      <c r="A1135" s="143" t="s">
        <v>50</v>
      </c>
      <c r="B1135" s="139" t="str">
        <f>IFERROR(VLOOKUP($A1135, NameDesignation[], 2,FALSE), " ")</f>
        <v>Former Director</v>
      </c>
      <c r="C1135" s="139" t="s">
        <v>29</v>
      </c>
      <c r="D1135" s="139">
        <v>479</v>
      </c>
      <c r="E1135" s="140">
        <v>44951</v>
      </c>
      <c r="F1135" s="139" t="str">
        <f t="shared" si="51"/>
        <v>Q1-23</v>
      </c>
      <c r="G1135" s="140" t="str">
        <f t="shared" si="52"/>
        <v>Jan'23</v>
      </c>
      <c r="H1135" s="140" t="str">
        <f>TEXT(RawData[[#This Row],[Date]], "YYYY")</f>
        <v>2023</v>
      </c>
      <c r="I1135" s="141" t="s">
        <v>32</v>
      </c>
      <c r="J1135" s="141" t="s">
        <v>90</v>
      </c>
      <c r="K1135" s="139">
        <f t="shared" si="53"/>
        <v>1</v>
      </c>
      <c r="L1135" s="142">
        <f>IF(RawData[[#This Row],[Paid/Unpaid]]="Paid", IF(VALUE($E1135)&gt;VALUE($D$3),$K1135* 10000,$K1135* 8000), 0)</f>
        <v>8000</v>
      </c>
      <c r="M1135" s="53" t="s">
        <v>146</v>
      </c>
    </row>
    <row r="1136" spans="1:13" ht="12.75" customHeight="1" x14ac:dyDescent="0.3">
      <c r="A1136" s="143" t="s">
        <v>34</v>
      </c>
      <c r="B1136" s="139" t="str">
        <f>IFERROR(VLOOKUP($A1136, NameDesignation[], 2,FALSE), " ")</f>
        <v>Former Managing Director &amp; CEO</v>
      </c>
      <c r="C1136" s="139" t="s">
        <v>29</v>
      </c>
      <c r="D1136" s="139">
        <v>479</v>
      </c>
      <c r="E1136" s="140">
        <v>44951</v>
      </c>
      <c r="F1136" s="139" t="str">
        <f t="shared" si="51"/>
        <v>Q1-23</v>
      </c>
      <c r="G1136" s="140" t="str">
        <f t="shared" si="52"/>
        <v>Jan'23</v>
      </c>
      <c r="H1136" s="140" t="str">
        <f>TEXT(RawData[[#This Row],[Date]], "YYYY")</f>
        <v>2023</v>
      </c>
      <c r="I1136" s="141" t="s">
        <v>32</v>
      </c>
      <c r="J1136" s="141" t="s">
        <v>90</v>
      </c>
      <c r="K1136" s="139">
        <f t="shared" si="53"/>
        <v>1</v>
      </c>
      <c r="L1136" s="142">
        <f>IF(RawData[[#This Row],[Paid/Unpaid]]="Paid", IF(VALUE($E1136)&gt;VALUE($D$3),$K1136* 10000,$K1136* 8000), 0)</f>
        <v>8000</v>
      </c>
      <c r="M1136" s="53" t="s">
        <v>146</v>
      </c>
    </row>
    <row r="1137" spans="1:13" ht="12.75" customHeight="1" x14ac:dyDescent="0.3">
      <c r="A1137" s="143" t="s">
        <v>9</v>
      </c>
      <c r="B1137" s="139" t="str">
        <f>IFERROR(VLOOKUP($A1137, NameDesignation[], 2,FALSE), " ")</f>
        <v>Former Director</v>
      </c>
      <c r="C1137" s="139" t="s">
        <v>30</v>
      </c>
      <c r="D1137" s="139">
        <v>457</v>
      </c>
      <c r="E1137" s="140">
        <v>44951</v>
      </c>
      <c r="F1137" s="139" t="str">
        <f t="shared" si="51"/>
        <v>Q1-23</v>
      </c>
      <c r="G1137" s="140" t="str">
        <f t="shared" si="52"/>
        <v>Jan'23</v>
      </c>
      <c r="H1137" s="140" t="str">
        <f>TEXT(RawData[[#This Row],[Date]], "YYYY")</f>
        <v>2023</v>
      </c>
      <c r="I1137" s="141" t="s">
        <v>32</v>
      </c>
      <c r="J1137" s="141" t="s">
        <v>90</v>
      </c>
      <c r="K1137" s="139">
        <f t="shared" si="53"/>
        <v>1</v>
      </c>
      <c r="L1137" s="142">
        <f>IF(RawData[[#This Row],[Paid/Unpaid]]="Paid", IF(VALUE($E1137)&gt;VALUE($D$3),$K1137* 10000,$K1137* 8000), 0)</f>
        <v>8000</v>
      </c>
      <c r="M1137" s="53" t="s">
        <v>146</v>
      </c>
    </row>
    <row r="1138" spans="1:13" ht="12.75" customHeight="1" x14ac:dyDescent="0.3">
      <c r="A1138" s="143" t="s">
        <v>8</v>
      </c>
      <c r="B1138" s="139" t="str">
        <f>IFERROR(VLOOKUP($A1138, NameDesignation[], 2,FALSE), " ")</f>
        <v>Former Vice-Chairman</v>
      </c>
      <c r="C1138" s="139" t="s">
        <v>30</v>
      </c>
      <c r="D1138" s="139">
        <v>457</v>
      </c>
      <c r="E1138" s="140">
        <v>44951</v>
      </c>
      <c r="F1138" s="139" t="str">
        <f t="shared" si="51"/>
        <v>Q1-23</v>
      </c>
      <c r="G1138" s="140" t="str">
        <f t="shared" si="52"/>
        <v>Jan'23</v>
      </c>
      <c r="H1138" s="140" t="str">
        <f>TEXT(RawData[[#This Row],[Date]], "YYYY")</f>
        <v>2023</v>
      </c>
      <c r="I1138" s="141" t="s">
        <v>32</v>
      </c>
      <c r="J1138" s="141" t="s">
        <v>90</v>
      </c>
      <c r="K1138" s="139">
        <f t="shared" si="53"/>
        <v>1</v>
      </c>
      <c r="L1138" s="142">
        <f>IF(RawData[[#This Row],[Paid/Unpaid]]="Paid", IF(VALUE($E1138)&gt;VALUE($D$3),$K1138* 10000,$K1138* 8000), 0)</f>
        <v>8000</v>
      </c>
      <c r="M1138" s="53" t="s">
        <v>146</v>
      </c>
    </row>
    <row r="1139" spans="1:13" ht="12.75" customHeight="1" x14ac:dyDescent="0.3">
      <c r="A1139" s="143" t="s">
        <v>49</v>
      </c>
      <c r="B1139" s="139" t="str">
        <f>IFERROR(VLOOKUP($A1139, NameDesignation[], 2,FALSE), " ")</f>
        <v>Former Director</v>
      </c>
      <c r="C1139" s="139" t="s">
        <v>30</v>
      </c>
      <c r="D1139" s="139">
        <v>457</v>
      </c>
      <c r="E1139" s="140">
        <v>44951</v>
      </c>
      <c r="F1139" s="139" t="str">
        <f t="shared" si="51"/>
        <v>Q1-23</v>
      </c>
      <c r="G1139" s="140" t="str">
        <f t="shared" si="52"/>
        <v>Jan'23</v>
      </c>
      <c r="H1139" s="140" t="str">
        <f>TEXT(RawData[[#This Row],[Date]], "YYYY")</f>
        <v>2023</v>
      </c>
      <c r="I1139" s="141" t="s">
        <v>32</v>
      </c>
      <c r="J1139" s="141" t="s">
        <v>90</v>
      </c>
      <c r="K1139" s="139">
        <f t="shared" si="53"/>
        <v>1</v>
      </c>
      <c r="L1139" s="142">
        <f>IF(RawData[[#This Row],[Paid/Unpaid]]="Paid", IF(VALUE($E1139)&gt;VALUE($D$3),$K1139* 10000,$K1139* 8000), 0)</f>
        <v>8000</v>
      </c>
      <c r="M1139" s="53" t="s">
        <v>146</v>
      </c>
    </row>
    <row r="1140" spans="1:13" ht="12.75" customHeight="1" x14ac:dyDescent="0.3">
      <c r="A1140" s="143" t="s">
        <v>11</v>
      </c>
      <c r="B1140" s="139" t="str">
        <f>IFERROR(VLOOKUP($A1140, NameDesignation[], 2,FALSE), " ")</f>
        <v>Former Director</v>
      </c>
      <c r="C1140" s="139" t="s">
        <v>30</v>
      </c>
      <c r="D1140" s="139">
        <v>457</v>
      </c>
      <c r="E1140" s="140">
        <v>44951</v>
      </c>
      <c r="F1140" s="139" t="str">
        <f t="shared" si="51"/>
        <v>Q1-23</v>
      </c>
      <c r="G1140" s="140" t="str">
        <f t="shared" si="52"/>
        <v>Jan'23</v>
      </c>
      <c r="H1140" s="140" t="str">
        <f>TEXT(RawData[[#This Row],[Date]], "YYYY")</f>
        <v>2023</v>
      </c>
      <c r="I1140" s="141" t="s">
        <v>32</v>
      </c>
      <c r="J1140" s="141" t="s">
        <v>90</v>
      </c>
      <c r="K1140" s="139">
        <f t="shared" si="53"/>
        <v>1</v>
      </c>
      <c r="L1140" s="142">
        <f>IF(RawData[[#This Row],[Paid/Unpaid]]="Paid", IF(VALUE($E1140)&gt;VALUE($D$3),$K1140* 10000,$K1140* 8000), 0)</f>
        <v>8000</v>
      </c>
      <c r="M1140" s="53" t="s">
        <v>146</v>
      </c>
    </row>
    <row r="1141" spans="1:13" ht="12.75" customHeight="1" x14ac:dyDescent="0.3">
      <c r="A1141" s="143" t="s">
        <v>137</v>
      </c>
      <c r="B1141" s="139" t="str">
        <f>IFERROR(VLOOKUP($A1141, NameDesignation[], 2,FALSE), " ")</f>
        <v>Former Director</v>
      </c>
      <c r="C1141" s="139" t="s">
        <v>30</v>
      </c>
      <c r="D1141" s="139">
        <v>457</v>
      </c>
      <c r="E1141" s="140">
        <v>44951</v>
      </c>
      <c r="F1141" s="139" t="str">
        <f t="shared" si="51"/>
        <v>Q1-23</v>
      </c>
      <c r="G1141" s="140" t="str">
        <f t="shared" si="52"/>
        <v>Jan'23</v>
      </c>
      <c r="H1141" s="140" t="str">
        <f>TEXT(RawData[[#This Row],[Date]], "YYYY")</f>
        <v>2023</v>
      </c>
      <c r="I1141" s="141" t="s">
        <v>32</v>
      </c>
      <c r="J1141" s="141" t="s">
        <v>90</v>
      </c>
      <c r="K1141" s="139">
        <f t="shared" si="53"/>
        <v>1</v>
      </c>
      <c r="L1141" s="142">
        <f>IF(RawData[[#This Row],[Paid/Unpaid]]="Paid", IF(VALUE($E1141)&gt;VALUE($D$3),$K1141* 10000,$K1141* 8000), 0)</f>
        <v>8000</v>
      </c>
      <c r="M1141" s="53" t="s">
        <v>146</v>
      </c>
    </row>
    <row r="1142" spans="1:13" ht="12.75" customHeight="1" x14ac:dyDescent="0.3">
      <c r="A1142" s="143" t="s">
        <v>13</v>
      </c>
      <c r="B1142" s="139" t="str">
        <f>IFERROR(VLOOKUP($A1142, NameDesignation[], 2,FALSE), " ")</f>
        <v>Former Director</v>
      </c>
      <c r="C1142" s="139" t="s">
        <v>30</v>
      </c>
      <c r="D1142" s="139">
        <v>457</v>
      </c>
      <c r="E1142" s="140">
        <v>44951</v>
      </c>
      <c r="F1142" s="139" t="str">
        <f t="shared" si="51"/>
        <v>Q1-23</v>
      </c>
      <c r="G1142" s="140" t="str">
        <f t="shared" si="52"/>
        <v>Jan'23</v>
      </c>
      <c r="H1142" s="140" t="str">
        <f>TEXT(RawData[[#This Row],[Date]], "YYYY")</f>
        <v>2023</v>
      </c>
      <c r="I1142" s="141" t="s">
        <v>32</v>
      </c>
      <c r="J1142" s="141" t="s">
        <v>90</v>
      </c>
      <c r="K1142" s="139">
        <f t="shared" si="53"/>
        <v>1</v>
      </c>
      <c r="L1142" s="142">
        <f>IF(RawData[[#This Row],[Paid/Unpaid]]="Paid", IF(VALUE($E1142)&gt;VALUE($D$3),$K1142* 10000,$K1142* 8000), 0)</f>
        <v>8000</v>
      </c>
      <c r="M1142" s="53" t="s">
        <v>146</v>
      </c>
    </row>
    <row r="1143" spans="1:13" ht="12.75" customHeight="1" x14ac:dyDescent="0.3">
      <c r="A1143" s="143" t="s">
        <v>25</v>
      </c>
      <c r="B1143" s="139" t="str">
        <f>IFERROR(VLOOKUP($A1143, NameDesignation[], 2,FALSE), " ")</f>
        <v>Former Director</v>
      </c>
      <c r="C1143" s="139" t="s">
        <v>30</v>
      </c>
      <c r="D1143" s="139">
        <v>457</v>
      </c>
      <c r="E1143" s="140">
        <v>44951</v>
      </c>
      <c r="F1143" s="139" t="str">
        <f t="shared" si="51"/>
        <v>Q1-23</v>
      </c>
      <c r="G1143" s="140" t="str">
        <f t="shared" si="52"/>
        <v>Jan'23</v>
      </c>
      <c r="H1143" s="140" t="str">
        <f>TEXT(RawData[[#This Row],[Date]], "YYYY")</f>
        <v>2023</v>
      </c>
      <c r="I1143" s="141" t="s">
        <v>32</v>
      </c>
      <c r="J1143" s="141" t="s">
        <v>90</v>
      </c>
      <c r="K1143" s="139">
        <f t="shared" si="53"/>
        <v>1</v>
      </c>
      <c r="L1143" s="142">
        <f>IF(RawData[[#This Row],[Paid/Unpaid]]="Paid", IF(VALUE($E1143)&gt;VALUE($D$3),$K1143* 10000,$K1143* 8000), 0)</f>
        <v>8000</v>
      </c>
      <c r="M1143" s="53" t="s">
        <v>146</v>
      </c>
    </row>
    <row r="1144" spans="1:13" ht="12.75" customHeight="1" x14ac:dyDescent="0.3">
      <c r="A1144" s="143" t="s">
        <v>7</v>
      </c>
      <c r="B1144" s="139" t="str">
        <f>IFERROR(VLOOKUP($A1144, NameDesignation[], 2,FALSE), " ")</f>
        <v>Former Director</v>
      </c>
      <c r="C1144" s="139" t="s">
        <v>29</v>
      </c>
      <c r="D1144" s="139">
        <v>480</v>
      </c>
      <c r="E1144" s="140">
        <v>45000</v>
      </c>
      <c r="F1144" s="139" t="str">
        <f t="shared" si="51"/>
        <v>Q1-23</v>
      </c>
      <c r="G1144" s="140" t="str">
        <f t="shared" si="52"/>
        <v>Mar'23</v>
      </c>
      <c r="H1144" s="140" t="str">
        <f>TEXT(RawData[[#This Row],[Date]], "YYYY")</f>
        <v>2023</v>
      </c>
      <c r="I1144" s="141" t="s">
        <v>32</v>
      </c>
      <c r="J1144" s="141" t="s">
        <v>90</v>
      </c>
      <c r="K1144" s="139">
        <f t="shared" si="53"/>
        <v>1</v>
      </c>
      <c r="L1144" s="142">
        <f>IF(RawData[[#This Row],[Paid/Unpaid]]="Paid", IF(VALUE($E1144)&gt;VALUE($D$3),$K1144* 10000,$K1144* 8000), 0)</f>
        <v>8000</v>
      </c>
      <c r="M1144" s="53" t="s">
        <v>146</v>
      </c>
    </row>
    <row r="1145" spans="1:13" ht="12.75" customHeight="1" x14ac:dyDescent="0.3">
      <c r="A1145" s="143" t="s">
        <v>8</v>
      </c>
      <c r="B1145" s="139" t="str">
        <f>IFERROR(VLOOKUP($A1145, NameDesignation[], 2,FALSE), " ")</f>
        <v>Former Vice-Chairman</v>
      </c>
      <c r="C1145" s="139" t="s">
        <v>29</v>
      </c>
      <c r="D1145" s="139">
        <v>480</v>
      </c>
      <c r="E1145" s="140">
        <v>45000</v>
      </c>
      <c r="F1145" s="139" t="str">
        <f t="shared" si="51"/>
        <v>Q1-23</v>
      </c>
      <c r="G1145" s="140" t="str">
        <f t="shared" si="52"/>
        <v>Mar'23</v>
      </c>
      <c r="H1145" s="140" t="str">
        <f>TEXT(RawData[[#This Row],[Date]], "YYYY")</f>
        <v>2023</v>
      </c>
      <c r="I1145" s="141" t="s">
        <v>32</v>
      </c>
      <c r="J1145" s="141" t="s">
        <v>90</v>
      </c>
      <c r="K1145" s="139">
        <f t="shared" si="53"/>
        <v>1</v>
      </c>
      <c r="L1145" s="142">
        <f>IF(RawData[[#This Row],[Paid/Unpaid]]="Paid", IF(VALUE($E1145)&gt;VALUE($D$3),$K1145* 10000,$K1145* 8000), 0)</f>
        <v>8000</v>
      </c>
      <c r="M1145" s="53" t="s">
        <v>146</v>
      </c>
    </row>
    <row r="1146" spans="1:13" ht="12.75" customHeight="1" x14ac:dyDescent="0.3">
      <c r="A1146" s="143" t="s">
        <v>9</v>
      </c>
      <c r="B1146" s="139" t="str">
        <f>IFERROR(VLOOKUP($A1146, NameDesignation[], 2,FALSE), " ")</f>
        <v>Former Director</v>
      </c>
      <c r="C1146" s="139" t="s">
        <v>29</v>
      </c>
      <c r="D1146" s="139">
        <v>480</v>
      </c>
      <c r="E1146" s="140">
        <v>45000</v>
      </c>
      <c r="F1146" s="139" t="str">
        <f t="shared" si="51"/>
        <v>Q1-23</v>
      </c>
      <c r="G1146" s="140" t="str">
        <f t="shared" si="52"/>
        <v>Mar'23</v>
      </c>
      <c r="H1146" s="140" t="str">
        <f>TEXT(RawData[[#This Row],[Date]], "YYYY")</f>
        <v>2023</v>
      </c>
      <c r="I1146" s="141" t="s">
        <v>32</v>
      </c>
      <c r="J1146" s="141" t="s">
        <v>90</v>
      </c>
      <c r="K1146" s="139">
        <f t="shared" si="53"/>
        <v>1</v>
      </c>
      <c r="L1146" s="142">
        <f>IF(RawData[[#This Row],[Paid/Unpaid]]="Paid", IF(VALUE($E1146)&gt;VALUE($D$3),$K1146* 10000,$K1146* 8000), 0)</f>
        <v>8000</v>
      </c>
      <c r="M1146" s="53" t="s">
        <v>146</v>
      </c>
    </row>
    <row r="1147" spans="1:13" ht="12.75" customHeight="1" x14ac:dyDescent="0.3">
      <c r="A1147" s="143" t="s">
        <v>20</v>
      </c>
      <c r="B1147" s="139" t="str">
        <f>IFERROR(VLOOKUP($A1147, NameDesignation[], 2,FALSE), " ")</f>
        <v>Former Independent Director</v>
      </c>
      <c r="C1147" s="139" t="s">
        <v>29</v>
      </c>
      <c r="D1147" s="139">
        <v>480</v>
      </c>
      <c r="E1147" s="140">
        <v>45000</v>
      </c>
      <c r="F1147" s="139" t="str">
        <f t="shared" si="51"/>
        <v>Q1-23</v>
      </c>
      <c r="G1147" s="140" t="str">
        <f t="shared" si="52"/>
        <v>Mar'23</v>
      </c>
      <c r="H1147" s="140" t="str">
        <f>TEXT(RawData[[#This Row],[Date]], "YYYY")</f>
        <v>2023</v>
      </c>
      <c r="I1147" s="141" t="s">
        <v>32</v>
      </c>
      <c r="J1147" s="141" t="s">
        <v>91</v>
      </c>
      <c r="K1147" s="139">
        <f t="shared" si="53"/>
        <v>0</v>
      </c>
      <c r="L1147" s="142">
        <f>IF(RawData[[#This Row],[Paid/Unpaid]]="Paid", IF(VALUE($E1147)&gt;VALUE($D$3),$K1147* 10000,$K1147* 8000), 0)</f>
        <v>0</v>
      </c>
      <c r="M1147" s="53" t="s">
        <v>146</v>
      </c>
    </row>
    <row r="1148" spans="1:13" ht="12.75" customHeight="1" x14ac:dyDescent="0.3">
      <c r="A1148" s="143" t="s">
        <v>49</v>
      </c>
      <c r="B1148" s="139" t="str">
        <f>IFERROR(VLOOKUP($A1148, NameDesignation[], 2,FALSE), " ")</f>
        <v>Former Director</v>
      </c>
      <c r="C1148" s="139" t="s">
        <v>29</v>
      </c>
      <c r="D1148" s="139">
        <v>480</v>
      </c>
      <c r="E1148" s="140">
        <v>45000</v>
      </c>
      <c r="F1148" s="139" t="str">
        <f t="shared" si="51"/>
        <v>Q1-23</v>
      </c>
      <c r="G1148" s="140" t="str">
        <f t="shared" si="52"/>
        <v>Mar'23</v>
      </c>
      <c r="H1148" s="140" t="str">
        <f>TEXT(RawData[[#This Row],[Date]], "YYYY")</f>
        <v>2023</v>
      </c>
      <c r="I1148" s="141" t="s">
        <v>32</v>
      </c>
      <c r="J1148" s="141" t="s">
        <v>90</v>
      </c>
      <c r="K1148" s="139">
        <f t="shared" si="53"/>
        <v>1</v>
      </c>
      <c r="L1148" s="142">
        <f>IF(RawData[[#This Row],[Paid/Unpaid]]="Paid", IF(VALUE($E1148)&gt;VALUE($D$3),$K1148* 10000,$K1148* 8000), 0)</f>
        <v>8000</v>
      </c>
      <c r="M1148" s="53" t="s">
        <v>146</v>
      </c>
    </row>
    <row r="1149" spans="1:13" ht="12.75" customHeight="1" x14ac:dyDescent="0.3">
      <c r="A1149" s="143" t="s">
        <v>11</v>
      </c>
      <c r="B1149" s="139" t="str">
        <f>IFERROR(VLOOKUP($A1149, NameDesignation[], 2,FALSE), " ")</f>
        <v>Former Director</v>
      </c>
      <c r="C1149" s="139" t="s">
        <v>29</v>
      </c>
      <c r="D1149" s="139">
        <v>480</v>
      </c>
      <c r="E1149" s="140">
        <v>45000</v>
      </c>
      <c r="F1149" s="139" t="str">
        <f t="shared" si="51"/>
        <v>Q1-23</v>
      </c>
      <c r="G1149" s="140" t="str">
        <f t="shared" si="52"/>
        <v>Mar'23</v>
      </c>
      <c r="H1149" s="140" t="str">
        <f>TEXT(RawData[[#This Row],[Date]], "YYYY")</f>
        <v>2023</v>
      </c>
      <c r="I1149" s="141" t="s">
        <v>32</v>
      </c>
      <c r="J1149" s="141" t="s">
        <v>90</v>
      </c>
      <c r="K1149" s="139">
        <f t="shared" si="53"/>
        <v>1</v>
      </c>
      <c r="L1149" s="142">
        <f>IF(RawData[[#This Row],[Paid/Unpaid]]="Paid", IF(VALUE($E1149)&gt;VALUE($D$3),$K1149* 10000,$K1149* 8000), 0)</f>
        <v>8000</v>
      </c>
      <c r="M1149" s="53" t="s">
        <v>146</v>
      </c>
    </row>
    <row r="1150" spans="1:13" ht="12.75" customHeight="1" x14ac:dyDescent="0.3">
      <c r="A1150" s="143" t="s">
        <v>12</v>
      </c>
      <c r="B1150" s="139" t="str">
        <f>IFERROR(VLOOKUP($A1150, NameDesignation[], 2,FALSE), " ")</f>
        <v>Former Director</v>
      </c>
      <c r="C1150" s="139" t="s">
        <v>29</v>
      </c>
      <c r="D1150" s="139">
        <v>480</v>
      </c>
      <c r="E1150" s="140">
        <v>45000</v>
      </c>
      <c r="F1150" s="139" t="str">
        <f t="shared" si="51"/>
        <v>Q1-23</v>
      </c>
      <c r="G1150" s="140" t="str">
        <f t="shared" si="52"/>
        <v>Mar'23</v>
      </c>
      <c r="H1150" s="140" t="str">
        <f>TEXT(RawData[[#This Row],[Date]], "YYYY")</f>
        <v>2023</v>
      </c>
      <c r="I1150" s="141" t="s">
        <v>32</v>
      </c>
      <c r="J1150" s="141" t="s">
        <v>90</v>
      </c>
      <c r="K1150" s="139">
        <f t="shared" si="53"/>
        <v>1</v>
      </c>
      <c r="L1150" s="142">
        <f>IF(RawData[[#This Row],[Paid/Unpaid]]="Paid", IF(VALUE($E1150)&gt;VALUE($D$3),$K1150* 10000,$K1150* 8000), 0)</f>
        <v>8000</v>
      </c>
      <c r="M1150" s="53" t="s">
        <v>146</v>
      </c>
    </row>
    <row r="1151" spans="1:13" ht="12.75" customHeight="1" x14ac:dyDescent="0.3">
      <c r="A1151" s="143" t="s">
        <v>137</v>
      </c>
      <c r="B1151" s="139" t="str">
        <f>IFERROR(VLOOKUP($A1151, NameDesignation[], 2,FALSE), " ")</f>
        <v>Former Director</v>
      </c>
      <c r="C1151" s="139" t="s">
        <v>29</v>
      </c>
      <c r="D1151" s="139">
        <v>480</v>
      </c>
      <c r="E1151" s="140">
        <v>45000</v>
      </c>
      <c r="F1151" s="139" t="str">
        <f t="shared" si="51"/>
        <v>Q1-23</v>
      </c>
      <c r="G1151" s="140" t="str">
        <f t="shared" si="52"/>
        <v>Mar'23</v>
      </c>
      <c r="H1151" s="140" t="str">
        <f>TEXT(RawData[[#This Row],[Date]], "YYYY")</f>
        <v>2023</v>
      </c>
      <c r="I1151" s="141" t="s">
        <v>32</v>
      </c>
      <c r="J1151" s="141" t="s">
        <v>91</v>
      </c>
      <c r="K1151" s="139">
        <f t="shared" si="53"/>
        <v>0</v>
      </c>
      <c r="L1151" s="142">
        <f>IF(RawData[[#This Row],[Paid/Unpaid]]="Paid", IF(VALUE($E1151)&gt;VALUE($D$3),$K1151* 10000,$K1151* 8000), 0)</f>
        <v>0</v>
      </c>
      <c r="M1151" s="53" t="s">
        <v>146</v>
      </c>
    </row>
    <row r="1152" spans="1:13" ht="12.75" customHeight="1" x14ac:dyDescent="0.3">
      <c r="A1152" s="143" t="s">
        <v>13</v>
      </c>
      <c r="B1152" s="139" t="str">
        <f>IFERROR(VLOOKUP($A1152, NameDesignation[], 2,FALSE), " ")</f>
        <v>Former Director</v>
      </c>
      <c r="C1152" s="139" t="s">
        <v>29</v>
      </c>
      <c r="D1152" s="139">
        <v>480</v>
      </c>
      <c r="E1152" s="140">
        <v>45000</v>
      </c>
      <c r="F1152" s="139" t="str">
        <f t="shared" si="51"/>
        <v>Q1-23</v>
      </c>
      <c r="G1152" s="140" t="str">
        <f t="shared" si="52"/>
        <v>Mar'23</v>
      </c>
      <c r="H1152" s="140" t="str">
        <f>TEXT(RawData[[#This Row],[Date]], "YYYY")</f>
        <v>2023</v>
      </c>
      <c r="I1152" s="141" t="s">
        <v>32</v>
      </c>
      <c r="J1152" s="141" t="s">
        <v>90</v>
      </c>
      <c r="K1152" s="139">
        <f t="shared" si="53"/>
        <v>1</v>
      </c>
      <c r="L1152" s="142">
        <f>IF(RawData[[#This Row],[Paid/Unpaid]]="Paid", IF(VALUE($E1152)&gt;VALUE($D$3),$K1152* 10000,$K1152* 8000), 0)</f>
        <v>8000</v>
      </c>
      <c r="M1152" s="53" t="s">
        <v>146</v>
      </c>
    </row>
    <row r="1153" spans="1:13" ht="12.75" customHeight="1" x14ac:dyDescent="0.3">
      <c r="A1153" s="143" t="s">
        <v>61</v>
      </c>
      <c r="B1153" s="139" t="str">
        <f>IFERROR(VLOOKUP($A1153, NameDesignation[], 2,FALSE), " ")</f>
        <v>Former Director</v>
      </c>
      <c r="C1153" s="139" t="s">
        <v>29</v>
      </c>
      <c r="D1153" s="139">
        <v>480</v>
      </c>
      <c r="E1153" s="140">
        <v>45000</v>
      </c>
      <c r="F1153" s="139" t="str">
        <f t="shared" si="51"/>
        <v>Q1-23</v>
      </c>
      <c r="G1153" s="140" t="str">
        <f t="shared" si="52"/>
        <v>Mar'23</v>
      </c>
      <c r="H1153" s="140" t="str">
        <f>TEXT(RawData[[#This Row],[Date]], "YYYY")</f>
        <v>2023</v>
      </c>
      <c r="I1153" s="141" t="s">
        <v>32</v>
      </c>
      <c r="J1153" s="141" t="s">
        <v>91</v>
      </c>
      <c r="K1153" s="139">
        <f t="shared" si="53"/>
        <v>0</v>
      </c>
      <c r="L1153" s="142">
        <f>IF(RawData[[#This Row],[Paid/Unpaid]]="Paid", IF(VALUE($E1153)&gt;VALUE($D$3),$K1153* 10000,$K1153* 8000), 0)</f>
        <v>0</v>
      </c>
      <c r="M1153" s="53" t="s">
        <v>146</v>
      </c>
    </row>
    <row r="1154" spans="1:13" ht="12.75" customHeight="1" x14ac:dyDescent="0.3">
      <c r="A1154" s="143" t="s">
        <v>14</v>
      </c>
      <c r="B1154" s="139" t="str">
        <f>IFERROR(VLOOKUP($A1154, NameDesignation[], 2,FALSE), " ")</f>
        <v>Former Director</v>
      </c>
      <c r="C1154" s="139" t="s">
        <v>29</v>
      </c>
      <c r="D1154" s="139">
        <v>480</v>
      </c>
      <c r="E1154" s="140">
        <v>45000</v>
      </c>
      <c r="F1154" s="139" t="str">
        <f t="shared" si="51"/>
        <v>Q1-23</v>
      </c>
      <c r="G1154" s="140" t="str">
        <f t="shared" si="52"/>
        <v>Mar'23</v>
      </c>
      <c r="H1154" s="140" t="str">
        <f>TEXT(RawData[[#This Row],[Date]], "YYYY")</f>
        <v>2023</v>
      </c>
      <c r="I1154" s="141" t="s">
        <v>32</v>
      </c>
      <c r="J1154" s="141" t="s">
        <v>90</v>
      </c>
      <c r="K1154" s="139">
        <f t="shared" si="53"/>
        <v>1</v>
      </c>
      <c r="L1154" s="142">
        <f>IF(RawData[[#This Row],[Paid/Unpaid]]="Paid", IF(VALUE($E1154)&gt;VALUE($D$3),$K1154* 10000,$K1154* 8000), 0)</f>
        <v>8000</v>
      </c>
      <c r="M1154" s="53" t="s">
        <v>146</v>
      </c>
    </row>
    <row r="1155" spans="1:13" ht="12.75" customHeight="1" x14ac:dyDescent="0.3">
      <c r="A1155" s="143" t="s">
        <v>23</v>
      </c>
      <c r="B1155" s="139" t="str">
        <f>IFERROR(VLOOKUP($A1155, NameDesignation[], 2,FALSE), " ")</f>
        <v>Former Director</v>
      </c>
      <c r="C1155" s="139" t="s">
        <v>29</v>
      </c>
      <c r="D1155" s="139">
        <v>480</v>
      </c>
      <c r="E1155" s="140">
        <v>45000</v>
      </c>
      <c r="F1155" s="139" t="str">
        <f t="shared" si="51"/>
        <v>Q1-23</v>
      </c>
      <c r="G1155" s="140" t="str">
        <f t="shared" si="52"/>
        <v>Mar'23</v>
      </c>
      <c r="H1155" s="140" t="str">
        <f>TEXT(RawData[[#This Row],[Date]], "YYYY")</f>
        <v>2023</v>
      </c>
      <c r="I1155" s="141" t="s">
        <v>32</v>
      </c>
      <c r="J1155" s="141" t="s">
        <v>90</v>
      </c>
      <c r="K1155" s="139">
        <f t="shared" si="53"/>
        <v>1</v>
      </c>
      <c r="L1155" s="142">
        <f>IF(RawData[[#This Row],[Paid/Unpaid]]="Paid", IF(VALUE($E1155)&gt;VALUE($D$3),$K1155* 10000,$K1155* 8000), 0)</f>
        <v>8000</v>
      </c>
      <c r="M1155" s="53" t="s">
        <v>146</v>
      </c>
    </row>
    <row r="1156" spans="1:13" ht="12.75" customHeight="1" x14ac:dyDescent="0.3">
      <c r="A1156" s="143" t="s">
        <v>24</v>
      </c>
      <c r="B1156" s="139" t="str">
        <f>IFERROR(VLOOKUP($A1156, NameDesignation[], 2,FALSE), " ")</f>
        <v>Former Director</v>
      </c>
      <c r="C1156" s="139" t="s">
        <v>29</v>
      </c>
      <c r="D1156" s="139">
        <v>480</v>
      </c>
      <c r="E1156" s="140">
        <v>45000</v>
      </c>
      <c r="F1156" s="139" t="str">
        <f t="shared" si="51"/>
        <v>Q1-23</v>
      </c>
      <c r="G1156" s="140" t="str">
        <f t="shared" si="52"/>
        <v>Mar'23</v>
      </c>
      <c r="H1156" s="140" t="str">
        <f>TEXT(RawData[[#This Row],[Date]], "YYYY")</f>
        <v>2023</v>
      </c>
      <c r="I1156" s="141" t="s">
        <v>32</v>
      </c>
      <c r="J1156" s="141" t="s">
        <v>90</v>
      </c>
      <c r="K1156" s="139">
        <f t="shared" si="53"/>
        <v>1</v>
      </c>
      <c r="L1156" s="142">
        <f>IF(RawData[[#This Row],[Paid/Unpaid]]="Paid", IF(VALUE($E1156)&gt;VALUE($D$3),$K1156* 10000,$K1156* 8000), 0)</f>
        <v>8000</v>
      </c>
      <c r="M1156" s="53" t="s">
        <v>146</v>
      </c>
    </row>
    <row r="1157" spans="1:13" ht="12.75" customHeight="1" x14ac:dyDescent="0.3">
      <c r="A1157" s="143" t="s">
        <v>15</v>
      </c>
      <c r="B1157" s="139" t="str">
        <f>IFERROR(VLOOKUP($A1157, NameDesignation[], 2,FALSE), " ")</f>
        <v>Former Director</v>
      </c>
      <c r="C1157" s="139" t="s">
        <v>29</v>
      </c>
      <c r="D1157" s="139">
        <v>480</v>
      </c>
      <c r="E1157" s="140">
        <v>45000</v>
      </c>
      <c r="F1157" s="139" t="str">
        <f t="shared" si="51"/>
        <v>Q1-23</v>
      </c>
      <c r="G1157" s="140" t="str">
        <f t="shared" si="52"/>
        <v>Mar'23</v>
      </c>
      <c r="H1157" s="140" t="str">
        <f>TEXT(RawData[[#This Row],[Date]], "YYYY")</f>
        <v>2023</v>
      </c>
      <c r="I1157" s="141" t="s">
        <v>32</v>
      </c>
      <c r="J1157" s="141" t="s">
        <v>90</v>
      </c>
      <c r="K1157" s="139">
        <f t="shared" si="53"/>
        <v>1</v>
      </c>
      <c r="L1157" s="142">
        <f>IF(RawData[[#This Row],[Paid/Unpaid]]="Paid", IF(VALUE($E1157)&gt;VALUE($D$3),$K1157* 10000,$K1157* 8000), 0)</f>
        <v>8000</v>
      </c>
      <c r="M1157" s="53" t="s">
        <v>146</v>
      </c>
    </row>
    <row r="1158" spans="1:13" ht="12.75" customHeight="1" x14ac:dyDescent="0.3">
      <c r="A1158" s="143" t="s">
        <v>16</v>
      </c>
      <c r="B1158" s="139" t="str">
        <f>IFERROR(VLOOKUP($A1158, NameDesignation[], 2,FALSE), " ")</f>
        <v>Former Director</v>
      </c>
      <c r="C1158" s="139" t="s">
        <v>29</v>
      </c>
      <c r="D1158" s="139">
        <v>480</v>
      </c>
      <c r="E1158" s="140">
        <v>45000</v>
      </c>
      <c r="F1158" s="139" t="str">
        <f t="shared" ref="F1158:F1221" si="54">CONCATENATE("Q", ROUNDUP(MONTH($E1158)/3,0),"-",TEXT($E1158, "yy"))</f>
        <v>Q1-23</v>
      </c>
      <c r="G1158" s="140" t="str">
        <f t="shared" ref="G1158:G1221" si="55">CONCATENATE(TEXT($E1158, "mmm"),"'", TEXT($E1158, "yy"))</f>
        <v>Mar'23</v>
      </c>
      <c r="H1158" s="140" t="str">
        <f>TEXT(RawData[[#This Row],[Date]], "YYYY")</f>
        <v>2023</v>
      </c>
      <c r="I1158" s="141" t="s">
        <v>32</v>
      </c>
      <c r="J1158" s="141" t="s">
        <v>90</v>
      </c>
      <c r="K1158" s="139">
        <f t="shared" ref="K1158:K1221" si="56">IF($J1158="Present", 1, 0)</f>
        <v>1</v>
      </c>
      <c r="L1158" s="142">
        <f>IF(RawData[[#This Row],[Paid/Unpaid]]="Paid", IF(VALUE($E1158)&gt;VALUE($D$3),$K1158* 10000,$K1158* 8000), 0)</f>
        <v>8000</v>
      </c>
      <c r="M1158" s="53" t="s">
        <v>146</v>
      </c>
    </row>
    <row r="1159" spans="1:13" ht="12.75" customHeight="1" x14ac:dyDescent="0.3">
      <c r="A1159" s="143" t="s">
        <v>21</v>
      </c>
      <c r="B1159" s="139" t="str">
        <f>IFERROR(VLOOKUP($A1159, NameDesignation[], 2,FALSE), " ")</f>
        <v>Former Independent Director</v>
      </c>
      <c r="C1159" s="139" t="s">
        <v>29</v>
      </c>
      <c r="D1159" s="139">
        <v>480</v>
      </c>
      <c r="E1159" s="140">
        <v>45000</v>
      </c>
      <c r="F1159" s="139" t="str">
        <f t="shared" si="54"/>
        <v>Q1-23</v>
      </c>
      <c r="G1159" s="140" t="str">
        <f t="shared" si="55"/>
        <v>Mar'23</v>
      </c>
      <c r="H1159" s="140" t="str">
        <f>TEXT(RawData[[#This Row],[Date]], "YYYY")</f>
        <v>2023</v>
      </c>
      <c r="I1159" s="141" t="s">
        <v>32</v>
      </c>
      <c r="J1159" s="141" t="s">
        <v>90</v>
      </c>
      <c r="K1159" s="139">
        <f t="shared" si="56"/>
        <v>1</v>
      </c>
      <c r="L1159" s="142">
        <f>IF(RawData[[#This Row],[Paid/Unpaid]]="Paid", IF(VALUE($E1159)&gt;VALUE($D$3),$K1159* 10000,$K1159* 8000), 0)</f>
        <v>8000</v>
      </c>
      <c r="M1159" s="53" t="s">
        <v>146</v>
      </c>
    </row>
    <row r="1160" spans="1:13" ht="12.75" customHeight="1" x14ac:dyDescent="0.3">
      <c r="A1160" s="143" t="s">
        <v>17</v>
      </c>
      <c r="B1160" s="139" t="str">
        <f>IFERROR(VLOOKUP($A1160, NameDesignation[], 2,FALSE), " ")</f>
        <v>Former Independent Director</v>
      </c>
      <c r="C1160" s="139" t="s">
        <v>29</v>
      </c>
      <c r="D1160" s="139">
        <v>480</v>
      </c>
      <c r="E1160" s="140">
        <v>45000</v>
      </c>
      <c r="F1160" s="139" t="str">
        <f t="shared" si="54"/>
        <v>Q1-23</v>
      </c>
      <c r="G1160" s="140" t="str">
        <f t="shared" si="55"/>
        <v>Mar'23</v>
      </c>
      <c r="H1160" s="140" t="str">
        <f>TEXT(RawData[[#This Row],[Date]], "YYYY")</f>
        <v>2023</v>
      </c>
      <c r="I1160" s="141" t="s">
        <v>32</v>
      </c>
      <c r="J1160" s="141" t="s">
        <v>90</v>
      </c>
      <c r="K1160" s="139">
        <f t="shared" si="56"/>
        <v>1</v>
      </c>
      <c r="L1160" s="142">
        <f>IF(RawData[[#This Row],[Paid/Unpaid]]="Paid", IF(VALUE($E1160)&gt;VALUE($D$3),$K1160* 10000,$K1160* 8000), 0)</f>
        <v>8000</v>
      </c>
      <c r="M1160" s="53" t="s">
        <v>146</v>
      </c>
    </row>
    <row r="1161" spans="1:13" ht="12.75" customHeight="1" x14ac:dyDescent="0.3">
      <c r="A1161" s="143" t="s">
        <v>25</v>
      </c>
      <c r="B1161" s="139" t="str">
        <f>IFERROR(VLOOKUP($A1161, NameDesignation[], 2,FALSE), " ")</f>
        <v>Former Director</v>
      </c>
      <c r="C1161" s="139" t="s">
        <v>29</v>
      </c>
      <c r="D1161" s="139">
        <v>480</v>
      </c>
      <c r="E1161" s="140">
        <v>45000</v>
      </c>
      <c r="F1161" s="139" t="str">
        <f t="shared" si="54"/>
        <v>Q1-23</v>
      </c>
      <c r="G1161" s="140" t="str">
        <f t="shared" si="55"/>
        <v>Mar'23</v>
      </c>
      <c r="H1161" s="140" t="str">
        <f>TEXT(RawData[[#This Row],[Date]], "YYYY")</f>
        <v>2023</v>
      </c>
      <c r="I1161" s="141" t="s">
        <v>32</v>
      </c>
      <c r="J1161" s="141" t="s">
        <v>90</v>
      </c>
      <c r="K1161" s="139">
        <f t="shared" si="56"/>
        <v>1</v>
      </c>
      <c r="L1161" s="142">
        <f>IF(RawData[[#This Row],[Paid/Unpaid]]="Paid", IF(VALUE($E1161)&gt;VALUE($D$3),$K1161* 10000,$K1161* 8000), 0)</f>
        <v>8000</v>
      </c>
      <c r="M1161" s="53" t="s">
        <v>146</v>
      </c>
    </row>
    <row r="1162" spans="1:13" ht="12.75" customHeight="1" x14ac:dyDescent="0.3">
      <c r="A1162" s="143" t="s">
        <v>50</v>
      </c>
      <c r="B1162" s="139" t="str">
        <f>IFERROR(VLOOKUP($A1162, NameDesignation[], 2,FALSE), " ")</f>
        <v>Former Director</v>
      </c>
      <c r="C1162" s="139" t="s">
        <v>29</v>
      </c>
      <c r="D1162" s="139">
        <v>480</v>
      </c>
      <c r="E1162" s="140">
        <v>45000</v>
      </c>
      <c r="F1162" s="139" t="str">
        <f t="shared" si="54"/>
        <v>Q1-23</v>
      </c>
      <c r="G1162" s="140" t="str">
        <f t="shared" si="55"/>
        <v>Mar'23</v>
      </c>
      <c r="H1162" s="140" t="str">
        <f>TEXT(RawData[[#This Row],[Date]], "YYYY")</f>
        <v>2023</v>
      </c>
      <c r="I1162" s="141" t="s">
        <v>32</v>
      </c>
      <c r="J1162" s="141" t="s">
        <v>90</v>
      </c>
      <c r="K1162" s="139">
        <f t="shared" si="56"/>
        <v>1</v>
      </c>
      <c r="L1162" s="142">
        <f>IF(RawData[[#This Row],[Paid/Unpaid]]="Paid", IF(VALUE($E1162)&gt;VALUE($D$3),$K1162* 10000,$K1162* 8000), 0)</f>
        <v>8000</v>
      </c>
      <c r="M1162" s="53" t="s">
        <v>146</v>
      </c>
    </row>
    <row r="1163" spans="1:13" ht="12.75" customHeight="1" x14ac:dyDescent="0.3">
      <c r="A1163" s="143" t="s">
        <v>34</v>
      </c>
      <c r="B1163" s="139" t="str">
        <f>IFERROR(VLOOKUP($A1163, NameDesignation[], 2,FALSE), " ")</f>
        <v>Former Managing Director &amp; CEO</v>
      </c>
      <c r="C1163" s="139" t="s">
        <v>29</v>
      </c>
      <c r="D1163" s="139">
        <v>480</v>
      </c>
      <c r="E1163" s="140">
        <v>45000</v>
      </c>
      <c r="F1163" s="139" t="str">
        <f t="shared" si="54"/>
        <v>Q1-23</v>
      </c>
      <c r="G1163" s="140" t="str">
        <f t="shared" si="55"/>
        <v>Mar'23</v>
      </c>
      <c r="H1163" s="140" t="str">
        <f>TEXT(RawData[[#This Row],[Date]], "YYYY")</f>
        <v>2023</v>
      </c>
      <c r="I1163" s="141" t="s">
        <v>32</v>
      </c>
      <c r="J1163" s="141" t="s">
        <v>90</v>
      </c>
      <c r="K1163" s="139">
        <f t="shared" si="56"/>
        <v>1</v>
      </c>
      <c r="L1163" s="142">
        <f>IF(RawData[[#This Row],[Paid/Unpaid]]="Paid", IF(VALUE($E1163)&gt;VALUE($D$3),$K1163* 10000,$K1163* 8000), 0)</f>
        <v>8000</v>
      </c>
      <c r="M1163" s="53" t="s">
        <v>146</v>
      </c>
    </row>
    <row r="1164" spans="1:13" ht="12.75" customHeight="1" x14ac:dyDescent="0.3">
      <c r="A1164" s="143" t="s">
        <v>9</v>
      </c>
      <c r="B1164" s="139" t="str">
        <f>IFERROR(VLOOKUP($A1164, NameDesignation[], 2,FALSE), " ")</f>
        <v>Former Director</v>
      </c>
      <c r="C1164" s="139" t="s">
        <v>30</v>
      </c>
      <c r="D1164" s="139">
        <v>458</v>
      </c>
      <c r="E1164" s="140">
        <v>45000</v>
      </c>
      <c r="F1164" s="139" t="str">
        <f t="shared" si="54"/>
        <v>Q1-23</v>
      </c>
      <c r="G1164" s="140" t="str">
        <f t="shared" si="55"/>
        <v>Mar'23</v>
      </c>
      <c r="H1164" s="140" t="str">
        <f>TEXT(RawData[[#This Row],[Date]], "YYYY")</f>
        <v>2023</v>
      </c>
      <c r="I1164" s="141" t="s">
        <v>32</v>
      </c>
      <c r="J1164" s="141" t="s">
        <v>90</v>
      </c>
      <c r="K1164" s="139">
        <f t="shared" si="56"/>
        <v>1</v>
      </c>
      <c r="L1164" s="142">
        <f>IF(RawData[[#This Row],[Paid/Unpaid]]="Paid", IF(VALUE($E1164)&gt;VALUE($D$3),$K1164* 10000,$K1164* 8000), 0)</f>
        <v>8000</v>
      </c>
      <c r="M1164" s="53" t="s">
        <v>146</v>
      </c>
    </row>
    <row r="1165" spans="1:13" ht="12.75" customHeight="1" x14ac:dyDescent="0.3">
      <c r="A1165" s="143" t="s">
        <v>8</v>
      </c>
      <c r="B1165" s="139" t="str">
        <f>IFERROR(VLOOKUP($A1165, NameDesignation[], 2,FALSE), " ")</f>
        <v>Former Vice-Chairman</v>
      </c>
      <c r="C1165" s="139" t="s">
        <v>30</v>
      </c>
      <c r="D1165" s="139">
        <v>458</v>
      </c>
      <c r="E1165" s="140">
        <v>45000</v>
      </c>
      <c r="F1165" s="139" t="str">
        <f t="shared" si="54"/>
        <v>Q1-23</v>
      </c>
      <c r="G1165" s="140" t="str">
        <f t="shared" si="55"/>
        <v>Mar'23</v>
      </c>
      <c r="H1165" s="140" t="str">
        <f>TEXT(RawData[[#This Row],[Date]], "YYYY")</f>
        <v>2023</v>
      </c>
      <c r="I1165" s="141" t="s">
        <v>32</v>
      </c>
      <c r="J1165" s="141" t="s">
        <v>90</v>
      </c>
      <c r="K1165" s="139">
        <f t="shared" si="56"/>
        <v>1</v>
      </c>
      <c r="L1165" s="142">
        <f>IF(RawData[[#This Row],[Paid/Unpaid]]="Paid", IF(VALUE($E1165)&gt;VALUE($D$3),$K1165* 10000,$K1165* 8000), 0)</f>
        <v>8000</v>
      </c>
      <c r="M1165" s="53" t="s">
        <v>146</v>
      </c>
    </row>
    <row r="1166" spans="1:13" ht="12.75" customHeight="1" x14ac:dyDescent="0.3">
      <c r="A1166" s="143" t="s">
        <v>49</v>
      </c>
      <c r="B1166" s="139" t="str">
        <f>IFERROR(VLOOKUP($A1166, NameDesignation[], 2,FALSE), " ")</f>
        <v>Former Director</v>
      </c>
      <c r="C1166" s="139" t="s">
        <v>30</v>
      </c>
      <c r="D1166" s="139">
        <v>458</v>
      </c>
      <c r="E1166" s="140">
        <v>45000</v>
      </c>
      <c r="F1166" s="139" t="str">
        <f t="shared" si="54"/>
        <v>Q1-23</v>
      </c>
      <c r="G1166" s="140" t="str">
        <f t="shared" si="55"/>
        <v>Mar'23</v>
      </c>
      <c r="H1166" s="140" t="str">
        <f>TEXT(RawData[[#This Row],[Date]], "YYYY")</f>
        <v>2023</v>
      </c>
      <c r="I1166" s="141" t="s">
        <v>32</v>
      </c>
      <c r="J1166" s="141" t="s">
        <v>90</v>
      </c>
      <c r="K1166" s="139">
        <f t="shared" si="56"/>
        <v>1</v>
      </c>
      <c r="L1166" s="142">
        <f>IF(RawData[[#This Row],[Paid/Unpaid]]="Paid", IF(VALUE($E1166)&gt;VALUE($D$3),$K1166* 10000,$K1166* 8000), 0)</f>
        <v>8000</v>
      </c>
      <c r="M1166" s="53" t="s">
        <v>146</v>
      </c>
    </row>
    <row r="1167" spans="1:13" ht="12.75" customHeight="1" x14ac:dyDescent="0.3">
      <c r="A1167" s="143" t="s">
        <v>11</v>
      </c>
      <c r="B1167" s="139" t="str">
        <f>IFERROR(VLOOKUP($A1167, NameDesignation[], 2,FALSE), " ")</f>
        <v>Former Director</v>
      </c>
      <c r="C1167" s="139" t="s">
        <v>30</v>
      </c>
      <c r="D1167" s="139">
        <v>458</v>
      </c>
      <c r="E1167" s="140">
        <v>45000</v>
      </c>
      <c r="F1167" s="139" t="str">
        <f t="shared" si="54"/>
        <v>Q1-23</v>
      </c>
      <c r="G1167" s="140" t="str">
        <f t="shared" si="55"/>
        <v>Mar'23</v>
      </c>
      <c r="H1167" s="140" t="str">
        <f>TEXT(RawData[[#This Row],[Date]], "YYYY")</f>
        <v>2023</v>
      </c>
      <c r="I1167" s="141" t="s">
        <v>32</v>
      </c>
      <c r="J1167" s="141" t="s">
        <v>90</v>
      </c>
      <c r="K1167" s="139">
        <f t="shared" si="56"/>
        <v>1</v>
      </c>
      <c r="L1167" s="142">
        <f>IF(RawData[[#This Row],[Paid/Unpaid]]="Paid", IF(VALUE($E1167)&gt;VALUE($D$3),$K1167* 10000,$K1167* 8000), 0)</f>
        <v>8000</v>
      </c>
      <c r="M1167" s="53" t="s">
        <v>146</v>
      </c>
    </row>
    <row r="1168" spans="1:13" ht="12.75" customHeight="1" x14ac:dyDescent="0.3">
      <c r="A1168" s="143" t="s">
        <v>137</v>
      </c>
      <c r="B1168" s="139" t="str">
        <f>IFERROR(VLOOKUP($A1168, NameDesignation[], 2,FALSE), " ")</f>
        <v>Former Director</v>
      </c>
      <c r="C1168" s="139" t="s">
        <v>30</v>
      </c>
      <c r="D1168" s="139">
        <v>458</v>
      </c>
      <c r="E1168" s="140">
        <v>45000</v>
      </c>
      <c r="F1168" s="139" t="str">
        <f t="shared" si="54"/>
        <v>Q1-23</v>
      </c>
      <c r="G1168" s="140" t="str">
        <f t="shared" si="55"/>
        <v>Mar'23</v>
      </c>
      <c r="H1168" s="140" t="str">
        <f>TEXT(RawData[[#This Row],[Date]], "YYYY")</f>
        <v>2023</v>
      </c>
      <c r="I1168" s="141" t="s">
        <v>32</v>
      </c>
      <c r="J1168" s="141" t="s">
        <v>91</v>
      </c>
      <c r="K1168" s="139">
        <f t="shared" si="56"/>
        <v>0</v>
      </c>
      <c r="L1168" s="142">
        <f>IF(RawData[[#This Row],[Paid/Unpaid]]="Paid", IF(VALUE($E1168)&gt;VALUE($D$3),$K1168* 10000,$K1168* 8000), 0)</f>
        <v>0</v>
      </c>
      <c r="M1168" s="53" t="s">
        <v>146</v>
      </c>
    </row>
    <row r="1169" spans="1:13" ht="12.75" customHeight="1" x14ac:dyDescent="0.3">
      <c r="A1169" s="143" t="s">
        <v>13</v>
      </c>
      <c r="B1169" s="139" t="str">
        <f>IFERROR(VLOOKUP($A1169, NameDesignation[], 2,FALSE), " ")</f>
        <v>Former Director</v>
      </c>
      <c r="C1169" s="139" t="s">
        <v>30</v>
      </c>
      <c r="D1169" s="139">
        <v>458</v>
      </c>
      <c r="E1169" s="140">
        <v>45000</v>
      </c>
      <c r="F1169" s="139" t="str">
        <f t="shared" si="54"/>
        <v>Q1-23</v>
      </c>
      <c r="G1169" s="140" t="str">
        <f t="shared" si="55"/>
        <v>Mar'23</v>
      </c>
      <c r="H1169" s="140" t="str">
        <f>TEXT(RawData[[#This Row],[Date]], "YYYY")</f>
        <v>2023</v>
      </c>
      <c r="I1169" s="141" t="s">
        <v>32</v>
      </c>
      <c r="J1169" s="141" t="s">
        <v>90</v>
      </c>
      <c r="K1169" s="139">
        <f t="shared" si="56"/>
        <v>1</v>
      </c>
      <c r="L1169" s="142">
        <f>IF(RawData[[#This Row],[Paid/Unpaid]]="Paid", IF(VALUE($E1169)&gt;VALUE($D$3),$K1169* 10000,$K1169* 8000), 0)</f>
        <v>8000</v>
      </c>
      <c r="M1169" s="53" t="s">
        <v>146</v>
      </c>
    </row>
    <row r="1170" spans="1:13" ht="12.75" customHeight="1" x14ac:dyDescent="0.3">
      <c r="A1170" s="143" t="s">
        <v>25</v>
      </c>
      <c r="B1170" s="139" t="str">
        <f>IFERROR(VLOOKUP($A1170, NameDesignation[], 2,FALSE), " ")</f>
        <v>Former Director</v>
      </c>
      <c r="C1170" s="139" t="s">
        <v>30</v>
      </c>
      <c r="D1170" s="139">
        <v>458</v>
      </c>
      <c r="E1170" s="140">
        <v>45000</v>
      </c>
      <c r="F1170" s="139" t="str">
        <f t="shared" si="54"/>
        <v>Q1-23</v>
      </c>
      <c r="G1170" s="140" t="str">
        <f t="shared" si="55"/>
        <v>Mar'23</v>
      </c>
      <c r="H1170" s="140" t="str">
        <f>TEXT(RawData[[#This Row],[Date]], "YYYY")</f>
        <v>2023</v>
      </c>
      <c r="I1170" s="141" t="s">
        <v>32</v>
      </c>
      <c r="J1170" s="141" t="s">
        <v>90</v>
      </c>
      <c r="K1170" s="139">
        <f t="shared" si="56"/>
        <v>1</v>
      </c>
      <c r="L1170" s="142">
        <f>IF(RawData[[#This Row],[Paid/Unpaid]]="Paid", IF(VALUE($E1170)&gt;VALUE($D$3),$K1170* 10000,$K1170* 8000), 0)</f>
        <v>8000</v>
      </c>
      <c r="M1170" s="53" t="s">
        <v>146</v>
      </c>
    </row>
    <row r="1171" spans="1:13" ht="12.75" customHeight="1" x14ac:dyDescent="0.3">
      <c r="A1171" s="143" t="s">
        <v>49</v>
      </c>
      <c r="B1171" s="139" t="str">
        <f>IFERROR(VLOOKUP($A1171, NameDesignation[], 2,FALSE), " ")</f>
        <v>Former Director</v>
      </c>
      <c r="C1171" s="139" t="s">
        <v>38</v>
      </c>
      <c r="D1171" s="139">
        <v>38</v>
      </c>
      <c r="E1171" s="140">
        <v>45000</v>
      </c>
      <c r="F1171" s="139" t="str">
        <f t="shared" si="54"/>
        <v>Q1-23</v>
      </c>
      <c r="G1171" s="140" t="str">
        <f t="shared" si="55"/>
        <v>Mar'23</v>
      </c>
      <c r="H1171" s="140" t="str">
        <f>TEXT(RawData[[#This Row],[Date]], "YYYY")</f>
        <v>2023</v>
      </c>
      <c r="I1171" s="141" t="s">
        <v>32</v>
      </c>
      <c r="J1171" s="141" t="s">
        <v>90</v>
      </c>
      <c r="K1171" s="139">
        <f t="shared" si="56"/>
        <v>1</v>
      </c>
      <c r="L1171" s="142">
        <f>IF(RawData[[#This Row],[Paid/Unpaid]]="Paid", IF(VALUE($E1171)&gt;VALUE($D$3),$K1171* 10000,$K1171* 8000), 0)</f>
        <v>8000</v>
      </c>
      <c r="M1171" s="53" t="s">
        <v>146</v>
      </c>
    </row>
    <row r="1172" spans="1:13" ht="12.75" customHeight="1" x14ac:dyDescent="0.3">
      <c r="A1172" s="143" t="s">
        <v>9</v>
      </c>
      <c r="B1172" s="139" t="str">
        <f>IFERROR(VLOOKUP($A1172, NameDesignation[], 2,FALSE), " ")</f>
        <v>Former Director</v>
      </c>
      <c r="C1172" s="139" t="s">
        <v>38</v>
      </c>
      <c r="D1172" s="139">
        <v>38</v>
      </c>
      <c r="E1172" s="140">
        <v>45000</v>
      </c>
      <c r="F1172" s="139" t="str">
        <f t="shared" si="54"/>
        <v>Q1-23</v>
      </c>
      <c r="G1172" s="140" t="str">
        <f t="shared" si="55"/>
        <v>Mar'23</v>
      </c>
      <c r="H1172" s="140" t="str">
        <f>TEXT(RawData[[#This Row],[Date]], "YYYY")</f>
        <v>2023</v>
      </c>
      <c r="I1172" s="141" t="s">
        <v>32</v>
      </c>
      <c r="J1172" s="141" t="s">
        <v>90</v>
      </c>
      <c r="K1172" s="139">
        <f t="shared" si="56"/>
        <v>1</v>
      </c>
      <c r="L1172" s="142">
        <f>IF(RawData[[#This Row],[Paid/Unpaid]]="Paid", IF(VALUE($E1172)&gt;VALUE($D$3),$K1172* 10000,$K1172* 8000), 0)</f>
        <v>8000</v>
      </c>
      <c r="M1172" s="53" t="s">
        <v>146</v>
      </c>
    </row>
    <row r="1173" spans="1:13" ht="12.75" customHeight="1" x14ac:dyDescent="0.3">
      <c r="A1173" s="143" t="s">
        <v>12</v>
      </c>
      <c r="B1173" s="139" t="str">
        <f>IFERROR(VLOOKUP($A1173, NameDesignation[], 2,FALSE), " ")</f>
        <v>Former Director</v>
      </c>
      <c r="C1173" s="139" t="s">
        <v>38</v>
      </c>
      <c r="D1173" s="139">
        <v>38</v>
      </c>
      <c r="E1173" s="140">
        <v>45000</v>
      </c>
      <c r="F1173" s="139" t="str">
        <f t="shared" si="54"/>
        <v>Q1-23</v>
      </c>
      <c r="G1173" s="140" t="str">
        <f t="shared" si="55"/>
        <v>Mar'23</v>
      </c>
      <c r="H1173" s="140" t="str">
        <f>TEXT(RawData[[#This Row],[Date]], "YYYY")</f>
        <v>2023</v>
      </c>
      <c r="I1173" s="141" t="s">
        <v>32</v>
      </c>
      <c r="J1173" s="141" t="s">
        <v>90</v>
      </c>
      <c r="K1173" s="139">
        <f t="shared" si="56"/>
        <v>1</v>
      </c>
      <c r="L1173" s="142">
        <f>IF(RawData[[#This Row],[Paid/Unpaid]]="Paid", IF(VALUE($E1173)&gt;VALUE($D$3),$K1173* 10000,$K1173* 8000), 0)</f>
        <v>8000</v>
      </c>
      <c r="M1173" s="53" t="s">
        <v>146</v>
      </c>
    </row>
    <row r="1174" spans="1:13" ht="12.75" customHeight="1" x14ac:dyDescent="0.3">
      <c r="A1174" s="143" t="s">
        <v>61</v>
      </c>
      <c r="B1174" s="139" t="str">
        <f>IFERROR(VLOOKUP($A1174, NameDesignation[], 2,FALSE), " ")</f>
        <v>Former Director</v>
      </c>
      <c r="C1174" s="139" t="s">
        <v>38</v>
      </c>
      <c r="D1174" s="139">
        <v>38</v>
      </c>
      <c r="E1174" s="140">
        <v>45000</v>
      </c>
      <c r="F1174" s="139" t="str">
        <f t="shared" si="54"/>
        <v>Q1-23</v>
      </c>
      <c r="G1174" s="140" t="str">
        <f t="shared" si="55"/>
        <v>Mar'23</v>
      </c>
      <c r="H1174" s="140" t="str">
        <f>TEXT(RawData[[#This Row],[Date]], "YYYY")</f>
        <v>2023</v>
      </c>
      <c r="I1174" s="141" t="s">
        <v>32</v>
      </c>
      <c r="J1174" s="141" t="s">
        <v>91</v>
      </c>
      <c r="K1174" s="139">
        <f t="shared" si="56"/>
        <v>0</v>
      </c>
      <c r="L1174" s="142">
        <f>IF(RawData[[#This Row],[Paid/Unpaid]]="Paid", IF(VALUE($E1174)&gt;VALUE($D$3),$K1174* 10000,$K1174* 8000), 0)</f>
        <v>0</v>
      </c>
      <c r="M1174" s="53" t="s">
        <v>146</v>
      </c>
    </row>
    <row r="1175" spans="1:13" ht="12.75" customHeight="1" x14ac:dyDescent="0.3">
      <c r="A1175" s="143" t="s">
        <v>17</v>
      </c>
      <c r="B1175" s="139" t="str">
        <f>IFERROR(VLOOKUP($A1175, NameDesignation[], 2,FALSE), " ")</f>
        <v>Former Independent Director</v>
      </c>
      <c r="C1175" s="139" t="s">
        <v>38</v>
      </c>
      <c r="D1175" s="139">
        <v>38</v>
      </c>
      <c r="E1175" s="140">
        <v>45000</v>
      </c>
      <c r="F1175" s="139" t="str">
        <f t="shared" si="54"/>
        <v>Q1-23</v>
      </c>
      <c r="G1175" s="140" t="str">
        <f t="shared" si="55"/>
        <v>Mar'23</v>
      </c>
      <c r="H1175" s="140" t="str">
        <f>TEXT(RawData[[#This Row],[Date]], "YYYY")</f>
        <v>2023</v>
      </c>
      <c r="I1175" s="141" t="s">
        <v>32</v>
      </c>
      <c r="J1175" s="141" t="s">
        <v>90</v>
      </c>
      <c r="K1175" s="139">
        <f t="shared" si="56"/>
        <v>1</v>
      </c>
      <c r="L1175" s="142">
        <f>IF(RawData[[#This Row],[Paid/Unpaid]]="Paid", IF(VALUE($E1175)&gt;VALUE($D$3),$K1175* 10000,$K1175* 8000), 0)</f>
        <v>8000</v>
      </c>
      <c r="M1175" s="53" t="s">
        <v>146</v>
      </c>
    </row>
    <row r="1176" spans="1:13" ht="12.75" customHeight="1" x14ac:dyDescent="0.3">
      <c r="A1176" s="143" t="s">
        <v>11</v>
      </c>
      <c r="B1176" s="139" t="str">
        <f>IFERROR(VLOOKUP($A1176, NameDesignation[], 2,FALSE), " ")</f>
        <v>Former Director</v>
      </c>
      <c r="C1176" s="139" t="s">
        <v>41</v>
      </c>
      <c r="D1176" s="139">
        <v>8</v>
      </c>
      <c r="E1176" s="140">
        <v>45022</v>
      </c>
      <c r="F1176" s="139" t="str">
        <f t="shared" si="54"/>
        <v>Q2-23</v>
      </c>
      <c r="G1176" s="140" t="str">
        <f t="shared" si="55"/>
        <v>Apr'23</v>
      </c>
      <c r="H1176" s="140" t="str">
        <f>TEXT(RawData[[#This Row],[Date]], "YYYY")</f>
        <v>2023</v>
      </c>
      <c r="I1176" s="141" t="s">
        <v>32</v>
      </c>
      <c r="J1176" s="141" t="s">
        <v>90</v>
      </c>
      <c r="K1176" s="139">
        <f t="shared" si="56"/>
        <v>1</v>
      </c>
      <c r="L1176" s="142">
        <f>IF(RawData[[#This Row],[Paid/Unpaid]]="Paid", IF(VALUE($E1176)&gt;VALUE($D$3),$K1176* 10000,$K1176* 8000), 0)</f>
        <v>8000</v>
      </c>
      <c r="M1176" s="53" t="s">
        <v>146</v>
      </c>
    </row>
    <row r="1177" spans="1:13" ht="12.75" customHeight="1" x14ac:dyDescent="0.3">
      <c r="A1177" s="143" t="s">
        <v>54</v>
      </c>
      <c r="B1177" s="139" t="str">
        <f>IFERROR(VLOOKUP($A1177, NameDesignation[], 2,FALSE), " ")</f>
        <v>Member, Shariah Supervisory Committee</v>
      </c>
      <c r="C1177" s="139" t="s">
        <v>41</v>
      </c>
      <c r="D1177" s="139">
        <v>8</v>
      </c>
      <c r="E1177" s="140">
        <v>45022</v>
      </c>
      <c r="F1177" s="139" t="str">
        <f t="shared" si="54"/>
        <v>Q2-23</v>
      </c>
      <c r="G1177" s="140" t="str">
        <f t="shared" si="55"/>
        <v>Apr'23</v>
      </c>
      <c r="H1177" s="140" t="str">
        <f>TEXT(RawData[[#This Row],[Date]], "YYYY")</f>
        <v>2023</v>
      </c>
      <c r="I1177" s="141" t="s">
        <v>32</v>
      </c>
      <c r="J1177" s="141" t="s">
        <v>90</v>
      </c>
      <c r="K1177" s="139">
        <f t="shared" si="56"/>
        <v>1</v>
      </c>
      <c r="L1177" s="142">
        <f>IF(RawData[[#This Row],[Paid/Unpaid]]="Paid", IF(VALUE($E1177)&gt;VALUE($D$3),$K1177* 10000,$K1177* 8000), 0)</f>
        <v>8000</v>
      </c>
      <c r="M1177" s="53" t="s">
        <v>146</v>
      </c>
    </row>
    <row r="1178" spans="1:13" ht="12.75" customHeight="1" x14ac:dyDescent="0.3">
      <c r="A1178" s="143" t="s">
        <v>127</v>
      </c>
      <c r="B1178" s="139" t="str">
        <f>IFERROR(VLOOKUP($A1178, NameDesignation[], 2,FALSE), " ")</f>
        <v>Chairman, Shariah Supervisory Committee</v>
      </c>
      <c r="C1178" s="139" t="s">
        <v>41</v>
      </c>
      <c r="D1178" s="139">
        <v>8</v>
      </c>
      <c r="E1178" s="140">
        <v>45022</v>
      </c>
      <c r="F1178" s="139" t="str">
        <f t="shared" si="54"/>
        <v>Q2-23</v>
      </c>
      <c r="G1178" s="140" t="str">
        <f t="shared" si="55"/>
        <v>Apr'23</v>
      </c>
      <c r="H1178" s="140" t="str">
        <f>TEXT(RawData[[#This Row],[Date]], "YYYY")</f>
        <v>2023</v>
      </c>
      <c r="I1178" s="141" t="s">
        <v>32</v>
      </c>
      <c r="J1178" s="141" t="s">
        <v>90</v>
      </c>
      <c r="K1178" s="139">
        <f t="shared" si="56"/>
        <v>1</v>
      </c>
      <c r="L1178" s="142">
        <f>IF(RawData[[#This Row],[Paid/Unpaid]]="Paid", IF(VALUE($E1178)&gt;VALUE($D$3),$K1178* 10000,$K1178* 8000), 0)</f>
        <v>8000</v>
      </c>
      <c r="M1178" s="53" t="s">
        <v>146</v>
      </c>
    </row>
    <row r="1179" spans="1:13" ht="12.75" customHeight="1" x14ac:dyDescent="0.3">
      <c r="A1179" s="143" t="s">
        <v>52</v>
      </c>
      <c r="B1179" s="139" t="str">
        <f>IFERROR(VLOOKUP($A1179, NameDesignation[], 2,FALSE), " ")</f>
        <v>Member, Shariah Supervisory Committee</v>
      </c>
      <c r="C1179" s="139" t="s">
        <v>41</v>
      </c>
      <c r="D1179" s="139">
        <v>8</v>
      </c>
      <c r="E1179" s="140">
        <v>45022</v>
      </c>
      <c r="F1179" s="139" t="str">
        <f t="shared" si="54"/>
        <v>Q2-23</v>
      </c>
      <c r="G1179" s="140" t="str">
        <f t="shared" si="55"/>
        <v>Apr'23</v>
      </c>
      <c r="H1179" s="140" t="str">
        <f>TEXT(RawData[[#This Row],[Date]], "YYYY")</f>
        <v>2023</v>
      </c>
      <c r="I1179" s="141" t="s">
        <v>32</v>
      </c>
      <c r="J1179" s="141" t="s">
        <v>90</v>
      </c>
      <c r="K1179" s="139">
        <f t="shared" si="56"/>
        <v>1</v>
      </c>
      <c r="L1179" s="142">
        <f>IF(RawData[[#This Row],[Paid/Unpaid]]="Paid", IF(VALUE($E1179)&gt;VALUE($D$3),$K1179* 10000,$K1179* 8000), 0)</f>
        <v>8000</v>
      </c>
      <c r="M1179" s="53" t="s">
        <v>146</v>
      </c>
    </row>
    <row r="1180" spans="1:13" ht="12.75" customHeight="1" x14ac:dyDescent="0.3">
      <c r="A1180" s="143" t="s">
        <v>128</v>
      </c>
      <c r="B1180" s="139" t="str">
        <f>IFERROR(VLOOKUP($A1180, NameDesignation[], 2,FALSE), " ")</f>
        <v>Member, Shariah Supervisory Committee</v>
      </c>
      <c r="C1180" s="139" t="s">
        <v>41</v>
      </c>
      <c r="D1180" s="139">
        <v>8</v>
      </c>
      <c r="E1180" s="140">
        <v>45022</v>
      </c>
      <c r="F1180" s="139" t="str">
        <f t="shared" si="54"/>
        <v>Q2-23</v>
      </c>
      <c r="G1180" s="140" t="str">
        <f t="shared" si="55"/>
        <v>Apr'23</v>
      </c>
      <c r="H1180" s="140" t="str">
        <f>TEXT(RawData[[#This Row],[Date]], "YYYY")</f>
        <v>2023</v>
      </c>
      <c r="I1180" s="141" t="s">
        <v>32</v>
      </c>
      <c r="J1180" s="141" t="s">
        <v>90</v>
      </c>
      <c r="K1180" s="139">
        <f t="shared" si="56"/>
        <v>1</v>
      </c>
      <c r="L1180" s="142">
        <f>IF(RawData[[#This Row],[Paid/Unpaid]]="Paid", IF(VALUE($E1180)&gt;VALUE($D$3),$K1180* 10000,$K1180* 8000), 0)</f>
        <v>8000</v>
      </c>
      <c r="M1180" s="53" t="s">
        <v>146</v>
      </c>
    </row>
    <row r="1181" spans="1:13" ht="12.75" customHeight="1" x14ac:dyDescent="0.3">
      <c r="A1181" s="143" t="s">
        <v>126</v>
      </c>
      <c r="B1181" s="139" t="str">
        <f>IFERROR(VLOOKUP($A1181, NameDesignation[], 2,FALSE), " ")</f>
        <v>Member, Shariah Supervisory Committee</v>
      </c>
      <c r="C1181" s="139" t="s">
        <v>41</v>
      </c>
      <c r="D1181" s="139">
        <v>8</v>
      </c>
      <c r="E1181" s="140">
        <v>45022</v>
      </c>
      <c r="F1181" s="139" t="str">
        <f t="shared" si="54"/>
        <v>Q2-23</v>
      </c>
      <c r="G1181" s="140" t="str">
        <f t="shared" si="55"/>
        <v>Apr'23</v>
      </c>
      <c r="H1181" s="140" t="str">
        <f>TEXT(RawData[[#This Row],[Date]], "YYYY")</f>
        <v>2023</v>
      </c>
      <c r="I1181" s="141" t="s">
        <v>32</v>
      </c>
      <c r="J1181" s="141" t="s">
        <v>90</v>
      </c>
      <c r="K1181" s="139">
        <f t="shared" si="56"/>
        <v>1</v>
      </c>
      <c r="L1181" s="142">
        <f>IF(RawData[[#This Row],[Paid/Unpaid]]="Paid", IF(VALUE($E1181)&gt;VALUE($D$3),$K1181* 10000,$K1181* 8000), 0)</f>
        <v>8000</v>
      </c>
      <c r="M1181" s="53" t="s">
        <v>146</v>
      </c>
    </row>
    <row r="1182" spans="1:13" ht="12.75" customHeight="1" x14ac:dyDescent="0.3">
      <c r="A1182" s="143" t="s">
        <v>34</v>
      </c>
      <c r="B1182" s="139" t="str">
        <f>IFERROR(VLOOKUP($A1182, NameDesignation[], 2,FALSE), " ")</f>
        <v>Former Managing Director &amp; CEO</v>
      </c>
      <c r="C1182" s="139" t="s">
        <v>41</v>
      </c>
      <c r="D1182" s="139">
        <v>8</v>
      </c>
      <c r="E1182" s="140">
        <v>45022</v>
      </c>
      <c r="F1182" s="139" t="str">
        <f t="shared" si="54"/>
        <v>Q2-23</v>
      </c>
      <c r="G1182" s="140" t="str">
        <f t="shared" si="55"/>
        <v>Apr'23</v>
      </c>
      <c r="H1182" s="140" t="str">
        <f>TEXT(RawData[[#This Row],[Date]], "YYYY")</f>
        <v>2023</v>
      </c>
      <c r="I1182" s="141" t="s">
        <v>32</v>
      </c>
      <c r="J1182" s="141" t="s">
        <v>90</v>
      </c>
      <c r="K1182" s="139">
        <f t="shared" si="56"/>
        <v>1</v>
      </c>
      <c r="L1182" s="142">
        <f>IF(RawData[[#This Row],[Paid/Unpaid]]="Paid", IF(VALUE($E1182)&gt;VALUE($D$3),$K1182* 10000,$K1182* 8000), 0)</f>
        <v>8000</v>
      </c>
      <c r="M1182" s="53" t="s">
        <v>146</v>
      </c>
    </row>
    <row r="1183" spans="1:13" ht="12.75" customHeight="1" x14ac:dyDescent="0.3">
      <c r="A1183" s="143" t="s">
        <v>9</v>
      </c>
      <c r="B1183" s="139" t="str">
        <f>IFERROR(VLOOKUP($A1183, NameDesignation[], 2,FALSE), " ")</f>
        <v>Former Director</v>
      </c>
      <c r="C1183" s="139" t="s">
        <v>30</v>
      </c>
      <c r="D1183" s="139">
        <v>459</v>
      </c>
      <c r="E1183" s="140">
        <v>45033</v>
      </c>
      <c r="F1183" s="139" t="str">
        <f t="shared" si="54"/>
        <v>Q2-23</v>
      </c>
      <c r="G1183" s="140" t="str">
        <f t="shared" si="55"/>
        <v>Apr'23</v>
      </c>
      <c r="H1183" s="140" t="str">
        <f>TEXT(RawData[[#This Row],[Date]], "YYYY")</f>
        <v>2023</v>
      </c>
      <c r="I1183" s="141" t="s">
        <v>32</v>
      </c>
      <c r="J1183" s="141" t="s">
        <v>90</v>
      </c>
      <c r="K1183" s="139">
        <f t="shared" si="56"/>
        <v>1</v>
      </c>
      <c r="L1183" s="142">
        <f>IF(RawData[[#This Row],[Paid/Unpaid]]="Paid", IF(VALUE($E1183)&gt;VALUE($D$3),$K1183* 10000,$K1183* 8000), 0)</f>
        <v>8000</v>
      </c>
      <c r="M1183" s="53" t="s">
        <v>146</v>
      </c>
    </row>
    <row r="1184" spans="1:13" ht="12.75" customHeight="1" x14ac:dyDescent="0.3">
      <c r="A1184" s="143" t="s">
        <v>8</v>
      </c>
      <c r="B1184" s="139" t="str">
        <f>IFERROR(VLOOKUP($A1184, NameDesignation[], 2,FALSE), " ")</f>
        <v>Former Vice-Chairman</v>
      </c>
      <c r="C1184" s="139" t="s">
        <v>30</v>
      </c>
      <c r="D1184" s="139">
        <v>459</v>
      </c>
      <c r="E1184" s="140">
        <v>45033</v>
      </c>
      <c r="F1184" s="139" t="str">
        <f t="shared" si="54"/>
        <v>Q2-23</v>
      </c>
      <c r="G1184" s="140" t="str">
        <f t="shared" si="55"/>
        <v>Apr'23</v>
      </c>
      <c r="H1184" s="140" t="str">
        <f>TEXT(RawData[[#This Row],[Date]], "YYYY")</f>
        <v>2023</v>
      </c>
      <c r="I1184" s="141" t="s">
        <v>32</v>
      </c>
      <c r="J1184" s="141" t="s">
        <v>90</v>
      </c>
      <c r="K1184" s="139">
        <f t="shared" si="56"/>
        <v>1</v>
      </c>
      <c r="L1184" s="142">
        <f>IF(RawData[[#This Row],[Paid/Unpaid]]="Paid", IF(VALUE($E1184)&gt;VALUE($D$3),$K1184* 10000,$K1184* 8000), 0)</f>
        <v>8000</v>
      </c>
      <c r="M1184" s="53" t="s">
        <v>146</v>
      </c>
    </row>
    <row r="1185" spans="1:13" ht="12.75" customHeight="1" x14ac:dyDescent="0.3">
      <c r="A1185" s="143" t="s">
        <v>49</v>
      </c>
      <c r="B1185" s="139" t="str">
        <f>IFERROR(VLOOKUP($A1185, NameDesignation[], 2,FALSE), " ")</f>
        <v>Former Director</v>
      </c>
      <c r="C1185" s="139" t="s">
        <v>30</v>
      </c>
      <c r="D1185" s="139">
        <v>459</v>
      </c>
      <c r="E1185" s="140">
        <v>45033</v>
      </c>
      <c r="F1185" s="139" t="str">
        <f t="shared" si="54"/>
        <v>Q2-23</v>
      </c>
      <c r="G1185" s="140" t="str">
        <f t="shared" si="55"/>
        <v>Apr'23</v>
      </c>
      <c r="H1185" s="140" t="str">
        <f>TEXT(RawData[[#This Row],[Date]], "YYYY")</f>
        <v>2023</v>
      </c>
      <c r="I1185" s="141" t="s">
        <v>32</v>
      </c>
      <c r="J1185" s="141" t="s">
        <v>90</v>
      </c>
      <c r="K1185" s="139">
        <f t="shared" si="56"/>
        <v>1</v>
      </c>
      <c r="L1185" s="142">
        <f>IF(RawData[[#This Row],[Paid/Unpaid]]="Paid", IF(VALUE($E1185)&gt;VALUE($D$3),$K1185* 10000,$K1185* 8000), 0)</f>
        <v>8000</v>
      </c>
      <c r="M1185" s="53" t="s">
        <v>146</v>
      </c>
    </row>
    <row r="1186" spans="1:13" ht="12.75" customHeight="1" x14ac:dyDescent="0.3">
      <c r="A1186" s="143" t="s">
        <v>11</v>
      </c>
      <c r="B1186" s="139" t="str">
        <f>IFERROR(VLOOKUP($A1186, NameDesignation[], 2,FALSE), " ")</f>
        <v>Former Director</v>
      </c>
      <c r="C1186" s="139" t="s">
        <v>30</v>
      </c>
      <c r="D1186" s="139">
        <v>459</v>
      </c>
      <c r="E1186" s="140">
        <v>45033</v>
      </c>
      <c r="F1186" s="139" t="str">
        <f t="shared" si="54"/>
        <v>Q2-23</v>
      </c>
      <c r="G1186" s="140" t="str">
        <f t="shared" si="55"/>
        <v>Apr'23</v>
      </c>
      <c r="H1186" s="140" t="str">
        <f>TEXT(RawData[[#This Row],[Date]], "YYYY")</f>
        <v>2023</v>
      </c>
      <c r="I1186" s="141" t="s">
        <v>32</v>
      </c>
      <c r="J1186" s="141" t="s">
        <v>90</v>
      </c>
      <c r="K1186" s="139">
        <f t="shared" si="56"/>
        <v>1</v>
      </c>
      <c r="L1186" s="142">
        <f>IF(RawData[[#This Row],[Paid/Unpaid]]="Paid", IF(VALUE($E1186)&gt;VALUE($D$3),$K1186* 10000,$K1186* 8000), 0)</f>
        <v>8000</v>
      </c>
      <c r="M1186" s="53" t="s">
        <v>146</v>
      </c>
    </row>
    <row r="1187" spans="1:13" ht="12.75" customHeight="1" x14ac:dyDescent="0.3">
      <c r="A1187" s="143" t="s">
        <v>137</v>
      </c>
      <c r="B1187" s="139" t="str">
        <f>IFERROR(VLOOKUP($A1187, NameDesignation[], 2,FALSE), " ")</f>
        <v>Former Director</v>
      </c>
      <c r="C1187" s="139" t="s">
        <v>30</v>
      </c>
      <c r="D1187" s="139">
        <v>459</v>
      </c>
      <c r="E1187" s="140">
        <v>45033</v>
      </c>
      <c r="F1187" s="139" t="str">
        <f t="shared" si="54"/>
        <v>Q2-23</v>
      </c>
      <c r="G1187" s="140" t="str">
        <f t="shared" si="55"/>
        <v>Apr'23</v>
      </c>
      <c r="H1187" s="140" t="str">
        <f>TEXT(RawData[[#This Row],[Date]], "YYYY")</f>
        <v>2023</v>
      </c>
      <c r="I1187" s="141" t="s">
        <v>32</v>
      </c>
      <c r="J1187" s="141" t="s">
        <v>90</v>
      </c>
      <c r="K1187" s="139">
        <f t="shared" si="56"/>
        <v>1</v>
      </c>
      <c r="L1187" s="142">
        <f>IF(RawData[[#This Row],[Paid/Unpaid]]="Paid", IF(VALUE($E1187)&gt;VALUE($D$3),$K1187* 10000,$K1187* 8000), 0)</f>
        <v>8000</v>
      </c>
      <c r="M1187" s="53" t="s">
        <v>146</v>
      </c>
    </row>
    <row r="1188" spans="1:13" ht="12.75" customHeight="1" x14ac:dyDescent="0.3">
      <c r="A1188" s="143" t="s">
        <v>13</v>
      </c>
      <c r="B1188" s="139" t="str">
        <f>IFERROR(VLOOKUP($A1188, NameDesignation[], 2,FALSE), " ")</f>
        <v>Former Director</v>
      </c>
      <c r="C1188" s="139" t="s">
        <v>30</v>
      </c>
      <c r="D1188" s="139">
        <v>459</v>
      </c>
      <c r="E1188" s="140">
        <v>45033</v>
      </c>
      <c r="F1188" s="139" t="str">
        <f t="shared" si="54"/>
        <v>Q2-23</v>
      </c>
      <c r="G1188" s="140" t="str">
        <f t="shared" si="55"/>
        <v>Apr'23</v>
      </c>
      <c r="H1188" s="140" t="str">
        <f>TEXT(RawData[[#This Row],[Date]], "YYYY")</f>
        <v>2023</v>
      </c>
      <c r="I1188" s="141" t="s">
        <v>32</v>
      </c>
      <c r="J1188" s="141" t="s">
        <v>90</v>
      </c>
      <c r="K1188" s="139">
        <f t="shared" si="56"/>
        <v>1</v>
      </c>
      <c r="L1188" s="142">
        <f>IF(RawData[[#This Row],[Paid/Unpaid]]="Paid", IF(VALUE($E1188)&gt;VALUE($D$3),$K1188* 10000,$K1188* 8000), 0)</f>
        <v>8000</v>
      </c>
      <c r="M1188" s="53" t="s">
        <v>146</v>
      </c>
    </row>
    <row r="1189" spans="1:13" ht="12.75" customHeight="1" x14ac:dyDescent="0.3">
      <c r="A1189" s="143" t="s">
        <v>7</v>
      </c>
      <c r="B1189" s="139" t="str">
        <f>IFERROR(VLOOKUP($A1189, NameDesignation[], 2,FALSE), " ")</f>
        <v>Former Director</v>
      </c>
      <c r="C1189" s="139" t="s">
        <v>29</v>
      </c>
      <c r="D1189" s="139">
        <v>481</v>
      </c>
      <c r="E1189" s="140">
        <v>45041</v>
      </c>
      <c r="F1189" s="139" t="str">
        <f t="shared" si="54"/>
        <v>Q2-23</v>
      </c>
      <c r="G1189" s="140" t="str">
        <f t="shared" si="55"/>
        <v>Apr'23</v>
      </c>
      <c r="H1189" s="140" t="str">
        <f>TEXT(RawData[[#This Row],[Date]], "YYYY")</f>
        <v>2023</v>
      </c>
      <c r="I1189" s="141" t="s">
        <v>32</v>
      </c>
      <c r="J1189" s="141" t="s">
        <v>90</v>
      </c>
      <c r="K1189" s="139">
        <f t="shared" si="56"/>
        <v>1</v>
      </c>
      <c r="L1189" s="142">
        <f>IF(RawData[[#This Row],[Paid/Unpaid]]="Paid", IF(VALUE($E1189)&gt;VALUE($D$3),$K1189* 10000,$K1189* 8000), 0)</f>
        <v>8000</v>
      </c>
      <c r="M1189" s="53" t="s">
        <v>146</v>
      </c>
    </row>
    <row r="1190" spans="1:13" ht="12.75" customHeight="1" x14ac:dyDescent="0.3">
      <c r="A1190" s="143" t="s">
        <v>8</v>
      </c>
      <c r="B1190" s="139" t="str">
        <f>IFERROR(VLOOKUP($A1190, NameDesignation[], 2,FALSE), " ")</f>
        <v>Former Vice-Chairman</v>
      </c>
      <c r="C1190" s="139" t="s">
        <v>29</v>
      </c>
      <c r="D1190" s="139">
        <v>481</v>
      </c>
      <c r="E1190" s="140">
        <v>45041</v>
      </c>
      <c r="F1190" s="139" t="str">
        <f t="shared" si="54"/>
        <v>Q2-23</v>
      </c>
      <c r="G1190" s="140" t="str">
        <f t="shared" si="55"/>
        <v>Apr'23</v>
      </c>
      <c r="H1190" s="140" t="str">
        <f>TEXT(RawData[[#This Row],[Date]], "YYYY")</f>
        <v>2023</v>
      </c>
      <c r="I1190" s="141" t="s">
        <v>32</v>
      </c>
      <c r="J1190" s="141" t="s">
        <v>91</v>
      </c>
      <c r="K1190" s="139">
        <f t="shared" si="56"/>
        <v>0</v>
      </c>
      <c r="L1190" s="142">
        <f>IF(RawData[[#This Row],[Paid/Unpaid]]="Paid", IF(VALUE($E1190)&gt;VALUE($D$3),$K1190* 10000,$K1190* 8000), 0)</f>
        <v>0</v>
      </c>
      <c r="M1190" s="53" t="s">
        <v>146</v>
      </c>
    </row>
    <row r="1191" spans="1:13" ht="12.75" customHeight="1" x14ac:dyDescent="0.3">
      <c r="A1191" s="143" t="s">
        <v>9</v>
      </c>
      <c r="B1191" s="139" t="str">
        <f>IFERROR(VLOOKUP($A1191, NameDesignation[], 2,FALSE), " ")</f>
        <v>Former Director</v>
      </c>
      <c r="C1191" s="139" t="s">
        <v>29</v>
      </c>
      <c r="D1191" s="139">
        <v>481</v>
      </c>
      <c r="E1191" s="140">
        <v>45041</v>
      </c>
      <c r="F1191" s="139" t="str">
        <f t="shared" si="54"/>
        <v>Q2-23</v>
      </c>
      <c r="G1191" s="140" t="str">
        <f t="shared" si="55"/>
        <v>Apr'23</v>
      </c>
      <c r="H1191" s="140" t="str">
        <f>TEXT(RawData[[#This Row],[Date]], "YYYY")</f>
        <v>2023</v>
      </c>
      <c r="I1191" s="141" t="s">
        <v>32</v>
      </c>
      <c r="J1191" s="141" t="s">
        <v>91</v>
      </c>
      <c r="K1191" s="139">
        <f t="shared" si="56"/>
        <v>0</v>
      </c>
      <c r="L1191" s="142">
        <f>IF(RawData[[#This Row],[Paid/Unpaid]]="Paid", IF(VALUE($E1191)&gt;VALUE($D$3),$K1191* 10000,$K1191* 8000), 0)</f>
        <v>0</v>
      </c>
      <c r="M1191" s="53" t="s">
        <v>146</v>
      </c>
    </row>
    <row r="1192" spans="1:13" ht="12.75" customHeight="1" x14ac:dyDescent="0.3">
      <c r="A1192" s="143" t="s">
        <v>20</v>
      </c>
      <c r="B1192" s="139" t="str">
        <f>IFERROR(VLOOKUP($A1192, NameDesignation[], 2,FALSE), " ")</f>
        <v>Former Independent Director</v>
      </c>
      <c r="C1192" s="139" t="s">
        <v>29</v>
      </c>
      <c r="D1192" s="139">
        <v>481</v>
      </c>
      <c r="E1192" s="140">
        <v>45041</v>
      </c>
      <c r="F1192" s="139" t="str">
        <f t="shared" si="54"/>
        <v>Q2-23</v>
      </c>
      <c r="G1192" s="140" t="str">
        <f t="shared" si="55"/>
        <v>Apr'23</v>
      </c>
      <c r="H1192" s="140" t="str">
        <f>TEXT(RawData[[#This Row],[Date]], "YYYY")</f>
        <v>2023</v>
      </c>
      <c r="I1192" s="141" t="s">
        <v>32</v>
      </c>
      <c r="J1192" s="141" t="s">
        <v>91</v>
      </c>
      <c r="K1192" s="139">
        <f t="shared" si="56"/>
        <v>0</v>
      </c>
      <c r="L1192" s="142">
        <f>IF(RawData[[#This Row],[Paid/Unpaid]]="Paid", IF(VALUE($E1192)&gt;VALUE($D$3),$K1192* 10000,$K1192* 8000), 0)</f>
        <v>0</v>
      </c>
      <c r="M1192" s="53" t="s">
        <v>146</v>
      </c>
    </row>
    <row r="1193" spans="1:13" ht="12.75" customHeight="1" x14ac:dyDescent="0.3">
      <c r="A1193" s="143" t="s">
        <v>49</v>
      </c>
      <c r="B1193" s="139" t="str">
        <f>IFERROR(VLOOKUP($A1193, NameDesignation[], 2,FALSE), " ")</f>
        <v>Former Director</v>
      </c>
      <c r="C1193" s="139" t="s">
        <v>29</v>
      </c>
      <c r="D1193" s="139">
        <v>481</v>
      </c>
      <c r="E1193" s="140">
        <v>45041</v>
      </c>
      <c r="F1193" s="139" t="str">
        <f t="shared" si="54"/>
        <v>Q2-23</v>
      </c>
      <c r="G1193" s="140" t="str">
        <f t="shared" si="55"/>
        <v>Apr'23</v>
      </c>
      <c r="H1193" s="140" t="str">
        <f>TEXT(RawData[[#This Row],[Date]], "YYYY")</f>
        <v>2023</v>
      </c>
      <c r="I1193" s="141" t="s">
        <v>32</v>
      </c>
      <c r="J1193" s="141" t="s">
        <v>90</v>
      </c>
      <c r="K1193" s="139">
        <f t="shared" si="56"/>
        <v>1</v>
      </c>
      <c r="L1193" s="142">
        <f>IF(RawData[[#This Row],[Paid/Unpaid]]="Paid", IF(VALUE($E1193)&gt;VALUE($D$3),$K1193* 10000,$K1193* 8000), 0)</f>
        <v>8000</v>
      </c>
      <c r="M1193" s="53" t="s">
        <v>146</v>
      </c>
    </row>
    <row r="1194" spans="1:13" ht="12.75" customHeight="1" x14ac:dyDescent="0.3">
      <c r="A1194" s="143" t="s">
        <v>11</v>
      </c>
      <c r="B1194" s="139" t="str">
        <f>IFERROR(VLOOKUP($A1194, NameDesignation[], 2,FALSE), " ")</f>
        <v>Former Director</v>
      </c>
      <c r="C1194" s="139" t="s">
        <v>29</v>
      </c>
      <c r="D1194" s="139">
        <v>481</v>
      </c>
      <c r="E1194" s="140">
        <v>45041</v>
      </c>
      <c r="F1194" s="139" t="str">
        <f t="shared" si="54"/>
        <v>Q2-23</v>
      </c>
      <c r="G1194" s="140" t="str">
        <f t="shared" si="55"/>
        <v>Apr'23</v>
      </c>
      <c r="H1194" s="140" t="str">
        <f>TEXT(RawData[[#This Row],[Date]], "YYYY")</f>
        <v>2023</v>
      </c>
      <c r="I1194" s="141" t="s">
        <v>32</v>
      </c>
      <c r="J1194" s="141" t="s">
        <v>90</v>
      </c>
      <c r="K1194" s="139">
        <f t="shared" si="56"/>
        <v>1</v>
      </c>
      <c r="L1194" s="142">
        <f>IF(RawData[[#This Row],[Paid/Unpaid]]="Paid", IF(VALUE($E1194)&gt;VALUE($D$3),$K1194* 10000,$K1194* 8000), 0)</f>
        <v>8000</v>
      </c>
      <c r="M1194" s="53" t="s">
        <v>146</v>
      </c>
    </row>
    <row r="1195" spans="1:13" ht="12.75" customHeight="1" x14ac:dyDescent="0.3">
      <c r="A1195" s="143" t="s">
        <v>12</v>
      </c>
      <c r="B1195" s="139" t="str">
        <f>IFERROR(VLOOKUP($A1195, NameDesignation[], 2,FALSE), " ")</f>
        <v>Former Director</v>
      </c>
      <c r="C1195" s="139" t="s">
        <v>29</v>
      </c>
      <c r="D1195" s="139">
        <v>481</v>
      </c>
      <c r="E1195" s="140">
        <v>45041</v>
      </c>
      <c r="F1195" s="139" t="str">
        <f t="shared" si="54"/>
        <v>Q2-23</v>
      </c>
      <c r="G1195" s="140" t="str">
        <f t="shared" si="55"/>
        <v>Apr'23</v>
      </c>
      <c r="H1195" s="140" t="str">
        <f>TEXT(RawData[[#This Row],[Date]], "YYYY")</f>
        <v>2023</v>
      </c>
      <c r="I1195" s="141" t="s">
        <v>32</v>
      </c>
      <c r="J1195" s="141" t="s">
        <v>90</v>
      </c>
      <c r="K1195" s="139">
        <f t="shared" si="56"/>
        <v>1</v>
      </c>
      <c r="L1195" s="142">
        <f>IF(RawData[[#This Row],[Paid/Unpaid]]="Paid", IF(VALUE($E1195)&gt;VALUE($D$3),$K1195* 10000,$K1195* 8000), 0)</f>
        <v>8000</v>
      </c>
      <c r="M1195" s="53" t="s">
        <v>146</v>
      </c>
    </row>
    <row r="1196" spans="1:13" ht="12.75" customHeight="1" x14ac:dyDescent="0.3">
      <c r="A1196" s="143" t="s">
        <v>137</v>
      </c>
      <c r="B1196" s="139" t="str">
        <f>IFERROR(VLOOKUP($A1196, NameDesignation[], 2,FALSE), " ")</f>
        <v>Former Director</v>
      </c>
      <c r="C1196" s="139" t="s">
        <v>29</v>
      </c>
      <c r="D1196" s="139">
        <v>481</v>
      </c>
      <c r="E1196" s="140">
        <v>45041</v>
      </c>
      <c r="F1196" s="139" t="str">
        <f t="shared" si="54"/>
        <v>Q2-23</v>
      </c>
      <c r="G1196" s="140" t="str">
        <f t="shared" si="55"/>
        <v>Apr'23</v>
      </c>
      <c r="H1196" s="140" t="str">
        <f>TEXT(RawData[[#This Row],[Date]], "YYYY")</f>
        <v>2023</v>
      </c>
      <c r="I1196" s="141" t="s">
        <v>32</v>
      </c>
      <c r="J1196" s="141" t="s">
        <v>90</v>
      </c>
      <c r="K1196" s="139">
        <f t="shared" si="56"/>
        <v>1</v>
      </c>
      <c r="L1196" s="142">
        <f>IF(RawData[[#This Row],[Paid/Unpaid]]="Paid", IF(VALUE($E1196)&gt;VALUE($D$3),$K1196* 10000,$K1196* 8000), 0)</f>
        <v>8000</v>
      </c>
      <c r="M1196" s="53" t="s">
        <v>146</v>
      </c>
    </row>
    <row r="1197" spans="1:13" ht="12.75" customHeight="1" x14ac:dyDescent="0.3">
      <c r="A1197" s="143" t="s">
        <v>13</v>
      </c>
      <c r="B1197" s="139" t="str">
        <f>IFERROR(VLOOKUP($A1197, NameDesignation[], 2,FALSE), " ")</f>
        <v>Former Director</v>
      </c>
      <c r="C1197" s="139" t="s">
        <v>29</v>
      </c>
      <c r="D1197" s="139">
        <v>481</v>
      </c>
      <c r="E1197" s="140">
        <v>45041</v>
      </c>
      <c r="F1197" s="139" t="str">
        <f t="shared" si="54"/>
        <v>Q2-23</v>
      </c>
      <c r="G1197" s="140" t="str">
        <f t="shared" si="55"/>
        <v>Apr'23</v>
      </c>
      <c r="H1197" s="140" t="str">
        <f>TEXT(RawData[[#This Row],[Date]], "YYYY")</f>
        <v>2023</v>
      </c>
      <c r="I1197" s="141" t="s">
        <v>32</v>
      </c>
      <c r="J1197" s="141" t="s">
        <v>90</v>
      </c>
      <c r="K1197" s="139">
        <f t="shared" si="56"/>
        <v>1</v>
      </c>
      <c r="L1197" s="142">
        <f>IF(RawData[[#This Row],[Paid/Unpaid]]="Paid", IF(VALUE($E1197)&gt;VALUE($D$3),$K1197* 10000,$K1197* 8000), 0)</f>
        <v>8000</v>
      </c>
      <c r="M1197" s="53" t="s">
        <v>146</v>
      </c>
    </row>
    <row r="1198" spans="1:13" ht="12.75" customHeight="1" x14ac:dyDescent="0.3">
      <c r="A1198" s="143" t="s">
        <v>61</v>
      </c>
      <c r="B1198" s="139" t="str">
        <f>IFERROR(VLOOKUP($A1198, NameDesignation[], 2,FALSE), " ")</f>
        <v>Former Director</v>
      </c>
      <c r="C1198" s="139" t="s">
        <v>29</v>
      </c>
      <c r="D1198" s="139">
        <v>481</v>
      </c>
      <c r="E1198" s="140">
        <v>45041</v>
      </c>
      <c r="F1198" s="139" t="str">
        <f t="shared" si="54"/>
        <v>Q2-23</v>
      </c>
      <c r="G1198" s="140" t="str">
        <f t="shared" si="55"/>
        <v>Apr'23</v>
      </c>
      <c r="H1198" s="140" t="str">
        <f>TEXT(RawData[[#This Row],[Date]], "YYYY")</f>
        <v>2023</v>
      </c>
      <c r="I1198" s="141" t="s">
        <v>32</v>
      </c>
      <c r="J1198" s="141" t="s">
        <v>90</v>
      </c>
      <c r="K1198" s="139">
        <f t="shared" si="56"/>
        <v>1</v>
      </c>
      <c r="L1198" s="142">
        <f>IF(RawData[[#This Row],[Paid/Unpaid]]="Paid", IF(VALUE($E1198)&gt;VALUE($D$3),$K1198* 10000,$K1198* 8000), 0)</f>
        <v>8000</v>
      </c>
      <c r="M1198" s="53" t="s">
        <v>146</v>
      </c>
    </row>
    <row r="1199" spans="1:13" ht="12.75" customHeight="1" x14ac:dyDescent="0.3">
      <c r="A1199" s="143" t="s">
        <v>14</v>
      </c>
      <c r="B1199" s="139" t="str">
        <f>IFERROR(VLOOKUP($A1199, NameDesignation[], 2,FALSE), " ")</f>
        <v>Former Director</v>
      </c>
      <c r="C1199" s="139" t="s">
        <v>29</v>
      </c>
      <c r="D1199" s="139">
        <v>481</v>
      </c>
      <c r="E1199" s="140">
        <v>45041</v>
      </c>
      <c r="F1199" s="139" t="str">
        <f t="shared" si="54"/>
        <v>Q2-23</v>
      </c>
      <c r="G1199" s="140" t="str">
        <f t="shared" si="55"/>
        <v>Apr'23</v>
      </c>
      <c r="H1199" s="140" t="str">
        <f>TEXT(RawData[[#This Row],[Date]], "YYYY")</f>
        <v>2023</v>
      </c>
      <c r="I1199" s="141" t="s">
        <v>32</v>
      </c>
      <c r="J1199" s="141" t="s">
        <v>90</v>
      </c>
      <c r="K1199" s="139">
        <f t="shared" si="56"/>
        <v>1</v>
      </c>
      <c r="L1199" s="142">
        <f>IF(RawData[[#This Row],[Paid/Unpaid]]="Paid", IF(VALUE($E1199)&gt;VALUE($D$3),$K1199* 10000,$K1199* 8000), 0)</f>
        <v>8000</v>
      </c>
      <c r="M1199" s="53" t="s">
        <v>146</v>
      </c>
    </row>
    <row r="1200" spans="1:13" ht="12.75" customHeight="1" x14ac:dyDescent="0.3">
      <c r="A1200" s="143" t="s">
        <v>23</v>
      </c>
      <c r="B1200" s="139" t="str">
        <f>IFERROR(VLOOKUP($A1200, NameDesignation[], 2,FALSE), " ")</f>
        <v>Former Director</v>
      </c>
      <c r="C1200" s="139" t="s">
        <v>29</v>
      </c>
      <c r="D1200" s="139">
        <v>481</v>
      </c>
      <c r="E1200" s="140">
        <v>45041</v>
      </c>
      <c r="F1200" s="139" t="str">
        <f t="shared" si="54"/>
        <v>Q2-23</v>
      </c>
      <c r="G1200" s="140" t="str">
        <f t="shared" si="55"/>
        <v>Apr'23</v>
      </c>
      <c r="H1200" s="140" t="str">
        <f>TEXT(RawData[[#This Row],[Date]], "YYYY")</f>
        <v>2023</v>
      </c>
      <c r="I1200" s="141" t="s">
        <v>32</v>
      </c>
      <c r="J1200" s="141" t="s">
        <v>90</v>
      </c>
      <c r="K1200" s="139">
        <f t="shared" si="56"/>
        <v>1</v>
      </c>
      <c r="L1200" s="142">
        <f>IF(RawData[[#This Row],[Paid/Unpaid]]="Paid", IF(VALUE($E1200)&gt;VALUE($D$3),$K1200* 10000,$K1200* 8000), 0)</f>
        <v>8000</v>
      </c>
      <c r="M1200" s="53" t="s">
        <v>146</v>
      </c>
    </row>
    <row r="1201" spans="1:13" ht="12.75" customHeight="1" x14ac:dyDescent="0.3">
      <c r="A1201" s="143" t="s">
        <v>24</v>
      </c>
      <c r="B1201" s="139" t="str">
        <f>IFERROR(VLOOKUP($A1201, NameDesignation[], 2,FALSE), " ")</f>
        <v>Former Director</v>
      </c>
      <c r="C1201" s="139" t="s">
        <v>29</v>
      </c>
      <c r="D1201" s="139">
        <v>481</v>
      </c>
      <c r="E1201" s="140">
        <v>45041</v>
      </c>
      <c r="F1201" s="139" t="str">
        <f t="shared" si="54"/>
        <v>Q2-23</v>
      </c>
      <c r="G1201" s="140" t="str">
        <f t="shared" si="55"/>
        <v>Apr'23</v>
      </c>
      <c r="H1201" s="140" t="str">
        <f>TEXT(RawData[[#This Row],[Date]], "YYYY")</f>
        <v>2023</v>
      </c>
      <c r="I1201" s="141" t="s">
        <v>32</v>
      </c>
      <c r="J1201" s="141" t="s">
        <v>90</v>
      </c>
      <c r="K1201" s="139">
        <f t="shared" si="56"/>
        <v>1</v>
      </c>
      <c r="L1201" s="142">
        <f>IF(RawData[[#This Row],[Paid/Unpaid]]="Paid", IF(VALUE($E1201)&gt;VALUE($D$3),$K1201* 10000,$K1201* 8000), 0)</f>
        <v>8000</v>
      </c>
      <c r="M1201" s="53" t="s">
        <v>146</v>
      </c>
    </row>
    <row r="1202" spans="1:13" ht="12.75" customHeight="1" x14ac:dyDescent="0.3">
      <c r="A1202" s="143" t="s">
        <v>15</v>
      </c>
      <c r="B1202" s="139" t="str">
        <f>IFERROR(VLOOKUP($A1202, NameDesignation[], 2,FALSE), " ")</f>
        <v>Former Director</v>
      </c>
      <c r="C1202" s="139" t="s">
        <v>29</v>
      </c>
      <c r="D1202" s="139">
        <v>481</v>
      </c>
      <c r="E1202" s="140">
        <v>45041</v>
      </c>
      <c r="F1202" s="139" t="str">
        <f t="shared" si="54"/>
        <v>Q2-23</v>
      </c>
      <c r="G1202" s="140" t="str">
        <f t="shared" si="55"/>
        <v>Apr'23</v>
      </c>
      <c r="H1202" s="140" t="str">
        <f>TEXT(RawData[[#This Row],[Date]], "YYYY")</f>
        <v>2023</v>
      </c>
      <c r="I1202" s="141" t="s">
        <v>32</v>
      </c>
      <c r="J1202" s="141" t="s">
        <v>90</v>
      </c>
      <c r="K1202" s="139">
        <f t="shared" si="56"/>
        <v>1</v>
      </c>
      <c r="L1202" s="142">
        <f>IF(RawData[[#This Row],[Paid/Unpaid]]="Paid", IF(VALUE($E1202)&gt;VALUE($D$3),$K1202* 10000,$K1202* 8000), 0)</f>
        <v>8000</v>
      </c>
      <c r="M1202" s="53" t="s">
        <v>146</v>
      </c>
    </row>
    <row r="1203" spans="1:13" ht="12.75" customHeight="1" x14ac:dyDescent="0.3">
      <c r="A1203" s="143" t="s">
        <v>16</v>
      </c>
      <c r="B1203" s="139" t="str">
        <f>IFERROR(VLOOKUP($A1203, NameDesignation[], 2,FALSE), " ")</f>
        <v>Former Director</v>
      </c>
      <c r="C1203" s="139" t="s">
        <v>29</v>
      </c>
      <c r="D1203" s="139">
        <v>481</v>
      </c>
      <c r="E1203" s="140">
        <v>45041</v>
      </c>
      <c r="F1203" s="139" t="str">
        <f t="shared" si="54"/>
        <v>Q2-23</v>
      </c>
      <c r="G1203" s="140" t="str">
        <f t="shared" si="55"/>
        <v>Apr'23</v>
      </c>
      <c r="H1203" s="140" t="str">
        <f>TEXT(RawData[[#This Row],[Date]], "YYYY")</f>
        <v>2023</v>
      </c>
      <c r="I1203" s="141" t="s">
        <v>32</v>
      </c>
      <c r="J1203" s="141" t="s">
        <v>90</v>
      </c>
      <c r="K1203" s="139">
        <f t="shared" si="56"/>
        <v>1</v>
      </c>
      <c r="L1203" s="142">
        <f>IF(RawData[[#This Row],[Paid/Unpaid]]="Paid", IF(VALUE($E1203)&gt;VALUE($D$3),$K1203* 10000,$K1203* 8000), 0)</f>
        <v>8000</v>
      </c>
      <c r="M1203" s="53" t="s">
        <v>146</v>
      </c>
    </row>
    <row r="1204" spans="1:13" ht="12.75" customHeight="1" x14ac:dyDescent="0.3">
      <c r="A1204" s="143" t="s">
        <v>21</v>
      </c>
      <c r="B1204" s="139" t="str">
        <f>IFERROR(VLOOKUP($A1204, NameDesignation[], 2,FALSE), " ")</f>
        <v>Former Independent Director</v>
      </c>
      <c r="C1204" s="139" t="s">
        <v>29</v>
      </c>
      <c r="D1204" s="139">
        <v>481</v>
      </c>
      <c r="E1204" s="140">
        <v>45041</v>
      </c>
      <c r="F1204" s="139" t="str">
        <f t="shared" si="54"/>
        <v>Q2-23</v>
      </c>
      <c r="G1204" s="140" t="str">
        <f t="shared" si="55"/>
        <v>Apr'23</v>
      </c>
      <c r="H1204" s="140" t="str">
        <f>TEXT(RawData[[#This Row],[Date]], "YYYY")</f>
        <v>2023</v>
      </c>
      <c r="I1204" s="141" t="s">
        <v>32</v>
      </c>
      <c r="J1204" s="141" t="s">
        <v>91</v>
      </c>
      <c r="K1204" s="139">
        <f t="shared" si="56"/>
        <v>0</v>
      </c>
      <c r="L1204" s="142">
        <f>IF(RawData[[#This Row],[Paid/Unpaid]]="Paid", IF(VALUE($E1204)&gt;VALUE($D$3),$K1204* 10000,$K1204* 8000), 0)</f>
        <v>0</v>
      </c>
      <c r="M1204" s="53" t="s">
        <v>146</v>
      </c>
    </row>
    <row r="1205" spans="1:13" ht="12.75" customHeight="1" x14ac:dyDescent="0.3">
      <c r="A1205" s="143" t="s">
        <v>17</v>
      </c>
      <c r="B1205" s="139" t="str">
        <f>IFERROR(VLOOKUP($A1205, NameDesignation[], 2,FALSE), " ")</f>
        <v>Former Independent Director</v>
      </c>
      <c r="C1205" s="139" t="s">
        <v>29</v>
      </c>
      <c r="D1205" s="139">
        <v>481</v>
      </c>
      <c r="E1205" s="140">
        <v>45041</v>
      </c>
      <c r="F1205" s="139" t="str">
        <f t="shared" si="54"/>
        <v>Q2-23</v>
      </c>
      <c r="G1205" s="140" t="str">
        <f t="shared" si="55"/>
        <v>Apr'23</v>
      </c>
      <c r="H1205" s="140" t="str">
        <f>TEXT(RawData[[#This Row],[Date]], "YYYY")</f>
        <v>2023</v>
      </c>
      <c r="I1205" s="141" t="s">
        <v>32</v>
      </c>
      <c r="J1205" s="141" t="s">
        <v>90</v>
      </c>
      <c r="K1205" s="139">
        <f t="shared" si="56"/>
        <v>1</v>
      </c>
      <c r="L1205" s="142">
        <f>IF(RawData[[#This Row],[Paid/Unpaid]]="Paid", IF(VALUE($E1205)&gt;VALUE($D$3),$K1205* 10000,$K1205* 8000), 0)</f>
        <v>8000</v>
      </c>
      <c r="M1205" s="53" t="s">
        <v>146</v>
      </c>
    </row>
    <row r="1206" spans="1:13" ht="12.75" customHeight="1" x14ac:dyDescent="0.3">
      <c r="A1206" s="143" t="s">
        <v>36</v>
      </c>
      <c r="B1206" s="139" t="str">
        <f>IFERROR(VLOOKUP($A1206, NameDesignation[], 2,FALSE), " ")</f>
        <v>Acting Managing Director &amp; CEO</v>
      </c>
      <c r="C1206" s="139" t="s">
        <v>29</v>
      </c>
      <c r="D1206" s="139">
        <v>481</v>
      </c>
      <c r="E1206" s="140">
        <v>45041</v>
      </c>
      <c r="F1206" s="139" t="str">
        <f t="shared" si="54"/>
        <v>Q2-23</v>
      </c>
      <c r="G1206" s="140" t="str">
        <f t="shared" si="55"/>
        <v>Apr'23</v>
      </c>
      <c r="H1206" s="140" t="str">
        <f>TEXT(RawData[[#This Row],[Date]], "YYYY")</f>
        <v>2023</v>
      </c>
      <c r="I1206" s="141" t="s">
        <v>32</v>
      </c>
      <c r="J1206" s="141" t="s">
        <v>90</v>
      </c>
      <c r="K1206" s="139">
        <f t="shared" si="56"/>
        <v>1</v>
      </c>
      <c r="L1206" s="142">
        <f>IF(RawData[[#This Row],[Paid/Unpaid]]="Paid", IF(VALUE($E1206)&gt;VALUE($D$3),$K1206* 10000,$K1206* 8000), 0)</f>
        <v>8000</v>
      </c>
      <c r="M1206" s="53" t="s">
        <v>146</v>
      </c>
    </row>
    <row r="1207" spans="1:13" ht="12.75" customHeight="1" x14ac:dyDescent="0.3">
      <c r="A1207" s="143" t="s">
        <v>20</v>
      </c>
      <c r="B1207" s="139" t="str">
        <f>IFERROR(VLOOKUP($A1207, NameDesignation[], 2,FALSE), " ")</f>
        <v>Former Independent Director</v>
      </c>
      <c r="C1207" s="139" t="s">
        <v>37</v>
      </c>
      <c r="D1207" s="139">
        <v>128</v>
      </c>
      <c r="E1207" s="140">
        <v>45041</v>
      </c>
      <c r="F1207" s="139" t="str">
        <f t="shared" si="54"/>
        <v>Q2-23</v>
      </c>
      <c r="G1207" s="140" t="str">
        <f t="shared" si="55"/>
        <v>Apr'23</v>
      </c>
      <c r="H1207" s="140" t="str">
        <f>TEXT(RawData[[#This Row],[Date]], "YYYY")</f>
        <v>2023</v>
      </c>
      <c r="I1207" s="141" t="s">
        <v>32</v>
      </c>
      <c r="J1207" s="141" t="s">
        <v>90</v>
      </c>
      <c r="K1207" s="139">
        <f t="shared" si="56"/>
        <v>1</v>
      </c>
      <c r="L1207" s="142">
        <f>IF(RawData[[#This Row],[Paid/Unpaid]]="Paid", IF(VALUE($E1207)&gt;VALUE($D$3),$K1207* 10000,$K1207* 8000), 0)</f>
        <v>8000</v>
      </c>
      <c r="M1207" s="53" t="s">
        <v>146</v>
      </c>
    </row>
    <row r="1208" spans="1:13" ht="12.75" customHeight="1" x14ac:dyDescent="0.3">
      <c r="A1208" s="143" t="s">
        <v>23</v>
      </c>
      <c r="B1208" s="139" t="str">
        <f>IFERROR(VLOOKUP($A1208, NameDesignation[], 2,FALSE), " ")</f>
        <v>Former Director</v>
      </c>
      <c r="C1208" s="139" t="s">
        <v>37</v>
      </c>
      <c r="D1208" s="139">
        <v>128</v>
      </c>
      <c r="E1208" s="140">
        <v>45041</v>
      </c>
      <c r="F1208" s="139" t="str">
        <f t="shared" si="54"/>
        <v>Q2-23</v>
      </c>
      <c r="G1208" s="140" t="str">
        <f t="shared" si="55"/>
        <v>Apr'23</v>
      </c>
      <c r="H1208" s="140" t="str">
        <f>TEXT(RawData[[#This Row],[Date]], "YYYY")</f>
        <v>2023</v>
      </c>
      <c r="I1208" s="141" t="s">
        <v>32</v>
      </c>
      <c r="J1208" s="141" t="s">
        <v>90</v>
      </c>
      <c r="K1208" s="139">
        <f t="shared" si="56"/>
        <v>1</v>
      </c>
      <c r="L1208" s="142">
        <f>IF(RawData[[#This Row],[Paid/Unpaid]]="Paid", IF(VALUE($E1208)&gt;VALUE($D$3),$K1208* 10000,$K1208* 8000), 0)</f>
        <v>8000</v>
      </c>
      <c r="M1208" s="53" t="s">
        <v>146</v>
      </c>
    </row>
    <row r="1209" spans="1:13" ht="12.75" customHeight="1" x14ac:dyDescent="0.3">
      <c r="A1209" s="143" t="s">
        <v>24</v>
      </c>
      <c r="B1209" s="139" t="str">
        <f>IFERROR(VLOOKUP($A1209, NameDesignation[], 2,FALSE), " ")</f>
        <v>Former Director</v>
      </c>
      <c r="C1209" s="139" t="s">
        <v>37</v>
      </c>
      <c r="D1209" s="139">
        <v>128</v>
      </c>
      <c r="E1209" s="140">
        <v>45041</v>
      </c>
      <c r="F1209" s="139" t="str">
        <f t="shared" si="54"/>
        <v>Q2-23</v>
      </c>
      <c r="G1209" s="140" t="str">
        <f t="shared" si="55"/>
        <v>Apr'23</v>
      </c>
      <c r="H1209" s="140" t="str">
        <f>TEXT(RawData[[#This Row],[Date]], "YYYY")</f>
        <v>2023</v>
      </c>
      <c r="I1209" s="141" t="s">
        <v>32</v>
      </c>
      <c r="J1209" s="141" t="s">
        <v>90</v>
      </c>
      <c r="K1209" s="139">
        <f t="shared" si="56"/>
        <v>1</v>
      </c>
      <c r="L1209" s="142">
        <f>IF(RawData[[#This Row],[Paid/Unpaid]]="Paid", IF(VALUE($E1209)&gt;VALUE($D$3),$K1209* 10000,$K1209* 8000), 0)</f>
        <v>8000</v>
      </c>
      <c r="M1209" s="53" t="s">
        <v>146</v>
      </c>
    </row>
    <row r="1210" spans="1:13" ht="12.75" customHeight="1" x14ac:dyDescent="0.3">
      <c r="A1210" s="143" t="s">
        <v>21</v>
      </c>
      <c r="B1210" s="139" t="str">
        <f>IFERROR(VLOOKUP($A1210, NameDesignation[], 2,FALSE), " ")</f>
        <v>Former Independent Director</v>
      </c>
      <c r="C1210" s="139" t="s">
        <v>37</v>
      </c>
      <c r="D1210" s="139">
        <v>128</v>
      </c>
      <c r="E1210" s="140">
        <v>45041</v>
      </c>
      <c r="F1210" s="139" t="str">
        <f t="shared" si="54"/>
        <v>Q2-23</v>
      </c>
      <c r="G1210" s="140" t="str">
        <f t="shared" si="55"/>
        <v>Apr'23</v>
      </c>
      <c r="H1210" s="140" t="str">
        <f>TEXT(RawData[[#This Row],[Date]], "YYYY")</f>
        <v>2023</v>
      </c>
      <c r="I1210" s="141" t="s">
        <v>32</v>
      </c>
      <c r="J1210" s="141" t="s">
        <v>90</v>
      </c>
      <c r="K1210" s="139">
        <f t="shared" si="56"/>
        <v>1</v>
      </c>
      <c r="L1210" s="142">
        <f>IF(RawData[[#This Row],[Paid/Unpaid]]="Paid", IF(VALUE($E1210)&gt;VALUE($D$3),$K1210* 10000,$K1210* 8000), 0)</f>
        <v>8000</v>
      </c>
      <c r="M1210" s="53" t="s">
        <v>146</v>
      </c>
    </row>
    <row r="1211" spans="1:13" ht="12.75" customHeight="1" x14ac:dyDescent="0.3">
      <c r="A1211" s="143" t="s">
        <v>15</v>
      </c>
      <c r="B1211" s="139" t="str">
        <f>IFERROR(VLOOKUP($A1211, NameDesignation[], 2,FALSE), " ")</f>
        <v>Former Director</v>
      </c>
      <c r="C1211" s="139" t="s">
        <v>37</v>
      </c>
      <c r="D1211" s="139">
        <v>128</v>
      </c>
      <c r="E1211" s="140">
        <v>45041</v>
      </c>
      <c r="F1211" s="139" t="str">
        <f t="shared" si="54"/>
        <v>Q2-23</v>
      </c>
      <c r="G1211" s="140" t="str">
        <f t="shared" si="55"/>
        <v>Apr'23</v>
      </c>
      <c r="H1211" s="140" t="str">
        <f>TEXT(RawData[[#This Row],[Date]], "YYYY")</f>
        <v>2023</v>
      </c>
      <c r="I1211" s="141" t="s">
        <v>32</v>
      </c>
      <c r="J1211" s="141" t="s">
        <v>90</v>
      </c>
      <c r="K1211" s="139">
        <f t="shared" si="56"/>
        <v>1</v>
      </c>
      <c r="L1211" s="142">
        <f>IF(RawData[[#This Row],[Paid/Unpaid]]="Paid", IF(VALUE($E1211)&gt;VALUE($D$3),$K1211* 10000,$K1211* 8000), 0)</f>
        <v>8000</v>
      </c>
      <c r="M1211" s="53" t="s">
        <v>146</v>
      </c>
    </row>
    <row r="1212" spans="1:13" ht="12.75" customHeight="1" x14ac:dyDescent="0.3">
      <c r="A1212" s="143" t="s">
        <v>7</v>
      </c>
      <c r="B1212" s="139" t="str">
        <f>IFERROR(VLOOKUP($A1212, NameDesignation[], 2,FALSE), " ")</f>
        <v>Former Director</v>
      </c>
      <c r="C1212" s="139" t="s">
        <v>29</v>
      </c>
      <c r="D1212" s="139">
        <v>482</v>
      </c>
      <c r="E1212" s="140">
        <v>45060</v>
      </c>
      <c r="F1212" s="139" t="str">
        <f t="shared" si="54"/>
        <v>Q2-23</v>
      </c>
      <c r="G1212" s="140" t="str">
        <f t="shared" si="55"/>
        <v>May'23</v>
      </c>
      <c r="H1212" s="140" t="str">
        <f>TEXT(RawData[[#This Row],[Date]], "YYYY")</f>
        <v>2023</v>
      </c>
      <c r="I1212" s="141" t="s">
        <v>32</v>
      </c>
      <c r="J1212" s="141" t="s">
        <v>91</v>
      </c>
      <c r="K1212" s="139">
        <f t="shared" si="56"/>
        <v>0</v>
      </c>
      <c r="L1212" s="142">
        <f>IF(RawData[[#This Row],[Paid/Unpaid]]="Paid", IF(VALUE($E1212)&gt;VALUE($D$3),$K1212* 10000,$K1212* 8000), 0)</f>
        <v>0</v>
      </c>
      <c r="M1212" s="53" t="s">
        <v>146</v>
      </c>
    </row>
    <row r="1213" spans="1:13" ht="12.75" customHeight="1" x14ac:dyDescent="0.3">
      <c r="A1213" s="143" t="s">
        <v>8</v>
      </c>
      <c r="B1213" s="139" t="str">
        <f>IFERROR(VLOOKUP($A1213, NameDesignation[], 2,FALSE), " ")</f>
        <v>Former Vice-Chairman</v>
      </c>
      <c r="C1213" s="139" t="s">
        <v>29</v>
      </c>
      <c r="D1213" s="139">
        <v>482</v>
      </c>
      <c r="E1213" s="140">
        <v>45060</v>
      </c>
      <c r="F1213" s="139" t="str">
        <f t="shared" si="54"/>
        <v>Q2-23</v>
      </c>
      <c r="G1213" s="140" t="str">
        <f t="shared" si="55"/>
        <v>May'23</v>
      </c>
      <c r="H1213" s="140" t="str">
        <f>TEXT(RawData[[#This Row],[Date]], "YYYY")</f>
        <v>2023</v>
      </c>
      <c r="I1213" s="141" t="s">
        <v>32</v>
      </c>
      <c r="J1213" s="141" t="s">
        <v>90</v>
      </c>
      <c r="K1213" s="139">
        <f t="shared" si="56"/>
        <v>1</v>
      </c>
      <c r="L1213" s="142">
        <f>IF(RawData[[#This Row],[Paid/Unpaid]]="Paid", IF(VALUE($E1213)&gt;VALUE($D$3),$K1213* 10000,$K1213* 8000), 0)</f>
        <v>8000</v>
      </c>
      <c r="M1213" s="53" t="s">
        <v>146</v>
      </c>
    </row>
    <row r="1214" spans="1:13" ht="12.75" customHeight="1" x14ac:dyDescent="0.3">
      <c r="A1214" s="143" t="s">
        <v>9</v>
      </c>
      <c r="B1214" s="139" t="str">
        <f>IFERROR(VLOOKUP($A1214, NameDesignation[], 2,FALSE), " ")</f>
        <v>Former Director</v>
      </c>
      <c r="C1214" s="139" t="s">
        <v>29</v>
      </c>
      <c r="D1214" s="139">
        <v>482</v>
      </c>
      <c r="E1214" s="140">
        <v>45060</v>
      </c>
      <c r="F1214" s="139" t="str">
        <f t="shared" si="54"/>
        <v>Q2-23</v>
      </c>
      <c r="G1214" s="140" t="str">
        <f t="shared" si="55"/>
        <v>May'23</v>
      </c>
      <c r="H1214" s="140" t="str">
        <f>TEXT(RawData[[#This Row],[Date]], "YYYY")</f>
        <v>2023</v>
      </c>
      <c r="I1214" s="141" t="s">
        <v>32</v>
      </c>
      <c r="J1214" s="141" t="s">
        <v>90</v>
      </c>
      <c r="K1214" s="139">
        <f t="shared" si="56"/>
        <v>1</v>
      </c>
      <c r="L1214" s="142">
        <f>IF(RawData[[#This Row],[Paid/Unpaid]]="Paid", IF(VALUE($E1214)&gt;VALUE($D$3),$K1214* 10000,$K1214* 8000), 0)</f>
        <v>8000</v>
      </c>
      <c r="M1214" s="53" t="s">
        <v>146</v>
      </c>
    </row>
    <row r="1215" spans="1:13" ht="12.75" customHeight="1" x14ac:dyDescent="0.3">
      <c r="A1215" s="143" t="s">
        <v>20</v>
      </c>
      <c r="B1215" s="139" t="str">
        <f>IFERROR(VLOOKUP($A1215, NameDesignation[], 2,FALSE), " ")</f>
        <v>Former Independent Director</v>
      </c>
      <c r="C1215" s="139" t="s">
        <v>29</v>
      </c>
      <c r="D1215" s="139">
        <v>482</v>
      </c>
      <c r="E1215" s="140">
        <v>45060</v>
      </c>
      <c r="F1215" s="139" t="str">
        <f t="shared" si="54"/>
        <v>Q2-23</v>
      </c>
      <c r="G1215" s="140" t="str">
        <f t="shared" si="55"/>
        <v>May'23</v>
      </c>
      <c r="H1215" s="140" t="str">
        <f>TEXT(RawData[[#This Row],[Date]], "YYYY")</f>
        <v>2023</v>
      </c>
      <c r="I1215" s="141" t="s">
        <v>32</v>
      </c>
      <c r="J1215" s="141" t="s">
        <v>90</v>
      </c>
      <c r="K1215" s="139">
        <f t="shared" si="56"/>
        <v>1</v>
      </c>
      <c r="L1215" s="142">
        <f>IF(RawData[[#This Row],[Paid/Unpaid]]="Paid", IF(VALUE($E1215)&gt;VALUE($D$3),$K1215* 10000,$K1215* 8000), 0)</f>
        <v>8000</v>
      </c>
      <c r="M1215" s="53" t="s">
        <v>146</v>
      </c>
    </row>
    <row r="1216" spans="1:13" ht="12.75" customHeight="1" x14ac:dyDescent="0.3">
      <c r="A1216" s="143" t="s">
        <v>49</v>
      </c>
      <c r="B1216" s="139" t="str">
        <f>IFERROR(VLOOKUP($A1216, NameDesignation[], 2,FALSE), " ")</f>
        <v>Former Director</v>
      </c>
      <c r="C1216" s="139" t="s">
        <v>29</v>
      </c>
      <c r="D1216" s="139">
        <v>482</v>
      </c>
      <c r="E1216" s="140">
        <v>45060</v>
      </c>
      <c r="F1216" s="139" t="str">
        <f t="shared" si="54"/>
        <v>Q2-23</v>
      </c>
      <c r="G1216" s="140" t="str">
        <f t="shared" si="55"/>
        <v>May'23</v>
      </c>
      <c r="H1216" s="140" t="str">
        <f>TEXT(RawData[[#This Row],[Date]], "YYYY")</f>
        <v>2023</v>
      </c>
      <c r="I1216" s="141" t="s">
        <v>32</v>
      </c>
      <c r="J1216" s="141" t="s">
        <v>91</v>
      </c>
      <c r="K1216" s="139">
        <f t="shared" si="56"/>
        <v>0</v>
      </c>
      <c r="L1216" s="142">
        <f>IF(RawData[[#This Row],[Paid/Unpaid]]="Paid", IF(VALUE($E1216)&gt;VALUE($D$3),$K1216* 10000,$K1216* 8000), 0)</f>
        <v>0</v>
      </c>
      <c r="M1216" s="53" t="s">
        <v>146</v>
      </c>
    </row>
    <row r="1217" spans="1:13" ht="12.75" customHeight="1" x14ac:dyDescent="0.3">
      <c r="A1217" s="143" t="s">
        <v>11</v>
      </c>
      <c r="B1217" s="139" t="str">
        <f>IFERROR(VLOOKUP($A1217, NameDesignation[], 2,FALSE), " ")</f>
        <v>Former Director</v>
      </c>
      <c r="C1217" s="139" t="s">
        <v>29</v>
      </c>
      <c r="D1217" s="139">
        <v>482</v>
      </c>
      <c r="E1217" s="140">
        <v>45060</v>
      </c>
      <c r="F1217" s="139" t="str">
        <f t="shared" si="54"/>
        <v>Q2-23</v>
      </c>
      <c r="G1217" s="140" t="str">
        <f t="shared" si="55"/>
        <v>May'23</v>
      </c>
      <c r="H1217" s="140" t="str">
        <f>TEXT(RawData[[#This Row],[Date]], "YYYY")</f>
        <v>2023</v>
      </c>
      <c r="I1217" s="141" t="s">
        <v>32</v>
      </c>
      <c r="J1217" s="141" t="s">
        <v>90</v>
      </c>
      <c r="K1217" s="139">
        <f t="shared" si="56"/>
        <v>1</v>
      </c>
      <c r="L1217" s="142">
        <f>IF(RawData[[#This Row],[Paid/Unpaid]]="Paid", IF(VALUE($E1217)&gt;VALUE($D$3),$K1217* 10000,$K1217* 8000), 0)</f>
        <v>8000</v>
      </c>
      <c r="M1217" s="53" t="s">
        <v>146</v>
      </c>
    </row>
    <row r="1218" spans="1:13" ht="12.75" customHeight="1" x14ac:dyDescent="0.3">
      <c r="A1218" s="143" t="s">
        <v>12</v>
      </c>
      <c r="B1218" s="139" t="str">
        <f>IFERROR(VLOOKUP($A1218, NameDesignation[], 2,FALSE), " ")</f>
        <v>Former Director</v>
      </c>
      <c r="C1218" s="139" t="s">
        <v>29</v>
      </c>
      <c r="D1218" s="139">
        <v>482</v>
      </c>
      <c r="E1218" s="140">
        <v>45060</v>
      </c>
      <c r="F1218" s="139" t="str">
        <f t="shared" si="54"/>
        <v>Q2-23</v>
      </c>
      <c r="G1218" s="140" t="str">
        <f t="shared" si="55"/>
        <v>May'23</v>
      </c>
      <c r="H1218" s="140" t="str">
        <f>TEXT(RawData[[#This Row],[Date]], "YYYY")</f>
        <v>2023</v>
      </c>
      <c r="I1218" s="141" t="s">
        <v>32</v>
      </c>
      <c r="J1218" s="141" t="s">
        <v>90</v>
      </c>
      <c r="K1218" s="139">
        <f t="shared" si="56"/>
        <v>1</v>
      </c>
      <c r="L1218" s="142">
        <f>IF(RawData[[#This Row],[Paid/Unpaid]]="Paid", IF(VALUE($E1218)&gt;VALUE($D$3),$K1218* 10000,$K1218* 8000), 0)</f>
        <v>8000</v>
      </c>
      <c r="M1218" s="53" t="s">
        <v>146</v>
      </c>
    </row>
    <row r="1219" spans="1:13" ht="12.75" customHeight="1" x14ac:dyDescent="0.3">
      <c r="A1219" s="143" t="s">
        <v>137</v>
      </c>
      <c r="B1219" s="139" t="str">
        <f>IFERROR(VLOOKUP($A1219, NameDesignation[], 2,FALSE), " ")</f>
        <v>Former Director</v>
      </c>
      <c r="C1219" s="139" t="s">
        <v>29</v>
      </c>
      <c r="D1219" s="139">
        <v>482</v>
      </c>
      <c r="E1219" s="140">
        <v>45060</v>
      </c>
      <c r="F1219" s="139" t="str">
        <f t="shared" si="54"/>
        <v>Q2-23</v>
      </c>
      <c r="G1219" s="140" t="str">
        <f t="shared" si="55"/>
        <v>May'23</v>
      </c>
      <c r="H1219" s="140" t="str">
        <f>TEXT(RawData[[#This Row],[Date]], "YYYY")</f>
        <v>2023</v>
      </c>
      <c r="I1219" s="141" t="s">
        <v>32</v>
      </c>
      <c r="J1219" s="141" t="s">
        <v>90</v>
      </c>
      <c r="K1219" s="139">
        <f t="shared" si="56"/>
        <v>1</v>
      </c>
      <c r="L1219" s="142">
        <f>IF(RawData[[#This Row],[Paid/Unpaid]]="Paid", IF(VALUE($E1219)&gt;VALUE($D$3),$K1219* 10000,$K1219* 8000), 0)</f>
        <v>8000</v>
      </c>
      <c r="M1219" s="53" t="s">
        <v>146</v>
      </c>
    </row>
    <row r="1220" spans="1:13" ht="12.75" customHeight="1" x14ac:dyDescent="0.3">
      <c r="A1220" s="143" t="s">
        <v>13</v>
      </c>
      <c r="B1220" s="139" t="str">
        <f>IFERROR(VLOOKUP($A1220, NameDesignation[], 2,FALSE), " ")</f>
        <v>Former Director</v>
      </c>
      <c r="C1220" s="139" t="s">
        <v>29</v>
      </c>
      <c r="D1220" s="139">
        <v>482</v>
      </c>
      <c r="E1220" s="140">
        <v>45060</v>
      </c>
      <c r="F1220" s="139" t="str">
        <f t="shared" si="54"/>
        <v>Q2-23</v>
      </c>
      <c r="G1220" s="140" t="str">
        <f t="shared" si="55"/>
        <v>May'23</v>
      </c>
      <c r="H1220" s="140" t="str">
        <f>TEXT(RawData[[#This Row],[Date]], "YYYY")</f>
        <v>2023</v>
      </c>
      <c r="I1220" s="141" t="s">
        <v>32</v>
      </c>
      <c r="J1220" s="141" t="s">
        <v>90</v>
      </c>
      <c r="K1220" s="139">
        <f t="shared" si="56"/>
        <v>1</v>
      </c>
      <c r="L1220" s="142">
        <f>IF(RawData[[#This Row],[Paid/Unpaid]]="Paid", IF(VALUE($E1220)&gt;VALUE($D$3),$K1220* 10000,$K1220* 8000), 0)</f>
        <v>8000</v>
      </c>
      <c r="M1220" s="53" t="s">
        <v>146</v>
      </c>
    </row>
    <row r="1221" spans="1:13" ht="12.75" customHeight="1" x14ac:dyDescent="0.3">
      <c r="A1221" s="143" t="s">
        <v>61</v>
      </c>
      <c r="B1221" s="139" t="str">
        <f>IFERROR(VLOOKUP($A1221, NameDesignation[], 2,FALSE), " ")</f>
        <v>Former Director</v>
      </c>
      <c r="C1221" s="139" t="s">
        <v>29</v>
      </c>
      <c r="D1221" s="139">
        <v>482</v>
      </c>
      <c r="E1221" s="140">
        <v>45060</v>
      </c>
      <c r="F1221" s="139" t="str">
        <f t="shared" si="54"/>
        <v>Q2-23</v>
      </c>
      <c r="G1221" s="140" t="str">
        <f t="shared" si="55"/>
        <v>May'23</v>
      </c>
      <c r="H1221" s="140" t="str">
        <f>TEXT(RawData[[#This Row],[Date]], "YYYY")</f>
        <v>2023</v>
      </c>
      <c r="I1221" s="141" t="s">
        <v>32</v>
      </c>
      <c r="J1221" s="141" t="s">
        <v>90</v>
      </c>
      <c r="K1221" s="139">
        <f t="shared" si="56"/>
        <v>1</v>
      </c>
      <c r="L1221" s="142">
        <f>IF(RawData[[#This Row],[Paid/Unpaid]]="Paid", IF(VALUE($E1221)&gt;VALUE($D$3),$K1221* 10000,$K1221* 8000), 0)</f>
        <v>8000</v>
      </c>
      <c r="M1221" s="53" t="s">
        <v>146</v>
      </c>
    </row>
    <row r="1222" spans="1:13" ht="12.75" customHeight="1" x14ac:dyDescent="0.3">
      <c r="A1222" s="143" t="s">
        <v>14</v>
      </c>
      <c r="B1222" s="139" t="str">
        <f>IFERROR(VLOOKUP($A1222, NameDesignation[], 2,FALSE), " ")</f>
        <v>Former Director</v>
      </c>
      <c r="C1222" s="139" t="s">
        <v>29</v>
      </c>
      <c r="D1222" s="139">
        <v>482</v>
      </c>
      <c r="E1222" s="140">
        <v>45060</v>
      </c>
      <c r="F1222" s="139" t="str">
        <f t="shared" ref="F1222:F1285" si="57">CONCATENATE("Q", ROUNDUP(MONTH($E1222)/3,0),"-",TEXT($E1222, "yy"))</f>
        <v>Q2-23</v>
      </c>
      <c r="G1222" s="140" t="str">
        <f t="shared" ref="G1222:G1285" si="58">CONCATENATE(TEXT($E1222, "mmm"),"'", TEXT($E1222, "yy"))</f>
        <v>May'23</v>
      </c>
      <c r="H1222" s="140" t="str">
        <f>TEXT(RawData[[#This Row],[Date]], "YYYY")</f>
        <v>2023</v>
      </c>
      <c r="I1222" s="141" t="s">
        <v>32</v>
      </c>
      <c r="J1222" s="141" t="s">
        <v>90</v>
      </c>
      <c r="K1222" s="139">
        <f t="shared" ref="K1222:K1285" si="59">IF($J1222="Present", 1, 0)</f>
        <v>1</v>
      </c>
      <c r="L1222" s="142">
        <f>IF(RawData[[#This Row],[Paid/Unpaid]]="Paid", IF(VALUE($E1222)&gt;VALUE($D$3),$K1222* 10000,$K1222* 8000), 0)</f>
        <v>8000</v>
      </c>
      <c r="M1222" s="53" t="s">
        <v>146</v>
      </c>
    </row>
    <row r="1223" spans="1:13" ht="12.75" customHeight="1" x14ac:dyDescent="0.3">
      <c r="A1223" s="143" t="s">
        <v>23</v>
      </c>
      <c r="B1223" s="139" t="str">
        <f>IFERROR(VLOOKUP($A1223, NameDesignation[], 2,FALSE), " ")</f>
        <v>Former Director</v>
      </c>
      <c r="C1223" s="139" t="s">
        <v>29</v>
      </c>
      <c r="D1223" s="139">
        <v>482</v>
      </c>
      <c r="E1223" s="140">
        <v>45060</v>
      </c>
      <c r="F1223" s="139" t="str">
        <f t="shared" si="57"/>
        <v>Q2-23</v>
      </c>
      <c r="G1223" s="140" t="str">
        <f t="shared" si="58"/>
        <v>May'23</v>
      </c>
      <c r="H1223" s="140" t="str">
        <f>TEXT(RawData[[#This Row],[Date]], "YYYY")</f>
        <v>2023</v>
      </c>
      <c r="I1223" s="141" t="s">
        <v>32</v>
      </c>
      <c r="J1223" s="141" t="s">
        <v>90</v>
      </c>
      <c r="K1223" s="139">
        <f t="shared" si="59"/>
        <v>1</v>
      </c>
      <c r="L1223" s="142">
        <f>IF(RawData[[#This Row],[Paid/Unpaid]]="Paid", IF(VALUE($E1223)&gt;VALUE($D$3),$K1223* 10000,$K1223* 8000), 0)</f>
        <v>8000</v>
      </c>
      <c r="M1223" s="53" t="s">
        <v>146</v>
      </c>
    </row>
    <row r="1224" spans="1:13" ht="12.75" customHeight="1" x14ac:dyDescent="0.3">
      <c r="A1224" s="143" t="s">
        <v>24</v>
      </c>
      <c r="B1224" s="139" t="str">
        <f>IFERROR(VLOOKUP($A1224, NameDesignation[], 2,FALSE), " ")</f>
        <v>Former Director</v>
      </c>
      <c r="C1224" s="139" t="s">
        <v>29</v>
      </c>
      <c r="D1224" s="139">
        <v>482</v>
      </c>
      <c r="E1224" s="140">
        <v>45060</v>
      </c>
      <c r="F1224" s="139" t="str">
        <f t="shared" si="57"/>
        <v>Q2-23</v>
      </c>
      <c r="G1224" s="140" t="str">
        <f t="shared" si="58"/>
        <v>May'23</v>
      </c>
      <c r="H1224" s="140" t="str">
        <f>TEXT(RawData[[#This Row],[Date]], "YYYY")</f>
        <v>2023</v>
      </c>
      <c r="I1224" s="141" t="s">
        <v>32</v>
      </c>
      <c r="J1224" s="141" t="s">
        <v>90</v>
      </c>
      <c r="K1224" s="139">
        <f t="shared" si="59"/>
        <v>1</v>
      </c>
      <c r="L1224" s="142">
        <f>IF(RawData[[#This Row],[Paid/Unpaid]]="Paid", IF(VALUE($E1224)&gt;VALUE($D$3),$K1224* 10000,$K1224* 8000), 0)</f>
        <v>8000</v>
      </c>
      <c r="M1224" s="53" t="s">
        <v>146</v>
      </c>
    </row>
    <row r="1225" spans="1:13" ht="12.75" customHeight="1" x14ac:dyDescent="0.3">
      <c r="A1225" s="143" t="s">
        <v>15</v>
      </c>
      <c r="B1225" s="139" t="str">
        <f>IFERROR(VLOOKUP($A1225, NameDesignation[], 2,FALSE), " ")</f>
        <v>Former Director</v>
      </c>
      <c r="C1225" s="139" t="s">
        <v>29</v>
      </c>
      <c r="D1225" s="139">
        <v>482</v>
      </c>
      <c r="E1225" s="140">
        <v>45060</v>
      </c>
      <c r="F1225" s="139" t="str">
        <f t="shared" si="57"/>
        <v>Q2-23</v>
      </c>
      <c r="G1225" s="140" t="str">
        <f t="shared" si="58"/>
        <v>May'23</v>
      </c>
      <c r="H1225" s="140" t="str">
        <f>TEXT(RawData[[#This Row],[Date]], "YYYY")</f>
        <v>2023</v>
      </c>
      <c r="I1225" s="141" t="s">
        <v>32</v>
      </c>
      <c r="J1225" s="141" t="s">
        <v>90</v>
      </c>
      <c r="K1225" s="139">
        <f t="shared" si="59"/>
        <v>1</v>
      </c>
      <c r="L1225" s="142">
        <f>IF(RawData[[#This Row],[Paid/Unpaid]]="Paid", IF(VALUE($E1225)&gt;VALUE($D$3),$K1225* 10000,$K1225* 8000), 0)</f>
        <v>8000</v>
      </c>
      <c r="M1225" s="53" t="s">
        <v>146</v>
      </c>
    </row>
    <row r="1226" spans="1:13" ht="12.75" customHeight="1" x14ac:dyDescent="0.3">
      <c r="A1226" s="143" t="s">
        <v>16</v>
      </c>
      <c r="B1226" s="139" t="str">
        <f>IFERROR(VLOOKUP($A1226, NameDesignation[], 2,FALSE), " ")</f>
        <v>Former Director</v>
      </c>
      <c r="C1226" s="139" t="s">
        <v>29</v>
      </c>
      <c r="D1226" s="139">
        <v>482</v>
      </c>
      <c r="E1226" s="140">
        <v>45060</v>
      </c>
      <c r="F1226" s="139" t="str">
        <f t="shared" si="57"/>
        <v>Q2-23</v>
      </c>
      <c r="G1226" s="140" t="str">
        <f t="shared" si="58"/>
        <v>May'23</v>
      </c>
      <c r="H1226" s="140" t="str">
        <f>TEXT(RawData[[#This Row],[Date]], "YYYY")</f>
        <v>2023</v>
      </c>
      <c r="I1226" s="141" t="s">
        <v>32</v>
      </c>
      <c r="J1226" s="141" t="s">
        <v>90</v>
      </c>
      <c r="K1226" s="139">
        <f t="shared" si="59"/>
        <v>1</v>
      </c>
      <c r="L1226" s="142">
        <f>IF(RawData[[#This Row],[Paid/Unpaid]]="Paid", IF(VALUE($E1226)&gt;VALUE($D$3),$K1226* 10000,$K1226* 8000), 0)</f>
        <v>8000</v>
      </c>
      <c r="M1226" s="53" t="s">
        <v>146</v>
      </c>
    </row>
    <row r="1227" spans="1:13" ht="12.75" customHeight="1" x14ac:dyDescent="0.3">
      <c r="A1227" s="143" t="s">
        <v>21</v>
      </c>
      <c r="B1227" s="139" t="str">
        <f>IFERROR(VLOOKUP($A1227, NameDesignation[], 2,FALSE), " ")</f>
        <v>Former Independent Director</v>
      </c>
      <c r="C1227" s="139" t="s">
        <v>29</v>
      </c>
      <c r="D1227" s="139">
        <v>482</v>
      </c>
      <c r="E1227" s="140">
        <v>45060</v>
      </c>
      <c r="F1227" s="139" t="str">
        <f t="shared" si="57"/>
        <v>Q2-23</v>
      </c>
      <c r="G1227" s="140" t="str">
        <f t="shared" si="58"/>
        <v>May'23</v>
      </c>
      <c r="H1227" s="140" t="str">
        <f>TEXT(RawData[[#This Row],[Date]], "YYYY")</f>
        <v>2023</v>
      </c>
      <c r="I1227" s="141" t="s">
        <v>32</v>
      </c>
      <c r="J1227" s="141" t="s">
        <v>90</v>
      </c>
      <c r="K1227" s="139">
        <f t="shared" si="59"/>
        <v>1</v>
      </c>
      <c r="L1227" s="142">
        <f>IF(RawData[[#This Row],[Paid/Unpaid]]="Paid", IF(VALUE($E1227)&gt;VALUE($D$3),$K1227* 10000,$K1227* 8000), 0)</f>
        <v>8000</v>
      </c>
      <c r="M1227" s="53" t="s">
        <v>146</v>
      </c>
    </row>
    <row r="1228" spans="1:13" ht="12.75" customHeight="1" x14ac:dyDescent="0.3">
      <c r="A1228" s="143" t="s">
        <v>17</v>
      </c>
      <c r="B1228" s="139" t="str">
        <f>IFERROR(VLOOKUP($A1228, NameDesignation[], 2,FALSE), " ")</f>
        <v>Former Independent Director</v>
      </c>
      <c r="C1228" s="139" t="s">
        <v>29</v>
      </c>
      <c r="D1228" s="139">
        <v>482</v>
      </c>
      <c r="E1228" s="140">
        <v>45060</v>
      </c>
      <c r="F1228" s="139" t="str">
        <f t="shared" si="57"/>
        <v>Q2-23</v>
      </c>
      <c r="G1228" s="140" t="str">
        <f t="shared" si="58"/>
        <v>May'23</v>
      </c>
      <c r="H1228" s="140" t="str">
        <f>TEXT(RawData[[#This Row],[Date]], "YYYY")</f>
        <v>2023</v>
      </c>
      <c r="I1228" s="141" t="s">
        <v>32</v>
      </c>
      <c r="J1228" s="141" t="s">
        <v>90</v>
      </c>
      <c r="K1228" s="139">
        <f t="shared" si="59"/>
        <v>1</v>
      </c>
      <c r="L1228" s="142">
        <f>IF(RawData[[#This Row],[Paid/Unpaid]]="Paid", IF(VALUE($E1228)&gt;VALUE($D$3),$K1228* 10000,$K1228* 8000), 0)</f>
        <v>8000</v>
      </c>
      <c r="M1228" s="53" t="s">
        <v>146</v>
      </c>
    </row>
    <row r="1229" spans="1:13" ht="12.75" customHeight="1" x14ac:dyDescent="0.3">
      <c r="A1229" s="143" t="s">
        <v>36</v>
      </c>
      <c r="B1229" s="139" t="str">
        <f>IFERROR(VLOOKUP($A1229, NameDesignation[], 2,FALSE), " ")</f>
        <v>Acting Managing Director &amp; CEO</v>
      </c>
      <c r="C1229" s="139" t="s">
        <v>29</v>
      </c>
      <c r="D1229" s="139">
        <v>482</v>
      </c>
      <c r="E1229" s="140">
        <v>45060</v>
      </c>
      <c r="F1229" s="139" t="str">
        <f t="shared" si="57"/>
        <v>Q2-23</v>
      </c>
      <c r="G1229" s="140" t="str">
        <f t="shared" si="58"/>
        <v>May'23</v>
      </c>
      <c r="H1229" s="140" t="str">
        <f>TEXT(RawData[[#This Row],[Date]], "YYYY")</f>
        <v>2023</v>
      </c>
      <c r="I1229" s="141" t="s">
        <v>32</v>
      </c>
      <c r="J1229" s="141" t="s">
        <v>90</v>
      </c>
      <c r="K1229" s="139">
        <f t="shared" si="59"/>
        <v>1</v>
      </c>
      <c r="L1229" s="142">
        <f>IF(RawData[[#This Row],[Paid/Unpaid]]="Paid", IF(VALUE($E1229)&gt;VALUE($D$3),$K1229* 10000,$K1229* 8000), 0)</f>
        <v>8000</v>
      </c>
      <c r="M1229" s="53" t="s">
        <v>146</v>
      </c>
    </row>
    <row r="1230" spans="1:13" ht="12.75" customHeight="1" x14ac:dyDescent="0.3">
      <c r="A1230" s="143" t="s">
        <v>20</v>
      </c>
      <c r="B1230" s="139" t="str">
        <f>IFERROR(VLOOKUP($A1230, NameDesignation[], 2,FALSE), " ")</f>
        <v>Former Independent Director</v>
      </c>
      <c r="C1230" s="139" t="s">
        <v>37</v>
      </c>
      <c r="D1230" s="139">
        <v>129</v>
      </c>
      <c r="E1230" s="140">
        <v>45060</v>
      </c>
      <c r="F1230" s="139" t="str">
        <f t="shared" si="57"/>
        <v>Q2-23</v>
      </c>
      <c r="G1230" s="140" t="str">
        <f t="shared" si="58"/>
        <v>May'23</v>
      </c>
      <c r="H1230" s="140" t="str">
        <f>TEXT(RawData[[#This Row],[Date]], "YYYY")</f>
        <v>2023</v>
      </c>
      <c r="I1230" s="141" t="s">
        <v>32</v>
      </c>
      <c r="J1230" s="141" t="s">
        <v>90</v>
      </c>
      <c r="K1230" s="139">
        <f t="shared" si="59"/>
        <v>1</v>
      </c>
      <c r="L1230" s="142">
        <f>IF(RawData[[#This Row],[Paid/Unpaid]]="Paid", IF(VALUE($E1230)&gt;VALUE($D$3),$K1230* 10000,$K1230* 8000), 0)</f>
        <v>8000</v>
      </c>
      <c r="M1230" s="53" t="s">
        <v>146</v>
      </c>
    </row>
    <row r="1231" spans="1:13" ht="12.75" customHeight="1" x14ac:dyDescent="0.3">
      <c r="A1231" s="143" t="s">
        <v>23</v>
      </c>
      <c r="B1231" s="139" t="str">
        <f>IFERROR(VLOOKUP($A1231, NameDesignation[], 2,FALSE), " ")</f>
        <v>Former Director</v>
      </c>
      <c r="C1231" s="139" t="s">
        <v>37</v>
      </c>
      <c r="D1231" s="139">
        <v>129</v>
      </c>
      <c r="E1231" s="140">
        <v>45060</v>
      </c>
      <c r="F1231" s="139" t="str">
        <f t="shared" si="57"/>
        <v>Q2-23</v>
      </c>
      <c r="G1231" s="140" t="str">
        <f t="shared" si="58"/>
        <v>May'23</v>
      </c>
      <c r="H1231" s="140" t="str">
        <f>TEXT(RawData[[#This Row],[Date]], "YYYY")</f>
        <v>2023</v>
      </c>
      <c r="I1231" s="141" t="s">
        <v>32</v>
      </c>
      <c r="J1231" s="141" t="s">
        <v>90</v>
      </c>
      <c r="K1231" s="139">
        <f t="shared" si="59"/>
        <v>1</v>
      </c>
      <c r="L1231" s="142">
        <f>IF(RawData[[#This Row],[Paid/Unpaid]]="Paid", IF(VALUE($E1231)&gt;VALUE($D$3),$K1231* 10000,$K1231* 8000), 0)</f>
        <v>8000</v>
      </c>
      <c r="M1231" s="53" t="s">
        <v>146</v>
      </c>
    </row>
    <row r="1232" spans="1:13" ht="12.75" customHeight="1" x14ac:dyDescent="0.3">
      <c r="A1232" s="143" t="s">
        <v>24</v>
      </c>
      <c r="B1232" s="139" t="str">
        <f>IFERROR(VLOOKUP($A1232, NameDesignation[], 2,FALSE), " ")</f>
        <v>Former Director</v>
      </c>
      <c r="C1232" s="139" t="s">
        <v>37</v>
      </c>
      <c r="D1232" s="139">
        <v>129</v>
      </c>
      <c r="E1232" s="140">
        <v>45060</v>
      </c>
      <c r="F1232" s="139" t="str">
        <f t="shared" si="57"/>
        <v>Q2-23</v>
      </c>
      <c r="G1232" s="140" t="str">
        <f t="shared" si="58"/>
        <v>May'23</v>
      </c>
      <c r="H1232" s="140" t="str">
        <f>TEXT(RawData[[#This Row],[Date]], "YYYY")</f>
        <v>2023</v>
      </c>
      <c r="I1232" s="141" t="s">
        <v>32</v>
      </c>
      <c r="J1232" s="141" t="s">
        <v>90</v>
      </c>
      <c r="K1232" s="139">
        <f t="shared" si="59"/>
        <v>1</v>
      </c>
      <c r="L1232" s="142">
        <f>IF(RawData[[#This Row],[Paid/Unpaid]]="Paid", IF(VALUE($E1232)&gt;VALUE($D$3),$K1232* 10000,$K1232* 8000), 0)</f>
        <v>8000</v>
      </c>
      <c r="M1232" s="53" t="s">
        <v>146</v>
      </c>
    </row>
    <row r="1233" spans="1:13" ht="12.75" customHeight="1" x14ac:dyDescent="0.3">
      <c r="A1233" s="143" t="s">
        <v>21</v>
      </c>
      <c r="B1233" s="139" t="str">
        <f>IFERROR(VLOOKUP($A1233, NameDesignation[], 2,FALSE), " ")</f>
        <v>Former Independent Director</v>
      </c>
      <c r="C1233" s="139" t="s">
        <v>37</v>
      </c>
      <c r="D1233" s="139">
        <v>129</v>
      </c>
      <c r="E1233" s="140">
        <v>45060</v>
      </c>
      <c r="F1233" s="139" t="str">
        <f t="shared" si="57"/>
        <v>Q2-23</v>
      </c>
      <c r="G1233" s="140" t="str">
        <f t="shared" si="58"/>
        <v>May'23</v>
      </c>
      <c r="H1233" s="140" t="str">
        <f>TEXT(RawData[[#This Row],[Date]], "YYYY")</f>
        <v>2023</v>
      </c>
      <c r="I1233" s="141" t="s">
        <v>32</v>
      </c>
      <c r="J1233" s="141" t="s">
        <v>90</v>
      </c>
      <c r="K1233" s="139">
        <f t="shared" si="59"/>
        <v>1</v>
      </c>
      <c r="L1233" s="142">
        <f>IF(RawData[[#This Row],[Paid/Unpaid]]="Paid", IF(VALUE($E1233)&gt;VALUE($D$3),$K1233* 10000,$K1233* 8000), 0)</f>
        <v>8000</v>
      </c>
      <c r="M1233" s="53" t="s">
        <v>146</v>
      </c>
    </row>
    <row r="1234" spans="1:13" ht="12.75" customHeight="1" x14ac:dyDescent="0.3">
      <c r="A1234" s="143" t="s">
        <v>15</v>
      </c>
      <c r="B1234" s="139" t="str">
        <f>IFERROR(VLOOKUP($A1234, NameDesignation[], 2,FALSE), " ")</f>
        <v>Former Director</v>
      </c>
      <c r="C1234" s="139" t="s">
        <v>37</v>
      </c>
      <c r="D1234" s="139">
        <v>129</v>
      </c>
      <c r="E1234" s="140">
        <v>45060</v>
      </c>
      <c r="F1234" s="139" t="str">
        <f t="shared" si="57"/>
        <v>Q2-23</v>
      </c>
      <c r="G1234" s="140" t="str">
        <f t="shared" si="58"/>
        <v>May'23</v>
      </c>
      <c r="H1234" s="140" t="str">
        <f>TEXT(RawData[[#This Row],[Date]], "YYYY")</f>
        <v>2023</v>
      </c>
      <c r="I1234" s="141" t="s">
        <v>32</v>
      </c>
      <c r="J1234" s="141" t="s">
        <v>90</v>
      </c>
      <c r="K1234" s="139">
        <f t="shared" si="59"/>
        <v>1</v>
      </c>
      <c r="L1234" s="142">
        <f>IF(RawData[[#This Row],[Paid/Unpaid]]="Paid", IF(VALUE($E1234)&gt;VALUE($D$3),$K1234* 10000,$K1234* 8000), 0)</f>
        <v>8000</v>
      </c>
      <c r="M1234" s="53" t="s">
        <v>146</v>
      </c>
    </row>
    <row r="1235" spans="1:13" ht="12.75" customHeight="1" x14ac:dyDescent="0.3">
      <c r="A1235" s="143" t="s">
        <v>7</v>
      </c>
      <c r="B1235" s="139" t="str">
        <f>IFERROR(VLOOKUP($A1235, NameDesignation[], 2,FALSE), " ")</f>
        <v>Former Director</v>
      </c>
      <c r="C1235" s="139" t="s">
        <v>29</v>
      </c>
      <c r="D1235" s="139" t="s">
        <v>124</v>
      </c>
      <c r="E1235" s="140">
        <v>45076</v>
      </c>
      <c r="F1235" s="139" t="str">
        <f t="shared" si="57"/>
        <v>Q2-23</v>
      </c>
      <c r="G1235" s="140" t="str">
        <f t="shared" si="58"/>
        <v>May'23</v>
      </c>
      <c r="H1235" s="140" t="str">
        <f>TEXT(RawData[[#This Row],[Date]], "YYYY")</f>
        <v>2023</v>
      </c>
      <c r="I1235" s="141" t="s">
        <v>32</v>
      </c>
      <c r="J1235" s="141" t="s">
        <v>90</v>
      </c>
      <c r="K1235" s="139">
        <f t="shared" si="59"/>
        <v>1</v>
      </c>
      <c r="L1235" s="142">
        <f>IF(RawData[[#This Row],[Paid/Unpaid]]="Paid", IF(VALUE($E1235)&gt;VALUE($D$3),$K1235* 10000,$K1235* 8000), 0)</f>
        <v>8000</v>
      </c>
      <c r="M1235" s="53" t="s">
        <v>146</v>
      </c>
    </row>
    <row r="1236" spans="1:13" ht="12.75" customHeight="1" x14ac:dyDescent="0.3">
      <c r="A1236" s="143" t="s">
        <v>8</v>
      </c>
      <c r="B1236" s="139" t="str">
        <f>IFERROR(VLOOKUP($A1236, NameDesignation[], 2,FALSE), " ")</f>
        <v>Former Vice-Chairman</v>
      </c>
      <c r="C1236" s="139" t="s">
        <v>29</v>
      </c>
      <c r="D1236" s="139" t="s">
        <v>124</v>
      </c>
      <c r="E1236" s="140">
        <v>45076</v>
      </c>
      <c r="F1236" s="139" t="str">
        <f t="shared" si="57"/>
        <v>Q2-23</v>
      </c>
      <c r="G1236" s="140" t="str">
        <f t="shared" si="58"/>
        <v>May'23</v>
      </c>
      <c r="H1236" s="140" t="str">
        <f>TEXT(RawData[[#This Row],[Date]], "YYYY")</f>
        <v>2023</v>
      </c>
      <c r="I1236" s="141" t="s">
        <v>32</v>
      </c>
      <c r="J1236" s="141" t="s">
        <v>90</v>
      </c>
      <c r="K1236" s="139">
        <f t="shared" si="59"/>
        <v>1</v>
      </c>
      <c r="L1236" s="142">
        <f>IF(RawData[[#This Row],[Paid/Unpaid]]="Paid", IF(VALUE($E1236)&gt;VALUE($D$3),$K1236* 10000,$K1236* 8000), 0)</f>
        <v>8000</v>
      </c>
      <c r="M1236" s="53" t="s">
        <v>146</v>
      </c>
    </row>
    <row r="1237" spans="1:13" ht="12.75" customHeight="1" x14ac:dyDescent="0.3">
      <c r="A1237" s="143" t="s">
        <v>9</v>
      </c>
      <c r="B1237" s="139" t="str">
        <f>IFERROR(VLOOKUP($A1237, NameDesignation[], 2,FALSE), " ")</f>
        <v>Former Director</v>
      </c>
      <c r="C1237" s="139" t="s">
        <v>29</v>
      </c>
      <c r="D1237" s="139" t="s">
        <v>124</v>
      </c>
      <c r="E1237" s="140">
        <v>45076</v>
      </c>
      <c r="F1237" s="139" t="str">
        <f t="shared" si="57"/>
        <v>Q2-23</v>
      </c>
      <c r="G1237" s="140" t="str">
        <f t="shared" si="58"/>
        <v>May'23</v>
      </c>
      <c r="H1237" s="140" t="str">
        <f>TEXT(RawData[[#This Row],[Date]], "YYYY")</f>
        <v>2023</v>
      </c>
      <c r="I1237" s="141" t="s">
        <v>32</v>
      </c>
      <c r="J1237" s="141" t="s">
        <v>90</v>
      </c>
      <c r="K1237" s="139">
        <f t="shared" si="59"/>
        <v>1</v>
      </c>
      <c r="L1237" s="142">
        <f>IF(RawData[[#This Row],[Paid/Unpaid]]="Paid", IF(VALUE($E1237)&gt;VALUE($D$3),$K1237* 10000,$K1237* 8000), 0)</f>
        <v>8000</v>
      </c>
      <c r="M1237" s="53" t="s">
        <v>146</v>
      </c>
    </row>
    <row r="1238" spans="1:13" ht="12.75" customHeight="1" x14ac:dyDescent="0.3">
      <c r="A1238" s="143" t="s">
        <v>20</v>
      </c>
      <c r="B1238" s="139" t="str">
        <f>IFERROR(VLOOKUP($A1238, NameDesignation[], 2,FALSE), " ")</f>
        <v>Former Independent Director</v>
      </c>
      <c r="C1238" s="139" t="s">
        <v>29</v>
      </c>
      <c r="D1238" s="139" t="s">
        <v>124</v>
      </c>
      <c r="E1238" s="140">
        <v>45076</v>
      </c>
      <c r="F1238" s="139" t="str">
        <f t="shared" si="57"/>
        <v>Q2-23</v>
      </c>
      <c r="G1238" s="140" t="str">
        <f t="shared" si="58"/>
        <v>May'23</v>
      </c>
      <c r="H1238" s="140" t="str">
        <f>TEXT(RawData[[#This Row],[Date]], "YYYY")</f>
        <v>2023</v>
      </c>
      <c r="I1238" s="141" t="s">
        <v>32</v>
      </c>
      <c r="J1238" s="141" t="s">
        <v>90</v>
      </c>
      <c r="K1238" s="139">
        <f t="shared" si="59"/>
        <v>1</v>
      </c>
      <c r="L1238" s="142">
        <f>IF(RawData[[#This Row],[Paid/Unpaid]]="Paid", IF(VALUE($E1238)&gt;VALUE($D$3),$K1238* 10000,$K1238* 8000), 0)</f>
        <v>8000</v>
      </c>
      <c r="M1238" s="53" t="s">
        <v>146</v>
      </c>
    </row>
    <row r="1239" spans="1:13" ht="12.75" customHeight="1" x14ac:dyDescent="0.3">
      <c r="A1239" s="143" t="s">
        <v>49</v>
      </c>
      <c r="B1239" s="139" t="str">
        <f>IFERROR(VLOOKUP($A1239, NameDesignation[], 2,FALSE), " ")</f>
        <v>Former Director</v>
      </c>
      <c r="C1239" s="139" t="s">
        <v>29</v>
      </c>
      <c r="D1239" s="139" t="s">
        <v>124</v>
      </c>
      <c r="E1239" s="140">
        <v>45076</v>
      </c>
      <c r="F1239" s="139" t="str">
        <f t="shared" si="57"/>
        <v>Q2-23</v>
      </c>
      <c r="G1239" s="140" t="str">
        <f t="shared" si="58"/>
        <v>May'23</v>
      </c>
      <c r="H1239" s="140" t="str">
        <f>TEXT(RawData[[#This Row],[Date]], "YYYY")</f>
        <v>2023</v>
      </c>
      <c r="I1239" s="141" t="s">
        <v>32</v>
      </c>
      <c r="J1239" s="141" t="s">
        <v>90</v>
      </c>
      <c r="K1239" s="139">
        <f t="shared" si="59"/>
        <v>1</v>
      </c>
      <c r="L1239" s="142">
        <f>IF(RawData[[#This Row],[Paid/Unpaid]]="Paid", IF(VALUE($E1239)&gt;VALUE($D$3),$K1239* 10000,$K1239* 8000), 0)</f>
        <v>8000</v>
      </c>
      <c r="M1239" s="53" t="s">
        <v>146</v>
      </c>
    </row>
    <row r="1240" spans="1:13" ht="12.75" customHeight="1" x14ac:dyDescent="0.3">
      <c r="A1240" s="143" t="s">
        <v>11</v>
      </c>
      <c r="B1240" s="139" t="str">
        <f>IFERROR(VLOOKUP($A1240, NameDesignation[], 2,FALSE), " ")</f>
        <v>Former Director</v>
      </c>
      <c r="C1240" s="139" t="s">
        <v>29</v>
      </c>
      <c r="D1240" s="139" t="s">
        <v>124</v>
      </c>
      <c r="E1240" s="140">
        <v>45076</v>
      </c>
      <c r="F1240" s="139" t="str">
        <f t="shared" si="57"/>
        <v>Q2-23</v>
      </c>
      <c r="G1240" s="140" t="str">
        <f t="shared" si="58"/>
        <v>May'23</v>
      </c>
      <c r="H1240" s="140" t="str">
        <f>TEXT(RawData[[#This Row],[Date]], "YYYY")</f>
        <v>2023</v>
      </c>
      <c r="I1240" s="141" t="s">
        <v>32</v>
      </c>
      <c r="J1240" s="141" t="s">
        <v>90</v>
      </c>
      <c r="K1240" s="139">
        <f t="shared" si="59"/>
        <v>1</v>
      </c>
      <c r="L1240" s="142">
        <f>IF(RawData[[#This Row],[Paid/Unpaid]]="Paid", IF(VALUE($E1240)&gt;VALUE($D$3),$K1240* 10000,$K1240* 8000), 0)</f>
        <v>8000</v>
      </c>
      <c r="M1240" s="53" t="s">
        <v>146</v>
      </c>
    </row>
    <row r="1241" spans="1:13" ht="12.75" customHeight="1" x14ac:dyDescent="0.3">
      <c r="A1241" s="143" t="s">
        <v>12</v>
      </c>
      <c r="B1241" s="139" t="str">
        <f>IFERROR(VLOOKUP($A1241, NameDesignation[], 2,FALSE), " ")</f>
        <v>Former Director</v>
      </c>
      <c r="C1241" s="139" t="s">
        <v>29</v>
      </c>
      <c r="D1241" s="139" t="s">
        <v>124</v>
      </c>
      <c r="E1241" s="140">
        <v>45076</v>
      </c>
      <c r="F1241" s="139" t="str">
        <f t="shared" si="57"/>
        <v>Q2-23</v>
      </c>
      <c r="G1241" s="140" t="str">
        <f t="shared" si="58"/>
        <v>May'23</v>
      </c>
      <c r="H1241" s="140" t="str">
        <f>TEXT(RawData[[#This Row],[Date]], "YYYY")</f>
        <v>2023</v>
      </c>
      <c r="I1241" s="141" t="s">
        <v>32</v>
      </c>
      <c r="J1241" s="141" t="s">
        <v>90</v>
      </c>
      <c r="K1241" s="139">
        <f t="shared" si="59"/>
        <v>1</v>
      </c>
      <c r="L1241" s="142">
        <f>IF(RawData[[#This Row],[Paid/Unpaid]]="Paid", IF(VALUE($E1241)&gt;VALUE($D$3),$K1241* 10000,$K1241* 8000), 0)</f>
        <v>8000</v>
      </c>
      <c r="M1241" s="53" t="s">
        <v>146</v>
      </c>
    </row>
    <row r="1242" spans="1:13" ht="12.75" customHeight="1" x14ac:dyDescent="0.3">
      <c r="A1242" s="143" t="s">
        <v>137</v>
      </c>
      <c r="B1242" s="139" t="str">
        <f>IFERROR(VLOOKUP($A1242, NameDesignation[], 2,FALSE), " ")</f>
        <v>Former Director</v>
      </c>
      <c r="C1242" s="139" t="s">
        <v>29</v>
      </c>
      <c r="D1242" s="139" t="s">
        <v>124</v>
      </c>
      <c r="E1242" s="140">
        <v>45076</v>
      </c>
      <c r="F1242" s="139" t="str">
        <f t="shared" si="57"/>
        <v>Q2-23</v>
      </c>
      <c r="G1242" s="140" t="str">
        <f t="shared" si="58"/>
        <v>May'23</v>
      </c>
      <c r="H1242" s="140" t="str">
        <f>TEXT(RawData[[#This Row],[Date]], "YYYY")</f>
        <v>2023</v>
      </c>
      <c r="I1242" s="141" t="s">
        <v>32</v>
      </c>
      <c r="J1242" s="141" t="s">
        <v>90</v>
      </c>
      <c r="K1242" s="139">
        <f t="shared" si="59"/>
        <v>1</v>
      </c>
      <c r="L1242" s="142">
        <f>IF(RawData[[#This Row],[Paid/Unpaid]]="Paid", IF(VALUE($E1242)&gt;VALUE($D$3),$K1242* 10000,$K1242* 8000), 0)</f>
        <v>8000</v>
      </c>
      <c r="M1242" s="53" t="s">
        <v>146</v>
      </c>
    </row>
    <row r="1243" spans="1:13" ht="12.75" customHeight="1" x14ac:dyDescent="0.3">
      <c r="A1243" s="143" t="s">
        <v>13</v>
      </c>
      <c r="B1243" s="139" t="str">
        <f>IFERROR(VLOOKUP($A1243, NameDesignation[], 2,FALSE), " ")</f>
        <v>Former Director</v>
      </c>
      <c r="C1243" s="139" t="s">
        <v>29</v>
      </c>
      <c r="D1243" s="139" t="s">
        <v>124</v>
      </c>
      <c r="E1243" s="140">
        <v>45076</v>
      </c>
      <c r="F1243" s="139" t="str">
        <f t="shared" si="57"/>
        <v>Q2-23</v>
      </c>
      <c r="G1243" s="140" t="str">
        <f t="shared" si="58"/>
        <v>May'23</v>
      </c>
      <c r="H1243" s="140" t="str">
        <f>TEXT(RawData[[#This Row],[Date]], "YYYY")</f>
        <v>2023</v>
      </c>
      <c r="I1243" s="141" t="s">
        <v>32</v>
      </c>
      <c r="J1243" s="141" t="s">
        <v>90</v>
      </c>
      <c r="K1243" s="139">
        <f t="shared" si="59"/>
        <v>1</v>
      </c>
      <c r="L1243" s="142">
        <f>IF(RawData[[#This Row],[Paid/Unpaid]]="Paid", IF(VALUE($E1243)&gt;VALUE($D$3),$K1243* 10000,$K1243* 8000), 0)</f>
        <v>8000</v>
      </c>
      <c r="M1243" s="53" t="s">
        <v>146</v>
      </c>
    </row>
    <row r="1244" spans="1:13" ht="12.75" customHeight="1" x14ac:dyDescent="0.3">
      <c r="A1244" s="143" t="s">
        <v>61</v>
      </c>
      <c r="B1244" s="139" t="str">
        <f>IFERROR(VLOOKUP($A1244, NameDesignation[], 2,FALSE), " ")</f>
        <v>Former Director</v>
      </c>
      <c r="C1244" s="139" t="s">
        <v>29</v>
      </c>
      <c r="D1244" s="139" t="s">
        <v>124</v>
      </c>
      <c r="E1244" s="140">
        <v>45076</v>
      </c>
      <c r="F1244" s="139" t="str">
        <f t="shared" si="57"/>
        <v>Q2-23</v>
      </c>
      <c r="G1244" s="140" t="str">
        <f t="shared" si="58"/>
        <v>May'23</v>
      </c>
      <c r="H1244" s="140" t="str">
        <f>TEXT(RawData[[#This Row],[Date]], "YYYY")</f>
        <v>2023</v>
      </c>
      <c r="I1244" s="141" t="s">
        <v>32</v>
      </c>
      <c r="J1244" s="141" t="s">
        <v>90</v>
      </c>
      <c r="K1244" s="139">
        <f t="shared" si="59"/>
        <v>1</v>
      </c>
      <c r="L1244" s="142">
        <f>IF(RawData[[#This Row],[Paid/Unpaid]]="Paid", IF(VALUE($E1244)&gt;VALUE($D$3),$K1244* 10000,$K1244* 8000), 0)</f>
        <v>8000</v>
      </c>
      <c r="M1244" s="53" t="s">
        <v>146</v>
      </c>
    </row>
    <row r="1245" spans="1:13" ht="12.75" customHeight="1" x14ac:dyDescent="0.3">
      <c r="A1245" s="143" t="s">
        <v>14</v>
      </c>
      <c r="B1245" s="139" t="str">
        <f>IFERROR(VLOOKUP($A1245, NameDesignation[], 2,FALSE), " ")</f>
        <v>Former Director</v>
      </c>
      <c r="C1245" s="139" t="s">
        <v>29</v>
      </c>
      <c r="D1245" s="139" t="s">
        <v>124</v>
      </c>
      <c r="E1245" s="140">
        <v>45076</v>
      </c>
      <c r="F1245" s="139" t="str">
        <f t="shared" si="57"/>
        <v>Q2-23</v>
      </c>
      <c r="G1245" s="140" t="str">
        <f t="shared" si="58"/>
        <v>May'23</v>
      </c>
      <c r="H1245" s="140" t="str">
        <f>TEXT(RawData[[#This Row],[Date]], "YYYY")</f>
        <v>2023</v>
      </c>
      <c r="I1245" s="141" t="s">
        <v>32</v>
      </c>
      <c r="J1245" s="141" t="s">
        <v>90</v>
      </c>
      <c r="K1245" s="139">
        <f t="shared" si="59"/>
        <v>1</v>
      </c>
      <c r="L1245" s="142">
        <f>IF(RawData[[#This Row],[Paid/Unpaid]]="Paid", IF(VALUE($E1245)&gt;VALUE($D$3),$K1245* 10000,$K1245* 8000), 0)</f>
        <v>8000</v>
      </c>
      <c r="M1245" s="53" t="s">
        <v>146</v>
      </c>
    </row>
    <row r="1246" spans="1:13" ht="12.75" customHeight="1" x14ac:dyDescent="0.3">
      <c r="A1246" s="143" t="s">
        <v>23</v>
      </c>
      <c r="B1246" s="139" t="str">
        <f>IFERROR(VLOOKUP($A1246, NameDesignation[], 2,FALSE), " ")</f>
        <v>Former Director</v>
      </c>
      <c r="C1246" s="139" t="s">
        <v>29</v>
      </c>
      <c r="D1246" s="139" t="s">
        <v>124</v>
      </c>
      <c r="E1246" s="140">
        <v>45076</v>
      </c>
      <c r="F1246" s="139" t="str">
        <f t="shared" si="57"/>
        <v>Q2-23</v>
      </c>
      <c r="G1246" s="140" t="str">
        <f t="shared" si="58"/>
        <v>May'23</v>
      </c>
      <c r="H1246" s="140" t="str">
        <f>TEXT(RawData[[#This Row],[Date]], "YYYY")</f>
        <v>2023</v>
      </c>
      <c r="I1246" s="141" t="s">
        <v>32</v>
      </c>
      <c r="J1246" s="141" t="s">
        <v>90</v>
      </c>
      <c r="K1246" s="139">
        <f t="shared" si="59"/>
        <v>1</v>
      </c>
      <c r="L1246" s="142">
        <f>IF(RawData[[#This Row],[Paid/Unpaid]]="Paid", IF(VALUE($E1246)&gt;VALUE($D$3),$K1246* 10000,$K1246* 8000), 0)</f>
        <v>8000</v>
      </c>
      <c r="M1246" s="53" t="s">
        <v>146</v>
      </c>
    </row>
    <row r="1247" spans="1:13" ht="12.75" customHeight="1" x14ac:dyDescent="0.3">
      <c r="A1247" s="143" t="s">
        <v>24</v>
      </c>
      <c r="B1247" s="139" t="str">
        <f>IFERROR(VLOOKUP($A1247, NameDesignation[], 2,FALSE), " ")</f>
        <v>Former Director</v>
      </c>
      <c r="C1247" s="139" t="s">
        <v>29</v>
      </c>
      <c r="D1247" s="139" t="s">
        <v>124</v>
      </c>
      <c r="E1247" s="140">
        <v>45076</v>
      </c>
      <c r="F1247" s="139" t="str">
        <f t="shared" si="57"/>
        <v>Q2-23</v>
      </c>
      <c r="G1247" s="140" t="str">
        <f t="shared" si="58"/>
        <v>May'23</v>
      </c>
      <c r="H1247" s="140" t="str">
        <f>TEXT(RawData[[#This Row],[Date]], "YYYY")</f>
        <v>2023</v>
      </c>
      <c r="I1247" s="141" t="s">
        <v>32</v>
      </c>
      <c r="J1247" s="141" t="s">
        <v>90</v>
      </c>
      <c r="K1247" s="139">
        <f t="shared" si="59"/>
        <v>1</v>
      </c>
      <c r="L1247" s="142">
        <f>IF(RawData[[#This Row],[Paid/Unpaid]]="Paid", IF(VALUE($E1247)&gt;VALUE($D$3),$K1247* 10000,$K1247* 8000), 0)</f>
        <v>8000</v>
      </c>
      <c r="M1247" s="53" t="s">
        <v>146</v>
      </c>
    </row>
    <row r="1248" spans="1:13" ht="12.75" customHeight="1" x14ac:dyDescent="0.3">
      <c r="A1248" s="143" t="s">
        <v>15</v>
      </c>
      <c r="B1248" s="139" t="str">
        <f>IFERROR(VLOOKUP($A1248, NameDesignation[], 2,FALSE), " ")</f>
        <v>Former Director</v>
      </c>
      <c r="C1248" s="139" t="s">
        <v>29</v>
      </c>
      <c r="D1248" s="139" t="s">
        <v>124</v>
      </c>
      <c r="E1248" s="140">
        <v>45076</v>
      </c>
      <c r="F1248" s="139" t="str">
        <f t="shared" si="57"/>
        <v>Q2-23</v>
      </c>
      <c r="G1248" s="140" t="str">
        <f t="shared" si="58"/>
        <v>May'23</v>
      </c>
      <c r="H1248" s="140" t="str">
        <f>TEXT(RawData[[#This Row],[Date]], "YYYY")</f>
        <v>2023</v>
      </c>
      <c r="I1248" s="141" t="s">
        <v>32</v>
      </c>
      <c r="J1248" s="141" t="s">
        <v>90</v>
      </c>
      <c r="K1248" s="139">
        <f t="shared" si="59"/>
        <v>1</v>
      </c>
      <c r="L1248" s="142">
        <f>IF(RawData[[#This Row],[Paid/Unpaid]]="Paid", IF(VALUE($E1248)&gt;VALUE($D$3),$K1248* 10000,$K1248* 8000), 0)</f>
        <v>8000</v>
      </c>
      <c r="M1248" s="53" t="s">
        <v>146</v>
      </c>
    </row>
    <row r="1249" spans="1:13" ht="12.75" customHeight="1" x14ac:dyDescent="0.3">
      <c r="A1249" s="143" t="s">
        <v>16</v>
      </c>
      <c r="B1249" s="139" t="str">
        <f>IFERROR(VLOOKUP($A1249, NameDesignation[], 2,FALSE), " ")</f>
        <v>Former Director</v>
      </c>
      <c r="C1249" s="139" t="s">
        <v>29</v>
      </c>
      <c r="D1249" s="139" t="s">
        <v>124</v>
      </c>
      <c r="E1249" s="140">
        <v>45076</v>
      </c>
      <c r="F1249" s="139" t="str">
        <f t="shared" si="57"/>
        <v>Q2-23</v>
      </c>
      <c r="G1249" s="140" t="str">
        <f t="shared" si="58"/>
        <v>May'23</v>
      </c>
      <c r="H1249" s="140" t="str">
        <f>TEXT(RawData[[#This Row],[Date]], "YYYY")</f>
        <v>2023</v>
      </c>
      <c r="I1249" s="141" t="s">
        <v>32</v>
      </c>
      <c r="J1249" s="141" t="s">
        <v>90</v>
      </c>
      <c r="K1249" s="139">
        <f t="shared" si="59"/>
        <v>1</v>
      </c>
      <c r="L1249" s="142">
        <f>IF(RawData[[#This Row],[Paid/Unpaid]]="Paid", IF(VALUE($E1249)&gt;VALUE($D$3),$K1249* 10000,$K1249* 8000), 0)</f>
        <v>8000</v>
      </c>
      <c r="M1249" s="53" t="s">
        <v>146</v>
      </c>
    </row>
    <row r="1250" spans="1:13" ht="12.75" customHeight="1" x14ac:dyDescent="0.3">
      <c r="A1250" s="143" t="s">
        <v>21</v>
      </c>
      <c r="B1250" s="139" t="str">
        <f>IFERROR(VLOOKUP($A1250, NameDesignation[], 2,FALSE), " ")</f>
        <v>Former Independent Director</v>
      </c>
      <c r="C1250" s="139" t="s">
        <v>29</v>
      </c>
      <c r="D1250" s="139" t="s">
        <v>124</v>
      </c>
      <c r="E1250" s="140">
        <v>45076</v>
      </c>
      <c r="F1250" s="139" t="str">
        <f t="shared" si="57"/>
        <v>Q2-23</v>
      </c>
      <c r="G1250" s="140" t="str">
        <f t="shared" si="58"/>
        <v>May'23</v>
      </c>
      <c r="H1250" s="140" t="str">
        <f>TEXT(RawData[[#This Row],[Date]], "YYYY")</f>
        <v>2023</v>
      </c>
      <c r="I1250" s="141" t="s">
        <v>32</v>
      </c>
      <c r="J1250" s="141" t="s">
        <v>90</v>
      </c>
      <c r="K1250" s="139">
        <f t="shared" si="59"/>
        <v>1</v>
      </c>
      <c r="L1250" s="142">
        <f>IF(RawData[[#This Row],[Paid/Unpaid]]="Paid", IF(VALUE($E1250)&gt;VALUE($D$3),$K1250* 10000,$K1250* 8000), 0)</f>
        <v>8000</v>
      </c>
      <c r="M1250" s="53" t="s">
        <v>146</v>
      </c>
    </row>
    <row r="1251" spans="1:13" ht="12.75" customHeight="1" x14ac:dyDescent="0.3">
      <c r="A1251" s="143" t="s">
        <v>17</v>
      </c>
      <c r="B1251" s="139" t="str">
        <f>IFERROR(VLOOKUP($A1251, NameDesignation[], 2,FALSE), " ")</f>
        <v>Former Independent Director</v>
      </c>
      <c r="C1251" s="139" t="s">
        <v>29</v>
      </c>
      <c r="D1251" s="139" t="s">
        <v>124</v>
      </c>
      <c r="E1251" s="140">
        <v>45076</v>
      </c>
      <c r="F1251" s="139" t="str">
        <f t="shared" si="57"/>
        <v>Q2-23</v>
      </c>
      <c r="G1251" s="140" t="str">
        <f t="shared" si="58"/>
        <v>May'23</v>
      </c>
      <c r="H1251" s="140" t="str">
        <f>TEXT(RawData[[#This Row],[Date]], "YYYY")</f>
        <v>2023</v>
      </c>
      <c r="I1251" s="141" t="s">
        <v>32</v>
      </c>
      <c r="J1251" s="141" t="s">
        <v>90</v>
      </c>
      <c r="K1251" s="139">
        <f t="shared" si="59"/>
        <v>1</v>
      </c>
      <c r="L1251" s="142">
        <f>IF(RawData[[#This Row],[Paid/Unpaid]]="Paid", IF(VALUE($E1251)&gt;VALUE($D$3),$K1251* 10000,$K1251* 8000), 0)</f>
        <v>8000</v>
      </c>
      <c r="M1251" s="53" t="s">
        <v>146</v>
      </c>
    </row>
    <row r="1252" spans="1:13" ht="12.75" customHeight="1" x14ac:dyDescent="0.3">
      <c r="A1252" s="143" t="s">
        <v>34</v>
      </c>
      <c r="B1252" s="139" t="str">
        <f>IFERROR(VLOOKUP($A1252, NameDesignation[], 2,FALSE), " ")</f>
        <v>Former Managing Director &amp; CEO</v>
      </c>
      <c r="C1252" s="139" t="s">
        <v>29</v>
      </c>
      <c r="D1252" s="139" t="s">
        <v>124</v>
      </c>
      <c r="E1252" s="140">
        <v>45076</v>
      </c>
      <c r="F1252" s="139" t="str">
        <f t="shared" si="57"/>
        <v>Q2-23</v>
      </c>
      <c r="G1252" s="140" t="str">
        <f t="shared" si="58"/>
        <v>May'23</v>
      </c>
      <c r="H1252" s="140" t="str">
        <f>TEXT(RawData[[#This Row],[Date]], "YYYY")</f>
        <v>2023</v>
      </c>
      <c r="I1252" s="141" t="s">
        <v>32</v>
      </c>
      <c r="J1252" s="141" t="s">
        <v>90</v>
      </c>
      <c r="K1252" s="139">
        <f t="shared" si="59"/>
        <v>1</v>
      </c>
      <c r="L1252" s="142">
        <f>IF(RawData[[#This Row],[Paid/Unpaid]]="Paid", IF(VALUE($E1252)&gt;VALUE($D$3),$K1252* 10000,$K1252* 8000), 0)</f>
        <v>8000</v>
      </c>
      <c r="M1252" s="53" t="s">
        <v>146</v>
      </c>
    </row>
    <row r="1253" spans="1:13" ht="12.75" customHeight="1" x14ac:dyDescent="0.3">
      <c r="A1253" s="143" t="s">
        <v>20</v>
      </c>
      <c r="B1253" s="139" t="str">
        <f>IFERROR(VLOOKUP($A1253, NameDesignation[], 2,FALSE), " ")</f>
        <v>Former Independent Director</v>
      </c>
      <c r="C1253" s="139" t="s">
        <v>37</v>
      </c>
      <c r="D1253" s="139">
        <v>130</v>
      </c>
      <c r="E1253" s="140">
        <v>45076</v>
      </c>
      <c r="F1253" s="139" t="str">
        <f t="shared" si="57"/>
        <v>Q2-23</v>
      </c>
      <c r="G1253" s="140" t="str">
        <f t="shared" si="58"/>
        <v>May'23</v>
      </c>
      <c r="H1253" s="140" t="str">
        <f>TEXT(RawData[[#This Row],[Date]], "YYYY")</f>
        <v>2023</v>
      </c>
      <c r="I1253" s="141" t="s">
        <v>32</v>
      </c>
      <c r="J1253" s="141" t="s">
        <v>90</v>
      </c>
      <c r="K1253" s="139">
        <f t="shared" si="59"/>
        <v>1</v>
      </c>
      <c r="L1253" s="142">
        <f>IF(RawData[[#This Row],[Paid/Unpaid]]="Paid", IF(VALUE($E1253)&gt;VALUE($D$3),$K1253* 10000,$K1253* 8000), 0)</f>
        <v>8000</v>
      </c>
      <c r="M1253" s="53" t="s">
        <v>146</v>
      </c>
    </row>
    <row r="1254" spans="1:13" ht="12.75" customHeight="1" x14ac:dyDescent="0.3">
      <c r="A1254" s="143" t="s">
        <v>23</v>
      </c>
      <c r="B1254" s="139" t="str">
        <f>IFERROR(VLOOKUP($A1254, NameDesignation[], 2,FALSE), " ")</f>
        <v>Former Director</v>
      </c>
      <c r="C1254" s="139" t="s">
        <v>37</v>
      </c>
      <c r="D1254" s="139">
        <v>130</v>
      </c>
      <c r="E1254" s="140">
        <v>45076</v>
      </c>
      <c r="F1254" s="139" t="str">
        <f t="shared" si="57"/>
        <v>Q2-23</v>
      </c>
      <c r="G1254" s="140" t="str">
        <f t="shared" si="58"/>
        <v>May'23</v>
      </c>
      <c r="H1254" s="140" t="str">
        <f>TEXT(RawData[[#This Row],[Date]], "YYYY")</f>
        <v>2023</v>
      </c>
      <c r="I1254" s="141" t="s">
        <v>32</v>
      </c>
      <c r="J1254" s="141" t="s">
        <v>91</v>
      </c>
      <c r="K1254" s="139">
        <f t="shared" si="59"/>
        <v>0</v>
      </c>
      <c r="L1254" s="142">
        <f>IF(RawData[[#This Row],[Paid/Unpaid]]="Paid", IF(VALUE($E1254)&gt;VALUE($D$3),$K1254* 10000,$K1254* 8000), 0)</f>
        <v>0</v>
      </c>
      <c r="M1254" s="53" t="s">
        <v>146</v>
      </c>
    </row>
    <row r="1255" spans="1:13" ht="12.75" customHeight="1" x14ac:dyDescent="0.3">
      <c r="A1255" s="143" t="s">
        <v>24</v>
      </c>
      <c r="B1255" s="139" t="str">
        <f>IFERROR(VLOOKUP($A1255, NameDesignation[], 2,FALSE), " ")</f>
        <v>Former Director</v>
      </c>
      <c r="C1255" s="139" t="s">
        <v>37</v>
      </c>
      <c r="D1255" s="139">
        <v>130</v>
      </c>
      <c r="E1255" s="140">
        <v>45076</v>
      </c>
      <c r="F1255" s="139" t="str">
        <f t="shared" si="57"/>
        <v>Q2-23</v>
      </c>
      <c r="G1255" s="140" t="str">
        <f t="shared" si="58"/>
        <v>May'23</v>
      </c>
      <c r="H1255" s="140" t="str">
        <f>TEXT(RawData[[#This Row],[Date]], "YYYY")</f>
        <v>2023</v>
      </c>
      <c r="I1255" s="141" t="s">
        <v>32</v>
      </c>
      <c r="J1255" s="141" t="s">
        <v>90</v>
      </c>
      <c r="K1255" s="139">
        <f t="shared" si="59"/>
        <v>1</v>
      </c>
      <c r="L1255" s="142">
        <f>IF(RawData[[#This Row],[Paid/Unpaid]]="Paid", IF(VALUE($E1255)&gt;VALUE($D$3),$K1255* 10000,$K1255* 8000), 0)</f>
        <v>8000</v>
      </c>
      <c r="M1255" s="53" t="s">
        <v>146</v>
      </c>
    </row>
    <row r="1256" spans="1:13" ht="12.75" customHeight="1" x14ac:dyDescent="0.3">
      <c r="A1256" s="143" t="s">
        <v>21</v>
      </c>
      <c r="B1256" s="139" t="str">
        <f>IFERROR(VLOOKUP($A1256, NameDesignation[], 2,FALSE), " ")</f>
        <v>Former Independent Director</v>
      </c>
      <c r="C1256" s="139" t="s">
        <v>37</v>
      </c>
      <c r="D1256" s="139">
        <v>130</v>
      </c>
      <c r="E1256" s="140">
        <v>45076</v>
      </c>
      <c r="F1256" s="139" t="str">
        <f t="shared" si="57"/>
        <v>Q2-23</v>
      </c>
      <c r="G1256" s="140" t="str">
        <f t="shared" si="58"/>
        <v>May'23</v>
      </c>
      <c r="H1256" s="140" t="str">
        <f>TEXT(RawData[[#This Row],[Date]], "YYYY")</f>
        <v>2023</v>
      </c>
      <c r="I1256" s="141" t="s">
        <v>32</v>
      </c>
      <c r="J1256" s="141" t="s">
        <v>90</v>
      </c>
      <c r="K1256" s="139">
        <f t="shared" si="59"/>
        <v>1</v>
      </c>
      <c r="L1256" s="142">
        <f>IF(RawData[[#This Row],[Paid/Unpaid]]="Paid", IF(VALUE($E1256)&gt;VALUE($D$3),$K1256* 10000,$K1256* 8000), 0)</f>
        <v>8000</v>
      </c>
      <c r="M1256" s="53" t="s">
        <v>146</v>
      </c>
    </row>
    <row r="1257" spans="1:13" ht="12.75" customHeight="1" x14ac:dyDescent="0.3">
      <c r="A1257" s="143" t="s">
        <v>15</v>
      </c>
      <c r="B1257" s="139" t="str">
        <f>IFERROR(VLOOKUP($A1257, NameDesignation[], 2,FALSE), " ")</f>
        <v>Former Director</v>
      </c>
      <c r="C1257" s="139" t="s">
        <v>37</v>
      </c>
      <c r="D1257" s="139">
        <v>130</v>
      </c>
      <c r="E1257" s="140">
        <v>45076</v>
      </c>
      <c r="F1257" s="139" t="str">
        <f t="shared" si="57"/>
        <v>Q2-23</v>
      </c>
      <c r="G1257" s="140" t="str">
        <f t="shared" si="58"/>
        <v>May'23</v>
      </c>
      <c r="H1257" s="140" t="str">
        <f>TEXT(RawData[[#This Row],[Date]], "YYYY")</f>
        <v>2023</v>
      </c>
      <c r="I1257" s="141" t="s">
        <v>32</v>
      </c>
      <c r="J1257" s="141" t="s">
        <v>90</v>
      </c>
      <c r="K1257" s="139">
        <f t="shared" si="59"/>
        <v>1</v>
      </c>
      <c r="L1257" s="142">
        <f>IF(RawData[[#This Row],[Paid/Unpaid]]="Paid", IF(VALUE($E1257)&gt;VALUE($D$3),$K1257* 10000,$K1257* 8000), 0)</f>
        <v>8000</v>
      </c>
      <c r="M1257" s="53" t="s">
        <v>146</v>
      </c>
    </row>
    <row r="1258" spans="1:13" ht="12.75" customHeight="1" x14ac:dyDescent="0.3">
      <c r="A1258" s="143" t="s">
        <v>9</v>
      </c>
      <c r="B1258" s="139" t="str">
        <f>IFERROR(VLOOKUP($A1258, NameDesignation[], 2,FALSE), " ")</f>
        <v>Former Director</v>
      </c>
      <c r="C1258" s="139" t="s">
        <v>30</v>
      </c>
      <c r="D1258" s="139">
        <v>460</v>
      </c>
      <c r="E1258" s="140">
        <v>45077</v>
      </c>
      <c r="F1258" s="139" t="str">
        <f t="shared" si="57"/>
        <v>Q2-23</v>
      </c>
      <c r="G1258" s="140" t="str">
        <f t="shared" si="58"/>
        <v>May'23</v>
      </c>
      <c r="H1258" s="140" t="str">
        <f>TEXT(RawData[[#This Row],[Date]], "YYYY")</f>
        <v>2023</v>
      </c>
      <c r="I1258" s="141" t="s">
        <v>32</v>
      </c>
      <c r="J1258" s="141" t="s">
        <v>90</v>
      </c>
      <c r="K1258" s="139">
        <f t="shared" si="59"/>
        <v>1</v>
      </c>
      <c r="L1258" s="142">
        <f>IF(RawData[[#This Row],[Paid/Unpaid]]="Paid", IF(VALUE($E1258)&gt;VALUE($D$3),$K1258* 10000,$K1258* 8000), 0)</f>
        <v>8000</v>
      </c>
      <c r="M1258" s="53" t="s">
        <v>146</v>
      </c>
    </row>
    <row r="1259" spans="1:13" ht="12.75" customHeight="1" x14ac:dyDescent="0.3">
      <c r="A1259" s="143" t="s">
        <v>8</v>
      </c>
      <c r="B1259" s="139" t="str">
        <f>IFERROR(VLOOKUP($A1259, NameDesignation[], 2,FALSE), " ")</f>
        <v>Former Vice-Chairman</v>
      </c>
      <c r="C1259" s="139" t="s">
        <v>30</v>
      </c>
      <c r="D1259" s="139">
        <v>460</v>
      </c>
      <c r="E1259" s="140">
        <v>45077</v>
      </c>
      <c r="F1259" s="139" t="str">
        <f t="shared" si="57"/>
        <v>Q2-23</v>
      </c>
      <c r="G1259" s="140" t="str">
        <f t="shared" si="58"/>
        <v>May'23</v>
      </c>
      <c r="H1259" s="140" t="str">
        <f>TEXT(RawData[[#This Row],[Date]], "YYYY")</f>
        <v>2023</v>
      </c>
      <c r="I1259" s="141" t="s">
        <v>32</v>
      </c>
      <c r="J1259" s="141" t="s">
        <v>90</v>
      </c>
      <c r="K1259" s="139">
        <f t="shared" si="59"/>
        <v>1</v>
      </c>
      <c r="L1259" s="142">
        <f>IF(RawData[[#This Row],[Paid/Unpaid]]="Paid", IF(VALUE($E1259)&gt;VALUE($D$3),$K1259* 10000,$K1259* 8000), 0)</f>
        <v>8000</v>
      </c>
      <c r="M1259" s="53" t="s">
        <v>146</v>
      </c>
    </row>
    <row r="1260" spans="1:13" ht="12.75" customHeight="1" x14ac:dyDescent="0.3">
      <c r="A1260" s="143" t="s">
        <v>49</v>
      </c>
      <c r="B1260" s="139" t="str">
        <f>IFERROR(VLOOKUP($A1260, NameDesignation[], 2,FALSE), " ")</f>
        <v>Former Director</v>
      </c>
      <c r="C1260" s="139" t="s">
        <v>30</v>
      </c>
      <c r="D1260" s="139">
        <v>460</v>
      </c>
      <c r="E1260" s="140">
        <v>45077</v>
      </c>
      <c r="F1260" s="139" t="str">
        <f t="shared" si="57"/>
        <v>Q2-23</v>
      </c>
      <c r="G1260" s="140" t="str">
        <f t="shared" si="58"/>
        <v>May'23</v>
      </c>
      <c r="H1260" s="140" t="str">
        <f>TEXT(RawData[[#This Row],[Date]], "YYYY")</f>
        <v>2023</v>
      </c>
      <c r="I1260" s="141" t="s">
        <v>32</v>
      </c>
      <c r="J1260" s="141" t="s">
        <v>90</v>
      </c>
      <c r="K1260" s="139">
        <f t="shared" si="59"/>
        <v>1</v>
      </c>
      <c r="L1260" s="142">
        <f>IF(RawData[[#This Row],[Paid/Unpaid]]="Paid", IF(VALUE($E1260)&gt;VALUE($D$3),$K1260* 10000,$K1260* 8000), 0)</f>
        <v>8000</v>
      </c>
      <c r="M1260" s="53" t="s">
        <v>146</v>
      </c>
    </row>
    <row r="1261" spans="1:13" ht="12.75" customHeight="1" x14ac:dyDescent="0.3">
      <c r="A1261" s="143" t="s">
        <v>11</v>
      </c>
      <c r="B1261" s="139" t="str">
        <f>IFERROR(VLOOKUP($A1261, NameDesignation[], 2,FALSE), " ")</f>
        <v>Former Director</v>
      </c>
      <c r="C1261" s="139" t="s">
        <v>30</v>
      </c>
      <c r="D1261" s="139">
        <v>460</v>
      </c>
      <c r="E1261" s="140">
        <v>45077</v>
      </c>
      <c r="F1261" s="139" t="str">
        <f t="shared" si="57"/>
        <v>Q2-23</v>
      </c>
      <c r="G1261" s="140" t="str">
        <f t="shared" si="58"/>
        <v>May'23</v>
      </c>
      <c r="H1261" s="140" t="str">
        <f>TEXT(RawData[[#This Row],[Date]], "YYYY")</f>
        <v>2023</v>
      </c>
      <c r="I1261" s="141" t="s">
        <v>32</v>
      </c>
      <c r="J1261" s="141" t="s">
        <v>90</v>
      </c>
      <c r="K1261" s="139">
        <f t="shared" si="59"/>
        <v>1</v>
      </c>
      <c r="L1261" s="142">
        <f>IF(RawData[[#This Row],[Paid/Unpaid]]="Paid", IF(VALUE($E1261)&gt;VALUE($D$3),$K1261* 10000,$K1261* 8000), 0)</f>
        <v>8000</v>
      </c>
      <c r="M1261" s="53" t="s">
        <v>146</v>
      </c>
    </row>
    <row r="1262" spans="1:13" ht="12.75" customHeight="1" x14ac:dyDescent="0.3">
      <c r="A1262" s="143" t="s">
        <v>137</v>
      </c>
      <c r="B1262" s="139" t="str">
        <f>IFERROR(VLOOKUP($A1262, NameDesignation[], 2,FALSE), " ")</f>
        <v>Former Director</v>
      </c>
      <c r="C1262" s="139" t="s">
        <v>30</v>
      </c>
      <c r="D1262" s="139">
        <v>460</v>
      </c>
      <c r="E1262" s="140">
        <v>45077</v>
      </c>
      <c r="F1262" s="139" t="str">
        <f t="shared" si="57"/>
        <v>Q2-23</v>
      </c>
      <c r="G1262" s="140" t="str">
        <f t="shared" si="58"/>
        <v>May'23</v>
      </c>
      <c r="H1262" s="140" t="str">
        <f>TEXT(RawData[[#This Row],[Date]], "YYYY")</f>
        <v>2023</v>
      </c>
      <c r="I1262" s="141" t="s">
        <v>32</v>
      </c>
      <c r="J1262" s="141" t="s">
        <v>90</v>
      </c>
      <c r="K1262" s="139">
        <f t="shared" si="59"/>
        <v>1</v>
      </c>
      <c r="L1262" s="142">
        <f>IF(RawData[[#This Row],[Paid/Unpaid]]="Paid", IF(VALUE($E1262)&gt;VALUE($D$3),$K1262* 10000,$K1262* 8000), 0)</f>
        <v>8000</v>
      </c>
      <c r="M1262" s="53" t="s">
        <v>146</v>
      </c>
    </row>
    <row r="1263" spans="1:13" ht="12.75" customHeight="1" x14ac:dyDescent="0.3">
      <c r="A1263" s="143" t="s">
        <v>13</v>
      </c>
      <c r="B1263" s="139" t="str">
        <f>IFERROR(VLOOKUP($A1263, NameDesignation[], 2,FALSE), " ")</f>
        <v>Former Director</v>
      </c>
      <c r="C1263" s="139" t="s">
        <v>30</v>
      </c>
      <c r="D1263" s="139">
        <v>460</v>
      </c>
      <c r="E1263" s="140">
        <v>45077</v>
      </c>
      <c r="F1263" s="139" t="str">
        <f t="shared" si="57"/>
        <v>Q2-23</v>
      </c>
      <c r="G1263" s="140" t="str">
        <f t="shared" si="58"/>
        <v>May'23</v>
      </c>
      <c r="H1263" s="140" t="str">
        <f>TEXT(RawData[[#This Row],[Date]], "YYYY")</f>
        <v>2023</v>
      </c>
      <c r="I1263" s="141" t="s">
        <v>32</v>
      </c>
      <c r="J1263" s="141" t="s">
        <v>90</v>
      </c>
      <c r="K1263" s="139">
        <f t="shared" si="59"/>
        <v>1</v>
      </c>
      <c r="L1263" s="142">
        <f>IF(RawData[[#This Row],[Paid/Unpaid]]="Paid", IF(VALUE($E1263)&gt;VALUE($D$3),$K1263* 10000,$K1263* 8000), 0)</f>
        <v>8000</v>
      </c>
      <c r="M1263" s="53" t="s">
        <v>146</v>
      </c>
    </row>
    <row r="1264" spans="1:13" ht="12.75" customHeight="1" x14ac:dyDescent="0.3">
      <c r="A1264" s="143" t="s">
        <v>7</v>
      </c>
      <c r="B1264" s="139" t="str">
        <f>IFERROR(VLOOKUP($A1264, NameDesignation[], 2,FALSE), " ")</f>
        <v>Former Director</v>
      </c>
      <c r="C1264" s="139" t="s">
        <v>29</v>
      </c>
      <c r="D1264" s="139">
        <v>484</v>
      </c>
      <c r="E1264" s="140">
        <v>45099</v>
      </c>
      <c r="F1264" s="139" t="str">
        <f t="shared" si="57"/>
        <v>Q2-23</v>
      </c>
      <c r="G1264" s="140" t="str">
        <f t="shared" si="58"/>
        <v>Jun'23</v>
      </c>
      <c r="H1264" s="140" t="str">
        <f>TEXT(RawData[[#This Row],[Date]], "YYYY")</f>
        <v>2023</v>
      </c>
      <c r="I1264" s="141" t="s">
        <v>32</v>
      </c>
      <c r="J1264" s="141" t="s">
        <v>90</v>
      </c>
      <c r="K1264" s="139">
        <f t="shared" si="59"/>
        <v>1</v>
      </c>
      <c r="L1264" s="142">
        <f>IF(RawData[[#This Row],[Paid/Unpaid]]="Paid", IF(VALUE($E1264)&gt;VALUE($D$3),$K1264* 10000,$K1264* 8000), 0)</f>
        <v>8000</v>
      </c>
      <c r="M1264" s="53" t="s">
        <v>146</v>
      </c>
    </row>
    <row r="1265" spans="1:13" ht="12.75" customHeight="1" x14ac:dyDescent="0.3">
      <c r="A1265" s="143" t="s">
        <v>8</v>
      </c>
      <c r="B1265" s="139" t="str">
        <f>IFERROR(VLOOKUP($A1265, NameDesignation[], 2,FALSE), " ")</f>
        <v>Former Vice-Chairman</v>
      </c>
      <c r="C1265" s="139" t="s">
        <v>29</v>
      </c>
      <c r="D1265" s="139">
        <v>484</v>
      </c>
      <c r="E1265" s="140">
        <v>45099</v>
      </c>
      <c r="F1265" s="139" t="str">
        <f t="shared" si="57"/>
        <v>Q2-23</v>
      </c>
      <c r="G1265" s="140" t="str">
        <f t="shared" si="58"/>
        <v>Jun'23</v>
      </c>
      <c r="H1265" s="140" t="str">
        <f>TEXT(RawData[[#This Row],[Date]], "YYYY")</f>
        <v>2023</v>
      </c>
      <c r="I1265" s="141" t="s">
        <v>32</v>
      </c>
      <c r="J1265" s="141" t="s">
        <v>91</v>
      </c>
      <c r="K1265" s="139">
        <f t="shared" si="59"/>
        <v>0</v>
      </c>
      <c r="L1265" s="142">
        <f>IF(RawData[[#This Row],[Paid/Unpaid]]="Paid", IF(VALUE($E1265)&gt;VALUE($D$3),$K1265* 10000,$K1265* 8000), 0)</f>
        <v>0</v>
      </c>
      <c r="M1265" s="53" t="s">
        <v>146</v>
      </c>
    </row>
    <row r="1266" spans="1:13" ht="12.75" customHeight="1" x14ac:dyDescent="0.3">
      <c r="A1266" s="143" t="s">
        <v>9</v>
      </c>
      <c r="B1266" s="139" t="str">
        <f>IFERROR(VLOOKUP($A1266, NameDesignation[], 2,FALSE), " ")</f>
        <v>Former Director</v>
      </c>
      <c r="C1266" s="139" t="s">
        <v>29</v>
      </c>
      <c r="D1266" s="139">
        <v>484</v>
      </c>
      <c r="E1266" s="140">
        <v>45099</v>
      </c>
      <c r="F1266" s="139" t="str">
        <f t="shared" si="57"/>
        <v>Q2-23</v>
      </c>
      <c r="G1266" s="140" t="str">
        <f t="shared" si="58"/>
        <v>Jun'23</v>
      </c>
      <c r="H1266" s="140" t="str">
        <f>TEXT(RawData[[#This Row],[Date]], "YYYY")</f>
        <v>2023</v>
      </c>
      <c r="I1266" s="141" t="s">
        <v>32</v>
      </c>
      <c r="J1266" s="141" t="s">
        <v>90</v>
      </c>
      <c r="K1266" s="139">
        <f t="shared" si="59"/>
        <v>1</v>
      </c>
      <c r="L1266" s="142">
        <f>IF(RawData[[#This Row],[Paid/Unpaid]]="Paid", IF(VALUE($E1266)&gt;VALUE($D$3),$K1266* 10000,$K1266* 8000), 0)</f>
        <v>8000</v>
      </c>
      <c r="M1266" s="53" t="s">
        <v>146</v>
      </c>
    </row>
    <row r="1267" spans="1:13" ht="12.75" customHeight="1" x14ac:dyDescent="0.3">
      <c r="A1267" s="143" t="s">
        <v>20</v>
      </c>
      <c r="B1267" s="139" t="str">
        <f>IFERROR(VLOOKUP($A1267, NameDesignation[], 2,FALSE), " ")</f>
        <v>Former Independent Director</v>
      </c>
      <c r="C1267" s="139" t="s">
        <v>29</v>
      </c>
      <c r="D1267" s="139">
        <v>484</v>
      </c>
      <c r="E1267" s="140">
        <v>45099</v>
      </c>
      <c r="F1267" s="139" t="str">
        <f t="shared" si="57"/>
        <v>Q2-23</v>
      </c>
      <c r="G1267" s="140" t="str">
        <f t="shared" si="58"/>
        <v>Jun'23</v>
      </c>
      <c r="H1267" s="140" t="str">
        <f>TEXT(RawData[[#This Row],[Date]], "YYYY")</f>
        <v>2023</v>
      </c>
      <c r="I1267" s="141" t="s">
        <v>32</v>
      </c>
      <c r="J1267" s="141" t="s">
        <v>90</v>
      </c>
      <c r="K1267" s="139">
        <f t="shared" si="59"/>
        <v>1</v>
      </c>
      <c r="L1267" s="142">
        <f>IF(RawData[[#This Row],[Paid/Unpaid]]="Paid", IF(VALUE($E1267)&gt;VALUE($D$3),$K1267* 10000,$K1267* 8000), 0)</f>
        <v>8000</v>
      </c>
      <c r="M1267" s="53" t="s">
        <v>146</v>
      </c>
    </row>
    <row r="1268" spans="1:13" ht="12.75" customHeight="1" x14ac:dyDescent="0.3">
      <c r="A1268" s="143" t="s">
        <v>49</v>
      </c>
      <c r="B1268" s="139" t="str">
        <f>IFERROR(VLOOKUP($A1268, NameDesignation[], 2,FALSE), " ")</f>
        <v>Former Director</v>
      </c>
      <c r="C1268" s="139" t="s">
        <v>29</v>
      </c>
      <c r="D1268" s="139">
        <v>484</v>
      </c>
      <c r="E1268" s="140">
        <v>45099</v>
      </c>
      <c r="F1268" s="139" t="str">
        <f t="shared" si="57"/>
        <v>Q2-23</v>
      </c>
      <c r="G1268" s="140" t="str">
        <f t="shared" si="58"/>
        <v>Jun'23</v>
      </c>
      <c r="H1268" s="140" t="str">
        <f>TEXT(RawData[[#This Row],[Date]], "YYYY")</f>
        <v>2023</v>
      </c>
      <c r="I1268" s="141" t="s">
        <v>32</v>
      </c>
      <c r="J1268" s="141" t="s">
        <v>90</v>
      </c>
      <c r="K1268" s="139">
        <f t="shared" si="59"/>
        <v>1</v>
      </c>
      <c r="L1268" s="142">
        <f>IF(RawData[[#This Row],[Paid/Unpaid]]="Paid", IF(VALUE($E1268)&gt;VALUE($D$3),$K1268* 10000,$K1268* 8000), 0)</f>
        <v>8000</v>
      </c>
      <c r="M1268" s="53" t="s">
        <v>146</v>
      </c>
    </row>
    <row r="1269" spans="1:13" ht="12.75" customHeight="1" x14ac:dyDescent="0.3">
      <c r="A1269" s="143" t="s">
        <v>11</v>
      </c>
      <c r="B1269" s="139" t="str">
        <f>IFERROR(VLOOKUP($A1269, NameDesignation[], 2,FALSE), " ")</f>
        <v>Former Director</v>
      </c>
      <c r="C1269" s="139" t="s">
        <v>29</v>
      </c>
      <c r="D1269" s="139">
        <v>484</v>
      </c>
      <c r="E1269" s="140">
        <v>45099</v>
      </c>
      <c r="F1269" s="139" t="str">
        <f t="shared" si="57"/>
        <v>Q2-23</v>
      </c>
      <c r="G1269" s="140" t="str">
        <f t="shared" si="58"/>
        <v>Jun'23</v>
      </c>
      <c r="H1269" s="140" t="str">
        <f>TEXT(RawData[[#This Row],[Date]], "YYYY")</f>
        <v>2023</v>
      </c>
      <c r="I1269" s="141" t="s">
        <v>32</v>
      </c>
      <c r="J1269" s="141" t="s">
        <v>90</v>
      </c>
      <c r="K1269" s="139">
        <f t="shared" si="59"/>
        <v>1</v>
      </c>
      <c r="L1269" s="142">
        <f>IF(RawData[[#This Row],[Paid/Unpaid]]="Paid", IF(VALUE($E1269)&gt;VALUE($D$3),$K1269* 10000,$K1269* 8000), 0)</f>
        <v>8000</v>
      </c>
      <c r="M1269" s="53" t="s">
        <v>146</v>
      </c>
    </row>
    <row r="1270" spans="1:13" ht="12.75" customHeight="1" x14ac:dyDescent="0.3">
      <c r="A1270" s="143" t="s">
        <v>12</v>
      </c>
      <c r="B1270" s="139" t="str">
        <f>IFERROR(VLOOKUP($A1270, NameDesignation[], 2,FALSE), " ")</f>
        <v>Former Director</v>
      </c>
      <c r="C1270" s="139" t="s">
        <v>29</v>
      </c>
      <c r="D1270" s="139">
        <v>484</v>
      </c>
      <c r="E1270" s="140">
        <v>45099</v>
      </c>
      <c r="F1270" s="139" t="str">
        <f t="shared" si="57"/>
        <v>Q2-23</v>
      </c>
      <c r="G1270" s="140" t="str">
        <f t="shared" si="58"/>
        <v>Jun'23</v>
      </c>
      <c r="H1270" s="140" t="str">
        <f>TEXT(RawData[[#This Row],[Date]], "YYYY")</f>
        <v>2023</v>
      </c>
      <c r="I1270" s="141" t="s">
        <v>32</v>
      </c>
      <c r="J1270" s="141" t="s">
        <v>90</v>
      </c>
      <c r="K1270" s="139">
        <f t="shared" si="59"/>
        <v>1</v>
      </c>
      <c r="L1270" s="142">
        <f>IF(RawData[[#This Row],[Paid/Unpaid]]="Paid", IF(VALUE($E1270)&gt;VALUE($D$3),$K1270* 10000,$K1270* 8000), 0)</f>
        <v>8000</v>
      </c>
      <c r="M1270" s="53" t="s">
        <v>146</v>
      </c>
    </row>
    <row r="1271" spans="1:13" ht="12.75" customHeight="1" x14ac:dyDescent="0.3">
      <c r="A1271" s="143" t="s">
        <v>137</v>
      </c>
      <c r="B1271" s="139" t="str">
        <f>IFERROR(VLOOKUP($A1271, NameDesignation[], 2,FALSE), " ")</f>
        <v>Former Director</v>
      </c>
      <c r="C1271" s="139" t="s">
        <v>29</v>
      </c>
      <c r="D1271" s="139">
        <v>484</v>
      </c>
      <c r="E1271" s="140">
        <v>45099</v>
      </c>
      <c r="F1271" s="139" t="str">
        <f t="shared" si="57"/>
        <v>Q2-23</v>
      </c>
      <c r="G1271" s="140" t="str">
        <f t="shared" si="58"/>
        <v>Jun'23</v>
      </c>
      <c r="H1271" s="140" t="str">
        <f>TEXT(RawData[[#This Row],[Date]], "YYYY")</f>
        <v>2023</v>
      </c>
      <c r="I1271" s="141" t="s">
        <v>32</v>
      </c>
      <c r="J1271" s="141" t="s">
        <v>90</v>
      </c>
      <c r="K1271" s="139">
        <f t="shared" si="59"/>
        <v>1</v>
      </c>
      <c r="L1271" s="142">
        <f>IF(RawData[[#This Row],[Paid/Unpaid]]="Paid", IF(VALUE($E1271)&gt;VALUE($D$3),$K1271* 10000,$K1271* 8000), 0)</f>
        <v>8000</v>
      </c>
      <c r="M1271" s="53" t="s">
        <v>146</v>
      </c>
    </row>
    <row r="1272" spans="1:13" ht="12.75" customHeight="1" x14ac:dyDescent="0.3">
      <c r="A1272" s="143" t="s">
        <v>13</v>
      </c>
      <c r="B1272" s="139" t="str">
        <f>IFERROR(VLOOKUP($A1272, NameDesignation[], 2,FALSE), " ")</f>
        <v>Former Director</v>
      </c>
      <c r="C1272" s="139" t="s">
        <v>29</v>
      </c>
      <c r="D1272" s="139">
        <v>484</v>
      </c>
      <c r="E1272" s="140">
        <v>45099</v>
      </c>
      <c r="F1272" s="139" t="str">
        <f t="shared" si="57"/>
        <v>Q2-23</v>
      </c>
      <c r="G1272" s="140" t="str">
        <f t="shared" si="58"/>
        <v>Jun'23</v>
      </c>
      <c r="H1272" s="140" t="str">
        <f>TEXT(RawData[[#This Row],[Date]], "YYYY")</f>
        <v>2023</v>
      </c>
      <c r="I1272" s="141" t="s">
        <v>32</v>
      </c>
      <c r="J1272" s="141" t="s">
        <v>91</v>
      </c>
      <c r="K1272" s="139">
        <f t="shared" si="59"/>
        <v>0</v>
      </c>
      <c r="L1272" s="142">
        <f>IF(RawData[[#This Row],[Paid/Unpaid]]="Paid", IF(VALUE($E1272)&gt;VALUE($D$3),$K1272* 10000,$K1272* 8000), 0)</f>
        <v>0</v>
      </c>
      <c r="M1272" s="53" t="s">
        <v>146</v>
      </c>
    </row>
    <row r="1273" spans="1:13" ht="12.75" customHeight="1" x14ac:dyDescent="0.3">
      <c r="A1273" s="143" t="s">
        <v>61</v>
      </c>
      <c r="B1273" s="139" t="str">
        <f>IFERROR(VLOOKUP($A1273, NameDesignation[], 2,FALSE), " ")</f>
        <v>Former Director</v>
      </c>
      <c r="C1273" s="139" t="s">
        <v>29</v>
      </c>
      <c r="D1273" s="139">
        <v>484</v>
      </c>
      <c r="E1273" s="140">
        <v>45099</v>
      </c>
      <c r="F1273" s="139" t="str">
        <f t="shared" si="57"/>
        <v>Q2-23</v>
      </c>
      <c r="G1273" s="140" t="str">
        <f t="shared" si="58"/>
        <v>Jun'23</v>
      </c>
      <c r="H1273" s="140" t="str">
        <f>TEXT(RawData[[#This Row],[Date]], "YYYY")</f>
        <v>2023</v>
      </c>
      <c r="I1273" s="141" t="s">
        <v>32</v>
      </c>
      <c r="J1273" s="141" t="s">
        <v>90</v>
      </c>
      <c r="K1273" s="139">
        <f t="shared" si="59"/>
        <v>1</v>
      </c>
      <c r="L1273" s="142">
        <f>IF(RawData[[#This Row],[Paid/Unpaid]]="Paid", IF(VALUE($E1273)&gt;VALUE($D$3),$K1273* 10000,$K1273* 8000), 0)</f>
        <v>8000</v>
      </c>
      <c r="M1273" s="53" t="s">
        <v>146</v>
      </c>
    </row>
    <row r="1274" spans="1:13" ht="12.75" customHeight="1" x14ac:dyDescent="0.3">
      <c r="A1274" s="143" t="s">
        <v>14</v>
      </c>
      <c r="B1274" s="139" t="str">
        <f>IFERROR(VLOOKUP($A1274, NameDesignation[], 2,FALSE), " ")</f>
        <v>Former Director</v>
      </c>
      <c r="C1274" s="139" t="s">
        <v>29</v>
      </c>
      <c r="D1274" s="139">
        <v>484</v>
      </c>
      <c r="E1274" s="140">
        <v>45099</v>
      </c>
      <c r="F1274" s="139" t="str">
        <f t="shared" si="57"/>
        <v>Q2-23</v>
      </c>
      <c r="G1274" s="140" t="str">
        <f t="shared" si="58"/>
        <v>Jun'23</v>
      </c>
      <c r="H1274" s="140" t="str">
        <f>TEXT(RawData[[#This Row],[Date]], "YYYY")</f>
        <v>2023</v>
      </c>
      <c r="I1274" s="141" t="s">
        <v>32</v>
      </c>
      <c r="J1274" s="141" t="s">
        <v>90</v>
      </c>
      <c r="K1274" s="139">
        <f t="shared" si="59"/>
        <v>1</v>
      </c>
      <c r="L1274" s="142">
        <f>IF(RawData[[#This Row],[Paid/Unpaid]]="Paid", IF(VALUE($E1274)&gt;VALUE($D$3),$K1274* 10000,$K1274* 8000), 0)</f>
        <v>8000</v>
      </c>
      <c r="M1274" s="53" t="s">
        <v>146</v>
      </c>
    </row>
    <row r="1275" spans="1:13" ht="12.75" customHeight="1" x14ac:dyDescent="0.3">
      <c r="A1275" s="143" t="s">
        <v>23</v>
      </c>
      <c r="B1275" s="139" t="str">
        <f>IFERROR(VLOOKUP($A1275, NameDesignation[], 2,FALSE), " ")</f>
        <v>Former Director</v>
      </c>
      <c r="C1275" s="139" t="s">
        <v>29</v>
      </c>
      <c r="D1275" s="139">
        <v>484</v>
      </c>
      <c r="E1275" s="140">
        <v>45099</v>
      </c>
      <c r="F1275" s="139" t="str">
        <f t="shared" si="57"/>
        <v>Q2-23</v>
      </c>
      <c r="G1275" s="140" t="str">
        <f t="shared" si="58"/>
        <v>Jun'23</v>
      </c>
      <c r="H1275" s="140" t="str">
        <f>TEXT(RawData[[#This Row],[Date]], "YYYY")</f>
        <v>2023</v>
      </c>
      <c r="I1275" s="141" t="s">
        <v>32</v>
      </c>
      <c r="J1275" s="141" t="s">
        <v>91</v>
      </c>
      <c r="K1275" s="139">
        <f t="shared" si="59"/>
        <v>0</v>
      </c>
      <c r="L1275" s="142">
        <f>IF(RawData[[#This Row],[Paid/Unpaid]]="Paid", IF(VALUE($E1275)&gt;VALUE($D$3),$K1275* 10000,$K1275* 8000), 0)</f>
        <v>0</v>
      </c>
      <c r="M1275" s="53" t="s">
        <v>146</v>
      </c>
    </row>
    <row r="1276" spans="1:13" ht="12.75" customHeight="1" x14ac:dyDescent="0.3">
      <c r="A1276" s="143" t="s">
        <v>24</v>
      </c>
      <c r="B1276" s="139" t="str">
        <f>IFERROR(VLOOKUP($A1276, NameDesignation[], 2,FALSE), " ")</f>
        <v>Former Director</v>
      </c>
      <c r="C1276" s="139" t="s">
        <v>29</v>
      </c>
      <c r="D1276" s="139">
        <v>484</v>
      </c>
      <c r="E1276" s="140">
        <v>45099</v>
      </c>
      <c r="F1276" s="139" t="str">
        <f t="shared" si="57"/>
        <v>Q2-23</v>
      </c>
      <c r="G1276" s="140" t="str">
        <f t="shared" si="58"/>
        <v>Jun'23</v>
      </c>
      <c r="H1276" s="140" t="str">
        <f>TEXT(RawData[[#This Row],[Date]], "YYYY")</f>
        <v>2023</v>
      </c>
      <c r="I1276" s="141" t="s">
        <v>32</v>
      </c>
      <c r="J1276" s="141" t="s">
        <v>90</v>
      </c>
      <c r="K1276" s="139">
        <f t="shared" si="59"/>
        <v>1</v>
      </c>
      <c r="L1276" s="142">
        <f>IF(RawData[[#This Row],[Paid/Unpaid]]="Paid", IF(VALUE($E1276)&gt;VALUE($D$3),$K1276* 10000,$K1276* 8000), 0)</f>
        <v>8000</v>
      </c>
      <c r="M1276" s="53" t="s">
        <v>146</v>
      </c>
    </row>
    <row r="1277" spans="1:13" ht="12.75" customHeight="1" x14ac:dyDescent="0.3">
      <c r="A1277" s="143" t="s">
        <v>15</v>
      </c>
      <c r="B1277" s="139" t="str">
        <f>IFERROR(VLOOKUP($A1277, NameDesignation[], 2,FALSE), " ")</f>
        <v>Former Director</v>
      </c>
      <c r="C1277" s="139" t="s">
        <v>29</v>
      </c>
      <c r="D1277" s="139">
        <v>484</v>
      </c>
      <c r="E1277" s="140">
        <v>45099</v>
      </c>
      <c r="F1277" s="139" t="str">
        <f t="shared" si="57"/>
        <v>Q2-23</v>
      </c>
      <c r="G1277" s="140" t="str">
        <f t="shared" si="58"/>
        <v>Jun'23</v>
      </c>
      <c r="H1277" s="140" t="str">
        <f>TEXT(RawData[[#This Row],[Date]], "YYYY")</f>
        <v>2023</v>
      </c>
      <c r="I1277" s="141" t="s">
        <v>32</v>
      </c>
      <c r="J1277" s="141" t="s">
        <v>90</v>
      </c>
      <c r="K1277" s="139">
        <f t="shared" si="59"/>
        <v>1</v>
      </c>
      <c r="L1277" s="142">
        <f>IF(RawData[[#This Row],[Paid/Unpaid]]="Paid", IF(VALUE($E1277)&gt;VALUE($D$3),$K1277* 10000,$K1277* 8000), 0)</f>
        <v>8000</v>
      </c>
      <c r="M1277" s="53" t="s">
        <v>146</v>
      </c>
    </row>
    <row r="1278" spans="1:13" ht="12.75" customHeight="1" x14ac:dyDescent="0.3">
      <c r="A1278" s="143" t="s">
        <v>16</v>
      </c>
      <c r="B1278" s="139" t="str">
        <f>IFERROR(VLOOKUP($A1278, NameDesignation[], 2,FALSE), " ")</f>
        <v>Former Director</v>
      </c>
      <c r="C1278" s="139" t="s">
        <v>29</v>
      </c>
      <c r="D1278" s="139">
        <v>484</v>
      </c>
      <c r="E1278" s="140">
        <v>45099</v>
      </c>
      <c r="F1278" s="139" t="str">
        <f t="shared" si="57"/>
        <v>Q2-23</v>
      </c>
      <c r="G1278" s="140" t="str">
        <f t="shared" si="58"/>
        <v>Jun'23</v>
      </c>
      <c r="H1278" s="140" t="str">
        <f>TEXT(RawData[[#This Row],[Date]], "YYYY")</f>
        <v>2023</v>
      </c>
      <c r="I1278" s="141" t="s">
        <v>32</v>
      </c>
      <c r="J1278" s="141" t="s">
        <v>90</v>
      </c>
      <c r="K1278" s="139">
        <f t="shared" si="59"/>
        <v>1</v>
      </c>
      <c r="L1278" s="142">
        <f>IF(RawData[[#This Row],[Paid/Unpaid]]="Paid", IF(VALUE($E1278)&gt;VALUE($D$3),$K1278* 10000,$K1278* 8000), 0)</f>
        <v>8000</v>
      </c>
      <c r="M1278" s="53" t="s">
        <v>146</v>
      </c>
    </row>
    <row r="1279" spans="1:13" ht="12.75" customHeight="1" x14ac:dyDescent="0.3">
      <c r="A1279" s="143" t="s">
        <v>21</v>
      </c>
      <c r="B1279" s="139" t="str">
        <f>IFERROR(VLOOKUP($A1279, NameDesignation[], 2,FALSE), " ")</f>
        <v>Former Independent Director</v>
      </c>
      <c r="C1279" s="139" t="s">
        <v>29</v>
      </c>
      <c r="D1279" s="139">
        <v>484</v>
      </c>
      <c r="E1279" s="140">
        <v>45099</v>
      </c>
      <c r="F1279" s="139" t="str">
        <f t="shared" si="57"/>
        <v>Q2-23</v>
      </c>
      <c r="G1279" s="140" t="str">
        <f t="shared" si="58"/>
        <v>Jun'23</v>
      </c>
      <c r="H1279" s="140" t="str">
        <f>TEXT(RawData[[#This Row],[Date]], "YYYY")</f>
        <v>2023</v>
      </c>
      <c r="I1279" s="141" t="s">
        <v>32</v>
      </c>
      <c r="J1279" s="141" t="s">
        <v>90</v>
      </c>
      <c r="K1279" s="139">
        <f t="shared" si="59"/>
        <v>1</v>
      </c>
      <c r="L1279" s="142">
        <f>IF(RawData[[#This Row],[Paid/Unpaid]]="Paid", IF(VALUE($E1279)&gt;VALUE($D$3),$K1279* 10000,$K1279* 8000), 0)</f>
        <v>8000</v>
      </c>
      <c r="M1279" s="53" t="s">
        <v>146</v>
      </c>
    </row>
    <row r="1280" spans="1:13" ht="12.75" customHeight="1" x14ac:dyDescent="0.3">
      <c r="A1280" s="143" t="s">
        <v>17</v>
      </c>
      <c r="B1280" s="139" t="str">
        <f>IFERROR(VLOOKUP($A1280, NameDesignation[], 2,FALSE), " ")</f>
        <v>Former Independent Director</v>
      </c>
      <c r="C1280" s="139" t="s">
        <v>29</v>
      </c>
      <c r="D1280" s="139">
        <v>484</v>
      </c>
      <c r="E1280" s="140">
        <v>45099</v>
      </c>
      <c r="F1280" s="139" t="str">
        <f t="shared" si="57"/>
        <v>Q2-23</v>
      </c>
      <c r="G1280" s="140" t="str">
        <f t="shared" si="58"/>
        <v>Jun'23</v>
      </c>
      <c r="H1280" s="140" t="str">
        <f>TEXT(RawData[[#This Row],[Date]], "YYYY")</f>
        <v>2023</v>
      </c>
      <c r="I1280" s="141" t="s">
        <v>32</v>
      </c>
      <c r="J1280" s="141" t="s">
        <v>90</v>
      </c>
      <c r="K1280" s="139">
        <f t="shared" si="59"/>
        <v>1</v>
      </c>
      <c r="L1280" s="142">
        <f>IF(RawData[[#This Row],[Paid/Unpaid]]="Paid", IF(VALUE($E1280)&gt;VALUE($D$3),$K1280* 10000,$K1280* 8000), 0)</f>
        <v>8000</v>
      </c>
      <c r="M1280" s="53" t="s">
        <v>146</v>
      </c>
    </row>
    <row r="1281" spans="1:13" ht="12.75" customHeight="1" x14ac:dyDescent="0.3">
      <c r="A1281" s="143" t="s">
        <v>34</v>
      </c>
      <c r="B1281" s="139" t="str">
        <f>IFERROR(VLOOKUP($A1281, NameDesignation[], 2,FALSE), " ")</f>
        <v>Former Managing Director &amp; CEO</v>
      </c>
      <c r="C1281" s="139" t="s">
        <v>29</v>
      </c>
      <c r="D1281" s="139">
        <v>484</v>
      </c>
      <c r="E1281" s="140">
        <v>45099</v>
      </c>
      <c r="F1281" s="139" t="str">
        <f t="shared" si="57"/>
        <v>Q2-23</v>
      </c>
      <c r="G1281" s="140" t="str">
        <f t="shared" si="58"/>
        <v>Jun'23</v>
      </c>
      <c r="H1281" s="140" t="str">
        <f>TEXT(RawData[[#This Row],[Date]], "YYYY")</f>
        <v>2023</v>
      </c>
      <c r="I1281" s="141" t="s">
        <v>32</v>
      </c>
      <c r="J1281" s="141" t="s">
        <v>90</v>
      </c>
      <c r="K1281" s="139">
        <f t="shared" si="59"/>
        <v>1</v>
      </c>
      <c r="L1281" s="142">
        <f>IF(RawData[[#This Row],[Paid/Unpaid]]="Paid", IF(VALUE($E1281)&gt;VALUE($D$3),$K1281* 10000,$K1281* 8000), 0)</f>
        <v>8000</v>
      </c>
      <c r="M1281" s="53" t="s">
        <v>146</v>
      </c>
    </row>
    <row r="1282" spans="1:13" ht="12.75" customHeight="1" x14ac:dyDescent="0.3">
      <c r="A1282" s="143" t="s">
        <v>9</v>
      </c>
      <c r="B1282" s="139" t="str">
        <f>IFERROR(VLOOKUP($A1282, NameDesignation[], 2,FALSE), " ")</f>
        <v>Former Director</v>
      </c>
      <c r="C1282" s="139" t="s">
        <v>30</v>
      </c>
      <c r="D1282" s="139">
        <v>461</v>
      </c>
      <c r="E1282" s="140">
        <v>45099</v>
      </c>
      <c r="F1282" s="139" t="str">
        <f t="shared" si="57"/>
        <v>Q2-23</v>
      </c>
      <c r="G1282" s="140" t="str">
        <f t="shared" si="58"/>
        <v>Jun'23</v>
      </c>
      <c r="H1282" s="140" t="str">
        <f>TEXT(RawData[[#This Row],[Date]], "YYYY")</f>
        <v>2023</v>
      </c>
      <c r="I1282" s="141" t="s">
        <v>32</v>
      </c>
      <c r="J1282" s="141" t="s">
        <v>90</v>
      </c>
      <c r="K1282" s="139">
        <f t="shared" si="59"/>
        <v>1</v>
      </c>
      <c r="L1282" s="142">
        <f>IF(RawData[[#This Row],[Paid/Unpaid]]="Paid", IF(VALUE($E1282)&gt;VALUE($D$3),$K1282* 10000,$K1282* 8000), 0)</f>
        <v>8000</v>
      </c>
      <c r="M1282" s="53" t="s">
        <v>146</v>
      </c>
    </row>
    <row r="1283" spans="1:13" ht="12.75" customHeight="1" x14ac:dyDescent="0.3">
      <c r="A1283" s="143" t="s">
        <v>8</v>
      </c>
      <c r="B1283" s="139" t="str">
        <f>IFERROR(VLOOKUP($A1283, NameDesignation[], 2,FALSE), " ")</f>
        <v>Former Vice-Chairman</v>
      </c>
      <c r="C1283" s="139" t="s">
        <v>30</v>
      </c>
      <c r="D1283" s="139">
        <v>461</v>
      </c>
      <c r="E1283" s="140">
        <v>45099</v>
      </c>
      <c r="F1283" s="139" t="str">
        <f t="shared" si="57"/>
        <v>Q2-23</v>
      </c>
      <c r="G1283" s="140" t="str">
        <f t="shared" si="58"/>
        <v>Jun'23</v>
      </c>
      <c r="H1283" s="140" t="str">
        <f>TEXT(RawData[[#This Row],[Date]], "YYYY")</f>
        <v>2023</v>
      </c>
      <c r="I1283" s="141" t="s">
        <v>32</v>
      </c>
      <c r="J1283" s="141" t="s">
        <v>91</v>
      </c>
      <c r="K1283" s="139">
        <f t="shared" si="59"/>
        <v>0</v>
      </c>
      <c r="L1283" s="142">
        <f>IF(RawData[[#This Row],[Paid/Unpaid]]="Paid", IF(VALUE($E1283)&gt;VALUE($D$3),$K1283* 10000,$K1283* 8000), 0)</f>
        <v>0</v>
      </c>
      <c r="M1283" s="53" t="s">
        <v>146</v>
      </c>
    </row>
    <row r="1284" spans="1:13" ht="12.75" customHeight="1" x14ac:dyDescent="0.3">
      <c r="A1284" s="143" t="s">
        <v>49</v>
      </c>
      <c r="B1284" s="139" t="str">
        <f>IFERROR(VLOOKUP($A1284, NameDesignation[], 2,FALSE), " ")</f>
        <v>Former Director</v>
      </c>
      <c r="C1284" s="139" t="s">
        <v>30</v>
      </c>
      <c r="D1284" s="139">
        <v>461</v>
      </c>
      <c r="E1284" s="140">
        <v>45099</v>
      </c>
      <c r="F1284" s="139" t="str">
        <f t="shared" si="57"/>
        <v>Q2-23</v>
      </c>
      <c r="G1284" s="140" t="str">
        <f t="shared" si="58"/>
        <v>Jun'23</v>
      </c>
      <c r="H1284" s="140" t="str">
        <f>TEXT(RawData[[#This Row],[Date]], "YYYY")</f>
        <v>2023</v>
      </c>
      <c r="I1284" s="141" t="s">
        <v>32</v>
      </c>
      <c r="J1284" s="141" t="s">
        <v>90</v>
      </c>
      <c r="K1284" s="139">
        <f t="shared" si="59"/>
        <v>1</v>
      </c>
      <c r="L1284" s="142">
        <f>IF(RawData[[#This Row],[Paid/Unpaid]]="Paid", IF(VALUE($E1284)&gt;VALUE($D$3),$K1284* 10000,$K1284* 8000), 0)</f>
        <v>8000</v>
      </c>
      <c r="M1284" s="53" t="s">
        <v>146</v>
      </c>
    </row>
    <row r="1285" spans="1:13" ht="12.75" customHeight="1" x14ac:dyDescent="0.3">
      <c r="A1285" s="143" t="s">
        <v>11</v>
      </c>
      <c r="B1285" s="139" t="str">
        <f>IFERROR(VLOOKUP($A1285, NameDesignation[], 2,FALSE), " ")</f>
        <v>Former Director</v>
      </c>
      <c r="C1285" s="139" t="s">
        <v>30</v>
      </c>
      <c r="D1285" s="139">
        <v>461</v>
      </c>
      <c r="E1285" s="140">
        <v>45099</v>
      </c>
      <c r="F1285" s="139" t="str">
        <f t="shared" si="57"/>
        <v>Q2-23</v>
      </c>
      <c r="G1285" s="140" t="str">
        <f t="shared" si="58"/>
        <v>Jun'23</v>
      </c>
      <c r="H1285" s="140" t="str">
        <f>TEXT(RawData[[#This Row],[Date]], "YYYY")</f>
        <v>2023</v>
      </c>
      <c r="I1285" s="141" t="s">
        <v>32</v>
      </c>
      <c r="J1285" s="141" t="s">
        <v>90</v>
      </c>
      <c r="K1285" s="139">
        <f t="shared" si="59"/>
        <v>1</v>
      </c>
      <c r="L1285" s="142">
        <f>IF(RawData[[#This Row],[Paid/Unpaid]]="Paid", IF(VALUE($E1285)&gt;VALUE($D$3),$K1285* 10000,$K1285* 8000), 0)</f>
        <v>8000</v>
      </c>
      <c r="M1285" s="53" t="s">
        <v>146</v>
      </c>
    </row>
    <row r="1286" spans="1:13" ht="12.75" customHeight="1" x14ac:dyDescent="0.3">
      <c r="A1286" s="143" t="s">
        <v>137</v>
      </c>
      <c r="B1286" s="139" t="str">
        <f>IFERROR(VLOOKUP($A1286, NameDesignation[], 2,FALSE), " ")</f>
        <v>Former Director</v>
      </c>
      <c r="C1286" s="139" t="s">
        <v>30</v>
      </c>
      <c r="D1286" s="139">
        <v>461</v>
      </c>
      <c r="E1286" s="140">
        <v>45099</v>
      </c>
      <c r="F1286" s="139" t="str">
        <f t="shared" ref="F1286:F1349" si="60">CONCATENATE("Q", ROUNDUP(MONTH($E1286)/3,0),"-",TEXT($E1286, "yy"))</f>
        <v>Q2-23</v>
      </c>
      <c r="G1286" s="140" t="str">
        <f t="shared" ref="G1286:G1349" si="61">CONCATENATE(TEXT($E1286, "mmm"),"'", TEXT($E1286, "yy"))</f>
        <v>Jun'23</v>
      </c>
      <c r="H1286" s="140" t="str">
        <f>TEXT(RawData[[#This Row],[Date]], "YYYY")</f>
        <v>2023</v>
      </c>
      <c r="I1286" s="141" t="s">
        <v>32</v>
      </c>
      <c r="J1286" s="141" t="s">
        <v>90</v>
      </c>
      <c r="K1286" s="139">
        <f t="shared" ref="K1286:K1349" si="62">IF($J1286="Present", 1, 0)</f>
        <v>1</v>
      </c>
      <c r="L1286" s="142">
        <f>IF(RawData[[#This Row],[Paid/Unpaid]]="Paid", IF(VALUE($E1286)&gt;VALUE($D$3),$K1286* 10000,$K1286* 8000), 0)</f>
        <v>8000</v>
      </c>
      <c r="M1286" s="53" t="s">
        <v>146</v>
      </c>
    </row>
    <row r="1287" spans="1:13" ht="12.75" customHeight="1" x14ac:dyDescent="0.3">
      <c r="A1287" s="143" t="s">
        <v>13</v>
      </c>
      <c r="B1287" s="139" t="str">
        <f>IFERROR(VLOOKUP($A1287, NameDesignation[], 2,FALSE), " ")</f>
        <v>Former Director</v>
      </c>
      <c r="C1287" s="139" t="s">
        <v>30</v>
      </c>
      <c r="D1287" s="139">
        <v>461</v>
      </c>
      <c r="E1287" s="140">
        <v>45099</v>
      </c>
      <c r="F1287" s="139" t="str">
        <f t="shared" si="60"/>
        <v>Q2-23</v>
      </c>
      <c r="G1287" s="140" t="str">
        <f t="shared" si="61"/>
        <v>Jun'23</v>
      </c>
      <c r="H1287" s="140" t="str">
        <f>TEXT(RawData[[#This Row],[Date]], "YYYY")</f>
        <v>2023</v>
      </c>
      <c r="I1287" s="141" t="s">
        <v>32</v>
      </c>
      <c r="J1287" s="141" t="s">
        <v>91</v>
      </c>
      <c r="K1287" s="139">
        <f t="shared" si="62"/>
        <v>0</v>
      </c>
      <c r="L1287" s="142">
        <f>IF(RawData[[#This Row],[Paid/Unpaid]]="Paid", IF(VALUE($E1287)&gt;VALUE($D$3),$K1287* 10000,$K1287* 8000), 0)</f>
        <v>0</v>
      </c>
      <c r="M1287" s="53" t="s">
        <v>146</v>
      </c>
    </row>
    <row r="1288" spans="1:13" ht="12.75" customHeight="1" x14ac:dyDescent="0.3">
      <c r="A1288" s="143" t="s">
        <v>49</v>
      </c>
      <c r="B1288" s="139" t="str">
        <f>IFERROR(VLOOKUP($A1288, NameDesignation[], 2,FALSE), " ")</f>
        <v>Former Director</v>
      </c>
      <c r="C1288" s="139" t="s">
        <v>38</v>
      </c>
      <c r="D1288" s="139">
        <v>39</v>
      </c>
      <c r="E1288" s="140">
        <v>45099</v>
      </c>
      <c r="F1288" s="139" t="str">
        <f t="shared" si="60"/>
        <v>Q2-23</v>
      </c>
      <c r="G1288" s="140" t="str">
        <f t="shared" si="61"/>
        <v>Jun'23</v>
      </c>
      <c r="H1288" s="140" t="str">
        <f>TEXT(RawData[[#This Row],[Date]], "YYYY")</f>
        <v>2023</v>
      </c>
      <c r="I1288" s="141" t="s">
        <v>32</v>
      </c>
      <c r="J1288" s="141" t="s">
        <v>90</v>
      </c>
      <c r="K1288" s="139">
        <f t="shared" si="62"/>
        <v>1</v>
      </c>
      <c r="L1288" s="142">
        <f>IF(RawData[[#This Row],[Paid/Unpaid]]="Paid", IF(VALUE($E1288)&gt;VALUE($D$3),$K1288* 10000,$K1288* 8000), 0)</f>
        <v>8000</v>
      </c>
      <c r="M1288" s="53" t="s">
        <v>146</v>
      </c>
    </row>
    <row r="1289" spans="1:13" ht="12.75" customHeight="1" x14ac:dyDescent="0.3">
      <c r="A1289" s="143" t="s">
        <v>9</v>
      </c>
      <c r="B1289" s="139" t="str">
        <f>IFERROR(VLOOKUP($A1289, NameDesignation[], 2,FALSE), " ")</f>
        <v>Former Director</v>
      </c>
      <c r="C1289" s="139" t="s">
        <v>38</v>
      </c>
      <c r="D1289" s="139">
        <v>39</v>
      </c>
      <c r="E1289" s="140">
        <v>45099</v>
      </c>
      <c r="F1289" s="139" t="str">
        <f t="shared" si="60"/>
        <v>Q2-23</v>
      </c>
      <c r="G1289" s="140" t="str">
        <f t="shared" si="61"/>
        <v>Jun'23</v>
      </c>
      <c r="H1289" s="140" t="str">
        <f>TEXT(RawData[[#This Row],[Date]], "YYYY")</f>
        <v>2023</v>
      </c>
      <c r="I1289" s="141" t="s">
        <v>32</v>
      </c>
      <c r="J1289" s="141" t="s">
        <v>90</v>
      </c>
      <c r="K1289" s="139">
        <f t="shared" si="62"/>
        <v>1</v>
      </c>
      <c r="L1289" s="142">
        <f>IF(RawData[[#This Row],[Paid/Unpaid]]="Paid", IF(VALUE($E1289)&gt;VALUE($D$3),$K1289* 10000,$K1289* 8000), 0)</f>
        <v>8000</v>
      </c>
      <c r="M1289" s="53" t="s">
        <v>146</v>
      </c>
    </row>
    <row r="1290" spans="1:13" ht="12.75" customHeight="1" x14ac:dyDescent="0.3">
      <c r="A1290" s="143" t="s">
        <v>12</v>
      </c>
      <c r="B1290" s="139" t="str">
        <f>IFERROR(VLOOKUP($A1290, NameDesignation[], 2,FALSE), " ")</f>
        <v>Former Director</v>
      </c>
      <c r="C1290" s="139" t="s">
        <v>38</v>
      </c>
      <c r="D1290" s="139">
        <v>39</v>
      </c>
      <c r="E1290" s="140">
        <v>45099</v>
      </c>
      <c r="F1290" s="139" t="str">
        <f t="shared" si="60"/>
        <v>Q2-23</v>
      </c>
      <c r="G1290" s="140" t="str">
        <f t="shared" si="61"/>
        <v>Jun'23</v>
      </c>
      <c r="H1290" s="140" t="str">
        <f>TEXT(RawData[[#This Row],[Date]], "YYYY")</f>
        <v>2023</v>
      </c>
      <c r="I1290" s="141" t="s">
        <v>32</v>
      </c>
      <c r="J1290" s="141" t="s">
        <v>90</v>
      </c>
      <c r="K1290" s="139">
        <f t="shared" si="62"/>
        <v>1</v>
      </c>
      <c r="L1290" s="142">
        <f>IF(RawData[[#This Row],[Paid/Unpaid]]="Paid", IF(VALUE($E1290)&gt;VALUE($D$3),$K1290* 10000,$K1290* 8000), 0)</f>
        <v>8000</v>
      </c>
      <c r="M1290" s="53" t="s">
        <v>146</v>
      </c>
    </row>
    <row r="1291" spans="1:13" ht="12.75" customHeight="1" x14ac:dyDescent="0.3">
      <c r="A1291" s="143" t="s">
        <v>61</v>
      </c>
      <c r="B1291" s="139" t="str">
        <f>IFERROR(VLOOKUP($A1291, NameDesignation[], 2,FALSE), " ")</f>
        <v>Former Director</v>
      </c>
      <c r="C1291" s="139" t="s">
        <v>38</v>
      </c>
      <c r="D1291" s="139">
        <v>39</v>
      </c>
      <c r="E1291" s="140">
        <v>45099</v>
      </c>
      <c r="F1291" s="139" t="str">
        <f t="shared" si="60"/>
        <v>Q2-23</v>
      </c>
      <c r="G1291" s="140" t="str">
        <f t="shared" si="61"/>
        <v>Jun'23</v>
      </c>
      <c r="H1291" s="140" t="str">
        <f>TEXT(RawData[[#This Row],[Date]], "YYYY")</f>
        <v>2023</v>
      </c>
      <c r="I1291" s="141" t="s">
        <v>32</v>
      </c>
      <c r="J1291" s="141" t="s">
        <v>90</v>
      </c>
      <c r="K1291" s="139">
        <f t="shared" si="62"/>
        <v>1</v>
      </c>
      <c r="L1291" s="142">
        <f>IF(RawData[[#This Row],[Paid/Unpaid]]="Paid", IF(VALUE($E1291)&gt;VALUE($D$3),$K1291* 10000,$K1291* 8000), 0)</f>
        <v>8000</v>
      </c>
      <c r="M1291" s="53" t="s">
        <v>146</v>
      </c>
    </row>
    <row r="1292" spans="1:13" ht="12.75" customHeight="1" x14ac:dyDescent="0.3">
      <c r="A1292" s="143" t="s">
        <v>17</v>
      </c>
      <c r="B1292" s="139" t="str">
        <f>IFERROR(VLOOKUP($A1292, NameDesignation[], 2,FALSE), " ")</f>
        <v>Former Independent Director</v>
      </c>
      <c r="C1292" s="139" t="s">
        <v>38</v>
      </c>
      <c r="D1292" s="139">
        <v>39</v>
      </c>
      <c r="E1292" s="140">
        <v>45099</v>
      </c>
      <c r="F1292" s="139" t="str">
        <f t="shared" si="60"/>
        <v>Q2-23</v>
      </c>
      <c r="G1292" s="140" t="str">
        <f t="shared" si="61"/>
        <v>Jun'23</v>
      </c>
      <c r="H1292" s="140" t="str">
        <f>TEXT(RawData[[#This Row],[Date]], "YYYY")</f>
        <v>2023</v>
      </c>
      <c r="I1292" s="141" t="s">
        <v>32</v>
      </c>
      <c r="J1292" s="141" t="s">
        <v>90</v>
      </c>
      <c r="K1292" s="139">
        <f t="shared" si="62"/>
        <v>1</v>
      </c>
      <c r="L1292" s="142">
        <f>IF(RawData[[#This Row],[Paid/Unpaid]]="Paid", IF(VALUE($E1292)&gt;VALUE($D$3),$K1292* 10000,$K1292* 8000), 0)</f>
        <v>8000</v>
      </c>
      <c r="M1292" s="53" t="s">
        <v>146</v>
      </c>
    </row>
    <row r="1293" spans="1:13" ht="12.75" customHeight="1" x14ac:dyDescent="0.3">
      <c r="A1293" s="143" t="s">
        <v>11</v>
      </c>
      <c r="B1293" s="139" t="str">
        <f>IFERROR(VLOOKUP($A1293, NameDesignation[], 2,FALSE), " ")</f>
        <v>Former Director</v>
      </c>
      <c r="C1293" s="139" t="s">
        <v>41</v>
      </c>
      <c r="D1293" s="139">
        <v>9</v>
      </c>
      <c r="E1293" s="140">
        <v>45116</v>
      </c>
      <c r="F1293" s="139" t="str">
        <f t="shared" si="60"/>
        <v>Q3-23</v>
      </c>
      <c r="G1293" s="140" t="str">
        <f t="shared" si="61"/>
        <v>Jul'23</v>
      </c>
      <c r="H1293" s="140" t="str">
        <f>TEXT(RawData[[#This Row],[Date]], "YYYY")</f>
        <v>2023</v>
      </c>
      <c r="I1293" s="141" t="s">
        <v>32</v>
      </c>
      <c r="J1293" s="141" t="s">
        <v>90</v>
      </c>
      <c r="K1293" s="139">
        <f t="shared" si="62"/>
        <v>1</v>
      </c>
      <c r="L1293" s="142">
        <f>IF(RawData[[#This Row],[Paid/Unpaid]]="Paid", IF(VALUE($E1293)&gt;VALUE($D$3),$K1293* 10000,$K1293* 8000), 0)</f>
        <v>8000</v>
      </c>
      <c r="M1293" s="53" t="s">
        <v>146</v>
      </c>
    </row>
    <row r="1294" spans="1:13" ht="12.75" customHeight="1" x14ac:dyDescent="0.3">
      <c r="A1294" s="143" t="s">
        <v>54</v>
      </c>
      <c r="B1294" s="139" t="str">
        <f>IFERROR(VLOOKUP($A1294, NameDesignation[], 2,FALSE), " ")</f>
        <v>Member, Shariah Supervisory Committee</v>
      </c>
      <c r="C1294" s="139" t="s">
        <v>41</v>
      </c>
      <c r="D1294" s="139">
        <v>9</v>
      </c>
      <c r="E1294" s="140">
        <v>45116</v>
      </c>
      <c r="F1294" s="139" t="str">
        <f t="shared" si="60"/>
        <v>Q3-23</v>
      </c>
      <c r="G1294" s="140" t="str">
        <f t="shared" si="61"/>
        <v>Jul'23</v>
      </c>
      <c r="H1294" s="140" t="str">
        <f>TEXT(RawData[[#This Row],[Date]], "YYYY")</f>
        <v>2023</v>
      </c>
      <c r="I1294" s="141" t="s">
        <v>32</v>
      </c>
      <c r="J1294" s="141" t="s">
        <v>90</v>
      </c>
      <c r="K1294" s="139">
        <f t="shared" si="62"/>
        <v>1</v>
      </c>
      <c r="L1294" s="142">
        <f>IF(RawData[[#This Row],[Paid/Unpaid]]="Paid", IF(VALUE($E1294)&gt;VALUE($D$3),$K1294* 10000,$K1294* 8000), 0)</f>
        <v>8000</v>
      </c>
      <c r="M1294" s="53" t="s">
        <v>146</v>
      </c>
    </row>
    <row r="1295" spans="1:13" ht="12.75" customHeight="1" x14ac:dyDescent="0.3">
      <c r="A1295" s="143" t="s">
        <v>127</v>
      </c>
      <c r="B1295" s="139" t="str">
        <f>IFERROR(VLOOKUP($A1295, NameDesignation[], 2,FALSE), " ")</f>
        <v>Chairman, Shariah Supervisory Committee</v>
      </c>
      <c r="C1295" s="139" t="s">
        <v>41</v>
      </c>
      <c r="D1295" s="139">
        <v>9</v>
      </c>
      <c r="E1295" s="140">
        <v>45116</v>
      </c>
      <c r="F1295" s="139" t="str">
        <f t="shared" si="60"/>
        <v>Q3-23</v>
      </c>
      <c r="G1295" s="140" t="str">
        <f t="shared" si="61"/>
        <v>Jul'23</v>
      </c>
      <c r="H1295" s="140" t="str">
        <f>TEXT(RawData[[#This Row],[Date]], "YYYY")</f>
        <v>2023</v>
      </c>
      <c r="I1295" s="141" t="s">
        <v>32</v>
      </c>
      <c r="J1295" s="141" t="s">
        <v>90</v>
      </c>
      <c r="K1295" s="139">
        <f t="shared" si="62"/>
        <v>1</v>
      </c>
      <c r="L1295" s="142">
        <f>IF(RawData[[#This Row],[Paid/Unpaid]]="Paid", IF(VALUE($E1295)&gt;VALUE($D$3),$K1295* 10000,$K1295* 8000), 0)</f>
        <v>8000</v>
      </c>
      <c r="M1295" s="53" t="s">
        <v>146</v>
      </c>
    </row>
    <row r="1296" spans="1:13" ht="12.75" customHeight="1" x14ac:dyDescent="0.3">
      <c r="A1296" s="143" t="s">
        <v>52</v>
      </c>
      <c r="B1296" s="139" t="str">
        <f>IFERROR(VLOOKUP($A1296, NameDesignation[], 2,FALSE), " ")</f>
        <v>Member, Shariah Supervisory Committee</v>
      </c>
      <c r="C1296" s="139" t="s">
        <v>41</v>
      </c>
      <c r="D1296" s="139">
        <v>9</v>
      </c>
      <c r="E1296" s="140">
        <v>45116</v>
      </c>
      <c r="F1296" s="139" t="str">
        <f t="shared" si="60"/>
        <v>Q3-23</v>
      </c>
      <c r="G1296" s="140" t="str">
        <f t="shared" si="61"/>
        <v>Jul'23</v>
      </c>
      <c r="H1296" s="140" t="str">
        <f>TEXT(RawData[[#This Row],[Date]], "YYYY")</f>
        <v>2023</v>
      </c>
      <c r="I1296" s="141" t="s">
        <v>32</v>
      </c>
      <c r="J1296" s="141" t="s">
        <v>90</v>
      </c>
      <c r="K1296" s="139">
        <f t="shared" si="62"/>
        <v>1</v>
      </c>
      <c r="L1296" s="142">
        <f>IF(RawData[[#This Row],[Paid/Unpaid]]="Paid", IF(VALUE($E1296)&gt;VALUE($D$3),$K1296* 10000,$K1296* 8000), 0)</f>
        <v>8000</v>
      </c>
      <c r="M1296" s="53" t="s">
        <v>146</v>
      </c>
    </row>
    <row r="1297" spans="1:13" ht="12.75" customHeight="1" x14ac:dyDescent="0.3">
      <c r="A1297" s="143" t="s">
        <v>128</v>
      </c>
      <c r="B1297" s="139" t="str">
        <f>IFERROR(VLOOKUP($A1297, NameDesignation[], 2,FALSE), " ")</f>
        <v>Member, Shariah Supervisory Committee</v>
      </c>
      <c r="C1297" s="139" t="s">
        <v>41</v>
      </c>
      <c r="D1297" s="139">
        <v>9</v>
      </c>
      <c r="E1297" s="140">
        <v>45116</v>
      </c>
      <c r="F1297" s="139" t="str">
        <f t="shared" si="60"/>
        <v>Q3-23</v>
      </c>
      <c r="G1297" s="140" t="str">
        <f t="shared" si="61"/>
        <v>Jul'23</v>
      </c>
      <c r="H1297" s="140" t="str">
        <f>TEXT(RawData[[#This Row],[Date]], "YYYY")</f>
        <v>2023</v>
      </c>
      <c r="I1297" s="141" t="s">
        <v>32</v>
      </c>
      <c r="J1297" s="141" t="s">
        <v>90</v>
      </c>
      <c r="K1297" s="139">
        <f t="shared" si="62"/>
        <v>1</v>
      </c>
      <c r="L1297" s="142">
        <f>IF(RawData[[#This Row],[Paid/Unpaid]]="Paid", IF(VALUE($E1297)&gt;VALUE($D$3),$K1297* 10000,$K1297* 8000), 0)</f>
        <v>8000</v>
      </c>
      <c r="M1297" s="53" t="s">
        <v>146</v>
      </c>
    </row>
    <row r="1298" spans="1:13" ht="12.75" customHeight="1" x14ac:dyDescent="0.3">
      <c r="A1298" s="143" t="s">
        <v>126</v>
      </c>
      <c r="B1298" s="139" t="str">
        <f>IFERROR(VLOOKUP($A1298, NameDesignation[], 2,FALSE), " ")</f>
        <v>Member, Shariah Supervisory Committee</v>
      </c>
      <c r="C1298" s="139" t="s">
        <v>41</v>
      </c>
      <c r="D1298" s="139">
        <v>9</v>
      </c>
      <c r="E1298" s="140">
        <v>45116</v>
      </c>
      <c r="F1298" s="139" t="str">
        <f t="shared" si="60"/>
        <v>Q3-23</v>
      </c>
      <c r="G1298" s="140" t="str">
        <f t="shared" si="61"/>
        <v>Jul'23</v>
      </c>
      <c r="H1298" s="140" t="str">
        <f>TEXT(RawData[[#This Row],[Date]], "YYYY")</f>
        <v>2023</v>
      </c>
      <c r="I1298" s="141" t="s">
        <v>32</v>
      </c>
      <c r="J1298" s="141" t="s">
        <v>90</v>
      </c>
      <c r="K1298" s="139">
        <f t="shared" si="62"/>
        <v>1</v>
      </c>
      <c r="L1298" s="142">
        <f>IF(RawData[[#This Row],[Paid/Unpaid]]="Paid", IF(VALUE($E1298)&gt;VALUE($D$3),$K1298* 10000,$K1298* 8000), 0)</f>
        <v>8000</v>
      </c>
      <c r="M1298" s="53" t="s">
        <v>146</v>
      </c>
    </row>
    <row r="1299" spans="1:13" ht="12.75" customHeight="1" x14ac:dyDescent="0.3">
      <c r="A1299" s="143" t="s">
        <v>34</v>
      </c>
      <c r="B1299" s="139" t="str">
        <f>IFERROR(VLOOKUP($A1299, NameDesignation[], 2,FALSE), " ")</f>
        <v>Former Managing Director &amp; CEO</v>
      </c>
      <c r="C1299" s="139" t="s">
        <v>41</v>
      </c>
      <c r="D1299" s="139">
        <v>9</v>
      </c>
      <c r="E1299" s="140">
        <v>45116</v>
      </c>
      <c r="F1299" s="139" t="str">
        <f t="shared" si="60"/>
        <v>Q3-23</v>
      </c>
      <c r="G1299" s="140" t="str">
        <f t="shared" si="61"/>
        <v>Jul'23</v>
      </c>
      <c r="H1299" s="140" t="str">
        <f>TEXT(RawData[[#This Row],[Date]], "YYYY")</f>
        <v>2023</v>
      </c>
      <c r="I1299" s="141" t="s">
        <v>32</v>
      </c>
      <c r="J1299" s="141" t="s">
        <v>90</v>
      </c>
      <c r="K1299" s="139">
        <f t="shared" si="62"/>
        <v>1</v>
      </c>
      <c r="L1299" s="142">
        <f>IF(RawData[[#This Row],[Paid/Unpaid]]="Paid", IF(VALUE($E1299)&gt;VALUE($D$3),$K1299* 10000,$K1299* 8000), 0)</f>
        <v>8000</v>
      </c>
      <c r="M1299" s="53" t="s">
        <v>146</v>
      </c>
    </row>
    <row r="1300" spans="1:13" ht="12.75" customHeight="1" x14ac:dyDescent="0.3">
      <c r="A1300" s="143" t="s">
        <v>20</v>
      </c>
      <c r="B1300" s="139" t="str">
        <f>IFERROR(VLOOKUP($A1300, NameDesignation[], 2,FALSE), " ")</f>
        <v>Former Independent Director</v>
      </c>
      <c r="C1300" s="139" t="s">
        <v>37</v>
      </c>
      <c r="D1300" s="139">
        <v>131</v>
      </c>
      <c r="E1300" s="140">
        <v>45131</v>
      </c>
      <c r="F1300" s="139" t="str">
        <f t="shared" si="60"/>
        <v>Q3-23</v>
      </c>
      <c r="G1300" s="140" t="str">
        <f t="shared" si="61"/>
        <v>Jul'23</v>
      </c>
      <c r="H1300" s="140" t="str">
        <f>TEXT(RawData[[#This Row],[Date]], "YYYY")</f>
        <v>2023</v>
      </c>
      <c r="I1300" s="141" t="s">
        <v>32</v>
      </c>
      <c r="J1300" s="141" t="s">
        <v>90</v>
      </c>
      <c r="K1300" s="139">
        <f t="shared" si="62"/>
        <v>1</v>
      </c>
      <c r="L1300" s="142">
        <f>IF(RawData[[#This Row],[Paid/Unpaid]]="Paid", IF(VALUE($E1300)&gt;VALUE($D$3),$K1300* 10000,$K1300* 8000), 0)</f>
        <v>8000</v>
      </c>
      <c r="M1300" s="53" t="s">
        <v>146</v>
      </c>
    </row>
    <row r="1301" spans="1:13" ht="12.75" customHeight="1" x14ac:dyDescent="0.3">
      <c r="A1301" s="143" t="s">
        <v>23</v>
      </c>
      <c r="B1301" s="139" t="str">
        <f>IFERROR(VLOOKUP($A1301, NameDesignation[], 2,FALSE), " ")</f>
        <v>Former Director</v>
      </c>
      <c r="C1301" s="139" t="s">
        <v>37</v>
      </c>
      <c r="D1301" s="139">
        <v>131</v>
      </c>
      <c r="E1301" s="140">
        <v>45131</v>
      </c>
      <c r="F1301" s="139" t="str">
        <f t="shared" si="60"/>
        <v>Q3-23</v>
      </c>
      <c r="G1301" s="140" t="str">
        <f t="shared" si="61"/>
        <v>Jul'23</v>
      </c>
      <c r="H1301" s="140" t="str">
        <f>TEXT(RawData[[#This Row],[Date]], "YYYY")</f>
        <v>2023</v>
      </c>
      <c r="I1301" s="141" t="s">
        <v>32</v>
      </c>
      <c r="J1301" s="141" t="s">
        <v>91</v>
      </c>
      <c r="K1301" s="139">
        <f t="shared" si="62"/>
        <v>0</v>
      </c>
      <c r="L1301" s="142">
        <f>IF(RawData[[#This Row],[Paid/Unpaid]]="Paid", IF(VALUE($E1301)&gt;VALUE($D$3),$K1301* 10000,$K1301* 8000), 0)</f>
        <v>0</v>
      </c>
      <c r="M1301" s="53" t="s">
        <v>146</v>
      </c>
    </row>
    <row r="1302" spans="1:13" ht="12.75" customHeight="1" x14ac:dyDescent="0.3">
      <c r="A1302" s="143" t="s">
        <v>24</v>
      </c>
      <c r="B1302" s="139" t="str">
        <f>IFERROR(VLOOKUP($A1302, NameDesignation[], 2,FALSE), " ")</f>
        <v>Former Director</v>
      </c>
      <c r="C1302" s="139" t="s">
        <v>37</v>
      </c>
      <c r="D1302" s="139">
        <v>131</v>
      </c>
      <c r="E1302" s="140">
        <v>45131</v>
      </c>
      <c r="F1302" s="139" t="str">
        <f t="shared" si="60"/>
        <v>Q3-23</v>
      </c>
      <c r="G1302" s="140" t="str">
        <f t="shared" si="61"/>
        <v>Jul'23</v>
      </c>
      <c r="H1302" s="140" t="str">
        <f>TEXT(RawData[[#This Row],[Date]], "YYYY")</f>
        <v>2023</v>
      </c>
      <c r="I1302" s="141" t="s">
        <v>32</v>
      </c>
      <c r="J1302" s="141" t="s">
        <v>91</v>
      </c>
      <c r="K1302" s="139">
        <f t="shared" si="62"/>
        <v>0</v>
      </c>
      <c r="L1302" s="142">
        <f>IF(RawData[[#This Row],[Paid/Unpaid]]="Paid", IF(VALUE($E1302)&gt;VALUE($D$3),$K1302* 10000,$K1302* 8000), 0)</f>
        <v>0</v>
      </c>
      <c r="M1302" s="53" t="s">
        <v>146</v>
      </c>
    </row>
    <row r="1303" spans="1:13" ht="12.75" customHeight="1" x14ac:dyDescent="0.3">
      <c r="A1303" s="143" t="s">
        <v>21</v>
      </c>
      <c r="B1303" s="139" t="str">
        <f>IFERROR(VLOOKUP($A1303, NameDesignation[], 2,FALSE), " ")</f>
        <v>Former Independent Director</v>
      </c>
      <c r="C1303" s="139" t="s">
        <v>37</v>
      </c>
      <c r="D1303" s="139">
        <v>131</v>
      </c>
      <c r="E1303" s="140">
        <v>45131</v>
      </c>
      <c r="F1303" s="139" t="str">
        <f t="shared" si="60"/>
        <v>Q3-23</v>
      </c>
      <c r="G1303" s="140" t="str">
        <f t="shared" si="61"/>
        <v>Jul'23</v>
      </c>
      <c r="H1303" s="140" t="str">
        <f>TEXT(RawData[[#This Row],[Date]], "YYYY")</f>
        <v>2023</v>
      </c>
      <c r="I1303" s="141" t="s">
        <v>32</v>
      </c>
      <c r="J1303" s="141" t="s">
        <v>90</v>
      </c>
      <c r="K1303" s="139">
        <f t="shared" si="62"/>
        <v>1</v>
      </c>
      <c r="L1303" s="142">
        <f>IF(RawData[[#This Row],[Paid/Unpaid]]="Paid", IF(VALUE($E1303)&gt;VALUE($D$3),$K1303* 10000,$K1303* 8000), 0)</f>
        <v>8000</v>
      </c>
      <c r="M1303" s="53" t="s">
        <v>146</v>
      </c>
    </row>
    <row r="1304" spans="1:13" ht="12.75" customHeight="1" x14ac:dyDescent="0.3">
      <c r="A1304" s="143" t="s">
        <v>15</v>
      </c>
      <c r="B1304" s="139" t="str">
        <f>IFERROR(VLOOKUP($A1304, NameDesignation[], 2,FALSE), " ")</f>
        <v>Former Director</v>
      </c>
      <c r="C1304" s="139" t="s">
        <v>37</v>
      </c>
      <c r="D1304" s="139">
        <v>131</v>
      </c>
      <c r="E1304" s="140">
        <v>45131</v>
      </c>
      <c r="F1304" s="139" t="str">
        <f t="shared" si="60"/>
        <v>Q3-23</v>
      </c>
      <c r="G1304" s="140" t="str">
        <f t="shared" si="61"/>
        <v>Jul'23</v>
      </c>
      <c r="H1304" s="140" t="str">
        <f>TEXT(RawData[[#This Row],[Date]], "YYYY")</f>
        <v>2023</v>
      </c>
      <c r="I1304" s="141" t="s">
        <v>32</v>
      </c>
      <c r="J1304" s="141" t="s">
        <v>91</v>
      </c>
      <c r="K1304" s="139">
        <f t="shared" si="62"/>
        <v>0</v>
      </c>
      <c r="L1304" s="142">
        <f>IF(RawData[[#This Row],[Paid/Unpaid]]="Paid", IF(VALUE($E1304)&gt;VALUE($D$3),$K1304* 10000,$K1304* 8000), 0)</f>
        <v>0</v>
      </c>
      <c r="M1304" s="53" t="s">
        <v>146</v>
      </c>
    </row>
    <row r="1305" spans="1:13" ht="12.75" customHeight="1" x14ac:dyDescent="0.3">
      <c r="A1305" s="143" t="s">
        <v>7</v>
      </c>
      <c r="B1305" s="139" t="str">
        <f>IFERROR(VLOOKUP($A1305, NameDesignation[], 2,FALSE), " ")</f>
        <v>Former Director</v>
      </c>
      <c r="C1305" s="139" t="s">
        <v>29</v>
      </c>
      <c r="D1305" s="139">
        <v>485</v>
      </c>
      <c r="E1305" s="140">
        <v>45131</v>
      </c>
      <c r="F1305" s="139" t="str">
        <f t="shared" si="60"/>
        <v>Q3-23</v>
      </c>
      <c r="G1305" s="140" t="str">
        <f t="shared" si="61"/>
        <v>Jul'23</v>
      </c>
      <c r="H1305" s="140" t="str">
        <f>TEXT(RawData[[#This Row],[Date]], "YYYY")</f>
        <v>2023</v>
      </c>
      <c r="I1305" s="141" t="s">
        <v>32</v>
      </c>
      <c r="J1305" s="141" t="s">
        <v>90</v>
      </c>
      <c r="K1305" s="139">
        <f t="shared" si="62"/>
        <v>1</v>
      </c>
      <c r="L1305" s="142">
        <f>IF(RawData[[#This Row],[Paid/Unpaid]]="Paid", IF(VALUE($E1305)&gt;VALUE($D$3),$K1305* 10000,$K1305* 8000), 0)</f>
        <v>8000</v>
      </c>
      <c r="M1305" s="53" t="s">
        <v>146</v>
      </c>
    </row>
    <row r="1306" spans="1:13" ht="12.75" customHeight="1" x14ac:dyDescent="0.3">
      <c r="A1306" s="143" t="s">
        <v>8</v>
      </c>
      <c r="B1306" s="139" t="str">
        <f>IFERROR(VLOOKUP($A1306, NameDesignation[], 2,FALSE), " ")</f>
        <v>Former Vice-Chairman</v>
      </c>
      <c r="C1306" s="139" t="s">
        <v>29</v>
      </c>
      <c r="D1306" s="139">
        <v>485</v>
      </c>
      <c r="E1306" s="140">
        <v>45131</v>
      </c>
      <c r="F1306" s="139" t="str">
        <f t="shared" si="60"/>
        <v>Q3-23</v>
      </c>
      <c r="G1306" s="140" t="str">
        <f t="shared" si="61"/>
        <v>Jul'23</v>
      </c>
      <c r="H1306" s="140" t="str">
        <f>TEXT(RawData[[#This Row],[Date]], "YYYY")</f>
        <v>2023</v>
      </c>
      <c r="I1306" s="141" t="s">
        <v>32</v>
      </c>
      <c r="J1306" s="141" t="s">
        <v>91</v>
      </c>
      <c r="K1306" s="139">
        <f t="shared" si="62"/>
        <v>0</v>
      </c>
      <c r="L1306" s="142">
        <f>IF(RawData[[#This Row],[Paid/Unpaid]]="Paid", IF(VALUE($E1306)&gt;VALUE($D$3),$K1306* 10000,$K1306* 8000), 0)</f>
        <v>0</v>
      </c>
      <c r="M1306" s="53" t="s">
        <v>146</v>
      </c>
    </row>
    <row r="1307" spans="1:13" ht="12.75" customHeight="1" x14ac:dyDescent="0.3">
      <c r="A1307" s="143" t="s">
        <v>9</v>
      </c>
      <c r="B1307" s="139" t="str">
        <f>IFERROR(VLOOKUP($A1307, NameDesignation[], 2,FALSE), " ")</f>
        <v>Former Director</v>
      </c>
      <c r="C1307" s="139" t="s">
        <v>29</v>
      </c>
      <c r="D1307" s="139">
        <v>485</v>
      </c>
      <c r="E1307" s="140">
        <v>45131</v>
      </c>
      <c r="F1307" s="139" t="str">
        <f t="shared" si="60"/>
        <v>Q3-23</v>
      </c>
      <c r="G1307" s="140" t="str">
        <f t="shared" si="61"/>
        <v>Jul'23</v>
      </c>
      <c r="H1307" s="140" t="str">
        <f>TEXT(RawData[[#This Row],[Date]], "YYYY")</f>
        <v>2023</v>
      </c>
      <c r="I1307" s="141" t="s">
        <v>32</v>
      </c>
      <c r="J1307" s="141" t="s">
        <v>90</v>
      </c>
      <c r="K1307" s="139">
        <f t="shared" si="62"/>
        <v>1</v>
      </c>
      <c r="L1307" s="142">
        <f>IF(RawData[[#This Row],[Paid/Unpaid]]="Paid", IF(VALUE($E1307)&gt;VALUE($D$3),$K1307* 10000,$K1307* 8000), 0)</f>
        <v>8000</v>
      </c>
      <c r="M1307" s="53" t="s">
        <v>146</v>
      </c>
    </row>
    <row r="1308" spans="1:13" ht="12.75" customHeight="1" x14ac:dyDescent="0.3">
      <c r="A1308" s="143" t="s">
        <v>20</v>
      </c>
      <c r="B1308" s="139" t="str">
        <f>IFERROR(VLOOKUP($A1308, NameDesignation[], 2,FALSE), " ")</f>
        <v>Former Independent Director</v>
      </c>
      <c r="C1308" s="139" t="s">
        <v>29</v>
      </c>
      <c r="D1308" s="139">
        <v>485</v>
      </c>
      <c r="E1308" s="140">
        <v>45131</v>
      </c>
      <c r="F1308" s="139" t="str">
        <f t="shared" si="60"/>
        <v>Q3-23</v>
      </c>
      <c r="G1308" s="140" t="str">
        <f t="shared" si="61"/>
        <v>Jul'23</v>
      </c>
      <c r="H1308" s="140" t="str">
        <f>TEXT(RawData[[#This Row],[Date]], "YYYY")</f>
        <v>2023</v>
      </c>
      <c r="I1308" s="141" t="s">
        <v>32</v>
      </c>
      <c r="J1308" s="141" t="s">
        <v>91</v>
      </c>
      <c r="K1308" s="139">
        <f t="shared" si="62"/>
        <v>0</v>
      </c>
      <c r="L1308" s="142">
        <f>IF(RawData[[#This Row],[Paid/Unpaid]]="Paid", IF(VALUE($E1308)&gt;VALUE($D$3),$K1308* 10000,$K1308* 8000), 0)</f>
        <v>0</v>
      </c>
      <c r="M1308" s="53" t="s">
        <v>146</v>
      </c>
    </row>
    <row r="1309" spans="1:13" ht="12.75" customHeight="1" x14ac:dyDescent="0.3">
      <c r="A1309" s="143" t="s">
        <v>49</v>
      </c>
      <c r="B1309" s="139" t="str">
        <f>IFERROR(VLOOKUP($A1309, NameDesignation[], 2,FALSE), " ")</f>
        <v>Former Director</v>
      </c>
      <c r="C1309" s="139" t="s">
        <v>29</v>
      </c>
      <c r="D1309" s="139">
        <v>485</v>
      </c>
      <c r="E1309" s="140">
        <v>45131</v>
      </c>
      <c r="F1309" s="139" t="str">
        <f t="shared" si="60"/>
        <v>Q3-23</v>
      </c>
      <c r="G1309" s="140" t="str">
        <f t="shared" si="61"/>
        <v>Jul'23</v>
      </c>
      <c r="H1309" s="140" t="str">
        <f>TEXT(RawData[[#This Row],[Date]], "YYYY")</f>
        <v>2023</v>
      </c>
      <c r="I1309" s="141" t="s">
        <v>32</v>
      </c>
      <c r="J1309" s="141" t="s">
        <v>90</v>
      </c>
      <c r="K1309" s="139">
        <f t="shared" si="62"/>
        <v>1</v>
      </c>
      <c r="L1309" s="142">
        <f>IF(RawData[[#This Row],[Paid/Unpaid]]="Paid", IF(VALUE($E1309)&gt;VALUE($D$3),$K1309* 10000,$K1309* 8000), 0)</f>
        <v>8000</v>
      </c>
      <c r="M1309" s="53" t="s">
        <v>146</v>
      </c>
    </row>
    <row r="1310" spans="1:13" ht="12.75" customHeight="1" x14ac:dyDescent="0.3">
      <c r="A1310" s="143" t="s">
        <v>11</v>
      </c>
      <c r="B1310" s="139" t="str">
        <f>IFERROR(VLOOKUP($A1310, NameDesignation[], 2,FALSE), " ")</f>
        <v>Former Director</v>
      </c>
      <c r="C1310" s="139" t="s">
        <v>29</v>
      </c>
      <c r="D1310" s="139">
        <v>485</v>
      </c>
      <c r="E1310" s="140">
        <v>45131</v>
      </c>
      <c r="F1310" s="139" t="str">
        <f t="shared" si="60"/>
        <v>Q3-23</v>
      </c>
      <c r="G1310" s="140" t="str">
        <f t="shared" si="61"/>
        <v>Jul'23</v>
      </c>
      <c r="H1310" s="140" t="str">
        <f>TEXT(RawData[[#This Row],[Date]], "YYYY")</f>
        <v>2023</v>
      </c>
      <c r="I1310" s="141" t="s">
        <v>32</v>
      </c>
      <c r="J1310" s="141" t="s">
        <v>90</v>
      </c>
      <c r="K1310" s="139">
        <f t="shared" si="62"/>
        <v>1</v>
      </c>
      <c r="L1310" s="142">
        <f>IF(RawData[[#This Row],[Paid/Unpaid]]="Paid", IF(VALUE($E1310)&gt;VALUE($D$3),$K1310* 10000,$K1310* 8000), 0)</f>
        <v>8000</v>
      </c>
      <c r="M1310" s="53" t="s">
        <v>146</v>
      </c>
    </row>
    <row r="1311" spans="1:13" ht="12.75" customHeight="1" x14ac:dyDescent="0.3">
      <c r="A1311" s="143" t="s">
        <v>12</v>
      </c>
      <c r="B1311" s="139" t="str">
        <f>IFERROR(VLOOKUP($A1311, NameDesignation[], 2,FALSE), " ")</f>
        <v>Former Director</v>
      </c>
      <c r="C1311" s="139" t="s">
        <v>29</v>
      </c>
      <c r="D1311" s="139">
        <v>485</v>
      </c>
      <c r="E1311" s="140">
        <v>45131</v>
      </c>
      <c r="F1311" s="139" t="str">
        <f t="shared" si="60"/>
        <v>Q3-23</v>
      </c>
      <c r="G1311" s="140" t="str">
        <f t="shared" si="61"/>
        <v>Jul'23</v>
      </c>
      <c r="H1311" s="140" t="str">
        <f>TEXT(RawData[[#This Row],[Date]], "YYYY")</f>
        <v>2023</v>
      </c>
      <c r="I1311" s="141" t="s">
        <v>32</v>
      </c>
      <c r="J1311" s="141" t="s">
        <v>91</v>
      </c>
      <c r="K1311" s="139">
        <f t="shared" si="62"/>
        <v>0</v>
      </c>
      <c r="L1311" s="142">
        <f>IF(RawData[[#This Row],[Paid/Unpaid]]="Paid", IF(VALUE($E1311)&gt;VALUE($D$3),$K1311* 10000,$K1311* 8000), 0)</f>
        <v>0</v>
      </c>
      <c r="M1311" s="53" t="s">
        <v>146</v>
      </c>
    </row>
    <row r="1312" spans="1:13" ht="12.75" customHeight="1" x14ac:dyDescent="0.3">
      <c r="A1312" s="143" t="s">
        <v>137</v>
      </c>
      <c r="B1312" s="139" t="str">
        <f>IFERROR(VLOOKUP($A1312, NameDesignation[], 2,FALSE), " ")</f>
        <v>Former Director</v>
      </c>
      <c r="C1312" s="139" t="s">
        <v>29</v>
      </c>
      <c r="D1312" s="139">
        <v>485</v>
      </c>
      <c r="E1312" s="140">
        <v>45131</v>
      </c>
      <c r="F1312" s="139" t="str">
        <f t="shared" si="60"/>
        <v>Q3-23</v>
      </c>
      <c r="G1312" s="140" t="str">
        <f t="shared" si="61"/>
        <v>Jul'23</v>
      </c>
      <c r="H1312" s="140" t="str">
        <f>TEXT(RawData[[#This Row],[Date]], "YYYY")</f>
        <v>2023</v>
      </c>
      <c r="I1312" s="141" t="s">
        <v>32</v>
      </c>
      <c r="J1312" s="141" t="s">
        <v>90</v>
      </c>
      <c r="K1312" s="139">
        <f t="shared" si="62"/>
        <v>1</v>
      </c>
      <c r="L1312" s="142">
        <f>IF(RawData[[#This Row],[Paid/Unpaid]]="Paid", IF(VALUE($E1312)&gt;VALUE($D$3),$K1312* 10000,$K1312* 8000), 0)</f>
        <v>8000</v>
      </c>
      <c r="M1312" s="53" t="s">
        <v>146</v>
      </c>
    </row>
    <row r="1313" spans="1:13" ht="12.75" customHeight="1" x14ac:dyDescent="0.3">
      <c r="A1313" s="143" t="s">
        <v>13</v>
      </c>
      <c r="B1313" s="139" t="str">
        <f>IFERROR(VLOOKUP($A1313, NameDesignation[], 2,FALSE), " ")</f>
        <v>Former Director</v>
      </c>
      <c r="C1313" s="139" t="s">
        <v>29</v>
      </c>
      <c r="D1313" s="139">
        <v>485</v>
      </c>
      <c r="E1313" s="140">
        <v>45131</v>
      </c>
      <c r="F1313" s="139" t="str">
        <f t="shared" si="60"/>
        <v>Q3-23</v>
      </c>
      <c r="G1313" s="140" t="str">
        <f t="shared" si="61"/>
        <v>Jul'23</v>
      </c>
      <c r="H1313" s="140" t="str">
        <f>TEXT(RawData[[#This Row],[Date]], "YYYY")</f>
        <v>2023</v>
      </c>
      <c r="I1313" s="141" t="s">
        <v>32</v>
      </c>
      <c r="J1313" s="141" t="s">
        <v>91</v>
      </c>
      <c r="K1313" s="139">
        <f t="shared" si="62"/>
        <v>0</v>
      </c>
      <c r="L1313" s="142">
        <f>IF(RawData[[#This Row],[Paid/Unpaid]]="Paid", IF(VALUE($E1313)&gt;VALUE($D$3),$K1313* 10000,$K1313* 8000), 0)</f>
        <v>0</v>
      </c>
      <c r="M1313" s="53" t="s">
        <v>146</v>
      </c>
    </row>
    <row r="1314" spans="1:13" ht="12.75" customHeight="1" x14ac:dyDescent="0.3">
      <c r="A1314" s="143" t="s">
        <v>61</v>
      </c>
      <c r="B1314" s="139" t="str">
        <f>IFERROR(VLOOKUP($A1314, NameDesignation[], 2,FALSE), " ")</f>
        <v>Former Director</v>
      </c>
      <c r="C1314" s="139" t="s">
        <v>29</v>
      </c>
      <c r="D1314" s="139">
        <v>485</v>
      </c>
      <c r="E1314" s="140">
        <v>45131</v>
      </c>
      <c r="F1314" s="139" t="str">
        <f t="shared" si="60"/>
        <v>Q3-23</v>
      </c>
      <c r="G1314" s="140" t="str">
        <f t="shared" si="61"/>
        <v>Jul'23</v>
      </c>
      <c r="H1314" s="140" t="str">
        <f>TEXT(RawData[[#This Row],[Date]], "YYYY")</f>
        <v>2023</v>
      </c>
      <c r="I1314" s="141" t="s">
        <v>32</v>
      </c>
      <c r="J1314" s="141" t="s">
        <v>90</v>
      </c>
      <c r="K1314" s="139">
        <f t="shared" si="62"/>
        <v>1</v>
      </c>
      <c r="L1314" s="142">
        <f>IF(RawData[[#This Row],[Paid/Unpaid]]="Paid", IF(VALUE($E1314)&gt;VALUE($D$3),$K1314* 10000,$K1314* 8000), 0)</f>
        <v>8000</v>
      </c>
      <c r="M1314" s="53" t="s">
        <v>146</v>
      </c>
    </row>
    <row r="1315" spans="1:13" ht="12.75" customHeight="1" x14ac:dyDescent="0.3">
      <c r="A1315" s="143" t="s">
        <v>14</v>
      </c>
      <c r="B1315" s="139" t="str">
        <f>IFERROR(VLOOKUP($A1315, NameDesignation[], 2,FALSE), " ")</f>
        <v>Former Director</v>
      </c>
      <c r="C1315" s="139" t="s">
        <v>29</v>
      </c>
      <c r="D1315" s="139">
        <v>485</v>
      </c>
      <c r="E1315" s="140">
        <v>45131</v>
      </c>
      <c r="F1315" s="139" t="str">
        <f t="shared" si="60"/>
        <v>Q3-23</v>
      </c>
      <c r="G1315" s="140" t="str">
        <f t="shared" si="61"/>
        <v>Jul'23</v>
      </c>
      <c r="H1315" s="140" t="str">
        <f>TEXT(RawData[[#This Row],[Date]], "YYYY")</f>
        <v>2023</v>
      </c>
      <c r="I1315" s="141" t="s">
        <v>32</v>
      </c>
      <c r="J1315" s="141" t="s">
        <v>90</v>
      </c>
      <c r="K1315" s="139">
        <f t="shared" si="62"/>
        <v>1</v>
      </c>
      <c r="L1315" s="142">
        <f>IF(RawData[[#This Row],[Paid/Unpaid]]="Paid", IF(VALUE($E1315)&gt;VALUE($D$3),$K1315* 10000,$K1315* 8000), 0)</f>
        <v>8000</v>
      </c>
      <c r="M1315" s="53" t="s">
        <v>146</v>
      </c>
    </row>
    <row r="1316" spans="1:13" ht="12.75" customHeight="1" x14ac:dyDescent="0.3">
      <c r="A1316" s="150" t="s">
        <v>23</v>
      </c>
      <c r="B1316" s="139" t="str">
        <f>IFERROR(VLOOKUP($A1316, NameDesignation[], 2,FALSE), " ")</f>
        <v>Former Director</v>
      </c>
      <c r="C1316" s="139" t="s">
        <v>29</v>
      </c>
      <c r="D1316" s="139">
        <v>485</v>
      </c>
      <c r="E1316" s="140">
        <v>45131</v>
      </c>
      <c r="F1316" s="139" t="str">
        <f t="shared" si="60"/>
        <v>Q3-23</v>
      </c>
      <c r="G1316" s="140" t="str">
        <f t="shared" si="61"/>
        <v>Jul'23</v>
      </c>
      <c r="H1316" s="140" t="str">
        <f>TEXT(RawData[[#This Row],[Date]], "YYYY")</f>
        <v>2023</v>
      </c>
      <c r="I1316" s="141" t="s">
        <v>32</v>
      </c>
      <c r="J1316" s="141" t="s">
        <v>91</v>
      </c>
      <c r="K1316" s="139">
        <f t="shared" si="62"/>
        <v>0</v>
      </c>
      <c r="L1316" s="142">
        <f>IF(RawData[[#This Row],[Paid/Unpaid]]="Paid", IF(VALUE($E1316)&gt;VALUE($D$3),$K1316* 10000,$K1316* 8000), 0)</f>
        <v>0</v>
      </c>
      <c r="M1316" s="53" t="s">
        <v>146</v>
      </c>
    </row>
    <row r="1317" spans="1:13" ht="12.75" customHeight="1" x14ac:dyDescent="0.3">
      <c r="A1317" s="143" t="s">
        <v>24</v>
      </c>
      <c r="B1317" s="139" t="str">
        <f>IFERROR(VLOOKUP($A1317, NameDesignation[], 2,FALSE), " ")</f>
        <v>Former Director</v>
      </c>
      <c r="C1317" s="139" t="s">
        <v>29</v>
      </c>
      <c r="D1317" s="139">
        <v>485</v>
      </c>
      <c r="E1317" s="140">
        <v>45131</v>
      </c>
      <c r="F1317" s="139" t="str">
        <f t="shared" si="60"/>
        <v>Q3-23</v>
      </c>
      <c r="G1317" s="140" t="str">
        <f t="shared" si="61"/>
        <v>Jul'23</v>
      </c>
      <c r="H1317" s="140" t="str">
        <f>TEXT(RawData[[#This Row],[Date]], "YYYY")</f>
        <v>2023</v>
      </c>
      <c r="I1317" s="141" t="s">
        <v>32</v>
      </c>
      <c r="J1317" s="141" t="s">
        <v>91</v>
      </c>
      <c r="K1317" s="139">
        <f t="shared" si="62"/>
        <v>0</v>
      </c>
      <c r="L1317" s="142">
        <f>IF(RawData[[#This Row],[Paid/Unpaid]]="Paid", IF(VALUE($E1317)&gt;VALUE($D$3),$K1317* 10000,$K1317* 8000), 0)</f>
        <v>0</v>
      </c>
      <c r="M1317" s="53" t="s">
        <v>146</v>
      </c>
    </row>
    <row r="1318" spans="1:13" ht="12.75" customHeight="1" x14ac:dyDescent="0.3">
      <c r="A1318" s="143" t="s">
        <v>15</v>
      </c>
      <c r="B1318" s="139" t="str">
        <f>IFERROR(VLOOKUP($A1318, NameDesignation[], 2,FALSE), " ")</f>
        <v>Former Director</v>
      </c>
      <c r="C1318" s="139" t="s">
        <v>29</v>
      </c>
      <c r="D1318" s="139">
        <v>485</v>
      </c>
      <c r="E1318" s="140">
        <v>45131</v>
      </c>
      <c r="F1318" s="139" t="str">
        <f t="shared" si="60"/>
        <v>Q3-23</v>
      </c>
      <c r="G1318" s="140" t="str">
        <f t="shared" si="61"/>
        <v>Jul'23</v>
      </c>
      <c r="H1318" s="140" t="str">
        <f>TEXT(RawData[[#This Row],[Date]], "YYYY")</f>
        <v>2023</v>
      </c>
      <c r="I1318" s="141" t="s">
        <v>32</v>
      </c>
      <c r="J1318" s="141" t="s">
        <v>91</v>
      </c>
      <c r="K1318" s="139">
        <f t="shared" si="62"/>
        <v>0</v>
      </c>
      <c r="L1318" s="142">
        <f>IF(RawData[[#This Row],[Paid/Unpaid]]="Paid", IF(VALUE($E1318)&gt;VALUE($D$3),$K1318* 10000,$K1318* 8000), 0)</f>
        <v>0</v>
      </c>
      <c r="M1318" s="53" t="s">
        <v>146</v>
      </c>
    </row>
    <row r="1319" spans="1:13" ht="12.75" customHeight="1" x14ac:dyDescent="0.3">
      <c r="A1319" s="143" t="s">
        <v>16</v>
      </c>
      <c r="B1319" s="139" t="str">
        <f>IFERROR(VLOOKUP($A1319, NameDesignation[], 2,FALSE), " ")</f>
        <v>Former Director</v>
      </c>
      <c r="C1319" s="139" t="s">
        <v>29</v>
      </c>
      <c r="D1319" s="139">
        <v>485</v>
      </c>
      <c r="E1319" s="140">
        <v>45131</v>
      </c>
      <c r="F1319" s="139" t="str">
        <f t="shared" si="60"/>
        <v>Q3-23</v>
      </c>
      <c r="G1319" s="140" t="str">
        <f t="shared" si="61"/>
        <v>Jul'23</v>
      </c>
      <c r="H1319" s="140" t="str">
        <f>TEXT(RawData[[#This Row],[Date]], "YYYY")</f>
        <v>2023</v>
      </c>
      <c r="I1319" s="141" t="s">
        <v>32</v>
      </c>
      <c r="J1319" s="141" t="s">
        <v>90</v>
      </c>
      <c r="K1319" s="139">
        <f t="shared" si="62"/>
        <v>1</v>
      </c>
      <c r="L1319" s="142">
        <f>IF(RawData[[#This Row],[Paid/Unpaid]]="Paid", IF(VALUE($E1319)&gt;VALUE($D$3),$K1319* 10000,$K1319* 8000), 0)</f>
        <v>8000</v>
      </c>
      <c r="M1319" s="53" t="s">
        <v>146</v>
      </c>
    </row>
    <row r="1320" spans="1:13" ht="12.75" customHeight="1" x14ac:dyDescent="0.3">
      <c r="A1320" s="143" t="s">
        <v>21</v>
      </c>
      <c r="B1320" s="139" t="str">
        <f>IFERROR(VLOOKUP($A1320, NameDesignation[], 2,FALSE), " ")</f>
        <v>Former Independent Director</v>
      </c>
      <c r="C1320" s="139" t="s">
        <v>29</v>
      </c>
      <c r="D1320" s="139">
        <v>485</v>
      </c>
      <c r="E1320" s="140">
        <v>45131</v>
      </c>
      <c r="F1320" s="139" t="str">
        <f t="shared" si="60"/>
        <v>Q3-23</v>
      </c>
      <c r="G1320" s="140" t="str">
        <f t="shared" si="61"/>
        <v>Jul'23</v>
      </c>
      <c r="H1320" s="140" t="str">
        <f>TEXT(RawData[[#This Row],[Date]], "YYYY")</f>
        <v>2023</v>
      </c>
      <c r="I1320" s="141" t="s">
        <v>32</v>
      </c>
      <c r="J1320" s="141" t="s">
        <v>91</v>
      </c>
      <c r="K1320" s="139">
        <f t="shared" si="62"/>
        <v>0</v>
      </c>
      <c r="L1320" s="142">
        <f>IF(RawData[[#This Row],[Paid/Unpaid]]="Paid", IF(VALUE($E1320)&gt;VALUE($D$3),$K1320* 10000,$K1320* 8000), 0)</f>
        <v>0</v>
      </c>
      <c r="M1320" s="53" t="s">
        <v>146</v>
      </c>
    </row>
    <row r="1321" spans="1:13" ht="12.75" customHeight="1" x14ac:dyDescent="0.3">
      <c r="A1321" s="143" t="s">
        <v>17</v>
      </c>
      <c r="B1321" s="139" t="str">
        <f>IFERROR(VLOOKUP($A1321, NameDesignation[], 2,FALSE), " ")</f>
        <v>Former Independent Director</v>
      </c>
      <c r="C1321" s="139" t="s">
        <v>29</v>
      </c>
      <c r="D1321" s="139">
        <v>485</v>
      </c>
      <c r="E1321" s="140">
        <v>45131</v>
      </c>
      <c r="F1321" s="139" t="str">
        <f t="shared" si="60"/>
        <v>Q3-23</v>
      </c>
      <c r="G1321" s="140" t="str">
        <f t="shared" si="61"/>
        <v>Jul'23</v>
      </c>
      <c r="H1321" s="140" t="str">
        <f>TEXT(RawData[[#This Row],[Date]], "YYYY")</f>
        <v>2023</v>
      </c>
      <c r="I1321" s="141" t="s">
        <v>32</v>
      </c>
      <c r="J1321" s="141" t="s">
        <v>90</v>
      </c>
      <c r="K1321" s="139">
        <f t="shared" si="62"/>
        <v>1</v>
      </c>
      <c r="L1321" s="142">
        <f>IF(RawData[[#This Row],[Paid/Unpaid]]="Paid", IF(VALUE($E1321)&gt;VALUE($D$3),$K1321* 10000,$K1321* 8000), 0)</f>
        <v>8000</v>
      </c>
      <c r="M1321" s="53" t="s">
        <v>146</v>
      </c>
    </row>
    <row r="1322" spans="1:13" ht="12.75" customHeight="1" x14ac:dyDescent="0.3">
      <c r="A1322" s="143" t="s">
        <v>34</v>
      </c>
      <c r="B1322" s="139" t="str">
        <f>IFERROR(VLOOKUP($A1322, NameDesignation[], 2,FALSE), " ")</f>
        <v>Former Managing Director &amp; CEO</v>
      </c>
      <c r="C1322" s="139" t="s">
        <v>29</v>
      </c>
      <c r="D1322" s="139">
        <v>485</v>
      </c>
      <c r="E1322" s="140">
        <v>45131</v>
      </c>
      <c r="F1322" s="139" t="str">
        <f t="shared" si="60"/>
        <v>Q3-23</v>
      </c>
      <c r="G1322" s="140" t="str">
        <f t="shared" si="61"/>
        <v>Jul'23</v>
      </c>
      <c r="H1322" s="140" t="str">
        <f>TEXT(RawData[[#This Row],[Date]], "YYYY")</f>
        <v>2023</v>
      </c>
      <c r="I1322" s="141" t="s">
        <v>32</v>
      </c>
      <c r="J1322" s="141" t="s">
        <v>90</v>
      </c>
      <c r="K1322" s="139">
        <f t="shared" si="62"/>
        <v>1</v>
      </c>
      <c r="L1322" s="142">
        <f>IF(RawData[[#This Row],[Paid/Unpaid]]="Paid", IF(VALUE($E1322)&gt;VALUE($D$3),$K1322* 10000,$K1322* 8000), 0)</f>
        <v>8000</v>
      </c>
      <c r="M1322" s="53" t="s">
        <v>146</v>
      </c>
    </row>
    <row r="1323" spans="1:13" ht="12.75" customHeight="1" x14ac:dyDescent="0.3">
      <c r="A1323" s="143" t="s">
        <v>9</v>
      </c>
      <c r="B1323" s="139" t="str">
        <f>IFERROR(VLOOKUP($A1323, NameDesignation[], 2,FALSE), " ")</f>
        <v>Former Director</v>
      </c>
      <c r="C1323" s="139" t="s">
        <v>30</v>
      </c>
      <c r="D1323" s="139">
        <v>462</v>
      </c>
      <c r="E1323" s="140">
        <v>45138</v>
      </c>
      <c r="F1323" s="139" t="str">
        <f t="shared" si="60"/>
        <v>Q3-23</v>
      </c>
      <c r="G1323" s="140" t="str">
        <f t="shared" si="61"/>
        <v>Jul'23</v>
      </c>
      <c r="H1323" s="140" t="str">
        <f>TEXT(RawData[[#This Row],[Date]], "YYYY")</f>
        <v>2023</v>
      </c>
      <c r="I1323" s="141" t="s">
        <v>32</v>
      </c>
      <c r="J1323" s="141" t="s">
        <v>90</v>
      </c>
      <c r="K1323" s="139">
        <f t="shared" si="62"/>
        <v>1</v>
      </c>
      <c r="L1323" s="142">
        <f>IF(RawData[[#This Row],[Paid/Unpaid]]="Paid", IF(VALUE($E1323)&gt;VALUE($D$3),$K1323* 10000,$K1323* 8000), 0)</f>
        <v>8000</v>
      </c>
      <c r="M1323" s="53" t="s">
        <v>146</v>
      </c>
    </row>
    <row r="1324" spans="1:13" ht="12.75" customHeight="1" x14ac:dyDescent="0.3">
      <c r="A1324" s="143" t="s">
        <v>8</v>
      </c>
      <c r="B1324" s="139" t="str">
        <f>IFERROR(VLOOKUP($A1324, NameDesignation[], 2,FALSE), " ")</f>
        <v>Former Vice-Chairman</v>
      </c>
      <c r="C1324" s="139" t="s">
        <v>30</v>
      </c>
      <c r="D1324" s="139">
        <v>462</v>
      </c>
      <c r="E1324" s="140">
        <v>45138</v>
      </c>
      <c r="F1324" s="139" t="str">
        <f t="shared" si="60"/>
        <v>Q3-23</v>
      </c>
      <c r="G1324" s="140" t="str">
        <f t="shared" si="61"/>
        <v>Jul'23</v>
      </c>
      <c r="H1324" s="140" t="str">
        <f>TEXT(RawData[[#This Row],[Date]], "YYYY")</f>
        <v>2023</v>
      </c>
      <c r="I1324" s="141" t="s">
        <v>32</v>
      </c>
      <c r="J1324" s="141" t="s">
        <v>91</v>
      </c>
      <c r="K1324" s="139">
        <f t="shared" si="62"/>
        <v>0</v>
      </c>
      <c r="L1324" s="142">
        <f>IF(RawData[[#This Row],[Paid/Unpaid]]="Paid", IF(VALUE($E1324)&gt;VALUE($D$3),$K1324* 10000,$K1324* 8000), 0)</f>
        <v>0</v>
      </c>
      <c r="M1324" s="53" t="s">
        <v>146</v>
      </c>
    </row>
    <row r="1325" spans="1:13" ht="12.75" customHeight="1" x14ac:dyDescent="0.3">
      <c r="A1325" s="143" t="s">
        <v>49</v>
      </c>
      <c r="B1325" s="139" t="str">
        <f>IFERROR(VLOOKUP($A1325, NameDesignation[], 2,FALSE), " ")</f>
        <v>Former Director</v>
      </c>
      <c r="C1325" s="139" t="s">
        <v>30</v>
      </c>
      <c r="D1325" s="139">
        <v>462</v>
      </c>
      <c r="E1325" s="140">
        <v>45138</v>
      </c>
      <c r="F1325" s="139" t="str">
        <f t="shared" si="60"/>
        <v>Q3-23</v>
      </c>
      <c r="G1325" s="140" t="str">
        <f t="shared" si="61"/>
        <v>Jul'23</v>
      </c>
      <c r="H1325" s="140" t="str">
        <f>TEXT(RawData[[#This Row],[Date]], "YYYY")</f>
        <v>2023</v>
      </c>
      <c r="I1325" s="141" t="s">
        <v>32</v>
      </c>
      <c r="J1325" s="141" t="s">
        <v>90</v>
      </c>
      <c r="K1325" s="139">
        <f t="shared" si="62"/>
        <v>1</v>
      </c>
      <c r="L1325" s="142">
        <f>IF(RawData[[#This Row],[Paid/Unpaid]]="Paid", IF(VALUE($E1325)&gt;VALUE($D$3),$K1325* 10000,$K1325* 8000), 0)</f>
        <v>8000</v>
      </c>
      <c r="M1325" s="53" t="s">
        <v>146</v>
      </c>
    </row>
    <row r="1326" spans="1:13" ht="12.75" customHeight="1" x14ac:dyDescent="0.3">
      <c r="A1326" s="143" t="s">
        <v>11</v>
      </c>
      <c r="B1326" s="139" t="str">
        <f>IFERROR(VLOOKUP($A1326, NameDesignation[], 2,FALSE), " ")</f>
        <v>Former Director</v>
      </c>
      <c r="C1326" s="139" t="s">
        <v>30</v>
      </c>
      <c r="D1326" s="139">
        <v>462</v>
      </c>
      <c r="E1326" s="140">
        <v>45138</v>
      </c>
      <c r="F1326" s="139" t="str">
        <f t="shared" si="60"/>
        <v>Q3-23</v>
      </c>
      <c r="G1326" s="140" t="str">
        <f t="shared" si="61"/>
        <v>Jul'23</v>
      </c>
      <c r="H1326" s="140" t="str">
        <f>TEXT(RawData[[#This Row],[Date]], "YYYY")</f>
        <v>2023</v>
      </c>
      <c r="I1326" s="141" t="s">
        <v>32</v>
      </c>
      <c r="J1326" s="141" t="s">
        <v>90</v>
      </c>
      <c r="K1326" s="139">
        <f t="shared" si="62"/>
        <v>1</v>
      </c>
      <c r="L1326" s="142">
        <f>IF(RawData[[#This Row],[Paid/Unpaid]]="Paid", IF(VALUE($E1326)&gt;VALUE($D$3),$K1326* 10000,$K1326* 8000), 0)</f>
        <v>8000</v>
      </c>
      <c r="M1326" s="53" t="s">
        <v>146</v>
      </c>
    </row>
    <row r="1327" spans="1:13" ht="12.75" customHeight="1" x14ac:dyDescent="0.3">
      <c r="A1327" s="143" t="s">
        <v>137</v>
      </c>
      <c r="B1327" s="139" t="str">
        <f>IFERROR(VLOOKUP($A1327, NameDesignation[], 2,FALSE), " ")</f>
        <v>Former Director</v>
      </c>
      <c r="C1327" s="139" t="s">
        <v>30</v>
      </c>
      <c r="D1327" s="139">
        <v>462</v>
      </c>
      <c r="E1327" s="140">
        <v>45138</v>
      </c>
      <c r="F1327" s="139" t="str">
        <f t="shared" si="60"/>
        <v>Q3-23</v>
      </c>
      <c r="G1327" s="140" t="str">
        <f t="shared" si="61"/>
        <v>Jul'23</v>
      </c>
      <c r="H1327" s="140" t="str">
        <f>TEXT(RawData[[#This Row],[Date]], "YYYY")</f>
        <v>2023</v>
      </c>
      <c r="I1327" s="141" t="s">
        <v>32</v>
      </c>
      <c r="J1327" s="141" t="s">
        <v>90</v>
      </c>
      <c r="K1327" s="139">
        <f t="shared" si="62"/>
        <v>1</v>
      </c>
      <c r="L1327" s="142">
        <f>IF(RawData[[#This Row],[Paid/Unpaid]]="Paid", IF(VALUE($E1327)&gt;VALUE($D$3),$K1327* 10000,$K1327* 8000), 0)</f>
        <v>8000</v>
      </c>
      <c r="M1327" s="53" t="s">
        <v>146</v>
      </c>
    </row>
    <row r="1328" spans="1:13" ht="12.75" customHeight="1" x14ac:dyDescent="0.3">
      <c r="A1328" s="143" t="s">
        <v>13</v>
      </c>
      <c r="B1328" s="139" t="str">
        <f>IFERROR(VLOOKUP($A1328, NameDesignation[], 2,FALSE), " ")</f>
        <v>Former Director</v>
      </c>
      <c r="C1328" s="139" t="s">
        <v>30</v>
      </c>
      <c r="D1328" s="139">
        <v>462</v>
      </c>
      <c r="E1328" s="140">
        <v>45138</v>
      </c>
      <c r="F1328" s="139" t="str">
        <f t="shared" si="60"/>
        <v>Q3-23</v>
      </c>
      <c r="G1328" s="140" t="str">
        <f t="shared" si="61"/>
        <v>Jul'23</v>
      </c>
      <c r="H1328" s="140" t="str">
        <f>TEXT(RawData[[#This Row],[Date]], "YYYY")</f>
        <v>2023</v>
      </c>
      <c r="I1328" s="141" t="s">
        <v>32</v>
      </c>
      <c r="J1328" s="141" t="s">
        <v>91</v>
      </c>
      <c r="K1328" s="139">
        <f t="shared" si="62"/>
        <v>0</v>
      </c>
      <c r="L1328" s="142">
        <f>IF(RawData[[#This Row],[Paid/Unpaid]]="Paid", IF(VALUE($E1328)&gt;VALUE($D$3),$K1328* 10000,$K1328* 8000), 0)</f>
        <v>0</v>
      </c>
      <c r="M1328" s="53" t="s">
        <v>146</v>
      </c>
    </row>
    <row r="1329" spans="1:13" ht="12.75" customHeight="1" x14ac:dyDescent="0.3">
      <c r="A1329" s="143" t="s">
        <v>7</v>
      </c>
      <c r="B1329" s="139" t="str">
        <f>IFERROR(VLOOKUP($A1329, NameDesignation[], 2,FALSE), " ")</f>
        <v>Former Director</v>
      </c>
      <c r="C1329" s="139" t="s">
        <v>29</v>
      </c>
      <c r="D1329" s="139">
        <v>486</v>
      </c>
      <c r="E1329" s="140">
        <v>45161</v>
      </c>
      <c r="F1329" s="139" t="str">
        <f t="shared" si="60"/>
        <v>Q3-23</v>
      </c>
      <c r="G1329" s="140" t="str">
        <f t="shared" si="61"/>
        <v>Aug'23</v>
      </c>
      <c r="H1329" s="140" t="str">
        <f>TEXT(RawData[[#This Row],[Date]], "YYYY")</f>
        <v>2023</v>
      </c>
      <c r="I1329" s="141" t="s">
        <v>32</v>
      </c>
      <c r="J1329" s="141" t="s">
        <v>90</v>
      </c>
      <c r="K1329" s="139">
        <f t="shared" si="62"/>
        <v>1</v>
      </c>
      <c r="L1329" s="142">
        <f>IF(RawData[[#This Row],[Paid/Unpaid]]="Paid", IF(VALUE($E1329)&gt;VALUE($D$3),$K1329* 10000,$K1329* 8000), 0)</f>
        <v>8000</v>
      </c>
      <c r="M1329" s="53" t="s">
        <v>146</v>
      </c>
    </row>
    <row r="1330" spans="1:13" ht="12.75" customHeight="1" x14ac:dyDescent="0.3">
      <c r="A1330" s="143" t="s">
        <v>8</v>
      </c>
      <c r="B1330" s="139" t="str">
        <f>IFERROR(VLOOKUP($A1330, NameDesignation[], 2,FALSE), " ")</f>
        <v>Former Vice-Chairman</v>
      </c>
      <c r="C1330" s="139" t="s">
        <v>29</v>
      </c>
      <c r="D1330" s="139">
        <v>486</v>
      </c>
      <c r="E1330" s="140">
        <v>45161</v>
      </c>
      <c r="F1330" s="139" t="str">
        <f t="shared" si="60"/>
        <v>Q3-23</v>
      </c>
      <c r="G1330" s="140" t="str">
        <f t="shared" si="61"/>
        <v>Aug'23</v>
      </c>
      <c r="H1330" s="140" t="str">
        <f>TEXT(RawData[[#This Row],[Date]], "YYYY")</f>
        <v>2023</v>
      </c>
      <c r="I1330" s="141" t="s">
        <v>32</v>
      </c>
      <c r="J1330" s="141" t="s">
        <v>90</v>
      </c>
      <c r="K1330" s="139">
        <f t="shared" si="62"/>
        <v>1</v>
      </c>
      <c r="L1330" s="142">
        <f>IF(RawData[[#This Row],[Paid/Unpaid]]="Paid", IF(VALUE($E1330)&gt;VALUE($D$3),$K1330* 10000,$K1330* 8000), 0)</f>
        <v>8000</v>
      </c>
      <c r="M1330" s="53" t="s">
        <v>146</v>
      </c>
    </row>
    <row r="1331" spans="1:13" ht="12.75" customHeight="1" x14ac:dyDescent="0.3">
      <c r="A1331" s="143" t="s">
        <v>9</v>
      </c>
      <c r="B1331" s="139" t="str">
        <f>IFERROR(VLOOKUP($A1331, NameDesignation[], 2,FALSE), " ")</f>
        <v>Former Director</v>
      </c>
      <c r="C1331" s="139" t="s">
        <v>29</v>
      </c>
      <c r="D1331" s="139">
        <v>486</v>
      </c>
      <c r="E1331" s="140">
        <v>45161</v>
      </c>
      <c r="F1331" s="139" t="str">
        <f t="shared" si="60"/>
        <v>Q3-23</v>
      </c>
      <c r="G1331" s="140" t="str">
        <f t="shared" si="61"/>
        <v>Aug'23</v>
      </c>
      <c r="H1331" s="140" t="str">
        <f>TEXT(RawData[[#This Row],[Date]], "YYYY")</f>
        <v>2023</v>
      </c>
      <c r="I1331" s="141" t="s">
        <v>32</v>
      </c>
      <c r="J1331" s="141" t="s">
        <v>90</v>
      </c>
      <c r="K1331" s="139">
        <f t="shared" si="62"/>
        <v>1</v>
      </c>
      <c r="L1331" s="142">
        <f>IF(RawData[[#This Row],[Paid/Unpaid]]="Paid", IF(VALUE($E1331)&gt;VALUE($D$3),$K1331* 10000,$K1331* 8000), 0)</f>
        <v>8000</v>
      </c>
      <c r="M1331" s="53" t="s">
        <v>146</v>
      </c>
    </row>
    <row r="1332" spans="1:13" ht="12.75" customHeight="1" x14ac:dyDescent="0.3">
      <c r="A1332" s="143" t="s">
        <v>20</v>
      </c>
      <c r="B1332" s="139" t="str">
        <f>IFERROR(VLOOKUP($A1332, NameDesignation[], 2,FALSE), " ")</f>
        <v>Former Independent Director</v>
      </c>
      <c r="C1332" s="139" t="s">
        <v>29</v>
      </c>
      <c r="D1332" s="139">
        <v>486</v>
      </c>
      <c r="E1332" s="140">
        <v>45161</v>
      </c>
      <c r="F1332" s="139" t="str">
        <f t="shared" si="60"/>
        <v>Q3-23</v>
      </c>
      <c r="G1332" s="140" t="str">
        <f t="shared" si="61"/>
        <v>Aug'23</v>
      </c>
      <c r="H1332" s="140" t="str">
        <f>TEXT(RawData[[#This Row],[Date]], "YYYY")</f>
        <v>2023</v>
      </c>
      <c r="I1332" s="141" t="s">
        <v>32</v>
      </c>
      <c r="J1332" s="141" t="s">
        <v>91</v>
      </c>
      <c r="K1332" s="139">
        <f t="shared" si="62"/>
        <v>0</v>
      </c>
      <c r="L1332" s="142">
        <f>IF(RawData[[#This Row],[Paid/Unpaid]]="Paid", IF(VALUE($E1332)&gt;VALUE($D$3),$K1332* 10000,$K1332* 8000), 0)</f>
        <v>0</v>
      </c>
      <c r="M1332" s="53" t="s">
        <v>146</v>
      </c>
    </row>
    <row r="1333" spans="1:13" ht="12.75" customHeight="1" x14ac:dyDescent="0.3">
      <c r="A1333" s="143" t="s">
        <v>49</v>
      </c>
      <c r="B1333" s="139" t="str">
        <f>IFERROR(VLOOKUP($A1333, NameDesignation[], 2,FALSE), " ")</f>
        <v>Former Director</v>
      </c>
      <c r="C1333" s="139" t="s">
        <v>29</v>
      </c>
      <c r="D1333" s="139">
        <v>486</v>
      </c>
      <c r="E1333" s="140">
        <v>45161</v>
      </c>
      <c r="F1333" s="139" t="str">
        <f t="shared" si="60"/>
        <v>Q3-23</v>
      </c>
      <c r="G1333" s="140" t="str">
        <f t="shared" si="61"/>
        <v>Aug'23</v>
      </c>
      <c r="H1333" s="140" t="str">
        <f>TEXT(RawData[[#This Row],[Date]], "YYYY")</f>
        <v>2023</v>
      </c>
      <c r="I1333" s="141" t="s">
        <v>32</v>
      </c>
      <c r="J1333" s="141" t="s">
        <v>90</v>
      </c>
      <c r="K1333" s="139">
        <f t="shared" si="62"/>
        <v>1</v>
      </c>
      <c r="L1333" s="142">
        <f>IF(RawData[[#This Row],[Paid/Unpaid]]="Paid", IF(VALUE($E1333)&gt;VALUE($D$3),$K1333* 10000,$K1333* 8000), 0)</f>
        <v>8000</v>
      </c>
      <c r="M1333" s="53" t="s">
        <v>146</v>
      </c>
    </row>
    <row r="1334" spans="1:13" ht="12.75" customHeight="1" x14ac:dyDescent="0.3">
      <c r="A1334" s="143" t="s">
        <v>11</v>
      </c>
      <c r="B1334" s="139" t="str">
        <f>IFERROR(VLOOKUP($A1334, NameDesignation[], 2,FALSE), " ")</f>
        <v>Former Director</v>
      </c>
      <c r="C1334" s="139" t="s">
        <v>29</v>
      </c>
      <c r="D1334" s="139">
        <v>486</v>
      </c>
      <c r="E1334" s="140">
        <v>45161</v>
      </c>
      <c r="F1334" s="139" t="str">
        <f t="shared" si="60"/>
        <v>Q3-23</v>
      </c>
      <c r="G1334" s="140" t="str">
        <f t="shared" si="61"/>
        <v>Aug'23</v>
      </c>
      <c r="H1334" s="140" t="str">
        <f>TEXT(RawData[[#This Row],[Date]], "YYYY")</f>
        <v>2023</v>
      </c>
      <c r="I1334" s="141" t="s">
        <v>32</v>
      </c>
      <c r="J1334" s="141" t="s">
        <v>90</v>
      </c>
      <c r="K1334" s="139">
        <f t="shared" si="62"/>
        <v>1</v>
      </c>
      <c r="L1334" s="142">
        <f>IF(RawData[[#This Row],[Paid/Unpaid]]="Paid", IF(VALUE($E1334)&gt;VALUE($D$3),$K1334* 10000,$K1334* 8000), 0)</f>
        <v>8000</v>
      </c>
      <c r="M1334" s="53" t="s">
        <v>146</v>
      </c>
    </row>
    <row r="1335" spans="1:13" ht="12.75" customHeight="1" x14ac:dyDescent="0.3">
      <c r="A1335" s="143" t="s">
        <v>12</v>
      </c>
      <c r="B1335" s="139" t="str">
        <f>IFERROR(VLOOKUP($A1335, NameDesignation[], 2,FALSE), " ")</f>
        <v>Former Director</v>
      </c>
      <c r="C1335" s="139" t="s">
        <v>29</v>
      </c>
      <c r="D1335" s="139">
        <v>486</v>
      </c>
      <c r="E1335" s="140">
        <v>45161</v>
      </c>
      <c r="F1335" s="139" t="str">
        <f t="shared" si="60"/>
        <v>Q3-23</v>
      </c>
      <c r="G1335" s="140" t="str">
        <f t="shared" si="61"/>
        <v>Aug'23</v>
      </c>
      <c r="H1335" s="140" t="str">
        <f>TEXT(RawData[[#This Row],[Date]], "YYYY")</f>
        <v>2023</v>
      </c>
      <c r="I1335" s="141" t="s">
        <v>32</v>
      </c>
      <c r="J1335" s="141" t="s">
        <v>90</v>
      </c>
      <c r="K1335" s="139">
        <f t="shared" si="62"/>
        <v>1</v>
      </c>
      <c r="L1335" s="142">
        <f>IF(RawData[[#This Row],[Paid/Unpaid]]="Paid", IF(VALUE($E1335)&gt;VALUE($D$3),$K1335* 10000,$K1335* 8000), 0)</f>
        <v>8000</v>
      </c>
      <c r="M1335" s="53" t="s">
        <v>146</v>
      </c>
    </row>
    <row r="1336" spans="1:13" ht="12.75" customHeight="1" x14ac:dyDescent="0.3">
      <c r="A1336" s="143" t="s">
        <v>137</v>
      </c>
      <c r="B1336" s="139" t="str">
        <f>IFERROR(VLOOKUP($A1336, NameDesignation[], 2,FALSE), " ")</f>
        <v>Former Director</v>
      </c>
      <c r="C1336" s="139" t="s">
        <v>29</v>
      </c>
      <c r="D1336" s="139">
        <v>486</v>
      </c>
      <c r="E1336" s="140">
        <v>45161</v>
      </c>
      <c r="F1336" s="139" t="str">
        <f t="shared" si="60"/>
        <v>Q3-23</v>
      </c>
      <c r="G1336" s="140" t="str">
        <f t="shared" si="61"/>
        <v>Aug'23</v>
      </c>
      <c r="H1336" s="140" t="str">
        <f>TEXT(RawData[[#This Row],[Date]], "YYYY")</f>
        <v>2023</v>
      </c>
      <c r="I1336" s="141" t="s">
        <v>32</v>
      </c>
      <c r="J1336" s="141" t="s">
        <v>90</v>
      </c>
      <c r="K1336" s="139">
        <f t="shared" si="62"/>
        <v>1</v>
      </c>
      <c r="L1336" s="142">
        <f>IF(RawData[[#This Row],[Paid/Unpaid]]="Paid", IF(VALUE($E1336)&gt;VALUE($D$3),$K1336* 10000,$K1336* 8000), 0)</f>
        <v>8000</v>
      </c>
      <c r="M1336" s="53" t="s">
        <v>146</v>
      </c>
    </row>
    <row r="1337" spans="1:13" ht="12.75" customHeight="1" x14ac:dyDescent="0.3">
      <c r="A1337" s="143" t="s">
        <v>13</v>
      </c>
      <c r="B1337" s="139" t="str">
        <f>IFERROR(VLOOKUP($A1337, NameDesignation[], 2,FALSE), " ")</f>
        <v>Former Director</v>
      </c>
      <c r="C1337" s="139" t="s">
        <v>29</v>
      </c>
      <c r="D1337" s="139">
        <v>486</v>
      </c>
      <c r="E1337" s="140">
        <v>45161</v>
      </c>
      <c r="F1337" s="139" t="str">
        <f t="shared" si="60"/>
        <v>Q3-23</v>
      </c>
      <c r="G1337" s="140" t="str">
        <f t="shared" si="61"/>
        <v>Aug'23</v>
      </c>
      <c r="H1337" s="140" t="str">
        <f>TEXT(RawData[[#This Row],[Date]], "YYYY")</f>
        <v>2023</v>
      </c>
      <c r="I1337" s="141" t="s">
        <v>32</v>
      </c>
      <c r="J1337" s="141" t="s">
        <v>90</v>
      </c>
      <c r="K1337" s="139">
        <f t="shared" si="62"/>
        <v>1</v>
      </c>
      <c r="L1337" s="142">
        <f>IF(RawData[[#This Row],[Paid/Unpaid]]="Paid", IF(VALUE($E1337)&gt;VALUE($D$3),$K1337* 10000,$K1337* 8000), 0)</f>
        <v>8000</v>
      </c>
      <c r="M1337" s="53" t="s">
        <v>146</v>
      </c>
    </row>
    <row r="1338" spans="1:13" ht="12.75" customHeight="1" x14ac:dyDescent="0.3">
      <c r="A1338" s="143" t="s">
        <v>61</v>
      </c>
      <c r="B1338" s="139" t="str">
        <f>IFERROR(VLOOKUP($A1338, NameDesignation[], 2,FALSE), " ")</f>
        <v>Former Director</v>
      </c>
      <c r="C1338" s="139" t="s">
        <v>29</v>
      </c>
      <c r="D1338" s="139">
        <v>486</v>
      </c>
      <c r="E1338" s="140">
        <v>45161</v>
      </c>
      <c r="F1338" s="139" t="str">
        <f t="shared" si="60"/>
        <v>Q3-23</v>
      </c>
      <c r="G1338" s="140" t="str">
        <f t="shared" si="61"/>
        <v>Aug'23</v>
      </c>
      <c r="H1338" s="140" t="str">
        <f>TEXT(RawData[[#This Row],[Date]], "YYYY")</f>
        <v>2023</v>
      </c>
      <c r="I1338" s="141" t="s">
        <v>32</v>
      </c>
      <c r="J1338" s="141" t="s">
        <v>90</v>
      </c>
      <c r="K1338" s="139">
        <f t="shared" si="62"/>
        <v>1</v>
      </c>
      <c r="L1338" s="142">
        <f>IF(RawData[[#This Row],[Paid/Unpaid]]="Paid", IF(VALUE($E1338)&gt;VALUE($D$3),$K1338* 10000,$K1338* 8000), 0)</f>
        <v>8000</v>
      </c>
      <c r="M1338" s="53" t="s">
        <v>146</v>
      </c>
    </row>
    <row r="1339" spans="1:13" ht="12.75" customHeight="1" x14ac:dyDescent="0.3">
      <c r="A1339" s="143" t="s">
        <v>14</v>
      </c>
      <c r="B1339" s="139" t="str">
        <f>IFERROR(VLOOKUP($A1339, NameDesignation[], 2,FALSE), " ")</f>
        <v>Former Director</v>
      </c>
      <c r="C1339" s="139" t="s">
        <v>29</v>
      </c>
      <c r="D1339" s="139">
        <v>486</v>
      </c>
      <c r="E1339" s="140">
        <v>45161</v>
      </c>
      <c r="F1339" s="139" t="str">
        <f t="shared" si="60"/>
        <v>Q3-23</v>
      </c>
      <c r="G1339" s="140" t="str">
        <f t="shared" si="61"/>
        <v>Aug'23</v>
      </c>
      <c r="H1339" s="140" t="str">
        <f>TEXT(RawData[[#This Row],[Date]], "YYYY")</f>
        <v>2023</v>
      </c>
      <c r="I1339" s="141" t="s">
        <v>32</v>
      </c>
      <c r="J1339" s="141" t="s">
        <v>90</v>
      </c>
      <c r="K1339" s="139">
        <f t="shared" si="62"/>
        <v>1</v>
      </c>
      <c r="L1339" s="142">
        <f>IF(RawData[[#This Row],[Paid/Unpaid]]="Paid", IF(VALUE($E1339)&gt;VALUE($D$3),$K1339* 10000,$K1339* 8000), 0)</f>
        <v>8000</v>
      </c>
      <c r="M1339" s="53" t="s">
        <v>146</v>
      </c>
    </row>
    <row r="1340" spans="1:13" ht="12.75" customHeight="1" x14ac:dyDescent="0.3">
      <c r="A1340" s="143" t="s">
        <v>24</v>
      </c>
      <c r="B1340" s="139" t="str">
        <f>IFERROR(VLOOKUP($A1340, NameDesignation[], 2,FALSE), " ")</f>
        <v>Former Director</v>
      </c>
      <c r="C1340" s="139" t="s">
        <v>29</v>
      </c>
      <c r="D1340" s="139">
        <v>486</v>
      </c>
      <c r="E1340" s="140">
        <v>45161</v>
      </c>
      <c r="F1340" s="139" t="str">
        <f t="shared" si="60"/>
        <v>Q3-23</v>
      </c>
      <c r="G1340" s="140" t="str">
        <f t="shared" si="61"/>
        <v>Aug'23</v>
      </c>
      <c r="H1340" s="140" t="str">
        <f>TEXT(RawData[[#This Row],[Date]], "YYYY")</f>
        <v>2023</v>
      </c>
      <c r="I1340" s="141" t="s">
        <v>32</v>
      </c>
      <c r="J1340" s="141" t="s">
        <v>90</v>
      </c>
      <c r="K1340" s="139">
        <f t="shared" si="62"/>
        <v>1</v>
      </c>
      <c r="L1340" s="142">
        <f>IF(RawData[[#This Row],[Paid/Unpaid]]="Paid", IF(VALUE($E1340)&gt;VALUE($D$3),$K1340* 10000,$K1340* 8000), 0)</f>
        <v>8000</v>
      </c>
      <c r="M1340" s="53" t="s">
        <v>146</v>
      </c>
    </row>
    <row r="1341" spans="1:13" ht="12.75" customHeight="1" x14ac:dyDescent="0.3">
      <c r="A1341" s="143" t="s">
        <v>15</v>
      </c>
      <c r="B1341" s="139" t="str">
        <f>IFERROR(VLOOKUP($A1341, NameDesignation[], 2,FALSE), " ")</f>
        <v>Former Director</v>
      </c>
      <c r="C1341" s="139" t="s">
        <v>29</v>
      </c>
      <c r="D1341" s="139">
        <v>486</v>
      </c>
      <c r="E1341" s="140">
        <v>45161</v>
      </c>
      <c r="F1341" s="139" t="str">
        <f t="shared" si="60"/>
        <v>Q3-23</v>
      </c>
      <c r="G1341" s="140" t="str">
        <f t="shared" si="61"/>
        <v>Aug'23</v>
      </c>
      <c r="H1341" s="140" t="str">
        <f>TEXT(RawData[[#This Row],[Date]], "YYYY")</f>
        <v>2023</v>
      </c>
      <c r="I1341" s="141" t="s">
        <v>32</v>
      </c>
      <c r="J1341" s="141" t="s">
        <v>90</v>
      </c>
      <c r="K1341" s="139">
        <f t="shared" si="62"/>
        <v>1</v>
      </c>
      <c r="L1341" s="142">
        <f>IF(RawData[[#This Row],[Paid/Unpaid]]="Paid", IF(VALUE($E1341)&gt;VALUE($D$3),$K1341* 10000,$K1341* 8000), 0)</f>
        <v>8000</v>
      </c>
      <c r="M1341" s="53" t="s">
        <v>146</v>
      </c>
    </row>
    <row r="1342" spans="1:13" ht="12.75" customHeight="1" x14ac:dyDescent="0.3">
      <c r="A1342" s="143" t="s">
        <v>16</v>
      </c>
      <c r="B1342" s="139" t="str">
        <f>IFERROR(VLOOKUP($A1342, NameDesignation[], 2,FALSE), " ")</f>
        <v>Former Director</v>
      </c>
      <c r="C1342" s="139" t="s">
        <v>29</v>
      </c>
      <c r="D1342" s="139">
        <v>486</v>
      </c>
      <c r="E1342" s="140">
        <v>45161</v>
      </c>
      <c r="F1342" s="139" t="str">
        <f t="shared" si="60"/>
        <v>Q3-23</v>
      </c>
      <c r="G1342" s="140" t="str">
        <f t="shared" si="61"/>
        <v>Aug'23</v>
      </c>
      <c r="H1342" s="140" t="str">
        <f>TEXT(RawData[[#This Row],[Date]], "YYYY")</f>
        <v>2023</v>
      </c>
      <c r="I1342" s="141" t="s">
        <v>32</v>
      </c>
      <c r="J1342" s="141" t="s">
        <v>90</v>
      </c>
      <c r="K1342" s="139">
        <f t="shared" si="62"/>
        <v>1</v>
      </c>
      <c r="L1342" s="142">
        <f>IF(RawData[[#This Row],[Paid/Unpaid]]="Paid", IF(VALUE($E1342)&gt;VALUE($D$3),$K1342* 10000,$K1342* 8000), 0)</f>
        <v>8000</v>
      </c>
      <c r="M1342" s="53" t="s">
        <v>146</v>
      </c>
    </row>
    <row r="1343" spans="1:13" ht="12.75" customHeight="1" x14ac:dyDescent="0.3">
      <c r="A1343" s="143" t="s">
        <v>21</v>
      </c>
      <c r="B1343" s="139" t="str">
        <f>IFERROR(VLOOKUP($A1343, NameDesignation[], 2,FALSE), " ")</f>
        <v>Former Independent Director</v>
      </c>
      <c r="C1343" s="139" t="s">
        <v>29</v>
      </c>
      <c r="D1343" s="139">
        <v>486</v>
      </c>
      <c r="E1343" s="140">
        <v>45161</v>
      </c>
      <c r="F1343" s="139" t="str">
        <f t="shared" si="60"/>
        <v>Q3-23</v>
      </c>
      <c r="G1343" s="140" t="str">
        <f t="shared" si="61"/>
        <v>Aug'23</v>
      </c>
      <c r="H1343" s="140" t="str">
        <f>TEXT(RawData[[#This Row],[Date]], "YYYY")</f>
        <v>2023</v>
      </c>
      <c r="I1343" s="141" t="s">
        <v>32</v>
      </c>
      <c r="J1343" s="141" t="s">
        <v>90</v>
      </c>
      <c r="K1343" s="139">
        <f t="shared" si="62"/>
        <v>1</v>
      </c>
      <c r="L1343" s="142">
        <f>IF(RawData[[#This Row],[Paid/Unpaid]]="Paid", IF(VALUE($E1343)&gt;VALUE($D$3),$K1343* 10000,$K1343* 8000), 0)</f>
        <v>8000</v>
      </c>
      <c r="M1343" s="53" t="s">
        <v>146</v>
      </c>
    </row>
    <row r="1344" spans="1:13" ht="12.75" customHeight="1" x14ac:dyDescent="0.3">
      <c r="A1344" s="143" t="s">
        <v>17</v>
      </c>
      <c r="B1344" s="139" t="str">
        <f>IFERROR(VLOOKUP($A1344, NameDesignation[], 2,FALSE), " ")</f>
        <v>Former Independent Director</v>
      </c>
      <c r="C1344" s="139" t="s">
        <v>29</v>
      </c>
      <c r="D1344" s="139">
        <v>486</v>
      </c>
      <c r="E1344" s="140">
        <v>45161</v>
      </c>
      <c r="F1344" s="139" t="str">
        <f t="shared" si="60"/>
        <v>Q3-23</v>
      </c>
      <c r="G1344" s="140" t="str">
        <f t="shared" si="61"/>
        <v>Aug'23</v>
      </c>
      <c r="H1344" s="140" t="str">
        <f>TEXT(RawData[[#This Row],[Date]], "YYYY")</f>
        <v>2023</v>
      </c>
      <c r="I1344" s="141" t="s">
        <v>32</v>
      </c>
      <c r="J1344" s="141" t="s">
        <v>90</v>
      </c>
      <c r="K1344" s="139">
        <f t="shared" si="62"/>
        <v>1</v>
      </c>
      <c r="L1344" s="142">
        <f>IF(RawData[[#This Row],[Paid/Unpaid]]="Paid", IF(VALUE($E1344)&gt;VALUE($D$3),$K1344* 10000,$K1344* 8000), 0)</f>
        <v>8000</v>
      </c>
      <c r="M1344" s="53" t="s">
        <v>146</v>
      </c>
    </row>
    <row r="1345" spans="1:13" ht="12.75" customHeight="1" x14ac:dyDescent="0.3">
      <c r="A1345" s="143" t="s">
        <v>34</v>
      </c>
      <c r="B1345" s="139" t="str">
        <f>IFERROR(VLOOKUP($A1345, NameDesignation[], 2,FALSE), " ")</f>
        <v>Former Managing Director &amp; CEO</v>
      </c>
      <c r="C1345" s="139" t="s">
        <v>29</v>
      </c>
      <c r="D1345" s="139">
        <v>486</v>
      </c>
      <c r="E1345" s="140">
        <v>45161</v>
      </c>
      <c r="F1345" s="139" t="str">
        <f t="shared" si="60"/>
        <v>Q3-23</v>
      </c>
      <c r="G1345" s="140" t="str">
        <f t="shared" si="61"/>
        <v>Aug'23</v>
      </c>
      <c r="H1345" s="140" t="str">
        <f>TEXT(RawData[[#This Row],[Date]], "YYYY")</f>
        <v>2023</v>
      </c>
      <c r="I1345" s="141" t="s">
        <v>32</v>
      </c>
      <c r="J1345" s="141" t="s">
        <v>90</v>
      </c>
      <c r="K1345" s="139">
        <f t="shared" si="62"/>
        <v>1</v>
      </c>
      <c r="L1345" s="142">
        <f>IF(RawData[[#This Row],[Paid/Unpaid]]="Paid", IF(VALUE($E1345)&gt;VALUE($D$3),$K1345* 10000,$K1345* 8000), 0)</f>
        <v>8000</v>
      </c>
      <c r="M1345" s="53" t="s">
        <v>146</v>
      </c>
    </row>
    <row r="1346" spans="1:13" ht="12.75" customHeight="1" x14ac:dyDescent="0.3">
      <c r="A1346" s="143" t="s">
        <v>9</v>
      </c>
      <c r="B1346" s="139" t="str">
        <f>IFERROR(VLOOKUP($A1346, NameDesignation[], 2,FALSE), " ")</f>
        <v>Former Director</v>
      </c>
      <c r="C1346" s="139" t="s">
        <v>30</v>
      </c>
      <c r="D1346" s="139">
        <v>463</v>
      </c>
      <c r="E1346" s="140">
        <v>45169</v>
      </c>
      <c r="F1346" s="139" t="str">
        <f t="shared" si="60"/>
        <v>Q3-23</v>
      </c>
      <c r="G1346" s="140" t="str">
        <f t="shared" si="61"/>
        <v>Aug'23</v>
      </c>
      <c r="H1346" s="140" t="str">
        <f>TEXT(RawData[[#This Row],[Date]], "YYYY")</f>
        <v>2023</v>
      </c>
      <c r="I1346" s="141" t="s">
        <v>32</v>
      </c>
      <c r="J1346" s="141" t="s">
        <v>90</v>
      </c>
      <c r="K1346" s="139">
        <f t="shared" si="62"/>
        <v>1</v>
      </c>
      <c r="L1346" s="142">
        <f>IF(RawData[[#This Row],[Paid/Unpaid]]="Paid", IF(VALUE($E1346)&gt;VALUE($D$3),$K1346* 10000,$K1346* 8000), 0)</f>
        <v>8000</v>
      </c>
      <c r="M1346" s="53" t="s">
        <v>146</v>
      </c>
    </row>
    <row r="1347" spans="1:13" ht="12.75" customHeight="1" x14ac:dyDescent="0.3">
      <c r="A1347" s="143" t="s">
        <v>8</v>
      </c>
      <c r="B1347" s="139" t="str">
        <f>IFERROR(VLOOKUP($A1347, NameDesignation[], 2,FALSE), " ")</f>
        <v>Former Vice-Chairman</v>
      </c>
      <c r="C1347" s="139" t="s">
        <v>30</v>
      </c>
      <c r="D1347" s="139">
        <v>463</v>
      </c>
      <c r="E1347" s="140">
        <v>45169</v>
      </c>
      <c r="F1347" s="139" t="str">
        <f t="shared" si="60"/>
        <v>Q3-23</v>
      </c>
      <c r="G1347" s="140" t="str">
        <f t="shared" si="61"/>
        <v>Aug'23</v>
      </c>
      <c r="H1347" s="140" t="str">
        <f>TEXT(RawData[[#This Row],[Date]], "YYYY")</f>
        <v>2023</v>
      </c>
      <c r="I1347" s="141" t="s">
        <v>32</v>
      </c>
      <c r="J1347" s="141" t="s">
        <v>90</v>
      </c>
      <c r="K1347" s="139">
        <f t="shared" si="62"/>
        <v>1</v>
      </c>
      <c r="L1347" s="142">
        <f>IF(RawData[[#This Row],[Paid/Unpaid]]="Paid", IF(VALUE($E1347)&gt;VALUE($D$3),$K1347* 10000,$K1347* 8000), 0)</f>
        <v>8000</v>
      </c>
      <c r="M1347" s="53" t="s">
        <v>146</v>
      </c>
    </row>
    <row r="1348" spans="1:13" ht="12.75" customHeight="1" x14ac:dyDescent="0.3">
      <c r="A1348" s="143" t="s">
        <v>49</v>
      </c>
      <c r="B1348" s="139" t="str">
        <f>IFERROR(VLOOKUP($A1348, NameDesignation[], 2,FALSE), " ")</f>
        <v>Former Director</v>
      </c>
      <c r="C1348" s="139" t="s">
        <v>30</v>
      </c>
      <c r="D1348" s="139">
        <v>463</v>
      </c>
      <c r="E1348" s="140">
        <v>45169</v>
      </c>
      <c r="F1348" s="139" t="str">
        <f t="shared" si="60"/>
        <v>Q3-23</v>
      </c>
      <c r="G1348" s="140" t="str">
        <f t="shared" si="61"/>
        <v>Aug'23</v>
      </c>
      <c r="H1348" s="140" t="str">
        <f>TEXT(RawData[[#This Row],[Date]], "YYYY")</f>
        <v>2023</v>
      </c>
      <c r="I1348" s="141" t="s">
        <v>32</v>
      </c>
      <c r="J1348" s="141" t="s">
        <v>90</v>
      </c>
      <c r="K1348" s="139">
        <f t="shared" si="62"/>
        <v>1</v>
      </c>
      <c r="L1348" s="142">
        <f>IF(RawData[[#This Row],[Paid/Unpaid]]="Paid", IF(VALUE($E1348)&gt;VALUE($D$3),$K1348* 10000,$K1348* 8000), 0)</f>
        <v>8000</v>
      </c>
      <c r="M1348" s="53" t="s">
        <v>146</v>
      </c>
    </row>
    <row r="1349" spans="1:13" ht="12.75" customHeight="1" x14ac:dyDescent="0.3">
      <c r="A1349" s="143" t="s">
        <v>11</v>
      </c>
      <c r="B1349" s="139" t="str">
        <f>IFERROR(VLOOKUP($A1349, NameDesignation[], 2,FALSE), " ")</f>
        <v>Former Director</v>
      </c>
      <c r="C1349" s="139" t="s">
        <v>30</v>
      </c>
      <c r="D1349" s="139">
        <v>463</v>
      </c>
      <c r="E1349" s="140">
        <v>45169</v>
      </c>
      <c r="F1349" s="139" t="str">
        <f t="shared" si="60"/>
        <v>Q3-23</v>
      </c>
      <c r="G1349" s="140" t="str">
        <f t="shared" si="61"/>
        <v>Aug'23</v>
      </c>
      <c r="H1349" s="140" t="str">
        <f>TEXT(RawData[[#This Row],[Date]], "YYYY")</f>
        <v>2023</v>
      </c>
      <c r="I1349" s="141" t="s">
        <v>32</v>
      </c>
      <c r="J1349" s="141" t="s">
        <v>90</v>
      </c>
      <c r="K1349" s="139">
        <f t="shared" si="62"/>
        <v>1</v>
      </c>
      <c r="L1349" s="142">
        <f>IF(RawData[[#This Row],[Paid/Unpaid]]="Paid", IF(VALUE($E1349)&gt;VALUE($D$3),$K1349* 10000,$K1349* 8000), 0)</f>
        <v>8000</v>
      </c>
      <c r="M1349" s="53" t="s">
        <v>146</v>
      </c>
    </row>
    <row r="1350" spans="1:13" ht="12.75" customHeight="1" x14ac:dyDescent="0.3">
      <c r="A1350" s="143" t="s">
        <v>12</v>
      </c>
      <c r="B1350" s="139" t="str">
        <f>IFERROR(VLOOKUP($A1350, NameDesignation[], 2,FALSE), " ")</f>
        <v>Former Director</v>
      </c>
      <c r="C1350" s="139" t="s">
        <v>30</v>
      </c>
      <c r="D1350" s="139">
        <v>463</v>
      </c>
      <c r="E1350" s="140">
        <v>45169</v>
      </c>
      <c r="F1350" s="139" t="str">
        <f t="shared" ref="F1350:F1413" si="63">CONCATENATE("Q", ROUNDUP(MONTH($E1350)/3,0),"-",TEXT($E1350, "yy"))</f>
        <v>Q3-23</v>
      </c>
      <c r="G1350" s="140" t="str">
        <f t="shared" ref="G1350:G1413" si="64">CONCATENATE(TEXT($E1350, "mmm"),"'", TEXT($E1350, "yy"))</f>
        <v>Aug'23</v>
      </c>
      <c r="H1350" s="140" t="str">
        <f>TEXT(RawData[[#This Row],[Date]], "YYYY")</f>
        <v>2023</v>
      </c>
      <c r="I1350" s="141" t="s">
        <v>32</v>
      </c>
      <c r="J1350" s="141" t="s">
        <v>90</v>
      </c>
      <c r="K1350" s="139">
        <f t="shared" ref="K1350:K1413" si="65">IF($J1350="Present", 1, 0)</f>
        <v>1</v>
      </c>
      <c r="L1350" s="142">
        <f>IF(RawData[[#This Row],[Paid/Unpaid]]="Paid", IF(VALUE($E1350)&gt;VALUE($D$3),$K1350* 10000,$K1350* 8000), 0)</f>
        <v>8000</v>
      </c>
      <c r="M1350" s="53" t="s">
        <v>146</v>
      </c>
    </row>
    <row r="1351" spans="1:13" ht="12.75" customHeight="1" x14ac:dyDescent="0.3">
      <c r="A1351" s="143" t="s">
        <v>137</v>
      </c>
      <c r="B1351" s="139" t="str">
        <f>IFERROR(VLOOKUP($A1351, NameDesignation[], 2,FALSE), " ")</f>
        <v>Former Director</v>
      </c>
      <c r="C1351" s="139" t="s">
        <v>30</v>
      </c>
      <c r="D1351" s="139">
        <v>463</v>
      </c>
      <c r="E1351" s="140">
        <v>45169</v>
      </c>
      <c r="F1351" s="139" t="str">
        <f t="shared" si="63"/>
        <v>Q3-23</v>
      </c>
      <c r="G1351" s="140" t="str">
        <f t="shared" si="64"/>
        <v>Aug'23</v>
      </c>
      <c r="H1351" s="140" t="str">
        <f>TEXT(RawData[[#This Row],[Date]], "YYYY")</f>
        <v>2023</v>
      </c>
      <c r="I1351" s="141" t="s">
        <v>32</v>
      </c>
      <c r="J1351" s="141" t="s">
        <v>90</v>
      </c>
      <c r="K1351" s="139">
        <f t="shared" si="65"/>
        <v>1</v>
      </c>
      <c r="L1351" s="142">
        <f>IF(RawData[[#This Row],[Paid/Unpaid]]="Paid", IF(VALUE($E1351)&gt;VALUE($D$3),$K1351* 10000,$K1351* 8000), 0)</f>
        <v>8000</v>
      </c>
      <c r="M1351" s="53" t="s">
        <v>146</v>
      </c>
    </row>
    <row r="1352" spans="1:13" ht="12.75" customHeight="1" x14ac:dyDescent="0.3">
      <c r="A1352" s="143" t="s">
        <v>13</v>
      </c>
      <c r="B1352" s="139" t="str">
        <f>IFERROR(VLOOKUP($A1352, NameDesignation[], 2,FALSE), " ")</f>
        <v>Former Director</v>
      </c>
      <c r="C1352" s="139" t="s">
        <v>30</v>
      </c>
      <c r="D1352" s="139">
        <v>463</v>
      </c>
      <c r="E1352" s="140">
        <v>45169</v>
      </c>
      <c r="F1352" s="139" t="str">
        <f t="shared" si="63"/>
        <v>Q3-23</v>
      </c>
      <c r="G1352" s="140" t="str">
        <f t="shared" si="64"/>
        <v>Aug'23</v>
      </c>
      <c r="H1352" s="140" t="str">
        <f>TEXT(RawData[[#This Row],[Date]], "YYYY")</f>
        <v>2023</v>
      </c>
      <c r="I1352" s="141" t="s">
        <v>32</v>
      </c>
      <c r="J1352" s="141" t="s">
        <v>91</v>
      </c>
      <c r="K1352" s="139">
        <f t="shared" si="65"/>
        <v>0</v>
      </c>
      <c r="L1352" s="142">
        <f>IF(RawData[[#This Row],[Paid/Unpaid]]="Paid", IF(VALUE($E1352)&gt;VALUE($D$3),$K1352* 10000,$K1352* 8000), 0)</f>
        <v>0</v>
      </c>
      <c r="M1352" s="53" t="s">
        <v>146</v>
      </c>
    </row>
    <row r="1353" spans="1:13" ht="12.75" customHeight="1" x14ac:dyDescent="0.3">
      <c r="A1353" s="143" t="s">
        <v>9</v>
      </c>
      <c r="B1353" s="139" t="str">
        <f>IFERROR(VLOOKUP($A1353, NameDesignation[], 2,FALSE), " ")</f>
        <v>Former Director</v>
      </c>
      <c r="C1353" s="139" t="s">
        <v>30</v>
      </c>
      <c r="D1353" s="139">
        <v>464</v>
      </c>
      <c r="E1353" s="140">
        <v>45196</v>
      </c>
      <c r="F1353" s="139" t="str">
        <f t="shared" si="63"/>
        <v>Q3-23</v>
      </c>
      <c r="G1353" s="140" t="str">
        <f t="shared" si="64"/>
        <v>Sep'23</v>
      </c>
      <c r="H1353" s="140" t="str">
        <f>TEXT(RawData[[#This Row],[Date]], "YYYY")</f>
        <v>2023</v>
      </c>
      <c r="I1353" s="141" t="s">
        <v>32</v>
      </c>
      <c r="J1353" s="141" t="s">
        <v>90</v>
      </c>
      <c r="K1353" s="139">
        <f t="shared" si="65"/>
        <v>1</v>
      </c>
      <c r="L1353" s="142">
        <f>IF(RawData[[#This Row],[Paid/Unpaid]]="Paid", IF(VALUE($E1353)&gt;VALUE($D$3),$K1353* 10000,$K1353* 8000), 0)</f>
        <v>8000</v>
      </c>
      <c r="M1353" s="53" t="s">
        <v>146</v>
      </c>
    </row>
    <row r="1354" spans="1:13" ht="12.75" customHeight="1" x14ac:dyDescent="0.3">
      <c r="A1354" s="143" t="s">
        <v>8</v>
      </c>
      <c r="B1354" s="139" t="str">
        <f>IFERROR(VLOOKUP($A1354, NameDesignation[], 2,FALSE), " ")</f>
        <v>Former Vice-Chairman</v>
      </c>
      <c r="C1354" s="139" t="s">
        <v>30</v>
      </c>
      <c r="D1354" s="139">
        <v>464</v>
      </c>
      <c r="E1354" s="140">
        <v>45196</v>
      </c>
      <c r="F1354" s="139" t="str">
        <f t="shared" si="63"/>
        <v>Q3-23</v>
      </c>
      <c r="G1354" s="140" t="str">
        <f t="shared" si="64"/>
        <v>Sep'23</v>
      </c>
      <c r="H1354" s="140" t="str">
        <f>TEXT(RawData[[#This Row],[Date]], "YYYY")</f>
        <v>2023</v>
      </c>
      <c r="I1354" s="141" t="s">
        <v>32</v>
      </c>
      <c r="J1354" s="141" t="s">
        <v>90</v>
      </c>
      <c r="K1354" s="139">
        <f t="shared" si="65"/>
        <v>1</v>
      </c>
      <c r="L1354" s="142">
        <f>IF(RawData[[#This Row],[Paid/Unpaid]]="Paid", IF(VALUE($E1354)&gt;VALUE($D$3),$K1354* 10000,$K1354* 8000), 0)</f>
        <v>8000</v>
      </c>
      <c r="M1354" s="53" t="s">
        <v>146</v>
      </c>
    </row>
    <row r="1355" spans="1:13" ht="12.75" customHeight="1" x14ac:dyDescent="0.3">
      <c r="A1355" s="143" t="s">
        <v>49</v>
      </c>
      <c r="B1355" s="139" t="str">
        <f>IFERROR(VLOOKUP($A1355, NameDesignation[], 2,FALSE), " ")</f>
        <v>Former Director</v>
      </c>
      <c r="C1355" s="139" t="s">
        <v>30</v>
      </c>
      <c r="D1355" s="139">
        <v>464</v>
      </c>
      <c r="E1355" s="140">
        <v>45196</v>
      </c>
      <c r="F1355" s="139" t="str">
        <f t="shared" si="63"/>
        <v>Q3-23</v>
      </c>
      <c r="G1355" s="140" t="str">
        <f t="shared" si="64"/>
        <v>Sep'23</v>
      </c>
      <c r="H1355" s="140" t="str">
        <f>TEXT(RawData[[#This Row],[Date]], "YYYY")</f>
        <v>2023</v>
      </c>
      <c r="I1355" s="141" t="s">
        <v>32</v>
      </c>
      <c r="J1355" s="141" t="s">
        <v>91</v>
      </c>
      <c r="K1355" s="139">
        <f t="shared" si="65"/>
        <v>0</v>
      </c>
      <c r="L1355" s="142">
        <f>IF(RawData[[#This Row],[Paid/Unpaid]]="Paid", IF(VALUE($E1355)&gt;VALUE($D$3),$K1355* 10000,$K1355* 8000), 0)</f>
        <v>0</v>
      </c>
      <c r="M1355" s="53" t="s">
        <v>146</v>
      </c>
    </row>
    <row r="1356" spans="1:13" ht="12.75" customHeight="1" x14ac:dyDescent="0.3">
      <c r="A1356" s="143" t="s">
        <v>11</v>
      </c>
      <c r="B1356" s="139" t="str">
        <f>IFERROR(VLOOKUP($A1356, NameDesignation[], 2,FALSE), " ")</f>
        <v>Former Director</v>
      </c>
      <c r="C1356" s="139" t="s">
        <v>30</v>
      </c>
      <c r="D1356" s="139">
        <v>464</v>
      </c>
      <c r="E1356" s="140">
        <v>45196</v>
      </c>
      <c r="F1356" s="139" t="str">
        <f t="shared" si="63"/>
        <v>Q3-23</v>
      </c>
      <c r="G1356" s="140" t="str">
        <f t="shared" si="64"/>
        <v>Sep'23</v>
      </c>
      <c r="H1356" s="140" t="str">
        <f>TEXT(RawData[[#This Row],[Date]], "YYYY")</f>
        <v>2023</v>
      </c>
      <c r="I1356" s="141" t="s">
        <v>32</v>
      </c>
      <c r="J1356" s="141" t="s">
        <v>90</v>
      </c>
      <c r="K1356" s="139">
        <f t="shared" si="65"/>
        <v>1</v>
      </c>
      <c r="L1356" s="142">
        <f>IF(RawData[[#This Row],[Paid/Unpaid]]="Paid", IF(VALUE($E1356)&gt;VALUE($D$3),$K1356* 10000,$K1356* 8000), 0)</f>
        <v>8000</v>
      </c>
      <c r="M1356" s="53" t="s">
        <v>146</v>
      </c>
    </row>
    <row r="1357" spans="1:13" ht="12.75" customHeight="1" x14ac:dyDescent="0.3">
      <c r="A1357" s="143" t="s">
        <v>12</v>
      </c>
      <c r="B1357" s="139" t="str">
        <f>IFERROR(VLOOKUP($A1357, NameDesignation[], 2,FALSE), " ")</f>
        <v>Former Director</v>
      </c>
      <c r="C1357" s="139" t="s">
        <v>30</v>
      </c>
      <c r="D1357" s="139">
        <v>464</v>
      </c>
      <c r="E1357" s="140">
        <v>45196</v>
      </c>
      <c r="F1357" s="139" t="str">
        <f t="shared" si="63"/>
        <v>Q3-23</v>
      </c>
      <c r="G1357" s="140" t="str">
        <f t="shared" si="64"/>
        <v>Sep'23</v>
      </c>
      <c r="H1357" s="140" t="str">
        <f>TEXT(RawData[[#This Row],[Date]], "YYYY")</f>
        <v>2023</v>
      </c>
      <c r="I1357" s="141" t="s">
        <v>32</v>
      </c>
      <c r="J1357" s="141" t="s">
        <v>90</v>
      </c>
      <c r="K1357" s="139">
        <f t="shared" si="65"/>
        <v>1</v>
      </c>
      <c r="L1357" s="142">
        <f>IF(RawData[[#This Row],[Paid/Unpaid]]="Paid", IF(VALUE($E1357)&gt;VALUE($D$3),$K1357* 10000,$K1357* 8000), 0)</f>
        <v>8000</v>
      </c>
      <c r="M1357" s="53" t="s">
        <v>146</v>
      </c>
    </row>
    <row r="1358" spans="1:13" ht="12.75" customHeight="1" x14ac:dyDescent="0.3">
      <c r="A1358" s="143" t="s">
        <v>137</v>
      </c>
      <c r="B1358" s="139" t="str">
        <f>IFERROR(VLOOKUP($A1358, NameDesignation[], 2,FALSE), " ")</f>
        <v>Former Director</v>
      </c>
      <c r="C1358" s="139" t="s">
        <v>30</v>
      </c>
      <c r="D1358" s="139">
        <v>464</v>
      </c>
      <c r="E1358" s="140">
        <v>45196</v>
      </c>
      <c r="F1358" s="139" t="str">
        <f t="shared" si="63"/>
        <v>Q3-23</v>
      </c>
      <c r="G1358" s="140" t="str">
        <f t="shared" si="64"/>
        <v>Sep'23</v>
      </c>
      <c r="H1358" s="140" t="str">
        <f>TEXT(RawData[[#This Row],[Date]], "YYYY")</f>
        <v>2023</v>
      </c>
      <c r="I1358" s="141" t="s">
        <v>32</v>
      </c>
      <c r="J1358" s="141" t="s">
        <v>90</v>
      </c>
      <c r="K1358" s="139">
        <f t="shared" si="65"/>
        <v>1</v>
      </c>
      <c r="L1358" s="142">
        <f>IF(RawData[[#This Row],[Paid/Unpaid]]="Paid", IF(VALUE($E1358)&gt;VALUE($D$3),$K1358* 10000,$K1358* 8000), 0)</f>
        <v>8000</v>
      </c>
      <c r="M1358" s="53" t="s">
        <v>146</v>
      </c>
    </row>
    <row r="1359" spans="1:13" ht="12.75" customHeight="1" x14ac:dyDescent="0.3">
      <c r="A1359" s="143" t="s">
        <v>13</v>
      </c>
      <c r="B1359" s="139" t="str">
        <f>IFERROR(VLOOKUP($A1359, NameDesignation[], 2,FALSE), " ")</f>
        <v>Former Director</v>
      </c>
      <c r="C1359" s="139" t="s">
        <v>30</v>
      </c>
      <c r="D1359" s="139">
        <v>464</v>
      </c>
      <c r="E1359" s="140">
        <v>45196</v>
      </c>
      <c r="F1359" s="139" t="str">
        <f t="shared" si="63"/>
        <v>Q3-23</v>
      </c>
      <c r="G1359" s="140" t="str">
        <f t="shared" si="64"/>
        <v>Sep'23</v>
      </c>
      <c r="H1359" s="140" t="str">
        <f>TEXT(RawData[[#This Row],[Date]], "YYYY")</f>
        <v>2023</v>
      </c>
      <c r="I1359" s="141" t="s">
        <v>32</v>
      </c>
      <c r="J1359" s="141" t="s">
        <v>90</v>
      </c>
      <c r="K1359" s="139">
        <f t="shared" si="65"/>
        <v>1</v>
      </c>
      <c r="L1359" s="142">
        <f>IF(RawData[[#This Row],[Paid/Unpaid]]="Paid", IF(VALUE($E1359)&gt;VALUE($D$3),$K1359* 10000,$K1359* 8000), 0)</f>
        <v>8000</v>
      </c>
      <c r="M1359" s="53" t="s">
        <v>146</v>
      </c>
    </row>
    <row r="1360" spans="1:13" ht="12.75" customHeight="1" x14ac:dyDescent="0.3">
      <c r="A1360" s="143" t="s">
        <v>20</v>
      </c>
      <c r="B1360" s="139" t="str">
        <f>IFERROR(VLOOKUP($A1360, NameDesignation[], 2,FALSE), " ")</f>
        <v>Former Independent Director</v>
      </c>
      <c r="C1360" s="139" t="s">
        <v>37</v>
      </c>
      <c r="D1360" s="139">
        <v>132</v>
      </c>
      <c r="E1360" s="140">
        <v>45200</v>
      </c>
      <c r="F1360" s="139" t="str">
        <f t="shared" si="63"/>
        <v>Q4-23</v>
      </c>
      <c r="G1360" s="140" t="str">
        <f t="shared" si="64"/>
        <v>Oct'23</v>
      </c>
      <c r="H1360" s="140" t="str">
        <f>TEXT(RawData[[#This Row],[Date]], "YYYY")</f>
        <v>2023</v>
      </c>
      <c r="I1360" s="141" t="s">
        <v>32</v>
      </c>
      <c r="J1360" s="141" t="s">
        <v>90</v>
      </c>
      <c r="K1360" s="139">
        <f t="shared" si="65"/>
        <v>1</v>
      </c>
      <c r="L1360" s="142">
        <f>IF(RawData[[#This Row],[Paid/Unpaid]]="Paid", IF(VALUE($E1360)&gt;VALUE($D$3),$K1360* 10000,$K1360* 8000), 0)</f>
        <v>8000</v>
      </c>
      <c r="M1360" s="53" t="s">
        <v>146</v>
      </c>
    </row>
    <row r="1361" spans="1:13" ht="12.75" customHeight="1" x14ac:dyDescent="0.3">
      <c r="A1361" s="143" t="s">
        <v>23</v>
      </c>
      <c r="B1361" s="139" t="str">
        <f>IFERROR(VLOOKUP($A1361, NameDesignation[], 2,FALSE), " ")</f>
        <v>Former Director</v>
      </c>
      <c r="C1361" s="139" t="s">
        <v>37</v>
      </c>
      <c r="D1361" s="139">
        <v>132</v>
      </c>
      <c r="E1361" s="140">
        <v>45200</v>
      </c>
      <c r="F1361" s="139" t="str">
        <f t="shared" si="63"/>
        <v>Q4-23</v>
      </c>
      <c r="G1361" s="140" t="str">
        <f t="shared" si="64"/>
        <v>Oct'23</v>
      </c>
      <c r="H1361" s="140" t="str">
        <f>TEXT(RawData[[#This Row],[Date]], "YYYY")</f>
        <v>2023</v>
      </c>
      <c r="I1361" s="141" t="s">
        <v>32</v>
      </c>
      <c r="J1361" s="141" t="s">
        <v>91</v>
      </c>
      <c r="K1361" s="139">
        <f t="shared" si="65"/>
        <v>0</v>
      </c>
      <c r="L1361" s="142">
        <f>IF(RawData[[#This Row],[Paid/Unpaid]]="Paid", IF(VALUE($E1361)&gt;VALUE($D$3),$K1361* 10000,$K1361* 8000), 0)</f>
        <v>0</v>
      </c>
      <c r="M1361" s="53" t="s">
        <v>146</v>
      </c>
    </row>
    <row r="1362" spans="1:13" ht="12.75" customHeight="1" x14ac:dyDescent="0.3">
      <c r="A1362" s="143" t="s">
        <v>24</v>
      </c>
      <c r="B1362" s="139" t="str">
        <f>IFERROR(VLOOKUP($A1362, NameDesignation[], 2,FALSE), " ")</f>
        <v>Former Director</v>
      </c>
      <c r="C1362" s="139" t="s">
        <v>37</v>
      </c>
      <c r="D1362" s="139">
        <v>132</v>
      </c>
      <c r="E1362" s="140">
        <v>45200</v>
      </c>
      <c r="F1362" s="139" t="str">
        <f t="shared" si="63"/>
        <v>Q4-23</v>
      </c>
      <c r="G1362" s="140" t="str">
        <f t="shared" si="64"/>
        <v>Oct'23</v>
      </c>
      <c r="H1362" s="140" t="str">
        <f>TEXT(RawData[[#This Row],[Date]], "YYYY")</f>
        <v>2023</v>
      </c>
      <c r="I1362" s="141" t="s">
        <v>32</v>
      </c>
      <c r="J1362" s="141" t="s">
        <v>90</v>
      </c>
      <c r="K1362" s="139">
        <f t="shared" si="65"/>
        <v>1</v>
      </c>
      <c r="L1362" s="142">
        <f>IF(RawData[[#This Row],[Paid/Unpaid]]="Paid", IF(VALUE($E1362)&gt;VALUE($D$3),$K1362* 10000,$K1362* 8000), 0)</f>
        <v>8000</v>
      </c>
      <c r="M1362" s="53" t="s">
        <v>146</v>
      </c>
    </row>
    <row r="1363" spans="1:13" ht="12.75" customHeight="1" x14ac:dyDescent="0.3">
      <c r="A1363" s="143" t="s">
        <v>21</v>
      </c>
      <c r="B1363" s="139" t="str">
        <f>IFERROR(VLOOKUP($A1363, NameDesignation[], 2,FALSE), " ")</f>
        <v>Former Independent Director</v>
      </c>
      <c r="C1363" s="139" t="s">
        <v>37</v>
      </c>
      <c r="D1363" s="139">
        <v>132</v>
      </c>
      <c r="E1363" s="140">
        <v>45200</v>
      </c>
      <c r="F1363" s="139" t="str">
        <f t="shared" si="63"/>
        <v>Q4-23</v>
      </c>
      <c r="G1363" s="140" t="str">
        <f t="shared" si="64"/>
        <v>Oct'23</v>
      </c>
      <c r="H1363" s="140" t="str">
        <f>TEXT(RawData[[#This Row],[Date]], "YYYY")</f>
        <v>2023</v>
      </c>
      <c r="I1363" s="141" t="s">
        <v>32</v>
      </c>
      <c r="J1363" s="141" t="s">
        <v>90</v>
      </c>
      <c r="K1363" s="139">
        <f t="shared" si="65"/>
        <v>1</v>
      </c>
      <c r="L1363" s="142">
        <f>IF(RawData[[#This Row],[Paid/Unpaid]]="Paid", IF(VALUE($E1363)&gt;VALUE($D$3),$K1363* 10000,$K1363* 8000), 0)</f>
        <v>8000</v>
      </c>
      <c r="M1363" s="53" t="s">
        <v>146</v>
      </c>
    </row>
    <row r="1364" spans="1:13" ht="12.75" customHeight="1" x14ac:dyDescent="0.3">
      <c r="A1364" s="143" t="s">
        <v>15</v>
      </c>
      <c r="B1364" s="139" t="str">
        <f>IFERROR(VLOOKUP($A1364, NameDesignation[], 2,FALSE), " ")</f>
        <v>Former Director</v>
      </c>
      <c r="C1364" s="139" t="s">
        <v>37</v>
      </c>
      <c r="D1364" s="139">
        <v>132</v>
      </c>
      <c r="E1364" s="140">
        <v>45200</v>
      </c>
      <c r="F1364" s="139" t="str">
        <f t="shared" si="63"/>
        <v>Q4-23</v>
      </c>
      <c r="G1364" s="140" t="str">
        <f t="shared" si="64"/>
        <v>Oct'23</v>
      </c>
      <c r="H1364" s="140" t="str">
        <f>TEXT(RawData[[#This Row],[Date]], "YYYY")</f>
        <v>2023</v>
      </c>
      <c r="I1364" s="141" t="s">
        <v>32</v>
      </c>
      <c r="J1364" s="141" t="s">
        <v>90</v>
      </c>
      <c r="K1364" s="139">
        <f t="shared" si="65"/>
        <v>1</v>
      </c>
      <c r="L1364" s="142">
        <f>IF(RawData[[#This Row],[Paid/Unpaid]]="Paid", IF(VALUE($E1364)&gt;VALUE($D$3),$K1364* 10000,$K1364* 8000), 0)</f>
        <v>8000</v>
      </c>
      <c r="M1364" s="53" t="s">
        <v>146</v>
      </c>
    </row>
    <row r="1365" spans="1:13" ht="12.75" customHeight="1" x14ac:dyDescent="0.3">
      <c r="A1365" s="143" t="s">
        <v>7</v>
      </c>
      <c r="B1365" s="139" t="str">
        <f>IFERROR(VLOOKUP($A1365, NameDesignation[], 2,FALSE), " ")</f>
        <v>Former Director</v>
      </c>
      <c r="C1365" s="139" t="s">
        <v>29</v>
      </c>
      <c r="D1365" s="139">
        <v>487</v>
      </c>
      <c r="E1365" s="140">
        <v>45222</v>
      </c>
      <c r="F1365" s="139" t="str">
        <f t="shared" si="63"/>
        <v>Q4-23</v>
      </c>
      <c r="G1365" s="140" t="str">
        <f t="shared" si="64"/>
        <v>Oct'23</v>
      </c>
      <c r="H1365" s="140" t="str">
        <f>TEXT(RawData[[#This Row],[Date]], "YYYY")</f>
        <v>2023</v>
      </c>
      <c r="I1365" s="141" t="s">
        <v>32</v>
      </c>
      <c r="J1365" s="141" t="s">
        <v>90</v>
      </c>
      <c r="K1365" s="139">
        <f t="shared" si="65"/>
        <v>1</v>
      </c>
      <c r="L1365" s="142">
        <f>IF(RawData[[#This Row],[Paid/Unpaid]]="Paid", IF(VALUE($E1365)&gt;VALUE($D$3),$K1365* 10000,$K1365* 8000), 0)</f>
        <v>8000</v>
      </c>
      <c r="M1365" s="53" t="s">
        <v>146</v>
      </c>
    </row>
    <row r="1366" spans="1:13" ht="12.75" customHeight="1" x14ac:dyDescent="0.3">
      <c r="A1366" s="143" t="s">
        <v>8</v>
      </c>
      <c r="B1366" s="139" t="str">
        <f>IFERROR(VLOOKUP($A1366, NameDesignation[], 2,FALSE), " ")</f>
        <v>Former Vice-Chairman</v>
      </c>
      <c r="C1366" s="139" t="s">
        <v>29</v>
      </c>
      <c r="D1366" s="139">
        <v>487</v>
      </c>
      <c r="E1366" s="140">
        <v>45222</v>
      </c>
      <c r="F1366" s="139" t="str">
        <f t="shared" si="63"/>
        <v>Q4-23</v>
      </c>
      <c r="G1366" s="140" t="str">
        <f t="shared" si="64"/>
        <v>Oct'23</v>
      </c>
      <c r="H1366" s="140" t="str">
        <f>TEXT(RawData[[#This Row],[Date]], "YYYY")</f>
        <v>2023</v>
      </c>
      <c r="I1366" s="141" t="s">
        <v>32</v>
      </c>
      <c r="J1366" s="141" t="s">
        <v>90</v>
      </c>
      <c r="K1366" s="139">
        <f t="shared" si="65"/>
        <v>1</v>
      </c>
      <c r="L1366" s="142">
        <f>IF(RawData[[#This Row],[Paid/Unpaid]]="Paid", IF(VALUE($E1366)&gt;VALUE($D$3),$K1366* 10000,$K1366* 8000), 0)</f>
        <v>8000</v>
      </c>
      <c r="M1366" s="53" t="s">
        <v>146</v>
      </c>
    </row>
    <row r="1367" spans="1:13" ht="12.75" customHeight="1" x14ac:dyDescent="0.3">
      <c r="A1367" s="143" t="s">
        <v>9</v>
      </c>
      <c r="B1367" s="139" t="str">
        <f>IFERROR(VLOOKUP($A1367, NameDesignation[], 2,FALSE), " ")</f>
        <v>Former Director</v>
      </c>
      <c r="C1367" s="139" t="s">
        <v>29</v>
      </c>
      <c r="D1367" s="139">
        <v>487</v>
      </c>
      <c r="E1367" s="140">
        <v>45222</v>
      </c>
      <c r="F1367" s="139" t="str">
        <f t="shared" si="63"/>
        <v>Q4-23</v>
      </c>
      <c r="G1367" s="140" t="str">
        <f t="shared" si="64"/>
        <v>Oct'23</v>
      </c>
      <c r="H1367" s="140" t="str">
        <f>TEXT(RawData[[#This Row],[Date]], "YYYY")</f>
        <v>2023</v>
      </c>
      <c r="I1367" s="141" t="s">
        <v>32</v>
      </c>
      <c r="J1367" s="141" t="s">
        <v>90</v>
      </c>
      <c r="K1367" s="139">
        <f t="shared" si="65"/>
        <v>1</v>
      </c>
      <c r="L1367" s="142">
        <f>IF(RawData[[#This Row],[Paid/Unpaid]]="Paid", IF(VALUE($E1367)&gt;VALUE($D$3),$K1367* 10000,$K1367* 8000), 0)</f>
        <v>8000</v>
      </c>
      <c r="M1367" s="53" t="s">
        <v>146</v>
      </c>
    </row>
    <row r="1368" spans="1:13" ht="12.75" customHeight="1" x14ac:dyDescent="0.3">
      <c r="A1368" s="143" t="s">
        <v>20</v>
      </c>
      <c r="B1368" s="139" t="str">
        <f>IFERROR(VLOOKUP($A1368, NameDesignation[], 2,FALSE), " ")</f>
        <v>Former Independent Director</v>
      </c>
      <c r="C1368" s="139" t="s">
        <v>29</v>
      </c>
      <c r="D1368" s="139">
        <v>487</v>
      </c>
      <c r="E1368" s="140">
        <v>45222</v>
      </c>
      <c r="F1368" s="139" t="str">
        <f t="shared" si="63"/>
        <v>Q4-23</v>
      </c>
      <c r="G1368" s="140" t="str">
        <f t="shared" si="64"/>
        <v>Oct'23</v>
      </c>
      <c r="H1368" s="140" t="str">
        <f>TEXT(RawData[[#This Row],[Date]], "YYYY")</f>
        <v>2023</v>
      </c>
      <c r="I1368" s="141" t="s">
        <v>32</v>
      </c>
      <c r="J1368" s="141" t="s">
        <v>90</v>
      </c>
      <c r="K1368" s="139">
        <f t="shared" si="65"/>
        <v>1</v>
      </c>
      <c r="L1368" s="142">
        <f>IF(RawData[[#This Row],[Paid/Unpaid]]="Paid", IF(VALUE($E1368)&gt;VALUE($D$3),$K1368* 10000,$K1368* 8000), 0)</f>
        <v>8000</v>
      </c>
      <c r="M1368" s="53" t="s">
        <v>146</v>
      </c>
    </row>
    <row r="1369" spans="1:13" ht="12.75" customHeight="1" x14ac:dyDescent="0.3">
      <c r="A1369" s="143" t="s">
        <v>49</v>
      </c>
      <c r="B1369" s="139" t="str">
        <f>IFERROR(VLOOKUP($A1369, NameDesignation[], 2,FALSE), " ")</f>
        <v>Former Director</v>
      </c>
      <c r="C1369" s="139" t="s">
        <v>29</v>
      </c>
      <c r="D1369" s="139">
        <v>487</v>
      </c>
      <c r="E1369" s="140">
        <v>45222</v>
      </c>
      <c r="F1369" s="139" t="str">
        <f t="shared" si="63"/>
        <v>Q4-23</v>
      </c>
      <c r="G1369" s="140" t="str">
        <f t="shared" si="64"/>
        <v>Oct'23</v>
      </c>
      <c r="H1369" s="140" t="str">
        <f>TEXT(RawData[[#This Row],[Date]], "YYYY")</f>
        <v>2023</v>
      </c>
      <c r="I1369" s="141" t="s">
        <v>32</v>
      </c>
      <c r="J1369" s="141" t="s">
        <v>91</v>
      </c>
      <c r="K1369" s="139">
        <f t="shared" si="65"/>
        <v>0</v>
      </c>
      <c r="L1369" s="142">
        <f>IF(RawData[[#This Row],[Paid/Unpaid]]="Paid", IF(VALUE($E1369)&gt;VALUE($D$3),$K1369* 10000,$K1369* 8000), 0)</f>
        <v>0</v>
      </c>
      <c r="M1369" s="53" t="s">
        <v>146</v>
      </c>
    </row>
    <row r="1370" spans="1:13" ht="12.75" customHeight="1" x14ac:dyDescent="0.3">
      <c r="A1370" s="143" t="s">
        <v>11</v>
      </c>
      <c r="B1370" s="139" t="str">
        <f>IFERROR(VLOOKUP($A1370, NameDesignation[], 2,FALSE), " ")</f>
        <v>Former Director</v>
      </c>
      <c r="C1370" s="139" t="s">
        <v>29</v>
      </c>
      <c r="D1370" s="139">
        <v>487</v>
      </c>
      <c r="E1370" s="140">
        <v>45222</v>
      </c>
      <c r="F1370" s="139" t="str">
        <f t="shared" si="63"/>
        <v>Q4-23</v>
      </c>
      <c r="G1370" s="140" t="str">
        <f t="shared" si="64"/>
        <v>Oct'23</v>
      </c>
      <c r="H1370" s="140" t="str">
        <f>TEXT(RawData[[#This Row],[Date]], "YYYY")</f>
        <v>2023</v>
      </c>
      <c r="I1370" s="141" t="s">
        <v>32</v>
      </c>
      <c r="J1370" s="141" t="s">
        <v>90</v>
      </c>
      <c r="K1370" s="139">
        <f t="shared" si="65"/>
        <v>1</v>
      </c>
      <c r="L1370" s="142">
        <f>IF(RawData[[#This Row],[Paid/Unpaid]]="Paid", IF(VALUE($E1370)&gt;VALUE($D$3),$K1370* 10000,$K1370* 8000), 0)</f>
        <v>8000</v>
      </c>
      <c r="M1370" s="53" t="s">
        <v>146</v>
      </c>
    </row>
    <row r="1371" spans="1:13" ht="12.75" customHeight="1" x14ac:dyDescent="0.3">
      <c r="A1371" s="143" t="s">
        <v>12</v>
      </c>
      <c r="B1371" s="139" t="str">
        <f>IFERROR(VLOOKUP($A1371, NameDesignation[], 2,FALSE), " ")</f>
        <v>Former Director</v>
      </c>
      <c r="C1371" s="139" t="s">
        <v>29</v>
      </c>
      <c r="D1371" s="139">
        <v>487</v>
      </c>
      <c r="E1371" s="140">
        <v>45222</v>
      </c>
      <c r="F1371" s="139" t="str">
        <f t="shared" si="63"/>
        <v>Q4-23</v>
      </c>
      <c r="G1371" s="140" t="str">
        <f t="shared" si="64"/>
        <v>Oct'23</v>
      </c>
      <c r="H1371" s="140" t="str">
        <f>TEXT(RawData[[#This Row],[Date]], "YYYY")</f>
        <v>2023</v>
      </c>
      <c r="I1371" s="141" t="s">
        <v>32</v>
      </c>
      <c r="J1371" s="141" t="s">
        <v>90</v>
      </c>
      <c r="K1371" s="139">
        <f t="shared" si="65"/>
        <v>1</v>
      </c>
      <c r="L1371" s="142">
        <f>IF(RawData[[#This Row],[Paid/Unpaid]]="Paid", IF(VALUE($E1371)&gt;VALUE($D$3),$K1371* 10000,$K1371* 8000), 0)</f>
        <v>8000</v>
      </c>
      <c r="M1371" s="53" t="s">
        <v>146</v>
      </c>
    </row>
    <row r="1372" spans="1:13" ht="12.75" customHeight="1" x14ac:dyDescent="0.3">
      <c r="A1372" s="143" t="s">
        <v>137</v>
      </c>
      <c r="B1372" s="139" t="str">
        <f>IFERROR(VLOOKUP($A1372, NameDesignation[], 2,FALSE), " ")</f>
        <v>Former Director</v>
      </c>
      <c r="C1372" s="139" t="s">
        <v>29</v>
      </c>
      <c r="D1372" s="139">
        <v>487</v>
      </c>
      <c r="E1372" s="140">
        <v>45222</v>
      </c>
      <c r="F1372" s="139" t="str">
        <f t="shared" si="63"/>
        <v>Q4-23</v>
      </c>
      <c r="G1372" s="140" t="str">
        <f t="shared" si="64"/>
        <v>Oct'23</v>
      </c>
      <c r="H1372" s="140" t="str">
        <f>TEXT(RawData[[#This Row],[Date]], "YYYY")</f>
        <v>2023</v>
      </c>
      <c r="I1372" s="141" t="s">
        <v>32</v>
      </c>
      <c r="J1372" s="141" t="s">
        <v>90</v>
      </c>
      <c r="K1372" s="139">
        <f t="shared" si="65"/>
        <v>1</v>
      </c>
      <c r="L1372" s="142">
        <f>IF(RawData[[#This Row],[Paid/Unpaid]]="Paid", IF(VALUE($E1372)&gt;VALUE($D$3),$K1372* 10000,$K1372* 8000), 0)</f>
        <v>8000</v>
      </c>
      <c r="M1372" s="53" t="s">
        <v>146</v>
      </c>
    </row>
    <row r="1373" spans="1:13" ht="12.75" customHeight="1" x14ac:dyDescent="0.3">
      <c r="A1373" s="143" t="s">
        <v>13</v>
      </c>
      <c r="B1373" s="139" t="str">
        <f>IFERROR(VLOOKUP($A1373, NameDesignation[], 2,FALSE), " ")</f>
        <v>Former Director</v>
      </c>
      <c r="C1373" s="139" t="s">
        <v>29</v>
      </c>
      <c r="D1373" s="139">
        <v>487</v>
      </c>
      <c r="E1373" s="140">
        <v>45222</v>
      </c>
      <c r="F1373" s="139" t="str">
        <f t="shared" si="63"/>
        <v>Q4-23</v>
      </c>
      <c r="G1373" s="140" t="str">
        <f t="shared" si="64"/>
        <v>Oct'23</v>
      </c>
      <c r="H1373" s="140" t="str">
        <f>TEXT(RawData[[#This Row],[Date]], "YYYY")</f>
        <v>2023</v>
      </c>
      <c r="I1373" s="141" t="s">
        <v>32</v>
      </c>
      <c r="J1373" s="141" t="s">
        <v>90</v>
      </c>
      <c r="K1373" s="139">
        <f t="shared" si="65"/>
        <v>1</v>
      </c>
      <c r="L1373" s="142">
        <f>IF(RawData[[#This Row],[Paid/Unpaid]]="Paid", IF(VALUE($E1373)&gt;VALUE($D$3),$K1373* 10000,$K1373* 8000), 0)</f>
        <v>8000</v>
      </c>
      <c r="M1373" s="53" t="s">
        <v>146</v>
      </c>
    </row>
    <row r="1374" spans="1:13" ht="12.75" customHeight="1" x14ac:dyDescent="0.3">
      <c r="A1374" s="143" t="s">
        <v>61</v>
      </c>
      <c r="B1374" s="139" t="str">
        <f>IFERROR(VLOOKUP($A1374, NameDesignation[], 2,FALSE), " ")</f>
        <v>Former Director</v>
      </c>
      <c r="C1374" s="139" t="s">
        <v>29</v>
      </c>
      <c r="D1374" s="139">
        <v>487</v>
      </c>
      <c r="E1374" s="140">
        <v>45222</v>
      </c>
      <c r="F1374" s="139" t="str">
        <f t="shared" si="63"/>
        <v>Q4-23</v>
      </c>
      <c r="G1374" s="140" t="str">
        <f t="shared" si="64"/>
        <v>Oct'23</v>
      </c>
      <c r="H1374" s="140" t="str">
        <f>TEXT(RawData[[#This Row],[Date]], "YYYY")</f>
        <v>2023</v>
      </c>
      <c r="I1374" s="141" t="s">
        <v>32</v>
      </c>
      <c r="J1374" s="141" t="s">
        <v>90</v>
      </c>
      <c r="K1374" s="139">
        <f t="shared" si="65"/>
        <v>1</v>
      </c>
      <c r="L1374" s="142">
        <f>IF(RawData[[#This Row],[Paid/Unpaid]]="Paid", IF(VALUE($E1374)&gt;VALUE($D$3),$K1374* 10000,$K1374* 8000), 0)</f>
        <v>8000</v>
      </c>
      <c r="M1374" s="53" t="s">
        <v>146</v>
      </c>
    </row>
    <row r="1375" spans="1:13" ht="12.75" customHeight="1" x14ac:dyDescent="0.3">
      <c r="A1375" s="143" t="s">
        <v>14</v>
      </c>
      <c r="B1375" s="139" t="str">
        <f>IFERROR(VLOOKUP($A1375, NameDesignation[], 2,FALSE), " ")</f>
        <v>Former Director</v>
      </c>
      <c r="C1375" s="139" t="s">
        <v>29</v>
      </c>
      <c r="D1375" s="139">
        <v>487</v>
      </c>
      <c r="E1375" s="140">
        <v>45222</v>
      </c>
      <c r="F1375" s="139" t="str">
        <f t="shared" si="63"/>
        <v>Q4-23</v>
      </c>
      <c r="G1375" s="140" t="str">
        <f t="shared" si="64"/>
        <v>Oct'23</v>
      </c>
      <c r="H1375" s="140" t="str">
        <f>TEXT(RawData[[#This Row],[Date]], "YYYY")</f>
        <v>2023</v>
      </c>
      <c r="I1375" s="141" t="s">
        <v>32</v>
      </c>
      <c r="J1375" s="141" t="s">
        <v>90</v>
      </c>
      <c r="K1375" s="139">
        <f t="shared" si="65"/>
        <v>1</v>
      </c>
      <c r="L1375" s="142">
        <f>IF(RawData[[#This Row],[Paid/Unpaid]]="Paid", IF(VALUE($E1375)&gt;VALUE($D$3),$K1375* 10000,$K1375* 8000), 0)</f>
        <v>8000</v>
      </c>
      <c r="M1375" s="53" t="s">
        <v>146</v>
      </c>
    </row>
    <row r="1376" spans="1:13" ht="12.75" customHeight="1" x14ac:dyDescent="0.3">
      <c r="A1376" s="143" t="s">
        <v>24</v>
      </c>
      <c r="B1376" s="139" t="str">
        <f>IFERROR(VLOOKUP($A1376, NameDesignation[], 2,FALSE), " ")</f>
        <v>Former Director</v>
      </c>
      <c r="C1376" s="139" t="s">
        <v>29</v>
      </c>
      <c r="D1376" s="139">
        <v>487</v>
      </c>
      <c r="E1376" s="140">
        <v>45222</v>
      </c>
      <c r="F1376" s="139" t="str">
        <f t="shared" si="63"/>
        <v>Q4-23</v>
      </c>
      <c r="G1376" s="140" t="str">
        <f t="shared" si="64"/>
        <v>Oct'23</v>
      </c>
      <c r="H1376" s="140" t="str">
        <f>TEXT(RawData[[#This Row],[Date]], "YYYY")</f>
        <v>2023</v>
      </c>
      <c r="I1376" s="141" t="s">
        <v>32</v>
      </c>
      <c r="J1376" s="141" t="s">
        <v>90</v>
      </c>
      <c r="K1376" s="139">
        <f t="shared" si="65"/>
        <v>1</v>
      </c>
      <c r="L1376" s="142">
        <f>IF(RawData[[#This Row],[Paid/Unpaid]]="Paid", IF(VALUE($E1376)&gt;VALUE($D$3),$K1376* 10000,$K1376* 8000), 0)</f>
        <v>8000</v>
      </c>
      <c r="M1376" s="53" t="s">
        <v>146</v>
      </c>
    </row>
    <row r="1377" spans="1:13" ht="12.75" customHeight="1" x14ac:dyDescent="0.3">
      <c r="A1377" s="143" t="s">
        <v>15</v>
      </c>
      <c r="B1377" s="139" t="str">
        <f>IFERROR(VLOOKUP($A1377, NameDesignation[], 2,FALSE), " ")</f>
        <v>Former Director</v>
      </c>
      <c r="C1377" s="139" t="s">
        <v>29</v>
      </c>
      <c r="D1377" s="139">
        <v>487</v>
      </c>
      <c r="E1377" s="140">
        <v>45222</v>
      </c>
      <c r="F1377" s="139" t="str">
        <f t="shared" si="63"/>
        <v>Q4-23</v>
      </c>
      <c r="G1377" s="140" t="str">
        <f t="shared" si="64"/>
        <v>Oct'23</v>
      </c>
      <c r="H1377" s="140" t="str">
        <f>TEXT(RawData[[#This Row],[Date]], "YYYY")</f>
        <v>2023</v>
      </c>
      <c r="I1377" s="141" t="s">
        <v>32</v>
      </c>
      <c r="J1377" s="141" t="s">
        <v>90</v>
      </c>
      <c r="K1377" s="139">
        <f t="shared" si="65"/>
        <v>1</v>
      </c>
      <c r="L1377" s="142">
        <f>IF(RawData[[#This Row],[Paid/Unpaid]]="Paid", IF(VALUE($E1377)&gt;VALUE($D$3),$K1377* 10000,$K1377* 8000), 0)</f>
        <v>8000</v>
      </c>
      <c r="M1377" s="53" t="s">
        <v>146</v>
      </c>
    </row>
    <row r="1378" spans="1:13" ht="12.75" customHeight="1" x14ac:dyDescent="0.3">
      <c r="A1378" s="143" t="s">
        <v>16</v>
      </c>
      <c r="B1378" s="139" t="str">
        <f>IFERROR(VLOOKUP($A1378, NameDesignation[], 2,FALSE), " ")</f>
        <v>Former Director</v>
      </c>
      <c r="C1378" s="139" t="s">
        <v>29</v>
      </c>
      <c r="D1378" s="139">
        <v>487</v>
      </c>
      <c r="E1378" s="140">
        <v>45222</v>
      </c>
      <c r="F1378" s="139" t="str">
        <f t="shared" si="63"/>
        <v>Q4-23</v>
      </c>
      <c r="G1378" s="140" t="str">
        <f t="shared" si="64"/>
        <v>Oct'23</v>
      </c>
      <c r="H1378" s="140" t="str">
        <f>TEXT(RawData[[#This Row],[Date]], "YYYY")</f>
        <v>2023</v>
      </c>
      <c r="I1378" s="141" t="s">
        <v>32</v>
      </c>
      <c r="J1378" s="141" t="s">
        <v>90</v>
      </c>
      <c r="K1378" s="139">
        <f t="shared" si="65"/>
        <v>1</v>
      </c>
      <c r="L1378" s="142">
        <f>IF(RawData[[#This Row],[Paid/Unpaid]]="Paid", IF(VALUE($E1378)&gt;VALUE($D$3),$K1378* 10000,$K1378* 8000), 0)</f>
        <v>8000</v>
      </c>
      <c r="M1378" s="53" t="s">
        <v>146</v>
      </c>
    </row>
    <row r="1379" spans="1:13" ht="12.75" customHeight="1" x14ac:dyDescent="0.3">
      <c r="A1379" s="143" t="s">
        <v>21</v>
      </c>
      <c r="B1379" s="139" t="str">
        <f>IFERROR(VLOOKUP($A1379, NameDesignation[], 2,FALSE), " ")</f>
        <v>Former Independent Director</v>
      </c>
      <c r="C1379" s="139" t="s">
        <v>29</v>
      </c>
      <c r="D1379" s="139">
        <v>487</v>
      </c>
      <c r="E1379" s="140">
        <v>45222</v>
      </c>
      <c r="F1379" s="139" t="str">
        <f t="shared" si="63"/>
        <v>Q4-23</v>
      </c>
      <c r="G1379" s="140" t="str">
        <f t="shared" si="64"/>
        <v>Oct'23</v>
      </c>
      <c r="H1379" s="140" t="str">
        <f>TEXT(RawData[[#This Row],[Date]], "YYYY")</f>
        <v>2023</v>
      </c>
      <c r="I1379" s="141" t="s">
        <v>32</v>
      </c>
      <c r="J1379" s="141" t="s">
        <v>91</v>
      </c>
      <c r="K1379" s="139">
        <f t="shared" si="65"/>
        <v>0</v>
      </c>
      <c r="L1379" s="142">
        <f>IF(RawData[[#This Row],[Paid/Unpaid]]="Paid", IF(VALUE($E1379)&gt;VALUE($D$3),$K1379* 10000,$K1379* 8000), 0)</f>
        <v>0</v>
      </c>
      <c r="M1379" s="53" t="s">
        <v>146</v>
      </c>
    </row>
    <row r="1380" spans="1:13" ht="12.75" customHeight="1" x14ac:dyDescent="0.3">
      <c r="A1380" s="143" t="s">
        <v>17</v>
      </c>
      <c r="B1380" s="139" t="str">
        <f>IFERROR(VLOOKUP($A1380, NameDesignation[], 2,FALSE), " ")</f>
        <v>Former Independent Director</v>
      </c>
      <c r="C1380" s="139" t="s">
        <v>29</v>
      </c>
      <c r="D1380" s="139">
        <v>487</v>
      </c>
      <c r="E1380" s="140">
        <v>45222</v>
      </c>
      <c r="F1380" s="139" t="str">
        <f t="shared" si="63"/>
        <v>Q4-23</v>
      </c>
      <c r="G1380" s="140" t="str">
        <f t="shared" si="64"/>
        <v>Oct'23</v>
      </c>
      <c r="H1380" s="140" t="str">
        <f>TEXT(RawData[[#This Row],[Date]], "YYYY")</f>
        <v>2023</v>
      </c>
      <c r="I1380" s="141" t="s">
        <v>32</v>
      </c>
      <c r="J1380" s="141" t="s">
        <v>90</v>
      </c>
      <c r="K1380" s="139">
        <f t="shared" si="65"/>
        <v>1</v>
      </c>
      <c r="L1380" s="142">
        <f>IF(RawData[[#This Row],[Paid/Unpaid]]="Paid", IF(VALUE($E1380)&gt;VALUE($D$3),$K1380* 10000,$K1380* 8000), 0)</f>
        <v>8000</v>
      </c>
      <c r="M1380" s="53" t="s">
        <v>146</v>
      </c>
    </row>
    <row r="1381" spans="1:13" ht="12.75" customHeight="1" x14ac:dyDescent="0.3">
      <c r="A1381" s="143" t="s">
        <v>34</v>
      </c>
      <c r="B1381" s="139" t="str">
        <f>IFERROR(VLOOKUP($A1381, NameDesignation[], 2,FALSE), " ")</f>
        <v>Former Managing Director &amp; CEO</v>
      </c>
      <c r="C1381" s="139" t="s">
        <v>29</v>
      </c>
      <c r="D1381" s="139">
        <v>487</v>
      </c>
      <c r="E1381" s="140">
        <v>45222</v>
      </c>
      <c r="F1381" s="139" t="str">
        <f t="shared" si="63"/>
        <v>Q4-23</v>
      </c>
      <c r="G1381" s="140" t="str">
        <f t="shared" si="64"/>
        <v>Oct'23</v>
      </c>
      <c r="H1381" s="140" t="str">
        <f>TEXT(RawData[[#This Row],[Date]], "YYYY")</f>
        <v>2023</v>
      </c>
      <c r="I1381" s="141" t="s">
        <v>32</v>
      </c>
      <c r="J1381" s="141" t="s">
        <v>90</v>
      </c>
      <c r="K1381" s="139">
        <f t="shared" si="65"/>
        <v>1</v>
      </c>
      <c r="L1381" s="142">
        <f>IF(RawData[[#This Row],[Paid/Unpaid]]="Paid", IF(VALUE($E1381)&gt;VALUE($D$3),$K1381* 10000,$K1381* 8000), 0)</f>
        <v>8000</v>
      </c>
      <c r="M1381" s="53" t="s">
        <v>146</v>
      </c>
    </row>
    <row r="1382" spans="1:13" ht="12.75" customHeight="1" x14ac:dyDescent="0.3">
      <c r="A1382" s="143" t="s">
        <v>20</v>
      </c>
      <c r="B1382" s="139" t="str">
        <f>IFERROR(VLOOKUP($A1382, NameDesignation[], 2,FALSE), " ")</f>
        <v>Former Independent Director</v>
      </c>
      <c r="C1382" s="139" t="s">
        <v>37</v>
      </c>
      <c r="D1382" s="139">
        <v>133</v>
      </c>
      <c r="E1382" s="140">
        <v>45222</v>
      </c>
      <c r="F1382" s="139" t="str">
        <f t="shared" si="63"/>
        <v>Q4-23</v>
      </c>
      <c r="G1382" s="140" t="str">
        <f t="shared" si="64"/>
        <v>Oct'23</v>
      </c>
      <c r="H1382" s="140" t="str">
        <f>TEXT(RawData[[#This Row],[Date]], "YYYY")</f>
        <v>2023</v>
      </c>
      <c r="I1382" s="141" t="s">
        <v>32</v>
      </c>
      <c r="J1382" s="141" t="s">
        <v>90</v>
      </c>
      <c r="K1382" s="139">
        <f t="shared" si="65"/>
        <v>1</v>
      </c>
      <c r="L1382" s="142">
        <f>IF(RawData[[#This Row],[Paid/Unpaid]]="Paid", IF(VALUE($E1382)&gt;VALUE($D$3),$K1382* 10000,$K1382* 8000), 0)</f>
        <v>8000</v>
      </c>
      <c r="M1382" s="53" t="s">
        <v>146</v>
      </c>
    </row>
    <row r="1383" spans="1:13" ht="12.75" customHeight="1" x14ac:dyDescent="0.3">
      <c r="A1383" s="143" t="s">
        <v>23</v>
      </c>
      <c r="B1383" s="139" t="str">
        <f>IFERROR(VLOOKUP($A1383, NameDesignation[], 2,FALSE), " ")</f>
        <v>Former Director</v>
      </c>
      <c r="C1383" s="139" t="s">
        <v>37</v>
      </c>
      <c r="D1383" s="139">
        <v>133</v>
      </c>
      <c r="E1383" s="140">
        <v>45222</v>
      </c>
      <c r="F1383" s="139" t="str">
        <f t="shared" si="63"/>
        <v>Q4-23</v>
      </c>
      <c r="G1383" s="140" t="str">
        <f t="shared" si="64"/>
        <v>Oct'23</v>
      </c>
      <c r="H1383" s="140" t="str">
        <f>TEXT(RawData[[#This Row],[Date]], "YYYY")</f>
        <v>2023</v>
      </c>
      <c r="I1383" s="141" t="s">
        <v>32</v>
      </c>
      <c r="J1383" s="141" t="s">
        <v>91</v>
      </c>
      <c r="K1383" s="139">
        <f t="shared" si="65"/>
        <v>0</v>
      </c>
      <c r="L1383" s="142">
        <f>IF(RawData[[#This Row],[Paid/Unpaid]]="Paid", IF(VALUE($E1383)&gt;VALUE($D$3),$K1383* 10000,$K1383* 8000), 0)</f>
        <v>0</v>
      </c>
      <c r="M1383" s="53" t="s">
        <v>146</v>
      </c>
    </row>
    <row r="1384" spans="1:13" ht="12.75" customHeight="1" x14ac:dyDescent="0.3">
      <c r="A1384" s="143" t="s">
        <v>24</v>
      </c>
      <c r="B1384" s="139" t="str">
        <f>IFERROR(VLOOKUP($A1384, NameDesignation[], 2,FALSE), " ")</f>
        <v>Former Director</v>
      </c>
      <c r="C1384" s="139" t="s">
        <v>37</v>
      </c>
      <c r="D1384" s="139">
        <v>133</v>
      </c>
      <c r="E1384" s="140">
        <v>45222</v>
      </c>
      <c r="F1384" s="139" t="str">
        <f t="shared" si="63"/>
        <v>Q4-23</v>
      </c>
      <c r="G1384" s="140" t="str">
        <f t="shared" si="64"/>
        <v>Oct'23</v>
      </c>
      <c r="H1384" s="140" t="str">
        <f>TEXT(RawData[[#This Row],[Date]], "YYYY")</f>
        <v>2023</v>
      </c>
      <c r="I1384" s="141" t="s">
        <v>32</v>
      </c>
      <c r="J1384" s="141" t="s">
        <v>90</v>
      </c>
      <c r="K1384" s="139">
        <f t="shared" si="65"/>
        <v>1</v>
      </c>
      <c r="L1384" s="142">
        <f>IF(RawData[[#This Row],[Paid/Unpaid]]="Paid", IF(VALUE($E1384)&gt;VALUE($D$3),$K1384* 10000,$K1384* 8000), 0)</f>
        <v>8000</v>
      </c>
      <c r="M1384" s="53" t="s">
        <v>146</v>
      </c>
    </row>
    <row r="1385" spans="1:13" ht="12.75" customHeight="1" x14ac:dyDescent="0.3">
      <c r="A1385" s="143" t="s">
        <v>21</v>
      </c>
      <c r="B1385" s="139" t="str">
        <f>IFERROR(VLOOKUP($A1385, NameDesignation[], 2,FALSE), " ")</f>
        <v>Former Independent Director</v>
      </c>
      <c r="C1385" s="139" t="s">
        <v>37</v>
      </c>
      <c r="D1385" s="139">
        <v>133</v>
      </c>
      <c r="E1385" s="140">
        <v>45222</v>
      </c>
      <c r="F1385" s="139" t="str">
        <f t="shared" si="63"/>
        <v>Q4-23</v>
      </c>
      <c r="G1385" s="140" t="str">
        <f t="shared" si="64"/>
        <v>Oct'23</v>
      </c>
      <c r="H1385" s="140" t="str">
        <f>TEXT(RawData[[#This Row],[Date]], "YYYY")</f>
        <v>2023</v>
      </c>
      <c r="I1385" s="141" t="s">
        <v>32</v>
      </c>
      <c r="J1385" s="141" t="s">
        <v>90</v>
      </c>
      <c r="K1385" s="139">
        <f t="shared" si="65"/>
        <v>1</v>
      </c>
      <c r="L1385" s="142">
        <f>IF(RawData[[#This Row],[Paid/Unpaid]]="Paid", IF(VALUE($E1385)&gt;VALUE($D$3),$K1385* 10000,$K1385* 8000), 0)</f>
        <v>8000</v>
      </c>
      <c r="M1385" s="53" t="s">
        <v>146</v>
      </c>
    </row>
    <row r="1386" spans="1:13" ht="12.75" customHeight="1" x14ac:dyDescent="0.3">
      <c r="A1386" s="143" t="s">
        <v>15</v>
      </c>
      <c r="B1386" s="139" t="str">
        <f>IFERROR(VLOOKUP($A1386, NameDesignation[], 2,FALSE), " ")</f>
        <v>Former Director</v>
      </c>
      <c r="C1386" s="139" t="s">
        <v>37</v>
      </c>
      <c r="D1386" s="139">
        <v>133</v>
      </c>
      <c r="E1386" s="140">
        <v>45222</v>
      </c>
      <c r="F1386" s="139" t="str">
        <f t="shared" si="63"/>
        <v>Q4-23</v>
      </c>
      <c r="G1386" s="140" t="str">
        <f t="shared" si="64"/>
        <v>Oct'23</v>
      </c>
      <c r="H1386" s="140" t="str">
        <f>TEXT(RawData[[#This Row],[Date]], "YYYY")</f>
        <v>2023</v>
      </c>
      <c r="I1386" s="141" t="s">
        <v>32</v>
      </c>
      <c r="J1386" s="141" t="s">
        <v>90</v>
      </c>
      <c r="K1386" s="139">
        <f t="shared" si="65"/>
        <v>1</v>
      </c>
      <c r="L1386" s="142">
        <f>IF(RawData[[#This Row],[Paid/Unpaid]]="Paid", IF(VALUE($E1386)&gt;VALUE($D$3),$K1386* 10000,$K1386* 8000), 0)</f>
        <v>8000</v>
      </c>
      <c r="M1386" s="53" t="s">
        <v>146</v>
      </c>
    </row>
    <row r="1387" spans="1:13" ht="12.75" customHeight="1" x14ac:dyDescent="0.3">
      <c r="A1387" s="143" t="s">
        <v>9</v>
      </c>
      <c r="B1387" s="139" t="str">
        <f>IFERROR(VLOOKUP($A1387, NameDesignation[], 2,FALSE), " ")</f>
        <v>Former Director</v>
      </c>
      <c r="C1387" s="139" t="s">
        <v>30</v>
      </c>
      <c r="D1387" s="139">
        <v>465</v>
      </c>
      <c r="E1387" s="140">
        <v>45229</v>
      </c>
      <c r="F1387" s="139" t="str">
        <f t="shared" si="63"/>
        <v>Q4-23</v>
      </c>
      <c r="G1387" s="140" t="str">
        <f t="shared" si="64"/>
        <v>Oct'23</v>
      </c>
      <c r="H1387" s="140" t="str">
        <f>TEXT(RawData[[#This Row],[Date]], "YYYY")</f>
        <v>2023</v>
      </c>
      <c r="I1387" s="141" t="s">
        <v>32</v>
      </c>
      <c r="J1387" s="141" t="s">
        <v>90</v>
      </c>
      <c r="K1387" s="139">
        <f t="shared" si="65"/>
        <v>1</v>
      </c>
      <c r="L1387" s="142">
        <f>IF(RawData[[#This Row],[Paid/Unpaid]]="Paid", IF(VALUE($E1387)&gt;VALUE($D$3),$K1387* 10000,$K1387* 8000), 0)</f>
        <v>8000</v>
      </c>
      <c r="M1387" s="53" t="s">
        <v>146</v>
      </c>
    </row>
    <row r="1388" spans="1:13" ht="12.75" customHeight="1" x14ac:dyDescent="0.3">
      <c r="A1388" s="143" t="s">
        <v>8</v>
      </c>
      <c r="B1388" s="139" t="str">
        <f>IFERROR(VLOOKUP($A1388, NameDesignation[], 2,FALSE), " ")</f>
        <v>Former Vice-Chairman</v>
      </c>
      <c r="C1388" s="139" t="s">
        <v>30</v>
      </c>
      <c r="D1388" s="139">
        <v>465</v>
      </c>
      <c r="E1388" s="140">
        <v>45229</v>
      </c>
      <c r="F1388" s="139" t="str">
        <f t="shared" si="63"/>
        <v>Q4-23</v>
      </c>
      <c r="G1388" s="140" t="str">
        <f t="shared" si="64"/>
        <v>Oct'23</v>
      </c>
      <c r="H1388" s="140" t="str">
        <f>TEXT(RawData[[#This Row],[Date]], "YYYY")</f>
        <v>2023</v>
      </c>
      <c r="I1388" s="141" t="s">
        <v>32</v>
      </c>
      <c r="J1388" s="141" t="s">
        <v>90</v>
      </c>
      <c r="K1388" s="139">
        <f t="shared" si="65"/>
        <v>1</v>
      </c>
      <c r="L1388" s="142">
        <f>IF(RawData[[#This Row],[Paid/Unpaid]]="Paid", IF(VALUE($E1388)&gt;VALUE($D$3),$K1388* 10000,$K1388* 8000), 0)</f>
        <v>8000</v>
      </c>
      <c r="M1388" s="53" t="s">
        <v>146</v>
      </c>
    </row>
    <row r="1389" spans="1:13" ht="12.75" customHeight="1" x14ac:dyDescent="0.3">
      <c r="A1389" s="143" t="s">
        <v>49</v>
      </c>
      <c r="B1389" s="139" t="str">
        <f>IFERROR(VLOOKUP($A1389, NameDesignation[], 2,FALSE), " ")</f>
        <v>Former Director</v>
      </c>
      <c r="C1389" s="139" t="s">
        <v>30</v>
      </c>
      <c r="D1389" s="139">
        <v>465</v>
      </c>
      <c r="E1389" s="140">
        <v>45229</v>
      </c>
      <c r="F1389" s="139" t="str">
        <f t="shared" si="63"/>
        <v>Q4-23</v>
      </c>
      <c r="G1389" s="140" t="str">
        <f t="shared" si="64"/>
        <v>Oct'23</v>
      </c>
      <c r="H1389" s="140" t="str">
        <f>TEXT(RawData[[#This Row],[Date]], "YYYY")</f>
        <v>2023</v>
      </c>
      <c r="I1389" s="141" t="s">
        <v>32</v>
      </c>
      <c r="J1389" s="141" t="s">
        <v>90</v>
      </c>
      <c r="K1389" s="139">
        <f t="shared" si="65"/>
        <v>1</v>
      </c>
      <c r="L1389" s="142">
        <f>IF(RawData[[#This Row],[Paid/Unpaid]]="Paid", IF(VALUE($E1389)&gt;VALUE($D$3),$K1389* 10000,$K1389* 8000), 0)</f>
        <v>8000</v>
      </c>
      <c r="M1389" s="53" t="s">
        <v>146</v>
      </c>
    </row>
    <row r="1390" spans="1:13" ht="12.75" customHeight="1" x14ac:dyDescent="0.3">
      <c r="A1390" s="143" t="s">
        <v>11</v>
      </c>
      <c r="B1390" s="139" t="str">
        <f>IFERROR(VLOOKUP($A1390, NameDesignation[], 2,FALSE), " ")</f>
        <v>Former Director</v>
      </c>
      <c r="C1390" s="139" t="s">
        <v>30</v>
      </c>
      <c r="D1390" s="139">
        <v>465</v>
      </c>
      <c r="E1390" s="140">
        <v>45229</v>
      </c>
      <c r="F1390" s="139" t="str">
        <f t="shared" si="63"/>
        <v>Q4-23</v>
      </c>
      <c r="G1390" s="140" t="str">
        <f t="shared" si="64"/>
        <v>Oct'23</v>
      </c>
      <c r="H1390" s="140" t="str">
        <f>TEXT(RawData[[#This Row],[Date]], "YYYY")</f>
        <v>2023</v>
      </c>
      <c r="I1390" s="141" t="s">
        <v>32</v>
      </c>
      <c r="J1390" s="141" t="s">
        <v>90</v>
      </c>
      <c r="K1390" s="139">
        <f t="shared" si="65"/>
        <v>1</v>
      </c>
      <c r="L1390" s="142">
        <f>IF(RawData[[#This Row],[Paid/Unpaid]]="Paid", IF(VALUE($E1390)&gt;VALUE($D$3),$K1390* 10000,$K1390* 8000), 0)</f>
        <v>8000</v>
      </c>
      <c r="M1390" s="53" t="s">
        <v>146</v>
      </c>
    </row>
    <row r="1391" spans="1:13" ht="12.75" customHeight="1" x14ac:dyDescent="0.3">
      <c r="A1391" s="143" t="s">
        <v>12</v>
      </c>
      <c r="B1391" s="139" t="str">
        <f>IFERROR(VLOOKUP($A1391, NameDesignation[], 2,FALSE), " ")</f>
        <v>Former Director</v>
      </c>
      <c r="C1391" s="139" t="s">
        <v>30</v>
      </c>
      <c r="D1391" s="139">
        <v>465</v>
      </c>
      <c r="E1391" s="140">
        <v>45229</v>
      </c>
      <c r="F1391" s="139" t="str">
        <f t="shared" si="63"/>
        <v>Q4-23</v>
      </c>
      <c r="G1391" s="140" t="str">
        <f t="shared" si="64"/>
        <v>Oct'23</v>
      </c>
      <c r="H1391" s="140" t="str">
        <f>TEXT(RawData[[#This Row],[Date]], "YYYY")</f>
        <v>2023</v>
      </c>
      <c r="I1391" s="141" t="s">
        <v>32</v>
      </c>
      <c r="J1391" s="141" t="s">
        <v>90</v>
      </c>
      <c r="K1391" s="139">
        <f t="shared" si="65"/>
        <v>1</v>
      </c>
      <c r="L1391" s="142">
        <f>IF(RawData[[#This Row],[Paid/Unpaid]]="Paid", IF(VALUE($E1391)&gt;VALUE($D$3),$K1391* 10000,$K1391* 8000), 0)</f>
        <v>8000</v>
      </c>
      <c r="M1391" s="53" t="s">
        <v>146</v>
      </c>
    </row>
    <row r="1392" spans="1:13" ht="12.75" customHeight="1" x14ac:dyDescent="0.3">
      <c r="A1392" s="143" t="s">
        <v>137</v>
      </c>
      <c r="B1392" s="139" t="str">
        <f>IFERROR(VLOOKUP($A1392, NameDesignation[], 2,FALSE), " ")</f>
        <v>Former Director</v>
      </c>
      <c r="C1392" s="139" t="s">
        <v>30</v>
      </c>
      <c r="D1392" s="139">
        <v>465</v>
      </c>
      <c r="E1392" s="140">
        <v>45229</v>
      </c>
      <c r="F1392" s="139" t="str">
        <f t="shared" si="63"/>
        <v>Q4-23</v>
      </c>
      <c r="G1392" s="140" t="str">
        <f t="shared" si="64"/>
        <v>Oct'23</v>
      </c>
      <c r="H1392" s="140" t="str">
        <f>TEXT(RawData[[#This Row],[Date]], "YYYY")</f>
        <v>2023</v>
      </c>
      <c r="I1392" s="141" t="s">
        <v>32</v>
      </c>
      <c r="J1392" s="141" t="s">
        <v>90</v>
      </c>
      <c r="K1392" s="139">
        <f t="shared" si="65"/>
        <v>1</v>
      </c>
      <c r="L1392" s="142">
        <f>IF(RawData[[#This Row],[Paid/Unpaid]]="Paid", IF(VALUE($E1392)&gt;VALUE($D$3),$K1392* 10000,$K1392* 8000), 0)</f>
        <v>8000</v>
      </c>
      <c r="M1392" s="53" t="s">
        <v>146</v>
      </c>
    </row>
    <row r="1393" spans="1:13" ht="12.75" customHeight="1" x14ac:dyDescent="0.3">
      <c r="A1393" s="143" t="s">
        <v>13</v>
      </c>
      <c r="B1393" s="139" t="str">
        <f>IFERROR(VLOOKUP($A1393, NameDesignation[], 2,FALSE), " ")</f>
        <v>Former Director</v>
      </c>
      <c r="C1393" s="139" t="s">
        <v>30</v>
      </c>
      <c r="D1393" s="139">
        <v>465</v>
      </c>
      <c r="E1393" s="140">
        <v>45229</v>
      </c>
      <c r="F1393" s="139" t="str">
        <f t="shared" si="63"/>
        <v>Q4-23</v>
      </c>
      <c r="G1393" s="140" t="str">
        <f t="shared" si="64"/>
        <v>Oct'23</v>
      </c>
      <c r="H1393" s="140" t="str">
        <f>TEXT(RawData[[#This Row],[Date]], "YYYY")</f>
        <v>2023</v>
      </c>
      <c r="I1393" s="141" t="s">
        <v>32</v>
      </c>
      <c r="J1393" s="141" t="s">
        <v>90</v>
      </c>
      <c r="K1393" s="139">
        <f t="shared" si="65"/>
        <v>1</v>
      </c>
      <c r="L1393" s="142">
        <f>IF(RawData[[#This Row],[Paid/Unpaid]]="Paid", IF(VALUE($E1393)&gt;VALUE($D$3),$K1393* 10000,$K1393* 8000), 0)</f>
        <v>8000</v>
      </c>
      <c r="M1393" s="53" t="s">
        <v>146</v>
      </c>
    </row>
    <row r="1394" spans="1:13" ht="12.75" customHeight="1" x14ac:dyDescent="0.3">
      <c r="A1394" s="143" t="s">
        <v>34</v>
      </c>
      <c r="B1394" s="139" t="str">
        <f>IFERROR(VLOOKUP($A1394, NameDesignation[], 2,FALSE), " ")</f>
        <v>Former Managing Director &amp; CEO</v>
      </c>
      <c r="C1394" s="139" t="s">
        <v>30</v>
      </c>
      <c r="D1394" s="139">
        <v>465</v>
      </c>
      <c r="E1394" s="140">
        <v>45229</v>
      </c>
      <c r="F1394" s="139" t="str">
        <f t="shared" si="63"/>
        <v>Q4-23</v>
      </c>
      <c r="G1394" s="140" t="str">
        <f t="shared" si="64"/>
        <v>Oct'23</v>
      </c>
      <c r="H1394" s="140" t="str">
        <f>TEXT(RawData[[#This Row],[Date]], "YYYY")</f>
        <v>2023</v>
      </c>
      <c r="I1394" s="141" t="s">
        <v>32</v>
      </c>
      <c r="J1394" s="141" t="s">
        <v>90</v>
      </c>
      <c r="K1394" s="139">
        <f t="shared" si="65"/>
        <v>1</v>
      </c>
      <c r="L1394" s="142">
        <f>IF(RawData[[#This Row],[Paid/Unpaid]]="Paid", IF(VALUE($E1394)&gt;VALUE($D$3),$K1394* 10000,$K1394* 8000), 0)</f>
        <v>8000</v>
      </c>
      <c r="M1394" s="53" t="s">
        <v>146</v>
      </c>
    </row>
    <row r="1395" spans="1:13" ht="12.75" customHeight="1" x14ac:dyDescent="0.3">
      <c r="A1395" s="143" t="s">
        <v>11</v>
      </c>
      <c r="B1395" s="139" t="str">
        <f>IFERROR(VLOOKUP($A1395, NameDesignation[], 2,FALSE), " ")</f>
        <v>Former Director</v>
      </c>
      <c r="C1395" s="139" t="s">
        <v>41</v>
      </c>
      <c r="D1395" s="139">
        <v>10</v>
      </c>
      <c r="E1395" s="140">
        <v>45230</v>
      </c>
      <c r="F1395" s="139" t="str">
        <f t="shared" si="63"/>
        <v>Q4-23</v>
      </c>
      <c r="G1395" s="140" t="str">
        <f t="shared" si="64"/>
        <v>Oct'23</v>
      </c>
      <c r="H1395" s="140" t="str">
        <f>TEXT(RawData[[#This Row],[Date]], "YYYY")</f>
        <v>2023</v>
      </c>
      <c r="I1395" s="141" t="s">
        <v>32</v>
      </c>
      <c r="J1395" s="141" t="s">
        <v>90</v>
      </c>
      <c r="K1395" s="139">
        <f t="shared" si="65"/>
        <v>1</v>
      </c>
      <c r="L1395" s="142">
        <f>IF(RawData[[#This Row],[Paid/Unpaid]]="Paid", IF(VALUE($E1395)&gt;VALUE($D$3),$K1395* 10000,$K1395* 8000), 0)</f>
        <v>8000</v>
      </c>
      <c r="M1395" s="53" t="s">
        <v>146</v>
      </c>
    </row>
    <row r="1396" spans="1:13" ht="12.75" customHeight="1" x14ac:dyDescent="0.3">
      <c r="A1396" s="143" t="s">
        <v>54</v>
      </c>
      <c r="B1396" s="139" t="str">
        <f>IFERROR(VLOOKUP($A1396, NameDesignation[], 2,FALSE), " ")</f>
        <v>Member, Shariah Supervisory Committee</v>
      </c>
      <c r="C1396" s="139" t="s">
        <v>41</v>
      </c>
      <c r="D1396" s="139">
        <v>10</v>
      </c>
      <c r="E1396" s="140">
        <v>45230</v>
      </c>
      <c r="F1396" s="139" t="str">
        <f t="shared" si="63"/>
        <v>Q4-23</v>
      </c>
      <c r="G1396" s="140" t="str">
        <f t="shared" si="64"/>
        <v>Oct'23</v>
      </c>
      <c r="H1396" s="140" t="str">
        <f>TEXT(RawData[[#This Row],[Date]], "YYYY")</f>
        <v>2023</v>
      </c>
      <c r="I1396" s="141" t="s">
        <v>32</v>
      </c>
      <c r="J1396" s="141" t="s">
        <v>90</v>
      </c>
      <c r="K1396" s="139">
        <f t="shared" si="65"/>
        <v>1</v>
      </c>
      <c r="L1396" s="142">
        <f>IF(RawData[[#This Row],[Paid/Unpaid]]="Paid", IF(VALUE($E1396)&gt;VALUE($D$3),$K1396* 10000,$K1396* 8000), 0)</f>
        <v>8000</v>
      </c>
      <c r="M1396" s="53" t="s">
        <v>146</v>
      </c>
    </row>
    <row r="1397" spans="1:13" ht="12.75" customHeight="1" x14ac:dyDescent="0.3">
      <c r="A1397" s="143" t="s">
        <v>127</v>
      </c>
      <c r="B1397" s="139" t="str">
        <f>IFERROR(VLOOKUP($A1397, NameDesignation[], 2,FALSE), " ")</f>
        <v>Chairman, Shariah Supervisory Committee</v>
      </c>
      <c r="C1397" s="139" t="s">
        <v>41</v>
      </c>
      <c r="D1397" s="139">
        <v>10</v>
      </c>
      <c r="E1397" s="140">
        <v>45230</v>
      </c>
      <c r="F1397" s="139" t="str">
        <f t="shared" si="63"/>
        <v>Q4-23</v>
      </c>
      <c r="G1397" s="140" t="str">
        <f t="shared" si="64"/>
        <v>Oct'23</v>
      </c>
      <c r="H1397" s="140" t="str">
        <f>TEXT(RawData[[#This Row],[Date]], "YYYY")</f>
        <v>2023</v>
      </c>
      <c r="I1397" s="141" t="s">
        <v>32</v>
      </c>
      <c r="J1397" s="141" t="s">
        <v>90</v>
      </c>
      <c r="K1397" s="139">
        <f t="shared" si="65"/>
        <v>1</v>
      </c>
      <c r="L1397" s="142">
        <f>IF(RawData[[#This Row],[Paid/Unpaid]]="Paid", IF(VALUE($E1397)&gt;VALUE($D$3),$K1397* 10000,$K1397* 8000), 0)</f>
        <v>8000</v>
      </c>
      <c r="M1397" s="53" t="s">
        <v>146</v>
      </c>
    </row>
    <row r="1398" spans="1:13" ht="12.75" customHeight="1" x14ac:dyDescent="0.3">
      <c r="A1398" s="143" t="s">
        <v>52</v>
      </c>
      <c r="B1398" s="139" t="str">
        <f>IFERROR(VLOOKUP($A1398, NameDesignation[], 2,FALSE), " ")</f>
        <v>Member, Shariah Supervisory Committee</v>
      </c>
      <c r="C1398" s="139" t="s">
        <v>41</v>
      </c>
      <c r="D1398" s="139">
        <v>10</v>
      </c>
      <c r="E1398" s="140">
        <v>45230</v>
      </c>
      <c r="F1398" s="139" t="str">
        <f t="shared" si="63"/>
        <v>Q4-23</v>
      </c>
      <c r="G1398" s="140" t="str">
        <f t="shared" si="64"/>
        <v>Oct'23</v>
      </c>
      <c r="H1398" s="140" t="str">
        <f>TEXT(RawData[[#This Row],[Date]], "YYYY")</f>
        <v>2023</v>
      </c>
      <c r="I1398" s="141" t="s">
        <v>32</v>
      </c>
      <c r="J1398" s="141" t="s">
        <v>90</v>
      </c>
      <c r="K1398" s="139">
        <f t="shared" si="65"/>
        <v>1</v>
      </c>
      <c r="L1398" s="142">
        <f>IF(RawData[[#This Row],[Paid/Unpaid]]="Paid", IF(VALUE($E1398)&gt;VALUE($D$3),$K1398* 10000,$K1398* 8000), 0)</f>
        <v>8000</v>
      </c>
      <c r="M1398" s="53" t="s">
        <v>146</v>
      </c>
    </row>
    <row r="1399" spans="1:13" ht="12.75" customHeight="1" x14ac:dyDescent="0.3">
      <c r="A1399" s="143" t="s">
        <v>128</v>
      </c>
      <c r="B1399" s="139" t="str">
        <f>IFERROR(VLOOKUP($A1399, NameDesignation[], 2,FALSE), " ")</f>
        <v>Member, Shariah Supervisory Committee</v>
      </c>
      <c r="C1399" s="139" t="s">
        <v>41</v>
      </c>
      <c r="D1399" s="139">
        <v>10</v>
      </c>
      <c r="E1399" s="140">
        <v>45230</v>
      </c>
      <c r="F1399" s="139" t="str">
        <f t="shared" si="63"/>
        <v>Q4-23</v>
      </c>
      <c r="G1399" s="140" t="str">
        <f t="shared" si="64"/>
        <v>Oct'23</v>
      </c>
      <c r="H1399" s="140" t="str">
        <f>TEXT(RawData[[#This Row],[Date]], "YYYY")</f>
        <v>2023</v>
      </c>
      <c r="I1399" s="141" t="s">
        <v>32</v>
      </c>
      <c r="J1399" s="141" t="s">
        <v>90</v>
      </c>
      <c r="K1399" s="139">
        <f t="shared" si="65"/>
        <v>1</v>
      </c>
      <c r="L1399" s="142">
        <f>IF(RawData[[#This Row],[Paid/Unpaid]]="Paid", IF(VALUE($E1399)&gt;VALUE($D$3),$K1399* 10000,$K1399* 8000), 0)</f>
        <v>8000</v>
      </c>
      <c r="M1399" s="53" t="s">
        <v>146</v>
      </c>
    </row>
    <row r="1400" spans="1:13" ht="12.75" customHeight="1" x14ac:dyDescent="0.3">
      <c r="A1400" s="143" t="s">
        <v>126</v>
      </c>
      <c r="B1400" s="139" t="str">
        <f>IFERROR(VLOOKUP($A1400, NameDesignation[], 2,FALSE), " ")</f>
        <v>Member, Shariah Supervisory Committee</v>
      </c>
      <c r="C1400" s="139" t="s">
        <v>41</v>
      </c>
      <c r="D1400" s="139">
        <v>10</v>
      </c>
      <c r="E1400" s="140">
        <v>45230</v>
      </c>
      <c r="F1400" s="139" t="str">
        <f t="shared" si="63"/>
        <v>Q4-23</v>
      </c>
      <c r="G1400" s="140" t="str">
        <f t="shared" si="64"/>
        <v>Oct'23</v>
      </c>
      <c r="H1400" s="140" t="str">
        <f>TEXT(RawData[[#This Row],[Date]], "YYYY")</f>
        <v>2023</v>
      </c>
      <c r="I1400" s="141" t="s">
        <v>32</v>
      </c>
      <c r="J1400" s="141" t="s">
        <v>90</v>
      </c>
      <c r="K1400" s="139">
        <f t="shared" si="65"/>
        <v>1</v>
      </c>
      <c r="L1400" s="142">
        <f>IF(RawData[[#This Row],[Paid/Unpaid]]="Paid", IF(VALUE($E1400)&gt;VALUE($D$3),$K1400* 10000,$K1400* 8000), 0)</f>
        <v>8000</v>
      </c>
      <c r="M1400" s="53" t="s">
        <v>146</v>
      </c>
    </row>
    <row r="1401" spans="1:13" ht="12.75" customHeight="1" x14ac:dyDescent="0.3">
      <c r="A1401" s="143" t="s">
        <v>34</v>
      </c>
      <c r="B1401" s="139" t="str">
        <f>IFERROR(VLOOKUP($A1401, NameDesignation[], 2,FALSE), " ")</f>
        <v>Former Managing Director &amp; CEO</v>
      </c>
      <c r="C1401" s="139" t="s">
        <v>41</v>
      </c>
      <c r="D1401" s="139">
        <v>10</v>
      </c>
      <c r="E1401" s="140">
        <v>45230</v>
      </c>
      <c r="F1401" s="139" t="str">
        <f t="shared" si="63"/>
        <v>Q4-23</v>
      </c>
      <c r="G1401" s="140" t="str">
        <f t="shared" si="64"/>
        <v>Oct'23</v>
      </c>
      <c r="H1401" s="140" t="str">
        <f>TEXT(RawData[[#This Row],[Date]], "YYYY")</f>
        <v>2023</v>
      </c>
      <c r="I1401" s="141" t="s">
        <v>32</v>
      </c>
      <c r="J1401" s="141" t="s">
        <v>90</v>
      </c>
      <c r="K1401" s="139">
        <f t="shared" si="65"/>
        <v>1</v>
      </c>
      <c r="L1401" s="142">
        <f>IF(RawData[[#This Row],[Paid/Unpaid]]="Paid", IF(VALUE($E1401)&gt;VALUE($D$3),$K1401* 10000,$K1401* 8000), 0)</f>
        <v>8000</v>
      </c>
      <c r="M1401" s="53" t="s">
        <v>146</v>
      </c>
    </row>
    <row r="1402" spans="1:13" ht="12.75" customHeight="1" x14ac:dyDescent="0.3">
      <c r="A1402" s="143" t="s">
        <v>49</v>
      </c>
      <c r="B1402" s="139" t="str">
        <f>IFERROR(VLOOKUP($A1402, NameDesignation[], 2,FALSE), " ")</f>
        <v>Former Director</v>
      </c>
      <c r="C1402" s="139" t="s">
        <v>38</v>
      </c>
      <c r="D1402" s="139">
        <v>40</v>
      </c>
      <c r="E1402" s="140">
        <v>45245</v>
      </c>
      <c r="F1402" s="139" t="str">
        <f t="shared" si="63"/>
        <v>Q4-23</v>
      </c>
      <c r="G1402" s="140" t="str">
        <f t="shared" si="64"/>
        <v>Nov'23</v>
      </c>
      <c r="H1402" s="140" t="str">
        <f>TEXT(RawData[[#This Row],[Date]], "YYYY")</f>
        <v>2023</v>
      </c>
      <c r="I1402" s="141" t="s">
        <v>32</v>
      </c>
      <c r="J1402" s="141" t="s">
        <v>90</v>
      </c>
      <c r="K1402" s="139">
        <f t="shared" si="65"/>
        <v>1</v>
      </c>
      <c r="L1402" s="142">
        <f>IF(RawData[[#This Row],[Paid/Unpaid]]="Paid", IF(VALUE($E1402)&gt;VALUE($D$3),$K1402* 10000,$K1402* 8000), 0)</f>
        <v>8000</v>
      </c>
      <c r="M1402" s="53" t="s">
        <v>146</v>
      </c>
    </row>
    <row r="1403" spans="1:13" ht="12.75" customHeight="1" x14ac:dyDescent="0.3">
      <c r="A1403" s="143" t="s">
        <v>9</v>
      </c>
      <c r="B1403" s="139" t="str">
        <f>IFERROR(VLOOKUP($A1403, NameDesignation[], 2,FALSE), " ")</f>
        <v>Former Director</v>
      </c>
      <c r="C1403" s="139" t="s">
        <v>38</v>
      </c>
      <c r="D1403" s="139">
        <v>40</v>
      </c>
      <c r="E1403" s="140">
        <v>45245</v>
      </c>
      <c r="F1403" s="139" t="str">
        <f t="shared" si="63"/>
        <v>Q4-23</v>
      </c>
      <c r="G1403" s="140" t="str">
        <f t="shared" si="64"/>
        <v>Nov'23</v>
      </c>
      <c r="H1403" s="140" t="str">
        <f>TEXT(RawData[[#This Row],[Date]], "YYYY")</f>
        <v>2023</v>
      </c>
      <c r="I1403" s="141" t="s">
        <v>32</v>
      </c>
      <c r="J1403" s="141" t="s">
        <v>90</v>
      </c>
      <c r="K1403" s="139">
        <f t="shared" si="65"/>
        <v>1</v>
      </c>
      <c r="L1403" s="142">
        <f>IF(RawData[[#This Row],[Paid/Unpaid]]="Paid", IF(VALUE($E1403)&gt;VALUE($D$3),$K1403* 10000,$K1403* 8000), 0)</f>
        <v>8000</v>
      </c>
      <c r="M1403" s="53" t="s">
        <v>146</v>
      </c>
    </row>
    <row r="1404" spans="1:13" ht="12.75" customHeight="1" x14ac:dyDescent="0.3">
      <c r="A1404" s="143" t="s">
        <v>12</v>
      </c>
      <c r="B1404" s="139" t="str">
        <f>IFERROR(VLOOKUP($A1404, NameDesignation[], 2,FALSE), " ")</f>
        <v>Former Director</v>
      </c>
      <c r="C1404" s="139" t="s">
        <v>38</v>
      </c>
      <c r="D1404" s="139">
        <v>40</v>
      </c>
      <c r="E1404" s="140">
        <v>45245</v>
      </c>
      <c r="F1404" s="139" t="str">
        <f t="shared" si="63"/>
        <v>Q4-23</v>
      </c>
      <c r="G1404" s="140" t="str">
        <f t="shared" si="64"/>
        <v>Nov'23</v>
      </c>
      <c r="H1404" s="140" t="str">
        <f>TEXT(RawData[[#This Row],[Date]], "YYYY")</f>
        <v>2023</v>
      </c>
      <c r="I1404" s="141" t="s">
        <v>32</v>
      </c>
      <c r="J1404" s="141" t="s">
        <v>90</v>
      </c>
      <c r="K1404" s="139">
        <f t="shared" si="65"/>
        <v>1</v>
      </c>
      <c r="L1404" s="142">
        <f>IF(RawData[[#This Row],[Paid/Unpaid]]="Paid", IF(VALUE($E1404)&gt;VALUE($D$3),$K1404* 10000,$K1404* 8000), 0)</f>
        <v>8000</v>
      </c>
      <c r="M1404" s="53" t="s">
        <v>146</v>
      </c>
    </row>
    <row r="1405" spans="1:13" ht="12.75" customHeight="1" x14ac:dyDescent="0.3">
      <c r="A1405" s="143" t="s">
        <v>61</v>
      </c>
      <c r="B1405" s="139" t="str">
        <f>IFERROR(VLOOKUP($A1405, NameDesignation[], 2,FALSE), " ")</f>
        <v>Former Director</v>
      </c>
      <c r="C1405" s="139" t="s">
        <v>38</v>
      </c>
      <c r="D1405" s="139">
        <v>40</v>
      </c>
      <c r="E1405" s="140">
        <v>45245</v>
      </c>
      <c r="F1405" s="139" t="str">
        <f t="shared" si="63"/>
        <v>Q4-23</v>
      </c>
      <c r="G1405" s="140" t="str">
        <f t="shared" si="64"/>
        <v>Nov'23</v>
      </c>
      <c r="H1405" s="140" t="str">
        <f>TEXT(RawData[[#This Row],[Date]], "YYYY")</f>
        <v>2023</v>
      </c>
      <c r="I1405" s="141" t="s">
        <v>32</v>
      </c>
      <c r="J1405" s="141" t="s">
        <v>91</v>
      </c>
      <c r="K1405" s="139">
        <f t="shared" si="65"/>
        <v>0</v>
      </c>
      <c r="L1405" s="142">
        <f>IF(RawData[[#This Row],[Paid/Unpaid]]="Paid", IF(VALUE($E1405)&gt;VALUE($D$3),$K1405* 10000,$K1405* 8000), 0)</f>
        <v>0</v>
      </c>
      <c r="M1405" s="53" t="s">
        <v>146</v>
      </c>
    </row>
    <row r="1406" spans="1:13" ht="12.75" customHeight="1" x14ac:dyDescent="0.3">
      <c r="A1406" s="143" t="s">
        <v>17</v>
      </c>
      <c r="B1406" s="139" t="str">
        <f>IFERROR(VLOOKUP($A1406, NameDesignation[], 2,FALSE), " ")</f>
        <v>Former Independent Director</v>
      </c>
      <c r="C1406" s="139" t="s">
        <v>38</v>
      </c>
      <c r="D1406" s="139">
        <v>40</v>
      </c>
      <c r="E1406" s="140">
        <v>45245</v>
      </c>
      <c r="F1406" s="139" t="str">
        <f t="shared" si="63"/>
        <v>Q4-23</v>
      </c>
      <c r="G1406" s="140" t="str">
        <f t="shared" si="64"/>
        <v>Nov'23</v>
      </c>
      <c r="H1406" s="140" t="str">
        <f>TEXT(RawData[[#This Row],[Date]], "YYYY")</f>
        <v>2023</v>
      </c>
      <c r="I1406" s="141" t="s">
        <v>32</v>
      </c>
      <c r="J1406" s="141" t="s">
        <v>90</v>
      </c>
      <c r="K1406" s="139">
        <f t="shared" si="65"/>
        <v>1</v>
      </c>
      <c r="L1406" s="142">
        <f>IF(RawData[[#This Row],[Paid/Unpaid]]="Paid", IF(VALUE($E1406)&gt;VALUE($D$3),$K1406* 10000,$K1406* 8000), 0)</f>
        <v>8000</v>
      </c>
      <c r="M1406" s="53" t="s">
        <v>146</v>
      </c>
    </row>
    <row r="1407" spans="1:13" ht="12.75" customHeight="1" x14ac:dyDescent="0.3">
      <c r="A1407" s="143" t="s">
        <v>7</v>
      </c>
      <c r="B1407" s="139" t="str">
        <f>IFERROR(VLOOKUP($A1407, NameDesignation[], 2,FALSE), " ")</f>
        <v>Former Director</v>
      </c>
      <c r="C1407" s="139" t="s">
        <v>29</v>
      </c>
      <c r="D1407" s="139">
        <v>488</v>
      </c>
      <c r="E1407" s="140">
        <v>45284</v>
      </c>
      <c r="F1407" s="139" t="str">
        <f t="shared" si="63"/>
        <v>Q4-23</v>
      </c>
      <c r="G1407" s="140" t="str">
        <f t="shared" si="64"/>
        <v>Dec'23</v>
      </c>
      <c r="H1407" s="140" t="str">
        <f>TEXT(RawData[[#This Row],[Date]], "YYYY")</f>
        <v>2023</v>
      </c>
      <c r="I1407" s="141" t="s">
        <v>32</v>
      </c>
      <c r="J1407" s="141" t="s">
        <v>90</v>
      </c>
      <c r="K1407" s="139">
        <f t="shared" si="65"/>
        <v>1</v>
      </c>
      <c r="L1407" s="142">
        <f>IF(RawData[[#This Row],[Paid/Unpaid]]="Paid", IF(VALUE($E1407)&gt;VALUE($D$3),$K1407* 10000,$K1407* 8000), 0)</f>
        <v>8000</v>
      </c>
      <c r="M1407" s="53" t="s">
        <v>146</v>
      </c>
    </row>
    <row r="1408" spans="1:13" ht="12.75" customHeight="1" x14ac:dyDescent="0.3">
      <c r="A1408" s="143" t="s">
        <v>8</v>
      </c>
      <c r="B1408" s="139" t="str">
        <f>IFERROR(VLOOKUP($A1408, NameDesignation[], 2,FALSE), " ")</f>
        <v>Former Vice-Chairman</v>
      </c>
      <c r="C1408" s="139" t="s">
        <v>29</v>
      </c>
      <c r="D1408" s="139">
        <v>488</v>
      </c>
      <c r="E1408" s="140">
        <v>45284</v>
      </c>
      <c r="F1408" s="139" t="str">
        <f t="shared" si="63"/>
        <v>Q4-23</v>
      </c>
      <c r="G1408" s="140" t="str">
        <f t="shared" si="64"/>
        <v>Dec'23</v>
      </c>
      <c r="H1408" s="140" t="str">
        <f>TEXT(RawData[[#This Row],[Date]], "YYYY")</f>
        <v>2023</v>
      </c>
      <c r="I1408" s="141" t="s">
        <v>32</v>
      </c>
      <c r="J1408" s="141" t="s">
        <v>90</v>
      </c>
      <c r="K1408" s="139">
        <f t="shared" si="65"/>
        <v>1</v>
      </c>
      <c r="L1408" s="142">
        <f>IF(RawData[[#This Row],[Paid/Unpaid]]="Paid", IF(VALUE($E1408)&gt;VALUE($D$3),$K1408* 10000,$K1408* 8000), 0)</f>
        <v>8000</v>
      </c>
      <c r="M1408" s="53" t="s">
        <v>146</v>
      </c>
    </row>
    <row r="1409" spans="1:13" ht="12.75" customHeight="1" x14ac:dyDescent="0.3">
      <c r="A1409" s="143" t="s">
        <v>9</v>
      </c>
      <c r="B1409" s="139" t="str">
        <f>IFERROR(VLOOKUP($A1409, NameDesignation[], 2,FALSE), " ")</f>
        <v>Former Director</v>
      </c>
      <c r="C1409" s="139" t="s">
        <v>29</v>
      </c>
      <c r="D1409" s="139">
        <v>488</v>
      </c>
      <c r="E1409" s="140">
        <v>45284</v>
      </c>
      <c r="F1409" s="139" t="str">
        <f t="shared" si="63"/>
        <v>Q4-23</v>
      </c>
      <c r="G1409" s="140" t="str">
        <f t="shared" si="64"/>
        <v>Dec'23</v>
      </c>
      <c r="H1409" s="140" t="str">
        <f>TEXT(RawData[[#This Row],[Date]], "YYYY")</f>
        <v>2023</v>
      </c>
      <c r="I1409" s="141" t="s">
        <v>32</v>
      </c>
      <c r="J1409" s="141" t="s">
        <v>90</v>
      </c>
      <c r="K1409" s="139">
        <f t="shared" si="65"/>
        <v>1</v>
      </c>
      <c r="L1409" s="142">
        <f>IF(RawData[[#This Row],[Paid/Unpaid]]="Paid", IF(VALUE($E1409)&gt;VALUE($D$3),$K1409* 10000,$K1409* 8000), 0)</f>
        <v>8000</v>
      </c>
      <c r="M1409" s="53" t="s">
        <v>146</v>
      </c>
    </row>
    <row r="1410" spans="1:13" ht="12.75" customHeight="1" x14ac:dyDescent="0.3">
      <c r="A1410" s="143" t="s">
        <v>20</v>
      </c>
      <c r="B1410" s="139" t="str">
        <f>IFERROR(VLOOKUP($A1410, NameDesignation[], 2,FALSE), " ")</f>
        <v>Former Independent Director</v>
      </c>
      <c r="C1410" s="139" t="s">
        <v>29</v>
      </c>
      <c r="D1410" s="139">
        <v>488</v>
      </c>
      <c r="E1410" s="140">
        <v>45284</v>
      </c>
      <c r="F1410" s="139" t="str">
        <f t="shared" si="63"/>
        <v>Q4-23</v>
      </c>
      <c r="G1410" s="140" t="str">
        <f t="shared" si="64"/>
        <v>Dec'23</v>
      </c>
      <c r="H1410" s="140" t="str">
        <f>TEXT(RawData[[#This Row],[Date]], "YYYY")</f>
        <v>2023</v>
      </c>
      <c r="I1410" s="141" t="s">
        <v>32</v>
      </c>
      <c r="J1410" s="141" t="s">
        <v>90</v>
      </c>
      <c r="K1410" s="139">
        <f t="shared" si="65"/>
        <v>1</v>
      </c>
      <c r="L1410" s="142">
        <f>IF(RawData[[#This Row],[Paid/Unpaid]]="Paid", IF(VALUE($E1410)&gt;VALUE($D$3),$K1410* 10000,$K1410* 8000), 0)</f>
        <v>8000</v>
      </c>
      <c r="M1410" s="53" t="s">
        <v>146</v>
      </c>
    </row>
    <row r="1411" spans="1:13" ht="12.75" customHeight="1" x14ac:dyDescent="0.3">
      <c r="A1411" s="143" t="s">
        <v>49</v>
      </c>
      <c r="B1411" s="139" t="str">
        <f>IFERROR(VLOOKUP($A1411, NameDesignation[], 2,FALSE), " ")</f>
        <v>Former Director</v>
      </c>
      <c r="C1411" s="139" t="s">
        <v>29</v>
      </c>
      <c r="D1411" s="139">
        <v>488</v>
      </c>
      <c r="E1411" s="140">
        <v>45284</v>
      </c>
      <c r="F1411" s="139" t="str">
        <f t="shared" si="63"/>
        <v>Q4-23</v>
      </c>
      <c r="G1411" s="140" t="str">
        <f t="shared" si="64"/>
        <v>Dec'23</v>
      </c>
      <c r="H1411" s="140" t="str">
        <f>TEXT(RawData[[#This Row],[Date]], "YYYY")</f>
        <v>2023</v>
      </c>
      <c r="I1411" s="141" t="s">
        <v>32</v>
      </c>
      <c r="J1411" s="141" t="s">
        <v>90</v>
      </c>
      <c r="K1411" s="139">
        <f t="shared" si="65"/>
        <v>1</v>
      </c>
      <c r="L1411" s="142">
        <f>IF(RawData[[#This Row],[Paid/Unpaid]]="Paid", IF(VALUE($E1411)&gt;VALUE($D$3),$K1411* 10000,$K1411* 8000), 0)</f>
        <v>8000</v>
      </c>
      <c r="M1411" s="53" t="s">
        <v>146</v>
      </c>
    </row>
    <row r="1412" spans="1:13" ht="12.75" customHeight="1" x14ac:dyDescent="0.3">
      <c r="A1412" s="143" t="s">
        <v>112</v>
      </c>
      <c r="B1412" s="139" t="str">
        <f>IFERROR(VLOOKUP($A1412, NameDesignation[], 2,FALSE), " ")</f>
        <v>Former Director</v>
      </c>
      <c r="C1412" s="139" t="s">
        <v>29</v>
      </c>
      <c r="D1412" s="139">
        <v>488</v>
      </c>
      <c r="E1412" s="140">
        <v>45284</v>
      </c>
      <c r="F1412" s="139" t="str">
        <f t="shared" si="63"/>
        <v>Q4-23</v>
      </c>
      <c r="G1412" s="140" t="str">
        <f t="shared" si="64"/>
        <v>Dec'23</v>
      </c>
      <c r="H1412" s="140" t="str">
        <f>TEXT(RawData[[#This Row],[Date]], "YYYY")</f>
        <v>2023</v>
      </c>
      <c r="I1412" s="141" t="s">
        <v>32</v>
      </c>
      <c r="J1412" s="141" t="s">
        <v>90</v>
      </c>
      <c r="K1412" s="139">
        <f t="shared" si="65"/>
        <v>1</v>
      </c>
      <c r="L1412" s="142">
        <f>IF(RawData[[#This Row],[Paid/Unpaid]]="Paid", IF(VALUE($E1412)&gt;VALUE($D$3),$K1412* 10000,$K1412* 8000), 0)</f>
        <v>8000</v>
      </c>
      <c r="M1412" s="53" t="s">
        <v>146</v>
      </c>
    </row>
    <row r="1413" spans="1:13" ht="12.75" customHeight="1" x14ac:dyDescent="0.3">
      <c r="A1413" s="143" t="s">
        <v>11</v>
      </c>
      <c r="B1413" s="139" t="str">
        <f>IFERROR(VLOOKUP($A1413, NameDesignation[], 2,FALSE), " ")</f>
        <v>Former Director</v>
      </c>
      <c r="C1413" s="139" t="s">
        <v>29</v>
      </c>
      <c r="D1413" s="139">
        <v>488</v>
      </c>
      <c r="E1413" s="140">
        <v>45284</v>
      </c>
      <c r="F1413" s="139" t="str">
        <f t="shared" si="63"/>
        <v>Q4-23</v>
      </c>
      <c r="G1413" s="140" t="str">
        <f t="shared" si="64"/>
        <v>Dec'23</v>
      </c>
      <c r="H1413" s="140" t="str">
        <f>TEXT(RawData[[#This Row],[Date]], "YYYY")</f>
        <v>2023</v>
      </c>
      <c r="I1413" s="141" t="s">
        <v>32</v>
      </c>
      <c r="J1413" s="141" t="s">
        <v>90</v>
      </c>
      <c r="K1413" s="139">
        <f t="shared" si="65"/>
        <v>1</v>
      </c>
      <c r="L1413" s="142">
        <f>IF(RawData[[#This Row],[Paid/Unpaid]]="Paid", IF(VALUE($E1413)&gt;VALUE($D$3),$K1413* 10000,$K1413* 8000), 0)</f>
        <v>8000</v>
      </c>
      <c r="M1413" s="53" t="s">
        <v>146</v>
      </c>
    </row>
    <row r="1414" spans="1:13" ht="12.75" customHeight="1" x14ac:dyDescent="0.3">
      <c r="A1414" s="143" t="s">
        <v>12</v>
      </c>
      <c r="B1414" s="139" t="str">
        <f>IFERROR(VLOOKUP($A1414, NameDesignation[], 2,FALSE), " ")</f>
        <v>Former Director</v>
      </c>
      <c r="C1414" s="139" t="s">
        <v>29</v>
      </c>
      <c r="D1414" s="139">
        <v>488</v>
      </c>
      <c r="E1414" s="140">
        <v>45284</v>
      </c>
      <c r="F1414" s="139" t="str">
        <f t="shared" ref="F1414:F1477" si="66">CONCATENATE("Q", ROUNDUP(MONTH($E1414)/3,0),"-",TEXT($E1414, "yy"))</f>
        <v>Q4-23</v>
      </c>
      <c r="G1414" s="140" t="str">
        <f t="shared" ref="G1414:G1477" si="67">CONCATENATE(TEXT($E1414, "mmm"),"'", TEXT($E1414, "yy"))</f>
        <v>Dec'23</v>
      </c>
      <c r="H1414" s="140" t="str">
        <f>TEXT(RawData[[#This Row],[Date]], "YYYY")</f>
        <v>2023</v>
      </c>
      <c r="I1414" s="141" t="s">
        <v>32</v>
      </c>
      <c r="J1414" s="141" t="s">
        <v>90</v>
      </c>
      <c r="K1414" s="139">
        <f t="shared" ref="K1414:K1477" si="68">IF($J1414="Present", 1, 0)</f>
        <v>1</v>
      </c>
      <c r="L1414" s="142">
        <f>IF(RawData[[#This Row],[Paid/Unpaid]]="Paid", IF(VALUE($E1414)&gt;VALUE($D$3),$K1414* 10000,$K1414* 8000), 0)</f>
        <v>8000</v>
      </c>
      <c r="M1414" s="53" t="s">
        <v>146</v>
      </c>
    </row>
    <row r="1415" spans="1:13" ht="12.75" customHeight="1" x14ac:dyDescent="0.3">
      <c r="A1415" s="143" t="s">
        <v>23</v>
      </c>
      <c r="B1415" s="139" t="str">
        <f>IFERROR(VLOOKUP($A1415, NameDesignation[], 2,FALSE), " ")</f>
        <v>Former Director</v>
      </c>
      <c r="C1415" s="139" t="s">
        <v>29</v>
      </c>
      <c r="D1415" s="139">
        <v>488</v>
      </c>
      <c r="E1415" s="140">
        <v>45284</v>
      </c>
      <c r="F1415" s="139" t="str">
        <f t="shared" si="66"/>
        <v>Q4-23</v>
      </c>
      <c r="G1415" s="140" t="str">
        <f t="shared" si="67"/>
        <v>Dec'23</v>
      </c>
      <c r="H1415" s="140" t="str">
        <f>TEXT(RawData[[#This Row],[Date]], "YYYY")</f>
        <v>2023</v>
      </c>
      <c r="I1415" s="141" t="s">
        <v>32</v>
      </c>
      <c r="J1415" s="141" t="s">
        <v>90</v>
      </c>
      <c r="K1415" s="139">
        <f t="shared" si="68"/>
        <v>1</v>
      </c>
      <c r="L1415" s="142">
        <f>IF(RawData[[#This Row],[Paid/Unpaid]]="Paid", IF(VALUE($E1415)&gt;VALUE($D$3),$K1415* 10000,$K1415* 8000), 0)</f>
        <v>8000</v>
      </c>
      <c r="M1415" s="53" t="s">
        <v>146</v>
      </c>
    </row>
    <row r="1416" spans="1:13" ht="12.75" customHeight="1" x14ac:dyDescent="0.3">
      <c r="A1416" s="143" t="s">
        <v>137</v>
      </c>
      <c r="B1416" s="139" t="str">
        <f>IFERROR(VLOOKUP($A1416, NameDesignation[], 2,FALSE), " ")</f>
        <v>Former Director</v>
      </c>
      <c r="C1416" s="139" t="s">
        <v>29</v>
      </c>
      <c r="D1416" s="139">
        <v>488</v>
      </c>
      <c r="E1416" s="140">
        <v>45284</v>
      </c>
      <c r="F1416" s="139" t="str">
        <f t="shared" si="66"/>
        <v>Q4-23</v>
      </c>
      <c r="G1416" s="140" t="str">
        <f t="shared" si="67"/>
        <v>Dec'23</v>
      </c>
      <c r="H1416" s="140" t="str">
        <f>TEXT(RawData[[#This Row],[Date]], "YYYY")</f>
        <v>2023</v>
      </c>
      <c r="I1416" s="141" t="s">
        <v>32</v>
      </c>
      <c r="J1416" s="141" t="s">
        <v>90</v>
      </c>
      <c r="K1416" s="139">
        <f t="shared" si="68"/>
        <v>1</v>
      </c>
      <c r="L1416" s="142">
        <f>IF(RawData[[#This Row],[Paid/Unpaid]]="Paid", IF(VALUE($E1416)&gt;VALUE($D$3),$K1416* 10000,$K1416* 8000), 0)</f>
        <v>8000</v>
      </c>
      <c r="M1416" s="53" t="s">
        <v>146</v>
      </c>
    </row>
    <row r="1417" spans="1:13" ht="12.75" customHeight="1" x14ac:dyDescent="0.3">
      <c r="A1417" s="143" t="s">
        <v>13</v>
      </c>
      <c r="B1417" s="139" t="str">
        <f>IFERROR(VLOOKUP($A1417, NameDesignation[], 2,FALSE), " ")</f>
        <v>Former Director</v>
      </c>
      <c r="C1417" s="139" t="s">
        <v>29</v>
      </c>
      <c r="D1417" s="139">
        <v>488</v>
      </c>
      <c r="E1417" s="140">
        <v>45284</v>
      </c>
      <c r="F1417" s="139" t="str">
        <f t="shared" si="66"/>
        <v>Q4-23</v>
      </c>
      <c r="G1417" s="140" t="str">
        <f t="shared" si="67"/>
        <v>Dec'23</v>
      </c>
      <c r="H1417" s="140" t="str">
        <f>TEXT(RawData[[#This Row],[Date]], "YYYY")</f>
        <v>2023</v>
      </c>
      <c r="I1417" s="141" t="s">
        <v>32</v>
      </c>
      <c r="J1417" s="141" t="s">
        <v>91</v>
      </c>
      <c r="K1417" s="139">
        <f t="shared" si="68"/>
        <v>0</v>
      </c>
      <c r="L1417" s="142">
        <f>IF(RawData[[#This Row],[Paid/Unpaid]]="Paid", IF(VALUE($E1417)&gt;VALUE($D$3),$K1417* 10000,$K1417* 8000), 0)</f>
        <v>0</v>
      </c>
      <c r="M1417" s="53" t="s">
        <v>146</v>
      </c>
    </row>
    <row r="1418" spans="1:13" ht="12.75" customHeight="1" x14ac:dyDescent="0.3">
      <c r="A1418" s="143" t="s">
        <v>61</v>
      </c>
      <c r="B1418" s="139" t="str">
        <f>IFERROR(VLOOKUP($A1418, NameDesignation[], 2,FALSE), " ")</f>
        <v>Former Director</v>
      </c>
      <c r="C1418" s="139" t="s">
        <v>29</v>
      </c>
      <c r="D1418" s="139">
        <v>488</v>
      </c>
      <c r="E1418" s="140">
        <v>45284</v>
      </c>
      <c r="F1418" s="139" t="str">
        <f t="shared" si="66"/>
        <v>Q4-23</v>
      </c>
      <c r="G1418" s="140" t="str">
        <f t="shared" si="67"/>
        <v>Dec'23</v>
      </c>
      <c r="H1418" s="140" t="str">
        <f>TEXT(RawData[[#This Row],[Date]], "YYYY")</f>
        <v>2023</v>
      </c>
      <c r="I1418" s="141" t="s">
        <v>32</v>
      </c>
      <c r="J1418" s="141" t="s">
        <v>90</v>
      </c>
      <c r="K1418" s="139">
        <f t="shared" si="68"/>
        <v>1</v>
      </c>
      <c r="L1418" s="142">
        <f>IF(RawData[[#This Row],[Paid/Unpaid]]="Paid", IF(VALUE($E1418)&gt;VALUE($D$3),$K1418* 10000,$K1418* 8000), 0)</f>
        <v>8000</v>
      </c>
      <c r="M1418" s="53" t="s">
        <v>146</v>
      </c>
    </row>
    <row r="1419" spans="1:13" ht="12.75" customHeight="1" x14ac:dyDescent="0.3">
      <c r="A1419" s="143" t="s">
        <v>14</v>
      </c>
      <c r="B1419" s="139" t="str">
        <f>IFERROR(VLOOKUP($A1419, NameDesignation[], 2,FALSE), " ")</f>
        <v>Former Director</v>
      </c>
      <c r="C1419" s="139" t="s">
        <v>29</v>
      </c>
      <c r="D1419" s="139">
        <v>488</v>
      </c>
      <c r="E1419" s="140">
        <v>45284</v>
      </c>
      <c r="F1419" s="139" t="str">
        <f t="shared" si="66"/>
        <v>Q4-23</v>
      </c>
      <c r="G1419" s="140" t="str">
        <f t="shared" si="67"/>
        <v>Dec'23</v>
      </c>
      <c r="H1419" s="140" t="str">
        <f>TEXT(RawData[[#This Row],[Date]], "YYYY")</f>
        <v>2023</v>
      </c>
      <c r="I1419" s="141" t="s">
        <v>32</v>
      </c>
      <c r="J1419" s="141" t="s">
        <v>90</v>
      </c>
      <c r="K1419" s="139">
        <f t="shared" si="68"/>
        <v>1</v>
      </c>
      <c r="L1419" s="142">
        <f>IF(RawData[[#This Row],[Paid/Unpaid]]="Paid", IF(VALUE($E1419)&gt;VALUE($D$3),$K1419* 10000,$K1419* 8000), 0)</f>
        <v>8000</v>
      </c>
      <c r="M1419" s="53" t="s">
        <v>146</v>
      </c>
    </row>
    <row r="1420" spans="1:13" ht="12.75" customHeight="1" x14ac:dyDescent="0.3">
      <c r="A1420" s="143" t="s">
        <v>24</v>
      </c>
      <c r="B1420" s="139" t="str">
        <f>IFERROR(VLOOKUP($A1420, NameDesignation[], 2,FALSE), " ")</f>
        <v>Former Director</v>
      </c>
      <c r="C1420" s="139" t="s">
        <v>29</v>
      </c>
      <c r="D1420" s="139">
        <v>488</v>
      </c>
      <c r="E1420" s="140">
        <v>45284</v>
      </c>
      <c r="F1420" s="139" t="str">
        <f t="shared" si="66"/>
        <v>Q4-23</v>
      </c>
      <c r="G1420" s="140" t="str">
        <f t="shared" si="67"/>
        <v>Dec'23</v>
      </c>
      <c r="H1420" s="140" t="str">
        <f>TEXT(RawData[[#This Row],[Date]], "YYYY")</f>
        <v>2023</v>
      </c>
      <c r="I1420" s="141" t="s">
        <v>32</v>
      </c>
      <c r="J1420" s="141" t="s">
        <v>90</v>
      </c>
      <c r="K1420" s="139">
        <f t="shared" si="68"/>
        <v>1</v>
      </c>
      <c r="L1420" s="142">
        <f>IF(RawData[[#This Row],[Paid/Unpaid]]="Paid", IF(VALUE($E1420)&gt;VALUE($D$3),$K1420* 10000,$K1420* 8000), 0)</f>
        <v>8000</v>
      </c>
      <c r="M1420" s="53" t="s">
        <v>146</v>
      </c>
    </row>
    <row r="1421" spans="1:13" ht="12.75" customHeight="1" x14ac:dyDescent="0.3">
      <c r="A1421" s="143" t="s">
        <v>15</v>
      </c>
      <c r="B1421" s="139" t="str">
        <f>IFERROR(VLOOKUP($A1421, NameDesignation[], 2,FALSE), " ")</f>
        <v>Former Director</v>
      </c>
      <c r="C1421" s="139" t="s">
        <v>29</v>
      </c>
      <c r="D1421" s="139">
        <v>488</v>
      </c>
      <c r="E1421" s="140">
        <v>45284</v>
      </c>
      <c r="F1421" s="139" t="str">
        <f t="shared" si="66"/>
        <v>Q4-23</v>
      </c>
      <c r="G1421" s="140" t="str">
        <f t="shared" si="67"/>
        <v>Dec'23</v>
      </c>
      <c r="H1421" s="140" t="str">
        <f>TEXT(RawData[[#This Row],[Date]], "YYYY")</f>
        <v>2023</v>
      </c>
      <c r="I1421" s="141" t="s">
        <v>32</v>
      </c>
      <c r="J1421" s="141" t="s">
        <v>90</v>
      </c>
      <c r="K1421" s="139">
        <f t="shared" si="68"/>
        <v>1</v>
      </c>
      <c r="L1421" s="142">
        <f>IF(RawData[[#This Row],[Paid/Unpaid]]="Paid", IF(VALUE($E1421)&gt;VALUE($D$3),$K1421* 10000,$K1421* 8000), 0)</f>
        <v>8000</v>
      </c>
      <c r="M1421" s="53" t="s">
        <v>146</v>
      </c>
    </row>
    <row r="1422" spans="1:13" ht="12.75" customHeight="1" x14ac:dyDescent="0.3">
      <c r="A1422" s="143" t="s">
        <v>16</v>
      </c>
      <c r="B1422" s="139" t="str">
        <f>IFERROR(VLOOKUP($A1422, NameDesignation[], 2,FALSE), " ")</f>
        <v>Former Director</v>
      </c>
      <c r="C1422" s="139" t="s">
        <v>29</v>
      </c>
      <c r="D1422" s="139">
        <v>488</v>
      </c>
      <c r="E1422" s="140">
        <v>45284</v>
      </c>
      <c r="F1422" s="139" t="str">
        <f t="shared" si="66"/>
        <v>Q4-23</v>
      </c>
      <c r="G1422" s="140" t="str">
        <f t="shared" si="67"/>
        <v>Dec'23</v>
      </c>
      <c r="H1422" s="140" t="str">
        <f>TEXT(RawData[[#This Row],[Date]], "YYYY")</f>
        <v>2023</v>
      </c>
      <c r="I1422" s="141" t="s">
        <v>32</v>
      </c>
      <c r="J1422" s="141" t="s">
        <v>90</v>
      </c>
      <c r="K1422" s="139">
        <f t="shared" si="68"/>
        <v>1</v>
      </c>
      <c r="L1422" s="142">
        <f>IF(RawData[[#This Row],[Paid/Unpaid]]="Paid", IF(VALUE($E1422)&gt;VALUE($D$3),$K1422* 10000,$K1422* 8000), 0)</f>
        <v>8000</v>
      </c>
      <c r="M1422" s="53" t="s">
        <v>146</v>
      </c>
    </row>
    <row r="1423" spans="1:13" ht="12.75" customHeight="1" x14ac:dyDescent="0.3">
      <c r="A1423" s="143" t="s">
        <v>21</v>
      </c>
      <c r="B1423" s="139" t="str">
        <f>IFERROR(VLOOKUP($A1423, NameDesignation[], 2,FALSE), " ")</f>
        <v>Former Independent Director</v>
      </c>
      <c r="C1423" s="139" t="s">
        <v>29</v>
      </c>
      <c r="D1423" s="139">
        <v>488</v>
      </c>
      <c r="E1423" s="140">
        <v>45284</v>
      </c>
      <c r="F1423" s="139" t="str">
        <f t="shared" si="66"/>
        <v>Q4-23</v>
      </c>
      <c r="G1423" s="140" t="str">
        <f t="shared" si="67"/>
        <v>Dec'23</v>
      </c>
      <c r="H1423" s="140" t="str">
        <f>TEXT(RawData[[#This Row],[Date]], "YYYY")</f>
        <v>2023</v>
      </c>
      <c r="I1423" s="141" t="s">
        <v>32</v>
      </c>
      <c r="J1423" s="141" t="s">
        <v>90</v>
      </c>
      <c r="K1423" s="139">
        <f t="shared" si="68"/>
        <v>1</v>
      </c>
      <c r="L1423" s="142">
        <f>IF(RawData[[#This Row],[Paid/Unpaid]]="Paid", IF(VALUE($E1423)&gt;VALUE($D$3),$K1423* 10000,$K1423* 8000), 0)</f>
        <v>8000</v>
      </c>
      <c r="M1423" s="53" t="s">
        <v>146</v>
      </c>
    </row>
    <row r="1424" spans="1:13" ht="12.75" customHeight="1" x14ac:dyDescent="0.3">
      <c r="A1424" s="143" t="s">
        <v>17</v>
      </c>
      <c r="B1424" s="139" t="str">
        <f>IFERROR(VLOOKUP($A1424, NameDesignation[], 2,FALSE), " ")</f>
        <v>Former Independent Director</v>
      </c>
      <c r="C1424" s="139" t="s">
        <v>29</v>
      </c>
      <c r="D1424" s="139">
        <v>488</v>
      </c>
      <c r="E1424" s="140">
        <v>45284</v>
      </c>
      <c r="F1424" s="139" t="str">
        <f t="shared" si="66"/>
        <v>Q4-23</v>
      </c>
      <c r="G1424" s="140" t="str">
        <f t="shared" si="67"/>
        <v>Dec'23</v>
      </c>
      <c r="H1424" s="140" t="str">
        <f>TEXT(RawData[[#This Row],[Date]], "YYYY")</f>
        <v>2023</v>
      </c>
      <c r="I1424" s="141" t="s">
        <v>32</v>
      </c>
      <c r="J1424" s="141" t="s">
        <v>90</v>
      </c>
      <c r="K1424" s="139">
        <f t="shared" si="68"/>
        <v>1</v>
      </c>
      <c r="L1424" s="142">
        <f>IF(RawData[[#This Row],[Paid/Unpaid]]="Paid", IF(VALUE($E1424)&gt;VALUE($D$3),$K1424* 10000,$K1424* 8000), 0)</f>
        <v>8000</v>
      </c>
      <c r="M1424" s="53" t="s">
        <v>146</v>
      </c>
    </row>
    <row r="1425" spans="1:13" ht="12.75" customHeight="1" x14ac:dyDescent="0.3">
      <c r="A1425" s="143" t="s">
        <v>34</v>
      </c>
      <c r="B1425" s="139" t="str">
        <f>IFERROR(VLOOKUP($A1425, NameDesignation[], 2,FALSE), " ")</f>
        <v>Former Managing Director &amp; CEO</v>
      </c>
      <c r="C1425" s="139" t="s">
        <v>29</v>
      </c>
      <c r="D1425" s="139">
        <v>488</v>
      </c>
      <c r="E1425" s="140">
        <v>45284</v>
      </c>
      <c r="F1425" s="139" t="str">
        <f t="shared" si="66"/>
        <v>Q4-23</v>
      </c>
      <c r="G1425" s="140" t="str">
        <f t="shared" si="67"/>
        <v>Dec'23</v>
      </c>
      <c r="H1425" s="140" t="str">
        <f>TEXT(RawData[[#This Row],[Date]], "YYYY")</f>
        <v>2023</v>
      </c>
      <c r="I1425" s="141" t="s">
        <v>32</v>
      </c>
      <c r="J1425" s="141" t="s">
        <v>90</v>
      </c>
      <c r="K1425" s="139">
        <f t="shared" si="68"/>
        <v>1</v>
      </c>
      <c r="L1425" s="142">
        <f>IF(RawData[[#This Row],[Paid/Unpaid]]="Paid", IF(VALUE($E1425)&gt;VALUE($D$3),$K1425* 10000,$K1425* 8000), 0)</f>
        <v>8000</v>
      </c>
      <c r="M1425" s="53" t="s">
        <v>146</v>
      </c>
    </row>
    <row r="1426" spans="1:13" ht="12.75" customHeight="1" x14ac:dyDescent="0.3">
      <c r="A1426" s="143" t="s">
        <v>9</v>
      </c>
      <c r="B1426" s="139" t="str">
        <f>IFERROR(VLOOKUP($A1426, NameDesignation[], 2,FALSE), " ")</f>
        <v>Former Director</v>
      </c>
      <c r="C1426" s="139" t="s">
        <v>30</v>
      </c>
      <c r="D1426" s="139">
        <v>466</v>
      </c>
      <c r="E1426" s="140">
        <v>45284</v>
      </c>
      <c r="F1426" s="139" t="str">
        <f t="shared" si="66"/>
        <v>Q4-23</v>
      </c>
      <c r="G1426" s="140" t="str">
        <f t="shared" si="67"/>
        <v>Dec'23</v>
      </c>
      <c r="H1426" s="140" t="str">
        <f>TEXT(RawData[[#This Row],[Date]], "YYYY")</f>
        <v>2023</v>
      </c>
      <c r="I1426" s="141" t="s">
        <v>32</v>
      </c>
      <c r="J1426" s="141" t="s">
        <v>90</v>
      </c>
      <c r="K1426" s="139">
        <f t="shared" si="68"/>
        <v>1</v>
      </c>
      <c r="L1426" s="142">
        <f>IF(RawData[[#This Row],[Paid/Unpaid]]="Paid", IF(VALUE($E1426)&gt;VALUE($D$3),$K1426* 10000,$K1426* 8000), 0)</f>
        <v>8000</v>
      </c>
      <c r="M1426" s="53" t="s">
        <v>146</v>
      </c>
    </row>
    <row r="1427" spans="1:13" ht="12.75" customHeight="1" x14ac:dyDescent="0.3">
      <c r="A1427" s="143" t="s">
        <v>8</v>
      </c>
      <c r="B1427" s="139" t="str">
        <f>IFERROR(VLOOKUP($A1427, NameDesignation[], 2,FALSE), " ")</f>
        <v>Former Vice-Chairman</v>
      </c>
      <c r="C1427" s="139" t="s">
        <v>30</v>
      </c>
      <c r="D1427" s="139">
        <v>466</v>
      </c>
      <c r="E1427" s="140">
        <v>45284</v>
      </c>
      <c r="F1427" s="139" t="str">
        <f t="shared" si="66"/>
        <v>Q4-23</v>
      </c>
      <c r="G1427" s="140" t="str">
        <f t="shared" si="67"/>
        <v>Dec'23</v>
      </c>
      <c r="H1427" s="140" t="str">
        <f>TEXT(RawData[[#This Row],[Date]], "YYYY")</f>
        <v>2023</v>
      </c>
      <c r="I1427" s="141" t="s">
        <v>32</v>
      </c>
      <c r="J1427" s="141" t="s">
        <v>90</v>
      </c>
      <c r="K1427" s="139">
        <f t="shared" si="68"/>
        <v>1</v>
      </c>
      <c r="L1427" s="142">
        <f>IF(RawData[[#This Row],[Paid/Unpaid]]="Paid", IF(VALUE($E1427)&gt;VALUE($D$3),$K1427* 10000,$K1427* 8000), 0)</f>
        <v>8000</v>
      </c>
      <c r="M1427" s="53" t="s">
        <v>146</v>
      </c>
    </row>
    <row r="1428" spans="1:13" ht="12.75" customHeight="1" x14ac:dyDescent="0.3">
      <c r="A1428" s="143" t="s">
        <v>49</v>
      </c>
      <c r="B1428" s="139" t="str">
        <f>IFERROR(VLOOKUP($A1428, NameDesignation[], 2,FALSE), " ")</f>
        <v>Former Director</v>
      </c>
      <c r="C1428" s="139" t="s">
        <v>30</v>
      </c>
      <c r="D1428" s="139">
        <v>466</v>
      </c>
      <c r="E1428" s="140">
        <v>45284</v>
      </c>
      <c r="F1428" s="139" t="str">
        <f t="shared" si="66"/>
        <v>Q4-23</v>
      </c>
      <c r="G1428" s="140" t="str">
        <f t="shared" si="67"/>
        <v>Dec'23</v>
      </c>
      <c r="H1428" s="140" t="str">
        <f>TEXT(RawData[[#This Row],[Date]], "YYYY")</f>
        <v>2023</v>
      </c>
      <c r="I1428" s="141" t="s">
        <v>32</v>
      </c>
      <c r="J1428" s="141" t="s">
        <v>90</v>
      </c>
      <c r="K1428" s="139">
        <f t="shared" si="68"/>
        <v>1</v>
      </c>
      <c r="L1428" s="142">
        <f>IF(RawData[[#This Row],[Paid/Unpaid]]="Paid", IF(VALUE($E1428)&gt;VALUE($D$3),$K1428* 10000,$K1428* 8000), 0)</f>
        <v>8000</v>
      </c>
      <c r="M1428" s="53" t="s">
        <v>146</v>
      </c>
    </row>
    <row r="1429" spans="1:13" ht="12.75" customHeight="1" x14ac:dyDescent="0.3">
      <c r="A1429" s="143" t="s">
        <v>11</v>
      </c>
      <c r="B1429" s="139" t="str">
        <f>IFERROR(VLOOKUP($A1429, NameDesignation[], 2,FALSE), " ")</f>
        <v>Former Director</v>
      </c>
      <c r="C1429" s="139" t="s">
        <v>30</v>
      </c>
      <c r="D1429" s="139">
        <v>466</v>
      </c>
      <c r="E1429" s="140">
        <v>45284</v>
      </c>
      <c r="F1429" s="139" t="str">
        <f t="shared" si="66"/>
        <v>Q4-23</v>
      </c>
      <c r="G1429" s="140" t="str">
        <f t="shared" si="67"/>
        <v>Dec'23</v>
      </c>
      <c r="H1429" s="140" t="str">
        <f>TEXT(RawData[[#This Row],[Date]], "YYYY")</f>
        <v>2023</v>
      </c>
      <c r="I1429" s="141" t="s">
        <v>32</v>
      </c>
      <c r="J1429" s="141" t="s">
        <v>90</v>
      </c>
      <c r="K1429" s="139">
        <f t="shared" si="68"/>
        <v>1</v>
      </c>
      <c r="L1429" s="142">
        <f>IF(RawData[[#This Row],[Paid/Unpaid]]="Paid", IF(VALUE($E1429)&gt;VALUE($D$3),$K1429* 10000,$K1429* 8000), 0)</f>
        <v>8000</v>
      </c>
      <c r="M1429" s="53" t="s">
        <v>146</v>
      </c>
    </row>
    <row r="1430" spans="1:13" ht="12.75" customHeight="1" x14ac:dyDescent="0.3">
      <c r="A1430" s="143" t="s">
        <v>12</v>
      </c>
      <c r="B1430" s="139" t="str">
        <f>IFERROR(VLOOKUP($A1430, NameDesignation[], 2,FALSE), " ")</f>
        <v>Former Director</v>
      </c>
      <c r="C1430" s="139" t="s">
        <v>30</v>
      </c>
      <c r="D1430" s="139">
        <v>466</v>
      </c>
      <c r="E1430" s="140">
        <v>45284</v>
      </c>
      <c r="F1430" s="139" t="str">
        <f t="shared" si="66"/>
        <v>Q4-23</v>
      </c>
      <c r="G1430" s="140" t="str">
        <f t="shared" si="67"/>
        <v>Dec'23</v>
      </c>
      <c r="H1430" s="140" t="str">
        <f>TEXT(RawData[[#This Row],[Date]], "YYYY")</f>
        <v>2023</v>
      </c>
      <c r="I1430" s="141" t="s">
        <v>32</v>
      </c>
      <c r="J1430" s="141" t="s">
        <v>90</v>
      </c>
      <c r="K1430" s="139">
        <f t="shared" si="68"/>
        <v>1</v>
      </c>
      <c r="L1430" s="142">
        <f>IF(RawData[[#This Row],[Paid/Unpaid]]="Paid", IF(VALUE($E1430)&gt;VALUE($D$3),$K1430* 10000,$K1430* 8000), 0)</f>
        <v>8000</v>
      </c>
      <c r="M1430" s="53" t="s">
        <v>146</v>
      </c>
    </row>
    <row r="1431" spans="1:13" ht="12.75" customHeight="1" x14ac:dyDescent="0.3">
      <c r="A1431" s="143" t="s">
        <v>137</v>
      </c>
      <c r="B1431" s="139" t="str">
        <f>IFERROR(VLOOKUP($A1431, NameDesignation[], 2,FALSE), " ")</f>
        <v>Former Director</v>
      </c>
      <c r="C1431" s="139" t="s">
        <v>30</v>
      </c>
      <c r="D1431" s="139">
        <v>466</v>
      </c>
      <c r="E1431" s="140">
        <v>45284</v>
      </c>
      <c r="F1431" s="139" t="str">
        <f t="shared" si="66"/>
        <v>Q4-23</v>
      </c>
      <c r="G1431" s="140" t="str">
        <f t="shared" si="67"/>
        <v>Dec'23</v>
      </c>
      <c r="H1431" s="140" t="str">
        <f>TEXT(RawData[[#This Row],[Date]], "YYYY")</f>
        <v>2023</v>
      </c>
      <c r="I1431" s="141" t="s">
        <v>32</v>
      </c>
      <c r="J1431" s="141" t="s">
        <v>90</v>
      </c>
      <c r="K1431" s="139">
        <f t="shared" si="68"/>
        <v>1</v>
      </c>
      <c r="L1431" s="142">
        <f>IF(RawData[[#This Row],[Paid/Unpaid]]="Paid", IF(VALUE($E1431)&gt;VALUE($D$3),$K1431* 10000,$K1431* 8000), 0)</f>
        <v>8000</v>
      </c>
      <c r="M1431" s="53" t="s">
        <v>146</v>
      </c>
    </row>
    <row r="1432" spans="1:13" ht="12.75" customHeight="1" x14ac:dyDescent="0.3">
      <c r="A1432" s="143" t="s">
        <v>13</v>
      </c>
      <c r="B1432" s="139" t="str">
        <f>IFERROR(VLOOKUP($A1432, NameDesignation[], 2,FALSE), " ")</f>
        <v>Former Director</v>
      </c>
      <c r="C1432" s="139" t="s">
        <v>30</v>
      </c>
      <c r="D1432" s="139">
        <v>466</v>
      </c>
      <c r="E1432" s="140">
        <v>45284</v>
      </c>
      <c r="F1432" s="139" t="str">
        <f t="shared" si="66"/>
        <v>Q4-23</v>
      </c>
      <c r="G1432" s="140" t="str">
        <f t="shared" si="67"/>
        <v>Dec'23</v>
      </c>
      <c r="H1432" s="140" t="str">
        <f>TEXT(RawData[[#This Row],[Date]], "YYYY")</f>
        <v>2023</v>
      </c>
      <c r="I1432" s="141" t="s">
        <v>32</v>
      </c>
      <c r="J1432" s="141" t="s">
        <v>91</v>
      </c>
      <c r="K1432" s="139">
        <f t="shared" si="68"/>
        <v>0</v>
      </c>
      <c r="L1432" s="142">
        <f>IF(RawData[[#This Row],[Paid/Unpaid]]="Paid", IF(VALUE($E1432)&gt;VALUE($D$3),$K1432* 10000,$K1432* 8000), 0)</f>
        <v>0</v>
      </c>
      <c r="M1432" s="53" t="s">
        <v>146</v>
      </c>
    </row>
    <row r="1433" spans="1:13" ht="12.75" customHeight="1" x14ac:dyDescent="0.3">
      <c r="A1433" s="143" t="s">
        <v>49</v>
      </c>
      <c r="B1433" s="139" t="str">
        <f>IFERROR(VLOOKUP($A1433, NameDesignation[], 2,FALSE), " ")</f>
        <v>Former Director</v>
      </c>
      <c r="C1433" s="139" t="s">
        <v>38</v>
      </c>
      <c r="D1433" s="139">
        <v>41</v>
      </c>
      <c r="E1433" s="140">
        <v>45284</v>
      </c>
      <c r="F1433" s="139" t="str">
        <f t="shared" si="66"/>
        <v>Q4-23</v>
      </c>
      <c r="G1433" s="140" t="str">
        <f t="shared" si="67"/>
        <v>Dec'23</v>
      </c>
      <c r="H1433" s="140" t="str">
        <f>TEXT(RawData[[#This Row],[Date]], "YYYY")</f>
        <v>2023</v>
      </c>
      <c r="I1433" s="141" t="s">
        <v>32</v>
      </c>
      <c r="J1433" s="141" t="s">
        <v>90</v>
      </c>
      <c r="K1433" s="139">
        <f t="shared" si="68"/>
        <v>1</v>
      </c>
      <c r="L1433" s="142">
        <f>IF(RawData[[#This Row],[Paid/Unpaid]]="Paid", IF(VALUE($E1433)&gt;VALUE($D$3),$K1433* 10000,$K1433* 8000), 0)</f>
        <v>8000</v>
      </c>
      <c r="M1433" s="53" t="s">
        <v>146</v>
      </c>
    </row>
    <row r="1434" spans="1:13" ht="12.75" customHeight="1" x14ac:dyDescent="0.3">
      <c r="A1434" s="143" t="s">
        <v>9</v>
      </c>
      <c r="B1434" s="139" t="str">
        <f>IFERROR(VLOOKUP($A1434, NameDesignation[], 2,FALSE), " ")</f>
        <v>Former Director</v>
      </c>
      <c r="C1434" s="139" t="s">
        <v>38</v>
      </c>
      <c r="D1434" s="139">
        <v>41</v>
      </c>
      <c r="E1434" s="140">
        <v>45284</v>
      </c>
      <c r="F1434" s="139" t="str">
        <f t="shared" si="66"/>
        <v>Q4-23</v>
      </c>
      <c r="G1434" s="140" t="str">
        <f t="shared" si="67"/>
        <v>Dec'23</v>
      </c>
      <c r="H1434" s="140" t="str">
        <f>TEXT(RawData[[#This Row],[Date]], "YYYY")</f>
        <v>2023</v>
      </c>
      <c r="I1434" s="141" t="s">
        <v>32</v>
      </c>
      <c r="J1434" s="141" t="s">
        <v>90</v>
      </c>
      <c r="K1434" s="139">
        <f t="shared" si="68"/>
        <v>1</v>
      </c>
      <c r="L1434" s="142">
        <f>IF(RawData[[#This Row],[Paid/Unpaid]]="Paid", IF(VALUE($E1434)&gt;VALUE($D$3),$K1434* 10000,$K1434* 8000), 0)</f>
        <v>8000</v>
      </c>
      <c r="M1434" s="53" t="s">
        <v>146</v>
      </c>
    </row>
    <row r="1435" spans="1:13" ht="12.75" customHeight="1" x14ac:dyDescent="0.3">
      <c r="A1435" s="143" t="s">
        <v>12</v>
      </c>
      <c r="B1435" s="139" t="str">
        <f>IFERROR(VLOOKUP($A1435, NameDesignation[], 2,FALSE), " ")</f>
        <v>Former Director</v>
      </c>
      <c r="C1435" s="139" t="s">
        <v>38</v>
      </c>
      <c r="D1435" s="139">
        <v>41</v>
      </c>
      <c r="E1435" s="140">
        <v>45284</v>
      </c>
      <c r="F1435" s="139" t="str">
        <f t="shared" si="66"/>
        <v>Q4-23</v>
      </c>
      <c r="G1435" s="140" t="str">
        <f t="shared" si="67"/>
        <v>Dec'23</v>
      </c>
      <c r="H1435" s="140" t="str">
        <f>TEXT(RawData[[#This Row],[Date]], "YYYY")</f>
        <v>2023</v>
      </c>
      <c r="I1435" s="141" t="s">
        <v>32</v>
      </c>
      <c r="J1435" s="141" t="s">
        <v>90</v>
      </c>
      <c r="K1435" s="139">
        <f t="shared" si="68"/>
        <v>1</v>
      </c>
      <c r="L1435" s="142">
        <f>IF(RawData[[#This Row],[Paid/Unpaid]]="Paid", IF(VALUE($E1435)&gt;VALUE($D$3),$K1435* 10000,$K1435* 8000), 0)</f>
        <v>8000</v>
      </c>
      <c r="M1435" s="53" t="s">
        <v>146</v>
      </c>
    </row>
    <row r="1436" spans="1:13" ht="12.75" customHeight="1" x14ac:dyDescent="0.3">
      <c r="A1436" s="143" t="s">
        <v>61</v>
      </c>
      <c r="B1436" s="139" t="str">
        <f>IFERROR(VLOOKUP($A1436, NameDesignation[], 2,FALSE), " ")</f>
        <v>Former Director</v>
      </c>
      <c r="C1436" s="139" t="s">
        <v>38</v>
      </c>
      <c r="D1436" s="139">
        <v>41</v>
      </c>
      <c r="E1436" s="140">
        <v>45284</v>
      </c>
      <c r="F1436" s="139" t="str">
        <f t="shared" si="66"/>
        <v>Q4-23</v>
      </c>
      <c r="G1436" s="140" t="str">
        <f t="shared" si="67"/>
        <v>Dec'23</v>
      </c>
      <c r="H1436" s="140" t="str">
        <f>TEXT(RawData[[#This Row],[Date]], "YYYY")</f>
        <v>2023</v>
      </c>
      <c r="I1436" s="141" t="s">
        <v>32</v>
      </c>
      <c r="J1436" s="141" t="s">
        <v>90</v>
      </c>
      <c r="K1436" s="139">
        <f t="shared" si="68"/>
        <v>1</v>
      </c>
      <c r="L1436" s="142">
        <f>IF(RawData[[#This Row],[Paid/Unpaid]]="Paid", IF(VALUE($E1436)&gt;VALUE($D$3),$K1436* 10000,$K1436* 8000), 0)</f>
        <v>8000</v>
      </c>
      <c r="M1436" s="53" t="s">
        <v>146</v>
      </c>
    </row>
    <row r="1437" spans="1:13" ht="12.75" customHeight="1" x14ac:dyDescent="0.3">
      <c r="A1437" s="143" t="s">
        <v>17</v>
      </c>
      <c r="B1437" s="139" t="str">
        <f>IFERROR(VLOOKUP($A1437, NameDesignation[], 2,FALSE), " ")</f>
        <v>Former Independent Director</v>
      </c>
      <c r="C1437" s="139" t="s">
        <v>38</v>
      </c>
      <c r="D1437" s="139">
        <v>41</v>
      </c>
      <c r="E1437" s="140">
        <v>45284</v>
      </c>
      <c r="F1437" s="139" t="str">
        <f t="shared" si="66"/>
        <v>Q4-23</v>
      </c>
      <c r="G1437" s="140" t="str">
        <f t="shared" si="67"/>
        <v>Dec'23</v>
      </c>
      <c r="H1437" s="140" t="str">
        <f>TEXT(RawData[[#This Row],[Date]], "YYYY")</f>
        <v>2023</v>
      </c>
      <c r="I1437" s="141" t="s">
        <v>32</v>
      </c>
      <c r="J1437" s="141" t="s">
        <v>90</v>
      </c>
      <c r="K1437" s="139">
        <f t="shared" si="68"/>
        <v>1</v>
      </c>
      <c r="L1437" s="142">
        <f>IF(RawData[[#This Row],[Paid/Unpaid]]="Paid", IF(VALUE($E1437)&gt;VALUE($D$3),$K1437* 10000,$K1437* 8000), 0)</f>
        <v>8000</v>
      </c>
      <c r="M1437" s="53" t="s">
        <v>146</v>
      </c>
    </row>
    <row r="1438" spans="1:13" ht="12.75" customHeight="1" x14ac:dyDescent="0.3">
      <c r="A1438" s="143" t="s">
        <v>127</v>
      </c>
      <c r="B1438" s="139" t="str">
        <f>IFERROR(VLOOKUP($A1438, NameDesignation[], 2,FALSE), " ")</f>
        <v>Chairman, Shariah Supervisory Committee</v>
      </c>
      <c r="C1438" s="139" t="s">
        <v>41</v>
      </c>
      <c r="D1438" s="139">
        <v>11</v>
      </c>
      <c r="E1438" s="140">
        <v>45288</v>
      </c>
      <c r="F1438" s="139" t="str">
        <f t="shared" si="66"/>
        <v>Q4-23</v>
      </c>
      <c r="G1438" s="140" t="str">
        <f t="shared" si="67"/>
        <v>Dec'23</v>
      </c>
      <c r="H1438" s="140" t="str">
        <f>TEXT(RawData[[#This Row],[Date]], "YYYY")</f>
        <v>2023</v>
      </c>
      <c r="I1438" s="141" t="s">
        <v>32</v>
      </c>
      <c r="J1438" s="141" t="s">
        <v>90</v>
      </c>
      <c r="K1438" s="139">
        <f t="shared" si="68"/>
        <v>1</v>
      </c>
      <c r="L1438" s="142">
        <f>IF(RawData[[#This Row],[Paid/Unpaid]]="Paid", IF(VALUE($E1438)&gt;VALUE($D$3),$K1438* 10000,$K1438* 8000), 0)</f>
        <v>8000</v>
      </c>
      <c r="M1438" s="53" t="s">
        <v>146</v>
      </c>
    </row>
    <row r="1439" spans="1:13" ht="12.75" customHeight="1" x14ac:dyDescent="0.3">
      <c r="A1439" s="143" t="s">
        <v>52</v>
      </c>
      <c r="B1439" s="139" t="str">
        <f>IFERROR(VLOOKUP($A1439, NameDesignation[], 2,FALSE), " ")</f>
        <v>Member, Shariah Supervisory Committee</v>
      </c>
      <c r="C1439" s="139" t="s">
        <v>41</v>
      </c>
      <c r="D1439" s="139">
        <v>11</v>
      </c>
      <c r="E1439" s="140">
        <v>45288</v>
      </c>
      <c r="F1439" s="139" t="str">
        <f t="shared" si="66"/>
        <v>Q4-23</v>
      </c>
      <c r="G1439" s="140" t="str">
        <f t="shared" si="67"/>
        <v>Dec'23</v>
      </c>
      <c r="H1439" s="140" t="str">
        <f>TEXT(RawData[[#This Row],[Date]], "YYYY")</f>
        <v>2023</v>
      </c>
      <c r="I1439" s="141" t="s">
        <v>32</v>
      </c>
      <c r="J1439" s="141" t="s">
        <v>90</v>
      </c>
      <c r="K1439" s="139">
        <f t="shared" si="68"/>
        <v>1</v>
      </c>
      <c r="L1439" s="142">
        <f>IF(RawData[[#This Row],[Paid/Unpaid]]="Paid", IF(VALUE($E1439)&gt;VALUE($D$3),$K1439* 10000,$K1439* 8000), 0)</f>
        <v>8000</v>
      </c>
      <c r="M1439" s="53" t="s">
        <v>146</v>
      </c>
    </row>
    <row r="1440" spans="1:13" ht="12.75" customHeight="1" x14ac:dyDescent="0.3">
      <c r="A1440" s="143" t="s">
        <v>128</v>
      </c>
      <c r="B1440" s="139" t="str">
        <f>IFERROR(VLOOKUP($A1440, NameDesignation[], 2,FALSE), " ")</f>
        <v>Member, Shariah Supervisory Committee</v>
      </c>
      <c r="C1440" s="139" t="s">
        <v>41</v>
      </c>
      <c r="D1440" s="139">
        <v>11</v>
      </c>
      <c r="E1440" s="140">
        <v>45288</v>
      </c>
      <c r="F1440" s="139" t="str">
        <f t="shared" si="66"/>
        <v>Q4-23</v>
      </c>
      <c r="G1440" s="140" t="str">
        <f t="shared" si="67"/>
        <v>Dec'23</v>
      </c>
      <c r="H1440" s="140" t="str">
        <f>TEXT(RawData[[#This Row],[Date]], "YYYY")</f>
        <v>2023</v>
      </c>
      <c r="I1440" s="141" t="s">
        <v>32</v>
      </c>
      <c r="J1440" s="141" t="s">
        <v>90</v>
      </c>
      <c r="K1440" s="139">
        <f t="shared" si="68"/>
        <v>1</v>
      </c>
      <c r="L1440" s="142">
        <f>IF(RawData[[#This Row],[Paid/Unpaid]]="Paid", IF(VALUE($E1440)&gt;VALUE($D$3),$K1440* 10000,$K1440* 8000), 0)</f>
        <v>8000</v>
      </c>
      <c r="M1440" s="53" t="s">
        <v>146</v>
      </c>
    </row>
    <row r="1441" spans="1:13" ht="12.75" customHeight="1" x14ac:dyDescent="0.3">
      <c r="A1441" s="143" t="s">
        <v>126</v>
      </c>
      <c r="B1441" s="139" t="str">
        <f>IFERROR(VLOOKUP($A1441, NameDesignation[], 2,FALSE), " ")</f>
        <v>Member, Shariah Supervisory Committee</v>
      </c>
      <c r="C1441" s="139" t="s">
        <v>41</v>
      </c>
      <c r="D1441" s="139">
        <v>11</v>
      </c>
      <c r="E1441" s="140">
        <v>45288</v>
      </c>
      <c r="F1441" s="139" t="str">
        <f t="shared" si="66"/>
        <v>Q4-23</v>
      </c>
      <c r="G1441" s="140" t="str">
        <f t="shared" si="67"/>
        <v>Dec'23</v>
      </c>
      <c r="H1441" s="140" t="str">
        <f>TEXT(RawData[[#This Row],[Date]], "YYYY")</f>
        <v>2023</v>
      </c>
      <c r="I1441" s="141" t="s">
        <v>32</v>
      </c>
      <c r="J1441" s="141" t="s">
        <v>90</v>
      </c>
      <c r="K1441" s="139">
        <f t="shared" si="68"/>
        <v>1</v>
      </c>
      <c r="L1441" s="142">
        <f>IF(RawData[[#This Row],[Paid/Unpaid]]="Paid", IF(VALUE($E1441)&gt;VALUE($D$3),$K1441* 10000,$K1441* 8000), 0)</f>
        <v>8000</v>
      </c>
      <c r="M1441" s="53" t="s">
        <v>146</v>
      </c>
    </row>
    <row r="1442" spans="1:13" ht="12.75" customHeight="1" x14ac:dyDescent="0.3">
      <c r="A1442" s="143" t="s">
        <v>54</v>
      </c>
      <c r="B1442" s="139" t="str">
        <f>IFERROR(VLOOKUP($A1442, NameDesignation[], 2,FALSE), " ")</f>
        <v>Member, Shariah Supervisory Committee</v>
      </c>
      <c r="C1442" s="139" t="s">
        <v>41</v>
      </c>
      <c r="D1442" s="139">
        <v>11</v>
      </c>
      <c r="E1442" s="140">
        <v>45288</v>
      </c>
      <c r="F1442" s="139" t="str">
        <f t="shared" si="66"/>
        <v>Q4-23</v>
      </c>
      <c r="G1442" s="140" t="str">
        <f t="shared" si="67"/>
        <v>Dec'23</v>
      </c>
      <c r="H1442" s="140" t="str">
        <f>TEXT(RawData[[#This Row],[Date]], "YYYY")</f>
        <v>2023</v>
      </c>
      <c r="I1442" s="141" t="s">
        <v>32</v>
      </c>
      <c r="J1442" s="141" t="s">
        <v>90</v>
      </c>
      <c r="K1442" s="139">
        <f t="shared" si="68"/>
        <v>1</v>
      </c>
      <c r="L1442" s="142">
        <f>IF(RawData[[#This Row],[Paid/Unpaid]]="Paid", IF(VALUE($E1442)&gt;VALUE($D$3),$K1442* 10000,$K1442* 8000), 0)</f>
        <v>8000</v>
      </c>
      <c r="M1442" s="53" t="s">
        <v>146</v>
      </c>
    </row>
    <row r="1443" spans="1:13" ht="12.75" customHeight="1" x14ac:dyDescent="0.3">
      <c r="A1443" s="143" t="s">
        <v>9</v>
      </c>
      <c r="B1443" s="139" t="str">
        <f>IFERROR(VLOOKUP($A1443, NameDesignation[], 2,FALSE), " ")</f>
        <v>Former Director</v>
      </c>
      <c r="C1443" s="139" t="s">
        <v>30</v>
      </c>
      <c r="D1443" s="139">
        <v>467</v>
      </c>
      <c r="E1443" s="140">
        <v>45321</v>
      </c>
      <c r="F1443" s="139" t="str">
        <f t="shared" si="66"/>
        <v>Q1-24</v>
      </c>
      <c r="G1443" s="140" t="str">
        <f t="shared" si="67"/>
        <v>Jan'24</v>
      </c>
      <c r="H1443" s="140" t="str">
        <f>TEXT(RawData[[#This Row],[Date]], "YYYY")</f>
        <v>2024</v>
      </c>
      <c r="I1443" s="141" t="s">
        <v>32</v>
      </c>
      <c r="J1443" s="141" t="s">
        <v>90</v>
      </c>
      <c r="K1443" s="139">
        <f t="shared" si="68"/>
        <v>1</v>
      </c>
      <c r="L1443" s="142">
        <f>IF(RawData[[#This Row],[Paid/Unpaid]]="Paid", IF(VALUE($E1443)&gt;VALUE($D$3),$K1443* 10000,$K1443* 8000), 0)</f>
        <v>8000</v>
      </c>
      <c r="M1443" s="53" t="s">
        <v>146</v>
      </c>
    </row>
    <row r="1444" spans="1:13" ht="12.75" customHeight="1" x14ac:dyDescent="0.3">
      <c r="A1444" s="143" t="s">
        <v>8</v>
      </c>
      <c r="B1444" s="139" t="str">
        <f>IFERROR(VLOOKUP($A1444, NameDesignation[], 2,FALSE), " ")</f>
        <v>Former Vice-Chairman</v>
      </c>
      <c r="C1444" s="139" t="s">
        <v>30</v>
      </c>
      <c r="D1444" s="139">
        <v>467</v>
      </c>
      <c r="E1444" s="140">
        <v>45321</v>
      </c>
      <c r="F1444" s="139" t="str">
        <f t="shared" si="66"/>
        <v>Q1-24</v>
      </c>
      <c r="G1444" s="140" t="str">
        <f t="shared" si="67"/>
        <v>Jan'24</v>
      </c>
      <c r="H1444" s="140" t="str">
        <f>TEXT(RawData[[#This Row],[Date]], "YYYY")</f>
        <v>2024</v>
      </c>
      <c r="I1444" s="141" t="s">
        <v>32</v>
      </c>
      <c r="J1444" s="141" t="s">
        <v>90</v>
      </c>
      <c r="K1444" s="139">
        <f t="shared" si="68"/>
        <v>1</v>
      </c>
      <c r="L1444" s="142">
        <f>IF(RawData[[#This Row],[Paid/Unpaid]]="Paid", IF(VALUE($E1444)&gt;VALUE($D$3),$K1444* 10000,$K1444* 8000), 0)</f>
        <v>8000</v>
      </c>
      <c r="M1444" s="53" t="s">
        <v>146</v>
      </c>
    </row>
    <row r="1445" spans="1:13" ht="12.75" customHeight="1" x14ac:dyDescent="0.3">
      <c r="A1445" s="143" t="s">
        <v>49</v>
      </c>
      <c r="B1445" s="139" t="str">
        <f>IFERROR(VLOOKUP($A1445, NameDesignation[], 2,FALSE), " ")</f>
        <v>Former Director</v>
      </c>
      <c r="C1445" s="139" t="s">
        <v>30</v>
      </c>
      <c r="D1445" s="139">
        <v>467</v>
      </c>
      <c r="E1445" s="140">
        <v>45321</v>
      </c>
      <c r="F1445" s="139" t="str">
        <f t="shared" si="66"/>
        <v>Q1-24</v>
      </c>
      <c r="G1445" s="140" t="str">
        <f t="shared" si="67"/>
        <v>Jan'24</v>
      </c>
      <c r="H1445" s="140" t="str">
        <f>TEXT(RawData[[#This Row],[Date]], "YYYY")</f>
        <v>2024</v>
      </c>
      <c r="I1445" s="141" t="s">
        <v>32</v>
      </c>
      <c r="J1445" s="141" t="s">
        <v>90</v>
      </c>
      <c r="K1445" s="139">
        <f t="shared" si="68"/>
        <v>1</v>
      </c>
      <c r="L1445" s="142">
        <f>IF(RawData[[#This Row],[Paid/Unpaid]]="Paid", IF(VALUE($E1445)&gt;VALUE($D$3),$K1445* 10000,$K1445* 8000), 0)</f>
        <v>8000</v>
      </c>
      <c r="M1445" s="53" t="s">
        <v>146</v>
      </c>
    </row>
    <row r="1446" spans="1:13" ht="12.75" customHeight="1" x14ac:dyDescent="0.3">
      <c r="A1446" s="143" t="s">
        <v>11</v>
      </c>
      <c r="B1446" s="139" t="str">
        <f>IFERROR(VLOOKUP($A1446, NameDesignation[], 2,FALSE), " ")</f>
        <v>Former Director</v>
      </c>
      <c r="C1446" s="139" t="s">
        <v>30</v>
      </c>
      <c r="D1446" s="139">
        <v>467</v>
      </c>
      <c r="E1446" s="140">
        <v>45321</v>
      </c>
      <c r="F1446" s="139" t="str">
        <f t="shared" si="66"/>
        <v>Q1-24</v>
      </c>
      <c r="G1446" s="140" t="str">
        <f t="shared" si="67"/>
        <v>Jan'24</v>
      </c>
      <c r="H1446" s="140" t="str">
        <f>TEXT(RawData[[#This Row],[Date]], "YYYY")</f>
        <v>2024</v>
      </c>
      <c r="I1446" s="141" t="s">
        <v>32</v>
      </c>
      <c r="J1446" s="141" t="s">
        <v>90</v>
      </c>
      <c r="K1446" s="139">
        <f t="shared" si="68"/>
        <v>1</v>
      </c>
      <c r="L1446" s="142">
        <f>IF(RawData[[#This Row],[Paid/Unpaid]]="Paid", IF(VALUE($E1446)&gt;VALUE($D$3),$K1446* 10000,$K1446* 8000), 0)</f>
        <v>8000</v>
      </c>
      <c r="M1446" s="53" t="s">
        <v>146</v>
      </c>
    </row>
    <row r="1447" spans="1:13" ht="12.75" customHeight="1" x14ac:dyDescent="0.3">
      <c r="A1447" s="143" t="s">
        <v>12</v>
      </c>
      <c r="B1447" s="139" t="str">
        <f>IFERROR(VLOOKUP($A1447, NameDesignation[], 2,FALSE), " ")</f>
        <v>Former Director</v>
      </c>
      <c r="C1447" s="139" t="s">
        <v>30</v>
      </c>
      <c r="D1447" s="139">
        <v>467</v>
      </c>
      <c r="E1447" s="140">
        <v>45321</v>
      </c>
      <c r="F1447" s="139" t="str">
        <f t="shared" si="66"/>
        <v>Q1-24</v>
      </c>
      <c r="G1447" s="140" t="str">
        <f t="shared" si="67"/>
        <v>Jan'24</v>
      </c>
      <c r="H1447" s="140" t="str">
        <f>TEXT(RawData[[#This Row],[Date]], "YYYY")</f>
        <v>2024</v>
      </c>
      <c r="I1447" s="141" t="s">
        <v>32</v>
      </c>
      <c r="J1447" s="141" t="s">
        <v>90</v>
      </c>
      <c r="K1447" s="139">
        <f t="shared" si="68"/>
        <v>1</v>
      </c>
      <c r="L1447" s="142">
        <f>IF(RawData[[#This Row],[Paid/Unpaid]]="Paid", IF(VALUE($E1447)&gt;VALUE($D$3),$K1447* 10000,$K1447* 8000), 0)</f>
        <v>8000</v>
      </c>
      <c r="M1447" s="53" t="s">
        <v>146</v>
      </c>
    </row>
    <row r="1448" spans="1:13" ht="12.75" customHeight="1" x14ac:dyDescent="0.3">
      <c r="A1448" s="143" t="s">
        <v>137</v>
      </c>
      <c r="B1448" s="139" t="str">
        <f>IFERROR(VLOOKUP($A1448, NameDesignation[], 2,FALSE), " ")</f>
        <v>Former Director</v>
      </c>
      <c r="C1448" s="139" t="s">
        <v>30</v>
      </c>
      <c r="D1448" s="139">
        <v>467</v>
      </c>
      <c r="E1448" s="140">
        <v>45321</v>
      </c>
      <c r="F1448" s="139" t="str">
        <f t="shared" si="66"/>
        <v>Q1-24</v>
      </c>
      <c r="G1448" s="140" t="str">
        <f t="shared" si="67"/>
        <v>Jan'24</v>
      </c>
      <c r="H1448" s="140" t="str">
        <f>TEXT(RawData[[#This Row],[Date]], "YYYY")</f>
        <v>2024</v>
      </c>
      <c r="I1448" s="141" t="s">
        <v>32</v>
      </c>
      <c r="J1448" s="141" t="s">
        <v>90</v>
      </c>
      <c r="K1448" s="139">
        <f t="shared" si="68"/>
        <v>1</v>
      </c>
      <c r="L1448" s="142">
        <f>IF(RawData[[#This Row],[Paid/Unpaid]]="Paid", IF(VALUE($E1448)&gt;VALUE($D$3),$K1448* 10000,$K1448* 8000), 0)</f>
        <v>8000</v>
      </c>
      <c r="M1448" s="53" t="s">
        <v>146</v>
      </c>
    </row>
    <row r="1449" spans="1:13" ht="12.75" customHeight="1" x14ac:dyDescent="0.3">
      <c r="A1449" s="143" t="s">
        <v>13</v>
      </c>
      <c r="B1449" s="139" t="str">
        <f>IFERROR(VLOOKUP($A1449, NameDesignation[], 2,FALSE), " ")</f>
        <v>Former Director</v>
      </c>
      <c r="C1449" s="139" t="s">
        <v>30</v>
      </c>
      <c r="D1449" s="139">
        <v>467</v>
      </c>
      <c r="E1449" s="140">
        <v>45321</v>
      </c>
      <c r="F1449" s="139" t="str">
        <f t="shared" si="66"/>
        <v>Q1-24</v>
      </c>
      <c r="G1449" s="140" t="str">
        <f t="shared" si="67"/>
        <v>Jan'24</v>
      </c>
      <c r="H1449" s="140" t="str">
        <f>TEXT(RawData[[#This Row],[Date]], "YYYY")</f>
        <v>2024</v>
      </c>
      <c r="I1449" s="141" t="s">
        <v>32</v>
      </c>
      <c r="J1449" s="141" t="s">
        <v>91</v>
      </c>
      <c r="K1449" s="139">
        <f t="shared" si="68"/>
        <v>0</v>
      </c>
      <c r="L1449" s="142">
        <f>IF(RawData[[#This Row],[Paid/Unpaid]]="Paid", IF(VALUE($E1449)&gt;VALUE($D$3),$K1449* 10000,$K1449* 8000), 0)</f>
        <v>0</v>
      </c>
      <c r="M1449" s="53" t="s">
        <v>146</v>
      </c>
    </row>
    <row r="1450" spans="1:13" ht="12.75" customHeight="1" x14ac:dyDescent="0.3">
      <c r="A1450" s="143" t="s">
        <v>34</v>
      </c>
      <c r="B1450" s="139" t="str">
        <f>IFERROR(VLOOKUP($A1450, NameDesignation[], 2,FALSE), " ")</f>
        <v>Former Managing Director &amp; CEO</v>
      </c>
      <c r="C1450" s="139" t="s">
        <v>30</v>
      </c>
      <c r="D1450" s="139">
        <v>467</v>
      </c>
      <c r="E1450" s="140">
        <v>45321</v>
      </c>
      <c r="F1450" s="139" t="str">
        <f t="shared" si="66"/>
        <v>Q1-24</v>
      </c>
      <c r="G1450" s="140" t="str">
        <f t="shared" si="67"/>
        <v>Jan'24</v>
      </c>
      <c r="H1450" s="140" t="str">
        <f>TEXT(RawData[[#This Row],[Date]], "YYYY")</f>
        <v>2024</v>
      </c>
      <c r="I1450" s="141" t="s">
        <v>32</v>
      </c>
      <c r="J1450" s="141" t="s">
        <v>90</v>
      </c>
      <c r="K1450" s="139">
        <f t="shared" si="68"/>
        <v>1</v>
      </c>
      <c r="L1450" s="142">
        <f>IF(RawData[[#This Row],[Paid/Unpaid]]="Paid", IF(VALUE($E1450)&gt;VALUE($D$3),$K1450* 10000,$K1450* 8000), 0)</f>
        <v>8000</v>
      </c>
      <c r="M1450" s="53" t="s">
        <v>146</v>
      </c>
    </row>
    <row r="1451" spans="1:13" ht="12.75" customHeight="1" x14ac:dyDescent="0.3">
      <c r="A1451" s="143" t="s">
        <v>7</v>
      </c>
      <c r="B1451" s="139" t="str">
        <f>IFERROR(VLOOKUP($A1451, NameDesignation[], 2,FALSE), " ")</f>
        <v>Former Director</v>
      </c>
      <c r="C1451" s="139" t="s">
        <v>29</v>
      </c>
      <c r="D1451" s="139">
        <v>489</v>
      </c>
      <c r="E1451" s="140">
        <v>45322</v>
      </c>
      <c r="F1451" s="139" t="str">
        <f t="shared" si="66"/>
        <v>Q1-24</v>
      </c>
      <c r="G1451" s="140" t="str">
        <f t="shared" si="67"/>
        <v>Jan'24</v>
      </c>
      <c r="H1451" s="140" t="str">
        <f>TEXT(RawData[[#This Row],[Date]], "YYYY")</f>
        <v>2024</v>
      </c>
      <c r="I1451" s="141" t="s">
        <v>32</v>
      </c>
      <c r="J1451" s="141" t="s">
        <v>90</v>
      </c>
      <c r="K1451" s="139">
        <f t="shared" si="68"/>
        <v>1</v>
      </c>
      <c r="L1451" s="142">
        <f>IF(RawData[[#This Row],[Paid/Unpaid]]="Paid", IF(VALUE($E1451)&gt;VALUE($D$3),$K1451* 10000,$K1451* 8000), 0)</f>
        <v>8000</v>
      </c>
      <c r="M1451" s="53" t="s">
        <v>146</v>
      </c>
    </row>
    <row r="1452" spans="1:13" ht="12.75" customHeight="1" x14ac:dyDescent="0.3">
      <c r="A1452" s="143" t="s">
        <v>8</v>
      </c>
      <c r="B1452" s="139" t="str">
        <f>IFERROR(VLOOKUP($A1452, NameDesignation[], 2,FALSE), " ")</f>
        <v>Former Vice-Chairman</v>
      </c>
      <c r="C1452" s="139" t="s">
        <v>29</v>
      </c>
      <c r="D1452" s="139">
        <v>489</v>
      </c>
      <c r="E1452" s="140">
        <v>45322</v>
      </c>
      <c r="F1452" s="139" t="str">
        <f t="shared" si="66"/>
        <v>Q1-24</v>
      </c>
      <c r="G1452" s="140" t="str">
        <f t="shared" si="67"/>
        <v>Jan'24</v>
      </c>
      <c r="H1452" s="140" t="str">
        <f>TEXT(RawData[[#This Row],[Date]], "YYYY")</f>
        <v>2024</v>
      </c>
      <c r="I1452" s="141" t="s">
        <v>32</v>
      </c>
      <c r="J1452" s="141" t="s">
        <v>90</v>
      </c>
      <c r="K1452" s="139">
        <f t="shared" si="68"/>
        <v>1</v>
      </c>
      <c r="L1452" s="142">
        <f>IF(RawData[[#This Row],[Paid/Unpaid]]="Paid", IF(VALUE($E1452)&gt;VALUE($D$3),$K1452* 10000,$K1452* 8000), 0)</f>
        <v>8000</v>
      </c>
      <c r="M1452" s="53" t="s">
        <v>146</v>
      </c>
    </row>
    <row r="1453" spans="1:13" ht="12.75" customHeight="1" x14ac:dyDescent="0.3">
      <c r="A1453" s="143" t="s">
        <v>9</v>
      </c>
      <c r="B1453" s="139" t="str">
        <f>IFERROR(VLOOKUP($A1453, NameDesignation[], 2,FALSE), " ")</f>
        <v>Former Director</v>
      </c>
      <c r="C1453" s="139" t="s">
        <v>29</v>
      </c>
      <c r="D1453" s="139">
        <v>489</v>
      </c>
      <c r="E1453" s="140">
        <v>45322</v>
      </c>
      <c r="F1453" s="139" t="str">
        <f t="shared" si="66"/>
        <v>Q1-24</v>
      </c>
      <c r="G1453" s="140" t="str">
        <f t="shared" si="67"/>
        <v>Jan'24</v>
      </c>
      <c r="H1453" s="140" t="str">
        <f>TEXT(RawData[[#This Row],[Date]], "YYYY")</f>
        <v>2024</v>
      </c>
      <c r="I1453" s="141" t="s">
        <v>32</v>
      </c>
      <c r="J1453" s="141" t="s">
        <v>90</v>
      </c>
      <c r="K1453" s="139">
        <f t="shared" si="68"/>
        <v>1</v>
      </c>
      <c r="L1453" s="142">
        <f>IF(RawData[[#This Row],[Paid/Unpaid]]="Paid", IF(VALUE($E1453)&gt;VALUE($D$3),$K1453* 10000,$K1453* 8000), 0)</f>
        <v>8000</v>
      </c>
      <c r="M1453" s="53" t="s">
        <v>146</v>
      </c>
    </row>
    <row r="1454" spans="1:13" ht="12.75" customHeight="1" x14ac:dyDescent="0.3">
      <c r="A1454" s="143" t="s">
        <v>20</v>
      </c>
      <c r="B1454" s="139" t="str">
        <f>IFERROR(VLOOKUP($A1454, NameDesignation[], 2,FALSE), " ")</f>
        <v>Former Independent Director</v>
      </c>
      <c r="C1454" s="139" t="s">
        <v>29</v>
      </c>
      <c r="D1454" s="139">
        <v>489</v>
      </c>
      <c r="E1454" s="140">
        <v>45322</v>
      </c>
      <c r="F1454" s="139" t="str">
        <f t="shared" si="66"/>
        <v>Q1-24</v>
      </c>
      <c r="G1454" s="140" t="str">
        <f t="shared" si="67"/>
        <v>Jan'24</v>
      </c>
      <c r="H1454" s="140" t="str">
        <f>TEXT(RawData[[#This Row],[Date]], "YYYY")</f>
        <v>2024</v>
      </c>
      <c r="I1454" s="141" t="s">
        <v>32</v>
      </c>
      <c r="J1454" s="141" t="s">
        <v>90</v>
      </c>
      <c r="K1454" s="139">
        <f t="shared" si="68"/>
        <v>1</v>
      </c>
      <c r="L1454" s="142">
        <f>IF(RawData[[#This Row],[Paid/Unpaid]]="Paid", IF(VALUE($E1454)&gt;VALUE($D$3),$K1454* 10000,$K1454* 8000), 0)</f>
        <v>8000</v>
      </c>
      <c r="M1454" s="53" t="s">
        <v>146</v>
      </c>
    </row>
    <row r="1455" spans="1:13" ht="12.75" customHeight="1" x14ac:dyDescent="0.3">
      <c r="A1455" s="143" t="s">
        <v>49</v>
      </c>
      <c r="B1455" s="139" t="str">
        <f>IFERROR(VLOOKUP($A1455, NameDesignation[], 2,FALSE), " ")</f>
        <v>Former Director</v>
      </c>
      <c r="C1455" s="139" t="s">
        <v>29</v>
      </c>
      <c r="D1455" s="139">
        <v>489</v>
      </c>
      <c r="E1455" s="140">
        <v>45322</v>
      </c>
      <c r="F1455" s="139" t="str">
        <f t="shared" si="66"/>
        <v>Q1-24</v>
      </c>
      <c r="G1455" s="140" t="str">
        <f t="shared" si="67"/>
        <v>Jan'24</v>
      </c>
      <c r="H1455" s="140" t="str">
        <f>TEXT(RawData[[#This Row],[Date]], "YYYY")</f>
        <v>2024</v>
      </c>
      <c r="I1455" s="141" t="s">
        <v>32</v>
      </c>
      <c r="J1455" s="141" t="s">
        <v>90</v>
      </c>
      <c r="K1455" s="139">
        <f t="shared" si="68"/>
        <v>1</v>
      </c>
      <c r="L1455" s="142">
        <f>IF(RawData[[#This Row],[Paid/Unpaid]]="Paid", IF(VALUE($E1455)&gt;VALUE($D$3),$K1455* 10000,$K1455* 8000), 0)</f>
        <v>8000</v>
      </c>
      <c r="M1455" s="53" t="s">
        <v>146</v>
      </c>
    </row>
    <row r="1456" spans="1:13" ht="12.75" customHeight="1" x14ac:dyDescent="0.3">
      <c r="A1456" s="143" t="s">
        <v>112</v>
      </c>
      <c r="B1456" s="139" t="str">
        <f>IFERROR(VLOOKUP($A1456, NameDesignation[], 2,FALSE), " ")</f>
        <v>Former Director</v>
      </c>
      <c r="C1456" s="139" t="s">
        <v>29</v>
      </c>
      <c r="D1456" s="139">
        <v>489</v>
      </c>
      <c r="E1456" s="140">
        <v>45322</v>
      </c>
      <c r="F1456" s="139" t="str">
        <f t="shared" si="66"/>
        <v>Q1-24</v>
      </c>
      <c r="G1456" s="140" t="str">
        <f t="shared" si="67"/>
        <v>Jan'24</v>
      </c>
      <c r="H1456" s="140" t="str">
        <f>TEXT(RawData[[#This Row],[Date]], "YYYY")</f>
        <v>2024</v>
      </c>
      <c r="I1456" s="141" t="s">
        <v>32</v>
      </c>
      <c r="J1456" s="141" t="s">
        <v>90</v>
      </c>
      <c r="K1456" s="139">
        <f t="shared" si="68"/>
        <v>1</v>
      </c>
      <c r="L1456" s="142">
        <f>IF(RawData[[#This Row],[Paid/Unpaid]]="Paid", IF(VALUE($E1456)&gt;VALUE($D$3),$K1456* 10000,$K1456* 8000), 0)</f>
        <v>8000</v>
      </c>
      <c r="M1456" s="53" t="s">
        <v>146</v>
      </c>
    </row>
    <row r="1457" spans="1:13" ht="12.75" customHeight="1" x14ac:dyDescent="0.3">
      <c r="A1457" s="143" t="s">
        <v>11</v>
      </c>
      <c r="B1457" s="139" t="str">
        <f>IFERROR(VLOOKUP($A1457, NameDesignation[], 2,FALSE), " ")</f>
        <v>Former Director</v>
      </c>
      <c r="C1457" s="139" t="s">
        <v>29</v>
      </c>
      <c r="D1457" s="139">
        <v>489</v>
      </c>
      <c r="E1457" s="140">
        <v>45322</v>
      </c>
      <c r="F1457" s="139" t="str">
        <f t="shared" si="66"/>
        <v>Q1-24</v>
      </c>
      <c r="G1457" s="140" t="str">
        <f t="shared" si="67"/>
        <v>Jan'24</v>
      </c>
      <c r="H1457" s="140" t="str">
        <f>TEXT(RawData[[#This Row],[Date]], "YYYY")</f>
        <v>2024</v>
      </c>
      <c r="I1457" s="141" t="s">
        <v>32</v>
      </c>
      <c r="J1457" s="141" t="s">
        <v>90</v>
      </c>
      <c r="K1457" s="139">
        <f t="shared" si="68"/>
        <v>1</v>
      </c>
      <c r="L1457" s="142">
        <f>IF(RawData[[#This Row],[Paid/Unpaid]]="Paid", IF(VALUE($E1457)&gt;VALUE($D$3),$K1457* 10000,$K1457* 8000), 0)</f>
        <v>8000</v>
      </c>
      <c r="M1457" s="53" t="s">
        <v>146</v>
      </c>
    </row>
    <row r="1458" spans="1:13" ht="12.75" customHeight="1" x14ac:dyDescent="0.3">
      <c r="A1458" s="143" t="s">
        <v>12</v>
      </c>
      <c r="B1458" s="139" t="str">
        <f>IFERROR(VLOOKUP($A1458, NameDesignation[], 2,FALSE), " ")</f>
        <v>Former Director</v>
      </c>
      <c r="C1458" s="139" t="s">
        <v>29</v>
      </c>
      <c r="D1458" s="139">
        <v>489</v>
      </c>
      <c r="E1458" s="140">
        <v>45322</v>
      </c>
      <c r="F1458" s="139" t="str">
        <f t="shared" si="66"/>
        <v>Q1-24</v>
      </c>
      <c r="G1458" s="140" t="str">
        <f t="shared" si="67"/>
        <v>Jan'24</v>
      </c>
      <c r="H1458" s="140" t="str">
        <f>TEXT(RawData[[#This Row],[Date]], "YYYY")</f>
        <v>2024</v>
      </c>
      <c r="I1458" s="141" t="s">
        <v>32</v>
      </c>
      <c r="J1458" s="141" t="s">
        <v>90</v>
      </c>
      <c r="K1458" s="139">
        <f t="shared" si="68"/>
        <v>1</v>
      </c>
      <c r="L1458" s="142">
        <f>IF(RawData[[#This Row],[Paid/Unpaid]]="Paid", IF(VALUE($E1458)&gt;VALUE($D$3),$K1458* 10000,$K1458* 8000), 0)</f>
        <v>8000</v>
      </c>
      <c r="M1458" s="53" t="s">
        <v>146</v>
      </c>
    </row>
    <row r="1459" spans="1:13" ht="12.75" customHeight="1" x14ac:dyDescent="0.3">
      <c r="A1459" s="143" t="s">
        <v>23</v>
      </c>
      <c r="B1459" s="139" t="str">
        <f>IFERROR(VLOOKUP($A1459, NameDesignation[], 2,FALSE), " ")</f>
        <v>Former Director</v>
      </c>
      <c r="C1459" s="139" t="s">
        <v>29</v>
      </c>
      <c r="D1459" s="139">
        <v>489</v>
      </c>
      <c r="E1459" s="140">
        <v>45322</v>
      </c>
      <c r="F1459" s="139" t="str">
        <f t="shared" si="66"/>
        <v>Q1-24</v>
      </c>
      <c r="G1459" s="140" t="str">
        <f t="shared" si="67"/>
        <v>Jan'24</v>
      </c>
      <c r="H1459" s="140" t="str">
        <f>TEXT(RawData[[#This Row],[Date]], "YYYY")</f>
        <v>2024</v>
      </c>
      <c r="I1459" s="141" t="s">
        <v>32</v>
      </c>
      <c r="J1459" s="141" t="s">
        <v>90</v>
      </c>
      <c r="K1459" s="139">
        <f t="shared" si="68"/>
        <v>1</v>
      </c>
      <c r="L1459" s="142">
        <f>IF(RawData[[#This Row],[Paid/Unpaid]]="Paid", IF(VALUE($E1459)&gt;VALUE($D$3),$K1459* 10000,$K1459* 8000), 0)</f>
        <v>8000</v>
      </c>
      <c r="M1459" s="53" t="s">
        <v>146</v>
      </c>
    </row>
    <row r="1460" spans="1:13" ht="12.75" customHeight="1" x14ac:dyDescent="0.3">
      <c r="A1460" s="143" t="s">
        <v>137</v>
      </c>
      <c r="B1460" s="139" t="str">
        <f>IFERROR(VLOOKUP($A1460, NameDesignation[], 2,FALSE), " ")</f>
        <v>Former Director</v>
      </c>
      <c r="C1460" s="139" t="s">
        <v>29</v>
      </c>
      <c r="D1460" s="139">
        <v>489</v>
      </c>
      <c r="E1460" s="140">
        <v>45322</v>
      </c>
      <c r="F1460" s="139" t="str">
        <f t="shared" si="66"/>
        <v>Q1-24</v>
      </c>
      <c r="G1460" s="140" t="str">
        <f t="shared" si="67"/>
        <v>Jan'24</v>
      </c>
      <c r="H1460" s="140" t="str">
        <f>TEXT(RawData[[#This Row],[Date]], "YYYY")</f>
        <v>2024</v>
      </c>
      <c r="I1460" s="141" t="s">
        <v>32</v>
      </c>
      <c r="J1460" s="141" t="s">
        <v>90</v>
      </c>
      <c r="K1460" s="139">
        <f t="shared" si="68"/>
        <v>1</v>
      </c>
      <c r="L1460" s="142">
        <f>IF(RawData[[#This Row],[Paid/Unpaid]]="Paid", IF(VALUE($E1460)&gt;VALUE($D$3),$K1460* 10000,$K1460* 8000), 0)</f>
        <v>8000</v>
      </c>
      <c r="M1460" s="53" t="s">
        <v>146</v>
      </c>
    </row>
    <row r="1461" spans="1:13" ht="12.75" customHeight="1" x14ac:dyDescent="0.3">
      <c r="A1461" s="143" t="s">
        <v>13</v>
      </c>
      <c r="B1461" s="139" t="str">
        <f>IFERROR(VLOOKUP($A1461, NameDesignation[], 2,FALSE), " ")</f>
        <v>Former Director</v>
      </c>
      <c r="C1461" s="139" t="s">
        <v>29</v>
      </c>
      <c r="D1461" s="139">
        <v>489</v>
      </c>
      <c r="E1461" s="140">
        <v>45322</v>
      </c>
      <c r="F1461" s="139" t="str">
        <f t="shared" si="66"/>
        <v>Q1-24</v>
      </c>
      <c r="G1461" s="140" t="str">
        <f t="shared" si="67"/>
        <v>Jan'24</v>
      </c>
      <c r="H1461" s="140" t="str">
        <f>TEXT(RawData[[#This Row],[Date]], "YYYY")</f>
        <v>2024</v>
      </c>
      <c r="I1461" s="141" t="s">
        <v>32</v>
      </c>
      <c r="J1461" s="141" t="s">
        <v>91</v>
      </c>
      <c r="K1461" s="139">
        <f t="shared" si="68"/>
        <v>0</v>
      </c>
      <c r="L1461" s="142">
        <f>IF(RawData[[#This Row],[Paid/Unpaid]]="Paid", IF(VALUE($E1461)&gt;VALUE($D$3),$K1461* 10000,$K1461* 8000), 0)</f>
        <v>0</v>
      </c>
      <c r="M1461" s="53" t="s">
        <v>146</v>
      </c>
    </row>
    <row r="1462" spans="1:13" ht="12.75" customHeight="1" x14ac:dyDescent="0.3">
      <c r="A1462" s="143" t="s">
        <v>61</v>
      </c>
      <c r="B1462" s="139" t="str">
        <f>IFERROR(VLOOKUP($A1462, NameDesignation[], 2,FALSE), " ")</f>
        <v>Former Director</v>
      </c>
      <c r="C1462" s="139" t="s">
        <v>29</v>
      </c>
      <c r="D1462" s="139">
        <v>489</v>
      </c>
      <c r="E1462" s="140">
        <v>45322</v>
      </c>
      <c r="F1462" s="139" t="str">
        <f t="shared" si="66"/>
        <v>Q1-24</v>
      </c>
      <c r="G1462" s="140" t="str">
        <f t="shared" si="67"/>
        <v>Jan'24</v>
      </c>
      <c r="H1462" s="140" t="str">
        <f>TEXT(RawData[[#This Row],[Date]], "YYYY")</f>
        <v>2024</v>
      </c>
      <c r="I1462" s="141" t="s">
        <v>32</v>
      </c>
      <c r="J1462" s="141" t="s">
        <v>90</v>
      </c>
      <c r="K1462" s="139">
        <f t="shared" si="68"/>
        <v>1</v>
      </c>
      <c r="L1462" s="142">
        <f>IF(RawData[[#This Row],[Paid/Unpaid]]="Paid", IF(VALUE($E1462)&gt;VALUE($D$3),$K1462* 10000,$K1462* 8000), 0)</f>
        <v>8000</v>
      </c>
      <c r="M1462" s="53" t="s">
        <v>146</v>
      </c>
    </row>
    <row r="1463" spans="1:13" ht="12.75" customHeight="1" x14ac:dyDescent="0.3">
      <c r="A1463" s="143" t="s">
        <v>14</v>
      </c>
      <c r="B1463" s="139" t="str">
        <f>IFERROR(VLOOKUP($A1463, NameDesignation[], 2,FALSE), " ")</f>
        <v>Former Director</v>
      </c>
      <c r="C1463" s="139" t="s">
        <v>29</v>
      </c>
      <c r="D1463" s="139">
        <v>489</v>
      </c>
      <c r="E1463" s="140">
        <v>45322</v>
      </c>
      <c r="F1463" s="139" t="str">
        <f t="shared" si="66"/>
        <v>Q1-24</v>
      </c>
      <c r="G1463" s="140" t="str">
        <f t="shared" si="67"/>
        <v>Jan'24</v>
      </c>
      <c r="H1463" s="140" t="str">
        <f>TEXT(RawData[[#This Row],[Date]], "YYYY")</f>
        <v>2024</v>
      </c>
      <c r="I1463" s="141" t="s">
        <v>32</v>
      </c>
      <c r="J1463" s="141" t="s">
        <v>90</v>
      </c>
      <c r="K1463" s="139">
        <f t="shared" si="68"/>
        <v>1</v>
      </c>
      <c r="L1463" s="142">
        <f>IF(RawData[[#This Row],[Paid/Unpaid]]="Paid", IF(VALUE($E1463)&gt;VALUE($D$3),$K1463* 10000,$K1463* 8000), 0)</f>
        <v>8000</v>
      </c>
      <c r="M1463" s="53" t="s">
        <v>146</v>
      </c>
    </row>
    <row r="1464" spans="1:13" ht="12.75" customHeight="1" x14ac:dyDescent="0.3">
      <c r="A1464" s="143" t="s">
        <v>24</v>
      </c>
      <c r="B1464" s="139" t="str">
        <f>IFERROR(VLOOKUP($A1464, NameDesignation[], 2,FALSE), " ")</f>
        <v>Former Director</v>
      </c>
      <c r="C1464" s="139" t="s">
        <v>29</v>
      </c>
      <c r="D1464" s="139">
        <v>489</v>
      </c>
      <c r="E1464" s="140">
        <v>45322</v>
      </c>
      <c r="F1464" s="139" t="str">
        <f t="shared" si="66"/>
        <v>Q1-24</v>
      </c>
      <c r="G1464" s="140" t="str">
        <f t="shared" si="67"/>
        <v>Jan'24</v>
      </c>
      <c r="H1464" s="140" t="str">
        <f>TEXT(RawData[[#This Row],[Date]], "YYYY")</f>
        <v>2024</v>
      </c>
      <c r="I1464" s="141" t="s">
        <v>32</v>
      </c>
      <c r="J1464" s="141" t="s">
        <v>90</v>
      </c>
      <c r="K1464" s="139">
        <f t="shared" si="68"/>
        <v>1</v>
      </c>
      <c r="L1464" s="142">
        <f>IF(RawData[[#This Row],[Paid/Unpaid]]="Paid", IF(VALUE($E1464)&gt;VALUE($D$3),$K1464* 10000,$K1464* 8000), 0)</f>
        <v>8000</v>
      </c>
      <c r="M1464" s="53" t="s">
        <v>146</v>
      </c>
    </row>
    <row r="1465" spans="1:13" ht="12.75" customHeight="1" x14ac:dyDescent="0.3">
      <c r="A1465" s="143" t="s">
        <v>15</v>
      </c>
      <c r="B1465" s="139" t="str">
        <f>IFERROR(VLOOKUP($A1465, NameDesignation[], 2,FALSE), " ")</f>
        <v>Former Director</v>
      </c>
      <c r="C1465" s="139" t="s">
        <v>29</v>
      </c>
      <c r="D1465" s="139">
        <v>489</v>
      </c>
      <c r="E1465" s="140">
        <v>45322</v>
      </c>
      <c r="F1465" s="139" t="str">
        <f t="shared" si="66"/>
        <v>Q1-24</v>
      </c>
      <c r="G1465" s="140" t="str">
        <f t="shared" si="67"/>
        <v>Jan'24</v>
      </c>
      <c r="H1465" s="140" t="str">
        <f>TEXT(RawData[[#This Row],[Date]], "YYYY")</f>
        <v>2024</v>
      </c>
      <c r="I1465" s="141" t="s">
        <v>32</v>
      </c>
      <c r="J1465" s="141" t="s">
        <v>90</v>
      </c>
      <c r="K1465" s="139">
        <f t="shared" si="68"/>
        <v>1</v>
      </c>
      <c r="L1465" s="142">
        <f>IF(RawData[[#This Row],[Paid/Unpaid]]="Paid", IF(VALUE($E1465)&gt;VALUE($D$3),$K1465* 10000,$K1465* 8000), 0)</f>
        <v>8000</v>
      </c>
      <c r="M1465" s="53" t="s">
        <v>146</v>
      </c>
    </row>
    <row r="1466" spans="1:13" ht="12.75" customHeight="1" x14ac:dyDescent="0.3">
      <c r="A1466" s="143" t="s">
        <v>16</v>
      </c>
      <c r="B1466" s="139" t="str">
        <f>IFERROR(VLOOKUP($A1466, NameDesignation[], 2,FALSE), " ")</f>
        <v>Former Director</v>
      </c>
      <c r="C1466" s="139" t="s">
        <v>29</v>
      </c>
      <c r="D1466" s="139">
        <v>489</v>
      </c>
      <c r="E1466" s="140">
        <v>45322</v>
      </c>
      <c r="F1466" s="139" t="str">
        <f t="shared" si="66"/>
        <v>Q1-24</v>
      </c>
      <c r="G1466" s="140" t="str">
        <f t="shared" si="67"/>
        <v>Jan'24</v>
      </c>
      <c r="H1466" s="140" t="str">
        <f>TEXT(RawData[[#This Row],[Date]], "YYYY")</f>
        <v>2024</v>
      </c>
      <c r="I1466" s="141" t="s">
        <v>32</v>
      </c>
      <c r="J1466" s="141" t="s">
        <v>90</v>
      </c>
      <c r="K1466" s="139">
        <f t="shared" si="68"/>
        <v>1</v>
      </c>
      <c r="L1466" s="142">
        <f>IF(RawData[[#This Row],[Paid/Unpaid]]="Paid", IF(VALUE($E1466)&gt;VALUE($D$3),$K1466* 10000,$K1466* 8000), 0)</f>
        <v>8000</v>
      </c>
      <c r="M1466" s="53" t="s">
        <v>146</v>
      </c>
    </row>
    <row r="1467" spans="1:13" ht="12.75" customHeight="1" x14ac:dyDescent="0.3">
      <c r="A1467" s="143" t="s">
        <v>21</v>
      </c>
      <c r="B1467" s="139" t="str">
        <f>IFERROR(VLOOKUP($A1467, NameDesignation[], 2,FALSE), " ")</f>
        <v>Former Independent Director</v>
      </c>
      <c r="C1467" s="139" t="s">
        <v>29</v>
      </c>
      <c r="D1467" s="139">
        <v>489</v>
      </c>
      <c r="E1467" s="140">
        <v>45322</v>
      </c>
      <c r="F1467" s="139" t="str">
        <f t="shared" si="66"/>
        <v>Q1-24</v>
      </c>
      <c r="G1467" s="140" t="str">
        <f t="shared" si="67"/>
        <v>Jan'24</v>
      </c>
      <c r="H1467" s="140" t="str">
        <f>TEXT(RawData[[#This Row],[Date]], "YYYY")</f>
        <v>2024</v>
      </c>
      <c r="I1467" s="141" t="s">
        <v>32</v>
      </c>
      <c r="J1467" s="141" t="s">
        <v>90</v>
      </c>
      <c r="K1467" s="139">
        <f t="shared" si="68"/>
        <v>1</v>
      </c>
      <c r="L1467" s="142">
        <f>IF(RawData[[#This Row],[Paid/Unpaid]]="Paid", IF(VALUE($E1467)&gt;VALUE($D$3),$K1467* 10000,$K1467* 8000), 0)</f>
        <v>8000</v>
      </c>
      <c r="M1467" s="53" t="s">
        <v>146</v>
      </c>
    </row>
    <row r="1468" spans="1:13" ht="12.75" customHeight="1" x14ac:dyDescent="0.3">
      <c r="A1468" s="143" t="s">
        <v>17</v>
      </c>
      <c r="B1468" s="139" t="str">
        <f>IFERROR(VLOOKUP($A1468, NameDesignation[], 2,FALSE), " ")</f>
        <v>Former Independent Director</v>
      </c>
      <c r="C1468" s="139" t="s">
        <v>29</v>
      </c>
      <c r="D1468" s="139">
        <v>489</v>
      </c>
      <c r="E1468" s="140">
        <v>45322</v>
      </c>
      <c r="F1468" s="139" t="str">
        <f t="shared" si="66"/>
        <v>Q1-24</v>
      </c>
      <c r="G1468" s="140" t="str">
        <f t="shared" si="67"/>
        <v>Jan'24</v>
      </c>
      <c r="H1468" s="140" t="str">
        <f>TEXT(RawData[[#This Row],[Date]], "YYYY")</f>
        <v>2024</v>
      </c>
      <c r="I1468" s="141" t="s">
        <v>32</v>
      </c>
      <c r="J1468" s="141" t="s">
        <v>90</v>
      </c>
      <c r="K1468" s="139">
        <f t="shared" si="68"/>
        <v>1</v>
      </c>
      <c r="L1468" s="142">
        <f>IF(RawData[[#This Row],[Paid/Unpaid]]="Paid", IF(VALUE($E1468)&gt;VALUE($D$3),$K1468* 10000,$K1468* 8000), 0)</f>
        <v>8000</v>
      </c>
      <c r="M1468" s="53" t="s">
        <v>146</v>
      </c>
    </row>
    <row r="1469" spans="1:13" ht="12.75" customHeight="1" x14ac:dyDescent="0.3">
      <c r="A1469" s="143" t="s">
        <v>131</v>
      </c>
      <c r="B1469" s="139" t="str">
        <f>IFERROR(VLOOKUP($A1469, NameDesignation[], 2,FALSE), " ")</f>
        <v>Former Independent Director</v>
      </c>
      <c r="C1469" s="139" t="s">
        <v>29</v>
      </c>
      <c r="D1469" s="139">
        <v>489</v>
      </c>
      <c r="E1469" s="140">
        <v>45322</v>
      </c>
      <c r="F1469" s="139" t="str">
        <f t="shared" si="66"/>
        <v>Q1-24</v>
      </c>
      <c r="G1469" s="140" t="str">
        <f t="shared" si="67"/>
        <v>Jan'24</v>
      </c>
      <c r="H1469" s="140" t="str">
        <f>TEXT(RawData[[#This Row],[Date]], "YYYY")</f>
        <v>2024</v>
      </c>
      <c r="I1469" s="141" t="s">
        <v>32</v>
      </c>
      <c r="J1469" s="141" t="s">
        <v>90</v>
      </c>
      <c r="K1469" s="139">
        <f t="shared" si="68"/>
        <v>1</v>
      </c>
      <c r="L1469" s="142">
        <f>IF(RawData[[#This Row],[Paid/Unpaid]]="Paid", IF(VALUE($E1469)&gt;VALUE($D$3),$K1469* 10000,$K1469* 8000), 0)</f>
        <v>8000</v>
      </c>
      <c r="M1469" s="53" t="s">
        <v>146</v>
      </c>
    </row>
    <row r="1470" spans="1:13" ht="12.75" customHeight="1" x14ac:dyDescent="0.3">
      <c r="A1470" s="143" t="s">
        <v>34</v>
      </c>
      <c r="B1470" s="139" t="str">
        <f>IFERROR(VLOOKUP($A1470, NameDesignation[], 2,FALSE), " ")</f>
        <v>Former Managing Director &amp; CEO</v>
      </c>
      <c r="C1470" s="139" t="s">
        <v>29</v>
      </c>
      <c r="D1470" s="139">
        <v>489</v>
      </c>
      <c r="E1470" s="140">
        <v>45322</v>
      </c>
      <c r="F1470" s="139" t="str">
        <f t="shared" si="66"/>
        <v>Q1-24</v>
      </c>
      <c r="G1470" s="140" t="str">
        <f t="shared" si="67"/>
        <v>Jan'24</v>
      </c>
      <c r="H1470" s="140" t="str">
        <f>TEXT(RawData[[#This Row],[Date]], "YYYY")</f>
        <v>2024</v>
      </c>
      <c r="I1470" s="141" t="s">
        <v>32</v>
      </c>
      <c r="J1470" s="141" t="s">
        <v>90</v>
      </c>
      <c r="K1470" s="139">
        <f t="shared" si="68"/>
        <v>1</v>
      </c>
      <c r="L1470" s="142">
        <f>IF(RawData[[#This Row],[Paid/Unpaid]]="Paid", IF(VALUE($E1470)&gt;VALUE($D$3),$K1470* 10000,$K1470* 8000), 0)</f>
        <v>8000</v>
      </c>
      <c r="M1470" s="53" t="s">
        <v>146</v>
      </c>
    </row>
    <row r="1471" spans="1:13" ht="12.75" customHeight="1" x14ac:dyDescent="0.3">
      <c r="A1471" s="143" t="s">
        <v>127</v>
      </c>
      <c r="B1471" s="139" t="str">
        <f>IFERROR(VLOOKUP($A1471, NameDesignation[], 2,FALSE), " ")</f>
        <v>Chairman, Shariah Supervisory Committee</v>
      </c>
      <c r="C1471" s="139" t="s">
        <v>41</v>
      </c>
      <c r="D1471" s="139">
        <v>12</v>
      </c>
      <c r="E1471" s="140">
        <v>45356</v>
      </c>
      <c r="F1471" s="139" t="str">
        <f t="shared" si="66"/>
        <v>Q1-24</v>
      </c>
      <c r="G1471" s="140" t="str">
        <f t="shared" si="67"/>
        <v>Mar'24</v>
      </c>
      <c r="H1471" s="140" t="str">
        <f>TEXT(RawData[[#This Row],[Date]], "YYYY")</f>
        <v>2024</v>
      </c>
      <c r="I1471" s="141" t="s">
        <v>32</v>
      </c>
      <c r="J1471" s="141" t="s">
        <v>90</v>
      </c>
      <c r="K1471" s="139">
        <f t="shared" si="68"/>
        <v>1</v>
      </c>
      <c r="L1471" s="142">
        <f>IF(RawData[[#This Row],[Paid/Unpaid]]="Paid", IF(VALUE($E1471)&gt;VALUE($D$3),$K1471* 10000,$K1471* 8000), 0)</f>
        <v>8000</v>
      </c>
      <c r="M1471" s="53" t="s">
        <v>146</v>
      </c>
    </row>
    <row r="1472" spans="1:13" ht="12.75" customHeight="1" x14ac:dyDescent="0.3">
      <c r="A1472" s="143" t="s">
        <v>52</v>
      </c>
      <c r="B1472" s="139" t="str">
        <f>IFERROR(VLOOKUP($A1472, NameDesignation[], 2,FALSE), " ")</f>
        <v>Member, Shariah Supervisory Committee</v>
      </c>
      <c r="C1472" s="139" t="s">
        <v>41</v>
      </c>
      <c r="D1472" s="139">
        <v>12</v>
      </c>
      <c r="E1472" s="140">
        <v>45356</v>
      </c>
      <c r="F1472" s="139" t="str">
        <f t="shared" si="66"/>
        <v>Q1-24</v>
      </c>
      <c r="G1472" s="140" t="str">
        <f t="shared" si="67"/>
        <v>Mar'24</v>
      </c>
      <c r="H1472" s="140" t="str">
        <f>TEXT(RawData[[#This Row],[Date]], "YYYY")</f>
        <v>2024</v>
      </c>
      <c r="I1472" s="141" t="s">
        <v>32</v>
      </c>
      <c r="J1472" s="141" t="s">
        <v>90</v>
      </c>
      <c r="K1472" s="139">
        <f t="shared" si="68"/>
        <v>1</v>
      </c>
      <c r="L1472" s="142">
        <f>IF(RawData[[#This Row],[Paid/Unpaid]]="Paid", IF(VALUE($E1472)&gt;VALUE($D$3),$K1472* 10000,$K1472* 8000), 0)</f>
        <v>8000</v>
      </c>
      <c r="M1472" s="53" t="s">
        <v>146</v>
      </c>
    </row>
    <row r="1473" spans="1:13" ht="12.75" customHeight="1" x14ac:dyDescent="0.3">
      <c r="A1473" s="143" t="s">
        <v>128</v>
      </c>
      <c r="B1473" s="139" t="str">
        <f>IFERROR(VLOOKUP($A1473, NameDesignation[], 2,FALSE), " ")</f>
        <v>Member, Shariah Supervisory Committee</v>
      </c>
      <c r="C1473" s="139" t="s">
        <v>41</v>
      </c>
      <c r="D1473" s="139">
        <v>12</v>
      </c>
      <c r="E1473" s="140">
        <v>45356</v>
      </c>
      <c r="F1473" s="139" t="str">
        <f t="shared" si="66"/>
        <v>Q1-24</v>
      </c>
      <c r="G1473" s="140" t="str">
        <f t="shared" si="67"/>
        <v>Mar'24</v>
      </c>
      <c r="H1473" s="140" t="str">
        <f>TEXT(RawData[[#This Row],[Date]], "YYYY")</f>
        <v>2024</v>
      </c>
      <c r="I1473" s="141" t="s">
        <v>32</v>
      </c>
      <c r="J1473" s="141" t="s">
        <v>90</v>
      </c>
      <c r="K1473" s="139">
        <f t="shared" si="68"/>
        <v>1</v>
      </c>
      <c r="L1473" s="142">
        <f>IF(RawData[[#This Row],[Paid/Unpaid]]="Paid", IF(VALUE($E1473)&gt;VALUE($D$3),$K1473* 10000,$K1473* 8000), 0)</f>
        <v>8000</v>
      </c>
      <c r="M1473" s="53" t="s">
        <v>146</v>
      </c>
    </row>
    <row r="1474" spans="1:13" ht="12.75" customHeight="1" x14ac:dyDescent="0.3">
      <c r="A1474" s="143" t="s">
        <v>126</v>
      </c>
      <c r="B1474" s="139" t="str">
        <f>IFERROR(VLOOKUP($A1474, NameDesignation[], 2,FALSE), " ")</f>
        <v>Member, Shariah Supervisory Committee</v>
      </c>
      <c r="C1474" s="139" t="s">
        <v>41</v>
      </c>
      <c r="D1474" s="139">
        <v>12</v>
      </c>
      <c r="E1474" s="140">
        <v>45356</v>
      </c>
      <c r="F1474" s="139" t="str">
        <f t="shared" si="66"/>
        <v>Q1-24</v>
      </c>
      <c r="G1474" s="140" t="str">
        <f t="shared" si="67"/>
        <v>Mar'24</v>
      </c>
      <c r="H1474" s="140" t="str">
        <f>TEXT(RawData[[#This Row],[Date]], "YYYY")</f>
        <v>2024</v>
      </c>
      <c r="I1474" s="141" t="s">
        <v>32</v>
      </c>
      <c r="J1474" s="141" t="s">
        <v>90</v>
      </c>
      <c r="K1474" s="139">
        <f t="shared" si="68"/>
        <v>1</v>
      </c>
      <c r="L1474" s="142">
        <f>IF(RawData[[#This Row],[Paid/Unpaid]]="Paid", IF(VALUE($E1474)&gt;VALUE($D$3),$K1474* 10000,$K1474* 8000), 0)</f>
        <v>8000</v>
      </c>
      <c r="M1474" s="53" t="s">
        <v>146</v>
      </c>
    </row>
    <row r="1475" spans="1:13" ht="12.75" customHeight="1" x14ac:dyDescent="0.3">
      <c r="A1475" s="143" t="s">
        <v>54</v>
      </c>
      <c r="B1475" s="139" t="str">
        <f>IFERROR(VLOOKUP($A1475, NameDesignation[], 2,FALSE), " ")</f>
        <v>Member, Shariah Supervisory Committee</v>
      </c>
      <c r="C1475" s="139" t="s">
        <v>41</v>
      </c>
      <c r="D1475" s="139">
        <v>12</v>
      </c>
      <c r="E1475" s="140">
        <v>45356</v>
      </c>
      <c r="F1475" s="139" t="str">
        <f t="shared" si="66"/>
        <v>Q1-24</v>
      </c>
      <c r="G1475" s="140" t="str">
        <f t="shared" si="67"/>
        <v>Mar'24</v>
      </c>
      <c r="H1475" s="140" t="str">
        <f>TEXT(RawData[[#This Row],[Date]], "YYYY")</f>
        <v>2024</v>
      </c>
      <c r="I1475" s="141" t="s">
        <v>32</v>
      </c>
      <c r="J1475" s="141" t="s">
        <v>90</v>
      </c>
      <c r="K1475" s="139">
        <f t="shared" si="68"/>
        <v>1</v>
      </c>
      <c r="L1475" s="142">
        <f>IF(RawData[[#This Row],[Paid/Unpaid]]="Paid", IF(VALUE($E1475)&gt;VALUE($D$3),$K1475* 10000,$K1475* 8000), 0)</f>
        <v>8000</v>
      </c>
      <c r="M1475" s="53" t="s">
        <v>146</v>
      </c>
    </row>
    <row r="1476" spans="1:13" ht="12.75" customHeight="1" x14ac:dyDescent="0.3">
      <c r="A1476" s="143" t="s">
        <v>7</v>
      </c>
      <c r="B1476" s="139" t="str">
        <f>IFERROR(VLOOKUP($A1476, NameDesignation[], 2,FALSE), " ")</f>
        <v>Former Director</v>
      </c>
      <c r="C1476" s="139" t="s">
        <v>29</v>
      </c>
      <c r="D1476" s="139">
        <v>490</v>
      </c>
      <c r="E1476" s="140">
        <v>45364</v>
      </c>
      <c r="F1476" s="139" t="str">
        <f t="shared" si="66"/>
        <v>Q1-24</v>
      </c>
      <c r="G1476" s="140" t="str">
        <f t="shared" si="67"/>
        <v>Mar'24</v>
      </c>
      <c r="H1476" s="140" t="str">
        <f>TEXT(RawData[[#This Row],[Date]], "YYYY")</f>
        <v>2024</v>
      </c>
      <c r="I1476" s="141" t="s">
        <v>32</v>
      </c>
      <c r="J1476" s="141" t="s">
        <v>90</v>
      </c>
      <c r="K1476" s="139">
        <f t="shared" si="68"/>
        <v>1</v>
      </c>
      <c r="L1476" s="142">
        <f>IF(RawData[[#This Row],[Paid/Unpaid]]="Paid", IF(VALUE($E1476)&gt;VALUE($D$3),$K1476* 10000,$K1476* 8000), 0)</f>
        <v>8000</v>
      </c>
      <c r="M1476" s="53" t="s">
        <v>146</v>
      </c>
    </row>
    <row r="1477" spans="1:13" ht="12.75" customHeight="1" x14ac:dyDescent="0.3">
      <c r="A1477" s="143" t="s">
        <v>8</v>
      </c>
      <c r="B1477" s="139" t="str">
        <f>IFERROR(VLOOKUP($A1477, NameDesignation[], 2,FALSE), " ")</f>
        <v>Former Vice-Chairman</v>
      </c>
      <c r="C1477" s="139" t="s">
        <v>29</v>
      </c>
      <c r="D1477" s="139">
        <v>490</v>
      </c>
      <c r="E1477" s="140">
        <v>45364</v>
      </c>
      <c r="F1477" s="139" t="str">
        <f t="shared" si="66"/>
        <v>Q1-24</v>
      </c>
      <c r="G1477" s="140" t="str">
        <f t="shared" si="67"/>
        <v>Mar'24</v>
      </c>
      <c r="H1477" s="140" t="str">
        <f>TEXT(RawData[[#This Row],[Date]], "YYYY")</f>
        <v>2024</v>
      </c>
      <c r="I1477" s="141" t="s">
        <v>32</v>
      </c>
      <c r="J1477" s="141" t="s">
        <v>90</v>
      </c>
      <c r="K1477" s="139">
        <f t="shared" si="68"/>
        <v>1</v>
      </c>
      <c r="L1477" s="142">
        <f>IF(RawData[[#This Row],[Paid/Unpaid]]="Paid", IF(VALUE($E1477)&gt;VALUE($D$3),$K1477* 10000,$K1477* 8000), 0)</f>
        <v>8000</v>
      </c>
      <c r="M1477" s="53" t="s">
        <v>146</v>
      </c>
    </row>
    <row r="1478" spans="1:13" ht="12.75" customHeight="1" x14ac:dyDescent="0.3">
      <c r="A1478" s="143" t="s">
        <v>9</v>
      </c>
      <c r="B1478" s="139" t="str">
        <f>IFERROR(VLOOKUP($A1478, NameDesignation[], 2,FALSE), " ")</f>
        <v>Former Director</v>
      </c>
      <c r="C1478" s="139" t="s">
        <v>29</v>
      </c>
      <c r="D1478" s="139">
        <v>490</v>
      </c>
      <c r="E1478" s="140">
        <v>45364</v>
      </c>
      <c r="F1478" s="139" t="str">
        <f t="shared" ref="F1478:F1541" si="69">CONCATENATE("Q", ROUNDUP(MONTH($E1478)/3,0),"-",TEXT($E1478, "yy"))</f>
        <v>Q1-24</v>
      </c>
      <c r="G1478" s="140" t="str">
        <f t="shared" ref="G1478:G1541" si="70">CONCATENATE(TEXT($E1478, "mmm"),"'", TEXT($E1478, "yy"))</f>
        <v>Mar'24</v>
      </c>
      <c r="H1478" s="140" t="str">
        <f>TEXT(RawData[[#This Row],[Date]], "YYYY")</f>
        <v>2024</v>
      </c>
      <c r="I1478" s="141" t="s">
        <v>32</v>
      </c>
      <c r="J1478" s="141" t="s">
        <v>91</v>
      </c>
      <c r="K1478" s="139">
        <f t="shared" ref="K1478:K1541" si="71">IF($J1478="Present", 1, 0)</f>
        <v>0</v>
      </c>
      <c r="L1478" s="142">
        <f>IF(RawData[[#This Row],[Paid/Unpaid]]="Paid", IF(VALUE($E1478)&gt;VALUE($D$3),$K1478* 10000,$K1478* 8000), 0)</f>
        <v>0</v>
      </c>
      <c r="M1478" s="53" t="s">
        <v>146</v>
      </c>
    </row>
    <row r="1479" spans="1:13" ht="12.75" customHeight="1" x14ac:dyDescent="0.3">
      <c r="A1479" s="143" t="s">
        <v>20</v>
      </c>
      <c r="B1479" s="139" t="str">
        <f>IFERROR(VLOOKUP($A1479, NameDesignation[], 2,FALSE), " ")</f>
        <v>Former Independent Director</v>
      </c>
      <c r="C1479" s="139" t="s">
        <v>29</v>
      </c>
      <c r="D1479" s="139">
        <v>490</v>
      </c>
      <c r="E1479" s="140">
        <v>45364</v>
      </c>
      <c r="F1479" s="139" t="str">
        <f t="shared" si="69"/>
        <v>Q1-24</v>
      </c>
      <c r="G1479" s="140" t="str">
        <f t="shared" si="70"/>
        <v>Mar'24</v>
      </c>
      <c r="H1479" s="140" t="str">
        <f>TEXT(RawData[[#This Row],[Date]], "YYYY")</f>
        <v>2024</v>
      </c>
      <c r="I1479" s="141" t="s">
        <v>32</v>
      </c>
      <c r="J1479" s="141" t="s">
        <v>90</v>
      </c>
      <c r="K1479" s="139">
        <f t="shared" si="71"/>
        <v>1</v>
      </c>
      <c r="L1479" s="142">
        <f>IF(RawData[[#This Row],[Paid/Unpaid]]="Paid", IF(VALUE($E1479)&gt;VALUE($D$3),$K1479* 10000,$K1479* 8000), 0)</f>
        <v>8000</v>
      </c>
      <c r="M1479" s="53" t="s">
        <v>146</v>
      </c>
    </row>
    <row r="1480" spans="1:13" ht="12.75" customHeight="1" x14ac:dyDescent="0.3">
      <c r="A1480" s="143" t="s">
        <v>49</v>
      </c>
      <c r="B1480" s="139" t="str">
        <f>IFERROR(VLOOKUP($A1480, NameDesignation[], 2,FALSE), " ")</f>
        <v>Former Director</v>
      </c>
      <c r="C1480" s="139" t="s">
        <v>29</v>
      </c>
      <c r="D1480" s="139">
        <v>490</v>
      </c>
      <c r="E1480" s="140">
        <v>45364</v>
      </c>
      <c r="F1480" s="139" t="str">
        <f t="shared" si="69"/>
        <v>Q1-24</v>
      </c>
      <c r="G1480" s="140" t="str">
        <f t="shared" si="70"/>
        <v>Mar'24</v>
      </c>
      <c r="H1480" s="140" t="str">
        <f>TEXT(RawData[[#This Row],[Date]], "YYYY")</f>
        <v>2024</v>
      </c>
      <c r="I1480" s="141" t="s">
        <v>32</v>
      </c>
      <c r="J1480" s="141" t="s">
        <v>90</v>
      </c>
      <c r="K1480" s="139">
        <f t="shared" si="71"/>
        <v>1</v>
      </c>
      <c r="L1480" s="142">
        <f>IF(RawData[[#This Row],[Paid/Unpaid]]="Paid", IF(VALUE($E1480)&gt;VALUE($D$3),$K1480* 10000,$K1480* 8000), 0)</f>
        <v>8000</v>
      </c>
      <c r="M1480" s="53" t="s">
        <v>146</v>
      </c>
    </row>
    <row r="1481" spans="1:13" ht="12.75" customHeight="1" x14ac:dyDescent="0.3">
      <c r="A1481" s="143" t="s">
        <v>112</v>
      </c>
      <c r="B1481" s="139" t="str">
        <f>IFERROR(VLOOKUP($A1481, NameDesignation[], 2,FALSE), " ")</f>
        <v>Former Director</v>
      </c>
      <c r="C1481" s="139" t="s">
        <v>29</v>
      </c>
      <c r="D1481" s="139">
        <v>490</v>
      </c>
      <c r="E1481" s="140">
        <v>45364</v>
      </c>
      <c r="F1481" s="139" t="str">
        <f t="shared" si="69"/>
        <v>Q1-24</v>
      </c>
      <c r="G1481" s="140" t="str">
        <f t="shared" si="70"/>
        <v>Mar'24</v>
      </c>
      <c r="H1481" s="140" t="str">
        <f>TEXT(RawData[[#This Row],[Date]], "YYYY")</f>
        <v>2024</v>
      </c>
      <c r="I1481" s="141" t="s">
        <v>32</v>
      </c>
      <c r="J1481" s="141" t="s">
        <v>91</v>
      </c>
      <c r="K1481" s="139">
        <f t="shared" si="71"/>
        <v>0</v>
      </c>
      <c r="L1481" s="142">
        <f>IF(RawData[[#This Row],[Paid/Unpaid]]="Paid", IF(VALUE($E1481)&gt;VALUE($D$3),$K1481* 10000,$K1481* 8000), 0)</f>
        <v>0</v>
      </c>
      <c r="M1481" s="53" t="s">
        <v>146</v>
      </c>
    </row>
    <row r="1482" spans="1:13" ht="12.75" customHeight="1" x14ac:dyDescent="0.3">
      <c r="A1482" s="143" t="s">
        <v>11</v>
      </c>
      <c r="B1482" s="139" t="str">
        <f>IFERROR(VLOOKUP($A1482, NameDesignation[], 2,FALSE), " ")</f>
        <v>Former Director</v>
      </c>
      <c r="C1482" s="139" t="s">
        <v>29</v>
      </c>
      <c r="D1482" s="139">
        <v>490</v>
      </c>
      <c r="E1482" s="140">
        <v>45364</v>
      </c>
      <c r="F1482" s="139" t="str">
        <f t="shared" si="69"/>
        <v>Q1-24</v>
      </c>
      <c r="G1482" s="140" t="str">
        <f t="shared" si="70"/>
        <v>Mar'24</v>
      </c>
      <c r="H1482" s="140" t="str">
        <f>TEXT(RawData[[#This Row],[Date]], "YYYY")</f>
        <v>2024</v>
      </c>
      <c r="I1482" s="141" t="s">
        <v>32</v>
      </c>
      <c r="J1482" s="141" t="s">
        <v>90</v>
      </c>
      <c r="K1482" s="139">
        <f t="shared" si="71"/>
        <v>1</v>
      </c>
      <c r="L1482" s="142">
        <f>IF(RawData[[#This Row],[Paid/Unpaid]]="Paid", IF(VALUE($E1482)&gt;VALUE($D$3),$K1482* 10000,$K1482* 8000), 0)</f>
        <v>8000</v>
      </c>
      <c r="M1482" s="53" t="s">
        <v>146</v>
      </c>
    </row>
    <row r="1483" spans="1:13" ht="12.75" customHeight="1" x14ac:dyDescent="0.3">
      <c r="A1483" s="143" t="s">
        <v>12</v>
      </c>
      <c r="B1483" s="139" t="str">
        <f>IFERROR(VLOOKUP($A1483, NameDesignation[], 2,FALSE), " ")</f>
        <v>Former Director</v>
      </c>
      <c r="C1483" s="139" t="s">
        <v>29</v>
      </c>
      <c r="D1483" s="139">
        <v>490</v>
      </c>
      <c r="E1483" s="140">
        <v>45364</v>
      </c>
      <c r="F1483" s="139" t="str">
        <f t="shared" si="69"/>
        <v>Q1-24</v>
      </c>
      <c r="G1483" s="140" t="str">
        <f t="shared" si="70"/>
        <v>Mar'24</v>
      </c>
      <c r="H1483" s="140" t="str">
        <f>TEXT(RawData[[#This Row],[Date]], "YYYY")</f>
        <v>2024</v>
      </c>
      <c r="I1483" s="141" t="s">
        <v>32</v>
      </c>
      <c r="J1483" s="141" t="s">
        <v>90</v>
      </c>
      <c r="K1483" s="139">
        <f t="shared" si="71"/>
        <v>1</v>
      </c>
      <c r="L1483" s="142">
        <f>IF(RawData[[#This Row],[Paid/Unpaid]]="Paid", IF(VALUE($E1483)&gt;VALUE($D$3),$K1483* 10000,$K1483* 8000), 0)</f>
        <v>8000</v>
      </c>
      <c r="M1483" s="53" t="s">
        <v>146</v>
      </c>
    </row>
    <row r="1484" spans="1:13" ht="12.75" customHeight="1" x14ac:dyDescent="0.3">
      <c r="A1484" s="143" t="s">
        <v>23</v>
      </c>
      <c r="B1484" s="139" t="str">
        <f>IFERROR(VLOOKUP($A1484, NameDesignation[], 2,FALSE), " ")</f>
        <v>Former Director</v>
      </c>
      <c r="C1484" s="139" t="s">
        <v>29</v>
      </c>
      <c r="D1484" s="139">
        <v>490</v>
      </c>
      <c r="E1484" s="140">
        <v>45364</v>
      </c>
      <c r="F1484" s="139" t="str">
        <f t="shared" si="69"/>
        <v>Q1-24</v>
      </c>
      <c r="G1484" s="140" t="str">
        <f t="shared" si="70"/>
        <v>Mar'24</v>
      </c>
      <c r="H1484" s="140" t="str">
        <f>TEXT(RawData[[#This Row],[Date]], "YYYY")</f>
        <v>2024</v>
      </c>
      <c r="I1484" s="141" t="s">
        <v>32</v>
      </c>
      <c r="J1484" s="141" t="s">
        <v>90</v>
      </c>
      <c r="K1484" s="139">
        <f t="shared" si="71"/>
        <v>1</v>
      </c>
      <c r="L1484" s="142">
        <f>IF(RawData[[#This Row],[Paid/Unpaid]]="Paid", IF(VALUE($E1484)&gt;VALUE($D$3),$K1484* 10000,$K1484* 8000), 0)</f>
        <v>8000</v>
      </c>
      <c r="M1484" s="53" t="s">
        <v>146</v>
      </c>
    </row>
    <row r="1485" spans="1:13" ht="12.75" customHeight="1" x14ac:dyDescent="0.3">
      <c r="A1485" s="143" t="s">
        <v>137</v>
      </c>
      <c r="B1485" s="139" t="str">
        <f>IFERROR(VLOOKUP($A1485, NameDesignation[], 2,FALSE), " ")</f>
        <v>Former Director</v>
      </c>
      <c r="C1485" s="139" t="s">
        <v>29</v>
      </c>
      <c r="D1485" s="139">
        <v>490</v>
      </c>
      <c r="E1485" s="140">
        <v>45364</v>
      </c>
      <c r="F1485" s="139" t="str">
        <f t="shared" si="69"/>
        <v>Q1-24</v>
      </c>
      <c r="G1485" s="140" t="str">
        <f t="shared" si="70"/>
        <v>Mar'24</v>
      </c>
      <c r="H1485" s="140" t="str">
        <f>TEXT(RawData[[#This Row],[Date]], "YYYY")</f>
        <v>2024</v>
      </c>
      <c r="I1485" s="141" t="s">
        <v>32</v>
      </c>
      <c r="J1485" s="141" t="s">
        <v>90</v>
      </c>
      <c r="K1485" s="139">
        <f t="shared" si="71"/>
        <v>1</v>
      </c>
      <c r="L1485" s="142">
        <f>IF(RawData[[#This Row],[Paid/Unpaid]]="Paid", IF(VALUE($E1485)&gt;VALUE($D$3),$K1485* 10000,$K1485* 8000), 0)</f>
        <v>8000</v>
      </c>
      <c r="M1485" s="53" t="s">
        <v>146</v>
      </c>
    </row>
    <row r="1486" spans="1:13" ht="12.75" customHeight="1" x14ac:dyDescent="0.3">
      <c r="A1486" s="143" t="s">
        <v>13</v>
      </c>
      <c r="B1486" s="139" t="str">
        <f>IFERROR(VLOOKUP($A1486, NameDesignation[], 2,FALSE), " ")</f>
        <v>Former Director</v>
      </c>
      <c r="C1486" s="139" t="s">
        <v>29</v>
      </c>
      <c r="D1486" s="139">
        <v>490</v>
      </c>
      <c r="E1486" s="140">
        <v>45364</v>
      </c>
      <c r="F1486" s="139" t="str">
        <f t="shared" si="69"/>
        <v>Q1-24</v>
      </c>
      <c r="G1486" s="140" t="str">
        <f t="shared" si="70"/>
        <v>Mar'24</v>
      </c>
      <c r="H1486" s="140" t="str">
        <f>TEXT(RawData[[#This Row],[Date]], "YYYY")</f>
        <v>2024</v>
      </c>
      <c r="I1486" s="141" t="s">
        <v>32</v>
      </c>
      <c r="J1486" s="141" t="s">
        <v>90</v>
      </c>
      <c r="K1486" s="139">
        <f t="shared" si="71"/>
        <v>1</v>
      </c>
      <c r="L1486" s="142">
        <f>IF(RawData[[#This Row],[Paid/Unpaid]]="Paid", IF(VALUE($E1486)&gt;VALUE($D$3),$K1486* 10000,$K1486* 8000), 0)</f>
        <v>8000</v>
      </c>
      <c r="M1486" s="53" t="s">
        <v>146</v>
      </c>
    </row>
    <row r="1487" spans="1:13" ht="12.75" customHeight="1" x14ac:dyDescent="0.3">
      <c r="A1487" s="143" t="s">
        <v>61</v>
      </c>
      <c r="B1487" s="139" t="str">
        <f>IFERROR(VLOOKUP($A1487, NameDesignation[], 2,FALSE), " ")</f>
        <v>Former Director</v>
      </c>
      <c r="C1487" s="139" t="s">
        <v>29</v>
      </c>
      <c r="D1487" s="139">
        <v>490</v>
      </c>
      <c r="E1487" s="140">
        <v>45364</v>
      </c>
      <c r="F1487" s="139" t="str">
        <f t="shared" si="69"/>
        <v>Q1-24</v>
      </c>
      <c r="G1487" s="140" t="str">
        <f t="shared" si="70"/>
        <v>Mar'24</v>
      </c>
      <c r="H1487" s="140" t="str">
        <f>TEXT(RawData[[#This Row],[Date]], "YYYY")</f>
        <v>2024</v>
      </c>
      <c r="I1487" s="141" t="s">
        <v>32</v>
      </c>
      <c r="J1487" s="141" t="s">
        <v>90</v>
      </c>
      <c r="K1487" s="139">
        <f t="shared" si="71"/>
        <v>1</v>
      </c>
      <c r="L1487" s="142">
        <f>IF(RawData[[#This Row],[Paid/Unpaid]]="Paid", IF(VALUE($E1487)&gt;VALUE($D$3),$K1487* 10000,$K1487* 8000), 0)</f>
        <v>8000</v>
      </c>
      <c r="M1487" s="53" t="s">
        <v>146</v>
      </c>
    </row>
    <row r="1488" spans="1:13" ht="12.75" customHeight="1" x14ac:dyDescent="0.3">
      <c r="A1488" s="143" t="s">
        <v>14</v>
      </c>
      <c r="B1488" s="139" t="str">
        <f>IFERROR(VLOOKUP($A1488, NameDesignation[], 2,FALSE), " ")</f>
        <v>Former Director</v>
      </c>
      <c r="C1488" s="139" t="s">
        <v>29</v>
      </c>
      <c r="D1488" s="139">
        <v>490</v>
      </c>
      <c r="E1488" s="140">
        <v>45364</v>
      </c>
      <c r="F1488" s="139" t="str">
        <f t="shared" si="69"/>
        <v>Q1-24</v>
      </c>
      <c r="G1488" s="140" t="str">
        <f t="shared" si="70"/>
        <v>Mar'24</v>
      </c>
      <c r="H1488" s="140" t="str">
        <f>TEXT(RawData[[#This Row],[Date]], "YYYY")</f>
        <v>2024</v>
      </c>
      <c r="I1488" s="141" t="s">
        <v>32</v>
      </c>
      <c r="J1488" s="141" t="s">
        <v>90</v>
      </c>
      <c r="K1488" s="139">
        <f t="shared" si="71"/>
        <v>1</v>
      </c>
      <c r="L1488" s="142">
        <f>IF(RawData[[#This Row],[Paid/Unpaid]]="Paid", IF(VALUE($E1488)&gt;VALUE($D$3),$K1488* 10000,$K1488* 8000), 0)</f>
        <v>8000</v>
      </c>
      <c r="M1488" s="53" t="s">
        <v>146</v>
      </c>
    </row>
    <row r="1489" spans="1:13" ht="12.75" customHeight="1" x14ac:dyDescent="0.3">
      <c r="A1489" s="143" t="s">
        <v>24</v>
      </c>
      <c r="B1489" s="139" t="str">
        <f>IFERROR(VLOOKUP($A1489, NameDesignation[], 2,FALSE), " ")</f>
        <v>Former Director</v>
      </c>
      <c r="C1489" s="139" t="s">
        <v>29</v>
      </c>
      <c r="D1489" s="139">
        <v>490</v>
      </c>
      <c r="E1489" s="140">
        <v>45364</v>
      </c>
      <c r="F1489" s="139" t="str">
        <f t="shared" si="69"/>
        <v>Q1-24</v>
      </c>
      <c r="G1489" s="140" t="str">
        <f t="shared" si="70"/>
        <v>Mar'24</v>
      </c>
      <c r="H1489" s="140" t="str">
        <f>TEXT(RawData[[#This Row],[Date]], "YYYY")</f>
        <v>2024</v>
      </c>
      <c r="I1489" s="141" t="s">
        <v>32</v>
      </c>
      <c r="J1489" s="141" t="s">
        <v>90</v>
      </c>
      <c r="K1489" s="139">
        <f t="shared" si="71"/>
        <v>1</v>
      </c>
      <c r="L1489" s="142">
        <f>IF(RawData[[#This Row],[Paid/Unpaid]]="Paid", IF(VALUE($E1489)&gt;VALUE($D$3),$K1489* 10000,$K1489* 8000), 0)</f>
        <v>8000</v>
      </c>
      <c r="M1489" s="53" t="s">
        <v>146</v>
      </c>
    </row>
    <row r="1490" spans="1:13" ht="12.75" customHeight="1" x14ac:dyDescent="0.3">
      <c r="A1490" s="143" t="s">
        <v>15</v>
      </c>
      <c r="B1490" s="139" t="str">
        <f>IFERROR(VLOOKUP($A1490, NameDesignation[], 2,FALSE), " ")</f>
        <v>Former Director</v>
      </c>
      <c r="C1490" s="139" t="s">
        <v>29</v>
      </c>
      <c r="D1490" s="139">
        <v>490</v>
      </c>
      <c r="E1490" s="140">
        <v>45364</v>
      </c>
      <c r="F1490" s="139" t="str">
        <f t="shared" si="69"/>
        <v>Q1-24</v>
      </c>
      <c r="G1490" s="140" t="str">
        <f t="shared" si="70"/>
        <v>Mar'24</v>
      </c>
      <c r="H1490" s="140" t="str">
        <f>TEXT(RawData[[#This Row],[Date]], "YYYY")</f>
        <v>2024</v>
      </c>
      <c r="I1490" s="141" t="s">
        <v>32</v>
      </c>
      <c r="J1490" s="141" t="s">
        <v>90</v>
      </c>
      <c r="K1490" s="139">
        <f t="shared" si="71"/>
        <v>1</v>
      </c>
      <c r="L1490" s="142">
        <f>IF(RawData[[#This Row],[Paid/Unpaid]]="Paid", IF(VALUE($E1490)&gt;VALUE($D$3),$K1490* 10000,$K1490* 8000), 0)</f>
        <v>8000</v>
      </c>
      <c r="M1490" s="53" t="s">
        <v>146</v>
      </c>
    </row>
    <row r="1491" spans="1:13" ht="12.75" customHeight="1" x14ac:dyDescent="0.3">
      <c r="A1491" s="143" t="s">
        <v>16</v>
      </c>
      <c r="B1491" s="139" t="str">
        <f>IFERROR(VLOOKUP($A1491, NameDesignation[], 2,FALSE), " ")</f>
        <v>Former Director</v>
      </c>
      <c r="C1491" s="139" t="s">
        <v>29</v>
      </c>
      <c r="D1491" s="139">
        <v>490</v>
      </c>
      <c r="E1491" s="140">
        <v>45364</v>
      </c>
      <c r="F1491" s="139" t="str">
        <f t="shared" si="69"/>
        <v>Q1-24</v>
      </c>
      <c r="G1491" s="140" t="str">
        <f t="shared" si="70"/>
        <v>Mar'24</v>
      </c>
      <c r="H1491" s="140" t="str">
        <f>TEXT(RawData[[#This Row],[Date]], "YYYY")</f>
        <v>2024</v>
      </c>
      <c r="I1491" s="141" t="s">
        <v>32</v>
      </c>
      <c r="J1491" s="141" t="s">
        <v>90</v>
      </c>
      <c r="K1491" s="139">
        <f t="shared" si="71"/>
        <v>1</v>
      </c>
      <c r="L1491" s="142">
        <f>IF(RawData[[#This Row],[Paid/Unpaid]]="Paid", IF(VALUE($E1491)&gt;VALUE($D$3),$K1491* 10000,$K1491* 8000), 0)</f>
        <v>8000</v>
      </c>
      <c r="M1491" s="53" t="s">
        <v>146</v>
      </c>
    </row>
    <row r="1492" spans="1:13" ht="12.75" customHeight="1" x14ac:dyDescent="0.3">
      <c r="A1492" s="143" t="s">
        <v>21</v>
      </c>
      <c r="B1492" s="139" t="str">
        <f>IFERROR(VLOOKUP($A1492, NameDesignation[], 2,FALSE), " ")</f>
        <v>Former Independent Director</v>
      </c>
      <c r="C1492" s="139" t="s">
        <v>29</v>
      </c>
      <c r="D1492" s="139">
        <v>490</v>
      </c>
      <c r="E1492" s="140">
        <v>45364</v>
      </c>
      <c r="F1492" s="139" t="str">
        <f t="shared" si="69"/>
        <v>Q1-24</v>
      </c>
      <c r="G1492" s="140" t="str">
        <f t="shared" si="70"/>
        <v>Mar'24</v>
      </c>
      <c r="H1492" s="140" t="str">
        <f>TEXT(RawData[[#This Row],[Date]], "YYYY")</f>
        <v>2024</v>
      </c>
      <c r="I1492" s="141" t="s">
        <v>32</v>
      </c>
      <c r="J1492" s="141" t="s">
        <v>90</v>
      </c>
      <c r="K1492" s="139">
        <f t="shared" si="71"/>
        <v>1</v>
      </c>
      <c r="L1492" s="142">
        <f>IF(RawData[[#This Row],[Paid/Unpaid]]="Paid", IF(VALUE($E1492)&gt;VALUE($D$3),$K1492* 10000,$K1492* 8000), 0)</f>
        <v>8000</v>
      </c>
      <c r="M1492" s="53" t="s">
        <v>146</v>
      </c>
    </row>
    <row r="1493" spans="1:13" ht="12.75" customHeight="1" x14ac:dyDescent="0.3">
      <c r="A1493" s="143" t="s">
        <v>17</v>
      </c>
      <c r="B1493" s="139" t="str">
        <f>IFERROR(VLOOKUP($A1493, NameDesignation[], 2,FALSE), " ")</f>
        <v>Former Independent Director</v>
      </c>
      <c r="C1493" s="139" t="s">
        <v>29</v>
      </c>
      <c r="D1493" s="139">
        <v>490</v>
      </c>
      <c r="E1493" s="140">
        <v>45364</v>
      </c>
      <c r="F1493" s="139" t="str">
        <f t="shared" si="69"/>
        <v>Q1-24</v>
      </c>
      <c r="G1493" s="140" t="str">
        <f t="shared" si="70"/>
        <v>Mar'24</v>
      </c>
      <c r="H1493" s="140" t="str">
        <f>TEXT(RawData[[#This Row],[Date]], "YYYY")</f>
        <v>2024</v>
      </c>
      <c r="I1493" s="141" t="s">
        <v>32</v>
      </c>
      <c r="J1493" s="141" t="s">
        <v>90</v>
      </c>
      <c r="K1493" s="139">
        <f t="shared" si="71"/>
        <v>1</v>
      </c>
      <c r="L1493" s="142">
        <f>IF(RawData[[#This Row],[Paid/Unpaid]]="Paid", IF(VALUE($E1493)&gt;VALUE($D$3),$K1493* 10000,$K1493* 8000), 0)</f>
        <v>8000</v>
      </c>
      <c r="M1493" s="53" t="s">
        <v>146</v>
      </c>
    </row>
    <row r="1494" spans="1:13" ht="12.75" customHeight="1" x14ac:dyDescent="0.3">
      <c r="A1494" s="143" t="s">
        <v>131</v>
      </c>
      <c r="B1494" s="139" t="str">
        <f>IFERROR(VLOOKUP($A1494, NameDesignation[], 2,FALSE), " ")</f>
        <v>Former Independent Director</v>
      </c>
      <c r="C1494" s="139" t="s">
        <v>29</v>
      </c>
      <c r="D1494" s="139">
        <v>490</v>
      </c>
      <c r="E1494" s="140">
        <v>45364</v>
      </c>
      <c r="F1494" s="139" t="str">
        <f t="shared" si="69"/>
        <v>Q1-24</v>
      </c>
      <c r="G1494" s="140" t="str">
        <f t="shared" si="70"/>
        <v>Mar'24</v>
      </c>
      <c r="H1494" s="140" t="str">
        <f>TEXT(RawData[[#This Row],[Date]], "YYYY")</f>
        <v>2024</v>
      </c>
      <c r="I1494" s="141" t="s">
        <v>32</v>
      </c>
      <c r="J1494" s="141" t="s">
        <v>90</v>
      </c>
      <c r="K1494" s="139">
        <f t="shared" si="71"/>
        <v>1</v>
      </c>
      <c r="L1494" s="142">
        <f>IF(RawData[[#This Row],[Paid/Unpaid]]="Paid", IF(VALUE($E1494)&gt;VALUE($D$3),$K1494* 10000,$K1494* 8000), 0)</f>
        <v>8000</v>
      </c>
      <c r="M1494" s="53" t="s">
        <v>146</v>
      </c>
    </row>
    <row r="1495" spans="1:13" ht="12.75" customHeight="1" x14ac:dyDescent="0.3">
      <c r="A1495" s="143" t="s">
        <v>34</v>
      </c>
      <c r="B1495" s="139" t="str">
        <f>IFERROR(VLOOKUP($A1495, NameDesignation[], 2,FALSE), " ")</f>
        <v>Former Managing Director &amp; CEO</v>
      </c>
      <c r="C1495" s="139" t="s">
        <v>29</v>
      </c>
      <c r="D1495" s="139">
        <v>490</v>
      </c>
      <c r="E1495" s="140">
        <v>45364</v>
      </c>
      <c r="F1495" s="139" t="str">
        <f t="shared" si="69"/>
        <v>Q1-24</v>
      </c>
      <c r="G1495" s="140" t="str">
        <f t="shared" si="70"/>
        <v>Mar'24</v>
      </c>
      <c r="H1495" s="140" t="str">
        <f>TEXT(RawData[[#This Row],[Date]], "YYYY")</f>
        <v>2024</v>
      </c>
      <c r="I1495" s="141" t="s">
        <v>32</v>
      </c>
      <c r="J1495" s="141" t="s">
        <v>90</v>
      </c>
      <c r="K1495" s="139">
        <f t="shared" si="71"/>
        <v>1</v>
      </c>
      <c r="L1495" s="142">
        <f>IF(RawData[[#This Row],[Paid/Unpaid]]="Paid", IF(VALUE($E1495)&gt;VALUE($D$3),$K1495* 10000,$K1495* 8000), 0)</f>
        <v>8000</v>
      </c>
      <c r="M1495" s="53" t="s">
        <v>146</v>
      </c>
    </row>
    <row r="1496" spans="1:13" ht="12.75" customHeight="1" x14ac:dyDescent="0.3">
      <c r="A1496" s="143" t="s">
        <v>20</v>
      </c>
      <c r="B1496" s="139" t="str">
        <f>IFERROR(VLOOKUP($A1496, NameDesignation[], 2,FALSE), " ")</f>
        <v>Former Independent Director</v>
      </c>
      <c r="C1496" s="139" t="s">
        <v>37</v>
      </c>
      <c r="D1496" s="139">
        <v>134</v>
      </c>
      <c r="E1496" s="140">
        <v>45370</v>
      </c>
      <c r="F1496" s="139" t="str">
        <f t="shared" si="69"/>
        <v>Q1-24</v>
      </c>
      <c r="G1496" s="140" t="str">
        <f t="shared" si="70"/>
        <v>Mar'24</v>
      </c>
      <c r="H1496" s="140" t="str">
        <f>TEXT(RawData[[#This Row],[Date]], "YYYY")</f>
        <v>2024</v>
      </c>
      <c r="I1496" s="141" t="s">
        <v>32</v>
      </c>
      <c r="J1496" s="141" t="s">
        <v>90</v>
      </c>
      <c r="K1496" s="139">
        <f t="shared" si="71"/>
        <v>1</v>
      </c>
      <c r="L1496" s="142">
        <f>IF(RawData[[#This Row],[Paid/Unpaid]]="Paid", IF(VALUE($E1496)&gt;VALUE($D$3),$K1496* 10000,$K1496* 8000), 0)</f>
        <v>10000</v>
      </c>
      <c r="M1496" s="53" t="s">
        <v>146</v>
      </c>
    </row>
    <row r="1497" spans="1:13" ht="12.75" customHeight="1" x14ac:dyDescent="0.3">
      <c r="A1497" s="143" t="s">
        <v>23</v>
      </c>
      <c r="B1497" s="139" t="str">
        <f>IFERROR(VLOOKUP($A1497, NameDesignation[], 2,FALSE), " ")</f>
        <v>Former Director</v>
      </c>
      <c r="C1497" s="139" t="s">
        <v>37</v>
      </c>
      <c r="D1497" s="139">
        <v>134</v>
      </c>
      <c r="E1497" s="140">
        <v>45370</v>
      </c>
      <c r="F1497" s="139" t="str">
        <f t="shared" si="69"/>
        <v>Q1-24</v>
      </c>
      <c r="G1497" s="140" t="str">
        <f t="shared" si="70"/>
        <v>Mar'24</v>
      </c>
      <c r="H1497" s="140" t="str">
        <f>TEXT(RawData[[#This Row],[Date]], "YYYY")</f>
        <v>2024</v>
      </c>
      <c r="I1497" s="141" t="s">
        <v>32</v>
      </c>
      <c r="J1497" s="141" t="s">
        <v>90</v>
      </c>
      <c r="K1497" s="139">
        <f t="shared" si="71"/>
        <v>1</v>
      </c>
      <c r="L1497" s="142">
        <f>IF(RawData[[#This Row],[Paid/Unpaid]]="Paid", IF(VALUE($E1497)&gt;VALUE($D$3),$K1497* 10000,$K1497* 8000), 0)</f>
        <v>10000</v>
      </c>
      <c r="M1497" s="53" t="s">
        <v>146</v>
      </c>
    </row>
    <row r="1498" spans="1:13" ht="12.75" customHeight="1" x14ac:dyDescent="0.3">
      <c r="A1498" s="143" t="s">
        <v>24</v>
      </c>
      <c r="B1498" s="139" t="str">
        <f>IFERROR(VLOOKUP($A1498, NameDesignation[], 2,FALSE), " ")</f>
        <v>Former Director</v>
      </c>
      <c r="C1498" s="139" t="s">
        <v>37</v>
      </c>
      <c r="D1498" s="139">
        <v>134</v>
      </c>
      <c r="E1498" s="140">
        <v>45370</v>
      </c>
      <c r="F1498" s="139" t="str">
        <f t="shared" si="69"/>
        <v>Q1-24</v>
      </c>
      <c r="G1498" s="140" t="str">
        <f t="shared" si="70"/>
        <v>Mar'24</v>
      </c>
      <c r="H1498" s="140" t="str">
        <f>TEXT(RawData[[#This Row],[Date]], "YYYY")</f>
        <v>2024</v>
      </c>
      <c r="I1498" s="141" t="s">
        <v>32</v>
      </c>
      <c r="J1498" s="141" t="s">
        <v>90</v>
      </c>
      <c r="K1498" s="139">
        <f t="shared" si="71"/>
        <v>1</v>
      </c>
      <c r="L1498" s="142">
        <f>IF(RawData[[#This Row],[Paid/Unpaid]]="Paid", IF(VALUE($E1498)&gt;VALUE($D$3),$K1498* 10000,$K1498* 8000), 0)</f>
        <v>10000</v>
      </c>
      <c r="M1498" s="53" t="s">
        <v>146</v>
      </c>
    </row>
    <row r="1499" spans="1:13" ht="12.75" customHeight="1" x14ac:dyDescent="0.3">
      <c r="A1499" s="143" t="s">
        <v>21</v>
      </c>
      <c r="B1499" s="139" t="str">
        <f>IFERROR(VLOOKUP($A1499, NameDesignation[], 2,FALSE), " ")</f>
        <v>Former Independent Director</v>
      </c>
      <c r="C1499" s="139" t="s">
        <v>37</v>
      </c>
      <c r="D1499" s="139">
        <v>134</v>
      </c>
      <c r="E1499" s="140">
        <v>45370</v>
      </c>
      <c r="F1499" s="139" t="str">
        <f t="shared" si="69"/>
        <v>Q1-24</v>
      </c>
      <c r="G1499" s="140" t="str">
        <f t="shared" si="70"/>
        <v>Mar'24</v>
      </c>
      <c r="H1499" s="140" t="str">
        <f>TEXT(RawData[[#This Row],[Date]], "YYYY")</f>
        <v>2024</v>
      </c>
      <c r="I1499" s="141" t="s">
        <v>32</v>
      </c>
      <c r="J1499" s="141" t="s">
        <v>90</v>
      </c>
      <c r="K1499" s="139">
        <f t="shared" si="71"/>
        <v>1</v>
      </c>
      <c r="L1499" s="142">
        <f>IF(RawData[[#This Row],[Paid/Unpaid]]="Paid", IF(VALUE($E1499)&gt;VALUE($D$3),$K1499* 10000,$K1499* 8000), 0)</f>
        <v>10000</v>
      </c>
      <c r="M1499" s="53" t="s">
        <v>146</v>
      </c>
    </row>
    <row r="1500" spans="1:13" ht="12.75" customHeight="1" x14ac:dyDescent="0.3">
      <c r="A1500" s="143" t="s">
        <v>15</v>
      </c>
      <c r="B1500" s="139" t="str">
        <f>IFERROR(VLOOKUP($A1500, NameDesignation[], 2,FALSE), " ")</f>
        <v>Former Director</v>
      </c>
      <c r="C1500" s="139" t="s">
        <v>37</v>
      </c>
      <c r="D1500" s="139">
        <v>134</v>
      </c>
      <c r="E1500" s="140">
        <v>45370</v>
      </c>
      <c r="F1500" s="139" t="str">
        <f t="shared" si="69"/>
        <v>Q1-24</v>
      </c>
      <c r="G1500" s="140" t="str">
        <f t="shared" si="70"/>
        <v>Mar'24</v>
      </c>
      <c r="H1500" s="140" t="str">
        <f>TEXT(RawData[[#This Row],[Date]], "YYYY")</f>
        <v>2024</v>
      </c>
      <c r="I1500" s="141" t="s">
        <v>32</v>
      </c>
      <c r="J1500" s="141" t="s">
        <v>90</v>
      </c>
      <c r="K1500" s="139">
        <f t="shared" si="71"/>
        <v>1</v>
      </c>
      <c r="L1500" s="142">
        <f>IF(RawData[[#This Row],[Paid/Unpaid]]="Paid", IF(VALUE($E1500)&gt;VALUE($D$3),$K1500* 10000,$K1500* 8000), 0)</f>
        <v>10000</v>
      </c>
      <c r="M1500" s="53" t="s">
        <v>146</v>
      </c>
    </row>
    <row r="1501" spans="1:13" ht="12.75" customHeight="1" x14ac:dyDescent="0.3">
      <c r="A1501" s="143" t="s">
        <v>9</v>
      </c>
      <c r="B1501" s="139" t="str">
        <f>IFERROR(VLOOKUP($A1501, NameDesignation[], 2,FALSE), " ")</f>
        <v>Former Director</v>
      </c>
      <c r="C1501" s="139" t="s">
        <v>30</v>
      </c>
      <c r="D1501" s="139">
        <v>468</v>
      </c>
      <c r="E1501" s="140">
        <v>45383</v>
      </c>
      <c r="F1501" s="139" t="str">
        <f t="shared" si="69"/>
        <v>Q2-24</v>
      </c>
      <c r="G1501" s="140" t="str">
        <f t="shared" si="70"/>
        <v>Apr'24</v>
      </c>
      <c r="H1501" s="140" t="str">
        <f>TEXT(RawData[[#This Row],[Date]], "YYYY")</f>
        <v>2024</v>
      </c>
      <c r="I1501" s="141" t="s">
        <v>32</v>
      </c>
      <c r="J1501" s="141" t="s">
        <v>90</v>
      </c>
      <c r="K1501" s="139">
        <f t="shared" si="71"/>
        <v>1</v>
      </c>
      <c r="L1501" s="142">
        <f>IF(RawData[[#This Row],[Paid/Unpaid]]="Paid", IF(VALUE($E1501)&gt;VALUE($D$3),$K1501* 10000,$K1501* 8000), 0)</f>
        <v>10000</v>
      </c>
      <c r="M1501" s="53" t="s">
        <v>146</v>
      </c>
    </row>
    <row r="1502" spans="1:13" ht="12.75" customHeight="1" x14ac:dyDescent="0.3">
      <c r="A1502" s="143" t="s">
        <v>8</v>
      </c>
      <c r="B1502" s="139" t="str">
        <f>IFERROR(VLOOKUP($A1502, NameDesignation[], 2,FALSE), " ")</f>
        <v>Former Vice-Chairman</v>
      </c>
      <c r="C1502" s="139" t="s">
        <v>30</v>
      </c>
      <c r="D1502" s="139">
        <v>468</v>
      </c>
      <c r="E1502" s="140">
        <v>45383</v>
      </c>
      <c r="F1502" s="139" t="str">
        <f t="shared" si="69"/>
        <v>Q2-24</v>
      </c>
      <c r="G1502" s="140" t="str">
        <f t="shared" si="70"/>
        <v>Apr'24</v>
      </c>
      <c r="H1502" s="140" t="str">
        <f>TEXT(RawData[[#This Row],[Date]], "YYYY")</f>
        <v>2024</v>
      </c>
      <c r="I1502" s="141" t="s">
        <v>32</v>
      </c>
      <c r="J1502" s="141" t="s">
        <v>90</v>
      </c>
      <c r="K1502" s="139">
        <f t="shared" si="71"/>
        <v>1</v>
      </c>
      <c r="L1502" s="142">
        <f>IF(RawData[[#This Row],[Paid/Unpaid]]="Paid", IF(VALUE($E1502)&gt;VALUE($D$3),$K1502* 10000,$K1502* 8000), 0)</f>
        <v>10000</v>
      </c>
      <c r="M1502" s="53" t="s">
        <v>146</v>
      </c>
    </row>
    <row r="1503" spans="1:13" ht="12.75" customHeight="1" x14ac:dyDescent="0.3">
      <c r="A1503" s="143" t="s">
        <v>49</v>
      </c>
      <c r="B1503" s="139" t="str">
        <f>IFERROR(VLOOKUP($A1503, NameDesignation[], 2,FALSE), " ")</f>
        <v>Former Director</v>
      </c>
      <c r="C1503" s="139" t="s">
        <v>30</v>
      </c>
      <c r="D1503" s="139">
        <v>468</v>
      </c>
      <c r="E1503" s="140">
        <v>45383</v>
      </c>
      <c r="F1503" s="139" t="str">
        <f t="shared" si="69"/>
        <v>Q2-24</v>
      </c>
      <c r="G1503" s="140" t="str">
        <f t="shared" si="70"/>
        <v>Apr'24</v>
      </c>
      <c r="H1503" s="140" t="str">
        <f>TEXT(RawData[[#This Row],[Date]], "YYYY")</f>
        <v>2024</v>
      </c>
      <c r="I1503" s="141" t="s">
        <v>32</v>
      </c>
      <c r="J1503" s="141" t="s">
        <v>90</v>
      </c>
      <c r="K1503" s="139">
        <f t="shared" si="71"/>
        <v>1</v>
      </c>
      <c r="L1503" s="142">
        <f>IF(RawData[[#This Row],[Paid/Unpaid]]="Paid", IF(VALUE($E1503)&gt;VALUE($D$3),$K1503* 10000,$K1503* 8000), 0)</f>
        <v>10000</v>
      </c>
      <c r="M1503" s="53" t="s">
        <v>146</v>
      </c>
    </row>
    <row r="1504" spans="1:13" ht="12.75" customHeight="1" x14ac:dyDescent="0.3">
      <c r="A1504" s="143" t="s">
        <v>11</v>
      </c>
      <c r="B1504" s="139" t="str">
        <f>IFERROR(VLOOKUP($A1504, NameDesignation[], 2,FALSE), " ")</f>
        <v>Former Director</v>
      </c>
      <c r="C1504" s="139" t="s">
        <v>30</v>
      </c>
      <c r="D1504" s="139">
        <v>468</v>
      </c>
      <c r="E1504" s="140">
        <v>45383</v>
      </c>
      <c r="F1504" s="139" t="str">
        <f t="shared" si="69"/>
        <v>Q2-24</v>
      </c>
      <c r="G1504" s="140" t="str">
        <f t="shared" si="70"/>
        <v>Apr'24</v>
      </c>
      <c r="H1504" s="140" t="str">
        <f>TEXT(RawData[[#This Row],[Date]], "YYYY")</f>
        <v>2024</v>
      </c>
      <c r="I1504" s="141" t="s">
        <v>32</v>
      </c>
      <c r="J1504" s="141" t="s">
        <v>90</v>
      </c>
      <c r="K1504" s="139">
        <f t="shared" si="71"/>
        <v>1</v>
      </c>
      <c r="L1504" s="142">
        <f>IF(RawData[[#This Row],[Paid/Unpaid]]="Paid", IF(VALUE($E1504)&gt;VALUE($D$3),$K1504* 10000,$K1504* 8000), 0)</f>
        <v>10000</v>
      </c>
      <c r="M1504" s="53" t="s">
        <v>146</v>
      </c>
    </row>
    <row r="1505" spans="1:13" ht="12.75" customHeight="1" x14ac:dyDescent="0.3">
      <c r="A1505" s="143" t="s">
        <v>12</v>
      </c>
      <c r="B1505" s="139" t="str">
        <f>IFERROR(VLOOKUP($A1505, NameDesignation[], 2,FALSE), " ")</f>
        <v>Former Director</v>
      </c>
      <c r="C1505" s="139" t="s">
        <v>30</v>
      </c>
      <c r="D1505" s="139">
        <v>468</v>
      </c>
      <c r="E1505" s="140">
        <v>45383</v>
      </c>
      <c r="F1505" s="139" t="str">
        <f t="shared" si="69"/>
        <v>Q2-24</v>
      </c>
      <c r="G1505" s="140" t="str">
        <f t="shared" si="70"/>
        <v>Apr'24</v>
      </c>
      <c r="H1505" s="140" t="str">
        <f>TEXT(RawData[[#This Row],[Date]], "YYYY")</f>
        <v>2024</v>
      </c>
      <c r="I1505" s="141" t="s">
        <v>32</v>
      </c>
      <c r="J1505" s="141" t="s">
        <v>90</v>
      </c>
      <c r="K1505" s="139">
        <f t="shared" si="71"/>
        <v>1</v>
      </c>
      <c r="L1505" s="142">
        <f>IF(RawData[[#This Row],[Paid/Unpaid]]="Paid", IF(VALUE($E1505)&gt;VALUE($D$3),$K1505* 10000,$K1505* 8000), 0)</f>
        <v>10000</v>
      </c>
      <c r="M1505" s="53" t="s">
        <v>146</v>
      </c>
    </row>
    <row r="1506" spans="1:13" ht="12.75" customHeight="1" x14ac:dyDescent="0.3">
      <c r="A1506" s="143" t="s">
        <v>137</v>
      </c>
      <c r="B1506" s="139" t="str">
        <f>IFERROR(VLOOKUP($A1506, NameDesignation[], 2,FALSE), " ")</f>
        <v>Former Director</v>
      </c>
      <c r="C1506" s="139" t="s">
        <v>30</v>
      </c>
      <c r="D1506" s="139">
        <v>468</v>
      </c>
      <c r="E1506" s="140">
        <v>45383</v>
      </c>
      <c r="F1506" s="139" t="str">
        <f t="shared" si="69"/>
        <v>Q2-24</v>
      </c>
      <c r="G1506" s="140" t="str">
        <f t="shared" si="70"/>
        <v>Apr'24</v>
      </c>
      <c r="H1506" s="140" t="str">
        <f>TEXT(RawData[[#This Row],[Date]], "YYYY")</f>
        <v>2024</v>
      </c>
      <c r="I1506" s="141" t="s">
        <v>32</v>
      </c>
      <c r="J1506" s="141" t="s">
        <v>90</v>
      </c>
      <c r="K1506" s="139">
        <f t="shared" si="71"/>
        <v>1</v>
      </c>
      <c r="L1506" s="142">
        <f>IF(RawData[[#This Row],[Paid/Unpaid]]="Paid", IF(VALUE($E1506)&gt;VALUE($D$3),$K1506* 10000,$K1506* 8000), 0)</f>
        <v>10000</v>
      </c>
      <c r="M1506" s="53" t="s">
        <v>146</v>
      </c>
    </row>
    <row r="1507" spans="1:13" ht="12.75" customHeight="1" x14ac:dyDescent="0.3">
      <c r="A1507" s="143" t="s">
        <v>13</v>
      </c>
      <c r="B1507" s="139" t="str">
        <f>IFERROR(VLOOKUP($A1507, NameDesignation[], 2,FALSE), " ")</f>
        <v>Former Director</v>
      </c>
      <c r="C1507" s="139" t="s">
        <v>30</v>
      </c>
      <c r="D1507" s="139">
        <v>468</v>
      </c>
      <c r="E1507" s="140">
        <v>45383</v>
      </c>
      <c r="F1507" s="139" t="str">
        <f t="shared" si="69"/>
        <v>Q2-24</v>
      </c>
      <c r="G1507" s="140" t="str">
        <f t="shared" si="70"/>
        <v>Apr'24</v>
      </c>
      <c r="H1507" s="140" t="str">
        <f>TEXT(RawData[[#This Row],[Date]], "YYYY")</f>
        <v>2024</v>
      </c>
      <c r="I1507" s="141" t="s">
        <v>32</v>
      </c>
      <c r="J1507" s="141" t="s">
        <v>90</v>
      </c>
      <c r="K1507" s="139">
        <f t="shared" si="71"/>
        <v>1</v>
      </c>
      <c r="L1507" s="142">
        <f>IF(RawData[[#This Row],[Paid/Unpaid]]="Paid", IF(VALUE($E1507)&gt;VALUE($D$3),$K1507* 10000,$K1507* 8000), 0)</f>
        <v>10000</v>
      </c>
      <c r="M1507" s="53" t="s">
        <v>146</v>
      </c>
    </row>
    <row r="1508" spans="1:13" ht="12.75" customHeight="1" x14ac:dyDescent="0.3">
      <c r="A1508" s="143" t="s">
        <v>34</v>
      </c>
      <c r="B1508" s="139" t="str">
        <f>IFERROR(VLOOKUP($A1508, NameDesignation[], 2,FALSE), " ")</f>
        <v>Former Managing Director &amp; CEO</v>
      </c>
      <c r="C1508" s="139" t="s">
        <v>30</v>
      </c>
      <c r="D1508" s="139">
        <v>468</v>
      </c>
      <c r="E1508" s="140">
        <v>45383</v>
      </c>
      <c r="F1508" s="139" t="str">
        <f t="shared" si="69"/>
        <v>Q2-24</v>
      </c>
      <c r="G1508" s="140" t="str">
        <f t="shared" si="70"/>
        <v>Apr'24</v>
      </c>
      <c r="H1508" s="140" t="str">
        <f>TEXT(RawData[[#This Row],[Date]], "YYYY")</f>
        <v>2024</v>
      </c>
      <c r="I1508" s="141" t="s">
        <v>32</v>
      </c>
      <c r="J1508" s="141" t="s">
        <v>90</v>
      </c>
      <c r="K1508" s="139">
        <f t="shared" si="71"/>
        <v>1</v>
      </c>
      <c r="L1508" s="142">
        <f>IF(RawData[[#This Row],[Paid/Unpaid]]="Paid", IF(VALUE($E1508)&gt;VALUE($D$3),$K1508* 10000,$K1508* 8000), 0)</f>
        <v>10000</v>
      </c>
      <c r="M1508" s="53" t="s">
        <v>146</v>
      </c>
    </row>
    <row r="1509" spans="1:13" ht="12.75" customHeight="1" x14ac:dyDescent="0.3">
      <c r="A1509" s="143" t="s">
        <v>49</v>
      </c>
      <c r="B1509" s="139" t="str">
        <f>IFERROR(VLOOKUP($A1509, NameDesignation[], 2,FALSE), " ")</f>
        <v>Former Director</v>
      </c>
      <c r="C1509" s="139" t="s">
        <v>38</v>
      </c>
      <c r="D1509" s="139">
        <v>42</v>
      </c>
      <c r="E1509" s="140">
        <v>45383</v>
      </c>
      <c r="F1509" s="139" t="str">
        <f t="shared" si="69"/>
        <v>Q2-24</v>
      </c>
      <c r="G1509" s="140" t="str">
        <f t="shared" si="70"/>
        <v>Apr'24</v>
      </c>
      <c r="H1509" s="140" t="str">
        <f>TEXT(RawData[[#This Row],[Date]], "YYYY")</f>
        <v>2024</v>
      </c>
      <c r="I1509" s="141" t="s">
        <v>32</v>
      </c>
      <c r="J1509" s="141" t="s">
        <v>90</v>
      </c>
      <c r="K1509" s="139">
        <f t="shared" si="71"/>
        <v>1</v>
      </c>
      <c r="L1509" s="142">
        <f>IF(RawData[[#This Row],[Paid/Unpaid]]="Paid", IF(VALUE($E1509)&gt;VALUE($D$3),$K1509* 10000,$K1509* 8000), 0)</f>
        <v>10000</v>
      </c>
      <c r="M1509" s="53" t="s">
        <v>146</v>
      </c>
    </row>
    <row r="1510" spans="1:13" ht="12.75" customHeight="1" x14ac:dyDescent="0.3">
      <c r="A1510" s="143" t="s">
        <v>9</v>
      </c>
      <c r="B1510" s="139" t="str">
        <f>IFERROR(VLOOKUP($A1510, NameDesignation[], 2,FALSE), " ")</f>
        <v>Former Director</v>
      </c>
      <c r="C1510" s="139" t="s">
        <v>38</v>
      </c>
      <c r="D1510" s="139">
        <v>42</v>
      </c>
      <c r="E1510" s="140">
        <v>45383</v>
      </c>
      <c r="F1510" s="139" t="str">
        <f t="shared" si="69"/>
        <v>Q2-24</v>
      </c>
      <c r="G1510" s="140" t="str">
        <f t="shared" si="70"/>
        <v>Apr'24</v>
      </c>
      <c r="H1510" s="140" t="str">
        <f>TEXT(RawData[[#This Row],[Date]], "YYYY")</f>
        <v>2024</v>
      </c>
      <c r="I1510" s="141" t="s">
        <v>32</v>
      </c>
      <c r="J1510" s="141" t="s">
        <v>90</v>
      </c>
      <c r="K1510" s="139">
        <f t="shared" si="71"/>
        <v>1</v>
      </c>
      <c r="L1510" s="142">
        <f>IF(RawData[[#This Row],[Paid/Unpaid]]="Paid", IF(VALUE($E1510)&gt;VALUE($D$3),$K1510* 10000,$K1510* 8000), 0)</f>
        <v>10000</v>
      </c>
      <c r="M1510" s="53" t="s">
        <v>146</v>
      </c>
    </row>
    <row r="1511" spans="1:13" ht="12.75" customHeight="1" x14ac:dyDescent="0.3">
      <c r="A1511" s="143" t="s">
        <v>12</v>
      </c>
      <c r="B1511" s="139" t="str">
        <f>IFERROR(VLOOKUP($A1511, NameDesignation[], 2,FALSE), " ")</f>
        <v>Former Director</v>
      </c>
      <c r="C1511" s="139" t="s">
        <v>38</v>
      </c>
      <c r="D1511" s="139">
        <v>42</v>
      </c>
      <c r="E1511" s="140">
        <v>45383</v>
      </c>
      <c r="F1511" s="139" t="str">
        <f t="shared" si="69"/>
        <v>Q2-24</v>
      </c>
      <c r="G1511" s="140" t="str">
        <f t="shared" si="70"/>
        <v>Apr'24</v>
      </c>
      <c r="H1511" s="140" t="str">
        <f>TEXT(RawData[[#This Row],[Date]], "YYYY")</f>
        <v>2024</v>
      </c>
      <c r="I1511" s="141" t="s">
        <v>32</v>
      </c>
      <c r="J1511" s="141" t="s">
        <v>90</v>
      </c>
      <c r="K1511" s="139">
        <f t="shared" si="71"/>
        <v>1</v>
      </c>
      <c r="L1511" s="142">
        <f>IF(RawData[[#This Row],[Paid/Unpaid]]="Paid", IF(VALUE($E1511)&gt;VALUE($D$3),$K1511* 10000,$K1511* 8000), 0)</f>
        <v>10000</v>
      </c>
      <c r="M1511" s="53" t="s">
        <v>146</v>
      </c>
    </row>
    <row r="1512" spans="1:13" ht="12.75" customHeight="1" x14ac:dyDescent="0.3">
      <c r="A1512" s="143" t="s">
        <v>61</v>
      </c>
      <c r="B1512" s="139" t="str">
        <f>IFERROR(VLOOKUP($A1512, NameDesignation[], 2,FALSE), " ")</f>
        <v>Former Director</v>
      </c>
      <c r="C1512" s="139" t="s">
        <v>38</v>
      </c>
      <c r="D1512" s="139">
        <v>42</v>
      </c>
      <c r="E1512" s="140">
        <v>45383</v>
      </c>
      <c r="F1512" s="139" t="str">
        <f t="shared" si="69"/>
        <v>Q2-24</v>
      </c>
      <c r="G1512" s="140" t="str">
        <f t="shared" si="70"/>
        <v>Apr'24</v>
      </c>
      <c r="H1512" s="140" t="str">
        <f>TEXT(RawData[[#This Row],[Date]], "YYYY")</f>
        <v>2024</v>
      </c>
      <c r="I1512" s="141" t="s">
        <v>32</v>
      </c>
      <c r="J1512" s="141" t="s">
        <v>90</v>
      </c>
      <c r="K1512" s="139">
        <f t="shared" si="71"/>
        <v>1</v>
      </c>
      <c r="L1512" s="142">
        <f>IF(RawData[[#This Row],[Paid/Unpaid]]="Paid", IF(VALUE($E1512)&gt;VALUE($D$3),$K1512* 10000,$K1512* 8000), 0)</f>
        <v>10000</v>
      </c>
      <c r="M1512" s="53" t="s">
        <v>146</v>
      </c>
    </row>
    <row r="1513" spans="1:13" ht="12.75" customHeight="1" x14ac:dyDescent="0.3">
      <c r="A1513" s="143" t="s">
        <v>17</v>
      </c>
      <c r="B1513" s="139" t="str">
        <f>IFERROR(VLOOKUP($A1513, NameDesignation[], 2,FALSE), " ")</f>
        <v>Former Independent Director</v>
      </c>
      <c r="C1513" s="139" t="s">
        <v>38</v>
      </c>
      <c r="D1513" s="139">
        <v>42</v>
      </c>
      <c r="E1513" s="140">
        <v>45383</v>
      </c>
      <c r="F1513" s="139" t="str">
        <f t="shared" si="69"/>
        <v>Q2-24</v>
      </c>
      <c r="G1513" s="140" t="str">
        <f t="shared" si="70"/>
        <v>Apr'24</v>
      </c>
      <c r="H1513" s="140" t="str">
        <f>TEXT(RawData[[#This Row],[Date]], "YYYY")</f>
        <v>2024</v>
      </c>
      <c r="I1513" s="141" t="s">
        <v>32</v>
      </c>
      <c r="J1513" s="141" t="s">
        <v>90</v>
      </c>
      <c r="K1513" s="139">
        <f t="shared" si="71"/>
        <v>1</v>
      </c>
      <c r="L1513" s="142">
        <f>IF(RawData[[#This Row],[Paid/Unpaid]]="Paid", IF(VALUE($E1513)&gt;VALUE($D$3),$K1513* 10000,$K1513* 8000), 0)</f>
        <v>10000</v>
      </c>
      <c r="M1513" s="53" t="s">
        <v>146</v>
      </c>
    </row>
    <row r="1514" spans="1:13" ht="12.75" customHeight="1" x14ac:dyDescent="0.3">
      <c r="A1514" s="143" t="s">
        <v>7</v>
      </c>
      <c r="B1514" s="139" t="str">
        <f>IFERROR(VLOOKUP($A1514, NameDesignation[], 2,FALSE), " ")</f>
        <v>Former Director</v>
      </c>
      <c r="C1514" s="139" t="s">
        <v>29</v>
      </c>
      <c r="D1514" s="139">
        <v>491</v>
      </c>
      <c r="E1514" s="140">
        <v>45411</v>
      </c>
      <c r="F1514" s="139" t="str">
        <f t="shared" si="69"/>
        <v>Q2-24</v>
      </c>
      <c r="G1514" s="140" t="str">
        <f t="shared" si="70"/>
        <v>Apr'24</v>
      </c>
      <c r="H1514" s="140" t="str">
        <f>TEXT(RawData[[#This Row],[Date]], "YYYY")</f>
        <v>2024</v>
      </c>
      <c r="I1514" s="141" t="s">
        <v>32</v>
      </c>
      <c r="J1514" s="141" t="s">
        <v>90</v>
      </c>
      <c r="K1514" s="139">
        <f t="shared" si="71"/>
        <v>1</v>
      </c>
      <c r="L1514" s="142">
        <f>IF(RawData[[#This Row],[Paid/Unpaid]]="Paid", IF(VALUE($E1514)&gt;VALUE($D$3),$K1514* 10000,$K1514* 8000), 0)</f>
        <v>10000</v>
      </c>
      <c r="M1514" s="53" t="s">
        <v>146</v>
      </c>
    </row>
    <row r="1515" spans="1:13" ht="12.75" customHeight="1" x14ac:dyDescent="0.3">
      <c r="A1515" s="143" t="s">
        <v>8</v>
      </c>
      <c r="B1515" s="139" t="str">
        <f>IFERROR(VLOOKUP($A1515, NameDesignation[], 2,FALSE), " ")</f>
        <v>Former Vice-Chairman</v>
      </c>
      <c r="C1515" s="139" t="s">
        <v>29</v>
      </c>
      <c r="D1515" s="139">
        <v>491</v>
      </c>
      <c r="E1515" s="140">
        <v>45411</v>
      </c>
      <c r="F1515" s="139" t="str">
        <f t="shared" si="69"/>
        <v>Q2-24</v>
      </c>
      <c r="G1515" s="140" t="str">
        <f t="shared" si="70"/>
        <v>Apr'24</v>
      </c>
      <c r="H1515" s="140" t="str">
        <f>TEXT(RawData[[#This Row],[Date]], "YYYY")</f>
        <v>2024</v>
      </c>
      <c r="I1515" s="141" t="s">
        <v>32</v>
      </c>
      <c r="J1515" s="141" t="s">
        <v>91</v>
      </c>
      <c r="K1515" s="139">
        <f t="shared" si="71"/>
        <v>0</v>
      </c>
      <c r="L1515" s="142">
        <f>IF(RawData[[#This Row],[Paid/Unpaid]]="Paid", IF(VALUE($E1515)&gt;VALUE($D$3),$K1515* 10000,$K1515* 8000), 0)</f>
        <v>0</v>
      </c>
      <c r="M1515" s="53" t="s">
        <v>146</v>
      </c>
    </row>
    <row r="1516" spans="1:13" ht="12.75" customHeight="1" x14ac:dyDescent="0.3">
      <c r="A1516" s="143" t="s">
        <v>9</v>
      </c>
      <c r="B1516" s="139" t="str">
        <f>IFERROR(VLOOKUP($A1516, NameDesignation[], 2,FALSE), " ")</f>
        <v>Former Director</v>
      </c>
      <c r="C1516" s="139" t="s">
        <v>29</v>
      </c>
      <c r="D1516" s="139">
        <v>491</v>
      </c>
      <c r="E1516" s="140">
        <v>45411</v>
      </c>
      <c r="F1516" s="139" t="str">
        <f t="shared" si="69"/>
        <v>Q2-24</v>
      </c>
      <c r="G1516" s="140" t="str">
        <f t="shared" si="70"/>
        <v>Apr'24</v>
      </c>
      <c r="H1516" s="140" t="str">
        <f>TEXT(RawData[[#This Row],[Date]], "YYYY")</f>
        <v>2024</v>
      </c>
      <c r="I1516" s="141" t="s">
        <v>32</v>
      </c>
      <c r="J1516" s="141" t="s">
        <v>91</v>
      </c>
      <c r="K1516" s="139">
        <f t="shared" si="71"/>
        <v>0</v>
      </c>
      <c r="L1516" s="142">
        <f>IF(RawData[[#This Row],[Paid/Unpaid]]="Paid", IF(VALUE($E1516)&gt;VALUE($D$3),$K1516* 10000,$K1516* 8000), 0)</f>
        <v>0</v>
      </c>
      <c r="M1516" s="53" t="s">
        <v>146</v>
      </c>
    </row>
    <row r="1517" spans="1:13" ht="12.75" customHeight="1" x14ac:dyDescent="0.3">
      <c r="A1517" s="143" t="s">
        <v>20</v>
      </c>
      <c r="B1517" s="139" t="str">
        <f>IFERROR(VLOOKUP($A1517, NameDesignation[], 2,FALSE), " ")</f>
        <v>Former Independent Director</v>
      </c>
      <c r="C1517" s="139" t="s">
        <v>29</v>
      </c>
      <c r="D1517" s="139">
        <v>491</v>
      </c>
      <c r="E1517" s="140">
        <v>45411</v>
      </c>
      <c r="F1517" s="139" t="str">
        <f t="shared" si="69"/>
        <v>Q2-24</v>
      </c>
      <c r="G1517" s="140" t="str">
        <f t="shared" si="70"/>
        <v>Apr'24</v>
      </c>
      <c r="H1517" s="140" t="str">
        <f>TEXT(RawData[[#This Row],[Date]], "YYYY")</f>
        <v>2024</v>
      </c>
      <c r="I1517" s="141" t="s">
        <v>32</v>
      </c>
      <c r="J1517" s="141" t="s">
        <v>90</v>
      </c>
      <c r="K1517" s="139">
        <f t="shared" si="71"/>
        <v>1</v>
      </c>
      <c r="L1517" s="142">
        <f>IF(RawData[[#This Row],[Paid/Unpaid]]="Paid", IF(VALUE($E1517)&gt;VALUE($D$3),$K1517* 10000,$K1517* 8000), 0)</f>
        <v>10000</v>
      </c>
      <c r="M1517" s="53" t="s">
        <v>146</v>
      </c>
    </row>
    <row r="1518" spans="1:13" ht="12.75" customHeight="1" x14ac:dyDescent="0.3">
      <c r="A1518" s="143" t="s">
        <v>49</v>
      </c>
      <c r="B1518" s="139" t="str">
        <f>IFERROR(VLOOKUP($A1518, NameDesignation[], 2,FALSE), " ")</f>
        <v>Former Director</v>
      </c>
      <c r="C1518" s="139" t="s">
        <v>29</v>
      </c>
      <c r="D1518" s="139">
        <v>491</v>
      </c>
      <c r="E1518" s="140">
        <v>45411</v>
      </c>
      <c r="F1518" s="139" t="str">
        <f t="shared" si="69"/>
        <v>Q2-24</v>
      </c>
      <c r="G1518" s="140" t="str">
        <f t="shared" si="70"/>
        <v>Apr'24</v>
      </c>
      <c r="H1518" s="140" t="str">
        <f>TEXT(RawData[[#This Row],[Date]], "YYYY")</f>
        <v>2024</v>
      </c>
      <c r="I1518" s="141" t="s">
        <v>32</v>
      </c>
      <c r="J1518" s="141" t="s">
        <v>90</v>
      </c>
      <c r="K1518" s="139">
        <f t="shared" si="71"/>
        <v>1</v>
      </c>
      <c r="L1518" s="142">
        <f>IF(RawData[[#This Row],[Paid/Unpaid]]="Paid", IF(VALUE($E1518)&gt;VALUE($D$3),$K1518* 10000,$K1518* 8000), 0)</f>
        <v>10000</v>
      </c>
      <c r="M1518" s="53" t="s">
        <v>146</v>
      </c>
    </row>
    <row r="1519" spans="1:13" ht="12.75" customHeight="1" x14ac:dyDescent="0.3">
      <c r="A1519" s="143" t="s">
        <v>112</v>
      </c>
      <c r="B1519" s="139" t="str">
        <f>IFERROR(VLOOKUP($A1519, NameDesignation[], 2,FALSE), " ")</f>
        <v>Former Director</v>
      </c>
      <c r="C1519" s="139" t="s">
        <v>29</v>
      </c>
      <c r="D1519" s="139">
        <v>491</v>
      </c>
      <c r="E1519" s="140">
        <v>45411</v>
      </c>
      <c r="F1519" s="139" t="str">
        <f t="shared" si="69"/>
        <v>Q2-24</v>
      </c>
      <c r="G1519" s="140" t="str">
        <f t="shared" si="70"/>
        <v>Apr'24</v>
      </c>
      <c r="H1519" s="140" t="str">
        <f>TEXT(RawData[[#This Row],[Date]], "YYYY")</f>
        <v>2024</v>
      </c>
      <c r="I1519" s="141" t="s">
        <v>32</v>
      </c>
      <c r="J1519" s="141" t="s">
        <v>90</v>
      </c>
      <c r="K1519" s="139">
        <f t="shared" si="71"/>
        <v>1</v>
      </c>
      <c r="L1519" s="142">
        <f>IF(RawData[[#This Row],[Paid/Unpaid]]="Paid", IF(VALUE($E1519)&gt;VALUE($D$3),$K1519* 10000,$K1519* 8000), 0)</f>
        <v>10000</v>
      </c>
      <c r="M1519" s="53" t="s">
        <v>146</v>
      </c>
    </row>
    <row r="1520" spans="1:13" ht="12.75" customHeight="1" x14ac:dyDescent="0.3">
      <c r="A1520" s="143" t="s">
        <v>11</v>
      </c>
      <c r="B1520" s="139" t="str">
        <f>IFERROR(VLOOKUP($A1520, NameDesignation[], 2,FALSE), " ")</f>
        <v>Former Director</v>
      </c>
      <c r="C1520" s="139" t="s">
        <v>29</v>
      </c>
      <c r="D1520" s="139">
        <v>491</v>
      </c>
      <c r="E1520" s="140">
        <v>45411</v>
      </c>
      <c r="F1520" s="139" t="str">
        <f t="shared" si="69"/>
        <v>Q2-24</v>
      </c>
      <c r="G1520" s="140" t="str">
        <f t="shared" si="70"/>
        <v>Apr'24</v>
      </c>
      <c r="H1520" s="140" t="str">
        <f>TEXT(RawData[[#This Row],[Date]], "YYYY")</f>
        <v>2024</v>
      </c>
      <c r="I1520" s="141" t="s">
        <v>32</v>
      </c>
      <c r="J1520" s="141" t="s">
        <v>90</v>
      </c>
      <c r="K1520" s="139">
        <f t="shared" si="71"/>
        <v>1</v>
      </c>
      <c r="L1520" s="142">
        <f>IF(RawData[[#This Row],[Paid/Unpaid]]="Paid", IF(VALUE($E1520)&gt;VALUE($D$3),$K1520* 10000,$K1520* 8000), 0)</f>
        <v>10000</v>
      </c>
      <c r="M1520" s="53" t="s">
        <v>146</v>
      </c>
    </row>
    <row r="1521" spans="1:13" ht="12.75" customHeight="1" x14ac:dyDescent="0.3">
      <c r="A1521" s="143" t="s">
        <v>12</v>
      </c>
      <c r="B1521" s="139" t="str">
        <f>IFERROR(VLOOKUP($A1521, NameDesignation[], 2,FALSE), " ")</f>
        <v>Former Director</v>
      </c>
      <c r="C1521" s="139" t="s">
        <v>29</v>
      </c>
      <c r="D1521" s="139">
        <v>491</v>
      </c>
      <c r="E1521" s="140">
        <v>45411</v>
      </c>
      <c r="F1521" s="139" t="str">
        <f t="shared" si="69"/>
        <v>Q2-24</v>
      </c>
      <c r="G1521" s="140" t="str">
        <f t="shared" si="70"/>
        <v>Apr'24</v>
      </c>
      <c r="H1521" s="140" t="str">
        <f>TEXT(RawData[[#This Row],[Date]], "YYYY")</f>
        <v>2024</v>
      </c>
      <c r="I1521" s="141" t="s">
        <v>32</v>
      </c>
      <c r="J1521" s="141" t="s">
        <v>90</v>
      </c>
      <c r="K1521" s="139">
        <f t="shared" si="71"/>
        <v>1</v>
      </c>
      <c r="L1521" s="142">
        <f>IF(RawData[[#This Row],[Paid/Unpaid]]="Paid", IF(VALUE($E1521)&gt;VALUE($D$3),$K1521* 10000,$K1521* 8000), 0)</f>
        <v>10000</v>
      </c>
      <c r="M1521" s="53" t="s">
        <v>146</v>
      </c>
    </row>
    <row r="1522" spans="1:13" ht="12.75" customHeight="1" x14ac:dyDescent="0.3">
      <c r="A1522" s="143" t="s">
        <v>23</v>
      </c>
      <c r="B1522" s="139" t="str">
        <f>IFERROR(VLOOKUP($A1522, NameDesignation[], 2,FALSE), " ")</f>
        <v>Former Director</v>
      </c>
      <c r="C1522" s="139" t="s">
        <v>29</v>
      </c>
      <c r="D1522" s="139">
        <v>491</v>
      </c>
      <c r="E1522" s="140">
        <v>45411</v>
      </c>
      <c r="F1522" s="139" t="str">
        <f t="shared" si="69"/>
        <v>Q2-24</v>
      </c>
      <c r="G1522" s="140" t="str">
        <f t="shared" si="70"/>
        <v>Apr'24</v>
      </c>
      <c r="H1522" s="140" t="str">
        <f>TEXT(RawData[[#This Row],[Date]], "YYYY")</f>
        <v>2024</v>
      </c>
      <c r="I1522" s="141" t="s">
        <v>32</v>
      </c>
      <c r="J1522" s="141" t="s">
        <v>90</v>
      </c>
      <c r="K1522" s="139">
        <f t="shared" si="71"/>
        <v>1</v>
      </c>
      <c r="L1522" s="142">
        <f>IF(RawData[[#This Row],[Paid/Unpaid]]="Paid", IF(VALUE($E1522)&gt;VALUE($D$3),$K1522* 10000,$K1522* 8000), 0)</f>
        <v>10000</v>
      </c>
      <c r="M1522" s="53" t="s">
        <v>146</v>
      </c>
    </row>
    <row r="1523" spans="1:13" ht="12.75" customHeight="1" x14ac:dyDescent="0.3">
      <c r="A1523" s="143" t="s">
        <v>137</v>
      </c>
      <c r="B1523" s="139" t="str">
        <f>IFERROR(VLOOKUP($A1523, NameDesignation[], 2,FALSE), " ")</f>
        <v>Former Director</v>
      </c>
      <c r="C1523" s="139" t="s">
        <v>29</v>
      </c>
      <c r="D1523" s="139">
        <v>491</v>
      </c>
      <c r="E1523" s="140">
        <v>45411</v>
      </c>
      <c r="F1523" s="139" t="str">
        <f t="shared" si="69"/>
        <v>Q2-24</v>
      </c>
      <c r="G1523" s="140" t="str">
        <f t="shared" si="70"/>
        <v>Apr'24</v>
      </c>
      <c r="H1523" s="140" t="str">
        <f>TEXT(RawData[[#This Row],[Date]], "YYYY")</f>
        <v>2024</v>
      </c>
      <c r="I1523" s="141" t="s">
        <v>32</v>
      </c>
      <c r="J1523" s="141" t="s">
        <v>90</v>
      </c>
      <c r="K1523" s="139">
        <f t="shared" si="71"/>
        <v>1</v>
      </c>
      <c r="L1523" s="142">
        <f>IF(RawData[[#This Row],[Paid/Unpaid]]="Paid", IF(VALUE($E1523)&gt;VALUE($D$3),$K1523* 10000,$K1523* 8000), 0)</f>
        <v>10000</v>
      </c>
      <c r="M1523" s="53" t="s">
        <v>146</v>
      </c>
    </row>
    <row r="1524" spans="1:13" ht="12.75" customHeight="1" x14ac:dyDescent="0.3">
      <c r="A1524" s="143" t="s">
        <v>13</v>
      </c>
      <c r="B1524" s="139" t="str">
        <f>IFERROR(VLOOKUP($A1524, NameDesignation[], 2,FALSE), " ")</f>
        <v>Former Director</v>
      </c>
      <c r="C1524" s="139" t="s">
        <v>29</v>
      </c>
      <c r="D1524" s="139">
        <v>491</v>
      </c>
      <c r="E1524" s="140">
        <v>45411</v>
      </c>
      <c r="F1524" s="139" t="str">
        <f t="shared" si="69"/>
        <v>Q2-24</v>
      </c>
      <c r="G1524" s="140" t="str">
        <f t="shared" si="70"/>
        <v>Apr'24</v>
      </c>
      <c r="H1524" s="140" t="str">
        <f>TEXT(RawData[[#This Row],[Date]], "YYYY")</f>
        <v>2024</v>
      </c>
      <c r="I1524" s="141" t="s">
        <v>32</v>
      </c>
      <c r="J1524" s="141" t="s">
        <v>91</v>
      </c>
      <c r="K1524" s="139">
        <f t="shared" si="71"/>
        <v>0</v>
      </c>
      <c r="L1524" s="142">
        <f>IF(RawData[[#This Row],[Paid/Unpaid]]="Paid", IF(VALUE($E1524)&gt;VALUE($D$3),$K1524* 10000,$K1524* 8000), 0)</f>
        <v>0</v>
      </c>
      <c r="M1524" s="53" t="s">
        <v>146</v>
      </c>
    </row>
    <row r="1525" spans="1:13" ht="12.75" customHeight="1" x14ac:dyDescent="0.3">
      <c r="A1525" s="143" t="s">
        <v>61</v>
      </c>
      <c r="B1525" s="139" t="str">
        <f>IFERROR(VLOOKUP($A1525, NameDesignation[], 2,FALSE), " ")</f>
        <v>Former Director</v>
      </c>
      <c r="C1525" s="139" t="s">
        <v>29</v>
      </c>
      <c r="D1525" s="139">
        <v>491</v>
      </c>
      <c r="E1525" s="140">
        <v>45411</v>
      </c>
      <c r="F1525" s="139" t="str">
        <f t="shared" si="69"/>
        <v>Q2-24</v>
      </c>
      <c r="G1525" s="140" t="str">
        <f t="shared" si="70"/>
        <v>Apr'24</v>
      </c>
      <c r="H1525" s="140" t="str">
        <f>TEXT(RawData[[#This Row],[Date]], "YYYY")</f>
        <v>2024</v>
      </c>
      <c r="I1525" s="141" t="s">
        <v>32</v>
      </c>
      <c r="J1525" s="141" t="s">
        <v>90</v>
      </c>
      <c r="K1525" s="139">
        <f t="shared" si="71"/>
        <v>1</v>
      </c>
      <c r="L1525" s="142">
        <f>IF(RawData[[#This Row],[Paid/Unpaid]]="Paid", IF(VALUE($E1525)&gt;VALUE($D$3),$K1525* 10000,$K1525* 8000), 0)</f>
        <v>10000</v>
      </c>
      <c r="M1525" s="53" t="s">
        <v>146</v>
      </c>
    </row>
    <row r="1526" spans="1:13" ht="12.75" customHeight="1" x14ac:dyDescent="0.3">
      <c r="A1526" s="143" t="s">
        <v>14</v>
      </c>
      <c r="B1526" s="139" t="str">
        <f>IFERROR(VLOOKUP($A1526, NameDesignation[], 2,FALSE), " ")</f>
        <v>Former Director</v>
      </c>
      <c r="C1526" s="139" t="s">
        <v>29</v>
      </c>
      <c r="D1526" s="139">
        <v>491</v>
      </c>
      <c r="E1526" s="140">
        <v>45411</v>
      </c>
      <c r="F1526" s="139" t="str">
        <f t="shared" si="69"/>
        <v>Q2-24</v>
      </c>
      <c r="G1526" s="140" t="str">
        <f t="shared" si="70"/>
        <v>Apr'24</v>
      </c>
      <c r="H1526" s="140" t="str">
        <f>TEXT(RawData[[#This Row],[Date]], "YYYY")</f>
        <v>2024</v>
      </c>
      <c r="I1526" s="141" t="s">
        <v>32</v>
      </c>
      <c r="J1526" s="141" t="s">
        <v>90</v>
      </c>
      <c r="K1526" s="139">
        <f t="shared" si="71"/>
        <v>1</v>
      </c>
      <c r="L1526" s="142">
        <f>IF(RawData[[#This Row],[Paid/Unpaid]]="Paid", IF(VALUE($E1526)&gt;VALUE($D$3),$K1526* 10000,$K1526* 8000), 0)</f>
        <v>10000</v>
      </c>
      <c r="M1526" s="53" t="s">
        <v>146</v>
      </c>
    </row>
    <row r="1527" spans="1:13" ht="12.75" customHeight="1" x14ac:dyDescent="0.3">
      <c r="A1527" s="143" t="s">
        <v>24</v>
      </c>
      <c r="B1527" s="139" t="str">
        <f>IFERROR(VLOOKUP($A1527, NameDesignation[], 2,FALSE), " ")</f>
        <v>Former Director</v>
      </c>
      <c r="C1527" s="139" t="s">
        <v>29</v>
      </c>
      <c r="D1527" s="139">
        <v>491</v>
      </c>
      <c r="E1527" s="140">
        <v>45411</v>
      </c>
      <c r="F1527" s="139" t="str">
        <f t="shared" si="69"/>
        <v>Q2-24</v>
      </c>
      <c r="G1527" s="140" t="str">
        <f t="shared" si="70"/>
        <v>Apr'24</v>
      </c>
      <c r="H1527" s="140" t="str">
        <f>TEXT(RawData[[#This Row],[Date]], "YYYY")</f>
        <v>2024</v>
      </c>
      <c r="I1527" s="141" t="s">
        <v>32</v>
      </c>
      <c r="J1527" s="141" t="s">
        <v>90</v>
      </c>
      <c r="K1527" s="139">
        <f t="shared" si="71"/>
        <v>1</v>
      </c>
      <c r="L1527" s="142">
        <f>IF(RawData[[#This Row],[Paid/Unpaid]]="Paid", IF(VALUE($E1527)&gt;VALUE($D$3),$K1527* 10000,$K1527* 8000), 0)</f>
        <v>10000</v>
      </c>
      <c r="M1527" s="53" t="s">
        <v>146</v>
      </c>
    </row>
    <row r="1528" spans="1:13" ht="12.75" customHeight="1" x14ac:dyDescent="0.3">
      <c r="A1528" s="143" t="s">
        <v>15</v>
      </c>
      <c r="B1528" s="139" t="str">
        <f>IFERROR(VLOOKUP($A1528, NameDesignation[], 2,FALSE), " ")</f>
        <v>Former Director</v>
      </c>
      <c r="C1528" s="139" t="s">
        <v>29</v>
      </c>
      <c r="D1528" s="139">
        <v>491</v>
      </c>
      <c r="E1528" s="140">
        <v>45411</v>
      </c>
      <c r="F1528" s="139" t="str">
        <f t="shared" si="69"/>
        <v>Q2-24</v>
      </c>
      <c r="G1528" s="140" t="str">
        <f t="shared" si="70"/>
        <v>Apr'24</v>
      </c>
      <c r="H1528" s="140" t="str">
        <f>TEXT(RawData[[#This Row],[Date]], "YYYY")</f>
        <v>2024</v>
      </c>
      <c r="I1528" s="141" t="s">
        <v>32</v>
      </c>
      <c r="J1528" s="141" t="s">
        <v>90</v>
      </c>
      <c r="K1528" s="139">
        <f t="shared" si="71"/>
        <v>1</v>
      </c>
      <c r="L1528" s="142">
        <f>IF(RawData[[#This Row],[Paid/Unpaid]]="Paid", IF(VALUE($E1528)&gt;VALUE($D$3),$K1528* 10000,$K1528* 8000), 0)</f>
        <v>10000</v>
      </c>
      <c r="M1528" s="53" t="s">
        <v>146</v>
      </c>
    </row>
    <row r="1529" spans="1:13" ht="12.75" customHeight="1" x14ac:dyDescent="0.3">
      <c r="A1529" s="143" t="s">
        <v>16</v>
      </c>
      <c r="B1529" s="139" t="str">
        <f>IFERROR(VLOOKUP($A1529, NameDesignation[], 2,FALSE), " ")</f>
        <v>Former Director</v>
      </c>
      <c r="C1529" s="139" t="s">
        <v>29</v>
      </c>
      <c r="D1529" s="139">
        <v>491</v>
      </c>
      <c r="E1529" s="140">
        <v>45411</v>
      </c>
      <c r="F1529" s="139" t="str">
        <f t="shared" si="69"/>
        <v>Q2-24</v>
      </c>
      <c r="G1529" s="140" t="str">
        <f t="shared" si="70"/>
        <v>Apr'24</v>
      </c>
      <c r="H1529" s="140" t="str">
        <f>TEXT(RawData[[#This Row],[Date]], "YYYY")</f>
        <v>2024</v>
      </c>
      <c r="I1529" s="141" t="s">
        <v>32</v>
      </c>
      <c r="J1529" s="141" t="s">
        <v>90</v>
      </c>
      <c r="K1529" s="139">
        <f t="shared" si="71"/>
        <v>1</v>
      </c>
      <c r="L1529" s="142">
        <f>IF(RawData[[#This Row],[Paid/Unpaid]]="Paid", IF(VALUE($E1529)&gt;VALUE($D$3),$K1529* 10000,$K1529* 8000), 0)</f>
        <v>10000</v>
      </c>
      <c r="M1529" s="53" t="s">
        <v>146</v>
      </c>
    </row>
    <row r="1530" spans="1:13" ht="12.75" customHeight="1" x14ac:dyDescent="0.3">
      <c r="A1530" s="143" t="s">
        <v>21</v>
      </c>
      <c r="B1530" s="139" t="str">
        <f>IFERROR(VLOOKUP($A1530, NameDesignation[], 2,FALSE), " ")</f>
        <v>Former Independent Director</v>
      </c>
      <c r="C1530" s="139" t="s">
        <v>29</v>
      </c>
      <c r="D1530" s="139">
        <v>491</v>
      </c>
      <c r="E1530" s="140">
        <v>45411</v>
      </c>
      <c r="F1530" s="139" t="str">
        <f t="shared" si="69"/>
        <v>Q2-24</v>
      </c>
      <c r="G1530" s="140" t="str">
        <f t="shared" si="70"/>
        <v>Apr'24</v>
      </c>
      <c r="H1530" s="140" t="str">
        <f>TEXT(RawData[[#This Row],[Date]], "YYYY")</f>
        <v>2024</v>
      </c>
      <c r="I1530" s="141" t="s">
        <v>32</v>
      </c>
      <c r="J1530" s="141" t="s">
        <v>90</v>
      </c>
      <c r="K1530" s="139">
        <f t="shared" si="71"/>
        <v>1</v>
      </c>
      <c r="L1530" s="142">
        <f>IF(RawData[[#This Row],[Paid/Unpaid]]="Paid", IF(VALUE($E1530)&gt;VALUE($D$3),$K1530* 10000,$K1530* 8000), 0)</f>
        <v>10000</v>
      </c>
      <c r="M1530" s="53" t="s">
        <v>146</v>
      </c>
    </row>
    <row r="1531" spans="1:13" ht="12.75" customHeight="1" x14ac:dyDescent="0.3">
      <c r="A1531" s="143" t="s">
        <v>17</v>
      </c>
      <c r="B1531" s="139" t="str">
        <f>IFERROR(VLOOKUP($A1531, NameDesignation[], 2,FALSE), " ")</f>
        <v>Former Independent Director</v>
      </c>
      <c r="C1531" s="139" t="s">
        <v>29</v>
      </c>
      <c r="D1531" s="139">
        <v>491</v>
      </c>
      <c r="E1531" s="140">
        <v>45411</v>
      </c>
      <c r="F1531" s="139" t="str">
        <f t="shared" si="69"/>
        <v>Q2-24</v>
      </c>
      <c r="G1531" s="140" t="str">
        <f t="shared" si="70"/>
        <v>Apr'24</v>
      </c>
      <c r="H1531" s="140" t="str">
        <f>TEXT(RawData[[#This Row],[Date]], "YYYY")</f>
        <v>2024</v>
      </c>
      <c r="I1531" s="141" t="s">
        <v>32</v>
      </c>
      <c r="J1531" s="141" t="s">
        <v>90</v>
      </c>
      <c r="K1531" s="139">
        <f t="shared" si="71"/>
        <v>1</v>
      </c>
      <c r="L1531" s="142">
        <f>IF(RawData[[#This Row],[Paid/Unpaid]]="Paid", IF(VALUE($E1531)&gt;VALUE($D$3),$K1531* 10000,$K1531* 8000), 0)</f>
        <v>10000</v>
      </c>
      <c r="M1531" s="53" t="s">
        <v>146</v>
      </c>
    </row>
    <row r="1532" spans="1:13" ht="12.75" customHeight="1" x14ac:dyDescent="0.3">
      <c r="A1532" s="143" t="s">
        <v>131</v>
      </c>
      <c r="B1532" s="139" t="str">
        <f>IFERROR(VLOOKUP($A1532, NameDesignation[], 2,FALSE), " ")</f>
        <v>Former Independent Director</v>
      </c>
      <c r="C1532" s="139" t="s">
        <v>29</v>
      </c>
      <c r="D1532" s="139">
        <v>491</v>
      </c>
      <c r="E1532" s="140">
        <v>45411</v>
      </c>
      <c r="F1532" s="139" t="str">
        <f t="shared" si="69"/>
        <v>Q2-24</v>
      </c>
      <c r="G1532" s="140" t="str">
        <f t="shared" si="70"/>
        <v>Apr'24</v>
      </c>
      <c r="H1532" s="140" t="str">
        <f>TEXT(RawData[[#This Row],[Date]], "YYYY")</f>
        <v>2024</v>
      </c>
      <c r="I1532" s="141" t="s">
        <v>32</v>
      </c>
      <c r="J1532" s="141" t="s">
        <v>90</v>
      </c>
      <c r="K1532" s="139">
        <f t="shared" si="71"/>
        <v>1</v>
      </c>
      <c r="L1532" s="142">
        <f>IF(RawData[[#This Row],[Paid/Unpaid]]="Paid", IF(VALUE($E1532)&gt;VALUE($D$3),$K1532* 10000,$K1532* 8000), 0)</f>
        <v>10000</v>
      </c>
      <c r="M1532" s="53" t="s">
        <v>146</v>
      </c>
    </row>
    <row r="1533" spans="1:13" ht="12.75" customHeight="1" x14ac:dyDescent="0.3">
      <c r="A1533" s="143" t="s">
        <v>34</v>
      </c>
      <c r="B1533" s="139" t="str">
        <f>IFERROR(VLOOKUP($A1533, NameDesignation[], 2,FALSE), " ")</f>
        <v>Former Managing Director &amp; CEO</v>
      </c>
      <c r="C1533" s="139" t="s">
        <v>29</v>
      </c>
      <c r="D1533" s="139">
        <v>491</v>
      </c>
      <c r="E1533" s="140">
        <v>45411</v>
      </c>
      <c r="F1533" s="139" t="str">
        <f t="shared" si="69"/>
        <v>Q2-24</v>
      </c>
      <c r="G1533" s="140" t="str">
        <f t="shared" si="70"/>
        <v>Apr'24</v>
      </c>
      <c r="H1533" s="140" t="str">
        <f>TEXT(RawData[[#This Row],[Date]], "YYYY")</f>
        <v>2024</v>
      </c>
      <c r="I1533" s="141" t="s">
        <v>32</v>
      </c>
      <c r="J1533" s="141" t="s">
        <v>90</v>
      </c>
      <c r="K1533" s="139">
        <f t="shared" si="71"/>
        <v>1</v>
      </c>
      <c r="L1533" s="142">
        <f>IF(RawData[[#This Row],[Paid/Unpaid]]="Paid", IF(VALUE($E1533)&gt;VALUE($D$3),$K1533* 10000,$K1533* 8000), 0)</f>
        <v>10000</v>
      </c>
      <c r="M1533" s="53" t="s">
        <v>146</v>
      </c>
    </row>
    <row r="1534" spans="1:13" ht="12.75" customHeight="1" x14ac:dyDescent="0.3">
      <c r="A1534" s="143" t="s">
        <v>20</v>
      </c>
      <c r="B1534" s="139" t="str">
        <f>IFERROR(VLOOKUP($A1534, NameDesignation[], 2,FALSE), " ")</f>
        <v>Former Independent Director</v>
      </c>
      <c r="C1534" s="139" t="s">
        <v>37</v>
      </c>
      <c r="D1534" s="139">
        <v>135</v>
      </c>
      <c r="E1534" s="140">
        <v>45411</v>
      </c>
      <c r="F1534" s="139" t="str">
        <f t="shared" si="69"/>
        <v>Q2-24</v>
      </c>
      <c r="G1534" s="140" t="str">
        <f t="shared" si="70"/>
        <v>Apr'24</v>
      </c>
      <c r="H1534" s="140" t="str">
        <f>TEXT(RawData[[#This Row],[Date]], "YYYY")</f>
        <v>2024</v>
      </c>
      <c r="I1534" s="141" t="s">
        <v>32</v>
      </c>
      <c r="J1534" s="141" t="s">
        <v>90</v>
      </c>
      <c r="K1534" s="139">
        <f t="shared" si="71"/>
        <v>1</v>
      </c>
      <c r="L1534" s="142">
        <f>IF(RawData[[#This Row],[Paid/Unpaid]]="Paid", IF(VALUE($E1534)&gt;VALUE($D$3),$K1534* 10000,$K1534* 8000), 0)</f>
        <v>10000</v>
      </c>
      <c r="M1534" s="53" t="s">
        <v>146</v>
      </c>
    </row>
    <row r="1535" spans="1:13" ht="12.75" customHeight="1" x14ac:dyDescent="0.3">
      <c r="A1535" s="143" t="s">
        <v>23</v>
      </c>
      <c r="B1535" s="139" t="str">
        <f>IFERROR(VLOOKUP($A1535, NameDesignation[], 2,FALSE), " ")</f>
        <v>Former Director</v>
      </c>
      <c r="C1535" s="139" t="s">
        <v>37</v>
      </c>
      <c r="D1535" s="139">
        <v>135</v>
      </c>
      <c r="E1535" s="140">
        <v>45411</v>
      </c>
      <c r="F1535" s="139" t="str">
        <f t="shared" si="69"/>
        <v>Q2-24</v>
      </c>
      <c r="G1535" s="140" t="str">
        <f t="shared" si="70"/>
        <v>Apr'24</v>
      </c>
      <c r="H1535" s="140" t="str">
        <f>TEXT(RawData[[#This Row],[Date]], "YYYY")</f>
        <v>2024</v>
      </c>
      <c r="I1535" s="141" t="s">
        <v>32</v>
      </c>
      <c r="J1535" s="141" t="s">
        <v>90</v>
      </c>
      <c r="K1535" s="139">
        <f t="shared" si="71"/>
        <v>1</v>
      </c>
      <c r="L1535" s="142">
        <f>IF(RawData[[#This Row],[Paid/Unpaid]]="Paid", IF(VALUE($E1535)&gt;VALUE($D$3),$K1535* 10000,$K1535* 8000), 0)</f>
        <v>10000</v>
      </c>
      <c r="M1535" s="53" t="s">
        <v>146</v>
      </c>
    </row>
    <row r="1536" spans="1:13" ht="12.75" customHeight="1" x14ac:dyDescent="0.3">
      <c r="A1536" s="143" t="s">
        <v>24</v>
      </c>
      <c r="B1536" s="139" t="str">
        <f>IFERROR(VLOOKUP($A1536, NameDesignation[], 2,FALSE), " ")</f>
        <v>Former Director</v>
      </c>
      <c r="C1536" s="139" t="s">
        <v>37</v>
      </c>
      <c r="D1536" s="139">
        <v>135</v>
      </c>
      <c r="E1536" s="140">
        <v>45411</v>
      </c>
      <c r="F1536" s="139" t="str">
        <f t="shared" si="69"/>
        <v>Q2-24</v>
      </c>
      <c r="G1536" s="140" t="str">
        <f t="shared" si="70"/>
        <v>Apr'24</v>
      </c>
      <c r="H1536" s="140" t="str">
        <f>TEXT(RawData[[#This Row],[Date]], "YYYY")</f>
        <v>2024</v>
      </c>
      <c r="I1536" s="141" t="s">
        <v>32</v>
      </c>
      <c r="J1536" s="141" t="s">
        <v>90</v>
      </c>
      <c r="K1536" s="139">
        <f t="shared" si="71"/>
        <v>1</v>
      </c>
      <c r="L1536" s="142">
        <f>IF(RawData[[#This Row],[Paid/Unpaid]]="Paid", IF(VALUE($E1536)&gt;VALUE($D$3),$K1536* 10000,$K1536* 8000), 0)</f>
        <v>10000</v>
      </c>
      <c r="M1536" s="53" t="s">
        <v>146</v>
      </c>
    </row>
    <row r="1537" spans="1:13" ht="12.75" customHeight="1" x14ac:dyDescent="0.3">
      <c r="A1537" s="143" t="s">
        <v>21</v>
      </c>
      <c r="B1537" s="139" t="str">
        <f>IFERROR(VLOOKUP($A1537, NameDesignation[], 2,FALSE), " ")</f>
        <v>Former Independent Director</v>
      </c>
      <c r="C1537" s="139" t="s">
        <v>37</v>
      </c>
      <c r="D1537" s="139">
        <v>135</v>
      </c>
      <c r="E1537" s="140">
        <v>45411</v>
      </c>
      <c r="F1537" s="139" t="str">
        <f t="shared" si="69"/>
        <v>Q2-24</v>
      </c>
      <c r="G1537" s="140" t="str">
        <f t="shared" si="70"/>
        <v>Apr'24</v>
      </c>
      <c r="H1537" s="140" t="str">
        <f>TEXT(RawData[[#This Row],[Date]], "YYYY")</f>
        <v>2024</v>
      </c>
      <c r="I1537" s="141" t="s">
        <v>32</v>
      </c>
      <c r="J1537" s="141" t="s">
        <v>90</v>
      </c>
      <c r="K1537" s="139">
        <f t="shared" si="71"/>
        <v>1</v>
      </c>
      <c r="L1537" s="142">
        <f>IF(RawData[[#This Row],[Paid/Unpaid]]="Paid", IF(VALUE($E1537)&gt;VALUE($D$3),$K1537* 10000,$K1537* 8000), 0)</f>
        <v>10000</v>
      </c>
      <c r="M1537" s="53" t="s">
        <v>146</v>
      </c>
    </row>
    <row r="1538" spans="1:13" ht="12.75" customHeight="1" x14ac:dyDescent="0.3">
      <c r="A1538" s="143" t="s">
        <v>15</v>
      </c>
      <c r="B1538" s="139" t="str">
        <f>IFERROR(VLOOKUP($A1538, NameDesignation[], 2,FALSE), " ")</f>
        <v>Former Director</v>
      </c>
      <c r="C1538" s="139" t="s">
        <v>37</v>
      </c>
      <c r="D1538" s="139">
        <v>135</v>
      </c>
      <c r="E1538" s="140">
        <v>45411</v>
      </c>
      <c r="F1538" s="139" t="str">
        <f t="shared" si="69"/>
        <v>Q2-24</v>
      </c>
      <c r="G1538" s="140" t="str">
        <f t="shared" si="70"/>
        <v>Apr'24</v>
      </c>
      <c r="H1538" s="140" t="str">
        <f>TEXT(RawData[[#This Row],[Date]], "YYYY")</f>
        <v>2024</v>
      </c>
      <c r="I1538" s="141" t="s">
        <v>32</v>
      </c>
      <c r="J1538" s="141" t="s">
        <v>90</v>
      </c>
      <c r="K1538" s="139">
        <f t="shared" si="71"/>
        <v>1</v>
      </c>
      <c r="L1538" s="142">
        <f>IF(RawData[[#This Row],[Paid/Unpaid]]="Paid", IF(VALUE($E1538)&gt;VALUE($D$3),$K1538* 10000,$K1538* 8000), 0)</f>
        <v>10000</v>
      </c>
      <c r="M1538" s="53" t="s">
        <v>146</v>
      </c>
    </row>
    <row r="1539" spans="1:13" ht="12.75" customHeight="1" x14ac:dyDescent="0.3">
      <c r="A1539" s="143" t="s">
        <v>49</v>
      </c>
      <c r="B1539" s="139" t="str">
        <f>IFERROR(VLOOKUP($A1539, NameDesignation[], 2,FALSE), " ")</f>
        <v>Former Director</v>
      </c>
      <c r="C1539" s="139" t="s">
        <v>38</v>
      </c>
      <c r="D1539" s="139">
        <v>43</v>
      </c>
      <c r="E1539" s="140">
        <v>45411</v>
      </c>
      <c r="F1539" s="139" t="str">
        <f t="shared" si="69"/>
        <v>Q2-24</v>
      </c>
      <c r="G1539" s="140" t="str">
        <f t="shared" si="70"/>
        <v>Apr'24</v>
      </c>
      <c r="H1539" s="140" t="str">
        <f>TEXT(RawData[[#This Row],[Date]], "YYYY")</f>
        <v>2024</v>
      </c>
      <c r="I1539" s="141" t="s">
        <v>32</v>
      </c>
      <c r="J1539" s="141" t="s">
        <v>90</v>
      </c>
      <c r="K1539" s="139">
        <f t="shared" si="71"/>
        <v>1</v>
      </c>
      <c r="L1539" s="142">
        <f>IF(RawData[[#This Row],[Paid/Unpaid]]="Paid", IF(VALUE($E1539)&gt;VALUE($D$3),$K1539* 10000,$K1539* 8000), 0)</f>
        <v>10000</v>
      </c>
      <c r="M1539" s="53" t="s">
        <v>146</v>
      </c>
    </row>
    <row r="1540" spans="1:13" ht="12.75" customHeight="1" x14ac:dyDescent="0.3">
      <c r="A1540" s="143" t="s">
        <v>9</v>
      </c>
      <c r="B1540" s="139" t="str">
        <f>IFERROR(VLOOKUP($A1540, NameDesignation[], 2,FALSE), " ")</f>
        <v>Former Director</v>
      </c>
      <c r="C1540" s="139" t="s">
        <v>38</v>
      </c>
      <c r="D1540" s="139">
        <v>43</v>
      </c>
      <c r="E1540" s="140">
        <v>45411</v>
      </c>
      <c r="F1540" s="139" t="str">
        <f t="shared" si="69"/>
        <v>Q2-24</v>
      </c>
      <c r="G1540" s="140" t="str">
        <f t="shared" si="70"/>
        <v>Apr'24</v>
      </c>
      <c r="H1540" s="140" t="str">
        <f>TEXT(RawData[[#This Row],[Date]], "YYYY")</f>
        <v>2024</v>
      </c>
      <c r="I1540" s="141" t="s">
        <v>32</v>
      </c>
      <c r="J1540" s="141" t="s">
        <v>91</v>
      </c>
      <c r="K1540" s="139">
        <f t="shared" si="71"/>
        <v>0</v>
      </c>
      <c r="L1540" s="142">
        <f>IF(RawData[[#This Row],[Paid/Unpaid]]="Paid", IF(VALUE($E1540)&gt;VALUE($D$3),$K1540* 10000,$K1540* 8000), 0)</f>
        <v>0</v>
      </c>
      <c r="M1540" s="53" t="s">
        <v>146</v>
      </c>
    </row>
    <row r="1541" spans="1:13" ht="12.75" customHeight="1" x14ac:dyDescent="0.3">
      <c r="A1541" s="143" t="s">
        <v>12</v>
      </c>
      <c r="B1541" s="139" t="str">
        <f>IFERROR(VLOOKUP($A1541, NameDesignation[], 2,FALSE), " ")</f>
        <v>Former Director</v>
      </c>
      <c r="C1541" s="139" t="s">
        <v>38</v>
      </c>
      <c r="D1541" s="139">
        <v>43</v>
      </c>
      <c r="E1541" s="140">
        <v>45411</v>
      </c>
      <c r="F1541" s="139" t="str">
        <f t="shared" si="69"/>
        <v>Q2-24</v>
      </c>
      <c r="G1541" s="140" t="str">
        <f t="shared" si="70"/>
        <v>Apr'24</v>
      </c>
      <c r="H1541" s="140" t="str">
        <f>TEXT(RawData[[#This Row],[Date]], "YYYY")</f>
        <v>2024</v>
      </c>
      <c r="I1541" s="141" t="s">
        <v>32</v>
      </c>
      <c r="J1541" s="141" t="s">
        <v>90</v>
      </c>
      <c r="K1541" s="139">
        <f t="shared" si="71"/>
        <v>1</v>
      </c>
      <c r="L1541" s="142">
        <f>IF(RawData[[#This Row],[Paid/Unpaid]]="Paid", IF(VALUE($E1541)&gt;VALUE($D$3),$K1541* 10000,$K1541* 8000), 0)</f>
        <v>10000</v>
      </c>
      <c r="M1541" s="53" t="s">
        <v>146</v>
      </c>
    </row>
    <row r="1542" spans="1:13" ht="12.75" customHeight="1" x14ac:dyDescent="0.3">
      <c r="A1542" s="143" t="s">
        <v>61</v>
      </c>
      <c r="B1542" s="139" t="str">
        <f>IFERROR(VLOOKUP($A1542, NameDesignation[], 2,FALSE), " ")</f>
        <v>Former Director</v>
      </c>
      <c r="C1542" s="139" t="s">
        <v>38</v>
      </c>
      <c r="D1542" s="139">
        <v>43</v>
      </c>
      <c r="E1542" s="140">
        <v>45411</v>
      </c>
      <c r="F1542" s="139" t="str">
        <f t="shared" ref="F1542:F1605" si="72">CONCATENATE("Q", ROUNDUP(MONTH($E1542)/3,0),"-",TEXT($E1542, "yy"))</f>
        <v>Q2-24</v>
      </c>
      <c r="G1542" s="140" t="str">
        <f t="shared" ref="G1542:G1605" si="73">CONCATENATE(TEXT($E1542, "mmm"),"'", TEXT($E1542, "yy"))</f>
        <v>Apr'24</v>
      </c>
      <c r="H1542" s="140" t="str">
        <f>TEXT(RawData[[#This Row],[Date]], "YYYY")</f>
        <v>2024</v>
      </c>
      <c r="I1542" s="141" t="s">
        <v>32</v>
      </c>
      <c r="J1542" s="141" t="s">
        <v>90</v>
      </c>
      <c r="K1542" s="139">
        <f t="shared" ref="K1542:K1605" si="74">IF($J1542="Present", 1, 0)</f>
        <v>1</v>
      </c>
      <c r="L1542" s="142">
        <f>IF(RawData[[#This Row],[Paid/Unpaid]]="Paid", IF(VALUE($E1542)&gt;VALUE($D$3),$K1542* 10000,$K1542* 8000), 0)</f>
        <v>10000</v>
      </c>
      <c r="M1542" s="53" t="s">
        <v>146</v>
      </c>
    </row>
    <row r="1543" spans="1:13" ht="12.75" customHeight="1" x14ac:dyDescent="0.3">
      <c r="A1543" s="143" t="s">
        <v>17</v>
      </c>
      <c r="B1543" s="139" t="str">
        <f>IFERROR(VLOOKUP($A1543, NameDesignation[], 2,FALSE), " ")</f>
        <v>Former Independent Director</v>
      </c>
      <c r="C1543" s="139" t="s">
        <v>38</v>
      </c>
      <c r="D1543" s="139">
        <v>43</v>
      </c>
      <c r="E1543" s="140">
        <v>45411</v>
      </c>
      <c r="F1543" s="139" t="str">
        <f t="shared" si="72"/>
        <v>Q2-24</v>
      </c>
      <c r="G1543" s="140" t="str">
        <f t="shared" si="73"/>
        <v>Apr'24</v>
      </c>
      <c r="H1543" s="140" t="str">
        <f>TEXT(RawData[[#This Row],[Date]], "YYYY")</f>
        <v>2024</v>
      </c>
      <c r="I1543" s="141" t="s">
        <v>32</v>
      </c>
      <c r="J1543" s="141" t="s">
        <v>90</v>
      </c>
      <c r="K1543" s="139">
        <f t="shared" si="74"/>
        <v>1</v>
      </c>
      <c r="L1543" s="142">
        <f>IF(RawData[[#This Row],[Paid/Unpaid]]="Paid", IF(VALUE($E1543)&gt;VALUE($D$3),$K1543* 10000,$K1543* 8000), 0)</f>
        <v>10000</v>
      </c>
      <c r="M1543" s="53" t="s">
        <v>146</v>
      </c>
    </row>
    <row r="1544" spans="1:13" ht="12.75" customHeight="1" x14ac:dyDescent="0.3">
      <c r="A1544" s="143" t="s">
        <v>7</v>
      </c>
      <c r="B1544" s="139" t="str">
        <f>IFERROR(VLOOKUP($A1544, NameDesignation[], 2,FALSE), " ")</f>
        <v>Former Director</v>
      </c>
      <c r="C1544" s="139" t="s">
        <v>29</v>
      </c>
      <c r="D1544" s="139">
        <v>492</v>
      </c>
      <c r="E1544" s="140">
        <v>45439</v>
      </c>
      <c r="F1544" s="139" t="str">
        <f t="shared" si="72"/>
        <v>Q2-24</v>
      </c>
      <c r="G1544" s="140" t="str">
        <f t="shared" si="73"/>
        <v>May'24</v>
      </c>
      <c r="H1544" s="140" t="str">
        <f>TEXT(RawData[[#This Row],[Date]], "YYYY")</f>
        <v>2024</v>
      </c>
      <c r="I1544" s="141" t="s">
        <v>32</v>
      </c>
      <c r="J1544" s="141" t="s">
        <v>90</v>
      </c>
      <c r="K1544" s="139">
        <f t="shared" si="74"/>
        <v>1</v>
      </c>
      <c r="L1544" s="142">
        <f>IF(RawData[[#This Row],[Paid/Unpaid]]="Paid", IF(VALUE($E1544)&gt;VALUE($D$3),$K1544* 10000,$K1544* 8000), 0)</f>
        <v>10000</v>
      </c>
      <c r="M1544" s="53" t="s">
        <v>146</v>
      </c>
    </row>
    <row r="1545" spans="1:13" ht="12.75" customHeight="1" x14ac:dyDescent="0.3">
      <c r="A1545" s="143" t="s">
        <v>8</v>
      </c>
      <c r="B1545" s="139" t="str">
        <f>IFERROR(VLOOKUP($A1545, NameDesignation[], 2,FALSE), " ")</f>
        <v>Former Vice-Chairman</v>
      </c>
      <c r="C1545" s="139" t="s">
        <v>29</v>
      </c>
      <c r="D1545" s="139">
        <v>492</v>
      </c>
      <c r="E1545" s="140">
        <v>45439</v>
      </c>
      <c r="F1545" s="139" t="str">
        <f t="shared" si="72"/>
        <v>Q2-24</v>
      </c>
      <c r="G1545" s="140" t="str">
        <f t="shared" si="73"/>
        <v>May'24</v>
      </c>
      <c r="H1545" s="140" t="str">
        <f>TEXT(RawData[[#This Row],[Date]], "YYYY")</f>
        <v>2024</v>
      </c>
      <c r="I1545" s="141" t="s">
        <v>32</v>
      </c>
      <c r="J1545" s="141" t="s">
        <v>91</v>
      </c>
      <c r="K1545" s="139">
        <f t="shared" si="74"/>
        <v>0</v>
      </c>
      <c r="L1545" s="142">
        <f>IF(RawData[[#This Row],[Paid/Unpaid]]="Paid", IF(VALUE($E1545)&gt;VALUE($D$3),$K1545* 10000,$K1545* 8000), 0)</f>
        <v>0</v>
      </c>
      <c r="M1545" s="53" t="s">
        <v>146</v>
      </c>
    </row>
    <row r="1546" spans="1:13" ht="12.75" customHeight="1" x14ac:dyDescent="0.3">
      <c r="A1546" s="143" t="s">
        <v>9</v>
      </c>
      <c r="B1546" s="139" t="str">
        <f>IFERROR(VLOOKUP($A1546, NameDesignation[], 2,FALSE), " ")</f>
        <v>Former Director</v>
      </c>
      <c r="C1546" s="139" t="s">
        <v>29</v>
      </c>
      <c r="D1546" s="139">
        <v>492</v>
      </c>
      <c r="E1546" s="140">
        <v>45439</v>
      </c>
      <c r="F1546" s="139" t="str">
        <f t="shared" si="72"/>
        <v>Q2-24</v>
      </c>
      <c r="G1546" s="140" t="str">
        <f t="shared" si="73"/>
        <v>May'24</v>
      </c>
      <c r="H1546" s="140" t="str">
        <f>TEXT(RawData[[#This Row],[Date]], "YYYY")</f>
        <v>2024</v>
      </c>
      <c r="I1546" s="141" t="s">
        <v>32</v>
      </c>
      <c r="J1546" s="141" t="s">
        <v>91</v>
      </c>
      <c r="K1546" s="139">
        <f t="shared" si="74"/>
        <v>0</v>
      </c>
      <c r="L1546" s="142">
        <f>IF(RawData[[#This Row],[Paid/Unpaid]]="Paid", IF(VALUE($E1546)&gt;VALUE($D$3),$K1546* 10000,$K1546* 8000), 0)</f>
        <v>0</v>
      </c>
      <c r="M1546" s="53" t="s">
        <v>146</v>
      </c>
    </row>
    <row r="1547" spans="1:13" ht="12.75" customHeight="1" x14ac:dyDescent="0.3">
      <c r="A1547" s="143" t="s">
        <v>20</v>
      </c>
      <c r="B1547" s="139" t="str">
        <f>IFERROR(VLOOKUP($A1547, NameDesignation[], 2,FALSE), " ")</f>
        <v>Former Independent Director</v>
      </c>
      <c r="C1547" s="139" t="s">
        <v>29</v>
      </c>
      <c r="D1547" s="139">
        <v>492</v>
      </c>
      <c r="E1547" s="140">
        <v>45439</v>
      </c>
      <c r="F1547" s="139" t="str">
        <f t="shared" si="72"/>
        <v>Q2-24</v>
      </c>
      <c r="G1547" s="140" t="str">
        <f t="shared" si="73"/>
        <v>May'24</v>
      </c>
      <c r="H1547" s="140" t="str">
        <f>TEXT(RawData[[#This Row],[Date]], "YYYY")</f>
        <v>2024</v>
      </c>
      <c r="I1547" s="141" t="s">
        <v>32</v>
      </c>
      <c r="J1547" s="141" t="s">
        <v>90</v>
      </c>
      <c r="K1547" s="139">
        <f t="shared" si="74"/>
        <v>1</v>
      </c>
      <c r="L1547" s="142">
        <f>IF(RawData[[#This Row],[Paid/Unpaid]]="Paid", IF(VALUE($E1547)&gt;VALUE($D$3),$K1547* 10000,$K1547* 8000), 0)</f>
        <v>10000</v>
      </c>
      <c r="M1547" s="53" t="s">
        <v>146</v>
      </c>
    </row>
    <row r="1548" spans="1:13" ht="12.75" customHeight="1" x14ac:dyDescent="0.3">
      <c r="A1548" s="143" t="s">
        <v>49</v>
      </c>
      <c r="B1548" s="139" t="str">
        <f>IFERROR(VLOOKUP($A1548, NameDesignation[], 2,FALSE), " ")</f>
        <v>Former Director</v>
      </c>
      <c r="C1548" s="139" t="s">
        <v>29</v>
      </c>
      <c r="D1548" s="139">
        <v>492</v>
      </c>
      <c r="E1548" s="140">
        <v>45439</v>
      </c>
      <c r="F1548" s="139" t="str">
        <f t="shared" si="72"/>
        <v>Q2-24</v>
      </c>
      <c r="G1548" s="140" t="str">
        <f t="shared" si="73"/>
        <v>May'24</v>
      </c>
      <c r="H1548" s="140" t="str">
        <f>TEXT(RawData[[#This Row],[Date]], "YYYY")</f>
        <v>2024</v>
      </c>
      <c r="I1548" s="141" t="s">
        <v>32</v>
      </c>
      <c r="J1548" s="141" t="s">
        <v>90</v>
      </c>
      <c r="K1548" s="139">
        <f t="shared" si="74"/>
        <v>1</v>
      </c>
      <c r="L1548" s="142">
        <f>IF(RawData[[#This Row],[Paid/Unpaid]]="Paid", IF(VALUE($E1548)&gt;VALUE($D$3),$K1548* 10000,$K1548* 8000), 0)</f>
        <v>10000</v>
      </c>
      <c r="M1548" s="53" t="s">
        <v>146</v>
      </c>
    </row>
    <row r="1549" spans="1:13" ht="12.75" customHeight="1" x14ac:dyDescent="0.3">
      <c r="A1549" s="143" t="s">
        <v>112</v>
      </c>
      <c r="B1549" s="139" t="str">
        <f>IFERROR(VLOOKUP($A1549, NameDesignation[], 2,FALSE), " ")</f>
        <v>Former Director</v>
      </c>
      <c r="C1549" s="139" t="s">
        <v>29</v>
      </c>
      <c r="D1549" s="139">
        <v>492</v>
      </c>
      <c r="E1549" s="140">
        <v>45439</v>
      </c>
      <c r="F1549" s="139" t="str">
        <f t="shared" si="72"/>
        <v>Q2-24</v>
      </c>
      <c r="G1549" s="140" t="str">
        <f t="shared" si="73"/>
        <v>May'24</v>
      </c>
      <c r="H1549" s="140" t="str">
        <f>TEXT(RawData[[#This Row],[Date]], "YYYY")</f>
        <v>2024</v>
      </c>
      <c r="I1549" s="141" t="s">
        <v>32</v>
      </c>
      <c r="J1549" s="141" t="s">
        <v>90</v>
      </c>
      <c r="K1549" s="139">
        <f t="shared" si="74"/>
        <v>1</v>
      </c>
      <c r="L1549" s="142">
        <f>IF(RawData[[#This Row],[Paid/Unpaid]]="Paid", IF(VALUE($E1549)&gt;VALUE($D$3),$K1549* 10000,$K1549* 8000), 0)</f>
        <v>10000</v>
      </c>
      <c r="M1549" s="53" t="s">
        <v>146</v>
      </c>
    </row>
    <row r="1550" spans="1:13" ht="12.75" customHeight="1" x14ac:dyDescent="0.3">
      <c r="A1550" s="143" t="s">
        <v>11</v>
      </c>
      <c r="B1550" s="139" t="str">
        <f>IFERROR(VLOOKUP($A1550, NameDesignation[], 2,FALSE), " ")</f>
        <v>Former Director</v>
      </c>
      <c r="C1550" s="139" t="s">
        <v>29</v>
      </c>
      <c r="D1550" s="139">
        <v>492</v>
      </c>
      <c r="E1550" s="140">
        <v>45439</v>
      </c>
      <c r="F1550" s="139" t="str">
        <f t="shared" si="72"/>
        <v>Q2-24</v>
      </c>
      <c r="G1550" s="140" t="str">
        <f t="shared" si="73"/>
        <v>May'24</v>
      </c>
      <c r="H1550" s="140" t="str">
        <f>TEXT(RawData[[#This Row],[Date]], "YYYY")</f>
        <v>2024</v>
      </c>
      <c r="I1550" s="141" t="s">
        <v>32</v>
      </c>
      <c r="J1550" s="141" t="s">
        <v>90</v>
      </c>
      <c r="K1550" s="139">
        <f t="shared" si="74"/>
        <v>1</v>
      </c>
      <c r="L1550" s="142">
        <f>IF(RawData[[#This Row],[Paid/Unpaid]]="Paid", IF(VALUE($E1550)&gt;VALUE($D$3),$K1550* 10000,$K1550* 8000), 0)</f>
        <v>10000</v>
      </c>
      <c r="M1550" s="53" t="s">
        <v>146</v>
      </c>
    </row>
    <row r="1551" spans="1:13" ht="12.75" customHeight="1" x14ac:dyDescent="0.3">
      <c r="A1551" s="143" t="s">
        <v>12</v>
      </c>
      <c r="B1551" s="139" t="str">
        <f>IFERROR(VLOOKUP($A1551, NameDesignation[], 2,FALSE), " ")</f>
        <v>Former Director</v>
      </c>
      <c r="C1551" s="139" t="s">
        <v>29</v>
      </c>
      <c r="D1551" s="139">
        <v>492</v>
      </c>
      <c r="E1551" s="140">
        <v>45439</v>
      </c>
      <c r="F1551" s="139" t="str">
        <f t="shared" si="72"/>
        <v>Q2-24</v>
      </c>
      <c r="G1551" s="140" t="str">
        <f t="shared" si="73"/>
        <v>May'24</v>
      </c>
      <c r="H1551" s="140" t="str">
        <f>TEXT(RawData[[#This Row],[Date]], "YYYY")</f>
        <v>2024</v>
      </c>
      <c r="I1551" s="141" t="s">
        <v>32</v>
      </c>
      <c r="J1551" s="141" t="s">
        <v>90</v>
      </c>
      <c r="K1551" s="139">
        <f t="shared" si="74"/>
        <v>1</v>
      </c>
      <c r="L1551" s="142">
        <f>IF(RawData[[#This Row],[Paid/Unpaid]]="Paid", IF(VALUE($E1551)&gt;VALUE($D$3),$K1551* 10000,$K1551* 8000), 0)</f>
        <v>10000</v>
      </c>
      <c r="M1551" s="53" t="s">
        <v>146</v>
      </c>
    </row>
    <row r="1552" spans="1:13" ht="12.75" customHeight="1" x14ac:dyDescent="0.3">
      <c r="A1552" s="143" t="s">
        <v>23</v>
      </c>
      <c r="B1552" s="139" t="str">
        <f>IFERROR(VLOOKUP($A1552, NameDesignation[], 2,FALSE), " ")</f>
        <v>Former Director</v>
      </c>
      <c r="C1552" s="139" t="s">
        <v>29</v>
      </c>
      <c r="D1552" s="139">
        <v>492</v>
      </c>
      <c r="E1552" s="140">
        <v>45439</v>
      </c>
      <c r="F1552" s="139" t="str">
        <f t="shared" si="72"/>
        <v>Q2-24</v>
      </c>
      <c r="G1552" s="140" t="str">
        <f t="shared" si="73"/>
        <v>May'24</v>
      </c>
      <c r="H1552" s="140" t="str">
        <f>TEXT(RawData[[#This Row],[Date]], "YYYY")</f>
        <v>2024</v>
      </c>
      <c r="I1552" s="141" t="s">
        <v>32</v>
      </c>
      <c r="J1552" s="141" t="s">
        <v>90</v>
      </c>
      <c r="K1552" s="139">
        <f t="shared" si="74"/>
        <v>1</v>
      </c>
      <c r="L1552" s="142">
        <f>IF(RawData[[#This Row],[Paid/Unpaid]]="Paid", IF(VALUE($E1552)&gt;VALUE($D$3),$K1552* 10000,$K1552* 8000), 0)</f>
        <v>10000</v>
      </c>
      <c r="M1552" s="53" t="s">
        <v>146</v>
      </c>
    </row>
    <row r="1553" spans="1:13" ht="12.75" customHeight="1" x14ac:dyDescent="0.3">
      <c r="A1553" s="143" t="s">
        <v>137</v>
      </c>
      <c r="B1553" s="139" t="str">
        <f>IFERROR(VLOOKUP($A1553, NameDesignation[], 2,FALSE), " ")</f>
        <v>Former Director</v>
      </c>
      <c r="C1553" s="139" t="s">
        <v>29</v>
      </c>
      <c r="D1553" s="139">
        <v>492</v>
      </c>
      <c r="E1553" s="140">
        <v>45439</v>
      </c>
      <c r="F1553" s="139" t="str">
        <f t="shared" si="72"/>
        <v>Q2-24</v>
      </c>
      <c r="G1553" s="140" t="str">
        <f t="shared" si="73"/>
        <v>May'24</v>
      </c>
      <c r="H1553" s="140" t="str">
        <f>TEXT(RawData[[#This Row],[Date]], "YYYY")</f>
        <v>2024</v>
      </c>
      <c r="I1553" s="141" t="s">
        <v>32</v>
      </c>
      <c r="J1553" s="141" t="s">
        <v>91</v>
      </c>
      <c r="K1553" s="139">
        <f t="shared" si="74"/>
        <v>0</v>
      </c>
      <c r="L1553" s="142">
        <f>IF(RawData[[#This Row],[Paid/Unpaid]]="Paid", IF(VALUE($E1553)&gt;VALUE($D$3),$K1553* 10000,$K1553* 8000), 0)</f>
        <v>0</v>
      </c>
      <c r="M1553" s="53" t="s">
        <v>146</v>
      </c>
    </row>
    <row r="1554" spans="1:13" ht="12.75" customHeight="1" x14ac:dyDescent="0.3">
      <c r="A1554" s="143" t="s">
        <v>13</v>
      </c>
      <c r="B1554" s="139" t="str">
        <f>IFERROR(VLOOKUP($A1554, NameDesignation[], 2,FALSE), " ")</f>
        <v>Former Director</v>
      </c>
      <c r="C1554" s="139" t="s">
        <v>29</v>
      </c>
      <c r="D1554" s="139">
        <v>492</v>
      </c>
      <c r="E1554" s="140">
        <v>45439</v>
      </c>
      <c r="F1554" s="139" t="str">
        <f t="shared" si="72"/>
        <v>Q2-24</v>
      </c>
      <c r="G1554" s="140" t="str">
        <f t="shared" si="73"/>
        <v>May'24</v>
      </c>
      <c r="H1554" s="140" t="str">
        <f>TEXT(RawData[[#This Row],[Date]], "YYYY")</f>
        <v>2024</v>
      </c>
      <c r="I1554" s="141" t="s">
        <v>32</v>
      </c>
      <c r="J1554" s="141" t="s">
        <v>91</v>
      </c>
      <c r="K1554" s="139">
        <f t="shared" si="74"/>
        <v>0</v>
      </c>
      <c r="L1554" s="142">
        <f>IF(RawData[[#This Row],[Paid/Unpaid]]="Paid", IF(VALUE($E1554)&gt;VALUE($D$3),$K1554* 10000,$K1554* 8000), 0)</f>
        <v>0</v>
      </c>
      <c r="M1554" s="53" t="s">
        <v>146</v>
      </c>
    </row>
    <row r="1555" spans="1:13" ht="12.75" customHeight="1" x14ac:dyDescent="0.3">
      <c r="A1555" s="143" t="s">
        <v>61</v>
      </c>
      <c r="B1555" s="139" t="str">
        <f>IFERROR(VLOOKUP($A1555, NameDesignation[], 2,FALSE), " ")</f>
        <v>Former Director</v>
      </c>
      <c r="C1555" s="139" t="s">
        <v>29</v>
      </c>
      <c r="D1555" s="139">
        <v>492</v>
      </c>
      <c r="E1555" s="140">
        <v>45439</v>
      </c>
      <c r="F1555" s="139" t="str">
        <f t="shared" si="72"/>
        <v>Q2-24</v>
      </c>
      <c r="G1555" s="140" t="str">
        <f t="shared" si="73"/>
        <v>May'24</v>
      </c>
      <c r="H1555" s="140" t="str">
        <f>TEXT(RawData[[#This Row],[Date]], "YYYY")</f>
        <v>2024</v>
      </c>
      <c r="I1555" s="141" t="s">
        <v>32</v>
      </c>
      <c r="J1555" s="141" t="s">
        <v>91</v>
      </c>
      <c r="K1555" s="139">
        <f t="shared" si="74"/>
        <v>0</v>
      </c>
      <c r="L1555" s="142">
        <f>IF(RawData[[#This Row],[Paid/Unpaid]]="Paid", IF(VALUE($E1555)&gt;VALUE($D$3),$K1555* 10000,$K1555* 8000), 0)</f>
        <v>0</v>
      </c>
      <c r="M1555" s="53" t="s">
        <v>146</v>
      </c>
    </row>
    <row r="1556" spans="1:13" ht="12.75" customHeight="1" x14ac:dyDescent="0.3">
      <c r="A1556" s="143" t="s">
        <v>14</v>
      </c>
      <c r="B1556" s="139" t="str">
        <f>IFERROR(VLOOKUP($A1556, NameDesignation[], 2,FALSE), " ")</f>
        <v>Former Director</v>
      </c>
      <c r="C1556" s="139" t="s">
        <v>29</v>
      </c>
      <c r="D1556" s="139">
        <v>492</v>
      </c>
      <c r="E1556" s="140">
        <v>45439</v>
      </c>
      <c r="F1556" s="139" t="str">
        <f t="shared" si="72"/>
        <v>Q2-24</v>
      </c>
      <c r="G1556" s="140" t="str">
        <f t="shared" si="73"/>
        <v>May'24</v>
      </c>
      <c r="H1556" s="140" t="str">
        <f>TEXT(RawData[[#This Row],[Date]], "YYYY")</f>
        <v>2024</v>
      </c>
      <c r="I1556" s="141" t="s">
        <v>32</v>
      </c>
      <c r="J1556" s="141" t="s">
        <v>90</v>
      </c>
      <c r="K1556" s="139">
        <f t="shared" si="74"/>
        <v>1</v>
      </c>
      <c r="L1556" s="142">
        <f>IF(RawData[[#This Row],[Paid/Unpaid]]="Paid", IF(VALUE($E1556)&gt;VALUE($D$3),$K1556* 10000,$K1556* 8000), 0)</f>
        <v>10000</v>
      </c>
      <c r="M1556" s="53" t="s">
        <v>146</v>
      </c>
    </row>
    <row r="1557" spans="1:13" ht="12.75" customHeight="1" x14ac:dyDescent="0.3">
      <c r="A1557" s="143" t="s">
        <v>24</v>
      </c>
      <c r="B1557" s="139" t="str">
        <f>IFERROR(VLOOKUP($A1557, NameDesignation[], 2,FALSE), " ")</f>
        <v>Former Director</v>
      </c>
      <c r="C1557" s="139" t="s">
        <v>29</v>
      </c>
      <c r="D1557" s="139">
        <v>492</v>
      </c>
      <c r="E1557" s="140">
        <v>45439</v>
      </c>
      <c r="F1557" s="139" t="str">
        <f t="shared" si="72"/>
        <v>Q2-24</v>
      </c>
      <c r="G1557" s="140" t="str">
        <f t="shared" si="73"/>
        <v>May'24</v>
      </c>
      <c r="H1557" s="140" t="str">
        <f>TEXT(RawData[[#This Row],[Date]], "YYYY")</f>
        <v>2024</v>
      </c>
      <c r="I1557" s="141" t="s">
        <v>32</v>
      </c>
      <c r="J1557" s="141" t="s">
        <v>90</v>
      </c>
      <c r="K1557" s="139">
        <f t="shared" si="74"/>
        <v>1</v>
      </c>
      <c r="L1557" s="142">
        <f>IF(RawData[[#This Row],[Paid/Unpaid]]="Paid", IF(VALUE($E1557)&gt;VALUE($D$3),$K1557* 10000,$K1557* 8000), 0)</f>
        <v>10000</v>
      </c>
      <c r="M1557" s="53" t="s">
        <v>146</v>
      </c>
    </row>
    <row r="1558" spans="1:13" ht="12.75" customHeight="1" x14ac:dyDescent="0.3">
      <c r="A1558" s="143" t="s">
        <v>15</v>
      </c>
      <c r="B1558" s="139" t="str">
        <f>IFERROR(VLOOKUP($A1558, NameDesignation[], 2,FALSE), " ")</f>
        <v>Former Director</v>
      </c>
      <c r="C1558" s="139" t="s">
        <v>29</v>
      </c>
      <c r="D1558" s="139">
        <v>492</v>
      </c>
      <c r="E1558" s="140">
        <v>45439</v>
      </c>
      <c r="F1558" s="139" t="str">
        <f t="shared" si="72"/>
        <v>Q2-24</v>
      </c>
      <c r="G1558" s="140" t="str">
        <f t="shared" si="73"/>
        <v>May'24</v>
      </c>
      <c r="H1558" s="140" t="str">
        <f>TEXT(RawData[[#This Row],[Date]], "YYYY")</f>
        <v>2024</v>
      </c>
      <c r="I1558" s="141" t="s">
        <v>32</v>
      </c>
      <c r="J1558" s="141" t="s">
        <v>90</v>
      </c>
      <c r="K1558" s="139">
        <f t="shared" si="74"/>
        <v>1</v>
      </c>
      <c r="L1558" s="142">
        <f>IF(RawData[[#This Row],[Paid/Unpaid]]="Paid", IF(VALUE($E1558)&gt;VALUE($D$3),$K1558* 10000,$K1558* 8000), 0)</f>
        <v>10000</v>
      </c>
      <c r="M1558" s="53" t="s">
        <v>146</v>
      </c>
    </row>
    <row r="1559" spans="1:13" ht="12.75" customHeight="1" x14ac:dyDescent="0.3">
      <c r="A1559" s="143" t="s">
        <v>16</v>
      </c>
      <c r="B1559" s="139" t="str">
        <f>IFERROR(VLOOKUP($A1559, NameDesignation[], 2,FALSE), " ")</f>
        <v>Former Director</v>
      </c>
      <c r="C1559" s="139" t="s">
        <v>29</v>
      </c>
      <c r="D1559" s="139">
        <v>492</v>
      </c>
      <c r="E1559" s="140">
        <v>45439</v>
      </c>
      <c r="F1559" s="139" t="str">
        <f t="shared" si="72"/>
        <v>Q2-24</v>
      </c>
      <c r="G1559" s="140" t="str">
        <f t="shared" si="73"/>
        <v>May'24</v>
      </c>
      <c r="H1559" s="140" t="str">
        <f>TEXT(RawData[[#This Row],[Date]], "YYYY")</f>
        <v>2024</v>
      </c>
      <c r="I1559" s="141" t="s">
        <v>32</v>
      </c>
      <c r="J1559" s="141" t="s">
        <v>90</v>
      </c>
      <c r="K1559" s="139">
        <f t="shared" si="74"/>
        <v>1</v>
      </c>
      <c r="L1559" s="142">
        <f>IF(RawData[[#This Row],[Paid/Unpaid]]="Paid", IF(VALUE($E1559)&gt;VALUE($D$3),$K1559* 10000,$K1559* 8000), 0)</f>
        <v>10000</v>
      </c>
      <c r="M1559" s="53" t="s">
        <v>146</v>
      </c>
    </row>
    <row r="1560" spans="1:13" ht="12.75" customHeight="1" x14ac:dyDescent="0.3">
      <c r="A1560" s="143" t="s">
        <v>21</v>
      </c>
      <c r="B1560" s="139" t="str">
        <f>IFERROR(VLOOKUP($A1560, NameDesignation[], 2,FALSE), " ")</f>
        <v>Former Independent Director</v>
      </c>
      <c r="C1560" s="139" t="s">
        <v>29</v>
      </c>
      <c r="D1560" s="139">
        <v>492</v>
      </c>
      <c r="E1560" s="140">
        <v>45439</v>
      </c>
      <c r="F1560" s="139" t="str">
        <f t="shared" si="72"/>
        <v>Q2-24</v>
      </c>
      <c r="G1560" s="140" t="str">
        <f t="shared" si="73"/>
        <v>May'24</v>
      </c>
      <c r="H1560" s="140" t="str">
        <f>TEXT(RawData[[#This Row],[Date]], "YYYY")</f>
        <v>2024</v>
      </c>
      <c r="I1560" s="141" t="s">
        <v>32</v>
      </c>
      <c r="J1560" s="141" t="s">
        <v>90</v>
      </c>
      <c r="K1560" s="139">
        <f t="shared" si="74"/>
        <v>1</v>
      </c>
      <c r="L1560" s="142">
        <f>IF(RawData[[#This Row],[Paid/Unpaid]]="Paid", IF(VALUE($E1560)&gt;VALUE($D$3),$K1560* 10000,$K1560* 8000), 0)</f>
        <v>10000</v>
      </c>
      <c r="M1560" s="53" t="s">
        <v>146</v>
      </c>
    </row>
    <row r="1561" spans="1:13" ht="12.75" customHeight="1" x14ac:dyDescent="0.3">
      <c r="A1561" s="143" t="s">
        <v>17</v>
      </c>
      <c r="B1561" s="139" t="str">
        <f>IFERROR(VLOOKUP($A1561, NameDesignation[], 2,FALSE), " ")</f>
        <v>Former Independent Director</v>
      </c>
      <c r="C1561" s="139" t="s">
        <v>29</v>
      </c>
      <c r="D1561" s="139">
        <v>492</v>
      </c>
      <c r="E1561" s="140">
        <v>45439</v>
      </c>
      <c r="F1561" s="139" t="str">
        <f t="shared" si="72"/>
        <v>Q2-24</v>
      </c>
      <c r="G1561" s="140" t="str">
        <f t="shared" si="73"/>
        <v>May'24</v>
      </c>
      <c r="H1561" s="140" t="str">
        <f>TEXT(RawData[[#This Row],[Date]], "YYYY")</f>
        <v>2024</v>
      </c>
      <c r="I1561" s="141" t="s">
        <v>32</v>
      </c>
      <c r="J1561" s="141" t="s">
        <v>90</v>
      </c>
      <c r="K1561" s="139">
        <f t="shared" si="74"/>
        <v>1</v>
      </c>
      <c r="L1561" s="142">
        <f>IF(RawData[[#This Row],[Paid/Unpaid]]="Paid", IF(VALUE($E1561)&gt;VALUE($D$3),$K1561* 10000,$K1561* 8000), 0)</f>
        <v>10000</v>
      </c>
      <c r="M1561" s="53" t="s">
        <v>146</v>
      </c>
    </row>
    <row r="1562" spans="1:13" ht="12.75" customHeight="1" x14ac:dyDescent="0.3">
      <c r="A1562" s="143" t="s">
        <v>131</v>
      </c>
      <c r="B1562" s="139" t="str">
        <f>IFERROR(VLOOKUP($A1562, NameDesignation[], 2,FALSE), " ")</f>
        <v>Former Independent Director</v>
      </c>
      <c r="C1562" s="139" t="s">
        <v>29</v>
      </c>
      <c r="D1562" s="139">
        <v>492</v>
      </c>
      <c r="E1562" s="140">
        <v>45439</v>
      </c>
      <c r="F1562" s="139" t="str">
        <f t="shared" si="72"/>
        <v>Q2-24</v>
      </c>
      <c r="G1562" s="140" t="str">
        <f t="shared" si="73"/>
        <v>May'24</v>
      </c>
      <c r="H1562" s="140" t="str">
        <f>TEXT(RawData[[#This Row],[Date]], "YYYY")</f>
        <v>2024</v>
      </c>
      <c r="I1562" s="141" t="s">
        <v>32</v>
      </c>
      <c r="J1562" s="141" t="s">
        <v>91</v>
      </c>
      <c r="K1562" s="139">
        <f t="shared" si="74"/>
        <v>0</v>
      </c>
      <c r="L1562" s="142">
        <f>IF(RawData[[#This Row],[Paid/Unpaid]]="Paid", IF(VALUE($E1562)&gt;VALUE($D$3),$K1562* 10000,$K1562* 8000), 0)</f>
        <v>0</v>
      </c>
      <c r="M1562" s="53" t="s">
        <v>146</v>
      </c>
    </row>
    <row r="1563" spans="1:13" ht="12.75" customHeight="1" x14ac:dyDescent="0.3">
      <c r="A1563" s="143" t="s">
        <v>36</v>
      </c>
      <c r="B1563" s="139" t="str">
        <f>IFERROR(VLOOKUP($A1563, NameDesignation[], 2,FALSE), " ")</f>
        <v>Acting Managing Director &amp; CEO</v>
      </c>
      <c r="C1563" s="139" t="s">
        <v>29</v>
      </c>
      <c r="D1563" s="139">
        <v>492</v>
      </c>
      <c r="E1563" s="140">
        <v>45439</v>
      </c>
      <c r="F1563" s="139" t="str">
        <f t="shared" si="72"/>
        <v>Q2-24</v>
      </c>
      <c r="G1563" s="140" t="str">
        <f t="shared" si="73"/>
        <v>May'24</v>
      </c>
      <c r="H1563" s="140" t="str">
        <f>TEXT(RawData[[#This Row],[Date]], "YYYY")</f>
        <v>2024</v>
      </c>
      <c r="I1563" s="141" t="s">
        <v>32</v>
      </c>
      <c r="J1563" s="141" t="s">
        <v>90</v>
      </c>
      <c r="K1563" s="139">
        <f t="shared" si="74"/>
        <v>1</v>
      </c>
      <c r="L1563" s="142">
        <f>IF(RawData[[#This Row],[Paid/Unpaid]]="Paid", IF(VALUE($E1563)&gt;VALUE($D$3),$K1563* 10000,$K1563* 8000), 0)</f>
        <v>10000</v>
      </c>
      <c r="M1563" s="53" t="s">
        <v>146</v>
      </c>
    </row>
    <row r="1564" spans="1:13" ht="12.75" customHeight="1" x14ac:dyDescent="0.3">
      <c r="A1564" s="143" t="s">
        <v>20</v>
      </c>
      <c r="B1564" s="139" t="str">
        <f>IFERROR(VLOOKUP($A1564, NameDesignation[], 2,FALSE), " ")</f>
        <v>Former Independent Director</v>
      </c>
      <c r="C1564" s="139" t="s">
        <v>37</v>
      </c>
      <c r="D1564" s="139" t="s">
        <v>130</v>
      </c>
      <c r="E1564" s="140">
        <v>45453</v>
      </c>
      <c r="F1564" s="139" t="str">
        <f t="shared" si="72"/>
        <v>Q2-24</v>
      </c>
      <c r="G1564" s="140" t="str">
        <f t="shared" si="73"/>
        <v>Jun'24</v>
      </c>
      <c r="H1564" s="145" t="str">
        <f>TEXT(RawData[[#This Row],[Date]], "YYYY")</f>
        <v>2024</v>
      </c>
      <c r="I1564" s="141" t="s">
        <v>32</v>
      </c>
      <c r="J1564" s="141" t="s">
        <v>90</v>
      </c>
      <c r="K1564" s="139">
        <f t="shared" si="74"/>
        <v>1</v>
      </c>
      <c r="L1564" s="142">
        <f>IF(RawData[[#This Row],[Paid/Unpaid]]="Paid", IF(VALUE($E1564)&gt;VALUE($D$3),$K1564* 10000,$K1564* 8000), 0)</f>
        <v>10000</v>
      </c>
      <c r="M1564" s="53" t="s">
        <v>146</v>
      </c>
    </row>
    <row r="1565" spans="1:13" ht="12.75" customHeight="1" x14ac:dyDescent="0.3">
      <c r="A1565" s="143" t="s">
        <v>23</v>
      </c>
      <c r="B1565" s="139" t="str">
        <f>IFERROR(VLOOKUP($A1565, NameDesignation[], 2,FALSE), " ")</f>
        <v>Former Director</v>
      </c>
      <c r="C1565" s="139" t="s">
        <v>37</v>
      </c>
      <c r="D1565" s="139" t="s">
        <v>130</v>
      </c>
      <c r="E1565" s="140">
        <v>45453</v>
      </c>
      <c r="F1565" s="139" t="str">
        <f t="shared" si="72"/>
        <v>Q2-24</v>
      </c>
      <c r="G1565" s="140" t="str">
        <f t="shared" si="73"/>
        <v>Jun'24</v>
      </c>
      <c r="H1565" s="145" t="str">
        <f>TEXT(RawData[[#This Row],[Date]], "YYYY")</f>
        <v>2024</v>
      </c>
      <c r="I1565" s="141" t="s">
        <v>32</v>
      </c>
      <c r="J1565" s="141" t="s">
        <v>90</v>
      </c>
      <c r="K1565" s="139">
        <f t="shared" si="74"/>
        <v>1</v>
      </c>
      <c r="L1565" s="142">
        <f>IF(RawData[[#This Row],[Paid/Unpaid]]="Paid", IF(VALUE($E1565)&gt;VALUE($D$3),$K1565* 10000,$K1565* 8000), 0)</f>
        <v>10000</v>
      </c>
      <c r="M1565" s="53" t="s">
        <v>146</v>
      </c>
    </row>
    <row r="1566" spans="1:13" ht="12.75" customHeight="1" x14ac:dyDescent="0.3">
      <c r="A1566" s="143" t="s">
        <v>24</v>
      </c>
      <c r="B1566" s="139" t="str">
        <f>IFERROR(VLOOKUP($A1566, NameDesignation[], 2,FALSE), " ")</f>
        <v>Former Director</v>
      </c>
      <c r="C1566" s="139" t="s">
        <v>37</v>
      </c>
      <c r="D1566" s="139" t="s">
        <v>130</v>
      </c>
      <c r="E1566" s="140">
        <v>45453</v>
      </c>
      <c r="F1566" s="139" t="str">
        <f t="shared" si="72"/>
        <v>Q2-24</v>
      </c>
      <c r="G1566" s="140" t="str">
        <f t="shared" si="73"/>
        <v>Jun'24</v>
      </c>
      <c r="H1566" s="145" t="str">
        <f>TEXT(RawData[[#This Row],[Date]], "YYYY")</f>
        <v>2024</v>
      </c>
      <c r="I1566" s="141" t="s">
        <v>32</v>
      </c>
      <c r="J1566" s="141" t="s">
        <v>90</v>
      </c>
      <c r="K1566" s="139">
        <f t="shared" si="74"/>
        <v>1</v>
      </c>
      <c r="L1566" s="142">
        <f>IF(RawData[[#This Row],[Paid/Unpaid]]="Paid", IF(VALUE($E1566)&gt;VALUE($D$3),$K1566* 10000,$K1566* 8000), 0)</f>
        <v>10000</v>
      </c>
      <c r="M1566" s="53" t="s">
        <v>146</v>
      </c>
    </row>
    <row r="1567" spans="1:13" ht="12.75" customHeight="1" x14ac:dyDescent="0.3">
      <c r="A1567" s="143" t="s">
        <v>21</v>
      </c>
      <c r="B1567" s="139" t="str">
        <f>IFERROR(VLOOKUP($A1567, NameDesignation[], 2,FALSE), " ")</f>
        <v>Former Independent Director</v>
      </c>
      <c r="C1567" s="139" t="s">
        <v>37</v>
      </c>
      <c r="D1567" s="139" t="s">
        <v>130</v>
      </c>
      <c r="E1567" s="140">
        <v>45453</v>
      </c>
      <c r="F1567" s="139" t="str">
        <f t="shared" si="72"/>
        <v>Q2-24</v>
      </c>
      <c r="G1567" s="140" t="str">
        <f t="shared" si="73"/>
        <v>Jun'24</v>
      </c>
      <c r="H1567" s="145" t="str">
        <f>TEXT(RawData[[#This Row],[Date]], "YYYY")</f>
        <v>2024</v>
      </c>
      <c r="I1567" s="141" t="s">
        <v>32</v>
      </c>
      <c r="J1567" s="141" t="s">
        <v>90</v>
      </c>
      <c r="K1567" s="139">
        <f t="shared" si="74"/>
        <v>1</v>
      </c>
      <c r="L1567" s="142">
        <f>IF(RawData[[#This Row],[Paid/Unpaid]]="Paid", IF(VALUE($E1567)&gt;VALUE($D$3),$K1567* 10000,$K1567* 8000), 0)</f>
        <v>10000</v>
      </c>
      <c r="M1567" s="53" t="s">
        <v>146</v>
      </c>
    </row>
    <row r="1568" spans="1:13" ht="12.75" customHeight="1" x14ac:dyDescent="0.3">
      <c r="A1568" s="143" t="s">
        <v>15</v>
      </c>
      <c r="B1568" s="139" t="str">
        <f>IFERROR(VLOOKUP($A1568, NameDesignation[], 2,FALSE), " ")</f>
        <v>Former Director</v>
      </c>
      <c r="C1568" s="139" t="s">
        <v>37</v>
      </c>
      <c r="D1568" s="139" t="s">
        <v>130</v>
      </c>
      <c r="E1568" s="140">
        <v>45453</v>
      </c>
      <c r="F1568" s="139" t="str">
        <f t="shared" si="72"/>
        <v>Q2-24</v>
      </c>
      <c r="G1568" s="140" t="str">
        <f t="shared" si="73"/>
        <v>Jun'24</v>
      </c>
      <c r="H1568" s="145" t="str">
        <f>TEXT(RawData[[#This Row],[Date]], "YYYY")</f>
        <v>2024</v>
      </c>
      <c r="I1568" s="141" t="s">
        <v>32</v>
      </c>
      <c r="J1568" s="141" t="s">
        <v>90</v>
      </c>
      <c r="K1568" s="139">
        <f t="shared" si="74"/>
        <v>1</v>
      </c>
      <c r="L1568" s="142">
        <f>IF(RawData[[#This Row],[Paid/Unpaid]]="Paid", IF(VALUE($E1568)&gt;VALUE($D$3),$K1568* 10000,$K1568* 8000), 0)</f>
        <v>10000</v>
      </c>
      <c r="M1568" s="53" t="s">
        <v>146</v>
      </c>
    </row>
    <row r="1569" spans="1:13" ht="12.75" customHeight="1" x14ac:dyDescent="0.3">
      <c r="A1569" s="143" t="s">
        <v>7</v>
      </c>
      <c r="B1569" s="139" t="str">
        <f>IFERROR(VLOOKUP($A1569, NameDesignation[], 2,FALSE), " ")</f>
        <v>Former Director</v>
      </c>
      <c r="C1569" s="139" t="s">
        <v>29</v>
      </c>
      <c r="D1569" s="139" t="s">
        <v>129</v>
      </c>
      <c r="E1569" s="140">
        <v>45453</v>
      </c>
      <c r="F1569" s="139" t="str">
        <f t="shared" si="72"/>
        <v>Q2-24</v>
      </c>
      <c r="G1569" s="140" t="str">
        <f t="shared" si="73"/>
        <v>Jun'24</v>
      </c>
      <c r="H1569" s="145" t="str">
        <f>TEXT(RawData[[#This Row],[Date]], "YYYY")</f>
        <v>2024</v>
      </c>
      <c r="I1569" s="141" t="s">
        <v>32</v>
      </c>
      <c r="J1569" s="146" t="s">
        <v>91</v>
      </c>
      <c r="K1569" s="139">
        <f t="shared" si="74"/>
        <v>0</v>
      </c>
      <c r="L1569" s="142">
        <f>IF(RawData[[#This Row],[Paid/Unpaid]]="Paid", IF(VALUE($E1569)&gt;VALUE($D$3),$K1569* 10000,$K1569* 8000), 0)</f>
        <v>0</v>
      </c>
      <c r="M1569" s="53" t="s">
        <v>146</v>
      </c>
    </row>
    <row r="1570" spans="1:13" ht="12.75" customHeight="1" x14ac:dyDescent="0.3">
      <c r="A1570" s="143" t="s">
        <v>8</v>
      </c>
      <c r="B1570" s="139" t="str">
        <f>IFERROR(VLOOKUP($A1570, NameDesignation[], 2,FALSE), " ")</f>
        <v>Former Vice-Chairman</v>
      </c>
      <c r="C1570" s="139" t="s">
        <v>29</v>
      </c>
      <c r="D1570" s="139" t="s">
        <v>129</v>
      </c>
      <c r="E1570" s="140">
        <v>45453</v>
      </c>
      <c r="F1570" s="139" t="str">
        <f t="shared" si="72"/>
        <v>Q2-24</v>
      </c>
      <c r="G1570" s="140" t="str">
        <f t="shared" si="73"/>
        <v>Jun'24</v>
      </c>
      <c r="H1570" s="145" t="str">
        <f>TEXT(RawData[[#This Row],[Date]], "YYYY")</f>
        <v>2024</v>
      </c>
      <c r="I1570" s="141" t="s">
        <v>32</v>
      </c>
      <c r="J1570" s="141" t="s">
        <v>90</v>
      </c>
      <c r="K1570" s="139">
        <f t="shared" si="74"/>
        <v>1</v>
      </c>
      <c r="L1570" s="142">
        <f>IF(RawData[[#This Row],[Paid/Unpaid]]="Paid", IF(VALUE($E1570)&gt;VALUE($D$3),$K1570* 10000,$K1570* 8000), 0)</f>
        <v>10000</v>
      </c>
      <c r="M1570" s="53" t="s">
        <v>146</v>
      </c>
    </row>
    <row r="1571" spans="1:13" ht="12.75" customHeight="1" x14ac:dyDescent="0.3">
      <c r="A1571" s="143" t="s">
        <v>9</v>
      </c>
      <c r="B1571" s="139" t="str">
        <f>IFERROR(VLOOKUP($A1571, NameDesignation[], 2,FALSE), " ")</f>
        <v>Former Director</v>
      </c>
      <c r="C1571" s="139" t="s">
        <v>29</v>
      </c>
      <c r="D1571" s="139" t="s">
        <v>129</v>
      </c>
      <c r="E1571" s="140">
        <v>45453</v>
      </c>
      <c r="F1571" s="139" t="str">
        <f t="shared" si="72"/>
        <v>Q2-24</v>
      </c>
      <c r="G1571" s="140" t="str">
        <f t="shared" si="73"/>
        <v>Jun'24</v>
      </c>
      <c r="H1571" s="145" t="str">
        <f>TEXT(RawData[[#This Row],[Date]], "YYYY")</f>
        <v>2024</v>
      </c>
      <c r="I1571" s="141" t="s">
        <v>32</v>
      </c>
      <c r="J1571" s="141" t="s">
        <v>90</v>
      </c>
      <c r="K1571" s="139">
        <f t="shared" si="74"/>
        <v>1</v>
      </c>
      <c r="L1571" s="142">
        <f>IF(RawData[[#This Row],[Paid/Unpaid]]="Paid", IF(VALUE($E1571)&gt;VALUE($D$3),$K1571* 10000,$K1571* 8000), 0)</f>
        <v>10000</v>
      </c>
      <c r="M1571" s="53" t="s">
        <v>146</v>
      </c>
    </row>
    <row r="1572" spans="1:13" ht="12.75" customHeight="1" x14ac:dyDescent="0.3">
      <c r="A1572" s="143" t="s">
        <v>20</v>
      </c>
      <c r="B1572" s="139" t="str">
        <f>IFERROR(VLOOKUP($A1572, NameDesignation[], 2,FALSE), " ")</f>
        <v>Former Independent Director</v>
      </c>
      <c r="C1572" s="139" t="s">
        <v>29</v>
      </c>
      <c r="D1572" s="139" t="s">
        <v>129</v>
      </c>
      <c r="E1572" s="140">
        <v>45453</v>
      </c>
      <c r="F1572" s="139" t="str">
        <f t="shared" si="72"/>
        <v>Q2-24</v>
      </c>
      <c r="G1572" s="140" t="str">
        <f t="shared" si="73"/>
        <v>Jun'24</v>
      </c>
      <c r="H1572" s="145" t="str">
        <f>TEXT(RawData[[#This Row],[Date]], "YYYY")</f>
        <v>2024</v>
      </c>
      <c r="I1572" s="141" t="s">
        <v>32</v>
      </c>
      <c r="J1572" s="141" t="s">
        <v>90</v>
      </c>
      <c r="K1572" s="139">
        <f t="shared" si="74"/>
        <v>1</v>
      </c>
      <c r="L1572" s="142">
        <f>IF(RawData[[#This Row],[Paid/Unpaid]]="Paid", IF(VALUE($E1572)&gt;VALUE($D$3),$K1572* 10000,$K1572* 8000), 0)</f>
        <v>10000</v>
      </c>
      <c r="M1572" s="53" t="s">
        <v>146</v>
      </c>
    </row>
    <row r="1573" spans="1:13" ht="12.75" customHeight="1" x14ac:dyDescent="0.3">
      <c r="A1573" s="143" t="s">
        <v>49</v>
      </c>
      <c r="B1573" s="139" t="str">
        <f>IFERROR(VLOOKUP($A1573, NameDesignation[], 2,FALSE), " ")</f>
        <v>Former Director</v>
      </c>
      <c r="C1573" s="139" t="s">
        <v>29</v>
      </c>
      <c r="D1573" s="139" t="s">
        <v>129</v>
      </c>
      <c r="E1573" s="140">
        <v>45453</v>
      </c>
      <c r="F1573" s="139" t="str">
        <f t="shared" si="72"/>
        <v>Q2-24</v>
      </c>
      <c r="G1573" s="140" t="str">
        <f t="shared" si="73"/>
        <v>Jun'24</v>
      </c>
      <c r="H1573" s="145" t="str">
        <f>TEXT(RawData[[#This Row],[Date]], "YYYY")</f>
        <v>2024</v>
      </c>
      <c r="I1573" s="141" t="s">
        <v>32</v>
      </c>
      <c r="J1573" s="141" t="s">
        <v>90</v>
      </c>
      <c r="K1573" s="139">
        <f t="shared" si="74"/>
        <v>1</v>
      </c>
      <c r="L1573" s="142">
        <f>IF(RawData[[#This Row],[Paid/Unpaid]]="Paid", IF(VALUE($E1573)&gt;VALUE($D$3),$K1573* 10000,$K1573* 8000), 0)</f>
        <v>10000</v>
      </c>
      <c r="M1573" s="53" t="s">
        <v>146</v>
      </c>
    </row>
    <row r="1574" spans="1:13" ht="12.75" customHeight="1" x14ac:dyDescent="0.3">
      <c r="A1574" s="143" t="s">
        <v>112</v>
      </c>
      <c r="B1574" s="139" t="str">
        <f>IFERROR(VLOOKUP($A1574, NameDesignation[], 2,FALSE), " ")</f>
        <v>Former Director</v>
      </c>
      <c r="C1574" s="139" t="s">
        <v>29</v>
      </c>
      <c r="D1574" s="139" t="s">
        <v>129</v>
      </c>
      <c r="E1574" s="140">
        <v>45453</v>
      </c>
      <c r="F1574" s="139" t="str">
        <f t="shared" si="72"/>
        <v>Q2-24</v>
      </c>
      <c r="G1574" s="140" t="str">
        <f t="shared" si="73"/>
        <v>Jun'24</v>
      </c>
      <c r="H1574" s="145" t="str">
        <f>TEXT(RawData[[#This Row],[Date]], "YYYY")</f>
        <v>2024</v>
      </c>
      <c r="I1574" s="141" t="s">
        <v>32</v>
      </c>
      <c r="J1574" s="141" t="s">
        <v>90</v>
      </c>
      <c r="K1574" s="139">
        <f t="shared" si="74"/>
        <v>1</v>
      </c>
      <c r="L1574" s="142">
        <f>IF(RawData[[#This Row],[Paid/Unpaid]]="Paid", IF(VALUE($E1574)&gt;VALUE($D$3),$K1574* 10000,$K1574* 8000), 0)</f>
        <v>10000</v>
      </c>
      <c r="M1574" s="53" t="s">
        <v>146</v>
      </c>
    </row>
    <row r="1575" spans="1:13" ht="12.75" customHeight="1" x14ac:dyDescent="0.3">
      <c r="A1575" s="143" t="s">
        <v>11</v>
      </c>
      <c r="B1575" s="139" t="str">
        <f>IFERROR(VLOOKUP($A1575, NameDesignation[], 2,FALSE), " ")</f>
        <v>Former Director</v>
      </c>
      <c r="C1575" s="139" t="s">
        <v>29</v>
      </c>
      <c r="D1575" s="139" t="s">
        <v>129</v>
      </c>
      <c r="E1575" s="140">
        <v>45453</v>
      </c>
      <c r="F1575" s="139" t="str">
        <f t="shared" si="72"/>
        <v>Q2-24</v>
      </c>
      <c r="G1575" s="140" t="str">
        <f t="shared" si="73"/>
        <v>Jun'24</v>
      </c>
      <c r="H1575" s="145" t="str">
        <f>TEXT(RawData[[#This Row],[Date]], "YYYY")</f>
        <v>2024</v>
      </c>
      <c r="I1575" s="141" t="s">
        <v>32</v>
      </c>
      <c r="J1575" s="141" t="s">
        <v>90</v>
      </c>
      <c r="K1575" s="139">
        <f t="shared" si="74"/>
        <v>1</v>
      </c>
      <c r="L1575" s="142">
        <f>IF(RawData[[#This Row],[Paid/Unpaid]]="Paid", IF(VALUE($E1575)&gt;VALUE($D$3),$K1575* 10000,$K1575* 8000), 0)</f>
        <v>10000</v>
      </c>
      <c r="M1575" s="53" t="s">
        <v>146</v>
      </c>
    </row>
    <row r="1576" spans="1:13" ht="12.75" customHeight="1" x14ac:dyDescent="0.3">
      <c r="A1576" s="143" t="s">
        <v>12</v>
      </c>
      <c r="B1576" s="139" t="str">
        <f>IFERROR(VLOOKUP($A1576, NameDesignation[], 2,FALSE), " ")</f>
        <v>Former Director</v>
      </c>
      <c r="C1576" s="139" t="s">
        <v>29</v>
      </c>
      <c r="D1576" s="139" t="s">
        <v>129</v>
      </c>
      <c r="E1576" s="140">
        <v>45453</v>
      </c>
      <c r="F1576" s="139" t="str">
        <f t="shared" si="72"/>
        <v>Q2-24</v>
      </c>
      <c r="G1576" s="140" t="str">
        <f t="shared" si="73"/>
        <v>Jun'24</v>
      </c>
      <c r="H1576" s="145" t="str">
        <f>TEXT(RawData[[#This Row],[Date]], "YYYY")</f>
        <v>2024</v>
      </c>
      <c r="I1576" s="141" t="s">
        <v>32</v>
      </c>
      <c r="J1576" s="141" t="s">
        <v>90</v>
      </c>
      <c r="K1576" s="139">
        <f t="shared" si="74"/>
        <v>1</v>
      </c>
      <c r="L1576" s="142">
        <f>IF(RawData[[#This Row],[Paid/Unpaid]]="Paid", IF(VALUE($E1576)&gt;VALUE($D$3),$K1576* 10000,$K1576* 8000), 0)</f>
        <v>10000</v>
      </c>
      <c r="M1576" s="53" t="s">
        <v>146</v>
      </c>
    </row>
    <row r="1577" spans="1:13" ht="12.75" customHeight="1" x14ac:dyDescent="0.3">
      <c r="A1577" s="143" t="s">
        <v>23</v>
      </c>
      <c r="B1577" s="139" t="str">
        <f>IFERROR(VLOOKUP($A1577, NameDesignation[], 2,FALSE), " ")</f>
        <v>Former Director</v>
      </c>
      <c r="C1577" s="139" t="s">
        <v>29</v>
      </c>
      <c r="D1577" s="139" t="s">
        <v>129</v>
      </c>
      <c r="E1577" s="140">
        <v>45453</v>
      </c>
      <c r="F1577" s="139" t="str">
        <f t="shared" si="72"/>
        <v>Q2-24</v>
      </c>
      <c r="G1577" s="140" t="str">
        <f t="shared" si="73"/>
        <v>Jun'24</v>
      </c>
      <c r="H1577" s="145" t="str">
        <f>TEXT(RawData[[#This Row],[Date]], "YYYY")</f>
        <v>2024</v>
      </c>
      <c r="I1577" s="141" t="s">
        <v>32</v>
      </c>
      <c r="J1577" s="141" t="s">
        <v>90</v>
      </c>
      <c r="K1577" s="139">
        <f t="shared" si="74"/>
        <v>1</v>
      </c>
      <c r="L1577" s="142">
        <f>IF(RawData[[#This Row],[Paid/Unpaid]]="Paid", IF(VALUE($E1577)&gt;VALUE($D$3),$K1577* 10000,$K1577* 8000), 0)</f>
        <v>10000</v>
      </c>
      <c r="M1577" s="53" t="s">
        <v>146</v>
      </c>
    </row>
    <row r="1578" spans="1:13" ht="12.75" customHeight="1" x14ac:dyDescent="0.3">
      <c r="A1578" s="143" t="s">
        <v>137</v>
      </c>
      <c r="B1578" s="139" t="str">
        <f>IFERROR(VLOOKUP($A1578, NameDesignation[], 2,FALSE), " ")</f>
        <v>Former Director</v>
      </c>
      <c r="C1578" s="139" t="s">
        <v>29</v>
      </c>
      <c r="D1578" s="139" t="s">
        <v>129</v>
      </c>
      <c r="E1578" s="140">
        <v>45453</v>
      </c>
      <c r="F1578" s="139" t="str">
        <f t="shared" si="72"/>
        <v>Q2-24</v>
      </c>
      <c r="G1578" s="140" t="str">
        <f t="shared" si="73"/>
        <v>Jun'24</v>
      </c>
      <c r="H1578" s="145" t="str">
        <f>TEXT(RawData[[#This Row],[Date]], "YYYY")</f>
        <v>2024</v>
      </c>
      <c r="I1578" s="141" t="s">
        <v>32</v>
      </c>
      <c r="J1578" s="141" t="s">
        <v>91</v>
      </c>
      <c r="K1578" s="139">
        <f t="shared" si="74"/>
        <v>0</v>
      </c>
      <c r="L1578" s="142">
        <f>IF(RawData[[#This Row],[Paid/Unpaid]]="Paid", IF(VALUE($E1578)&gt;VALUE($D$3),$K1578* 10000,$K1578* 8000), 0)</f>
        <v>0</v>
      </c>
      <c r="M1578" s="53" t="s">
        <v>146</v>
      </c>
    </row>
    <row r="1579" spans="1:13" ht="12.75" customHeight="1" x14ac:dyDescent="0.3">
      <c r="A1579" s="143" t="s">
        <v>13</v>
      </c>
      <c r="B1579" s="139" t="str">
        <f>IFERROR(VLOOKUP($A1579, NameDesignation[], 2,FALSE), " ")</f>
        <v>Former Director</v>
      </c>
      <c r="C1579" s="139" t="s">
        <v>29</v>
      </c>
      <c r="D1579" s="139" t="s">
        <v>129</v>
      </c>
      <c r="E1579" s="140">
        <v>45453</v>
      </c>
      <c r="F1579" s="139" t="str">
        <f t="shared" si="72"/>
        <v>Q2-24</v>
      </c>
      <c r="G1579" s="140" t="str">
        <f t="shared" si="73"/>
        <v>Jun'24</v>
      </c>
      <c r="H1579" s="145" t="str">
        <f>TEXT(RawData[[#This Row],[Date]], "YYYY")</f>
        <v>2024</v>
      </c>
      <c r="I1579" s="141" t="s">
        <v>32</v>
      </c>
      <c r="J1579" s="141" t="s">
        <v>91</v>
      </c>
      <c r="K1579" s="139">
        <f t="shared" si="74"/>
        <v>0</v>
      </c>
      <c r="L1579" s="142">
        <f>IF(RawData[[#This Row],[Paid/Unpaid]]="Paid", IF(VALUE($E1579)&gt;VALUE($D$3),$K1579* 10000,$K1579* 8000), 0)</f>
        <v>0</v>
      </c>
      <c r="M1579" s="53" t="s">
        <v>146</v>
      </c>
    </row>
    <row r="1580" spans="1:13" ht="12.75" customHeight="1" x14ac:dyDescent="0.3">
      <c r="A1580" s="143" t="s">
        <v>61</v>
      </c>
      <c r="B1580" s="139" t="str">
        <f>IFERROR(VLOOKUP($A1580, NameDesignation[], 2,FALSE), " ")</f>
        <v>Former Director</v>
      </c>
      <c r="C1580" s="139" t="s">
        <v>29</v>
      </c>
      <c r="D1580" s="139" t="s">
        <v>129</v>
      </c>
      <c r="E1580" s="140">
        <v>45453</v>
      </c>
      <c r="F1580" s="139" t="str">
        <f t="shared" si="72"/>
        <v>Q2-24</v>
      </c>
      <c r="G1580" s="140" t="str">
        <f t="shared" si="73"/>
        <v>Jun'24</v>
      </c>
      <c r="H1580" s="145" t="str">
        <f>TEXT(RawData[[#This Row],[Date]], "YYYY")</f>
        <v>2024</v>
      </c>
      <c r="I1580" s="141" t="s">
        <v>32</v>
      </c>
      <c r="J1580" s="141" t="s">
        <v>91</v>
      </c>
      <c r="K1580" s="139">
        <f t="shared" si="74"/>
        <v>0</v>
      </c>
      <c r="L1580" s="142">
        <f>IF(RawData[[#This Row],[Paid/Unpaid]]="Paid", IF(VALUE($E1580)&gt;VALUE($D$3),$K1580* 10000,$K1580* 8000), 0)</f>
        <v>0</v>
      </c>
      <c r="M1580" s="53" t="s">
        <v>146</v>
      </c>
    </row>
    <row r="1581" spans="1:13" ht="12.75" customHeight="1" x14ac:dyDescent="0.3">
      <c r="A1581" s="143" t="s">
        <v>14</v>
      </c>
      <c r="B1581" s="139" t="str">
        <f>IFERROR(VLOOKUP($A1581, NameDesignation[], 2,FALSE), " ")</f>
        <v>Former Director</v>
      </c>
      <c r="C1581" s="139" t="s">
        <v>29</v>
      </c>
      <c r="D1581" s="139" t="s">
        <v>129</v>
      </c>
      <c r="E1581" s="140">
        <v>45453</v>
      </c>
      <c r="F1581" s="139" t="str">
        <f t="shared" si="72"/>
        <v>Q2-24</v>
      </c>
      <c r="G1581" s="140" t="str">
        <f t="shared" si="73"/>
        <v>Jun'24</v>
      </c>
      <c r="H1581" s="145" t="str">
        <f>TEXT(RawData[[#This Row],[Date]], "YYYY")</f>
        <v>2024</v>
      </c>
      <c r="I1581" s="141" t="s">
        <v>32</v>
      </c>
      <c r="J1581" s="141" t="s">
        <v>90</v>
      </c>
      <c r="K1581" s="139">
        <f t="shared" si="74"/>
        <v>1</v>
      </c>
      <c r="L1581" s="142">
        <f>IF(RawData[[#This Row],[Paid/Unpaid]]="Paid", IF(VALUE($E1581)&gt;VALUE($D$3),$K1581* 10000,$K1581* 8000), 0)</f>
        <v>10000</v>
      </c>
      <c r="M1581" s="53" t="s">
        <v>146</v>
      </c>
    </row>
    <row r="1582" spans="1:13" ht="12.75" customHeight="1" x14ac:dyDescent="0.3">
      <c r="A1582" s="143" t="s">
        <v>24</v>
      </c>
      <c r="B1582" s="139" t="str">
        <f>IFERROR(VLOOKUP($A1582, NameDesignation[], 2,FALSE), " ")</f>
        <v>Former Director</v>
      </c>
      <c r="C1582" s="139" t="s">
        <v>29</v>
      </c>
      <c r="D1582" s="139" t="s">
        <v>129</v>
      </c>
      <c r="E1582" s="140">
        <v>45453</v>
      </c>
      <c r="F1582" s="139" t="str">
        <f t="shared" si="72"/>
        <v>Q2-24</v>
      </c>
      <c r="G1582" s="140" t="str">
        <f t="shared" si="73"/>
        <v>Jun'24</v>
      </c>
      <c r="H1582" s="145" t="str">
        <f>TEXT(RawData[[#This Row],[Date]], "YYYY")</f>
        <v>2024</v>
      </c>
      <c r="I1582" s="141" t="s">
        <v>32</v>
      </c>
      <c r="J1582" s="141" t="s">
        <v>90</v>
      </c>
      <c r="K1582" s="139">
        <f t="shared" si="74"/>
        <v>1</v>
      </c>
      <c r="L1582" s="142">
        <f>IF(RawData[[#This Row],[Paid/Unpaid]]="Paid", IF(VALUE($E1582)&gt;VALUE($D$3),$K1582* 10000,$K1582* 8000), 0)</f>
        <v>10000</v>
      </c>
      <c r="M1582" s="53" t="s">
        <v>146</v>
      </c>
    </row>
    <row r="1583" spans="1:13" ht="12.75" customHeight="1" x14ac:dyDescent="0.3">
      <c r="A1583" s="143" t="s">
        <v>15</v>
      </c>
      <c r="B1583" s="139" t="str">
        <f>IFERROR(VLOOKUP($A1583, NameDesignation[], 2,FALSE), " ")</f>
        <v>Former Director</v>
      </c>
      <c r="C1583" s="139" t="s">
        <v>29</v>
      </c>
      <c r="D1583" s="139" t="s">
        <v>129</v>
      </c>
      <c r="E1583" s="140">
        <v>45453</v>
      </c>
      <c r="F1583" s="139" t="str">
        <f t="shared" si="72"/>
        <v>Q2-24</v>
      </c>
      <c r="G1583" s="140" t="str">
        <f t="shared" si="73"/>
        <v>Jun'24</v>
      </c>
      <c r="H1583" s="145" t="str">
        <f>TEXT(RawData[[#This Row],[Date]], "YYYY")</f>
        <v>2024</v>
      </c>
      <c r="I1583" s="141" t="s">
        <v>32</v>
      </c>
      <c r="J1583" s="141" t="s">
        <v>90</v>
      </c>
      <c r="K1583" s="139">
        <f t="shared" si="74"/>
        <v>1</v>
      </c>
      <c r="L1583" s="142">
        <f>IF(RawData[[#This Row],[Paid/Unpaid]]="Paid", IF(VALUE($E1583)&gt;VALUE($D$3),$K1583* 10000,$K1583* 8000), 0)</f>
        <v>10000</v>
      </c>
      <c r="M1583" s="53" t="s">
        <v>146</v>
      </c>
    </row>
    <row r="1584" spans="1:13" x14ac:dyDescent="0.3">
      <c r="A1584" s="143" t="s">
        <v>16</v>
      </c>
      <c r="B1584" s="139" t="str">
        <f>IFERROR(VLOOKUP($A1584, NameDesignation[], 2,FALSE), " ")</f>
        <v>Former Director</v>
      </c>
      <c r="C1584" s="139" t="s">
        <v>29</v>
      </c>
      <c r="D1584" s="139" t="s">
        <v>129</v>
      </c>
      <c r="E1584" s="140">
        <v>45453</v>
      </c>
      <c r="F1584" s="139" t="str">
        <f t="shared" si="72"/>
        <v>Q2-24</v>
      </c>
      <c r="G1584" s="140" t="str">
        <f t="shared" si="73"/>
        <v>Jun'24</v>
      </c>
      <c r="H1584" s="145" t="str">
        <f>TEXT(RawData[[#This Row],[Date]], "YYYY")</f>
        <v>2024</v>
      </c>
      <c r="I1584" s="141" t="s">
        <v>32</v>
      </c>
      <c r="J1584" s="141" t="s">
        <v>90</v>
      </c>
      <c r="K1584" s="139">
        <f t="shared" si="74"/>
        <v>1</v>
      </c>
      <c r="L1584" s="142">
        <f>IF(RawData[[#This Row],[Paid/Unpaid]]="Paid", IF(VALUE($E1584)&gt;VALUE($D$3),$K1584* 10000,$K1584* 8000), 0)</f>
        <v>10000</v>
      </c>
      <c r="M1584" s="53" t="s">
        <v>146</v>
      </c>
    </row>
    <row r="1585" spans="1:13" x14ac:dyDescent="0.3">
      <c r="A1585" s="143" t="s">
        <v>21</v>
      </c>
      <c r="B1585" s="139" t="str">
        <f>IFERROR(VLOOKUP($A1585, NameDesignation[], 2,FALSE), " ")</f>
        <v>Former Independent Director</v>
      </c>
      <c r="C1585" s="139" t="s">
        <v>29</v>
      </c>
      <c r="D1585" s="139" t="s">
        <v>129</v>
      </c>
      <c r="E1585" s="140">
        <v>45453</v>
      </c>
      <c r="F1585" s="139" t="str">
        <f t="shared" si="72"/>
        <v>Q2-24</v>
      </c>
      <c r="G1585" s="140" t="str">
        <f t="shared" si="73"/>
        <v>Jun'24</v>
      </c>
      <c r="H1585" s="145" t="str">
        <f>TEXT(RawData[[#This Row],[Date]], "YYYY")</f>
        <v>2024</v>
      </c>
      <c r="I1585" s="141" t="s">
        <v>32</v>
      </c>
      <c r="J1585" s="141" t="s">
        <v>90</v>
      </c>
      <c r="K1585" s="139">
        <f t="shared" si="74"/>
        <v>1</v>
      </c>
      <c r="L1585" s="142">
        <f>IF(RawData[[#This Row],[Paid/Unpaid]]="Paid", IF(VALUE($E1585)&gt;VALUE($D$3),$K1585* 10000,$K1585* 8000), 0)</f>
        <v>10000</v>
      </c>
      <c r="M1585" s="53" t="s">
        <v>146</v>
      </c>
    </row>
    <row r="1586" spans="1:13" x14ac:dyDescent="0.3">
      <c r="A1586" s="143" t="s">
        <v>17</v>
      </c>
      <c r="B1586" s="139" t="str">
        <f>IFERROR(VLOOKUP($A1586, NameDesignation[], 2,FALSE), " ")</f>
        <v>Former Independent Director</v>
      </c>
      <c r="C1586" s="139" t="s">
        <v>29</v>
      </c>
      <c r="D1586" s="139" t="s">
        <v>129</v>
      </c>
      <c r="E1586" s="140">
        <v>45453</v>
      </c>
      <c r="F1586" s="139" t="str">
        <f t="shared" si="72"/>
        <v>Q2-24</v>
      </c>
      <c r="G1586" s="140" t="str">
        <f t="shared" si="73"/>
        <v>Jun'24</v>
      </c>
      <c r="H1586" s="145" t="str">
        <f>TEXT(RawData[[#This Row],[Date]], "YYYY")</f>
        <v>2024</v>
      </c>
      <c r="I1586" s="141" t="s">
        <v>32</v>
      </c>
      <c r="J1586" s="141" t="s">
        <v>90</v>
      </c>
      <c r="K1586" s="139">
        <f t="shared" si="74"/>
        <v>1</v>
      </c>
      <c r="L1586" s="142">
        <f>IF(RawData[[#This Row],[Paid/Unpaid]]="Paid", IF(VALUE($E1586)&gt;VALUE($D$3),$K1586* 10000,$K1586* 8000), 0)</f>
        <v>10000</v>
      </c>
      <c r="M1586" s="53" t="s">
        <v>146</v>
      </c>
    </row>
    <row r="1587" spans="1:13" x14ac:dyDescent="0.3">
      <c r="A1587" s="143" t="s">
        <v>131</v>
      </c>
      <c r="B1587" s="139" t="str">
        <f>IFERROR(VLOOKUP($A1587, NameDesignation[], 2,FALSE), " ")</f>
        <v>Former Independent Director</v>
      </c>
      <c r="C1587" s="139" t="s">
        <v>29</v>
      </c>
      <c r="D1587" s="139" t="s">
        <v>129</v>
      </c>
      <c r="E1587" s="140">
        <v>45453</v>
      </c>
      <c r="F1587" s="139" t="str">
        <f t="shared" si="72"/>
        <v>Q2-24</v>
      </c>
      <c r="G1587" s="140" t="str">
        <f t="shared" si="73"/>
        <v>Jun'24</v>
      </c>
      <c r="H1587" s="145" t="str">
        <f>TEXT(RawData[[#This Row],[Date]], "YYYY")</f>
        <v>2024</v>
      </c>
      <c r="I1587" s="141" t="s">
        <v>32</v>
      </c>
      <c r="J1587" s="141" t="s">
        <v>90</v>
      </c>
      <c r="K1587" s="139">
        <f t="shared" si="74"/>
        <v>1</v>
      </c>
      <c r="L1587" s="142">
        <f>IF(RawData[[#This Row],[Paid/Unpaid]]="Paid", IF(VALUE($E1587)&gt;VALUE($D$3),$K1587* 10000,$K1587* 8000), 0)</f>
        <v>10000</v>
      </c>
      <c r="M1587" s="53" t="s">
        <v>146</v>
      </c>
    </row>
    <row r="1588" spans="1:13" x14ac:dyDescent="0.3">
      <c r="A1588" s="143" t="s">
        <v>34</v>
      </c>
      <c r="B1588" s="139" t="str">
        <f>IFERROR(VLOOKUP($A1588, NameDesignation[], 2,FALSE), " ")</f>
        <v>Former Managing Director &amp; CEO</v>
      </c>
      <c r="C1588" s="139" t="s">
        <v>29</v>
      </c>
      <c r="D1588" s="139" t="s">
        <v>129</v>
      </c>
      <c r="E1588" s="140">
        <v>45453</v>
      </c>
      <c r="F1588" s="139" t="str">
        <f t="shared" si="72"/>
        <v>Q2-24</v>
      </c>
      <c r="G1588" s="140" t="str">
        <f t="shared" si="73"/>
        <v>Jun'24</v>
      </c>
      <c r="H1588" s="145" t="str">
        <f>TEXT(RawData[[#This Row],[Date]], "YYYY")</f>
        <v>2024</v>
      </c>
      <c r="I1588" s="141" t="s">
        <v>32</v>
      </c>
      <c r="J1588" s="141" t="s">
        <v>90</v>
      </c>
      <c r="K1588" s="139">
        <f t="shared" si="74"/>
        <v>1</v>
      </c>
      <c r="L1588" s="142">
        <f>IF(RawData[[#This Row],[Paid/Unpaid]]="Paid", IF(VALUE($E1588)&gt;VALUE($D$3),$K1588* 10000,$K1588* 8000), 0)</f>
        <v>10000</v>
      </c>
      <c r="M1588" s="53" t="s">
        <v>146</v>
      </c>
    </row>
    <row r="1589" spans="1:13" ht="12.75" customHeight="1" x14ac:dyDescent="0.3">
      <c r="A1589" s="143" t="s">
        <v>9</v>
      </c>
      <c r="B1589" s="139" t="str">
        <f>IFERROR(VLOOKUP($A1589, NameDesignation[], 2,FALSE), " ")</f>
        <v>Former Director</v>
      </c>
      <c r="C1589" s="139" t="s">
        <v>30</v>
      </c>
      <c r="D1589" s="139">
        <v>469</v>
      </c>
      <c r="E1589" s="140">
        <v>45453</v>
      </c>
      <c r="F1589" s="139" t="str">
        <f t="shared" si="72"/>
        <v>Q2-24</v>
      </c>
      <c r="G1589" s="140" t="str">
        <f t="shared" si="73"/>
        <v>Jun'24</v>
      </c>
      <c r="H1589" s="145" t="str">
        <f>TEXT(RawData[[#This Row],[Date]], "YYYY")</f>
        <v>2024</v>
      </c>
      <c r="I1589" s="141" t="s">
        <v>32</v>
      </c>
      <c r="J1589" s="141" t="s">
        <v>90</v>
      </c>
      <c r="K1589" s="139">
        <f t="shared" si="74"/>
        <v>1</v>
      </c>
      <c r="L1589" s="142">
        <f>IF(RawData[[#This Row],[Paid/Unpaid]]="Paid", IF(VALUE($E1589)&gt;VALUE($D$3),$K1589* 10000,$K1589* 8000), 0)</f>
        <v>10000</v>
      </c>
      <c r="M1589" s="53" t="s">
        <v>146</v>
      </c>
    </row>
    <row r="1590" spans="1:13" ht="12.75" customHeight="1" x14ac:dyDescent="0.3">
      <c r="A1590" s="143" t="s">
        <v>8</v>
      </c>
      <c r="B1590" s="139" t="str">
        <f>IFERROR(VLOOKUP($A1590, NameDesignation[], 2,FALSE), " ")</f>
        <v>Former Vice-Chairman</v>
      </c>
      <c r="C1590" s="139" t="s">
        <v>30</v>
      </c>
      <c r="D1590" s="139">
        <v>469</v>
      </c>
      <c r="E1590" s="140">
        <v>45453</v>
      </c>
      <c r="F1590" s="139" t="str">
        <f t="shared" si="72"/>
        <v>Q2-24</v>
      </c>
      <c r="G1590" s="140" t="str">
        <f t="shared" si="73"/>
        <v>Jun'24</v>
      </c>
      <c r="H1590" s="145" t="str">
        <f>TEXT(RawData[[#This Row],[Date]], "YYYY")</f>
        <v>2024</v>
      </c>
      <c r="I1590" s="141" t="s">
        <v>32</v>
      </c>
      <c r="J1590" s="141" t="s">
        <v>90</v>
      </c>
      <c r="K1590" s="139">
        <f t="shared" si="74"/>
        <v>1</v>
      </c>
      <c r="L1590" s="142">
        <f>IF(RawData[[#This Row],[Paid/Unpaid]]="Paid", IF(VALUE($E1590)&gt;VALUE($D$3),$K1590* 10000,$K1590* 8000), 0)</f>
        <v>10000</v>
      </c>
      <c r="M1590" s="53" t="s">
        <v>146</v>
      </c>
    </row>
    <row r="1591" spans="1:13" x14ac:dyDescent="0.3">
      <c r="A1591" s="143" t="s">
        <v>49</v>
      </c>
      <c r="B1591" s="139" t="str">
        <f>IFERROR(VLOOKUP($A1591, NameDesignation[], 2,FALSE), " ")</f>
        <v>Former Director</v>
      </c>
      <c r="C1591" s="139" t="s">
        <v>30</v>
      </c>
      <c r="D1591" s="139">
        <v>469</v>
      </c>
      <c r="E1591" s="140">
        <v>45453</v>
      </c>
      <c r="F1591" s="139" t="str">
        <f t="shared" si="72"/>
        <v>Q2-24</v>
      </c>
      <c r="G1591" s="140" t="str">
        <f t="shared" si="73"/>
        <v>Jun'24</v>
      </c>
      <c r="H1591" s="145" t="str">
        <f>TEXT(RawData[[#This Row],[Date]], "YYYY")</f>
        <v>2024</v>
      </c>
      <c r="I1591" s="141" t="s">
        <v>32</v>
      </c>
      <c r="J1591" s="141" t="s">
        <v>90</v>
      </c>
      <c r="K1591" s="139">
        <f t="shared" si="74"/>
        <v>1</v>
      </c>
      <c r="L1591" s="142">
        <f>IF(RawData[[#This Row],[Paid/Unpaid]]="Paid", IF(VALUE($E1591)&gt;VALUE($D$3),$K1591* 10000,$K1591* 8000), 0)</f>
        <v>10000</v>
      </c>
      <c r="M1591" s="53" t="s">
        <v>146</v>
      </c>
    </row>
    <row r="1592" spans="1:13" x14ac:dyDescent="0.3">
      <c r="A1592" s="143" t="s">
        <v>11</v>
      </c>
      <c r="B1592" s="139" t="str">
        <f>IFERROR(VLOOKUP($A1592, NameDesignation[], 2,FALSE), " ")</f>
        <v>Former Director</v>
      </c>
      <c r="C1592" s="139" t="s">
        <v>30</v>
      </c>
      <c r="D1592" s="139">
        <v>469</v>
      </c>
      <c r="E1592" s="140">
        <v>45453</v>
      </c>
      <c r="F1592" s="139" t="str">
        <f t="shared" si="72"/>
        <v>Q2-24</v>
      </c>
      <c r="G1592" s="140" t="str">
        <f t="shared" si="73"/>
        <v>Jun'24</v>
      </c>
      <c r="H1592" s="145" t="str">
        <f>TEXT(RawData[[#This Row],[Date]], "YYYY")</f>
        <v>2024</v>
      </c>
      <c r="I1592" s="141" t="s">
        <v>32</v>
      </c>
      <c r="J1592" s="141" t="s">
        <v>90</v>
      </c>
      <c r="K1592" s="139">
        <f t="shared" si="74"/>
        <v>1</v>
      </c>
      <c r="L1592" s="142">
        <f>IF(RawData[[#This Row],[Paid/Unpaid]]="Paid", IF(VALUE($E1592)&gt;VALUE($D$3),$K1592* 10000,$K1592* 8000), 0)</f>
        <v>10000</v>
      </c>
      <c r="M1592" s="53" t="s">
        <v>146</v>
      </c>
    </row>
    <row r="1593" spans="1:13" x14ac:dyDescent="0.3">
      <c r="A1593" s="143" t="s">
        <v>12</v>
      </c>
      <c r="B1593" s="139" t="str">
        <f>IFERROR(VLOOKUP($A1593, NameDesignation[], 2,FALSE), " ")</f>
        <v>Former Director</v>
      </c>
      <c r="C1593" s="139" t="s">
        <v>30</v>
      </c>
      <c r="D1593" s="139">
        <v>469</v>
      </c>
      <c r="E1593" s="140">
        <v>45453</v>
      </c>
      <c r="F1593" s="139" t="str">
        <f t="shared" si="72"/>
        <v>Q2-24</v>
      </c>
      <c r="G1593" s="140" t="str">
        <f t="shared" si="73"/>
        <v>Jun'24</v>
      </c>
      <c r="H1593" s="145" t="str">
        <f>TEXT(RawData[[#This Row],[Date]], "YYYY")</f>
        <v>2024</v>
      </c>
      <c r="I1593" s="141" t="s">
        <v>32</v>
      </c>
      <c r="J1593" s="141" t="s">
        <v>90</v>
      </c>
      <c r="K1593" s="139">
        <f t="shared" si="74"/>
        <v>1</v>
      </c>
      <c r="L1593" s="142">
        <f>IF(RawData[[#This Row],[Paid/Unpaid]]="Paid", IF(VALUE($E1593)&gt;VALUE($D$3),$K1593* 10000,$K1593* 8000), 0)</f>
        <v>10000</v>
      </c>
      <c r="M1593" s="53" t="s">
        <v>146</v>
      </c>
    </row>
    <row r="1594" spans="1:13" x14ac:dyDescent="0.3">
      <c r="A1594" s="143" t="s">
        <v>137</v>
      </c>
      <c r="B1594" s="139" t="str">
        <f>IFERROR(VLOOKUP($A1594, NameDesignation[], 2,FALSE), " ")</f>
        <v>Former Director</v>
      </c>
      <c r="C1594" s="139" t="s">
        <v>30</v>
      </c>
      <c r="D1594" s="139">
        <v>469</v>
      </c>
      <c r="E1594" s="140">
        <v>45453</v>
      </c>
      <c r="F1594" s="139" t="str">
        <f t="shared" si="72"/>
        <v>Q2-24</v>
      </c>
      <c r="G1594" s="140" t="str">
        <f t="shared" si="73"/>
        <v>Jun'24</v>
      </c>
      <c r="H1594" s="145" t="str">
        <f>TEXT(RawData[[#This Row],[Date]], "YYYY")</f>
        <v>2024</v>
      </c>
      <c r="I1594" s="141" t="s">
        <v>32</v>
      </c>
      <c r="J1594" s="141" t="s">
        <v>91</v>
      </c>
      <c r="K1594" s="139">
        <f t="shared" si="74"/>
        <v>0</v>
      </c>
      <c r="L1594" s="142">
        <f>IF(RawData[[#This Row],[Paid/Unpaid]]="Paid", IF(VALUE($E1594)&gt;VALUE($D$3),$K1594* 10000,$K1594* 8000), 0)</f>
        <v>0</v>
      </c>
      <c r="M1594" s="53" t="s">
        <v>146</v>
      </c>
    </row>
    <row r="1595" spans="1:13" x14ac:dyDescent="0.3">
      <c r="A1595" s="143" t="s">
        <v>13</v>
      </c>
      <c r="B1595" s="139" t="str">
        <f>IFERROR(VLOOKUP($A1595, NameDesignation[], 2,FALSE), " ")</f>
        <v>Former Director</v>
      </c>
      <c r="C1595" s="139" t="s">
        <v>30</v>
      </c>
      <c r="D1595" s="139">
        <v>469</v>
      </c>
      <c r="E1595" s="140">
        <v>45453</v>
      </c>
      <c r="F1595" s="139" t="str">
        <f t="shared" si="72"/>
        <v>Q2-24</v>
      </c>
      <c r="G1595" s="140" t="str">
        <f t="shared" si="73"/>
        <v>Jun'24</v>
      </c>
      <c r="H1595" s="145" t="str">
        <f>TEXT(RawData[[#This Row],[Date]], "YYYY")</f>
        <v>2024</v>
      </c>
      <c r="I1595" s="141" t="s">
        <v>32</v>
      </c>
      <c r="J1595" s="141" t="s">
        <v>91</v>
      </c>
      <c r="K1595" s="139">
        <f t="shared" si="74"/>
        <v>0</v>
      </c>
      <c r="L1595" s="142">
        <f>IF(RawData[[#This Row],[Paid/Unpaid]]="Paid", IF(VALUE($E1595)&gt;VALUE($D$3),$K1595* 10000,$K1595* 8000), 0)</f>
        <v>0</v>
      </c>
      <c r="M1595" s="53" t="s">
        <v>146</v>
      </c>
    </row>
    <row r="1596" spans="1:13" x14ac:dyDescent="0.3">
      <c r="A1596" s="143" t="s">
        <v>34</v>
      </c>
      <c r="B1596" s="139" t="str">
        <f>IFERROR(VLOOKUP($A1596, NameDesignation[], 2,FALSE), " ")</f>
        <v>Former Managing Director &amp; CEO</v>
      </c>
      <c r="C1596" s="139" t="s">
        <v>30</v>
      </c>
      <c r="D1596" s="139">
        <v>469</v>
      </c>
      <c r="E1596" s="140">
        <v>45453</v>
      </c>
      <c r="F1596" s="139" t="str">
        <f t="shared" si="72"/>
        <v>Q2-24</v>
      </c>
      <c r="G1596" s="140" t="str">
        <f t="shared" si="73"/>
        <v>Jun'24</v>
      </c>
      <c r="H1596" s="145" t="str">
        <f>TEXT(RawData[[#This Row],[Date]], "YYYY")</f>
        <v>2024</v>
      </c>
      <c r="I1596" s="141" t="s">
        <v>32</v>
      </c>
      <c r="J1596" s="141" t="s">
        <v>90</v>
      </c>
      <c r="K1596" s="139">
        <f t="shared" si="74"/>
        <v>1</v>
      </c>
      <c r="L1596" s="142">
        <f>IF(RawData[[#This Row],[Paid/Unpaid]]="Paid", IF(VALUE($E1596)&gt;VALUE($D$3),$K1596* 10000,$K1596* 8000), 0)</f>
        <v>10000</v>
      </c>
      <c r="M1596" s="53" t="s">
        <v>146</v>
      </c>
    </row>
    <row r="1597" spans="1:13" x14ac:dyDescent="0.3">
      <c r="A1597" s="143" t="s">
        <v>127</v>
      </c>
      <c r="B1597" s="139" t="str">
        <f>IFERROR(VLOOKUP($A1597, NameDesignation[], 2,FALSE), " ")</f>
        <v>Chairman, Shariah Supervisory Committee</v>
      </c>
      <c r="C1597" s="139" t="s">
        <v>41</v>
      </c>
      <c r="D1597" s="139">
        <v>13</v>
      </c>
      <c r="E1597" s="140">
        <v>45468</v>
      </c>
      <c r="F1597" s="139" t="str">
        <f t="shared" si="72"/>
        <v>Q2-24</v>
      </c>
      <c r="G1597" s="140" t="str">
        <f t="shared" si="73"/>
        <v>Jun'24</v>
      </c>
      <c r="H1597" s="140" t="str">
        <f>TEXT(RawData[[#This Row],[Date]], "YYYY")</f>
        <v>2024</v>
      </c>
      <c r="I1597" s="141" t="s">
        <v>32</v>
      </c>
      <c r="J1597" s="141" t="s">
        <v>90</v>
      </c>
      <c r="K1597" s="139">
        <f t="shared" si="74"/>
        <v>1</v>
      </c>
      <c r="L1597" s="142">
        <f>IF(RawData[[#This Row],[Paid/Unpaid]]="Paid", IF(VALUE($E1597)&gt;VALUE($D$3),$K1597* 10000,$K1597* 8000), 0)</f>
        <v>10000</v>
      </c>
      <c r="M1597" s="53" t="s">
        <v>146</v>
      </c>
    </row>
    <row r="1598" spans="1:13" x14ac:dyDescent="0.3">
      <c r="A1598" s="143" t="s">
        <v>52</v>
      </c>
      <c r="B1598" s="139" t="str">
        <f>IFERROR(VLOOKUP($A1598, NameDesignation[], 2,FALSE), " ")</f>
        <v>Member, Shariah Supervisory Committee</v>
      </c>
      <c r="C1598" s="139" t="s">
        <v>41</v>
      </c>
      <c r="D1598" s="139">
        <v>13</v>
      </c>
      <c r="E1598" s="140">
        <v>45468</v>
      </c>
      <c r="F1598" s="139" t="str">
        <f t="shared" si="72"/>
        <v>Q2-24</v>
      </c>
      <c r="G1598" s="140" t="str">
        <f t="shared" si="73"/>
        <v>Jun'24</v>
      </c>
      <c r="H1598" s="140" t="str">
        <f>TEXT(RawData[[#This Row],[Date]], "YYYY")</f>
        <v>2024</v>
      </c>
      <c r="I1598" s="141" t="s">
        <v>32</v>
      </c>
      <c r="J1598" s="141" t="s">
        <v>90</v>
      </c>
      <c r="K1598" s="139">
        <f t="shared" si="74"/>
        <v>1</v>
      </c>
      <c r="L1598" s="142">
        <f>IF(RawData[[#This Row],[Paid/Unpaid]]="Paid", IF(VALUE($E1598)&gt;VALUE($D$3),$K1598* 10000,$K1598* 8000), 0)</f>
        <v>10000</v>
      </c>
      <c r="M1598" s="53" t="s">
        <v>146</v>
      </c>
    </row>
    <row r="1599" spans="1:13" x14ac:dyDescent="0.3">
      <c r="A1599" s="143" t="s">
        <v>128</v>
      </c>
      <c r="B1599" s="139" t="str">
        <f>IFERROR(VLOOKUP($A1599, NameDesignation[], 2,FALSE), " ")</f>
        <v>Member, Shariah Supervisory Committee</v>
      </c>
      <c r="C1599" s="139" t="s">
        <v>41</v>
      </c>
      <c r="D1599" s="139">
        <v>13</v>
      </c>
      <c r="E1599" s="140">
        <v>45468</v>
      </c>
      <c r="F1599" s="139" t="str">
        <f t="shared" si="72"/>
        <v>Q2-24</v>
      </c>
      <c r="G1599" s="140" t="str">
        <f t="shared" si="73"/>
        <v>Jun'24</v>
      </c>
      <c r="H1599" s="140" t="str">
        <f>TEXT(RawData[[#This Row],[Date]], "YYYY")</f>
        <v>2024</v>
      </c>
      <c r="I1599" s="141" t="s">
        <v>32</v>
      </c>
      <c r="J1599" s="141" t="s">
        <v>90</v>
      </c>
      <c r="K1599" s="139">
        <f t="shared" si="74"/>
        <v>1</v>
      </c>
      <c r="L1599" s="142">
        <f>IF(RawData[[#This Row],[Paid/Unpaid]]="Paid", IF(VALUE($E1599)&gt;VALUE($D$3),$K1599* 10000,$K1599* 8000), 0)</f>
        <v>10000</v>
      </c>
      <c r="M1599" s="53" t="s">
        <v>146</v>
      </c>
    </row>
    <row r="1600" spans="1:13" x14ac:dyDescent="0.3">
      <c r="A1600" s="143" t="s">
        <v>126</v>
      </c>
      <c r="B1600" s="139" t="str">
        <f>IFERROR(VLOOKUP($A1600, NameDesignation[], 2,FALSE), " ")</f>
        <v>Member, Shariah Supervisory Committee</v>
      </c>
      <c r="C1600" s="139" t="s">
        <v>41</v>
      </c>
      <c r="D1600" s="139">
        <v>13</v>
      </c>
      <c r="E1600" s="140">
        <v>45468</v>
      </c>
      <c r="F1600" s="139" t="str">
        <f t="shared" si="72"/>
        <v>Q2-24</v>
      </c>
      <c r="G1600" s="140" t="str">
        <f t="shared" si="73"/>
        <v>Jun'24</v>
      </c>
      <c r="H1600" s="140" t="str">
        <f>TEXT(RawData[[#This Row],[Date]], "YYYY")</f>
        <v>2024</v>
      </c>
      <c r="I1600" s="141" t="s">
        <v>32</v>
      </c>
      <c r="J1600" s="141" t="s">
        <v>90</v>
      </c>
      <c r="K1600" s="139">
        <f t="shared" si="74"/>
        <v>1</v>
      </c>
      <c r="L1600" s="142">
        <f>IF(RawData[[#This Row],[Paid/Unpaid]]="Paid", IF(VALUE($E1600)&gt;VALUE($D$3),$K1600* 10000,$K1600* 8000), 0)</f>
        <v>10000</v>
      </c>
      <c r="M1600" s="53" t="s">
        <v>146</v>
      </c>
    </row>
    <row r="1601" spans="1:13" x14ac:dyDescent="0.3">
      <c r="A1601" s="143" t="s">
        <v>54</v>
      </c>
      <c r="B1601" s="139" t="str">
        <f>IFERROR(VLOOKUP($A1601, NameDesignation[], 2,FALSE), " ")</f>
        <v>Member, Shariah Supervisory Committee</v>
      </c>
      <c r="C1601" s="139" t="s">
        <v>41</v>
      </c>
      <c r="D1601" s="139">
        <v>13</v>
      </c>
      <c r="E1601" s="140">
        <v>45468</v>
      </c>
      <c r="F1601" s="139" t="str">
        <f t="shared" si="72"/>
        <v>Q2-24</v>
      </c>
      <c r="G1601" s="140" t="str">
        <f t="shared" si="73"/>
        <v>Jun'24</v>
      </c>
      <c r="H1601" s="140" t="str">
        <f>TEXT(RawData[[#This Row],[Date]], "YYYY")</f>
        <v>2024</v>
      </c>
      <c r="I1601" s="141" t="s">
        <v>32</v>
      </c>
      <c r="J1601" s="141" t="s">
        <v>90</v>
      </c>
      <c r="K1601" s="139">
        <f t="shared" si="74"/>
        <v>1</v>
      </c>
      <c r="L1601" s="142">
        <f>IF(RawData[[#This Row],[Paid/Unpaid]]="Paid", IF(VALUE($E1601)&gt;VALUE($D$3),$K1601* 10000,$K1601* 8000), 0)</f>
        <v>10000</v>
      </c>
      <c r="M1601" s="53" t="s">
        <v>146</v>
      </c>
    </row>
    <row r="1602" spans="1:13" x14ac:dyDescent="0.3">
      <c r="A1602" s="143" t="s">
        <v>7</v>
      </c>
      <c r="B1602" s="139" t="str">
        <f>IFERROR(VLOOKUP($A1602, NameDesignation[], 2,FALSE), " ")</f>
        <v>Former Director</v>
      </c>
      <c r="C1602" s="139" t="s">
        <v>29</v>
      </c>
      <c r="D1602" s="139">
        <v>494</v>
      </c>
      <c r="E1602" s="140">
        <v>45503</v>
      </c>
      <c r="F1602" s="139" t="str">
        <f t="shared" si="72"/>
        <v>Q3-24</v>
      </c>
      <c r="G1602" s="140" t="str">
        <f t="shared" si="73"/>
        <v>Jul'24</v>
      </c>
      <c r="H1602" s="140" t="str">
        <f>TEXT(RawData[[#This Row],[Date]], "YYYY")</f>
        <v>2024</v>
      </c>
      <c r="I1602" s="141" t="s">
        <v>32</v>
      </c>
      <c r="J1602" s="141" t="s">
        <v>91</v>
      </c>
      <c r="K1602" s="139">
        <f t="shared" si="74"/>
        <v>0</v>
      </c>
      <c r="L1602" s="142">
        <f>IF(RawData[[#This Row],[Paid/Unpaid]]="Paid", IF(VALUE($E1602)&gt;VALUE($D$3),$K1602* 10000,$K1602* 8000), 0)</f>
        <v>0</v>
      </c>
      <c r="M1602" s="53" t="s">
        <v>146</v>
      </c>
    </row>
    <row r="1603" spans="1:13" x14ac:dyDescent="0.3">
      <c r="A1603" s="143" t="s">
        <v>8</v>
      </c>
      <c r="B1603" s="139" t="str">
        <f>IFERROR(VLOOKUP($A1603, NameDesignation[], 2,FALSE), " ")</f>
        <v>Former Vice-Chairman</v>
      </c>
      <c r="C1603" s="139" t="s">
        <v>29</v>
      </c>
      <c r="D1603" s="139">
        <v>494</v>
      </c>
      <c r="E1603" s="140">
        <v>45503</v>
      </c>
      <c r="F1603" s="139" t="str">
        <f t="shared" si="72"/>
        <v>Q3-24</v>
      </c>
      <c r="G1603" s="140" t="str">
        <f t="shared" si="73"/>
        <v>Jul'24</v>
      </c>
      <c r="H1603" s="140" t="str">
        <f>TEXT(RawData[[#This Row],[Date]], "YYYY")</f>
        <v>2024</v>
      </c>
      <c r="I1603" s="141" t="s">
        <v>32</v>
      </c>
      <c r="J1603" s="141" t="s">
        <v>90</v>
      </c>
      <c r="K1603" s="139">
        <f t="shared" si="74"/>
        <v>1</v>
      </c>
      <c r="L1603" s="142">
        <f>IF(RawData[[#This Row],[Paid/Unpaid]]="Paid", IF(VALUE($E1603)&gt;VALUE($D$3),$K1603* 10000,$K1603* 8000), 0)</f>
        <v>10000</v>
      </c>
      <c r="M1603" s="53" t="s">
        <v>146</v>
      </c>
    </row>
    <row r="1604" spans="1:13" x14ac:dyDescent="0.3">
      <c r="A1604" s="143" t="s">
        <v>9</v>
      </c>
      <c r="B1604" s="139" t="str">
        <f>IFERROR(VLOOKUP($A1604, NameDesignation[], 2,FALSE), " ")</f>
        <v>Former Director</v>
      </c>
      <c r="C1604" s="139" t="s">
        <v>29</v>
      </c>
      <c r="D1604" s="139">
        <v>494</v>
      </c>
      <c r="E1604" s="140">
        <v>45503</v>
      </c>
      <c r="F1604" s="139" t="str">
        <f t="shared" si="72"/>
        <v>Q3-24</v>
      </c>
      <c r="G1604" s="140" t="str">
        <f t="shared" si="73"/>
        <v>Jul'24</v>
      </c>
      <c r="H1604" s="140" t="str">
        <f>TEXT(RawData[[#This Row],[Date]], "YYYY")</f>
        <v>2024</v>
      </c>
      <c r="I1604" s="141" t="s">
        <v>32</v>
      </c>
      <c r="J1604" s="141" t="s">
        <v>90</v>
      </c>
      <c r="K1604" s="139">
        <f t="shared" si="74"/>
        <v>1</v>
      </c>
      <c r="L1604" s="142">
        <f>IF(RawData[[#This Row],[Paid/Unpaid]]="Paid", IF(VALUE($E1604)&gt;VALUE($D$3),$K1604* 10000,$K1604* 8000), 0)</f>
        <v>10000</v>
      </c>
      <c r="M1604" s="53" t="s">
        <v>146</v>
      </c>
    </row>
    <row r="1605" spans="1:13" x14ac:dyDescent="0.3">
      <c r="A1605" s="143" t="s">
        <v>20</v>
      </c>
      <c r="B1605" s="139" t="str">
        <f>IFERROR(VLOOKUP($A1605, NameDesignation[], 2,FALSE), " ")</f>
        <v>Former Independent Director</v>
      </c>
      <c r="C1605" s="139" t="s">
        <v>29</v>
      </c>
      <c r="D1605" s="139">
        <v>494</v>
      </c>
      <c r="E1605" s="140">
        <v>45503</v>
      </c>
      <c r="F1605" s="139" t="str">
        <f t="shared" si="72"/>
        <v>Q3-24</v>
      </c>
      <c r="G1605" s="140" t="str">
        <f t="shared" si="73"/>
        <v>Jul'24</v>
      </c>
      <c r="H1605" s="140" t="str">
        <f>TEXT(RawData[[#This Row],[Date]], "YYYY")</f>
        <v>2024</v>
      </c>
      <c r="I1605" s="141" t="s">
        <v>32</v>
      </c>
      <c r="J1605" s="141" t="s">
        <v>90</v>
      </c>
      <c r="K1605" s="139">
        <f t="shared" si="74"/>
        <v>1</v>
      </c>
      <c r="L1605" s="142">
        <f>IF(RawData[[#This Row],[Paid/Unpaid]]="Paid", IF(VALUE($E1605)&gt;VALUE($D$3),$K1605* 10000,$K1605* 8000), 0)</f>
        <v>10000</v>
      </c>
      <c r="M1605" s="53" t="s">
        <v>146</v>
      </c>
    </row>
    <row r="1606" spans="1:13" x14ac:dyDescent="0.3">
      <c r="A1606" s="143" t="s">
        <v>49</v>
      </c>
      <c r="B1606" s="139" t="str">
        <f>IFERROR(VLOOKUP($A1606, NameDesignation[], 2,FALSE), " ")</f>
        <v>Former Director</v>
      </c>
      <c r="C1606" s="139" t="s">
        <v>29</v>
      </c>
      <c r="D1606" s="139">
        <v>494</v>
      </c>
      <c r="E1606" s="140">
        <v>45503</v>
      </c>
      <c r="F1606" s="139" t="str">
        <f t="shared" ref="F1606:F1674" si="75">CONCATENATE("Q", ROUNDUP(MONTH($E1606)/3,0),"-",TEXT($E1606, "yy"))</f>
        <v>Q3-24</v>
      </c>
      <c r="G1606" s="140" t="str">
        <f t="shared" ref="G1606:G1674" si="76">CONCATENATE(TEXT($E1606, "mmm"),"'", TEXT($E1606, "yy"))</f>
        <v>Jul'24</v>
      </c>
      <c r="H1606" s="140" t="str">
        <f>TEXT(RawData[[#This Row],[Date]], "YYYY")</f>
        <v>2024</v>
      </c>
      <c r="I1606" s="141" t="s">
        <v>32</v>
      </c>
      <c r="J1606" s="141" t="s">
        <v>90</v>
      </c>
      <c r="K1606" s="139">
        <f t="shared" ref="K1606:K1674" si="77">IF($J1606="Present", 1, 0)</f>
        <v>1</v>
      </c>
      <c r="L1606" s="142">
        <f>IF(RawData[[#This Row],[Paid/Unpaid]]="Paid", IF(VALUE($E1606)&gt;VALUE($D$3),$K1606* 10000,$K1606* 8000), 0)</f>
        <v>10000</v>
      </c>
      <c r="M1606" s="53" t="s">
        <v>146</v>
      </c>
    </row>
    <row r="1607" spans="1:13" x14ac:dyDescent="0.3">
      <c r="A1607" s="143" t="s">
        <v>112</v>
      </c>
      <c r="B1607" s="139" t="str">
        <f>IFERROR(VLOOKUP($A1607, NameDesignation[], 2,FALSE), " ")</f>
        <v>Former Director</v>
      </c>
      <c r="C1607" s="139" t="s">
        <v>29</v>
      </c>
      <c r="D1607" s="139">
        <v>494</v>
      </c>
      <c r="E1607" s="140">
        <v>45503</v>
      </c>
      <c r="F1607" s="139" t="str">
        <f t="shared" si="75"/>
        <v>Q3-24</v>
      </c>
      <c r="G1607" s="140" t="str">
        <f t="shared" si="76"/>
        <v>Jul'24</v>
      </c>
      <c r="H1607" s="140" t="str">
        <f>TEXT(RawData[[#This Row],[Date]], "YYYY")</f>
        <v>2024</v>
      </c>
      <c r="I1607" s="141" t="s">
        <v>32</v>
      </c>
      <c r="J1607" s="141" t="s">
        <v>91</v>
      </c>
      <c r="K1607" s="139">
        <f t="shared" si="77"/>
        <v>0</v>
      </c>
      <c r="L1607" s="142">
        <f>IF(RawData[[#This Row],[Paid/Unpaid]]="Paid", IF(VALUE($E1607)&gt;VALUE($D$3),$K1607* 10000,$K1607* 8000), 0)</f>
        <v>0</v>
      </c>
      <c r="M1607" s="53" t="s">
        <v>146</v>
      </c>
    </row>
    <row r="1608" spans="1:13" x14ac:dyDescent="0.3">
      <c r="A1608" s="143" t="s">
        <v>11</v>
      </c>
      <c r="B1608" s="139" t="str">
        <f>IFERROR(VLOOKUP($A1608, NameDesignation[], 2,FALSE), " ")</f>
        <v>Former Director</v>
      </c>
      <c r="C1608" s="139" t="s">
        <v>29</v>
      </c>
      <c r="D1608" s="139">
        <v>494</v>
      </c>
      <c r="E1608" s="140">
        <v>45503</v>
      </c>
      <c r="F1608" s="139" t="str">
        <f t="shared" si="75"/>
        <v>Q3-24</v>
      </c>
      <c r="G1608" s="140" t="str">
        <f t="shared" si="76"/>
        <v>Jul'24</v>
      </c>
      <c r="H1608" s="140" t="str">
        <f>TEXT(RawData[[#This Row],[Date]], "YYYY")</f>
        <v>2024</v>
      </c>
      <c r="I1608" s="141" t="s">
        <v>32</v>
      </c>
      <c r="J1608" s="141" t="s">
        <v>90</v>
      </c>
      <c r="K1608" s="139">
        <f t="shared" si="77"/>
        <v>1</v>
      </c>
      <c r="L1608" s="142">
        <f>IF(RawData[[#This Row],[Paid/Unpaid]]="Paid", IF(VALUE($E1608)&gt;VALUE($D$3),$K1608* 10000,$K1608* 8000), 0)</f>
        <v>10000</v>
      </c>
      <c r="M1608" s="53" t="s">
        <v>146</v>
      </c>
    </row>
    <row r="1609" spans="1:13" x14ac:dyDescent="0.3">
      <c r="A1609" s="143" t="s">
        <v>12</v>
      </c>
      <c r="B1609" s="139" t="str">
        <f>IFERROR(VLOOKUP($A1609, NameDesignation[], 2,FALSE), " ")</f>
        <v>Former Director</v>
      </c>
      <c r="C1609" s="139" t="s">
        <v>29</v>
      </c>
      <c r="D1609" s="139">
        <v>494</v>
      </c>
      <c r="E1609" s="140">
        <v>45503</v>
      </c>
      <c r="F1609" s="139" t="str">
        <f t="shared" si="75"/>
        <v>Q3-24</v>
      </c>
      <c r="G1609" s="140" t="str">
        <f t="shared" si="76"/>
        <v>Jul'24</v>
      </c>
      <c r="H1609" s="140" t="str">
        <f>TEXT(RawData[[#This Row],[Date]], "YYYY")</f>
        <v>2024</v>
      </c>
      <c r="I1609" s="141" t="s">
        <v>32</v>
      </c>
      <c r="J1609" s="141" t="s">
        <v>91</v>
      </c>
      <c r="K1609" s="139">
        <f t="shared" si="77"/>
        <v>0</v>
      </c>
      <c r="L1609" s="142">
        <f>IF(RawData[[#This Row],[Paid/Unpaid]]="Paid", IF(VALUE($E1609)&gt;VALUE($D$3),$K1609* 10000,$K1609* 8000), 0)</f>
        <v>0</v>
      </c>
      <c r="M1609" s="53" t="s">
        <v>146</v>
      </c>
    </row>
    <row r="1610" spans="1:13" x14ac:dyDescent="0.3">
      <c r="A1610" s="143" t="s">
        <v>23</v>
      </c>
      <c r="B1610" s="139" t="str">
        <f>IFERROR(VLOOKUP($A1610, NameDesignation[], 2,FALSE), " ")</f>
        <v>Former Director</v>
      </c>
      <c r="C1610" s="139" t="s">
        <v>29</v>
      </c>
      <c r="D1610" s="139">
        <v>494</v>
      </c>
      <c r="E1610" s="140">
        <v>45503</v>
      </c>
      <c r="F1610" s="139" t="str">
        <f t="shared" si="75"/>
        <v>Q3-24</v>
      </c>
      <c r="G1610" s="140" t="str">
        <f t="shared" si="76"/>
        <v>Jul'24</v>
      </c>
      <c r="H1610" s="140" t="str">
        <f>TEXT(RawData[[#This Row],[Date]], "YYYY")</f>
        <v>2024</v>
      </c>
      <c r="I1610" s="141" t="s">
        <v>32</v>
      </c>
      <c r="J1610" s="141" t="s">
        <v>90</v>
      </c>
      <c r="K1610" s="139">
        <f t="shared" si="77"/>
        <v>1</v>
      </c>
      <c r="L1610" s="142">
        <f>IF(RawData[[#This Row],[Paid/Unpaid]]="Paid", IF(VALUE($E1610)&gt;VALUE($D$3),$K1610* 10000,$K1610* 8000), 0)</f>
        <v>10000</v>
      </c>
      <c r="M1610" s="53" t="s">
        <v>146</v>
      </c>
    </row>
    <row r="1611" spans="1:13" x14ac:dyDescent="0.3">
      <c r="A1611" s="143" t="s">
        <v>137</v>
      </c>
      <c r="B1611" s="139" t="str">
        <f>IFERROR(VLOOKUP($A1611, NameDesignation[], 2,FALSE), " ")</f>
        <v>Former Director</v>
      </c>
      <c r="C1611" s="139" t="s">
        <v>29</v>
      </c>
      <c r="D1611" s="139">
        <v>494</v>
      </c>
      <c r="E1611" s="140">
        <v>45503</v>
      </c>
      <c r="F1611" s="139" t="str">
        <f t="shared" si="75"/>
        <v>Q3-24</v>
      </c>
      <c r="G1611" s="140" t="str">
        <f t="shared" si="76"/>
        <v>Jul'24</v>
      </c>
      <c r="H1611" s="140" t="str">
        <f>TEXT(RawData[[#This Row],[Date]], "YYYY")</f>
        <v>2024</v>
      </c>
      <c r="I1611" s="141" t="s">
        <v>32</v>
      </c>
      <c r="J1611" s="141" t="s">
        <v>90</v>
      </c>
      <c r="K1611" s="139">
        <f t="shared" si="77"/>
        <v>1</v>
      </c>
      <c r="L1611" s="142">
        <f>IF(RawData[[#This Row],[Paid/Unpaid]]="Paid", IF(VALUE($E1611)&gt;VALUE($D$3),$K1611* 10000,$K1611* 8000), 0)</f>
        <v>10000</v>
      </c>
      <c r="M1611" s="53" t="s">
        <v>146</v>
      </c>
    </row>
    <row r="1612" spans="1:13" x14ac:dyDescent="0.3">
      <c r="A1612" s="143" t="s">
        <v>13</v>
      </c>
      <c r="B1612" s="139" t="str">
        <f>IFERROR(VLOOKUP($A1612, NameDesignation[], 2,FALSE), " ")</f>
        <v>Former Director</v>
      </c>
      <c r="C1612" s="139" t="s">
        <v>29</v>
      </c>
      <c r="D1612" s="139">
        <v>494</v>
      </c>
      <c r="E1612" s="140">
        <v>45503</v>
      </c>
      <c r="F1612" s="139" t="str">
        <f t="shared" si="75"/>
        <v>Q3-24</v>
      </c>
      <c r="G1612" s="140" t="str">
        <f t="shared" si="76"/>
        <v>Jul'24</v>
      </c>
      <c r="H1612" s="140" t="str">
        <f>TEXT(RawData[[#This Row],[Date]], "YYYY")</f>
        <v>2024</v>
      </c>
      <c r="I1612" s="141" t="s">
        <v>32</v>
      </c>
      <c r="J1612" s="141" t="s">
        <v>91</v>
      </c>
      <c r="K1612" s="139">
        <f t="shared" si="77"/>
        <v>0</v>
      </c>
      <c r="L1612" s="142">
        <f>IF(RawData[[#This Row],[Paid/Unpaid]]="Paid", IF(VALUE($E1612)&gt;VALUE($D$3),$K1612* 10000,$K1612* 8000), 0)</f>
        <v>0</v>
      </c>
      <c r="M1612" s="53" t="s">
        <v>146</v>
      </c>
    </row>
    <row r="1613" spans="1:13" x14ac:dyDescent="0.3">
      <c r="A1613" s="143" t="s">
        <v>61</v>
      </c>
      <c r="B1613" s="139" t="str">
        <f>IFERROR(VLOOKUP($A1613, NameDesignation[], 2,FALSE), " ")</f>
        <v>Former Director</v>
      </c>
      <c r="C1613" s="139" t="s">
        <v>29</v>
      </c>
      <c r="D1613" s="139">
        <v>494</v>
      </c>
      <c r="E1613" s="140">
        <v>45503</v>
      </c>
      <c r="F1613" s="139" t="str">
        <f t="shared" si="75"/>
        <v>Q3-24</v>
      </c>
      <c r="G1613" s="140" t="str">
        <f t="shared" si="76"/>
        <v>Jul'24</v>
      </c>
      <c r="H1613" s="140" t="str">
        <f>TEXT(RawData[[#This Row],[Date]], "YYYY")</f>
        <v>2024</v>
      </c>
      <c r="I1613" s="141" t="s">
        <v>32</v>
      </c>
      <c r="J1613" s="141" t="s">
        <v>91</v>
      </c>
      <c r="K1613" s="139">
        <f t="shared" si="77"/>
        <v>0</v>
      </c>
      <c r="L1613" s="142">
        <f>IF(RawData[[#This Row],[Paid/Unpaid]]="Paid", IF(VALUE($E1613)&gt;VALUE($D$3),$K1613* 10000,$K1613* 8000), 0)</f>
        <v>0</v>
      </c>
      <c r="M1613" s="53" t="s">
        <v>146</v>
      </c>
    </row>
    <row r="1614" spans="1:13" x14ac:dyDescent="0.3">
      <c r="A1614" s="143" t="s">
        <v>14</v>
      </c>
      <c r="B1614" s="139" t="str">
        <f>IFERROR(VLOOKUP($A1614, NameDesignation[], 2,FALSE), " ")</f>
        <v>Former Director</v>
      </c>
      <c r="C1614" s="139" t="s">
        <v>29</v>
      </c>
      <c r="D1614" s="139">
        <v>494</v>
      </c>
      <c r="E1614" s="140">
        <v>45503</v>
      </c>
      <c r="F1614" s="139" t="str">
        <f t="shared" si="75"/>
        <v>Q3-24</v>
      </c>
      <c r="G1614" s="140" t="str">
        <f t="shared" si="76"/>
        <v>Jul'24</v>
      </c>
      <c r="H1614" s="140" t="str">
        <f>TEXT(RawData[[#This Row],[Date]], "YYYY")</f>
        <v>2024</v>
      </c>
      <c r="I1614" s="141" t="s">
        <v>32</v>
      </c>
      <c r="J1614" s="141" t="s">
        <v>90</v>
      </c>
      <c r="K1614" s="139">
        <f t="shared" si="77"/>
        <v>1</v>
      </c>
      <c r="L1614" s="142">
        <f>IF(RawData[[#This Row],[Paid/Unpaid]]="Paid", IF(VALUE($E1614)&gt;VALUE($D$3),$K1614* 10000,$K1614* 8000), 0)</f>
        <v>10000</v>
      </c>
      <c r="M1614" s="53" t="s">
        <v>146</v>
      </c>
    </row>
    <row r="1615" spans="1:13" x14ac:dyDescent="0.3">
      <c r="A1615" s="143" t="s">
        <v>24</v>
      </c>
      <c r="B1615" s="139" t="str">
        <f>IFERROR(VLOOKUP($A1615, NameDesignation[], 2,FALSE), " ")</f>
        <v>Former Director</v>
      </c>
      <c r="C1615" s="139" t="s">
        <v>29</v>
      </c>
      <c r="D1615" s="139">
        <v>494</v>
      </c>
      <c r="E1615" s="140">
        <v>45503</v>
      </c>
      <c r="F1615" s="139" t="str">
        <f t="shared" si="75"/>
        <v>Q3-24</v>
      </c>
      <c r="G1615" s="140" t="str">
        <f t="shared" si="76"/>
        <v>Jul'24</v>
      </c>
      <c r="H1615" s="140" t="str">
        <f>TEXT(RawData[[#This Row],[Date]], "YYYY")</f>
        <v>2024</v>
      </c>
      <c r="I1615" s="141" t="s">
        <v>32</v>
      </c>
      <c r="J1615" s="141" t="s">
        <v>90</v>
      </c>
      <c r="K1615" s="139">
        <f t="shared" si="77"/>
        <v>1</v>
      </c>
      <c r="L1615" s="142">
        <f>IF(RawData[[#This Row],[Paid/Unpaid]]="Paid", IF(VALUE($E1615)&gt;VALUE($D$3),$K1615* 10000,$K1615* 8000), 0)</f>
        <v>10000</v>
      </c>
      <c r="M1615" s="53" t="s">
        <v>146</v>
      </c>
    </row>
    <row r="1616" spans="1:13" x14ac:dyDescent="0.3">
      <c r="A1616" s="143" t="s">
        <v>15</v>
      </c>
      <c r="B1616" s="139" t="str">
        <f>IFERROR(VLOOKUP($A1616, NameDesignation[], 2,FALSE), " ")</f>
        <v>Former Director</v>
      </c>
      <c r="C1616" s="139" t="s">
        <v>29</v>
      </c>
      <c r="D1616" s="139">
        <v>494</v>
      </c>
      <c r="E1616" s="140">
        <v>45503</v>
      </c>
      <c r="F1616" s="139" t="str">
        <f t="shared" si="75"/>
        <v>Q3-24</v>
      </c>
      <c r="G1616" s="140" t="str">
        <f t="shared" si="76"/>
        <v>Jul'24</v>
      </c>
      <c r="H1616" s="140" t="str">
        <f>TEXT(RawData[[#This Row],[Date]], "YYYY")</f>
        <v>2024</v>
      </c>
      <c r="I1616" s="141" t="s">
        <v>32</v>
      </c>
      <c r="J1616" s="141" t="s">
        <v>90</v>
      </c>
      <c r="K1616" s="139">
        <f t="shared" si="77"/>
        <v>1</v>
      </c>
      <c r="L1616" s="142">
        <f>IF(RawData[[#This Row],[Paid/Unpaid]]="Paid", IF(VALUE($E1616)&gt;VALUE($D$3),$K1616* 10000,$K1616* 8000), 0)</f>
        <v>10000</v>
      </c>
      <c r="M1616" s="53" t="s">
        <v>146</v>
      </c>
    </row>
    <row r="1617" spans="1:13" x14ac:dyDescent="0.3">
      <c r="A1617" s="143" t="s">
        <v>16</v>
      </c>
      <c r="B1617" s="139" t="str">
        <f>IFERROR(VLOOKUP($A1617, NameDesignation[], 2,FALSE), " ")</f>
        <v>Former Director</v>
      </c>
      <c r="C1617" s="139" t="s">
        <v>29</v>
      </c>
      <c r="D1617" s="139">
        <v>494</v>
      </c>
      <c r="E1617" s="140">
        <v>45503</v>
      </c>
      <c r="F1617" s="139" t="str">
        <f t="shared" si="75"/>
        <v>Q3-24</v>
      </c>
      <c r="G1617" s="140" t="str">
        <f t="shared" si="76"/>
        <v>Jul'24</v>
      </c>
      <c r="H1617" s="140" t="str">
        <f>TEXT(RawData[[#This Row],[Date]], "YYYY")</f>
        <v>2024</v>
      </c>
      <c r="I1617" s="141" t="s">
        <v>32</v>
      </c>
      <c r="J1617" s="141" t="s">
        <v>90</v>
      </c>
      <c r="K1617" s="139">
        <f t="shared" si="77"/>
        <v>1</v>
      </c>
      <c r="L1617" s="142">
        <f>IF(RawData[[#This Row],[Paid/Unpaid]]="Paid", IF(VALUE($E1617)&gt;VALUE($D$3),$K1617* 10000,$K1617* 8000), 0)</f>
        <v>10000</v>
      </c>
      <c r="M1617" s="53" t="s">
        <v>146</v>
      </c>
    </row>
    <row r="1618" spans="1:13" x14ac:dyDescent="0.3">
      <c r="A1618" s="143" t="s">
        <v>21</v>
      </c>
      <c r="B1618" s="139" t="str">
        <f>IFERROR(VLOOKUP($A1618, NameDesignation[], 2,FALSE), " ")</f>
        <v>Former Independent Director</v>
      </c>
      <c r="C1618" s="139" t="s">
        <v>29</v>
      </c>
      <c r="D1618" s="139">
        <v>494</v>
      </c>
      <c r="E1618" s="140">
        <v>45503</v>
      </c>
      <c r="F1618" s="139" t="str">
        <f t="shared" si="75"/>
        <v>Q3-24</v>
      </c>
      <c r="G1618" s="140" t="str">
        <f t="shared" si="76"/>
        <v>Jul'24</v>
      </c>
      <c r="H1618" s="140" t="str">
        <f>TEXT(RawData[[#This Row],[Date]], "YYYY")</f>
        <v>2024</v>
      </c>
      <c r="I1618" s="141" t="s">
        <v>32</v>
      </c>
      <c r="J1618" s="141" t="s">
        <v>90</v>
      </c>
      <c r="K1618" s="139">
        <f t="shared" si="77"/>
        <v>1</v>
      </c>
      <c r="L1618" s="142">
        <f>IF(RawData[[#This Row],[Paid/Unpaid]]="Paid", IF(VALUE($E1618)&gt;VALUE($D$3),$K1618* 10000,$K1618* 8000), 0)</f>
        <v>10000</v>
      </c>
      <c r="M1618" s="53" t="s">
        <v>146</v>
      </c>
    </row>
    <row r="1619" spans="1:13" x14ac:dyDescent="0.3">
      <c r="A1619" s="143" t="s">
        <v>17</v>
      </c>
      <c r="B1619" s="139" t="str">
        <f>IFERROR(VLOOKUP($A1619, NameDesignation[], 2,FALSE), " ")</f>
        <v>Former Independent Director</v>
      </c>
      <c r="C1619" s="139" t="s">
        <v>29</v>
      </c>
      <c r="D1619" s="139">
        <v>494</v>
      </c>
      <c r="E1619" s="140">
        <v>45503</v>
      </c>
      <c r="F1619" s="139" t="str">
        <f t="shared" si="75"/>
        <v>Q3-24</v>
      </c>
      <c r="G1619" s="140" t="str">
        <f t="shared" si="76"/>
        <v>Jul'24</v>
      </c>
      <c r="H1619" s="140" t="str">
        <f>TEXT(RawData[[#This Row],[Date]], "YYYY")</f>
        <v>2024</v>
      </c>
      <c r="I1619" s="141" t="s">
        <v>32</v>
      </c>
      <c r="J1619" s="141" t="s">
        <v>90</v>
      </c>
      <c r="K1619" s="139">
        <f t="shared" si="77"/>
        <v>1</v>
      </c>
      <c r="L1619" s="142">
        <f>IF(RawData[[#This Row],[Paid/Unpaid]]="Paid", IF(VALUE($E1619)&gt;VALUE($D$3),$K1619* 10000,$K1619* 8000), 0)</f>
        <v>10000</v>
      </c>
      <c r="M1619" s="53" t="s">
        <v>146</v>
      </c>
    </row>
    <row r="1620" spans="1:13" x14ac:dyDescent="0.3">
      <c r="A1620" s="143" t="s">
        <v>131</v>
      </c>
      <c r="B1620" s="139" t="str">
        <f>IFERROR(VLOOKUP($A1620, NameDesignation[], 2,FALSE), " ")</f>
        <v>Former Independent Director</v>
      </c>
      <c r="C1620" s="139" t="s">
        <v>29</v>
      </c>
      <c r="D1620" s="139">
        <v>494</v>
      </c>
      <c r="E1620" s="140">
        <v>45503</v>
      </c>
      <c r="F1620" s="139" t="str">
        <f t="shared" si="75"/>
        <v>Q3-24</v>
      </c>
      <c r="G1620" s="140" t="str">
        <f t="shared" si="76"/>
        <v>Jul'24</v>
      </c>
      <c r="H1620" s="140" t="str">
        <f>TEXT(RawData[[#This Row],[Date]], "YYYY")</f>
        <v>2024</v>
      </c>
      <c r="I1620" s="141" t="s">
        <v>32</v>
      </c>
      <c r="J1620" s="141" t="s">
        <v>90</v>
      </c>
      <c r="K1620" s="139">
        <f t="shared" si="77"/>
        <v>1</v>
      </c>
      <c r="L1620" s="142">
        <f>IF(RawData[[#This Row],[Paid/Unpaid]]="Paid", IF(VALUE($E1620)&gt;VALUE($D$3),$K1620* 10000,$K1620* 8000), 0)</f>
        <v>10000</v>
      </c>
      <c r="M1620" s="53" t="s">
        <v>146</v>
      </c>
    </row>
    <row r="1621" spans="1:13" x14ac:dyDescent="0.3">
      <c r="A1621" s="143" t="s">
        <v>34</v>
      </c>
      <c r="B1621" s="139" t="str">
        <f>IFERROR(VLOOKUP($A1621, NameDesignation[], 2,FALSE), " ")</f>
        <v>Former Managing Director &amp; CEO</v>
      </c>
      <c r="C1621" s="139" t="s">
        <v>29</v>
      </c>
      <c r="D1621" s="139">
        <v>494</v>
      </c>
      <c r="E1621" s="140">
        <v>45503</v>
      </c>
      <c r="F1621" s="139" t="str">
        <f t="shared" si="75"/>
        <v>Q3-24</v>
      </c>
      <c r="G1621" s="140" t="str">
        <f t="shared" si="76"/>
        <v>Jul'24</v>
      </c>
      <c r="H1621" s="140" t="str">
        <f>TEXT(RawData[[#This Row],[Date]], "YYYY")</f>
        <v>2024</v>
      </c>
      <c r="I1621" s="141" t="s">
        <v>32</v>
      </c>
      <c r="J1621" s="141" t="s">
        <v>90</v>
      </c>
      <c r="K1621" s="139">
        <f t="shared" si="77"/>
        <v>1</v>
      </c>
      <c r="L1621" s="142">
        <f>IF(RawData[[#This Row],[Paid/Unpaid]]="Paid", IF(VALUE($E1621)&gt;VALUE($D$3),$K1621* 10000,$K1621* 8000), 0)</f>
        <v>10000</v>
      </c>
      <c r="M1621" s="53" t="s">
        <v>146</v>
      </c>
    </row>
    <row r="1622" spans="1:13" x14ac:dyDescent="0.3">
      <c r="A1622" s="143" t="s">
        <v>20</v>
      </c>
      <c r="B1622" s="139" t="str">
        <f>IFERROR(VLOOKUP($A1622, NameDesignation[], 2,FALSE), " ")</f>
        <v>Former Independent Director</v>
      </c>
      <c r="C1622" s="139" t="s">
        <v>37</v>
      </c>
      <c r="D1622" s="139">
        <v>137</v>
      </c>
      <c r="E1622" s="140">
        <v>45503</v>
      </c>
      <c r="F1622" s="139" t="str">
        <f t="shared" si="75"/>
        <v>Q3-24</v>
      </c>
      <c r="G1622" s="140" t="str">
        <f t="shared" si="76"/>
        <v>Jul'24</v>
      </c>
      <c r="H1622" s="140" t="str">
        <f>TEXT(RawData[[#This Row],[Date]], "YYYY")</f>
        <v>2024</v>
      </c>
      <c r="I1622" s="141" t="s">
        <v>32</v>
      </c>
      <c r="J1622" s="141" t="s">
        <v>90</v>
      </c>
      <c r="K1622" s="139">
        <f t="shared" si="77"/>
        <v>1</v>
      </c>
      <c r="L1622" s="142">
        <f>IF(RawData[[#This Row],[Paid/Unpaid]]="Paid", IF(VALUE($E1622)&gt;VALUE($D$3),$K1622* 10000,$K1622* 8000), 0)</f>
        <v>10000</v>
      </c>
      <c r="M1622" s="53" t="s">
        <v>146</v>
      </c>
    </row>
    <row r="1623" spans="1:13" x14ac:dyDescent="0.3">
      <c r="A1623" s="143" t="s">
        <v>23</v>
      </c>
      <c r="B1623" s="139" t="str">
        <f>IFERROR(VLOOKUP($A1623, NameDesignation[], 2,FALSE), " ")</f>
        <v>Former Director</v>
      </c>
      <c r="C1623" s="139" t="s">
        <v>37</v>
      </c>
      <c r="D1623" s="139">
        <v>137</v>
      </c>
      <c r="E1623" s="140">
        <v>45503</v>
      </c>
      <c r="F1623" s="139" t="str">
        <f t="shared" si="75"/>
        <v>Q3-24</v>
      </c>
      <c r="G1623" s="140" t="str">
        <f t="shared" si="76"/>
        <v>Jul'24</v>
      </c>
      <c r="H1623" s="140" t="str">
        <f>TEXT(RawData[[#This Row],[Date]], "YYYY")</f>
        <v>2024</v>
      </c>
      <c r="I1623" s="141" t="s">
        <v>32</v>
      </c>
      <c r="J1623" s="141" t="s">
        <v>90</v>
      </c>
      <c r="K1623" s="139">
        <f t="shared" si="77"/>
        <v>1</v>
      </c>
      <c r="L1623" s="142">
        <f>IF(RawData[[#This Row],[Paid/Unpaid]]="Paid", IF(VALUE($E1623)&gt;VALUE($D$3),$K1623* 10000,$K1623* 8000), 0)</f>
        <v>10000</v>
      </c>
      <c r="M1623" s="53" t="s">
        <v>146</v>
      </c>
    </row>
    <row r="1624" spans="1:13" x14ac:dyDescent="0.3">
      <c r="A1624" s="143" t="s">
        <v>24</v>
      </c>
      <c r="B1624" s="139" t="str">
        <f>IFERROR(VLOOKUP($A1624, NameDesignation[], 2,FALSE), " ")</f>
        <v>Former Director</v>
      </c>
      <c r="C1624" s="139" t="s">
        <v>37</v>
      </c>
      <c r="D1624" s="139">
        <v>137</v>
      </c>
      <c r="E1624" s="140">
        <v>45503</v>
      </c>
      <c r="F1624" s="139" t="str">
        <f t="shared" si="75"/>
        <v>Q3-24</v>
      </c>
      <c r="G1624" s="140" t="str">
        <f t="shared" si="76"/>
        <v>Jul'24</v>
      </c>
      <c r="H1624" s="140" t="str">
        <f>TEXT(RawData[[#This Row],[Date]], "YYYY")</f>
        <v>2024</v>
      </c>
      <c r="I1624" s="141" t="s">
        <v>32</v>
      </c>
      <c r="J1624" s="141" t="s">
        <v>90</v>
      </c>
      <c r="K1624" s="139">
        <f t="shared" si="77"/>
        <v>1</v>
      </c>
      <c r="L1624" s="142">
        <f>IF(RawData[[#This Row],[Paid/Unpaid]]="Paid", IF(VALUE($E1624)&gt;VALUE($D$3),$K1624* 10000,$K1624* 8000), 0)</f>
        <v>10000</v>
      </c>
      <c r="M1624" s="53" t="s">
        <v>146</v>
      </c>
    </row>
    <row r="1625" spans="1:13" x14ac:dyDescent="0.3">
      <c r="A1625" s="143" t="s">
        <v>21</v>
      </c>
      <c r="B1625" s="139" t="str">
        <f>IFERROR(VLOOKUP($A1625, NameDesignation[], 2,FALSE), " ")</f>
        <v>Former Independent Director</v>
      </c>
      <c r="C1625" s="139" t="s">
        <v>37</v>
      </c>
      <c r="D1625" s="139">
        <v>137</v>
      </c>
      <c r="E1625" s="140">
        <v>45503</v>
      </c>
      <c r="F1625" s="139" t="str">
        <f t="shared" si="75"/>
        <v>Q3-24</v>
      </c>
      <c r="G1625" s="140" t="str">
        <f t="shared" si="76"/>
        <v>Jul'24</v>
      </c>
      <c r="H1625" s="140" t="str">
        <f>TEXT(RawData[[#This Row],[Date]], "YYYY")</f>
        <v>2024</v>
      </c>
      <c r="I1625" s="141" t="s">
        <v>32</v>
      </c>
      <c r="J1625" s="141" t="s">
        <v>90</v>
      </c>
      <c r="K1625" s="139">
        <f t="shared" si="77"/>
        <v>1</v>
      </c>
      <c r="L1625" s="142">
        <f>IF(RawData[[#This Row],[Paid/Unpaid]]="Paid", IF(VALUE($E1625)&gt;VALUE($D$3),$K1625* 10000,$K1625* 8000), 0)</f>
        <v>10000</v>
      </c>
      <c r="M1625" s="53" t="s">
        <v>146</v>
      </c>
    </row>
    <row r="1626" spans="1:13" x14ac:dyDescent="0.3">
      <c r="A1626" s="143" t="s">
        <v>15</v>
      </c>
      <c r="B1626" s="139" t="str">
        <f>IFERROR(VLOOKUP($A1626, NameDesignation[], 2,FALSE), " ")</f>
        <v>Former Director</v>
      </c>
      <c r="C1626" s="139" t="s">
        <v>37</v>
      </c>
      <c r="D1626" s="139">
        <v>137</v>
      </c>
      <c r="E1626" s="140">
        <v>45503</v>
      </c>
      <c r="F1626" s="139" t="str">
        <f t="shared" si="75"/>
        <v>Q3-24</v>
      </c>
      <c r="G1626" s="140" t="str">
        <f t="shared" si="76"/>
        <v>Jul'24</v>
      </c>
      <c r="H1626" s="140" t="str">
        <f>TEXT(RawData[[#This Row],[Date]], "YYYY")</f>
        <v>2024</v>
      </c>
      <c r="I1626" s="141" t="s">
        <v>32</v>
      </c>
      <c r="J1626" s="141" t="s">
        <v>90</v>
      </c>
      <c r="K1626" s="139">
        <f t="shared" si="77"/>
        <v>1</v>
      </c>
      <c r="L1626" s="142">
        <f>IF(RawData[[#This Row],[Paid/Unpaid]]="Paid", IF(VALUE($E1626)&gt;VALUE($D$3),$K1626* 10000,$K1626* 8000), 0)</f>
        <v>10000</v>
      </c>
      <c r="M1626" s="53" t="s">
        <v>146</v>
      </c>
    </row>
    <row r="1627" spans="1:13" x14ac:dyDescent="0.3">
      <c r="A1627" s="143" t="s">
        <v>137</v>
      </c>
      <c r="B1627" s="139" t="str">
        <f>IFERROR(VLOOKUP($A1627, NameDesignation[], 2,FALSE), " ")</f>
        <v>Former Director</v>
      </c>
      <c r="C1627" s="139" t="s">
        <v>29</v>
      </c>
      <c r="D1627" s="139" t="s">
        <v>139</v>
      </c>
      <c r="E1627" s="140">
        <v>45531</v>
      </c>
      <c r="F1627" s="139" t="str">
        <f t="shared" si="75"/>
        <v>Q3-24</v>
      </c>
      <c r="G1627" s="140" t="str">
        <f t="shared" si="76"/>
        <v>Aug'24</v>
      </c>
      <c r="H1627" s="140" t="str">
        <f>TEXT(RawData[[#This Row],[Date]], "YYYY")</f>
        <v>2024</v>
      </c>
      <c r="I1627" s="141" t="s">
        <v>32</v>
      </c>
      <c r="J1627" s="141" t="s">
        <v>90</v>
      </c>
      <c r="K1627" s="139">
        <f t="shared" si="77"/>
        <v>1</v>
      </c>
      <c r="L1627" s="142">
        <f>IF(RawData[[#This Row],[Paid/Unpaid]]="Paid", IF(VALUE($E1627)&gt;VALUE($D$3),$K1627* 10000,$K1627* 8000), 0)</f>
        <v>10000</v>
      </c>
      <c r="M1627" s="53" t="s">
        <v>146</v>
      </c>
    </row>
    <row r="1628" spans="1:13" x14ac:dyDescent="0.3">
      <c r="A1628" s="143" t="s">
        <v>8</v>
      </c>
      <c r="B1628" s="139" t="str">
        <f>IFERROR(VLOOKUP($A1628, NameDesignation[], 2,FALSE), " ")</f>
        <v>Former Vice-Chairman</v>
      </c>
      <c r="C1628" s="139" t="s">
        <v>29</v>
      </c>
      <c r="D1628" s="139" t="s">
        <v>139</v>
      </c>
      <c r="E1628" s="140">
        <v>45531</v>
      </c>
      <c r="F1628" s="139" t="str">
        <f t="shared" si="75"/>
        <v>Q3-24</v>
      </c>
      <c r="G1628" s="140" t="str">
        <f t="shared" si="76"/>
        <v>Aug'24</v>
      </c>
      <c r="H1628" s="140" t="str">
        <f>TEXT(RawData[[#This Row],[Date]], "YYYY")</f>
        <v>2024</v>
      </c>
      <c r="I1628" s="141" t="s">
        <v>32</v>
      </c>
      <c r="J1628" s="141" t="s">
        <v>90</v>
      </c>
      <c r="K1628" s="139">
        <f t="shared" si="77"/>
        <v>1</v>
      </c>
      <c r="L1628" s="142">
        <f>IF(RawData[[#This Row],[Paid/Unpaid]]="Paid", IF(VALUE($E1628)&gt;VALUE($D$3),$K1628* 10000,$K1628* 8000), 0)</f>
        <v>10000</v>
      </c>
      <c r="M1628" s="53" t="s">
        <v>146</v>
      </c>
    </row>
    <row r="1629" spans="1:13" x14ac:dyDescent="0.3">
      <c r="A1629" s="143" t="s">
        <v>9</v>
      </c>
      <c r="B1629" s="139" t="str">
        <f>IFERROR(VLOOKUP($A1629, NameDesignation[], 2,FALSE), " ")</f>
        <v>Former Director</v>
      </c>
      <c r="C1629" s="139" t="s">
        <v>29</v>
      </c>
      <c r="D1629" s="139" t="s">
        <v>139</v>
      </c>
      <c r="E1629" s="140">
        <v>45531</v>
      </c>
      <c r="F1629" s="139" t="str">
        <f t="shared" si="75"/>
        <v>Q3-24</v>
      </c>
      <c r="G1629" s="140" t="str">
        <f t="shared" si="76"/>
        <v>Aug'24</v>
      </c>
      <c r="H1629" s="140" t="str">
        <f>TEXT(RawData[[#This Row],[Date]], "YYYY")</f>
        <v>2024</v>
      </c>
      <c r="I1629" s="141" t="s">
        <v>32</v>
      </c>
      <c r="J1629" s="141" t="s">
        <v>90</v>
      </c>
      <c r="K1629" s="139">
        <f t="shared" si="77"/>
        <v>1</v>
      </c>
      <c r="L1629" s="142">
        <f>IF(RawData[[#This Row],[Paid/Unpaid]]="Paid", IF(VALUE($E1629)&gt;VALUE($D$3),$K1629* 10000,$K1629* 8000), 0)</f>
        <v>10000</v>
      </c>
      <c r="M1629" s="53" t="s">
        <v>146</v>
      </c>
    </row>
    <row r="1630" spans="1:13" x14ac:dyDescent="0.3">
      <c r="A1630" s="143" t="s">
        <v>20</v>
      </c>
      <c r="B1630" s="139" t="str">
        <f>IFERROR(VLOOKUP($A1630, NameDesignation[], 2,FALSE), " ")</f>
        <v>Former Independent Director</v>
      </c>
      <c r="C1630" s="139" t="s">
        <v>29</v>
      </c>
      <c r="D1630" s="139" t="s">
        <v>139</v>
      </c>
      <c r="E1630" s="140">
        <v>45531</v>
      </c>
      <c r="F1630" s="139" t="str">
        <f t="shared" si="75"/>
        <v>Q3-24</v>
      </c>
      <c r="G1630" s="140" t="str">
        <f t="shared" si="76"/>
        <v>Aug'24</v>
      </c>
      <c r="H1630" s="140" t="str">
        <f>TEXT(RawData[[#This Row],[Date]], "YYYY")</f>
        <v>2024</v>
      </c>
      <c r="I1630" s="141" t="s">
        <v>32</v>
      </c>
      <c r="J1630" s="141" t="s">
        <v>91</v>
      </c>
      <c r="K1630" s="139">
        <f t="shared" si="77"/>
        <v>0</v>
      </c>
      <c r="L1630" s="142">
        <f>IF(RawData[[#This Row],[Paid/Unpaid]]="Paid", IF(VALUE($E1630)&gt;VALUE($D$3),$K1630* 10000,$K1630* 8000), 0)</f>
        <v>0</v>
      </c>
      <c r="M1630" s="53" t="s">
        <v>146</v>
      </c>
    </row>
    <row r="1631" spans="1:13" x14ac:dyDescent="0.3">
      <c r="A1631" s="143" t="s">
        <v>49</v>
      </c>
      <c r="B1631" s="139" t="str">
        <f>IFERROR(VLOOKUP($A1631, NameDesignation[], 2,FALSE), " ")</f>
        <v>Former Director</v>
      </c>
      <c r="C1631" s="139" t="s">
        <v>29</v>
      </c>
      <c r="D1631" s="139" t="s">
        <v>139</v>
      </c>
      <c r="E1631" s="140">
        <v>45531</v>
      </c>
      <c r="F1631" s="139" t="str">
        <f t="shared" si="75"/>
        <v>Q3-24</v>
      </c>
      <c r="G1631" s="140" t="str">
        <f t="shared" si="76"/>
        <v>Aug'24</v>
      </c>
      <c r="H1631" s="140" t="str">
        <f>TEXT(RawData[[#This Row],[Date]], "YYYY")</f>
        <v>2024</v>
      </c>
      <c r="I1631" s="141" t="s">
        <v>32</v>
      </c>
      <c r="J1631" s="141" t="s">
        <v>90</v>
      </c>
      <c r="K1631" s="139">
        <f t="shared" si="77"/>
        <v>1</v>
      </c>
      <c r="L1631" s="142">
        <f>IF(RawData[[#This Row],[Paid/Unpaid]]="Paid", IF(VALUE($E1631)&gt;VALUE($D$3),$K1631* 10000,$K1631* 8000), 0)</f>
        <v>10000</v>
      </c>
      <c r="M1631" s="53" t="s">
        <v>146</v>
      </c>
    </row>
    <row r="1632" spans="1:13" x14ac:dyDescent="0.3">
      <c r="A1632" s="143" t="s">
        <v>112</v>
      </c>
      <c r="B1632" s="139" t="str">
        <f>IFERROR(VLOOKUP($A1632, NameDesignation[], 2,FALSE), " ")</f>
        <v>Former Director</v>
      </c>
      <c r="C1632" s="139" t="s">
        <v>29</v>
      </c>
      <c r="D1632" s="139" t="s">
        <v>139</v>
      </c>
      <c r="E1632" s="140">
        <v>45531</v>
      </c>
      <c r="F1632" s="139" t="str">
        <f t="shared" si="75"/>
        <v>Q3-24</v>
      </c>
      <c r="G1632" s="140" t="str">
        <f t="shared" si="76"/>
        <v>Aug'24</v>
      </c>
      <c r="H1632" s="140" t="str">
        <f>TEXT(RawData[[#This Row],[Date]], "YYYY")</f>
        <v>2024</v>
      </c>
      <c r="I1632" s="141" t="s">
        <v>32</v>
      </c>
      <c r="J1632" s="141" t="s">
        <v>90</v>
      </c>
      <c r="K1632" s="139">
        <f t="shared" si="77"/>
        <v>1</v>
      </c>
      <c r="L1632" s="142">
        <f>IF(RawData[[#This Row],[Paid/Unpaid]]="Paid", IF(VALUE($E1632)&gt;VALUE($D$3),$K1632* 10000,$K1632* 8000), 0)</f>
        <v>10000</v>
      </c>
      <c r="M1632" s="53" t="s">
        <v>146</v>
      </c>
    </row>
    <row r="1633" spans="1:13" x14ac:dyDescent="0.3">
      <c r="A1633" s="143" t="s">
        <v>11</v>
      </c>
      <c r="B1633" s="139" t="str">
        <f>IFERROR(VLOOKUP($A1633, NameDesignation[], 2,FALSE), " ")</f>
        <v>Former Director</v>
      </c>
      <c r="C1633" s="139" t="s">
        <v>29</v>
      </c>
      <c r="D1633" s="139" t="s">
        <v>139</v>
      </c>
      <c r="E1633" s="140">
        <v>45531</v>
      </c>
      <c r="F1633" s="139" t="str">
        <f t="shared" si="75"/>
        <v>Q3-24</v>
      </c>
      <c r="G1633" s="140" t="str">
        <f t="shared" si="76"/>
        <v>Aug'24</v>
      </c>
      <c r="H1633" s="140" t="str">
        <f>TEXT(RawData[[#This Row],[Date]], "YYYY")</f>
        <v>2024</v>
      </c>
      <c r="I1633" s="141" t="s">
        <v>32</v>
      </c>
      <c r="J1633" s="141" t="s">
        <v>90</v>
      </c>
      <c r="K1633" s="139">
        <f t="shared" si="77"/>
        <v>1</v>
      </c>
      <c r="L1633" s="142">
        <f>IF(RawData[[#This Row],[Paid/Unpaid]]="Paid", IF(VALUE($E1633)&gt;VALUE($D$3),$K1633* 10000,$K1633* 8000), 0)</f>
        <v>10000</v>
      </c>
      <c r="M1633" s="53" t="s">
        <v>146</v>
      </c>
    </row>
    <row r="1634" spans="1:13" x14ac:dyDescent="0.3">
      <c r="A1634" s="143" t="s">
        <v>12</v>
      </c>
      <c r="B1634" s="139" t="str">
        <f>IFERROR(VLOOKUP($A1634, NameDesignation[], 2,FALSE), " ")</f>
        <v>Former Director</v>
      </c>
      <c r="C1634" s="139" t="s">
        <v>29</v>
      </c>
      <c r="D1634" s="139" t="s">
        <v>139</v>
      </c>
      <c r="E1634" s="140">
        <v>45531</v>
      </c>
      <c r="F1634" s="139" t="str">
        <f t="shared" si="75"/>
        <v>Q3-24</v>
      </c>
      <c r="G1634" s="140" t="str">
        <f t="shared" si="76"/>
        <v>Aug'24</v>
      </c>
      <c r="H1634" s="140" t="str">
        <f>TEXT(RawData[[#This Row],[Date]], "YYYY")</f>
        <v>2024</v>
      </c>
      <c r="I1634" s="141" t="s">
        <v>32</v>
      </c>
      <c r="J1634" s="141" t="s">
        <v>90</v>
      </c>
      <c r="K1634" s="139">
        <f t="shared" si="77"/>
        <v>1</v>
      </c>
      <c r="L1634" s="142">
        <f>IF(RawData[[#This Row],[Paid/Unpaid]]="Paid", IF(VALUE($E1634)&gt;VALUE($D$3),$K1634* 10000,$K1634* 8000), 0)</f>
        <v>10000</v>
      </c>
      <c r="M1634" s="53" t="s">
        <v>146</v>
      </c>
    </row>
    <row r="1635" spans="1:13" x14ac:dyDescent="0.3">
      <c r="A1635" s="143" t="s">
        <v>23</v>
      </c>
      <c r="B1635" s="139" t="str">
        <f>IFERROR(VLOOKUP($A1635, NameDesignation[], 2,FALSE), " ")</f>
        <v>Former Director</v>
      </c>
      <c r="C1635" s="139" t="s">
        <v>29</v>
      </c>
      <c r="D1635" s="139" t="s">
        <v>139</v>
      </c>
      <c r="E1635" s="140">
        <v>45531</v>
      </c>
      <c r="F1635" s="139" t="str">
        <f t="shared" si="75"/>
        <v>Q3-24</v>
      </c>
      <c r="G1635" s="140" t="str">
        <f t="shared" si="76"/>
        <v>Aug'24</v>
      </c>
      <c r="H1635" s="140" t="str">
        <f>TEXT(RawData[[#This Row],[Date]], "YYYY")</f>
        <v>2024</v>
      </c>
      <c r="I1635" s="141" t="s">
        <v>32</v>
      </c>
      <c r="J1635" s="141" t="s">
        <v>90</v>
      </c>
      <c r="K1635" s="139">
        <f t="shared" si="77"/>
        <v>1</v>
      </c>
      <c r="L1635" s="142">
        <f>IF(RawData[[#This Row],[Paid/Unpaid]]="Paid", IF(VALUE($E1635)&gt;VALUE($D$3),$K1635* 10000,$K1635* 8000), 0)</f>
        <v>10000</v>
      </c>
      <c r="M1635" s="53" t="s">
        <v>146</v>
      </c>
    </row>
    <row r="1636" spans="1:13" x14ac:dyDescent="0.3">
      <c r="A1636" s="143" t="s">
        <v>13</v>
      </c>
      <c r="B1636" s="139" t="str">
        <f>IFERROR(VLOOKUP($A1636, NameDesignation[], 2,FALSE), " ")</f>
        <v>Former Director</v>
      </c>
      <c r="C1636" s="139" t="s">
        <v>29</v>
      </c>
      <c r="D1636" s="139" t="s">
        <v>139</v>
      </c>
      <c r="E1636" s="140">
        <v>45531</v>
      </c>
      <c r="F1636" s="139" t="str">
        <f t="shared" si="75"/>
        <v>Q3-24</v>
      </c>
      <c r="G1636" s="140" t="str">
        <f t="shared" si="76"/>
        <v>Aug'24</v>
      </c>
      <c r="H1636" s="140" t="str">
        <f>TEXT(RawData[[#This Row],[Date]], "YYYY")</f>
        <v>2024</v>
      </c>
      <c r="I1636" s="141" t="s">
        <v>32</v>
      </c>
      <c r="J1636" s="141" t="s">
        <v>91</v>
      </c>
      <c r="K1636" s="139">
        <f t="shared" si="77"/>
        <v>0</v>
      </c>
      <c r="L1636" s="142">
        <f>IF(RawData[[#This Row],[Paid/Unpaid]]="Paid", IF(VALUE($E1636)&gt;VALUE($D$3),$K1636* 10000,$K1636* 8000), 0)</f>
        <v>0</v>
      </c>
      <c r="M1636" s="53" t="s">
        <v>146</v>
      </c>
    </row>
    <row r="1637" spans="1:13" x14ac:dyDescent="0.3">
      <c r="A1637" s="143" t="s">
        <v>14</v>
      </c>
      <c r="B1637" s="139" t="str">
        <f>IFERROR(VLOOKUP($A1637, NameDesignation[], 2,FALSE), " ")</f>
        <v>Former Director</v>
      </c>
      <c r="C1637" s="139" t="s">
        <v>29</v>
      </c>
      <c r="D1637" s="139" t="s">
        <v>139</v>
      </c>
      <c r="E1637" s="140">
        <v>45531</v>
      </c>
      <c r="F1637" s="139" t="str">
        <f t="shared" si="75"/>
        <v>Q3-24</v>
      </c>
      <c r="G1637" s="140" t="str">
        <f t="shared" si="76"/>
        <v>Aug'24</v>
      </c>
      <c r="H1637" s="140" t="str">
        <f>TEXT(RawData[[#This Row],[Date]], "YYYY")</f>
        <v>2024</v>
      </c>
      <c r="I1637" s="141" t="s">
        <v>32</v>
      </c>
      <c r="J1637" s="141" t="s">
        <v>91</v>
      </c>
      <c r="K1637" s="139">
        <f t="shared" si="77"/>
        <v>0</v>
      </c>
      <c r="L1637" s="142">
        <f>IF(RawData[[#This Row],[Paid/Unpaid]]="Paid", IF(VALUE($E1637)&gt;VALUE($D$3),$K1637* 10000,$K1637* 8000), 0)</f>
        <v>0</v>
      </c>
      <c r="M1637" s="53" t="s">
        <v>146</v>
      </c>
    </row>
    <row r="1638" spans="1:13" x14ac:dyDescent="0.3">
      <c r="A1638" s="143" t="s">
        <v>24</v>
      </c>
      <c r="B1638" s="139" t="str">
        <f>IFERROR(VLOOKUP($A1638, NameDesignation[], 2,FALSE), " ")</f>
        <v>Former Director</v>
      </c>
      <c r="C1638" s="139" t="s">
        <v>29</v>
      </c>
      <c r="D1638" s="139" t="s">
        <v>139</v>
      </c>
      <c r="E1638" s="140">
        <v>45531</v>
      </c>
      <c r="F1638" s="139" t="str">
        <f t="shared" si="75"/>
        <v>Q3-24</v>
      </c>
      <c r="G1638" s="140" t="str">
        <f t="shared" si="76"/>
        <v>Aug'24</v>
      </c>
      <c r="H1638" s="140" t="str">
        <f>TEXT(RawData[[#This Row],[Date]], "YYYY")</f>
        <v>2024</v>
      </c>
      <c r="I1638" s="141" t="s">
        <v>32</v>
      </c>
      <c r="J1638" s="141" t="s">
        <v>91</v>
      </c>
      <c r="K1638" s="139">
        <f t="shared" si="77"/>
        <v>0</v>
      </c>
      <c r="L1638" s="142">
        <f>IF(RawData[[#This Row],[Paid/Unpaid]]="Paid", IF(VALUE($E1638)&gt;VALUE($D$3),$K1638* 10000,$K1638* 8000), 0)</f>
        <v>0</v>
      </c>
      <c r="M1638" s="53" t="s">
        <v>146</v>
      </c>
    </row>
    <row r="1639" spans="1:13" x14ac:dyDescent="0.3">
      <c r="A1639" s="143" t="s">
        <v>15</v>
      </c>
      <c r="B1639" s="139" t="str">
        <f>IFERROR(VLOOKUP($A1639, NameDesignation[], 2,FALSE), " ")</f>
        <v>Former Director</v>
      </c>
      <c r="C1639" s="139" t="s">
        <v>29</v>
      </c>
      <c r="D1639" s="139" t="s">
        <v>139</v>
      </c>
      <c r="E1639" s="140">
        <v>45531</v>
      </c>
      <c r="F1639" s="139" t="str">
        <f t="shared" si="75"/>
        <v>Q3-24</v>
      </c>
      <c r="G1639" s="140" t="str">
        <f t="shared" si="76"/>
        <v>Aug'24</v>
      </c>
      <c r="H1639" s="140" t="str">
        <f>TEXT(RawData[[#This Row],[Date]], "YYYY")</f>
        <v>2024</v>
      </c>
      <c r="I1639" s="141" t="s">
        <v>32</v>
      </c>
      <c r="J1639" s="141" t="s">
        <v>90</v>
      </c>
      <c r="K1639" s="139">
        <f t="shared" si="77"/>
        <v>1</v>
      </c>
      <c r="L1639" s="142">
        <f>IF(RawData[[#This Row],[Paid/Unpaid]]="Paid", IF(VALUE($E1639)&gt;VALUE($D$3),$K1639* 10000,$K1639* 8000), 0)</f>
        <v>10000</v>
      </c>
      <c r="M1639" s="53" t="s">
        <v>146</v>
      </c>
    </row>
    <row r="1640" spans="1:13" x14ac:dyDescent="0.3">
      <c r="A1640" s="143" t="s">
        <v>16</v>
      </c>
      <c r="B1640" s="139" t="str">
        <f>IFERROR(VLOOKUP($A1640, NameDesignation[], 2,FALSE), " ")</f>
        <v>Former Director</v>
      </c>
      <c r="C1640" s="139" t="s">
        <v>29</v>
      </c>
      <c r="D1640" s="139" t="s">
        <v>139</v>
      </c>
      <c r="E1640" s="140">
        <v>45531</v>
      </c>
      <c r="F1640" s="139" t="str">
        <f t="shared" si="75"/>
        <v>Q3-24</v>
      </c>
      <c r="G1640" s="140" t="str">
        <f t="shared" si="76"/>
        <v>Aug'24</v>
      </c>
      <c r="H1640" s="140" t="str">
        <f>TEXT(RawData[[#This Row],[Date]], "YYYY")</f>
        <v>2024</v>
      </c>
      <c r="I1640" s="141" t="s">
        <v>32</v>
      </c>
      <c r="J1640" s="141" t="s">
        <v>90</v>
      </c>
      <c r="K1640" s="139">
        <f t="shared" si="77"/>
        <v>1</v>
      </c>
      <c r="L1640" s="142">
        <f>IF(RawData[[#This Row],[Paid/Unpaid]]="Paid", IF(VALUE($E1640)&gt;VALUE($D$3),$K1640* 10000,$K1640* 8000), 0)</f>
        <v>10000</v>
      </c>
      <c r="M1640" s="53" t="s">
        <v>146</v>
      </c>
    </row>
    <row r="1641" spans="1:13" x14ac:dyDescent="0.3">
      <c r="A1641" s="143" t="s">
        <v>21</v>
      </c>
      <c r="B1641" s="139" t="str">
        <f>IFERROR(VLOOKUP($A1641, NameDesignation[], 2,FALSE), " ")</f>
        <v>Former Independent Director</v>
      </c>
      <c r="C1641" s="139" t="s">
        <v>29</v>
      </c>
      <c r="D1641" s="139" t="s">
        <v>139</v>
      </c>
      <c r="E1641" s="140">
        <v>45531</v>
      </c>
      <c r="F1641" s="139" t="str">
        <f t="shared" si="75"/>
        <v>Q3-24</v>
      </c>
      <c r="G1641" s="140" t="str">
        <f t="shared" si="76"/>
        <v>Aug'24</v>
      </c>
      <c r="H1641" s="140" t="str">
        <f>TEXT(RawData[[#This Row],[Date]], "YYYY")</f>
        <v>2024</v>
      </c>
      <c r="I1641" s="141" t="s">
        <v>32</v>
      </c>
      <c r="J1641" s="141" t="s">
        <v>90</v>
      </c>
      <c r="K1641" s="139">
        <f t="shared" si="77"/>
        <v>1</v>
      </c>
      <c r="L1641" s="142">
        <f>IF(RawData[[#This Row],[Paid/Unpaid]]="Paid", IF(VALUE($E1641)&gt;VALUE($D$3),$K1641* 10000,$K1641* 8000), 0)</f>
        <v>10000</v>
      </c>
      <c r="M1641" s="53" t="s">
        <v>146</v>
      </c>
    </row>
    <row r="1642" spans="1:13" x14ac:dyDescent="0.3">
      <c r="A1642" s="143" t="s">
        <v>17</v>
      </c>
      <c r="B1642" s="139" t="str">
        <f>IFERROR(VLOOKUP($A1642, NameDesignation[], 2,FALSE), " ")</f>
        <v>Former Independent Director</v>
      </c>
      <c r="C1642" s="139" t="s">
        <v>29</v>
      </c>
      <c r="D1642" s="139" t="s">
        <v>139</v>
      </c>
      <c r="E1642" s="140">
        <v>45531</v>
      </c>
      <c r="F1642" s="139" t="str">
        <f t="shared" si="75"/>
        <v>Q3-24</v>
      </c>
      <c r="G1642" s="140" t="str">
        <f t="shared" si="76"/>
        <v>Aug'24</v>
      </c>
      <c r="H1642" s="140" t="str">
        <f>TEXT(RawData[[#This Row],[Date]], "YYYY")</f>
        <v>2024</v>
      </c>
      <c r="I1642" s="141" t="s">
        <v>32</v>
      </c>
      <c r="J1642" s="141" t="s">
        <v>90</v>
      </c>
      <c r="K1642" s="139">
        <f t="shared" si="77"/>
        <v>1</v>
      </c>
      <c r="L1642" s="142">
        <f>IF(RawData[[#This Row],[Paid/Unpaid]]="Paid", IF(VALUE($E1642)&gt;VALUE($D$3),$K1642* 10000,$K1642* 8000), 0)</f>
        <v>10000</v>
      </c>
      <c r="M1642" s="53" t="s">
        <v>146</v>
      </c>
    </row>
    <row r="1643" spans="1:13" x14ac:dyDescent="0.3">
      <c r="A1643" s="143" t="s">
        <v>131</v>
      </c>
      <c r="B1643" s="139" t="str">
        <f>IFERROR(VLOOKUP($A1643, NameDesignation[], 2,FALSE), " ")</f>
        <v>Former Independent Director</v>
      </c>
      <c r="C1643" s="139" t="s">
        <v>29</v>
      </c>
      <c r="D1643" s="139" t="s">
        <v>139</v>
      </c>
      <c r="E1643" s="140">
        <v>45531</v>
      </c>
      <c r="F1643" s="139" t="str">
        <f t="shared" si="75"/>
        <v>Q3-24</v>
      </c>
      <c r="G1643" s="140" t="str">
        <f t="shared" si="76"/>
        <v>Aug'24</v>
      </c>
      <c r="H1643" s="140" t="str">
        <f>TEXT(RawData[[#This Row],[Date]], "YYYY")</f>
        <v>2024</v>
      </c>
      <c r="I1643" s="141" t="s">
        <v>32</v>
      </c>
      <c r="J1643" s="141" t="s">
        <v>91</v>
      </c>
      <c r="K1643" s="139">
        <f t="shared" si="77"/>
        <v>0</v>
      </c>
      <c r="L1643" s="142">
        <f>IF(RawData[[#This Row],[Paid/Unpaid]]="Paid", IF(VALUE($E1643)&gt;VALUE($D$3),$K1643* 10000,$K1643* 8000), 0)</f>
        <v>0</v>
      </c>
      <c r="M1643" s="53" t="s">
        <v>146</v>
      </c>
    </row>
    <row r="1644" spans="1:13" x14ac:dyDescent="0.3">
      <c r="A1644" s="143" t="s">
        <v>144</v>
      </c>
      <c r="B1644" s="139" t="str">
        <f>IFERROR(VLOOKUP($A1644, NameDesignation[], 2,FALSE), " ")</f>
        <v>Acting Managing Director &amp; CEO</v>
      </c>
      <c r="C1644" s="139" t="s">
        <v>29</v>
      </c>
      <c r="D1644" s="139" t="s">
        <v>139</v>
      </c>
      <c r="E1644" s="140">
        <v>45531</v>
      </c>
      <c r="F1644" s="139" t="str">
        <f t="shared" si="75"/>
        <v>Q3-24</v>
      </c>
      <c r="G1644" s="140" t="str">
        <f t="shared" si="76"/>
        <v>Aug'24</v>
      </c>
      <c r="H1644" s="140" t="str">
        <f>TEXT(RawData[[#This Row],[Date]], "YYYY")</f>
        <v>2024</v>
      </c>
      <c r="I1644" s="141" t="s">
        <v>32</v>
      </c>
      <c r="J1644" s="141" t="s">
        <v>90</v>
      </c>
      <c r="K1644" s="139">
        <f t="shared" si="77"/>
        <v>1</v>
      </c>
      <c r="L1644" s="142">
        <f>IF(RawData[[#This Row],[Paid/Unpaid]]="Paid", IF(VALUE($E1644)&gt;VALUE($D$3),$K1644* 10000,$K1644* 8000), 0)</f>
        <v>10000</v>
      </c>
      <c r="M1644" s="53" t="s">
        <v>146</v>
      </c>
    </row>
    <row r="1645" spans="1:13" x14ac:dyDescent="0.3">
      <c r="A1645" s="143" t="s">
        <v>68</v>
      </c>
      <c r="B1645" s="139" t="str">
        <f>IFERROR(VLOOKUP($A1645, NameDesignation[], 2,FALSE), " ")</f>
        <v>Chairman</v>
      </c>
      <c r="C1645" s="139" t="s">
        <v>29</v>
      </c>
      <c r="D1645" s="139" t="s">
        <v>140</v>
      </c>
      <c r="E1645" s="140">
        <v>45533</v>
      </c>
      <c r="F1645" s="139" t="str">
        <f t="shared" si="75"/>
        <v>Q3-24</v>
      </c>
      <c r="G1645" s="140" t="str">
        <f t="shared" si="76"/>
        <v>Aug'24</v>
      </c>
      <c r="H1645" s="140" t="str">
        <f>TEXT(RawData[[#This Row],[Date]], "YYYY")</f>
        <v>2024</v>
      </c>
      <c r="I1645" s="141" t="s">
        <v>32</v>
      </c>
      <c r="J1645" s="141" t="s">
        <v>90</v>
      </c>
      <c r="K1645" s="139">
        <f t="shared" si="77"/>
        <v>1</v>
      </c>
      <c r="L1645" s="142">
        <f>IF(RawData[[#This Row],[Paid/Unpaid]]="Paid", IF(VALUE($E1645)&gt;VALUE($D$3),$K1645* 10000,$K1645* 8000), 0)</f>
        <v>10000</v>
      </c>
      <c r="M1645" s="53" t="s">
        <v>146</v>
      </c>
    </row>
    <row r="1646" spans="1:13" x14ac:dyDescent="0.3">
      <c r="A1646" s="143" t="s">
        <v>70</v>
      </c>
      <c r="B1646" s="139" t="str">
        <f>IFERROR(VLOOKUP($A1646, NameDesignation[], 2,FALSE), " ")</f>
        <v>Director</v>
      </c>
      <c r="C1646" s="139" t="s">
        <v>29</v>
      </c>
      <c r="D1646" s="139" t="s">
        <v>140</v>
      </c>
      <c r="E1646" s="140">
        <v>45533</v>
      </c>
      <c r="F1646" s="139" t="str">
        <f t="shared" si="75"/>
        <v>Q3-24</v>
      </c>
      <c r="G1646" s="140" t="str">
        <f t="shared" si="76"/>
        <v>Aug'24</v>
      </c>
      <c r="H1646" s="140" t="str">
        <f>TEXT(RawData[[#This Row],[Date]], "YYYY")</f>
        <v>2024</v>
      </c>
      <c r="I1646" s="141" t="s">
        <v>32</v>
      </c>
      <c r="J1646" s="141" t="s">
        <v>90</v>
      </c>
      <c r="K1646" s="139">
        <f t="shared" si="77"/>
        <v>1</v>
      </c>
      <c r="L1646" s="142">
        <f>IF(RawData[[#This Row],[Paid/Unpaid]]="Paid", IF(VALUE($E1646)&gt;VALUE($D$3),$K1646* 10000,$K1646* 8000), 0)</f>
        <v>10000</v>
      </c>
      <c r="M1646" s="53" t="s">
        <v>146</v>
      </c>
    </row>
    <row r="1647" spans="1:13" x14ac:dyDescent="0.3">
      <c r="A1647" s="143" t="s">
        <v>141</v>
      </c>
      <c r="B1647" s="139" t="str">
        <f>IFERROR(VLOOKUP($A1647, NameDesignation[], 2,FALSE), " ")</f>
        <v>Vice-Chairman</v>
      </c>
      <c r="C1647" s="139" t="s">
        <v>29</v>
      </c>
      <c r="D1647" s="139" t="s">
        <v>140</v>
      </c>
      <c r="E1647" s="140">
        <v>45533</v>
      </c>
      <c r="F1647" s="139" t="str">
        <f t="shared" si="75"/>
        <v>Q3-24</v>
      </c>
      <c r="G1647" s="140" t="str">
        <f t="shared" si="76"/>
        <v>Aug'24</v>
      </c>
      <c r="H1647" s="140" t="str">
        <f>TEXT(RawData[[#This Row],[Date]], "YYYY")</f>
        <v>2024</v>
      </c>
      <c r="I1647" s="141" t="s">
        <v>32</v>
      </c>
      <c r="J1647" s="141" t="s">
        <v>90</v>
      </c>
      <c r="K1647" s="139">
        <f t="shared" si="77"/>
        <v>1</v>
      </c>
      <c r="L1647" s="142">
        <f>IF(RawData[[#This Row],[Paid/Unpaid]]="Paid", IF(VALUE($E1647)&gt;VALUE($D$3),$K1647* 10000,$K1647* 8000), 0)</f>
        <v>10000</v>
      </c>
      <c r="M1647" s="53" t="s">
        <v>146</v>
      </c>
    </row>
    <row r="1648" spans="1:13" x14ac:dyDescent="0.3">
      <c r="A1648" s="143" t="s">
        <v>143</v>
      </c>
      <c r="B1648" s="139" t="str">
        <f>IFERROR(VLOOKUP($A1648, NameDesignation[], 2,FALSE), " ")</f>
        <v>Independent Director</v>
      </c>
      <c r="C1648" s="139" t="s">
        <v>29</v>
      </c>
      <c r="D1648" s="139" t="s">
        <v>140</v>
      </c>
      <c r="E1648" s="140">
        <v>45533</v>
      </c>
      <c r="F1648" s="139" t="str">
        <f t="shared" si="75"/>
        <v>Q3-24</v>
      </c>
      <c r="G1648" s="140" t="str">
        <f t="shared" si="76"/>
        <v>Aug'24</v>
      </c>
      <c r="H1648" s="140" t="str">
        <f>TEXT(RawData[[#This Row],[Date]], "YYYY")</f>
        <v>2024</v>
      </c>
      <c r="I1648" s="141" t="s">
        <v>32</v>
      </c>
      <c r="J1648" s="141" t="s">
        <v>90</v>
      </c>
      <c r="K1648" s="139">
        <f t="shared" si="77"/>
        <v>1</v>
      </c>
      <c r="L1648" s="142">
        <f>IF(RawData[[#This Row],[Paid/Unpaid]]="Paid", IF(VALUE($E1648)&gt;VALUE($D$3),$K1648* 10000,$K1648* 8000), 0)</f>
        <v>10000</v>
      </c>
      <c r="M1648" s="53" t="s">
        <v>146</v>
      </c>
    </row>
    <row r="1649" spans="1:13" x14ac:dyDescent="0.3">
      <c r="A1649" s="143" t="s">
        <v>142</v>
      </c>
      <c r="B1649" s="139" t="str">
        <f>IFERROR(VLOOKUP($A1649, NameDesignation[], 2,FALSE), " ")</f>
        <v>Independent Director</v>
      </c>
      <c r="C1649" s="139" t="s">
        <v>29</v>
      </c>
      <c r="D1649" s="139" t="s">
        <v>140</v>
      </c>
      <c r="E1649" s="140">
        <v>45533</v>
      </c>
      <c r="F1649" s="139" t="str">
        <f t="shared" si="75"/>
        <v>Q3-24</v>
      </c>
      <c r="G1649" s="140" t="str">
        <f t="shared" si="76"/>
        <v>Aug'24</v>
      </c>
      <c r="H1649" s="140" t="str">
        <f>TEXT(RawData[[#This Row],[Date]], "YYYY")</f>
        <v>2024</v>
      </c>
      <c r="I1649" s="141" t="s">
        <v>32</v>
      </c>
      <c r="J1649" s="141" t="s">
        <v>90</v>
      </c>
      <c r="K1649" s="139">
        <f t="shared" si="77"/>
        <v>1</v>
      </c>
      <c r="L1649" s="142">
        <f>IF(RawData[[#This Row],[Paid/Unpaid]]="Paid", IF(VALUE($E1649)&gt;VALUE($D$3),$K1649* 10000,$K1649* 8000), 0)</f>
        <v>10000</v>
      </c>
      <c r="M1649" s="53" t="s">
        <v>146</v>
      </c>
    </row>
    <row r="1650" spans="1:13" x14ac:dyDescent="0.3">
      <c r="A1650" s="143" t="s">
        <v>144</v>
      </c>
      <c r="B1650" s="139" t="str">
        <f>IFERROR(VLOOKUP($A1650, NameDesignation[], 2,FALSE), " ")</f>
        <v>Acting Managing Director &amp; CEO</v>
      </c>
      <c r="C1650" s="139" t="s">
        <v>29</v>
      </c>
      <c r="D1650" s="139" t="s">
        <v>140</v>
      </c>
      <c r="E1650" s="140">
        <v>45533</v>
      </c>
      <c r="F1650" s="139" t="str">
        <f t="shared" si="75"/>
        <v>Q3-24</v>
      </c>
      <c r="G1650" s="140" t="str">
        <f t="shared" si="76"/>
        <v>Aug'24</v>
      </c>
      <c r="H1650" s="140" t="str">
        <f>TEXT(RawData[[#This Row],[Date]], "YYYY")</f>
        <v>2024</v>
      </c>
      <c r="I1650" s="141" t="s">
        <v>32</v>
      </c>
      <c r="J1650" s="141" t="s">
        <v>90</v>
      </c>
      <c r="K1650" s="139">
        <f t="shared" si="77"/>
        <v>1</v>
      </c>
      <c r="L1650" s="142">
        <f>IF(RawData[[#This Row],[Paid/Unpaid]]="Paid", IF(VALUE($E1650)&gt;VALUE($D$3),$K1650* 10000,$K1650* 8000), 0)</f>
        <v>10000</v>
      </c>
      <c r="M1650" s="53" t="s">
        <v>146</v>
      </c>
    </row>
    <row r="1651" spans="1:13" x14ac:dyDescent="0.3">
      <c r="A1651" s="143" t="s">
        <v>142</v>
      </c>
      <c r="B1651" s="139" t="str">
        <f>IFERROR(VLOOKUP($A1651, NameDesignation[], 2,FALSE), " ")</f>
        <v>Independent Director</v>
      </c>
      <c r="C1651" s="139" t="s">
        <v>37</v>
      </c>
      <c r="D1651" s="139">
        <v>138</v>
      </c>
      <c r="E1651" s="140">
        <v>45536</v>
      </c>
      <c r="F1651" s="139" t="str">
        <f t="shared" si="75"/>
        <v>Q3-24</v>
      </c>
      <c r="G1651" s="140" t="str">
        <f t="shared" si="76"/>
        <v>Sep'24</v>
      </c>
      <c r="H1651" s="140" t="str">
        <f>TEXT(RawData[[#This Row],[Date]], "YYYY")</f>
        <v>2024</v>
      </c>
      <c r="I1651" s="141" t="s">
        <v>32</v>
      </c>
      <c r="J1651" s="141" t="s">
        <v>90</v>
      </c>
      <c r="K1651" s="139">
        <f t="shared" si="77"/>
        <v>1</v>
      </c>
      <c r="L1651" s="142">
        <f>IF(RawData[[#This Row],[Paid/Unpaid]]="Paid", IF(VALUE($E1651)&gt;VALUE($D$3),$K1651* 10000,$K1651* 8000), 0)</f>
        <v>10000</v>
      </c>
      <c r="M1651" s="53" t="s">
        <v>146</v>
      </c>
    </row>
    <row r="1652" spans="1:13" x14ac:dyDescent="0.3">
      <c r="A1652" s="143" t="s">
        <v>68</v>
      </c>
      <c r="B1652" s="139" t="str">
        <f>IFERROR(VLOOKUP($A1652, NameDesignation[], 2,FALSE), " ")</f>
        <v>Chairman</v>
      </c>
      <c r="C1652" s="139" t="s">
        <v>29</v>
      </c>
      <c r="D1652" s="139">
        <v>497</v>
      </c>
      <c r="E1652" s="140">
        <v>45539</v>
      </c>
      <c r="F1652" s="139" t="str">
        <f t="shared" si="75"/>
        <v>Q3-24</v>
      </c>
      <c r="G1652" s="140" t="str">
        <f t="shared" si="76"/>
        <v>Sep'24</v>
      </c>
      <c r="H1652" s="140" t="str">
        <f>TEXT(RawData[[#This Row],[Date]], "YYYY")</f>
        <v>2024</v>
      </c>
      <c r="I1652" s="141" t="s">
        <v>32</v>
      </c>
      <c r="J1652" s="141" t="s">
        <v>90</v>
      </c>
      <c r="K1652" s="139">
        <f t="shared" si="77"/>
        <v>1</v>
      </c>
      <c r="L1652" s="142">
        <f>IF(RawData[[#This Row],[Paid/Unpaid]]="Paid", IF(VALUE($E1652)&gt;VALUE($D$3),$K1652* 10000,$K1652* 8000), 0)</f>
        <v>10000</v>
      </c>
      <c r="M1652" s="53" t="s">
        <v>146</v>
      </c>
    </row>
    <row r="1653" spans="1:13" x14ac:dyDescent="0.3">
      <c r="A1653" s="143" t="s">
        <v>70</v>
      </c>
      <c r="B1653" s="139" t="str">
        <f>IFERROR(VLOOKUP($A1653, NameDesignation[], 2,FALSE), " ")</f>
        <v>Director</v>
      </c>
      <c r="C1653" s="139" t="s">
        <v>29</v>
      </c>
      <c r="D1653" s="139">
        <v>497</v>
      </c>
      <c r="E1653" s="140">
        <v>45539</v>
      </c>
      <c r="F1653" s="139" t="str">
        <f t="shared" si="75"/>
        <v>Q3-24</v>
      </c>
      <c r="G1653" s="140" t="str">
        <f t="shared" si="76"/>
        <v>Sep'24</v>
      </c>
      <c r="H1653" s="140" t="str">
        <f>TEXT(RawData[[#This Row],[Date]], "YYYY")</f>
        <v>2024</v>
      </c>
      <c r="I1653" s="141" t="s">
        <v>32</v>
      </c>
      <c r="J1653" s="141" t="s">
        <v>90</v>
      </c>
      <c r="K1653" s="139">
        <f t="shared" si="77"/>
        <v>1</v>
      </c>
      <c r="L1653" s="142">
        <f>IF(RawData[[#This Row],[Paid/Unpaid]]="Paid", IF(VALUE($E1653)&gt;VALUE($D$3),$K1653* 10000,$K1653* 8000), 0)</f>
        <v>10000</v>
      </c>
      <c r="M1653" s="53" t="s">
        <v>146</v>
      </c>
    </row>
    <row r="1654" spans="1:13" x14ac:dyDescent="0.3">
      <c r="A1654" s="143" t="s">
        <v>141</v>
      </c>
      <c r="B1654" s="139" t="str">
        <f>IFERROR(VLOOKUP($A1654, NameDesignation[], 2,FALSE), " ")</f>
        <v>Vice-Chairman</v>
      </c>
      <c r="C1654" s="139" t="s">
        <v>29</v>
      </c>
      <c r="D1654" s="139">
        <v>497</v>
      </c>
      <c r="E1654" s="140">
        <v>45539</v>
      </c>
      <c r="F1654" s="139" t="str">
        <f t="shared" si="75"/>
        <v>Q3-24</v>
      </c>
      <c r="G1654" s="140" t="str">
        <f t="shared" si="76"/>
        <v>Sep'24</v>
      </c>
      <c r="H1654" s="140" t="str">
        <f>TEXT(RawData[[#This Row],[Date]], "YYYY")</f>
        <v>2024</v>
      </c>
      <c r="I1654" s="141" t="s">
        <v>32</v>
      </c>
      <c r="J1654" s="141" t="s">
        <v>90</v>
      </c>
      <c r="K1654" s="139">
        <f t="shared" si="77"/>
        <v>1</v>
      </c>
      <c r="L1654" s="142">
        <f>IF(RawData[[#This Row],[Paid/Unpaid]]="Paid", IF(VALUE($E1654)&gt;VALUE($D$3),$K1654* 10000,$K1654* 8000), 0)</f>
        <v>10000</v>
      </c>
      <c r="M1654" s="53" t="s">
        <v>146</v>
      </c>
    </row>
    <row r="1655" spans="1:13" x14ac:dyDescent="0.3">
      <c r="A1655" s="143" t="s">
        <v>143</v>
      </c>
      <c r="B1655" s="139" t="str">
        <f>IFERROR(VLOOKUP($A1655, NameDesignation[], 2,FALSE), " ")</f>
        <v>Independent Director</v>
      </c>
      <c r="C1655" s="139" t="s">
        <v>29</v>
      </c>
      <c r="D1655" s="139">
        <v>497</v>
      </c>
      <c r="E1655" s="140">
        <v>45539</v>
      </c>
      <c r="F1655" s="139" t="str">
        <f t="shared" si="75"/>
        <v>Q3-24</v>
      </c>
      <c r="G1655" s="140" t="str">
        <f t="shared" si="76"/>
        <v>Sep'24</v>
      </c>
      <c r="H1655" s="140" t="str">
        <f>TEXT(RawData[[#This Row],[Date]], "YYYY")</f>
        <v>2024</v>
      </c>
      <c r="I1655" s="141" t="s">
        <v>32</v>
      </c>
      <c r="J1655" s="141" t="s">
        <v>90</v>
      </c>
      <c r="K1655" s="139">
        <f t="shared" si="77"/>
        <v>1</v>
      </c>
      <c r="L1655" s="142">
        <f>IF(RawData[[#This Row],[Paid/Unpaid]]="Paid", IF(VALUE($E1655)&gt;VALUE($D$3),$K1655* 10000,$K1655* 8000), 0)</f>
        <v>10000</v>
      </c>
      <c r="M1655" s="53" t="s">
        <v>146</v>
      </c>
    </row>
    <row r="1656" spans="1:13" x14ac:dyDescent="0.3">
      <c r="A1656" s="143" t="s">
        <v>142</v>
      </c>
      <c r="B1656" s="139" t="str">
        <f>IFERROR(VLOOKUP($A1656, NameDesignation[], 2,FALSE), " ")</f>
        <v>Independent Director</v>
      </c>
      <c r="C1656" s="139" t="s">
        <v>29</v>
      </c>
      <c r="D1656" s="139">
        <v>497</v>
      </c>
      <c r="E1656" s="140">
        <v>45539</v>
      </c>
      <c r="F1656" s="139" t="str">
        <f t="shared" si="75"/>
        <v>Q3-24</v>
      </c>
      <c r="G1656" s="140" t="str">
        <f t="shared" si="76"/>
        <v>Sep'24</v>
      </c>
      <c r="H1656" s="140" t="str">
        <f>TEXT(RawData[[#This Row],[Date]], "YYYY")</f>
        <v>2024</v>
      </c>
      <c r="I1656" s="141" t="s">
        <v>32</v>
      </c>
      <c r="J1656" s="141" t="s">
        <v>90</v>
      </c>
      <c r="K1656" s="139">
        <f t="shared" si="77"/>
        <v>1</v>
      </c>
      <c r="L1656" s="142">
        <f>IF(RawData[[#This Row],[Paid/Unpaid]]="Paid", IF(VALUE($E1656)&gt;VALUE($D$3),$K1656* 10000,$K1656* 8000), 0)</f>
        <v>10000</v>
      </c>
      <c r="M1656" s="53" t="s">
        <v>146</v>
      </c>
    </row>
    <row r="1657" spans="1:13" x14ac:dyDescent="0.3">
      <c r="A1657" s="143" t="s">
        <v>36</v>
      </c>
      <c r="B1657" s="139" t="str">
        <f>IFERROR(VLOOKUP($A1657, NameDesignation[], 2,FALSE), " ")</f>
        <v>Acting Managing Director &amp; CEO</v>
      </c>
      <c r="C1657" s="139" t="s">
        <v>29</v>
      </c>
      <c r="D1657" s="139">
        <v>497</v>
      </c>
      <c r="E1657" s="140">
        <v>45539</v>
      </c>
      <c r="F1657" s="139" t="str">
        <f t="shared" si="75"/>
        <v>Q3-24</v>
      </c>
      <c r="G1657" s="140" t="str">
        <f t="shared" si="76"/>
        <v>Sep'24</v>
      </c>
      <c r="H1657" s="140" t="str">
        <f>TEXT(RawData[[#This Row],[Date]], "YYYY")</f>
        <v>2024</v>
      </c>
      <c r="I1657" s="141" t="s">
        <v>32</v>
      </c>
      <c r="J1657" s="141" t="s">
        <v>90</v>
      </c>
      <c r="K1657" s="139">
        <f t="shared" si="77"/>
        <v>1</v>
      </c>
      <c r="L1657" s="142">
        <f>IF(RawData[[#This Row],[Paid/Unpaid]]="Paid", IF(VALUE($E1657)&gt;VALUE($D$3),$K1657* 10000,$K1657* 8000), 0)</f>
        <v>10000</v>
      </c>
      <c r="M1657" s="53" t="s">
        <v>146</v>
      </c>
    </row>
    <row r="1658" spans="1:13" x14ac:dyDescent="0.3">
      <c r="A1658" s="143" t="s">
        <v>70</v>
      </c>
      <c r="B1658" s="139" t="str">
        <f>IFERROR(VLOOKUP($A1658, NameDesignation[], 2,FALSE), " ")</f>
        <v>Director</v>
      </c>
      <c r="C1658" s="139" t="s">
        <v>30</v>
      </c>
      <c r="D1658" s="139">
        <v>470</v>
      </c>
      <c r="E1658" s="140">
        <v>45539</v>
      </c>
      <c r="F1658" s="139" t="str">
        <f t="shared" si="75"/>
        <v>Q3-24</v>
      </c>
      <c r="G1658" s="140" t="str">
        <f t="shared" si="76"/>
        <v>Sep'24</v>
      </c>
      <c r="H1658" s="140" t="str">
        <f>TEXT(RawData[[#This Row],[Date]], "YYYY")</f>
        <v>2024</v>
      </c>
      <c r="I1658" s="141" t="s">
        <v>32</v>
      </c>
      <c r="J1658" s="141" t="s">
        <v>90</v>
      </c>
      <c r="K1658" s="139">
        <f t="shared" si="77"/>
        <v>1</v>
      </c>
      <c r="L1658" s="142">
        <f>IF(RawData[[#This Row],[Paid/Unpaid]]="Paid", IF(VALUE($E1658)&gt;VALUE($D$3),$K1658* 10000,$K1658* 8000), 0)</f>
        <v>10000</v>
      </c>
      <c r="M1658" s="53" t="s">
        <v>146</v>
      </c>
    </row>
    <row r="1659" spans="1:13" x14ac:dyDescent="0.3">
      <c r="A1659" s="143" t="s">
        <v>68</v>
      </c>
      <c r="B1659" s="139" t="str">
        <f>IFERROR(VLOOKUP($A1659, NameDesignation[], 2,FALSE), " ")</f>
        <v>Chairman</v>
      </c>
      <c r="C1659" s="139" t="s">
        <v>30</v>
      </c>
      <c r="D1659" s="139">
        <v>470</v>
      </c>
      <c r="E1659" s="140">
        <v>45539</v>
      </c>
      <c r="F1659" s="139" t="str">
        <f t="shared" si="75"/>
        <v>Q3-24</v>
      </c>
      <c r="G1659" s="140" t="str">
        <f t="shared" si="76"/>
        <v>Sep'24</v>
      </c>
      <c r="H1659" s="140" t="str">
        <f>TEXT(RawData[[#This Row],[Date]], "YYYY")</f>
        <v>2024</v>
      </c>
      <c r="I1659" s="141" t="s">
        <v>32</v>
      </c>
      <c r="J1659" s="141" t="s">
        <v>90</v>
      </c>
      <c r="K1659" s="139">
        <f t="shared" si="77"/>
        <v>1</v>
      </c>
      <c r="L1659" s="142">
        <f>IF(RawData[[#This Row],[Paid/Unpaid]]="Paid", IF(VALUE($E1659)&gt;VALUE($D$3),$K1659* 10000,$K1659* 8000), 0)</f>
        <v>10000</v>
      </c>
      <c r="M1659" s="53" t="s">
        <v>146</v>
      </c>
    </row>
    <row r="1660" spans="1:13" x14ac:dyDescent="0.3">
      <c r="A1660" s="143" t="s">
        <v>141</v>
      </c>
      <c r="B1660" s="139" t="str">
        <f>IFERROR(VLOOKUP($A1660, NameDesignation[], 2,FALSE), " ")</f>
        <v>Vice-Chairman</v>
      </c>
      <c r="C1660" s="139" t="s">
        <v>30</v>
      </c>
      <c r="D1660" s="139">
        <v>470</v>
      </c>
      <c r="E1660" s="140">
        <v>45539</v>
      </c>
      <c r="F1660" s="139" t="str">
        <f t="shared" si="75"/>
        <v>Q3-24</v>
      </c>
      <c r="G1660" s="140" t="str">
        <f t="shared" si="76"/>
        <v>Sep'24</v>
      </c>
      <c r="H1660" s="140" t="str">
        <f>TEXT(RawData[[#This Row],[Date]], "YYYY")</f>
        <v>2024</v>
      </c>
      <c r="I1660" s="141" t="s">
        <v>32</v>
      </c>
      <c r="J1660" s="141" t="s">
        <v>90</v>
      </c>
      <c r="K1660" s="139">
        <f t="shared" si="77"/>
        <v>1</v>
      </c>
      <c r="L1660" s="142">
        <f>IF(RawData[[#This Row],[Paid/Unpaid]]="Paid", IF(VALUE($E1660)&gt;VALUE($D$3),$K1660* 10000,$K1660* 8000), 0)</f>
        <v>10000</v>
      </c>
      <c r="M1660" s="53" t="s">
        <v>146</v>
      </c>
    </row>
    <row r="1661" spans="1:13" x14ac:dyDescent="0.3">
      <c r="A1661" s="143" t="s">
        <v>36</v>
      </c>
      <c r="B1661" s="139" t="str">
        <f>IFERROR(VLOOKUP($A1661, NameDesignation[], 2,FALSE), " ")</f>
        <v>Acting Managing Director &amp; CEO</v>
      </c>
      <c r="C1661" s="139" t="s">
        <v>30</v>
      </c>
      <c r="D1661" s="139">
        <v>470</v>
      </c>
      <c r="E1661" s="140">
        <v>45539</v>
      </c>
      <c r="F1661" s="139" t="str">
        <f t="shared" si="75"/>
        <v>Q3-24</v>
      </c>
      <c r="G1661" s="140" t="str">
        <f t="shared" si="76"/>
        <v>Sep'24</v>
      </c>
      <c r="H1661" s="140" t="str">
        <f>TEXT(RawData[[#This Row],[Date]], "YYYY")</f>
        <v>2024</v>
      </c>
      <c r="I1661" s="141" t="s">
        <v>32</v>
      </c>
      <c r="J1661" s="141" t="s">
        <v>90</v>
      </c>
      <c r="K1661" s="139">
        <f t="shared" si="77"/>
        <v>1</v>
      </c>
      <c r="L1661" s="142">
        <f>IF(RawData[[#This Row],[Paid/Unpaid]]="Paid", IF(VALUE($E1661)&gt;VALUE($D$3),$K1661* 10000,$K1661* 8000), 0)</f>
        <v>10000</v>
      </c>
      <c r="M1661" s="53" t="s">
        <v>146</v>
      </c>
    </row>
    <row r="1662" spans="1:13" x14ac:dyDescent="0.3">
      <c r="A1662" s="143" t="s">
        <v>142</v>
      </c>
      <c r="B1662" s="139" t="str">
        <f>IFERROR(VLOOKUP($A1662, NameDesignation[], 2,FALSE), " ")</f>
        <v>Independent Director</v>
      </c>
      <c r="C1662" s="139" t="s">
        <v>37</v>
      </c>
      <c r="D1662" s="139">
        <v>139</v>
      </c>
      <c r="E1662" s="140">
        <v>45544</v>
      </c>
      <c r="F1662" s="139" t="str">
        <f t="shared" si="75"/>
        <v>Q3-24</v>
      </c>
      <c r="G1662" s="140" t="str">
        <f t="shared" si="76"/>
        <v>Sep'24</v>
      </c>
      <c r="H1662" s="140" t="str">
        <f>TEXT(RawData[[#This Row],[Date]], "YYYY")</f>
        <v>2024</v>
      </c>
      <c r="I1662" s="141" t="s">
        <v>32</v>
      </c>
      <c r="J1662" s="141" t="s">
        <v>90</v>
      </c>
      <c r="K1662" s="139">
        <f t="shared" si="77"/>
        <v>1</v>
      </c>
      <c r="L1662" s="142">
        <f>IF(RawData[[#This Row],[Paid/Unpaid]]="Paid", IF(VALUE($E1662)&gt;VALUE($D$3),$K1662* 10000,$K1662* 8000), 0)</f>
        <v>0</v>
      </c>
      <c r="M1662" s="53" t="s">
        <v>147</v>
      </c>
    </row>
    <row r="1663" spans="1:13" x14ac:dyDescent="0.3">
      <c r="A1663" s="143" t="s">
        <v>143</v>
      </c>
      <c r="B1663" s="139" t="str">
        <f>IFERROR(VLOOKUP($A1663, NameDesignation[], 2,FALSE), " ")</f>
        <v>Independent Director</v>
      </c>
      <c r="C1663" s="139" t="s">
        <v>37</v>
      </c>
      <c r="D1663" s="139">
        <v>139</v>
      </c>
      <c r="E1663" s="140">
        <v>45544</v>
      </c>
      <c r="F1663" s="139" t="str">
        <f t="shared" si="75"/>
        <v>Q3-24</v>
      </c>
      <c r="G1663" s="140" t="str">
        <f t="shared" si="76"/>
        <v>Sep'24</v>
      </c>
      <c r="H1663" s="140" t="str">
        <f>TEXT(RawData[[#This Row],[Date]], "YYYY")</f>
        <v>2024</v>
      </c>
      <c r="I1663" s="141" t="s">
        <v>32</v>
      </c>
      <c r="J1663" s="141" t="s">
        <v>90</v>
      </c>
      <c r="K1663" s="139">
        <f t="shared" si="77"/>
        <v>1</v>
      </c>
      <c r="L1663" s="142">
        <f>IF(RawData[[#This Row],[Paid/Unpaid]]="Paid", IF(VALUE($E1663)&gt;VALUE($D$3),$K1663* 10000,$K1663* 8000), 0)</f>
        <v>10000</v>
      </c>
      <c r="M1663" s="53" t="s">
        <v>146</v>
      </c>
    </row>
    <row r="1664" spans="1:13" x14ac:dyDescent="0.3">
      <c r="A1664" s="143" t="s">
        <v>68</v>
      </c>
      <c r="B1664" s="139" t="str">
        <f>IFERROR(VLOOKUP($A1664, NameDesignation[], 2,FALSE), " ")</f>
        <v>Chairman</v>
      </c>
      <c r="C1664" s="139" t="s">
        <v>29</v>
      </c>
      <c r="D1664" s="139">
        <v>498</v>
      </c>
      <c r="E1664" s="140">
        <v>45546</v>
      </c>
      <c r="F1664" s="139" t="str">
        <f t="shared" si="75"/>
        <v>Q3-24</v>
      </c>
      <c r="G1664" s="140" t="str">
        <f t="shared" si="76"/>
        <v>Sep'24</v>
      </c>
      <c r="H1664" s="140" t="str">
        <f>TEXT(RawData[[#This Row],[Date]], "YYYY")</f>
        <v>2024</v>
      </c>
      <c r="I1664" s="141" t="s">
        <v>32</v>
      </c>
      <c r="J1664" s="141" t="s">
        <v>90</v>
      </c>
      <c r="K1664" s="139">
        <f t="shared" si="77"/>
        <v>1</v>
      </c>
      <c r="L1664" s="142">
        <f>IF(RawData[[#This Row],[Paid/Unpaid]]="Paid", IF(VALUE($E1664)&gt;VALUE($D$3),$K1664* 10000,$K1664* 8000), 0)</f>
        <v>10000</v>
      </c>
      <c r="M1664" s="53" t="s">
        <v>146</v>
      </c>
    </row>
    <row r="1665" spans="1:13" x14ac:dyDescent="0.3">
      <c r="A1665" s="143" t="s">
        <v>70</v>
      </c>
      <c r="B1665" s="139" t="str">
        <f>IFERROR(VLOOKUP($A1665, NameDesignation[], 2,FALSE), " ")</f>
        <v>Director</v>
      </c>
      <c r="C1665" s="139" t="s">
        <v>29</v>
      </c>
      <c r="D1665" s="139">
        <v>498</v>
      </c>
      <c r="E1665" s="140">
        <v>45546</v>
      </c>
      <c r="F1665" s="139" t="str">
        <f t="shared" si="75"/>
        <v>Q3-24</v>
      </c>
      <c r="G1665" s="140" t="str">
        <f t="shared" si="76"/>
        <v>Sep'24</v>
      </c>
      <c r="H1665" s="140" t="str">
        <f>TEXT(RawData[[#This Row],[Date]], "YYYY")</f>
        <v>2024</v>
      </c>
      <c r="I1665" s="141" t="s">
        <v>32</v>
      </c>
      <c r="J1665" s="141" t="s">
        <v>90</v>
      </c>
      <c r="K1665" s="139">
        <f t="shared" si="77"/>
        <v>1</v>
      </c>
      <c r="L1665" s="142">
        <f>IF(RawData[[#This Row],[Paid/Unpaid]]="Paid", IF(VALUE($E1665)&gt;VALUE($D$3),$K1665* 10000,$K1665* 8000), 0)</f>
        <v>10000</v>
      </c>
      <c r="M1665" s="53" t="s">
        <v>146</v>
      </c>
    </row>
    <row r="1666" spans="1:13" x14ac:dyDescent="0.3">
      <c r="A1666" s="143" t="s">
        <v>141</v>
      </c>
      <c r="B1666" s="139" t="str">
        <f>IFERROR(VLOOKUP($A1666, NameDesignation[], 2,FALSE), " ")</f>
        <v>Vice-Chairman</v>
      </c>
      <c r="C1666" s="139" t="s">
        <v>29</v>
      </c>
      <c r="D1666" s="139">
        <v>498</v>
      </c>
      <c r="E1666" s="140">
        <v>45546</v>
      </c>
      <c r="F1666" s="139" t="str">
        <f t="shared" si="75"/>
        <v>Q3-24</v>
      </c>
      <c r="G1666" s="140" t="str">
        <f t="shared" si="76"/>
        <v>Sep'24</v>
      </c>
      <c r="H1666" s="140" t="str">
        <f>TEXT(RawData[[#This Row],[Date]], "YYYY")</f>
        <v>2024</v>
      </c>
      <c r="I1666" s="141" t="s">
        <v>32</v>
      </c>
      <c r="J1666" s="141" t="s">
        <v>90</v>
      </c>
      <c r="K1666" s="139">
        <f t="shared" si="77"/>
        <v>1</v>
      </c>
      <c r="L1666" s="142">
        <f>IF(RawData[[#This Row],[Paid/Unpaid]]="Paid", IF(VALUE($E1666)&gt;VALUE($D$3),$K1666* 10000,$K1666* 8000), 0)</f>
        <v>10000</v>
      </c>
      <c r="M1666" s="53" t="s">
        <v>146</v>
      </c>
    </row>
    <row r="1667" spans="1:13" x14ac:dyDescent="0.3">
      <c r="A1667" s="143" t="s">
        <v>143</v>
      </c>
      <c r="B1667" s="139" t="str">
        <f>IFERROR(VLOOKUP($A1667, NameDesignation[], 2,FALSE), " ")</f>
        <v>Independent Director</v>
      </c>
      <c r="C1667" s="139" t="s">
        <v>29</v>
      </c>
      <c r="D1667" s="139">
        <v>498</v>
      </c>
      <c r="E1667" s="140">
        <v>45546</v>
      </c>
      <c r="F1667" s="139" t="str">
        <f t="shared" si="75"/>
        <v>Q3-24</v>
      </c>
      <c r="G1667" s="140" t="str">
        <f t="shared" si="76"/>
        <v>Sep'24</v>
      </c>
      <c r="H1667" s="140" t="str">
        <f>TEXT(RawData[[#This Row],[Date]], "YYYY")</f>
        <v>2024</v>
      </c>
      <c r="I1667" s="141" t="s">
        <v>32</v>
      </c>
      <c r="J1667" s="141" t="s">
        <v>90</v>
      </c>
      <c r="K1667" s="139">
        <f t="shared" si="77"/>
        <v>1</v>
      </c>
      <c r="L1667" s="142">
        <f>IF(RawData[[#This Row],[Paid/Unpaid]]="Paid", IF(VALUE($E1667)&gt;VALUE($D$3),$K1667* 10000,$K1667* 8000), 0)</f>
        <v>10000</v>
      </c>
      <c r="M1667" s="53" t="s">
        <v>146</v>
      </c>
    </row>
    <row r="1668" spans="1:13" x14ac:dyDescent="0.3">
      <c r="A1668" s="143" t="s">
        <v>142</v>
      </c>
      <c r="B1668" s="139" t="str">
        <f>IFERROR(VLOOKUP($A1668, NameDesignation[], 2,FALSE), " ")</f>
        <v>Independent Director</v>
      </c>
      <c r="C1668" s="139" t="s">
        <v>29</v>
      </c>
      <c r="D1668" s="139">
        <v>498</v>
      </c>
      <c r="E1668" s="140">
        <v>45546</v>
      </c>
      <c r="F1668" s="139" t="str">
        <f t="shared" si="75"/>
        <v>Q3-24</v>
      </c>
      <c r="G1668" s="140" t="str">
        <f t="shared" si="76"/>
        <v>Sep'24</v>
      </c>
      <c r="H1668" s="140" t="str">
        <f>TEXT(RawData[[#This Row],[Date]], "YYYY")</f>
        <v>2024</v>
      </c>
      <c r="I1668" s="141" t="s">
        <v>32</v>
      </c>
      <c r="J1668" s="141" t="s">
        <v>90</v>
      </c>
      <c r="K1668" s="139">
        <f t="shared" si="77"/>
        <v>1</v>
      </c>
      <c r="L1668" s="142">
        <f>IF(RawData[[#This Row],[Paid/Unpaid]]="Paid", IF(VALUE($E1668)&gt;VALUE($D$3),$K1668* 10000,$K1668* 8000), 0)</f>
        <v>10000</v>
      </c>
      <c r="M1668" s="53" t="s">
        <v>146</v>
      </c>
    </row>
    <row r="1669" spans="1:13" x14ac:dyDescent="0.3">
      <c r="A1669" s="143" t="s">
        <v>36</v>
      </c>
      <c r="B1669" s="139" t="str">
        <f>IFERROR(VLOOKUP($A1669, NameDesignation[], 2,FALSE), " ")</f>
        <v>Acting Managing Director &amp; CEO</v>
      </c>
      <c r="C1669" s="139" t="s">
        <v>29</v>
      </c>
      <c r="D1669" s="139">
        <v>498</v>
      </c>
      <c r="E1669" s="140">
        <v>45546</v>
      </c>
      <c r="F1669" s="139" t="str">
        <f t="shared" si="75"/>
        <v>Q3-24</v>
      </c>
      <c r="G1669" s="140" t="str">
        <f t="shared" si="76"/>
        <v>Sep'24</v>
      </c>
      <c r="H1669" s="140" t="str">
        <f>TEXT(RawData[[#This Row],[Date]], "YYYY")</f>
        <v>2024</v>
      </c>
      <c r="I1669" s="141" t="s">
        <v>32</v>
      </c>
      <c r="J1669" s="141" t="s">
        <v>90</v>
      </c>
      <c r="K1669" s="139">
        <f t="shared" si="77"/>
        <v>1</v>
      </c>
      <c r="L1669" s="142">
        <f>IF(RawData[[#This Row],[Paid/Unpaid]]="Paid", IF(VALUE($E1669)&gt;VALUE($D$3),$K1669* 10000,$K1669* 8000), 0)</f>
        <v>10000</v>
      </c>
      <c r="M1669" s="53" t="s">
        <v>146</v>
      </c>
    </row>
    <row r="1670" spans="1:13" x14ac:dyDescent="0.3">
      <c r="A1670" s="143" t="s">
        <v>143</v>
      </c>
      <c r="B1670" s="139" t="str">
        <f>IFERROR(VLOOKUP($A1670, NameDesignation[], 2,FALSE), " ")</f>
        <v>Independent Director</v>
      </c>
      <c r="C1670" s="139" t="s">
        <v>38</v>
      </c>
      <c r="D1670" s="139">
        <v>44</v>
      </c>
      <c r="E1670" s="140">
        <v>45553</v>
      </c>
      <c r="F1670" s="139" t="str">
        <f t="shared" si="75"/>
        <v>Q3-24</v>
      </c>
      <c r="G1670" s="140" t="str">
        <f t="shared" si="76"/>
        <v>Sep'24</v>
      </c>
      <c r="H1670" s="140" t="str">
        <f>TEXT(RawData[[#This Row],[Date]], "YYYY")</f>
        <v>2024</v>
      </c>
      <c r="I1670" s="141" t="s">
        <v>32</v>
      </c>
      <c r="J1670" s="141" t="s">
        <v>90</v>
      </c>
      <c r="K1670" s="139">
        <f t="shared" si="77"/>
        <v>1</v>
      </c>
      <c r="L1670" s="142">
        <f>IF(RawData[[#This Row],[Paid/Unpaid]]="Paid", IF(VALUE($E1670)&gt;VALUE($D$3),$K1670* 10000,$K1670* 8000), 0)</f>
        <v>10000</v>
      </c>
      <c r="M1670" s="53" t="s">
        <v>146</v>
      </c>
    </row>
    <row r="1671" spans="1:13" x14ac:dyDescent="0.3">
      <c r="A1671" s="143" t="s">
        <v>68</v>
      </c>
      <c r="B1671" s="139" t="str">
        <f>IFERROR(VLOOKUP($A1671, NameDesignation[], 2,FALSE), " ")</f>
        <v>Chairman</v>
      </c>
      <c r="C1671" s="139" t="s">
        <v>38</v>
      </c>
      <c r="D1671" s="139">
        <v>44</v>
      </c>
      <c r="E1671" s="140">
        <v>45553</v>
      </c>
      <c r="F1671" s="139" t="str">
        <f t="shared" si="75"/>
        <v>Q3-24</v>
      </c>
      <c r="G1671" s="140" t="str">
        <f t="shared" si="76"/>
        <v>Sep'24</v>
      </c>
      <c r="H1671" s="140" t="str">
        <f>TEXT(RawData[[#This Row],[Date]], "YYYY")</f>
        <v>2024</v>
      </c>
      <c r="I1671" s="141" t="s">
        <v>32</v>
      </c>
      <c r="J1671" s="141" t="s">
        <v>90</v>
      </c>
      <c r="K1671" s="139">
        <f t="shared" si="77"/>
        <v>1</v>
      </c>
      <c r="L1671" s="142">
        <f>IF(RawData[[#This Row],[Paid/Unpaid]]="Paid", IF(VALUE($E1671)&gt;VALUE($D$3),$K1671* 10000,$K1671* 8000), 0)</f>
        <v>10000</v>
      </c>
      <c r="M1671" s="53" t="s">
        <v>146</v>
      </c>
    </row>
    <row r="1672" spans="1:13" x14ac:dyDescent="0.3">
      <c r="A1672" s="143" t="s">
        <v>141</v>
      </c>
      <c r="B1672" s="139" t="str">
        <f>IFERROR(VLOOKUP($A1672, NameDesignation[], 2,FALSE), " ")</f>
        <v>Vice-Chairman</v>
      </c>
      <c r="C1672" s="139" t="s">
        <v>38</v>
      </c>
      <c r="D1672" s="139">
        <v>44</v>
      </c>
      <c r="E1672" s="140">
        <v>45553</v>
      </c>
      <c r="F1672" s="139" t="str">
        <f t="shared" si="75"/>
        <v>Q3-24</v>
      </c>
      <c r="G1672" s="140" t="str">
        <f t="shared" si="76"/>
        <v>Sep'24</v>
      </c>
      <c r="H1672" s="140" t="str">
        <f>TEXT(RawData[[#This Row],[Date]], "YYYY")</f>
        <v>2024</v>
      </c>
      <c r="I1672" s="141" t="s">
        <v>32</v>
      </c>
      <c r="J1672" s="141" t="s">
        <v>90</v>
      </c>
      <c r="K1672" s="139">
        <f t="shared" si="77"/>
        <v>1</v>
      </c>
      <c r="L1672" s="142">
        <f>IF(RawData[[#This Row],[Paid/Unpaid]]="Paid", IF(VALUE($E1672)&gt;VALUE($D$3),$K1672* 10000,$K1672* 8000), 0)</f>
        <v>10000</v>
      </c>
      <c r="M1672" s="53" t="s">
        <v>146</v>
      </c>
    </row>
    <row r="1673" spans="1:13" x14ac:dyDescent="0.3">
      <c r="A1673" s="143" t="s">
        <v>142</v>
      </c>
      <c r="B1673" s="139" t="str">
        <f>IFERROR(VLOOKUP($A1673, NameDesignation[], 2,FALSE), " ")</f>
        <v>Independent Director</v>
      </c>
      <c r="C1673" s="139" t="s">
        <v>38</v>
      </c>
      <c r="D1673" s="139">
        <v>44</v>
      </c>
      <c r="E1673" s="140">
        <v>45553</v>
      </c>
      <c r="F1673" s="139" t="str">
        <f t="shared" si="75"/>
        <v>Q3-24</v>
      </c>
      <c r="G1673" s="140" t="str">
        <f t="shared" si="76"/>
        <v>Sep'24</v>
      </c>
      <c r="H1673" s="140" t="str">
        <f>TEXT(RawData[[#This Row],[Date]], "YYYY")</f>
        <v>2024</v>
      </c>
      <c r="I1673" s="141" t="s">
        <v>32</v>
      </c>
      <c r="J1673" s="141" t="s">
        <v>90</v>
      </c>
      <c r="K1673" s="139">
        <f t="shared" si="77"/>
        <v>1</v>
      </c>
      <c r="L1673" s="142">
        <f>IF(RawData[[#This Row],[Paid/Unpaid]]="Paid", IF(VALUE($E1673)&gt;VALUE($D$3),$K1673* 10000,$K1673* 8000), 0)</f>
        <v>10000</v>
      </c>
      <c r="M1673" s="53" t="s">
        <v>146</v>
      </c>
    </row>
    <row r="1674" spans="1:13" x14ac:dyDescent="0.3">
      <c r="A1674" s="143" t="s">
        <v>68</v>
      </c>
      <c r="B1674" s="139" t="str">
        <f>IFERROR(VLOOKUP($A1674, NameDesignation[], 2,FALSE), " ")</f>
        <v>Chairman</v>
      </c>
      <c r="C1674" s="139" t="s">
        <v>29</v>
      </c>
      <c r="D1674" s="139">
        <v>499</v>
      </c>
      <c r="E1674" s="140">
        <v>45564</v>
      </c>
      <c r="F1674" s="139" t="str">
        <f t="shared" si="75"/>
        <v>Q3-24</v>
      </c>
      <c r="G1674" s="140" t="str">
        <f t="shared" si="76"/>
        <v>Sep'24</v>
      </c>
      <c r="H1674" s="140" t="str">
        <f>TEXT(RawData[[#This Row],[Date]], "YYYY")</f>
        <v>2024</v>
      </c>
      <c r="I1674" s="141" t="s">
        <v>32</v>
      </c>
      <c r="J1674" s="141" t="s">
        <v>90</v>
      </c>
      <c r="K1674" s="139">
        <f t="shared" si="77"/>
        <v>1</v>
      </c>
      <c r="L1674" s="142">
        <f>IF(RawData[[#This Row],[Paid/Unpaid]]="Paid", IF(VALUE($E1674)&gt;VALUE($D$3),$K1674* 10000,$K1674* 8000), 0)</f>
        <v>0</v>
      </c>
      <c r="M1674" s="53" t="s">
        <v>147</v>
      </c>
    </row>
    <row r="1675" spans="1:13" x14ac:dyDescent="0.3">
      <c r="A1675" s="143" t="s">
        <v>70</v>
      </c>
      <c r="B1675" s="139" t="str">
        <f>IFERROR(VLOOKUP($A1675, NameDesignation[], 2,FALSE), " ")</f>
        <v>Director</v>
      </c>
      <c r="C1675" s="139" t="s">
        <v>29</v>
      </c>
      <c r="D1675" s="139">
        <v>499</v>
      </c>
      <c r="E1675" s="140">
        <v>45564</v>
      </c>
      <c r="F1675" s="139" t="str">
        <f t="shared" ref="F1675:F1683" si="78">CONCATENATE("Q", ROUNDUP(MONTH($E1675)/3,0),"-",TEXT($E1675, "yy"))</f>
        <v>Q3-24</v>
      </c>
      <c r="G1675" s="140" t="str">
        <f t="shared" ref="G1675:G1683" si="79">CONCATENATE(TEXT($E1675, "mmm"),"'", TEXT($E1675, "yy"))</f>
        <v>Sep'24</v>
      </c>
      <c r="H1675" s="140" t="str">
        <f>TEXT(RawData[[#This Row],[Date]], "YYYY")</f>
        <v>2024</v>
      </c>
      <c r="I1675" s="141" t="s">
        <v>32</v>
      </c>
      <c r="J1675" s="141" t="s">
        <v>90</v>
      </c>
      <c r="K1675" s="139">
        <f t="shared" ref="K1675:K1683" si="80">IF($J1675="Present", 1, 0)</f>
        <v>1</v>
      </c>
      <c r="L1675" s="142">
        <f>IF(RawData[[#This Row],[Paid/Unpaid]]="Paid", IF(VALUE($E1675)&gt;VALUE($D$3),$K1675* 10000,$K1675* 8000), 0)</f>
        <v>0</v>
      </c>
      <c r="M1675" s="53" t="s">
        <v>147</v>
      </c>
    </row>
    <row r="1676" spans="1:13" x14ac:dyDescent="0.3">
      <c r="A1676" s="143" t="s">
        <v>141</v>
      </c>
      <c r="B1676" s="139" t="str">
        <f>IFERROR(VLOOKUP($A1676, NameDesignation[], 2,FALSE), " ")</f>
        <v>Vice-Chairman</v>
      </c>
      <c r="C1676" s="139" t="s">
        <v>29</v>
      </c>
      <c r="D1676" s="139">
        <v>499</v>
      </c>
      <c r="E1676" s="140">
        <v>45564</v>
      </c>
      <c r="F1676" s="139" t="str">
        <f t="shared" si="78"/>
        <v>Q3-24</v>
      </c>
      <c r="G1676" s="140" t="str">
        <f t="shared" si="79"/>
        <v>Sep'24</v>
      </c>
      <c r="H1676" s="140" t="str">
        <f>TEXT(RawData[[#This Row],[Date]], "YYYY")</f>
        <v>2024</v>
      </c>
      <c r="I1676" s="141" t="s">
        <v>32</v>
      </c>
      <c r="J1676" s="141" t="s">
        <v>90</v>
      </c>
      <c r="K1676" s="139">
        <f t="shared" si="80"/>
        <v>1</v>
      </c>
      <c r="L1676" s="142">
        <f>IF(RawData[[#This Row],[Paid/Unpaid]]="Paid", IF(VALUE($E1676)&gt;VALUE($D$3),$K1676* 10000,$K1676* 8000), 0)</f>
        <v>0</v>
      </c>
      <c r="M1676" s="53" t="s">
        <v>147</v>
      </c>
    </row>
    <row r="1677" spans="1:13" x14ac:dyDescent="0.3">
      <c r="A1677" s="143" t="s">
        <v>143</v>
      </c>
      <c r="B1677" s="139" t="str">
        <f>IFERROR(VLOOKUP($A1677, NameDesignation[], 2,FALSE), " ")</f>
        <v>Independent Director</v>
      </c>
      <c r="C1677" s="139" t="s">
        <v>29</v>
      </c>
      <c r="D1677" s="139">
        <v>499</v>
      </c>
      <c r="E1677" s="140">
        <v>45564</v>
      </c>
      <c r="F1677" s="139" t="str">
        <f t="shared" si="78"/>
        <v>Q3-24</v>
      </c>
      <c r="G1677" s="140" t="str">
        <f t="shared" si="79"/>
        <v>Sep'24</v>
      </c>
      <c r="H1677" s="140" t="str">
        <f>TEXT(RawData[[#This Row],[Date]], "YYYY")</f>
        <v>2024</v>
      </c>
      <c r="I1677" s="141" t="s">
        <v>32</v>
      </c>
      <c r="J1677" s="141" t="s">
        <v>90</v>
      </c>
      <c r="K1677" s="139">
        <f t="shared" si="80"/>
        <v>1</v>
      </c>
      <c r="L1677" s="142">
        <f>IF(RawData[[#This Row],[Paid/Unpaid]]="Paid", IF(VALUE($E1677)&gt;VALUE($D$3),$K1677* 10000,$K1677* 8000), 0)</f>
        <v>0</v>
      </c>
      <c r="M1677" s="53" t="s">
        <v>147</v>
      </c>
    </row>
    <row r="1678" spans="1:13" x14ac:dyDescent="0.3">
      <c r="A1678" s="143" t="s">
        <v>142</v>
      </c>
      <c r="B1678" s="139" t="str">
        <f>IFERROR(VLOOKUP($A1678, NameDesignation[], 2,FALSE), " ")</f>
        <v>Independent Director</v>
      </c>
      <c r="C1678" s="139" t="s">
        <v>29</v>
      </c>
      <c r="D1678" s="139">
        <v>499</v>
      </c>
      <c r="E1678" s="140">
        <v>45564</v>
      </c>
      <c r="F1678" s="139" t="str">
        <f t="shared" si="78"/>
        <v>Q3-24</v>
      </c>
      <c r="G1678" s="140" t="str">
        <f t="shared" si="79"/>
        <v>Sep'24</v>
      </c>
      <c r="H1678" s="140" t="str">
        <f>TEXT(RawData[[#This Row],[Date]], "YYYY")</f>
        <v>2024</v>
      </c>
      <c r="I1678" s="141" t="s">
        <v>32</v>
      </c>
      <c r="J1678" s="141" t="s">
        <v>90</v>
      </c>
      <c r="K1678" s="139">
        <f t="shared" si="80"/>
        <v>1</v>
      </c>
      <c r="L1678" s="142">
        <f>IF(RawData[[#This Row],[Paid/Unpaid]]="Paid", IF(VALUE($E1678)&gt;VALUE($D$3),$K1678* 10000,$K1678* 8000), 0)</f>
        <v>0</v>
      </c>
      <c r="M1678" s="53" t="s">
        <v>147</v>
      </c>
    </row>
    <row r="1679" spans="1:13" x14ac:dyDescent="0.3">
      <c r="A1679" s="143" t="s">
        <v>36</v>
      </c>
      <c r="B1679" s="139" t="str">
        <f>IFERROR(VLOOKUP($A1679, NameDesignation[], 2,FALSE), " ")</f>
        <v>Acting Managing Director &amp; CEO</v>
      </c>
      <c r="C1679" s="139" t="s">
        <v>29</v>
      </c>
      <c r="D1679" s="139">
        <v>499</v>
      </c>
      <c r="E1679" s="140">
        <v>45564</v>
      </c>
      <c r="F1679" s="139" t="str">
        <f t="shared" si="78"/>
        <v>Q3-24</v>
      </c>
      <c r="G1679" s="140" t="str">
        <f t="shared" si="79"/>
        <v>Sep'24</v>
      </c>
      <c r="H1679" s="140" t="str">
        <f>TEXT(RawData[[#This Row],[Date]], "YYYY")</f>
        <v>2024</v>
      </c>
      <c r="I1679" s="141" t="s">
        <v>32</v>
      </c>
      <c r="J1679" s="141" t="s">
        <v>90</v>
      </c>
      <c r="K1679" s="139">
        <f t="shared" si="80"/>
        <v>1</v>
      </c>
      <c r="L1679" s="142">
        <f>IF(RawData[[#This Row],[Paid/Unpaid]]="Paid", IF(VALUE($E1679)&gt;VALUE($D$3),$K1679* 10000,$K1679* 8000), 0)</f>
        <v>0</v>
      </c>
      <c r="M1679" s="53" t="s">
        <v>147</v>
      </c>
    </row>
    <row r="1680" spans="1:13" x14ac:dyDescent="0.3">
      <c r="A1680" s="143" t="s">
        <v>70</v>
      </c>
      <c r="B1680" s="139" t="str">
        <f>IFERROR(VLOOKUP($A1680, NameDesignation[], 2,FALSE), " ")</f>
        <v>Director</v>
      </c>
      <c r="C1680" s="139" t="s">
        <v>30</v>
      </c>
      <c r="D1680" s="139">
        <v>471</v>
      </c>
      <c r="E1680" s="140">
        <v>45564</v>
      </c>
      <c r="F1680" s="139" t="str">
        <f t="shared" si="78"/>
        <v>Q3-24</v>
      </c>
      <c r="G1680" s="140" t="str">
        <f t="shared" si="79"/>
        <v>Sep'24</v>
      </c>
      <c r="H1680" s="140" t="str">
        <f>TEXT(RawData[[#This Row],[Date]], "YYYY")</f>
        <v>2024</v>
      </c>
      <c r="I1680" s="141" t="s">
        <v>32</v>
      </c>
      <c r="J1680" s="141" t="s">
        <v>90</v>
      </c>
      <c r="K1680" s="139">
        <f t="shared" si="80"/>
        <v>1</v>
      </c>
      <c r="L1680" s="142">
        <f>IF(RawData[[#This Row],[Paid/Unpaid]]="Paid", IF(VALUE($E1680)&gt;VALUE($D$3),$K1680* 10000,$K1680* 8000), 0)</f>
        <v>10000</v>
      </c>
      <c r="M1680" s="53" t="s">
        <v>146</v>
      </c>
    </row>
    <row r="1681" spans="1:13" x14ac:dyDescent="0.3">
      <c r="A1681" s="143" t="s">
        <v>68</v>
      </c>
      <c r="B1681" s="139" t="str">
        <f>IFERROR(VLOOKUP($A1681, NameDesignation[], 2,FALSE), " ")</f>
        <v>Chairman</v>
      </c>
      <c r="C1681" s="139" t="s">
        <v>30</v>
      </c>
      <c r="D1681" s="139">
        <v>471</v>
      </c>
      <c r="E1681" s="140">
        <v>45564</v>
      </c>
      <c r="F1681" s="139" t="str">
        <f t="shared" si="78"/>
        <v>Q3-24</v>
      </c>
      <c r="G1681" s="140" t="str">
        <f t="shared" si="79"/>
        <v>Sep'24</v>
      </c>
      <c r="H1681" s="140" t="str">
        <f>TEXT(RawData[[#This Row],[Date]], "YYYY")</f>
        <v>2024</v>
      </c>
      <c r="I1681" s="141" t="s">
        <v>32</v>
      </c>
      <c r="J1681" s="141" t="s">
        <v>90</v>
      </c>
      <c r="K1681" s="139">
        <f t="shared" si="80"/>
        <v>1</v>
      </c>
      <c r="L1681" s="142">
        <f>IF(RawData[[#This Row],[Paid/Unpaid]]="Paid", IF(VALUE($E1681)&gt;VALUE($D$3),$K1681* 10000,$K1681* 8000), 0)</f>
        <v>10000</v>
      </c>
      <c r="M1681" s="53" t="s">
        <v>146</v>
      </c>
    </row>
    <row r="1682" spans="1:13" x14ac:dyDescent="0.3">
      <c r="A1682" s="143" t="s">
        <v>141</v>
      </c>
      <c r="B1682" s="139" t="str">
        <f>IFERROR(VLOOKUP($A1682, NameDesignation[], 2,FALSE), " ")</f>
        <v>Vice-Chairman</v>
      </c>
      <c r="C1682" s="139" t="s">
        <v>30</v>
      </c>
      <c r="D1682" s="139">
        <v>471</v>
      </c>
      <c r="E1682" s="140">
        <v>45564</v>
      </c>
      <c r="F1682" s="139" t="str">
        <f t="shared" si="78"/>
        <v>Q3-24</v>
      </c>
      <c r="G1682" s="140" t="str">
        <f t="shared" si="79"/>
        <v>Sep'24</v>
      </c>
      <c r="H1682" s="140" t="str">
        <f>TEXT(RawData[[#This Row],[Date]], "YYYY")</f>
        <v>2024</v>
      </c>
      <c r="I1682" s="141" t="s">
        <v>32</v>
      </c>
      <c r="J1682" s="141" t="s">
        <v>90</v>
      </c>
      <c r="K1682" s="139">
        <f t="shared" si="80"/>
        <v>1</v>
      </c>
      <c r="L1682" s="142">
        <f>IF(RawData[[#This Row],[Paid/Unpaid]]="Paid", IF(VALUE($E1682)&gt;VALUE($D$3),$K1682* 10000,$K1682* 8000), 0)</f>
        <v>10000</v>
      </c>
      <c r="M1682" s="53" t="s">
        <v>146</v>
      </c>
    </row>
    <row r="1683" spans="1:13" x14ac:dyDescent="0.3">
      <c r="A1683" s="143" t="s">
        <v>36</v>
      </c>
      <c r="B1683" s="139" t="str">
        <f>IFERROR(VLOOKUP($A1683, NameDesignation[], 2,FALSE), " ")</f>
        <v>Acting Managing Director &amp; CEO</v>
      </c>
      <c r="C1683" s="139" t="s">
        <v>30</v>
      </c>
      <c r="D1683" s="139">
        <v>471</v>
      </c>
      <c r="E1683" s="140">
        <v>45564</v>
      </c>
      <c r="F1683" s="139" t="str">
        <f t="shared" si="78"/>
        <v>Q3-24</v>
      </c>
      <c r="G1683" s="140" t="str">
        <f t="shared" si="79"/>
        <v>Sep'24</v>
      </c>
      <c r="H1683" s="140" t="str">
        <f>TEXT(RawData[[#This Row],[Date]], "YYYY")</f>
        <v>2024</v>
      </c>
      <c r="I1683" s="141" t="s">
        <v>32</v>
      </c>
      <c r="J1683" s="141" t="s">
        <v>90</v>
      </c>
      <c r="K1683" s="139">
        <f t="shared" si="80"/>
        <v>1</v>
      </c>
      <c r="L1683" s="142">
        <f>IF(RawData[[#This Row],[Paid/Unpaid]]="Paid", IF(VALUE($E1683)&gt;VALUE($D$3),$K1683* 10000,$K1683* 8000), 0)</f>
        <v>0</v>
      </c>
      <c r="M1683" s="53" t="s">
        <v>147</v>
      </c>
    </row>
    <row r="1684" spans="1:13" x14ac:dyDescent="0.3">
      <c r="A1684" s="143" t="s">
        <v>142</v>
      </c>
      <c r="B1684" s="139" t="str">
        <f>IFERROR(VLOOKUP($A1684, NameDesignation[], 2,FALSE), " ")</f>
        <v>Independent Director</v>
      </c>
      <c r="C1684" s="139" t="s">
        <v>37</v>
      </c>
      <c r="D1684" s="139">
        <v>140</v>
      </c>
      <c r="E1684" s="140">
        <v>45574</v>
      </c>
      <c r="F1684" s="139" t="str">
        <f>CONCATENATE("Q", ROUNDUP(MONTH($E1684)/3,0),"-",TEXT($E1684, "yy"))</f>
        <v>Q4-24</v>
      </c>
      <c r="G1684" s="140" t="str">
        <f>CONCATENATE(TEXT($E1684, "mmm"),"'", TEXT($E1684, "yy"))</f>
        <v>Oct'24</v>
      </c>
      <c r="H1684" s="140" t="str">
        <f>TEXT(RawData[[#This Row],[Date]], "YYYY")</f>
        <v>2024</v>
      </c>
      <c r="I1684" s="141" t="s">
        <v>32</v>
      </c>
      <c r="J1684" s="141" t="s">
        <v>90</v>
      </c>
      <c r="K1684" s="139">
        <f>IF($J1684="Present", 1, 0)</f>
        <v>1</v>
      </c>
      <c r="L1684" s="142">
        <f>IF(RawData[[#This Row],[Paid/Unpaid]]="Paid", IF(VALUE($E1684)&gt;VALUE($D$3),$K1684* 10000,$K1684* 8000), 0)</f>
        <v>10000</v>
      </c>
      <c r="M1684" s="53" t="s">
        <v>146</v>
      </c>
    </row>
    <row r="1685" spans="1:13" x14ac:dyDescent="0.3">
      <c r="A1685" s="143" t="s">
        <v>143</v>
      </c>
      <c r="B1685" s="139" t="str">
        <f>IFERROR(VLOOKUP($A1685, NameDesignation[], 2,FALSE), " ")</f>
        <v>Independent Director</v>
      </c>
      <c r="C1685" s="139" t="s">
        <v>37</v>
      </c>
      <c r="D1685" s="139">
        <v>140</v>
      </c>
      <c r="E1685" s="140">
        <v>45574</v>
      </c>
      <c r="F1685" s="139" t="str">
        <f>CONCATENATE("Q", ROUNDUP(MONTH($E1685)/3,0),"-",TEXT($E1685, "yy"))</f>
        <v>Q4-24</v>
      </c>
      <c r="G1685" s="140" t="str">
        <f>CONCATENATE(TEXT($E1685, "mmm"),"'", TEXT($E1685, "yy"))</f>
        <v>Oct'24</v>
      </c>
      <c r="H1685" s="140" t="str">
        <f>TEXT(RawData[[#This Row],[Date]], "YYYY")</f>
        <v>2024</v>
      </c>
      <c r="I1685" s="141" t="s">
        <v>32</v>
      </c>
      <c r="J1685" s="141" t="s">
        <v>90</v>
      </c>
      <c r="K1685" s="139">
        <f>IF($J1685="Present", 1, 0)</f>
        <v>1</v>
      </c>
      <c r="L1685" s="142">
        <f>IF(RawData[[#This Row],[Paid/Unpaid]]="Paid", IF(VALUE($E1685)&gt;VALUE($D$3),$K1685* 10000,$K1685* 8000), 0)</f>
        <v>10000</v>
      </c>
      <c r="M1685" s="53" t="s">
        <v>146</v>
      </c>
    </row>
    <row r="1686" spans="1:13" x14ac:dyDescent="0.3">
      <c r="A1686" s="143" t="s">
        <v>68</v>
      </c>
      <c r="B1686" s="139" t="str">
        <f>IFERROR(VLOOKUP($A1686, NameDesignation[], 2,FALSE), " ")</f>
        <v>Chairman</v>
      </c>
      <c r="C1686" s="139" t="s">
        <v>29</v>
      </c>
      <c r="D1686" s="139">
        <v>500</v>
      </c>
      <c r="E1686" s="140">
        <v>45579</v>
      </c>
      <c r="F1686" s="139" t="str">
        <f t="shared" ref="F1686:F1691" si="81">CONCATENATE("Q", ROUNDUP(MONTH($E1686)/3,0),"-",TEXT($E1686, "yy"))</f>
        <v>Q4-24</v>
      </c>
      <c r="G1686" s="140" t="str">
        <f t="shared" ref="G1686:G1691" si="82">CONCATENATE(TEXT($E1686, "mmm"),"'", TEXT($E1686, "yy"))</f>
        <v>Oct'24</v>
      </c>
      <c r="H1686" s="140" t="str">
        <f>TEXT(RawData[[#This Row],[Date]], "YYYY")</f>
        <v>2024</v>
      </c>
      <c r="I1686" s="141" t="s">
        <v>32</v>
      </c>
      <c r="J1686" s="141" t="s">
        <v>90</v>
      </c>
      <c r="K1686" s="139">
        <f t="shared" ref="K1686:K1691" si="83">IF($J1686="Present", 1, 0)</f>
        <v>1</v>
      </c>
      <c r="L1686" s="142">
        <f>IF(RawData[[#This Row],[Paid/Unpaid]]="Paid", IF(VALUE($E1686)&gt;VALUE($D$3),$K1686* 10000,$K1686* 8000), 0)</f>
        <v>10000</v>
      </c>
      <c r="M1686" s="53" t="s">
        <v>146</v>
      </c>
    </row>
    <row r="1687" spans="1:13" x14ac:dyDescent="0.3">
      <c r="A1687" s="143" t="s">
        <v>70</v>
      </c>
      <c r="B1687" s="139" t="str">
        <f>IFERROR(VLOOKUP($A1687, NameDesignation[], 2,FALSE), " ")</f>
        <v>Director</v>
      </c>
      <c r="C1687" s="139" t="s">
        <v>29</v>
      </c>
      <c r="D1687" s="139">
        <v>500</v>
      </c>
      <c r="E1687" s="140">
        <v>45579</v>
      </c>
      <c r="F1687" s="139" t="str">
        <f t="shared" si="81"/>
        <v>Q4-24</v>
      </c>
      <c r="G1687" s="140" t="str">
        <f t="shared" si="82"/>
        <v>Oct'24</v>
      </c>
      <c r="H1687" s="140" t="str">
        <f>TEXT(RawData[[#This Row],[Date]], "YYYY")</f>
        <v>2024</v>
      </c>
      <c r="I1687" s="141" t="s">
        <v>32</v>
      </c>
      <c r="J1687" s="141" t="s">
        <v>90</v>
      </c>
      <c r="K1687" s="139">
        <f t="shared" si="83"/>
        <v>1</v>
      </c>
      <c r="L1687" s="142">
        <f>IF(RawData[[#This Row],[Paid/Unpaid]]="Paid", IF(VALUE($E1687)&gt;VALUE($D$3),$K1687* 10000,$K1687* 8000), 0)</f>
        <v>10000</v>
      </c>
      <c r="M1687" s="53" t="s">
        <v>146</v>
      </c>
    </row>
    <row r="1688" spans="1:13" x14ac:dyDescent="0.3">
      <c r="A1688" s="143" t="s">
        <v>141</v>
      </c>
      <c r="B1688" s="139" t="str">
        <f>IFERROR(VLOOKUP($A1688, NameDesignation[], 2,FALSE), " ")</f>
        <v>Vice-Chairman</v>
      </c>
      <c r="C1688" s="139" t="s">
        <v>29</v>
      </c>
      <c r="D1688" s="139">
        <v>500</v>
      </c>
      <c r="E1688" s="140">
        <v>45579</v>
      </c>
      <c r="F1688" s="139" t="str">
        <f t="shared" si="81"/>
        <v>Q4-24</v>
      </c>
      <c r="G1688" s="140" t="str">
        <f t="shared" si="82"/>
        <v>Oct'24</v>
      </c>
      <c r="H1688" s="140" t="str">
        <f>TEXT(RawData[[#This Row],[Date]], "YYYY")</f>
        <v>2024</v>
      </c>
      <c r="I1688" s="141" t="s">
        <v>32</v>
      </c>
      <c r="J1688" s="141" t="s">
        <v>90</v>
      </c>
      <c r="K1688" s="139">
        <f t="shared" si="83"/>
        <v>1</v>
      </c>
      <c r="L1688" s="142">
        <f>IF(RawData[[#This Row],[Paid/Unpaid]]="Paid", IF(VALUE($E1688)&gt;VALUE($D$3),$K1688* 10000,$K1688* 8000), 0)</f>
        <v>10000</v>
      </c>
      <c r="M1688" s="53" t="s">
        <v>146</v>
      </c>
    </row>
    <row r="1689" spans="1:13" x14ac:dyDescent="0.3">
      <c r="A1689" s="143" t="s">
        <v>143</v>
      </c>
      <c r="B1689" s="139" t="str">
        <f>IFERROR(VLOOKUP($A1689, NameDesignation[], 2,FALSE), " ")</f>
        <v>Independent Director</v>
      </c>
      <c r="C1689" s="139" t="s">
        <v>29</v>
      </c>
      <c r="D1689" s="139">
        <v>500</v>
      </c>
      <c r="E1689" s="140">
        <v>45579</v>
      </c>
      <c r="F1689" s="139" t="str">
        <f t="shared" si="81"/>
        <v>Q4-24</v>
      </c>
      <c r="G1689" s="140" t="str">
        <f t="shared" si="82"/>
        <v>Oct'24</v>
      </c>
      <c r="H1689" s="140" t="str">
        <f>TEXT(RawData[[#This Row],[Date]], "YYYY")</f>
        <v>2024</v>
      </c>
      <c r="I1689" s="141" t="s">
        <v>32</v>
      </c>
      <c r="J1689" s="141" t="s">
        <v>90</v>
      </c>
      <c r="K1689" s="139">
        <f t="shared" si="83"/>
        <v>1</v>
      </c>
      <c r="L1689" s="142">
        <f>IF(RawData[[#This Row],[Paid/Unpaid]]="Paid", IF(VALUE($E1689)&gt;VALUE($D$3),$K1689* 10000,$K1689* 8000), 0)</f>
        <v>10000</v>
      </c>
      <c r="M1689" s="53" t="s">
        <v>146</v>
      </c>
    </row>
    <row r="1690" spans="1:13" x14ac:dyDescent="0.3">
      <c r="A1690" s="143" t="s">
        <v>142</v>
      </c>
      <c r="B1690" s="139" t="str">
        <f>IFERROR(VLOOKUP($A1690, NameDesignation[], 2,FALSE), " ")</f>
        <v>Independent Director</v>
      </c>
      <c r="C1690" s="139" t="s">
        <v>29</v>
      </c>
      <c r="D1690" s="139">
        <v>500</v>
      </c>
      <c r="E1690" s="140">
        <v>45579</v>
      </c>
      <c r="F1690" s="139" t="str">
        <f t="shared" si="81"/>
        <v>Q4-24</v>
      </c>
      <c r="G1690" s="140" t="str">
        <f t="shared" si="82"/>
        <v>Oct'24</v>
      </c>
      <c r="H1690" s="140" t="str">
        <f>TEXT(RawData[[#This Row],[Date]], "YYYY")</f>
        <v>2024</v>
      </c>
      <c r="I1690" s="141" t="s">
        <v>32</v>
      </c>
      <c r="J1690" s="141" t="s">
        <v>90</v>
      </c>
      <c r="K1690" s="139">
        <f t="shared" si="83"/>
        <v>1</v>
      </c>
      <c r="L1690" s="142">
        <f>IF(RawData[[#This Row],[Paid/Unpaid]]="Paid", IF(VALUE($E1690)&gt;VALUE($D$3),$K1690* 10000,$K1690* 8000), 0)</f>
        <v>10000</v>
      </c>
      <c r="M1690" s="53" t="s">
        <v>146</v>
      </c>
    </row>
    <row r="1691" spans="1:13" x14ac:dyDescent="0.3">
      <c r="A1691" s="143" t="s">
        <v>148</v>
      </c>
      <c r="B1691" s="139" t="str">
        <f>IFERROR(VLOOKUP($A1691, NameDesignation[], 2,FALSE), " ")</f>
        <v>Managing Director &amp; CEO</v>
      </c>
      <c r="C1691" s="139" t="s">
        <v>29</v>
      </c>
      <c r="D1691" s="139">
        <v>500</v>
      </c>
      <c r="E1691" s="140">
        <v>45579</v>
      </c>
      <c r="F1691" s="139" t="str">
        <f t="shared" si="81"/>
        <v>Q4-24</v>
      </c>
      <c r="G1691" s="140" t="str">
        <f t="shared" si="82"/>
        <v>Oct'24</v>
      </c>
      <c r="H1691" s="140" t="str">
        <f>TEXT(RawData[[#This Row],[Date]], "YYYY")</f>
        <v>2024</v>
      </c>
      <c r="I1691" s="141" t="s">
        <v>32</v>
      </c>
      <c r="J1691" s="141" t="s">
        <v>90</v>
      </c>
      <c r="K1691" s="139">
        <f t="shared" si="83"/>
        <v>1</v>
      </c>
      <c r="L1691" s="142">
        <f>IF(RawData[[#This Row],[Paid/Unpaid]]="Paid", IF(VALUE($E1691)&gt;VALUE($D$3),$K1691* 10000,$K1691* 8000), 0)</f>
        <v>10000</v>
      </c>
      <c r="M1691" s="53" t="s">
        <v>146</v>
      </c>
    </row>
    <row r="1692" spans="1:13" x14ac:dyDescent="0.3">
      <c r="A1692" s="143" t="s">
        <v>142</v>
      </c>
      <c r="B1692" s="139" t="str">
        <f>IFERROR(VLOOKUP($A1692, NameDesignation[], 2,FALSE), " ")</f>
        <v>Independent Director</v>
      </c>
      <c r="C1692" s="139" t="s">
        <v>37</v>
      </c>
      <c r="D1692" s="139">
        <v>141</v>
      </c>
      <c r="E1692" s="140">
        <v>45594</v>
      </c>
      <c r="F1692" s="139" t="str">
        <f>CONCATENATE("Q", ROUNDUP(MONTH($E1692)/3,0),"-",TEXT($E1692, "yy"))</f>
        <v>Q4-24</v>
      </c>
      <c r="G1692" s="140" t="str">
        <f>CONCATENATE(TEXT($E1692, "mmm"),"'", TEXT($E1692, "yy"))</f>
        <v>Oct'24</v>
      </c>
      <c r="H1692" s="140" t="str">
        <f>TEXT(RawData[[#This Row],[Date]], "YYYY")</f>
        <v>2024</v>
      </c>
      <c r="I1692" s="141" t="s">
        <v>32</v>
      </c>
      <c r="J1692" s="141" t="s">
        <v>90</v>
      </c>
      <c r="K1692" s="139">
        <f>IF($J1692="Present", 1, 0)</f>
        <v>1</v>
      </c>
      <c r="L1692" s="142">
        <f>IF(RawData[[#This Row],[Paid/Unpaid]]="Paid", IF(VALUE($E1692)&gt;VALUE($D$3),$K1692* 10000,$K1692* 8000), 0)</f>
        <v>0</v>
      </c>
      <c r="M1692" s="53" t="s">
        <v>147</v>
      </c>
    </row>
    <row r="1693" spans="1:13" x14ac:dyDescent="0.3">
      <c r="A1693" s="143" t="s">
        <v>143</v>
      </c>
      <c r="B1693" s="139" t="str">
        <f>IFERROR(VLOOKUP($A1693, NameDesignation[], 2,FALSE), " ")</f>
        <v>Independent Director</v>
      </c>
      <c r="C1693" s="139" t="s">
        <v>37</v>
      </c>
      <c r="D1693" s="139">
        <v>141</v>
      </c>
      <c r="E1693" s="140">
        <v>45594</v>
      </c>
      <c r="F1693" s="139" t="str">
        <f>CONCATENATE("Q", ROUNDUP(MONTH($E1693)/3,0),"-",TEXT($E1693, "yy"))</f>
        <v>Q4-24</v>
      </c>
      <c r="G1693" s="140" t="str">
        <f>CONCATENATE(TEXT($E1693, "mmm"),"'", TEXT($E1693, "yy"))</f>
        <v>Oct'24</v>
      </c>
      <c r="H1693" s="140" t="str">
        <f>TEXT(RawData[[#This Row],[Date]], "YYYY")</f>
        <v>2024</v>
      </c>
      <c r="I1693" s="141" t="s">
        <v>32</v>
      </c>
      <c r="J1693" s="141" t="s">
        <v>90</v>
      </c>
      <c r="K1693" s="139">
        <f>IF($J1693="Present", 1, 0)</f>
        <v>1</v>
      </c>
      <c r="L1693" s="142">
        <f>IF(RawData[[#This Row],[Paid/Unpaid]]="Paid", IF(VALUE($E1693)&gt;VALUE($D$3),$K1693* 10000,$K1693* 8000), 0)</f>
        <v>0</v>
      </c>
      <c r="M1693" s="53" t="s">
        <v>147</v>
      </c>
    </row>
    <row r="1694" spans="1:13" x14ac:dyDescent="0.3">
      <c r="A1694" s="143" t="s">
        <v>68</v>
      </c>
      <c r="B1694" s="139" t="str">
        <f>IFERROR(VLOOKUP($A1694, NameDesignation[], 2,FALSE), " ")</f>
        <v>Chairman</v>
      </c>
      <c r="C1694" s="139" t="s">
        <v>29</v>
      </c>
      <c r="D1694" s="139">
        <v>501</v>
      </c>
      <c r="E1694" s="140">
        <v>45594</v>
      </c>
      <c r="F1694" s="139" t="str">
        <f t="shared" ref="F1694:F1699" si="84">CONCATENATE("Q", ROUNDUP(MONTH($E1694)/3,0),"-",TEXT($E1694, "yy"))</f>
        <v>Q4-24</v>
      </c>
      <c r="G1694" s="140" t="str">
        <f t="shared" ref="G1694:G1699" si="85">CONCATENATE(TEXT($E1694, "mmm"),"'", TEXT($E1694, "yy"))</f>
        <v>Oct'24</v>
      </c>
      <c r="H1694" s="140" t="str">
        <f>TEXT(RawData[[#This Row],[Date]], "YYYY")</f>
        <v>2024</v>
      </c>
      <c r="I1694" s="141" t="s">
        <v>32</v>
      </c>
      <c r="J1694" s="141" t="s">
        <v>90</v>
      </c>
      <c r="K1694" s="139">
        <f t="shared" ref="K1694:K1699" si="86">IF($J1694="Present", 1, 0)</f>
        <v>1</v>
      </c>
      <c r="L1694" s="142">
        <f>IF(RawData[[#This Row],[Paid/Unpaid]]="Paid", IF(VALUE($E1694)&gt;VALUE($D$3),$K1694* 10000,$K1694* 8000), 0)</f>
        <v>10000</v>
      </c>
      <c r="M1694" s="53" t="s">
        <v>146</v>
      </c>
    </row>
    <row r="1695" spans="1:13" x14ac:dyDescent="0.3">
      <c r="A1695" s="143" t="s">
        <v>70</v>
      </c>
      <c r="B1695" s="139" t="str">
        <f>IFERROR(VLOOKUP($A1695, NameDesignation[], 2,FALSE), " ")</f>
        <v>Director</v>
      </c>
      <c r="C1695" s="139" t="s">
        <v>29</v>
      </c>
      <c r="D1695" s="139">
        <v>501</v>
      </c>
      <c r="E1695" s="140">
        <v>45594</v>
      </c>
      <c r="F1695" s="139" t="str">
        <f t="shared" si="84"/>
        <v>Q4-24</v>
      </c>
      <c r="G1695" s="140" t="str">
        <f t="shared" si="85"/>
        <v>Oct'24</v>
      </c>
      <c r="H1695" s="140" t="str">
        <f>TEXT(RawData[[#This Row],[Date]], "YYYY")</f>
        <v>2024</v>
      </c>
      <c r="I1695" s="141" t="s">
        <v>32</v>
      </c>
      <c r="J1695" s="141" t="s">
        <v>90</v>
      </c>
      <c r="K1695" s="139">
        <f t="shared" si="86"/>
        <v>1</v>
      </c>
      <c r="L1695" s="142">
        <f>IF(RawData[[#This Row],[Paid/Unpaid]]="Paid", IF(VALUE($E1695)&gt;VALUE($D$3),$K1695* 10000,$K1695* 8000), 0)</f>
        <v>10000</v>
      </c>
      <c r="M1695" s="53" t="s">
        <v>146</v>
      </c>
    </row>
    <row r="1696" spans="1:13" x14ac:dyDescent="0.3">
      <c r="A1696" s="143" t="s">
        <v>141</v>
      </c>
      <c r="B1696" s="139" t="str">
        <f>IFERROR(VLOOKUP($A1696, NameDesignation[], 2,FALSE), " ")</f>
        <v>Vice-Chairman</v>
      </c>
      <c r="C1696" s="139" t="s">
        <v>29</v>
      </c>
      <c r="D1696" s="139">
        <v>501</v>
      </c>
      <c r="E1696" s="140">
        <v>45594</v>
      </c>
      <c r="F1696" s="139" t="str">
        <f t="shared" si="84"/>
        <v>Q4-24</v>
      </c>
      <c r="G1696" s="140" t="str">
        <f t="shared" si="85"/>
        <v>Oct'24</v>
      </c>
      <c r="H1696" s="140" t="str">
        <f>TEXT(RawData[[#This Row],[Date]], "YYYY")</f>
        <v>2024</v>
      </c>
      <c r="I1696" s="141" t="s">
        <v>32</v>
      </c>
      <c r="J1696" s="141" t="s">
        <v>90</v>
      </c>
      <c r="K1696" s="139">
        <f t="shared" si="86"/>
        <v>1</v>
      </c>
      <c r="L1696" s="142">
        <f>IF(RawData[[#This Row],[Paid/Unpaid]]="Paid", IF(VALUE($E1696)&gt;VALUE($D$3),$K1696* 10000,$K1696* 8000), 0)</f>
        <v>10000</v>
      </c>
      <c r="M1696" s="53" t="s">
        <v>146</v>
      </c>
    </row>
    <row r="1697" spans="1:13" x14ac:dyDescent="0.3">
      <c r="A1697" s="143" t="s">
        <v>143</v>
      </c>
      <c r="B1697" s="139" t="str">
        <f>IFERROR(VLOOKUP($A1697, NameDesignation[], 2,FALSE), " ")</f>
        <v>Independent Director</v>
      </c>
      <c r="C1697" s="139" t="s">
        <v>29</v>
      </c>
      <c r="D1697" s="139">
        <v>501</v>
      </c>
      <c r="E1697" s="140">
        <v>45594</v>
      </c>
      <c r="F1697" s="139" t="str">
        <f t="shared" si="84"/>
        <v>Q4-24</v>
      </c>
      <c r="G1697" s="140" t="str">
        <f t="shared" si="85"/>
        <v>Oct'24</v>
      </c>
      <c r="H1697" s="140" t="str">
        <f>TEXT(RawData[[#This Row],[Date]], "YYYY")</f>
        <v>2024</v>
      </c>
      <c r="I1697" s="141" t="s">
        <v>32</v>
      </c>
      <c r="J1697" s="141" t="s">
        <v>90</v>
      </c>
      <c r="K1697" s="139">
        <f t="shared" si="86"/>
        <v>1</v>
      </c>
      <c r="L1697" s="142">
        <f>IF(RawData[[#This Row],[Paid/Unpaid]]="Paid", IF(VALUE($E1697)&gt;VALUE($D$3),$K1697* 10000,$K1697* 8000), 0)</f>
        <v>10000</v>
      </c>
      <c r="M1697" s="53" t="s">
        <v>146</v>
      </c>
    </row>
    <row r="1698" spans="1:13" x14ac:dyDescent="0.3">
      <c r="A1698" s="143" t="s">
        <v>142</v>
      </c>
      <c r="B1698" s="139" t="str">
        <f>IFERROR(VLOOKUP($A1698, NameDesignation[], 2,FALSE), " ")</f>
        <v>Independent Director</v>
      </c>
      <c r="C1698" s="139" t="s">
        <v>29</v>
      </c>
      <c r="D1698" s="139">
        <v>501</v>
      </c>
      <c r="E1698" s="140">
        <v>45594</v>
      </c>
      <c r="F1698" s="139" t="str">
        <f t="shared" si="84"/>
        <v>Q4-24</v>
      </c>
      <c r="G1698" s="140" t="str">
        <f t="shared" si="85"/>
        <v>Oct'24</v>
      </c>
      <c r="H1698" s="140" t="str">
        <f>TEXT(RawData[[#This Row],[Date]], "YYYY")</f>
        <v>2024</v>
      </c>
      <c r="I1698" s="141" t="s">
        <v>32</v>
      </c>
      <c r="J1698" s="141" t="s">
        <v>90</v>
      </c>
      <c r="K1698" s="139">
        <f t="shared" si="86"/>
        <v>1</v>
      </c>
      <c r="L1698" s="142">
        <f>IF(RawData[[#This Row],[Paid/Unpaid]]="Paid", IF(VALUE($E1698)&gt;VALUE($D$3),$K1698* 10000,$K1698* 8000), 0)</f>
        <v>10000</v>
      </c>
      <c r="M1698" s="53" t="s">
        <v>146</v>
      </c>
    </row>
    <row r="1699" spans="1:13" x14ac:dyDescent="0.3">
      <c r="A1699" s="143" t="s">
        <v>148</v>
      </c>
      <c r="B1699" s="139" t="str">
        <f>IFERROR(VLOOKUP($A1699, NameDesignation[], 2,FALSE), " ")</f>
        <v>Managing Director &amp; CEO</v>
      </c>
      <c r="C1699" s="139" t="s">
        <v>29</v>
      </c>
      <c r="D1699" s="139">
        <v>501</v>
      </c>
      <c r="E1699" s="140">
        <v>45594</v>
      </c>
      <c r="F1699" s="139" t="str">
        <f t="shared" si="84"/>
        <v>Q4-24</v>
      </c>
      <c r="G1699" s="140" t="str">
        <f t="shared" si="85"/>
        <v>Oct'24</v>
      </c>
      <c r="H1699" s="140" t="str">
        <f>TEXT(RawData[[#This Row],[Date]], "YYYY")</f>
        <v>2024</v>
      </c>
      <c r="I1699" s="141" t="s">
        <v>32</v>
      </c>
      <c r="J1699" s="141" t="s">
        <v>90</v>
      </c>
      <c r="K1699" s="139">
        <f t="shared" si="86"/>
        <v>1</v>
      </c>
      <c r="L1699" s="142">
        <f>IF(RawData[[#This Row],[Paid/Unpaid]]="Paid", IF(VALUE($E1699)&gt;VALUE($D$3),$K1699* 10000,$K1699* 8000), 0)</f>
        <v>10000</v>
      </c>
      <c r="M1699" s="53" t="s">
        <v>146</v>
      </c>
    </row>
    <row r="1700" spans="1:13" x14ac:dyDescent="0.3">
      <c r="A1700" s="143" t="s">
        <v>70</v>
      </c>
      <c r="B1700" s="139" t="str">
        <f>IFERROR(VLOOKUP($A1700, NameDesignation[], 2,FALSE), " ")</f>
        <v>Director</v>
      </c>
      <c r="C1700" s="139" t="s">
        <v>30</v>
      </c>
      <c r="D1700" s="139">
        <v>472</v>
      </c>
      <c r="E1700" s="140">
        <v>45595</v>
      </c>
      <c r="F1700" s="139" t="str">
        <f t="shared" ref="F1700:F1703" si="87">CONCATENATE("Q", ROUNDUP(MONTH($E1700)/3,0),"-",TEXT($E1700, "yy"))</f>
        <v>Q4-24</v>
      </c>
      <c r="G1700" s="140" t="str">
        <f t="shared" ref="G1700:G1703" si="88">CONCATENATE(TEXT($E1700, "mmm"),"'", TEXT($E1700, "yy"))</f>
        <v>Oct'24</v>
      </c>
      <c r="H1700" s="140" t="str">
        <f>TEXT(RawData[[#This Row],[Date]], "YYYY")</f>
        <v>2024</v>
      </c>
      <c r="I1700" s="141" t="s">
        <v>32</v>
      </c>
      <c r="J1700" s="141" t="s">
        <v>90</v>
      </c>
      <c r="K1700" s="139">
        <f t="shared" ref="K1700:K1703" si="89">IF($J1700="Present", 1, 0)</f>
        <v>1</v>
      </c>
      <c r="L1700" s="142">
        <f>IF(RawData[[#This Row],[Paid/Unpaid]]="Paid", IF(VALUE($E1700)&gt;VALUE($D$3),$K1700* 10000,$K1700* 8000), 0)</f>
        <v>10000</v>
      </c>
      <c r="M1700" s="53" t="s">
        <v>146</v>
      </c>
    </row>
    <row r="1701" spans="1:13" x14ac:dyDescent="0.3">
      <c r="A1701" s="143" t="s">
        <v>68</v>
      </c>
      <c r="B1701" s="139" t="str">
        <f>IFERROR(VLOOKUP($A1701, NameDesignation[], 2,FALSE), " ")</f>
        <v>Chairman</v>
      </c>
      <c r="C1701" s="139" t="s">
        <v>30</v>
      </c>
      <c r="D1701" s="139">
        <v>472</v>
      </c>
      <c r="E1701" s="140">
        <v>45595</v>
      </c>
      <c r="F1701" s="139" t="str">
        <f t="shared" si="87"/>
        <v>Q4-24</v>
      </c>
      <c r="G1701" s="140" t="str">
        <f t="shared" si="88"/>
        <v>Oct'24</v>
      </c>
      <c r="H1701" s="140" t="str">
        <f>TEXT(RawData[[#This Row],[Date]], "YYYY")</f>
        <v>2024</v>
      </c>
      <c r="I1701" s="141" t="s">
        <v>32</v>
      </c>
      <c r="J1701" s="141" t="s">
        <v>90</v>
      </c>
      <c r="K1701" s="139">
        <f t="shared" si="89"/>
        <v>1</v>
      </c>
      <c r="L1701" s="142">
        <f>IF(RawData[[#This Row],[Paid/Unpaid]]="Paid", IF(VALUE($E1701)&gt;VALUE($D$3),$K1701* 10000,$K1701* 8000), 0)</f>
        <v>10000</v>
      </c>
      <c r="M1701" s="53" t="s">
        <v>146</v>
      </c>
    </row>
    <row r="1702" spans="1:13" x14ac:dyDescent="0.3">
      <c r="A1702" s="143" t="s">
        <v>141</v>
      </c>
      <c r="B1702" s="139" t="str">
        <f>IFERROR(VLOOKUP($A1702, NameDesignation[], 2,FALSE), " ")</f>
        <v>Vice-Chairman</v>
      </c>
      <c r="C1702" s="139" t="s">
        <v>30</v>
      </c>
      <c r="D1702" s="139">
        <v>472</v>
      </c>
      <c r="E1702" s="140">
        <v>45595</v>
      </c>
      <c r="F1702" s="139" t="str">
        <f t="shared" si="87"/>
        <v>Q4-24</v>
      </c>
      <c r="G1702" s="140" t="str">
        <f t="shared" si="88"/>
        <v>Oct'24</v>
      </c>
      <c r="H1702" s="140" t="str">
        <f>TEXT(RawData[[#This Row],[Date]], "YYYY")</f>
        <v>2024</v>
      </c>
      <c r="I1702" s="141" t="s">
        <v>32</v>
      </c>
      <c r="J1702" s="141" t="s">
        <v>90</v>
      </c>
      <c r="K1702" s="139">
        <f t="shared" si="89"/>
        <v>1</v>
      </c>
      <c r="L1702" s="142">
        <f>IF(RawData[[#This Row],[Paid/Unpaid]]="Paid", IF(VALUE($E1702)&gt;VALUE($D$3),$K1702* 10000,$K1702* 8000), 0)</f>
        <v>10000</v>
      </c>
      <c r="M1702" s="53" t="s">
        <v>146</v>
      </c>
    </row>
    <row r="1703" spans="1:13" x14ac:dyDescent="0.3">
      <c r="A1703" s="143" t="s">
        <v>148</v>
      </c>
      <c r="B1703" s="139" t="str">
        <f>IFERROR(VLOOKUP($A1703, NameDesignation[], 2,FALSE), " ")</f>
        <v>Managing Director &amp; CEO</v>
      </c>
      <c r="C1703" s="139" t="s">
        <v>30</v>
      </c>
      <c r="D1703" s="139">
        <v>472</v>
      </c>
      <c r="E1703" s="140">
        <v>45595</v>
      </c>
      <c r="F1703" s="139" t="str">
        <f t="shared" si="87"/>
        <v>Q4-24</v>
      </c>
      <c r="G1703" s="140" t="str">
        <f t="shared" si="88"/>
        <v>Oct'24</v>
      </c>
      <c r="H1703" s="140" t="str">
        <f>TEXT(RawData[[#This Row],[Date]], "YYYY")</f>
        <v>2024</v>
      </c>
      <c r="I1703" s="141" t="s">
        <v>32</v>
      </c>
      <c r="J1703" s="141" t="s">
        <v>90</v>
      </c>
      <c r="K1703" s="139">
        <f t="shared" si="89"/>
        <v>1</v>
      </c>
      <c r="L1703" s="142">
        <f>IF(RawData[[#This Row],[Paid/Unpaid]]="Paid", IF(VALUE($E1703)&gt;VALUE($D$3),$K1703* 10000,$K1703* 8000), 0)</f>
        <v>0</v>
      </c>
      <c r="M1703" s="53" t="s">
        <v>147</v>
      </c>
    </row>
    <row r="1704" spans="1:13" x14ac:dyDescent="0.3">
      <c r="A1704" s="143" t="s">
        <v>68</v>
      </c>
      <c r="B1704" s="139" t="str">
        <f>IFERROR(VLOOKUP($A1704, NameDesignation[], 2,FALSE), " ")</f>
        <v>Chairman</v>
      </c>
      <c r="C1704" s="139" t="s">
        <v>29</v>
      </c>
      <c r="D1704" s="139">
        <v>502</v>
      </c>
      <c r="E1704" s="140">
        <v>45617</v>
      </c>
      <c r="F1704" s="139" t="str">
        <f t="shared" ref="F1704:F1713" si="90">CONCATENATE("Q", ROUNDUP(MONTH($E1704)/3,0),"-",TEXT($E1704, "yy"))</f>
        <v>Q4-24</v>
      </c>
      <c r="G1704" s="140" t="str">
        <f t="shared" ref="G1704:G1713" si="91">CONCATENATE(TEXT($E1704, "mmm"),"'", TEXT($E1704, "yy"))</f>
        <v>Nov'24</v>
      </c>
      <c r="H1704" s="140" t="str">
        <f>TEXT(RawData[[#This Row],[Date]], "YYYY")</f>
        <v>2024</v>
      </c>
      <c r="I1704" s="141" t="s">
        <v>32</v>
      </c>
      <c r="J1704" s="141" t="s">
        <v>90</v>
      </c>
      <c r="K1704" s="139">
        <f t="shared" ref="K1704:K1713" si="92">IF($J1704="Present", 1, 0)</f>
        <v>1</v>
      </c>
      <c r="L1704" s="142">
        <f>IF(RawData[[#This Row],[Paid/Unpaid]]="Paid", IF(VALUE($E1704)&gt;VALUE($D$3),$K1704* 10000,$K1704* 8000), 0)</f>
        <v>10000</v>
      </c>
      <c r="M1704" s="53" t="s">
        <v>146</v>
      </c>
    </row>
    <row r="1705" spans="1:13" x14ac:dyDescent="0.3">
      <c r="A1705" s="143" t="s">
        <v>70</v>
      </c>
      <c r="B1705" s="139" t="str">
        <f>IFERROR(VLOOKUP($A1705, NameDesignation[], 2,FALSE), " ")</f>
        <v>Director</v>
      </c>
      <c r="C1705" s="139" t="s">
        <v>29</v>
      </c>
      <c r="D1705" s="139">
        <v>502</v>
      </c>
      <c r="E1705" s="140">
        <v>45617</v>
      </c>
      <c r="F1705" s="139" t="str">
        <f t="shared" si="90"/>
        <v>Q4-24</v>
      </c>
      <c r="G1705" s="140" t="str">
        <f t="shared" si="91"/>
        <v>Nov'24</v>
      </c>
      <c r="H1705" s="140" t="str">
        <f>TEXT(RawData[[#This Row],[Date]], "YYYY")</f>
        <v>2024</v>
      </c>
      <c r="I1705" s="141" t="s">
        <v>32</v>
      </c>
      <c r="J1705" s="141" t="s">
        <v>90</v>
      </c>
      <c r="K1705" s="139">
        <f t="shared" si="92"/>
        <v>1</v>
      </c>
      <c r="L1705" s="142">
        <f>IF(RawData[[#This Row],[Paid/Unpaid]]="Paid", IF(VALUE($E1705)&gt;VALUE($D$3),$K1705* 10000,$K1705* 8000), 0)</f>
        <v>10000</v>
      </c>
      <c r="M1705" s="53" t="s">
        <v>146</v>
      </c>
    </row>
    <row r="1706" spans="1:13" x14ac:dyDescent="0.3">
      <c r="A1706" s="143" t="s">
        <v>141</v>
      </c>
      <c r="B1706" s="139" t="str">
        <f>IFERROR(VLOOKUP($A1706, NameDesignation[], 2,FALSE), " ")</f>
        <v>Vice-Chairman</v>
      </c>
      <c r="C1706" s="139" t="s">
        <v>29</v>
      </c>
      <c r="D1706" s="139">
        <v>502</v>
      </c>
      <c r="E1706" s="140">
        <v>45617</v>
      </c>
      <c r="F1706" s="139" t="str">
        <f t="shared" si="90"/>
        <v>Q4-24</v>
      </c>
      <c r="G1706" s="140" t="str">
        <f t="shared" si="91"/>
        <v>Nov'24</v>
      </c>
      <c r="H1706" s="140" t="str">
        <f>TEXT(RawData[[#This Row],[Date]], "YYYY")</f>
        <v>2024</v>
      </c>
      <c r="I1706" s="141" t="s">
        <v>32</v>
      </c>
      <c r="J1706" s="141" t="s">
        <v>90</v>
      </c>
      <c r="K1706" s="139">
        <f t="shared" si="92"/>
        <v>1</v>
      </c>
      <c r="L1706" s="142">
        <f>IF(RawData[[#This Row],[Paid/Unpaid]]="Paid", IF(VALUE($E1706)&gt;VALUE($D$3),$K1706* 10000,$K1706* 8000), 0)</f>
        <v>10000</v>
      </c>
      <c r="M1706" s="53" t="s">
        <v>146</v>
      </c>
    </row>
    <row r="1707" spans="1:13" x14ac:dyDescent="0.3">
      <c r="A1707" s="143" t="s">
        <v>143</v>
      </c>
      <c r="B1707" s="139" t="str">
        <f>IFERROR(VLOOKUP($A1707, NameDesignation[], 2,FALSE), " ")</f>
        <v>Independent Director</v>
      </c>
      <c r="C1707" s="139" t="s">
        <v>29</v>
      </c>
      <c r="D1707" s="139">
        <v>502</v>
      </c>
      <c r="E1707" s="140">
        <v>45617</v>
      </c>
      <c r="F1707" s="139" t="str">
        <f t="shared" si="90"/>
        <v>Q4-24</v>
      </c>
      <c r="G1707" s="140" t="str">
        <f t="shared" si="91"/>
        <v>Nov'24</v>
      </c>
      <c r="H1707" s="140" t="str">
        <f>TEXT(RawData[[#This Row],[Date]], "YYYY")</f>
        <v>2024</v>
      </c>
      <c r="I1707" s="141" t="s">
        <v>32</v>
      </c>
      <c r="J1707" s="141" t="s">
        <v>90</v>
      </c>
      <c r="K1707" s="139">
        <f t="shared" si="92"/>
        <v>1</v>
      </c>
      <c r="L1707" s="142">
        <f>IF(RawData[[#This Row],[Paid/Unpaid]]="Paid", IF(VALUE($E1707)&gt;VALUE($D$3),$K1707* 10000,$K1707* 8000), 0)</f>
        <v>10000</v>
      </c>
      <c r="M1707" s="53" t="s">
        <v>146</v>
      </c>
    </row>
    <row r="1708" spans="1:13" x14ac:dyDescent="0.3">
      <c r="A1708" s="143" t="s">
        <v>142</v>
      </c>
      <c r="B1708" s="139" t="str">
        <f>IFERROR(VLOOKUP($A1708, NameDesignation[], 2,FALSE), " ")</f>
        <v>Independent Director</v>
      </c>
      <c r="C1708" s="139" t="s">
        <v>29</v>
      </c>
      <c r="D1708" s="139">
        <v>502</v>
      </c>
      <c r="E1708" s="140">
        <v>45617</v>
      </c>
      <c r="F1708" s="139" t="str">
        <f t="shared" si="90"/>
        <v>Q4-24</v>
      </c>
      <c r="G1708" s="140" t="str">
        <f t="shared" si="91"/>
        <v>Nov'24</v>
      </c>
      <c r="H1708" s="140" t="str">
        <f>TEXT(RawData[[#This Row],[Date]], "YYYY")</f>
        <v>2024</v>
      </c>
      <c r="I1708" s="141" t="s">
        <v>32</v>
      </c>
      <c r="J1708" s="141" t="s">
        <v>90</v>
      </c>
      <c r="K1708" s="139">
        <f t="shared" si="92"/>
        <v>1</v>
      </c>
      <c r="L1708" s="142">
        <f>IF(RawData[[#This Row],[Paid/Unpaid]]="Paid", IF(VALUE($E1708)&gt;VALUE($D$3),$K1708* 10000,$K1708* 8000), 0)</f>
        <v>10000</v>
      </c>
      <c r="M1708" s="53" t="s">
        <v>146</v>
      </c>
    </row>
    <row r="1709" spans="1:13" x14ac:dyDescent="0.3">
      <c r="A1709" s="143" t="s">
        <v>148</v>
      </c>
      <c r="B1709" s="139" t="str">
        <f>IFERROR(VLOOKUP($A1709, NameDesignation[], 2,FALSE), " ")</f>
        <v>Managing Director &amp; CEO</v>
      </c>
      <c r="C1709" s="139" t="s">
        <v>29</v>
      </c>
      <c r="D1709" s="139">
        <v>502</v>
      </c>
      <c r="E1709" s="140">
        <v>45617</v>
      </c>
      <c r="F1709" s="139" t="str">
        <f t="shared" si="90"/>
        <v>Q4-24</v>
      </c>
      <c r="G1709" s="140" t="str">
        <f t="shared" si="91"/>
        <v>Nov'24</v>
      </c>
      <c r="H1709" s="140" t="str">
        <f>TEXT(RawData[[#This Row],[Date]], "YYYY")</f>
        <v>2024</v>
      </c>
      <c r="I1709" s="141" t="s">
        <v>32</v>
      </c>
      <c r="J1709" s="141" t="s">
        <v>90</v>
      </c>
      <c r="K1709" s="139">
        <f t="shared" si="92"/>
        <v>1</v>
      </c>
      <c r="L1709" s="142">
        <f>IF(RawData[[#This Row],[Paid/Unpaid]]="Paid", IF(VALUE($E1709)&gt;VALUE($D$3),$K1709* 10000,$K1709* 8000), 0)</f>
        <v>0</v>
      </c>
      <c r="M1709" s="53" t="s">
        <v>147</v>
      </c>
    </row>
    <row r="1710" spans="1:13" x14ac:dyDescent="0.3">
      <c r="A1710" s="143" t="s">
        <v>70</v>
      </c>
      <c r="B1710" s="139" t="str">
        <f>IFERROR(VLOOKUP($A1710, NameDesignation[], 2,FALSE), " ")</f>
        <v>Director</v>
      </c>
      <c r="C1710" s="139" t="s">
        <v>30</v>
      </c>
      <c r="D1710" s="139">
        <v>473</v>
      </c>
      <c r="E1710" s="140">
        <v>45617</v>
      </c>
      <c r="F1710" s="139" t="str">
        <f t="shared" si="90"/>
        <v>Q4-24</v>
      </c>
      <c r="G1710" s="140" t="str">
        <f t="shared" si="91"/>
        <v>Nov'24</v>
      </c>
      <c r="H1710" s="140" t="str">
        <f>TEXT(RawData[[#This Row],[Date]], "YYYY")</f>
        <v>2024</v>
      </c>
      <c r="I1710" s="141" t="s">
        <v>32</v>
      </c>
      <c r="J1710" s="141" t="s">
        <v>90</v>
      </c>
      <c r="K1710" s="139">
        <f t="shared" si="92"/>
        <v>1</v>
      </c>
      <c r="L1710" s="142">
        <f>IF(RawData[[#This Row],[Paid/Unpaid]]="Paid", IF(VALUE($E1710)&gt;VALUE($D$3),$K1710* 10000,$K1710* 8000), 0)</f>
        <v>10000</v>
      </c>
      <c r="M1710" s="53" t="s">
        <v>146</v>
      </c>
    </row>
    <row r="1711" spans="1:13" x14ac:dyDescent="0.3">
      <c r="A1711" s="143" t="s">
        <v>68</v>
      </c>
      <c r="B1711" s="139" t="str">
        <f>IFERROR(VLOOKUP($A1711, NameDesignation[], 2,FALSE), " ")</f>
        <v>Chairman</v>
      </c>
      <c r="C1711" s="139" t="s">
        <v>30</v>
      </c>
      <c r="D1711" s="139">
        <v>473</v>
      </c>
      <c r="E1711" s="140">
        <v>45617</v>
      </c>
      <c r="F1711" s="139" t="str">
        <f t="shared" si="90"/>
        <v>Q4-24</v>
      </c>
      <c r="G1711" s="140" t="str">
        <f t="shared" si="91"/>
        <v>Nov'24</v>
      </c>
      <c r="H1711" s="140" t="str">
        <f>TEXT(RawData[[#This Row],[Date]], "YYYY")</f>
        <v>2024</v>
      </c>
      <c r="I1711" s="141" t="s">
        <v>32</v>
      </c>
      <c r="J1711" s="141" t="s">
        <v>90</v>
      </c>
      <c r="K1711" s="139">
        <f t="shared" si="92"/>
        <v>1</v>
      </c>
      <c r="L1711" s="142">
        <f>IF(RawData[[#This Row],[Paid/Unpaid]]="Paid", IF(VALUE($E1711)&gt;VALUE($D$3),$K1711* 10000,$K1711* 8000), 0)</f>
        <v>10000</v>
      </c>
      <c r="M1711" s="53" t="s">
        <v>146</v>
      </c>
    </row>
    <row r="1712" spans="1:13" x14ac:dyDescent="0.3">
      <c r="A1712" s="143" t="s">
        <v>141</v>
      </c>
      <c r="B1712" s="139" t="str">
        <f>IFERROR(VLOOKUP($A1712, NameDesignation[], 2,FALSE), " ")</f>
        <v>Vice-Chairman</v>
      </c>
      <c r="C1712" s="139" t="s">
        <v>30</v>
      </c>
      <c r="D1712" s="139">
        <v>473</v>
      </c>
      <c r="E1712" s="140">
        <v>45617</v>
      </c>
      <c r="F1712" s="139" t="str">
        <f t="shared" si="90"/>
        <v>Q4-24</v>
      </c>
      <c r="G1712" s="140" t="str">
        <f t="shared" si="91"/>
        <v>Nov'24</v>
      </c>
      <c r="H1712" s="140" t="str">
        <f>TEXT(RawData[[#This Row],[Date]], "YYYY")</f>
        <v>2024</v>
      </c>
      <c r="I1712" s="141" t="s">
        <v>32</v>
      </c>
      <c r="J1712" s="141" t="s">
        <v>90</v>
      </c>
      <c r="K1712" s="139">
        <f t="shared" si="92"/>
        <v>1</v>
      </c>
      <c r="L1712" s="142">
        <f>IF(RawData[[#This Row],[Paid/Unpaid]]="Paid", IF(VALUE($E1712)&gt;VALUE($D$3),$K1712* 10000,$K1712* 8000), 0)</f>
        <v>10000</v>
      </c>
      <c r="M1712" s="53" t="s">
        <v>146</v>
      </c>
    </row>
    <row r="1713" spans="1:13" x14ac:dyDescent="0.3">
      <c r="A1713" s="143" t="s">
        <v>148</v>
      </c>
      <c r="B1713" s="139" t="str">
        <f>IFERROR(VLOOKUP($A1713, NameDesignation[], 2,FALSE), " ")</f>
        <v>Managing Director &amp; CEO</v>
      </c>
      <c r="C1713" s="139" t="s">
        <v>30</v>
      </c>
      <c r="D1713" s="139">
        <v>473</v>
      </c>
      <c r="E1713" s="140">
        <v>45617</v>
      </c>
      <c r="F1713" s="139" t="str">
        <f t="shared" si="90"/>
        <v>Q4-24</v>
      </c>
      <c r="G1713" s="140" t="str">
        <f t="shared" si="91"/>
        <v>Nov'24</v>
      </c>
      <c r="H1713" s="140" t="str">
        <f>TEXT(RawData[[#This Row],[Date]], "YYYY")</f>
        <v>2024</v>
      </c>
      <c r="I1713" s="141" t="s">
        <v>32</v>
      </c>
      <c r="J1713" s="141" t="s">
        <v>90</v>
      </c>
      <c r="K1713" s="139">
        <f t="shared" si="92"/>
        <v>1</v>
      </c>
      <c r="L1713" s="142">
        <f>IF(RawData[[#This Row],[Paid/Unpaid]]="Paid", IF(VALUE($E1713)&gt;VALUE($D$3),$K1713* 10000,$K1713* 8000), 0)</f>
        <v>0</v>
      </c>
      <c r="M1713" s="53" t="s">
        <v>147</v>
      </c>
    </row>
    <row r="1714" spans="1:13" x14ac:dyDescent="0.3">
      <c r="A1714" s="143" t="s">
        <v>142</v>
      </c>
      <c r="B1714" s="139" t="str">
        <f>IFERROR(VLOOKUP($A1714, NameDesignation[], 2,FALSE), " ")</f>
        <v>Independent Director</v>
      </c>
      <c r="C1714" s="139" t="s">
        <v>37</v>
      </c>
      <c r="D1714" s="139">
        <v>142</v>
      </c>
      <c r="E1714" s="140">
        <v>45624</v>
      </c>
      <c r="F1714" s="139" t="str">
        <f t="shared" ref="F1714:F1715" si="93">CONCATENATE("Q", ROUNDUP(MONTH($E1714)/3,0),"-",TEXT($E1714, "yy"))</f>
        <v>Q4-24</v>
      </c>
      <c r="G1714" s="140" t="str">
        <f t="shared" ref="G1714:G1715" si="94">CONCATENATE(TEXT($E1714, "mmm"),"'", TEXT($E1714, "yy"))</f>
        <v>Nov'24</v>
      </c>
      <c r="H1714" s="140" t="str">
        <f>TEXT(RawData[[#This Row],[Date]], "YYYY")</f>
        <v>2024</v>
      </c>
      <c r="I1714" s="141" t="s">
        <v>32</v>
      </c>
      <c r="J1714" s="141" t="s">
        <v>90</v>
      </c>
      <c r="K1714" s="139">
        <f t="shared" ref="K1714:K1715" si="95">IF($J1714="Present", 1, 0)</f>
        <v>1</v>
      </c>
      <c r="L1714" s="142">
        <f>IF(RawData[[#This Row],[Paid/Unpaid]]="Paid", IF(VALUE($E1714)&gt;VALUE($D$3),$K1714* 10000,$K1714* 8000), 0)</f>
        <v>10000</v>
      </c>
      <c r="M1714" s="53" t="s">
        <v>146</v>
      </c>
    </row>
    <row r="1715" spans="1:13" x14ac:dyDescent="0.3">
      <c r="A1715" s="143" t="s">
        <v>143</v>
      </c>
      <c r="B1715" s="139" t="str">
        <f>IFERROR(VLOOKUP($A1715, NameDesignation[], 2,FALSE), " ")</f>
        <v>Independent Director</v>
      </c>
      <c r="C1715" s="139" t="s">
        <v>37</v>
      </c>
      <c r="D1715" s="139">
        <v>142</v>
      </c>
      <c r="E1715" s="140">
        <v>45624</v>
      </c>
      <c r="F1715" s="139" t="str">
        <f t="shared" si="93"/>
        <v>Q4-24</v>
      </c>
      <c r="G1715" s="140" t="str">
        <f t="shared" si="94"/>
        <v>Nov'24</v>
      </c>
      <c r="H1715" s="140" t="str">
        <f>TEXT(RawData[[#This Row],[Date]], "YYYY")</f>
        <v>2024</v>
      </c>
      <c r="I1715" s="141" t="s">
        <v>32</v>
      </c>
      <c r="J1715" s="141" t="s">
        <v>90</v>
      </c>
      <c r="K1715" s="139">
        <f t="shared" si="95"/>
        <v>1</v>
      </c>
      <c r="L1715" s="142">
        <f>IF(RawData[[#This Row],[Paid/Unpaid]]="Paid", IF(VALUE($E1715)&gt;VALUE($D$3),$K1715* 10000,$K1715* 8000), 0)</f>
        <v>10000</v>
      </c>
      <c r="M1715" s="53" t="s">
        <v>146</v>
      </c>
    </row>
    <row r="1716" spans="1:13" x14ac:dyDescent="0.3">
      <c r="A1716" s="143" t="s">
        <v>143</v>
      </c>
      <c r="B1716" s="139" t="str">
        <f>IFERROR(VLOOKUP($A1716, NameDesignation[], 2,FALSE), " ")</f>
        <v>Independent Director</v>
      </c>
      <c r="C1716" s="139" t="s">
        <v>38</v>
      </c>
      <c r="D1716" s="139">
        <v>45</v>
      </c>
      <c r="E1716" s="140">
        <v>45636</v>
      </c>
      <c r="F1716" s="139" t="str">
        <f>CONCATENATE("Q", ROUNDUP(MONTH($E1716)/3,0),"-",TEXT($E1716, "yy"))</f>
        <v>Q4-24</v>
      </c>
      <c r="G1716" s="140" t="str">
        <f>CONCATENATE(TEXT($E1716, "mmm"),"'", TEXT($E1716, "yy"))</f>
        <v>Dec'24</v>
      </c>
      <c r="H1716" s="140" t="str">
        <f>TEXT(RawData[[#This Row],[Date]], "YYYY")</f>
        <v>2024</v>
      </c>
      <c r="I1716" s="141" t="s">
        <v>32</v>
      </c>
      <c r="J1716" s="141" t="s">
        <v>90</v>
      </c>
      <c r="K1716" s="139">
        <f>IF($J1716="Present", 1, 0)</f>
        <v>1</v>
      </c>
      <c r="L1716" s="142">
        <f>IF(RawData[[#This Row],[Paid/Unpaid]]="Paid", IF(VALUE($E1716)&gt;VALUE($D$3),$K1716* 10000,$K1716* 8000), 0)</f>
        <v>10000</v>
      </c>
      <c r="M1716" s="53" t="s">
        <v>146</v>
      </c>
    </row>
    <row r="1717" spans="1:13" x14ac:dyDescent="0.3">
      <c r="A1717" s="143" t="s">
        <v>68</v>
      </c>
      <c r="B1717" s="139" t="str">
        <f>IFERROR(VLOOKUP($A1717, NameDesignation[], 2,FALSE), " ")</f>
        <v>Chairman</v>
      </c>
      <c r="C1717" s="139" t="s">
        <v>38</v>
      </c>
      <c r="D1717" s="139">
        <v>45</v>
      </c>
      <c r="E1717" s="140">
        <v>45636</v>
      </c>
      <c r="F1717" s="139" t="str">
        <f t="shared" ref="F1717:F1719" si="96">CONCATENATE("Q", ROUNDUP(MONTH($E1717)/3,0),"-",TEXT($E1717, "yy"))</f>
        <v>Q4-24</v>
      </c>
      <c r="G1717" s="140" t="str">
        <f t="shared" ref="G1717:G1719" si="97">CONCATENATE(TEXT($E1717, "mmm"),"'", TEXT($E1717, "yy"))</f>
        <v>Dec'24</v>
      </c>
      <c r="H1717" s="140" t="str">
        <f>TEXT(RawData[[#This Row],[Date]], "YYYY")</f>
        <v>2024</v>
      </c>
      <c r="I1717" s="141" t="s">
        <v>32</v>
      </c>
      <c r="J1717" s="141" t="s">
        <v>90</v>
      </c>
      <c r="K1717" s="139">
        <f t="shared" ref="K1717:K1719" si="98">IF($J1717="Present", 1, 0)</f>
        <v>1</v>
      </c>
      <c r="L1717" s="142">
        <f>IF(RawData[[#This Row],[Paid/Unpaid]]="Paid", IF(VALUE($E1717)&gt;VALUE($D$3),$K1717* 10000,$K1717* 8000), 0)</f>
        <v>10000</v>
      </c>
      <c r="M1717" s="53" t="s">
        <v>146</v>
      </c>
    </row>
    <row r="1718" spans="1:13" x14ac:dyDescent="0.3">
      <c r="A1718" s="143" t="s">
        <v>141</v>
      </c>
      <c r="B1718" s="139" t="str">
        <f>IFERROR(VLOOKUP($A1718, NameDesignation[], 2,FALSE), " ")</f>
        <v>Vice-Chairman</v>
      </c>
      <c r="C1718" s="139" t="s">
        <v>38</v>
      </c>
      <c r="D1718" s="139">
        <v>45</v>
      </c>
      <c r="E1718" s="140">
        <v>45636</v>
      </c>
      <c r="F1718" s="139" t="str">
        <f t="shared" si="96"/>
        <v>Q4-24</v>
      </c>
      <c r="G1718" s="140" t="str">
        <f t="shared" si="97"/>
        <v>Dec'24</v>
      </c>
      <c r="H1718" s="140" t="str">
        <f>TEXT(RawData[[#This Row],[Date]], "YYYY")</f>
        <v>2024</v>
      </c>
      <c r="I1718" s="141" t="s">
        <v>32</v>
      </c>
      <c r="J1718" s="141" t="s">
        <v>90</v>
      </c>
      <c r="K1718" s="139">
        <f t="shared" si="98"/>
        <v>1</v>
      </c>
      <c r="L1718" s="142">
        <f>IF(RawData[[#This Row],[Paid/Unpaid]]="Paid", IF(VALUE($E1718)&gt;VALUE($D$3),$K1718* 10000,$K1718* 8000), 0)</f>
        <v>10000</v>
      </c>
      <c r="M1718" s="53" t="s">
        <v>146</v>
      </c>
    </row>
    <row r="1719" spans="1:13" x14ac:dyDescent="0.3">
      <c r="A1719" s="143" t="s">
        <v>142</v>
      </c>
      <c r="B1719" s="139" t="str">
        <f>IFERROR(VLOOKUP($A1719, NameDesignation[], 2,FALSE), " ")</f>
        <v>Independent Director</v>
      </c>
      <c r="C1719" s="139" t="s">
        <v>38</v>
      </c>
      <c r="D1719" s="139">
        <v>45</v>
      </c>
      <c r="E1719" s="140">
        <v>45636</v>
      </c>
      <c r="F1719" s="139" t="str">
        <f t="shared" si="96"/>
        <v>Q4-24</v>
      </c>
      <c r="G1719" s="140" t="str">
        <f t="shared" si="97"/>
        <v>Dec'24</v>
      </c>
      <c r="H1719" s="140" t="str">
        <f>TEXT(RawData[[#This Row],[Date]], "YYYY")</f>
        <v>2024</v>
      </c>
      <c r="I1719" s="141" t="s">
        <v>32</v>
      </c>
      <c r="J1719" s="141" t="s">
        <v>90</v>
      </c>
      <c r="K1719" s="139">
        <f t="shared" si="98"/>
        <v>1</v>
      </c>
      <c r="L1719" s="142">
        <f>IF(RawData[[#This Row],[Paid/Unpaid]]="Paid", IF(VALUE($E1719)&gt;VALUE($D$3),$K1719* 10000,$K1719* 8000), 0)</f>
        <v>10000</v>
      </c>
      <c r="M1719" s="53" t="s">
        <v>146</v>
      </c>
    </row>
    <row r="1720" spans="1:13" x14ac:dyDescent="0.3">
      <c r="A1720" s="143" t="s">
        <v>68</v>
      </c>
      <c r="B1720" s="139" t="str">
        <f>IFERROR(VLOOKUP($A1720, NameDesignation[], 2,FALSE), " ")</f>
        <v>Chairman</v>
      </c>
      <c r="C1720" s="139" t="s">
        <v>29</v>
      </c>
      <c r="D1720" s="139">
        <v>503</v>
      </c>
      <c r="E1720" s="140">
        <v>45637</v>
      </c>
      <c r="F1720" s="139" t="str">
        <f>CONCATENATE("Q", ROUNDUP(MONTH($E1720)/3,0),"-",TEXT($E1720, "yy"))</f>
        <v>Q4-24</v>
      </c>
      <c r="G1720" s="140" t="str">
        <f>CONCATENATE(TEXT($E1720, "mmm"),"'", TEXT($E1720, "yy"))</f>
        <v>Dec'24</v>
      </c>
      <c r="H1720" s="140" t="str">
        <f>TEXT(RawData[[#This Row],[Date]], "YYYY")</f>
        <v>2024</v>
      </c>
      <c r="I1720" s="141" t="s">
        <v>32</v>
      </c>
      <c r="J1720" s="141" t="s">
        <v>90</v>
      </c>
      <c r="K1720" s="139">
        <f>IF($J1720="Present", 1, 0)</f>
        <v>1</v>
      </c>
      <c r="L1720" s="142">
        <f>IF(RawData[[#This Row],[Paid/Unpaid]]="Paid", IF(VALUE($E1720)&gt;VALUE($D$3),$K1720* 10000,$K1720* 8000), 0)</f>
        <v>10000</v>
      </c>
      <c r="M1720" s="53" t="s">
        <v>146</v>
      </c>
    </row>
    <row r="1721" spans="1:13" x14ac:dyDescent="0.3">
      <c r="A1721" s="143" t="s">
        <v>70</v>
      </c>
      <c r="B1721" s="139" t="str">
        <f>IFERROR(VLOOKUP($A1721, NameDesignation[], 2,FALSE), " ")</f>
        <v>Director</v>
      </c>
      <c r="C1721" s="139" t="s">
        <v>29</v>
      </c>
      <c r="D1721" s="139">
        <v>503</v>
      </c>
      <c r="E1721" s="140">
        <v>45637</v>
      </c>
      <c r="F1721" s="139" t="str">
        <f t="shared" ref="F1721:F1729" si="99">CONCATENATE("Q", ROUNDUP(MONTH($E1721)/3,0),"-",TEXT($E1721, "yy"))</f>
        <v>Q4-24</v>
      </c>
      <c r="G1721" s="140" t="str">
        <f t="shared" ref="G1721:G1729" si="100">CONCATENATE(TEXT($E1721, "mmm"),"'", TEXT($E1721, "yy"))</f>
        <v>Dec'24</v>
      </c>
      <c r="H1721" s="140" t="str">
        <f>TEXT(RawData[[#This Row],[Date]], "YYYY")</f>
        <v>2024</v>
      </c>
      <c r="I1721" s="141" t="s">
        <v>32</v>
      </c>
      <c r="J1721" s="141" t="s">
        <v>90</v>
      </c>
      <c r="K1721" s="139">
        <f t="shared" ref="K1721:K1729" si="101">IF($J1721="Present", 1, 0)</f>
        <v>1</v>
      </c>
      <c r="L1721" s="142">
        <f>IF(RawData[[#This Row],[Paid/Unpaid]]="Paid", IF(VALUE($E1721)&gt;VALUE($D$3),$K1721* 10000,$K1721* 8000), 0)</f>
        <v>10000</v>
      </c>
      <c r="M1721" s="53" t="s">
        <v>146</v>
      </c>
    </row>
    <row r="1722" spans="1:13" x14ac:dyDescent="0.3">
      <c r="A1722" s="143" t="s">
        <v>141</v>
      </c>
      <c r="B1722" s="139" t="str">
        <f>IFERROR(VLOOKUP($A1722, NameDesignation[], 2,FALSE), " ")</f>
        <v>Vice-Chairman</v>
      </c>
      <c r="C1722" s="139" t="s">
        <v>29</v>
      </c>
      <c r="D1722" s="139">
        <v>503</v>
      </c>
      <c r="E1722" s="140">
        <v>45637</v>
      </c>
      <c r="F1722" s="139" t="str">
        <f t="shared" si="99"/>
        <v>Q4-24</v>
      </c>
      <c r="G1722" s="140" t="str">
        <f t="shared" si="100"/>
        <v>Dec'24</v>
      </c>
      <c r="H1722" s="140" t="str">
        <f>TEXT(RawData[[#This Row],[Date]], "YYYY")</f>
        <v>2024</v>
      </c>
      <c r="I1722" s="141" t="s">
        <v>32</v>
      </c>
      <c r="J1722" s="141" t="s">
        <v>90</v>
      </c>
      <c r="K1722" s="139">
        <f t="shared" si="101"/>
        <v>1</v>
      </c>
      <c r="L1722" s="142">
        <f>IF(RawData[[#This Row],[Paid/Unpaid]]="Paid", IF(VALUE($E1722)&gt;VALUE($D$3),$K1722* 10000,$K1722* 8000), 0)</f>
        <v>10000</v>
      </c>
      <c r="M1722" s="53" t="s">
        <v>146</v>
      </c>
    </row>
    <row r="1723" spans="1:13" x14ac:dyDescent="0.3">
      <c r="A1723" s="143" t="s">
        <v>143</v>
      </c>
      <c r="B1723" s="139" t="str">
        <f>IFERROR(VLOOKUP($A1723, NameDesignation[], 2,FALSE), " ")</f>
        <v>Independent Director</v>
      </c>
      <c r="C1723" s="139" t="s">
        <v>29</v>
      </c>
      <c r="D1723" s="139">
        <v>503</v>
      </c>
      <c r="E1723" s="140">
        <v>45637</v>
      </c>
      <c r="F1723" s="139" t="str">
        <f t="shared" si="99"/>
        <v>Q4-24</v>
      </c>
      <c r="G1723" s="140" t="str">
        <f t="shared" si="100"/>
        <v>Dec'24</v>
      </c>
      <c r="H1723" s="140" t="str">
        <f>TEXT(RawData[[#This Row],[Date]], "YYYY")</f>
        <v>2024</v>
      </c>
      <c r="I1723" s="141" t="s">
        <v>32</v>
      </c>
      <c r="J1723" s="141" t="s">
        <v>90</v>
      </c>
      <c r="K1723" s="139">
        <f t="shared" si="101"/>
        <v>1</v>
      </c>
      <c r="L1723" s="142">
        <f>IF(RawData[[#This Row],[Paid/Unpaid]]="Paid", IF(VALUE($E1723)&gt;VALUE($D$3),$K1723* 10000,$K1723* 8000), 0)</f>
        <v>10000</v>
      </c>
      <c r="M1723" s="53" t="s">
        <v>146</v>
      </c>
    </row>
    <row r="1724" spans="1:13" x14ac:dyDescent="0.3">
      <c r="A1724" s="143" t="s">
        <v>142</v>
      </c>
      <c r="B1724" s="139" t="str">
        <f>IFERROR(VLOOKUP($A1724, NameDesignation[], 2,FALSE), " ")</f>
        <v>Independent Director</v>
      </c>
      <c r="C1724" s="139" t="s">
        <v>29</v>
      </c>
      <c r="D1724" s="139">
        <v>503</v>
      </c>
      <c r="E1724" s="140">
        <v>45637</v>
      </c>
      <c r="F1724" s="139" t="str">
        <f t="shared" si="99"/>
        <v>Q4-24</v>
      </c>
      <c r="G1724" s="140" t="str">
        <f t="shared" si="100"/>
        <v>Dec'24</v>
      </c>
      <c r="H1724" s="140" t="str">
        <f>TEXT(RawData[[#This Row],[Date]], "YYYY")</f>
        <v>2024</v>
      </c>
      <c r="I1724" s="141" t="s">
        <v>32</v>
      </c>
      <c r="J1724" s="141" t="s">
        <v>90</v>
      </c>
      <c r="K1724" s="139">
        <f t="shared" si="101"/>
        <v>1</v>
      </c>
      <c r="L1724" s="142">
        <f>IF(RawData[[#This Row],[Paid/Unpaid]]="Paid", IF(VALUE($E1724)&gt;VALUE($D$3),$K1724* 10000,$K1724* 8000), 0)</f>
        <v>10000</v>
      </c>
      <c r="M1724" s="53" t="s">
        <v>146</v>
      </c>
    </row>
    <row r="1725" spans="1:13" x14ac:dyDescent="0.3">
      <c r="A1725" s="143" t="s">
        <v>148</v>
      </c>
      <c r="B1725" s="139" t="str">
        <f>IFERROR(VLOOKUP($A1725, NameDesignation[], 2,FALSE), " ")</f>
        <v>Managing Director &amp; CEO</v>
      </c>
      <c r="C1725" s="139" t="s">
        <v>29</v>
      </c>
      <c r="D1725" s="139">
        <v>503</v>
      </c>
      <c r="E1725" s="140">
        <v>45637</v>
      </c>
      <c r="F1725" s="139" t="str">
        <f t="shared" si="99"/>
        <v>Q4-24</v>
      </c>
      <c r="G1725" s="140" t="str">
        <f t="shared" si="100"/>
        <v>Dec'24</v>
      </c>
      <c r="H1725" s="140" t="str">
        <f>TEXT(RawData[[#This Row],[Date]], "YYYY")</f>
        <v>2024</v>
      </c>
      <c r="I1725" s="141" t="s">
        <v>32</v>
      </c>
      <c r="J1725" s="141" t="s">
        <v>90</v>
      </c>
      <c r="K1725" s="139">
        <f t="shared" si="101"/>
        <v>1</v>
      </c>
      <c r="L1725" s="142">
        <f>IF(RawData[[#This Row],[Paid/Unpaid]]="Paid", IF(VALUE($E1725)&gt;VALUE($D$3),$K1725* 10000,$K1725* 8000), 0)</f>
        <v>0</v>
      </c>
      <c r="M1725" s="53" t="s">
        <v>147</v>
      </c>
    </row>
    <row r="1726" spans="1:13" x14ac:dyDescent="0.3">
      <c r="A1726" s="143" t="s">
        <v>70</v>
      </c>
      <c r="B1726" s="139" t="str">
        <f>IFERROR(VLOOKUP($A1726, NameDesignation[], 2,FALSE), " ")</f>
        <v>Director</v>
      </c>
      <c r="C1726" s="139" t="s">
        <v>30</v>
      </c>
      <c r="D1726" s="139">
        <v>474</v>
      </c>
      <c r="E1726" s="140">
        <v>45637</v>
      </c>
      <c r="F1726" s="139" t="str">
        <f t="shared" si="99"/>
        <v>Q4-24</v>
      </c>
      <c r="G1726" s="140" t="str">
        <f t="shared" si="100"/>
        <v>Dec'24</v>
      </c>
      <c r="H1726" s="140" t="str">
        <f>TEXT(RawData[[#This Row],[Date]], "YYYY")</f>
        <v>2024</v>
      </c>
      <c r="I1726" s="141" t="s">
        <v>32</v>
      </c>
      <c r="J1726" s="141" t="s">
        <v>90</v>
      </c>
      <c r="K1726" s="139">
        <f t="shared" si="101"/>
        <v>1</v>
      </c>
      <c r="L1726" s="142">
        <f>IF(RawData[[#This Row],[Paid/Unpaid]]="Paid", IF(VALUE($E1726)&gt;VALUE($D$3),$K1726* 10000,$K1726* 8000), 0)</f>
        <v>10000</v>
      </c>
      <c r="M1726" s="53" t="s">
        <v>146</v>
      </c>
    </row>
    <row r="1727" spans="1:13" x14ac:dyDescent="0.3">
      <c r="A1727" s="143" t="s">
        <v>68</v>
      </c>
      <c r="B1727" s="139" t="str">
        <f>IFERROR(VLOOKUP($A1727, NameDesignation[], 2,FALSE), " ")</f>
        <v>Chairman</v>
      </c>
      <c r="C1727" s="139" t="s">
        <v>30</v>
      </c>
      <c r="D1727" s="139">
        <v>474</v>
      </c>
      <c r="E1727" s="140">
        <v>45637</v>
      </c>
      <c r="F1727" s="139" t="str">
        <f t="shared" si="99"/>
        <v>Q4-24</v>
      </c>
      <c r="G1727" s="140" t="str">
        <f t="shared" si="100"/>
        <v>Dec'24</v>
      </c>
      <c r="H1727" s="140" t="str">
        <f>TEXT(RawData[[#This Row],[Date]], "YYYY")</f>
        <v>2024</v>
      </c>
      <c r="I1727" s="141" t="s">
        <v>32</v>
      </c>
      <c r="J1727" s="141" t="s">
        <v>90</v>
      </c>
      <c r="K1727" s="139">
        <f t="shared" si="101"/>
        <v>1</v>
      </c>
      <c r="L1727" s="142">
        <f>IF(RawData[[#This Row],[Paid/Unpaid]]="Paid", IF(VALUE($E1727)&gt;VALUE($D$3),$K1727* 10000,$K1727* 8000), 0)</f>
        <v>10000</v>
      </c>
      <c r="M1727" s="53" t="s">
        <v>146</v>
      </c>
    </row>
    <row r="1728" spans="1:13" x14ac:dyDescent="0.3">
      <c r="A1728" s="143" t="s">
        <v>141</v>
      </c>
      <c r="B1728" s="139" t="str">
        <f>IFERROR(VLOOKUP($A1728, NameDesignation[], 2,FALSE), " ")</f>
        <v>Vice-Chairman</v>
      </c>
      <c r="C1728" s="139" t="s">
        <v>30</v>
      </c>
      <c r="D1728" s="139">
        <v>474</v>
      </c>
      <c r="E1728" s="140">
        <v>45637</v>
      </c>
      <c r="F1728" s="139" t="str">
        <f t="shared" si="99"/>
        <v>Q4-24</v>
      </c>
      <c r="G1728" s="140" t="str">
        <f t="shared" si="100"/>
        <v>Dec'24</v>
      </c>
      <c r="H1728" s="140" t="str">
        <f>TEXT(RawData[[#This Row],[Date]], "YYYY")</f>
        <v>2024</v>
      </c>
      <c r="I1728" s="141" t="s">
        <v>32</v>
      </c>
      <c r="J1728" s="141" t="s">
        <v>90</v>
      </c>
      <c r="K1728" s="139">
        <f t="shared" si="101"/>
        <v>1</v>
      </c>
      <c r="L1728" s="142">
        <f>IF(RawData[[#This Row],[Paid/Unpaid]]="Paid", IF(VALUE($E1728)&gt;VALUE($D$3),$K1728* 10000,$K1728* 8000), 0)</f>
        <v>10000</v>
      </c>
      <c r="M1728" s="53" t="s">
        <v>146</v>
      </c>
    </row>
    <row r="1729" spans="1:13" x14ac:dyDescent="0.3">
      <c r="A1729" s="143" t="s">
        <v>148</v>
      </c>
      <c r="B1729" s="139" t="str">
        <f>IFERROR(VLOOKUP($A1729, NameDesignation[], 2,FALSE), " ")</f>
        <v>Managing Director &amp; CEO</v>
      </c>
      <c r="C1729" s="139" t="s">
        <v>30</v>
      </c>
      <c r="D1729" s="139">
        <v>474</v>
      </c>
      <c r="E1729" s="140">
        <v>45637</v>
      </c>
      <c r="F1729" s="139" t="str">
        <f t="shared" si="99"/>
        <v>Q4-24</v>
      </c>
      <c r="G1729" s="140" t="str">
        <f t="shared" si="100"/>
        <v>Dec'24</v>
      </c>
      <c r="H1729" s="140" t="str">
        <f>TEXT(RawData[[#This Row],[Date]], "YYYY")</f>
        <v>2024</v>
      </c>
      <c r="I1729" s="141" t="s">
        <v>32</v>
      </c>
      <c r="J1729" s="141" t="s">
        <v>90</v>
      </c>
      <c r="K1729" s="139">
        <f t="shared" si="101"/>
        <v>1</v>
      </c>
      <c r="L1729" s="142">
        <f>IF(RawData[[#This Row],[Paid/Unpaid]]="Paid", IF(VALUE($E1729)&gt;VALUE($D$3),$K1729* 10000,$K1729* 8000), 0)</f>
        <v>0</v>
      </c>
      <c r="M1729" s="53" t="s">
        <v>147</v>
      </c>
    </row>
  </sheetData>
  <conditionalFormatting sqref="J1:J1048576">
    <cfRule type="cellIs" dxfId="152" priority="3" operator="equal">
      <formula>"Absent"</formula>
    </cfRule>
  </conditionalFormatting>
  <conditionalFormatting sqref="M1:M1048576">
    <cfRule type="cellIs" dxfId="151" priority="1" operator="equal">
      <formula>"Unpaid"</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
  <sheetViews>
    <sheetView workbookViewId="0"/>
  </sheetViews>
  <sheetFormatPr defaultColWidth="9.109375" defaultRowHeight="13.8" x14ac:dyDescent="0.3"/>
  <cols>
    <col min="1" max="16384" width="9.109375" style="53"/>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A1:M127"/>
  <sheetViews>
    <sheetView showGridLines="0" zoomScale="90" zoomScaleNormal="90" workbookViewId="0">
      <pane xSplit="10" ySplit="16" topLeftCell="K17" activePane="bottomRight" state="frozen"/>
      <selection pane="topRight" activeCell="K1" sqref="K1"/>
      <selection pane="bottomLeft" activeCell="A17" sqref="A17"/>
      <selection pane="bottomRight"/>
    </sheetView>
  </sheetViews>
  <sheetFormatPr defaultRowHeight="14.4" x14ac:dyDescent="0.3"/>
  <cols>
    <col min="1" max="1" width="26.88671875" bestFit="1" customWidth="1"/>
    <col min="2" max="2" width="16.44140625" style="122" bestFit="1" customWidth="1"/>
    <col min="3" max="3" width="16.44140625" style="122" customWidth="1"/>
    <col min="4" max="4" width="9.109375" customWidth="1"/>
    <col min="5" max="5" width="9.5546875" customWidth="1"/>
    <col min="9" max="9" width="21" bestFit="1" customWidth="1"/>
    <col min="10" max="10" width="14" customWidth="1"/>
    <col min="11" max="13" width="7.44140625" bestFit="1" customWidth="1"/>
  </cols>
  <sheetData>
    <row r="1" spans="1:13" x14ac:dyDescent="0.3">
      <c r="I1" s="119" t="s">
        <v>1</v>
      </c>
      <c r="J1" s="36" t="s">
        <v>30</v>
      </c>
    </row>
    <row r="2" spans="1:13" x14ac:dyDescent="0.3">
      <c r="A2" s="123" t="s">
        <v>0</v>
      </c>
      <c r="B2" s="123" t="s">
        <v>1</v>
      </c>
      <c r="C2" s="123" t="s">
        <v>2</v>
      </c>
      <c r="D2" s="121" t="s">
        <v>125</v>
      </c>
      <c r="E2" s="121" t="s">
        <v>5</v>
      </c>
      <c r="I2" s="119" t="s">
        <v>125</v>
      </c>
      <c r="J2" s="36" t="s">
        <v>132</v>
      </c>
    </row>
    <row r="3" spans="1:13" s="122" customFormat="1" x14ac:dyDescent="0.3">
      <c r="A3" s="131"/>
      <c r="B3" s="124" t="s">
        <v>30</v>
      </c>
      <c r="C3" s="124"/>
      <c r="D3" s="132">
        <v>2022</v>
      </c>
      <c r="E3" s="132"/>
    </row>
    <row r="4" spans="1:13" x14ac:dyDescent="0.3">
      <c r="I4" s="119" t="s">
        <v>2</v>
      </c>
      <c r="J4" s="119" t="s">
        <v>4</v>
      </c>
    </row>
    <row r="5" spans="1:13" s="118" customFormat="1" x14ac:dyDescent="0.3">
      <c r="B5" s="125" t="s">
        <v>2</v>
      </c>
      <c r="C5" s="125" t="s">
        <v>4</v>
      </c>
      <c r="I5" s="36">
        <v>467</v>
      </c>
      <c r="J5" s="120">
        <v>45321</v>
      </c>
      <c r="K5"/>
      <c r="L5"/>
      <c r="M5"/>
    </row>
    <row r="6" spans="1:13" x14ac:dyDescent="0.3">
      <c r="B6" s="58">
        <v>449</v>
      </c>
      <c r="C6" s="154">
        <v>44588</v>
      </c>
      <c r="I6" s="36">
        <v>468</v>
      </c>
      <c r="J6" s="120">
        <v>45383</v>
      </c>
    </row>
    <row r="7" spans="1:13" x14ac:dyDescent="0.3">
      <c r="B7" s="58">
        <v>450</v>
      </c>
      <c r="C7" s="154">
        <v>44643</v>
      </c>
      <c r="I7" s="36">
        <v>469</v>
      </c>
      <c r="J7" s="120">
        <v>45453</v>
      </c>
    </row>
    <row r="8" spans="1:13" x14ac:dyDescent="0.3">
      <c r="B8" s="58">
        <v>451</v>
      </c>
      <c r="C8" s="154">
        <v>44678</v>
      </c>
      <c r="I8" s="36">
        <v>470</v>
      </c>
      <c r="J8" s="120">
        <v>45539</v>
      </c>
    </row>
    <row r="9" spans="1:13" x14ac:dyDescent="0.3">
      <c r="B9" s="58">
        <v>452</v>
      </c>
      <c r="C9" s="154">
        <v>44773</v>
      </c>
      <c r="I9" s="36">
        <v>471</v>
      </c>
      <c r="J9" s="120">
        <v>45564</v>
      </c>
    </row>
    <row r="10" spans="1:13" x14ac:dyDescent="0.3">
      <c r="B10" s="58">
        <v>453</v>
      </c>
      <c r="C10" s="154">
        <v>44797</v>
      </c>
    </row>
    <row r="11" spans="1:13" x14ac:dyDescent="0.3">
      <c r="B11" s="58">
        <v>454</v>
      </c>
      <c r="C11" s="154">
        <v>44829</v>
      </c>
    </row>
    <row r="12" spans="1:13" x14ac:dyDescent="0.3">
      <c r="B12" s="58">
        <v>455</v>
      </c>
      <c r="C12" s="154">
        <v>44857</v>
      </c>
    </row>
    <row r="13" spans="1:13" x14ac:dyDescent="0.3">
      <c r="B13" s="58">
        <v>456</v>
      </c>
      <c r="C13" s="154">
        <v>44923</v>
      </c>
    </row>
    <row r="14" spans="1:13" x14ac:dyDescent="0.3">
      <c r="B14" s="58"/>
      <c r="C14" s="152"/>
    </row>
    <row r="15" spans="1:13" x14ac:dyDescent="0.3">
      <c r="B15" s="58"/>
      <c r="C15" s="152"/>
    </row>
    <row r="16" spans="1:13" x14ac:dyDescent="0.3">
      <c r="B16" s="58"/>
      <c r="C16" s="152"/>
    </row>
    <row r="17" spans="2:3" x14ac:dyDescent="0.3">
      <c r="B17" s="58"/>
      <c r="C17" s="152"/>
    </row>
    <row r="18" spans="2:3" x14ac:dyDescent="0.3">
      <c r="B18" s="58"/>
      <c r="C18" s="152"/>
    </row>
    <row r="19" spans="2:3" x14ac:dyDescent="0.3">
      <c r="B19" s="58"/>
      <c r="C19" s="152"/>
    </row>
    <row r="20" spans="2:3" x14ac:dyDescent="0.3">
      <c r="B20" s="58"/>
      <c r="C20" s="152"/>
    </row>
    <row r="21" spans="2:3" x14ac:dyDescent="0.3">
      <c r="B21" s="58"/>
      <c r="C21" s="152"/>
    </row>
    <row r="22" spans="2:3" x14ac:dyDescent="0.3">
      <c r="B22" s="58"/>
      <c r="C22" s="152"/>
    </row>
    <row r="23" spans="2:3" x14ac:dyDescent="0.3">
      <c r="B23" s="58"/>
      <c r="C23" s="152"/>
    </row>
    <row r="24" spans="2:3" x14ac:dyDescent="0.3">
      <c r="B24" s="58"/>
      <c r="C24" s="152"/>
    </row>
    <row r="25" spans="2:3" x14ac:dyDescent="0.3">
      <c r="B25" s="58"/>
      <c r="C25" s="152"/>
    </row>
    <row r="26" spans="2:3" x14ac:dyDescent="0.3">
      <c r="B26" s="58"/>
      <c r="C26" s="152"/>
    </row>
    <row r="27" spans="2:3" x14ac:dyDescent="0.3">
      <c r="B27" s="58"/>
      <c r="C27" s="152"/>
    </row>
    <row r="28" spans="2:3" x14ac:dyDescent="0.3">
      <c r="B28" s="58"/>
      <c r="C28" s="152"/>
    </row>
    <row r="29" spans="2:3" x14ac:dyDescent="0.3">
      <c r="B29" s="58"/>
      <c r="C29" s="152"/>
    </row>
    <row r="30" spans="2:3" x14ac:dyDescent="0.3">
      <c r="B30" s="58"/>
      <c r="C30" s="152"/>
    </row>
    <row r="31" spans="2:3" x14ac:dyDescent="0.3">
      <c r="B31" s="58"/>
      <c r="C31" s="152"/>
    </row>
    <row r="32" spans="2:3" x14ac:dyDescent="0.3">
      <c r="B32" s="58"/>
      <c r="C32" s="152"/>
    </row>
    <row r="33" spans="2:3" x14ac:dyDescent="0.3">
      <c r="B33" s="58"/>
      <c r="C33" s="152"/>
    </row>
    <row r="34" spans="2:3" x14ac:dyDescent="0.3">
      <c r="B34" s="58"/>
      <c r="C34" s="152"/>
    </row>
    <row r="35" spans="2:3" x14ac:dyDescent="0.3">
      <c r="B35" s="58"/>
      <c r="C35" s="152"/>
    </row>
    <row r="36" spans="2:3" x14ac:dyDescent="0.3">
      <c r="B36" s="58"/>
      <c r="C36" s="152"/>
    </row>
    <row r="37" spans="2:3" x14ac:dyDescent="0.3">
      <c r="B37" s="58"/>
      <c r="C37" s="152"/>
    </row>
    <row r="38" spans="2:3" x14ac:dyDescent="0.3">
      <c r="B38" s="58"/>
      <c r="C38" s="152"/>
    </row>
    <row r="39" spans="2:3" x14ac:dyDescent="0.3">
      <c r="B39" s="58"/>
      <c r="C39" s="152"/>
    </row>
    <row r="40" spans="2:3" x14ac:dyDescent="0.3">
      <c r="B40" s="116"/>
      <c r="C40" s="130"/>
    </row>
    <row r="41" spans="2:3" x14ac:dyDescent="0.3">
      <c r="B41" s="116"/>
      <c r="C41" s="130"/>
    </row>
    <row r="42" spans="2:3" x14ac:dyDescent="0.3">
      <c r="B42" s="116"/>
      <c r="C42" s="130"/>
    </row>
    <row r="43" spans="2:3" x14ac:dyDescent="0.3">
      <c r="B43" s="116"/>
      <c r="C43" s="130"/>
    </row>
    <row r="44" spans="2:3" x14ac:dyDescent="0.3">
      <c r="B44" s="116"/>
      <c r="C44" s="130"/>
    </row>
    <row r="45" spans="2:3" x14ac:dyDescent="0.3">
      <c r="B45" s="116"/>
      <c r="C45" s="130"/>
    </row>
    <row r="46" spans="2:3" x14ac:dyDescent="0.3">
      <c r="B46" s="116"/>
      <c r="C46" s="130"/>
    </row>
    <row r="47" spans="2:3" x14ac:dyDescent="0.3">
      <c r="B47" s="116"/>
      <c r="C47" s="130"/>
    </row>
    <row r="48" spans="2:3" x14ac:dyDescent="0.3">
      <c r="B48" s="116"/>
      <c r="C48" s="130"/>
    </row>
    <row r="49" spans="2:3" x14ac:dyDescent="0.3">
      <c r="B49" s="116"/>
      <c r="C49" s="130"/>
    </row>
    <row r="50" spans="2:3" x14ac:dyDescent="0.3">
      <c r="B50" s="116"/>
      <c r="C50" s="130"/>
    </row>
    <row r="51" spans="2:3" x14ac:dyDescent="0.3">
      <c r="B51" s="116"/>
      <c r="C51" s="130"/>
    </row>
    <row r="52" spans="2:3" x14ac:dyDescent="0.3">
      <c r="B52" s="116"/>
      <c r="C52" s="130"/>
    </row>
    <row r="53" spans="2:3" x14ac:dyDescent="0.3">
      <c r="B53" s="116"/>
      <c r="C53" s="130"/>
    </row>
    <row r="54" spans="2:3" x14ac:dyDescent="0.3">
      <c r="B54" s="116"/>
      <c r="C54" s="130"/>
    </row>
    <row r="55" spans="2:3" x14ac:dyDescent="0.3">
      <c r="B55" s="116"/>
      <c r="C55" s="130"/>
    </row>
    <row r="56" spans="2:3" x14ac:dyDescent="0.3">
      <c r="B56" s="116"/>
      <c r="C56" s="130"/>
    </row>
    <row r="57" spans="2:3" x14ac:dyDescent="0.3">
      <c r="B57" s="116"/>
      <c r="C57" s="130"/>
    </row>
    <row r="58" spans="2:3" x14ac:dyDescent="0.3">
      <c r="B58" s="116"/>
      <c r="C58" s="130"/>
    </row>
    <row r="59" spans="2:3" x14ac:dyDescent="0.3">
      <c r="B59" s="116"/>
      <c r="C59" s="130"/>
    </row>
    <row r="60" spans="2:3" x14ac:dyDescent="0.3">
      <c r="B60" s="116"/>
      <c r="C60" s="130"/>
    </row>
    <row r="61" spans="2:3" x14ac:dyDescent="0.3">
      <c r="B61" s="116"/>
      <c r="C61" s="130"/>
    </row>
    <row r="62" spans="2:3" x14ac:dyDescent="0.3">
      <c r="B62" s="116"/>
      <c r="C62" s="130"/>
    </row>
    <row r="63" spans="2:3" x14ac:dyDescent="0.3">
      <c r="B63" s="116"/>
      <c r="C63" s="130"/>
    </row>
    <row r="64" spans="2:3" x14ac:dyDescent="0.3">
      <c r="B64" s="116"/>
      <c r="C64" s="130"/>
    </row>
    <row r="65" spans="2:3" x14ac:dyDescent="0.3">
      <c r="B65" s="116"/>
      <c r="C65" s="130"/>
    </row>
    <row r="66" spans="2:3" x14ac:dyDescent="0.3">
      <c r="B66" s="116"/>
      <c r="C66" s="130"/>
    </row>
    <row r="67" spans="2:3" x14ac:dyDescent="0.3">
      <c r="B67" s="116"/>
      <c r="C67" s="130"/>
    </row>
    <row r="68" spans="2:3" x14ac:dyDescent="0.3">
      <c r="B68" s="116"/>
      <c r="C68" s="130"/>
    </row>
    <row r="69" spans="2:3" x14ac:dyDescent="0.3">
      <c r="B69" s="116"/>
      <c r="C69" s="130"/>
    </row>
    <row r="70" spans="2:3" x14ac:dyDescent="0.3">
      <c r="B70" s="116"/>
      <c r="C70" s="130"/>
    </row>
    <row r="71" spans="2:3" x14ac:dyDescent="0.3">
      <c r="B71" s="116"/>
      <c r="C71" s="130"/>
    </row>
    <row r="72" spans="2:3" x14ac:dyDescent="0.3">
      <c r="B72" s="116"/>
      <c r="C72" s="130"/>
    </row>
    <row r="73" spans="2:3" x14ac:dyDescent="0.3">
      <c r="B73" s="116"/>
      <c r="C73" s="130"/>
    </row>
    <row r="74" spans="2:3" x14ac:dyDescent="0.3">
      <c r="B74" s="116"/>
      <c r="C74" s="130"/>
    </row>
    <row r="75" spans="2:3" x14ac:dyDescent="0.3">
      <c r="B75" s="116"/>
      <c r="C75" s="130"/>
    </row>
    <row r="76" spans="2:3" x14ac:dyDescent="0.3">
      <c r="B76" s="116"/>
      <c r="C76" s="130"/>
    </row>
    <row r="77" spans="2:3" x14ac:dyDescent="0.3">
      <c r="B77" s="116"/>
      <c r="C77" s="130"/>
    </row>
    <row r="78" spans="2:3" x14ac:dyDescent="0.3">
      <c r="B78" s="116"/>
      <c r="C78" s="130"/>
    </row>
    <row r="79" spans="2:3" x14ac:dyDescent="0.3">
      <c r="B79" s="116"/>
      <c r="C79" s="130"/>
    </row>
    <row r="80" spans="2:3" x14ac:dyDescent="0.3">
      <c r="B80" s="116"/>
      <c r="C80" s="130"/>
    </row>
    <row r="81" spans="2:3" x14ac:dyDescent="0.3">
      <c r="B81" s="116"/>
      <c r="C81" s="130"/>
    </row>
    <row r="82" spans="2:3" x14ac:dyDescent="0.3">
      <c r="B82" s="116"/>
      <c r="C82" s="130"/>
    </row>
    <row r="83" spans="2:3" x14ac:dyDescent="0.3">
      <c r="B83" s="116"/>
      <c r="C83" s="130"/>
    </row>
    <row r="84" spans="2:3" x14ac:dyDescent="0.3">
      <c r="B84" s="116"/>
      <c r="C84" s="130"/>
    </row>
    <row r="85" spans="2:3" x14ac:dyDescent="0.3">
      <c r="B85" s="116"/>
      <c r="C85" s="130"/>
    </row>
    <row r="86" spans="2:3" x14ac:dyDescent="0.3">
      <c r="B86" s="116"/>
      <c r="C86" s="130"/>
    </row>
    <row r="87" spans="2:3" x14ac:dyDescent="0.3">
      <c r="B87" s="116"/>
      <c r="C87" s="130"/>
    </row>
    <row r="88" spans="2:3" x14ac:dyDescent="0.3">
      <c r="B88" s="116"/>
      <c r="C88" s="130"/>
    </row>
    <row r="89" spans="2:3" x14ac:dyDescent="0.3">
      <c r="B89" s="116"/>
      <c r="C89" s="130"/>
    </row>
    <row r="90" spans="2:3" x14ac:dyDescent="0.3">
      <c r="B90" s="116"/>
      <c r="C90" s="130"/>
    </row>
    <row r="91" spans="2:3" x14ac:dyDescent="0.3">
      <c r="B91" s="116"/>
      <c r="C91" s="130"/>
    </row>
    <row r="92" spans="2:3" x14ac:dyDescent="0.3">
      <c r="B92" s="116"/>
      <c r="C92" s="130"/>
    </row>
    <row r="93" spans="2:3" x14ac:dyDescent="0.3">
      <c r="B93" s="116"/>
      <c r="C93" s="130"/>
    </row>
    <row r="94" spans="2:3" x14ac:dyDescent="0.3">
      <c r="B94" s="116"/>
      <c r="C94" s="130"/>
    </row>
    <row r="95" spans="2:3" x14ac:dyDescent="0.3">
      <c r="B95" s="116"/>
      <c r="C95" s="130"/>
    </row>
    <row r="96" spans="2:3" x14ac:dyDescent="0.3">
      <c r="B96" s="116"/>
      <c r="C96" s="130"/>
    </row>
    <row r="97" spans="2:3" x14ac:dyDescent="0.3">
      <c r="B97" s="116"/>
      <c r="C97" s="130"/>
    </row>
    <row r="98" spans="2:3" x14ac:dyDescent="0.3">
      <c r="B98" s="116"/>
      <c r="C98" s="130"/>
    </row>
    <row r="99" spans="2:3" x14ac:dyDescent="0.3">
      <c r="B99" s="116"/>
      <c r="C99" s="130"/>
    </row>
    <row r="100" spans="2:3" x14ac:dyDescent="0.3">
      <c r="B100" s="116"/>
      <c r="C100" s="130"/>
    </row>
    <row r="101" spans="2:3" x14ac:dyDescent="0.3">
      <c r="B101" s="116"/>
      <c r="C101" s="117"/>
    </row>
    <row r="102" spans="2:3" x14ac:dyDescent="0.3">
      <c r="B102" s="116"/>
      <c r="C102" s="117"/>
    </row>
    <row r="103" spans="2:3" x14ac:dyDescent="0.3">
      <c r="B103" s="116"/>
      <c r="C103" s="117"/>
    </row>
    <row r="104" spans="2:3" x14ac:dyDescent="0.3">
      <c r="B104" s="116"/>
      <c r="C104" s="117"/>
    </row>
    <row r="105" spans="2:3" x14ac:dyDescent="0.3">
      <c r="B105" s="116"/>
      <c r="C105" s="117"/>
    </row>
    <row r="106" spans="2:3" x14ac:dyDescent="0.3">
      <c r="B106" s="116"/>
      <c r="C106" s="117"/>
    </row>
    <row r="107" spans="2:3" x14ac:dyDescent="0.3">
      <c r="B107" s="116"/>
      <c r="C107" s="117"/>
    </row>
    <row r="108" spans="2:3" x14ac:dyDescent="0.3">
      <c r="B108" s="116"/>
      <c r="C108" s="117"/>
    </row>
    <row r="109" spans="2:3" x14ac:dyDescent="0.3">
      <c r="B109" s="116"/>
      <c r="C109" s="117"/>
    </row>
    <row r="110" spans="2:3" x14ac:dyDescent="0.3">
      <c r="B110" s="116"/>
      <c r="C110" s="117"/>
    </row>
    <row r="111" spans="2:3" x14ac:dyDescent="0.3">
      <c r="B111" s="116"/>
      <c r="C111" s="117"/>
    </row>
    <row r="112" spans="2:3" x14ac:dyDescent="0.3">
      <c r="B112" s="116"/>
      <c r="C112" s="117"/>
    </row>
    <row r="113" spans="2:3" x14ac:dyDescent="0.3">
      <c r="B113" s="116"/>
      <c r="C113" s="117"/>
    </row>
    <row r="114" spans="2:3" x14ac:dyDescent="0.3">
      <c r="B114" s="116"/>
      <c r="C114" s="117"/>
    </row>
    <row r="115" spans="2:3" x14ac:dyDescent="0.3">
      <c r="B115" s="116"/>
      <c r="C115" s="117"/>
    </row>
    <row r="116" spans="2:3" x14ac:dyDescent="0.3">
      <c r="B116" s="116"/>
      <c r="C116" s="117"/>
    </row>
    <row r="117" spans="2:3" x14ac:dyDescent="0.3">
      <c r="B117" s="116"/>
      <c r="C117" s="117"/>
    </row>
    <row r="118" spans="2:3" x14ac:dyDescent="0.3">
      <c r="B118" s="116"/>
      <c r="C118" s="117"/>
    </row>
    <row r="119" spans="2:3" x14ac:dyDescent="0.3">
      <c r="B119" s="116"/>
      <c r="C119" s="117"/>
    </row>
    <row r="120" spans="2:3" x14ac:dyDescent="0.3">
      <c r="B120" s="116"/>
      <c r="C120" s="117"/>
    </row>
    <row r="121" spans="2:3" x14ac:dyDescent="0.3">
      <c r="B121" s="116"/>
      <c r="C121" s="117"/>
    </row>
    <row r="122" spans="2:3" x14ac:dyDescent="0.3">
      <c r="B122" s="116"/>
      <c r="C122" s="117"/>
    </row>
    <row r="123" spans="2:3" x14ac:dyDescent="0.3">
      <c r="B123" s="116"/>
      <c r="C123" s="117"/>
    </row>
    <row r="124" spans="2:3" x14ac:dyDescent="0.3">
      <c r="B124" s="116"/>
      <c r="C124" s="117"/>
    </row>
    <row r="125" spans="2:3" x14ac:dyDescent="0.3">
      <c r="B125" s="116"/>
      <c r="C125" s="117"/>
    </row>
    <row r="126" spans="2:3" x14ac:dyDescent="0.3">
      <c r="B126" s="116"/>
      <c r="C126" s="117"/>
    </row>
    <row r="127" spans="2:3" x14ac:dyDescent="0.3">
      <c r="B127" s="116"/>
      <c r="C127" s="117"/>
    </row>
  </sheetData>
  <dataValidations count="2">
    <dataValidation type="list" allowBlank="1" showInputMessage="1" showErrorMessage="1" sqref="B3" xr:uid="{00000000-0002-0000-0200-000000000000}">
      <formula1>"Board, EC, AC, RMC, SSC, NRC"</formula1>
    </dataValidation>
    <dataValidation type="list" allowBlank="1" showInputMessage="1" showErrorMessage="1" sqref="E3" xr:uid="{00000000-0002-0000-0200-000001000000}">
      <formula1>"Present, Absent"</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88" r:id="rId5" name="Button 16">
              <controlPr defaultSize="0" print="0" autoFill="0" autoPict="0" macro="[0]!Load_Data">
                <anchor moveWithCells="1" sizeWithCells="1">
                  <from>
                    <xdr:col>5</xdr:col>
                    <xdr:colOff>182880</xdr:colOff>
                    <xdr:row>1</xdr:row>
                    <xdr:rowOff>152400</xdr:rowOff>
                  </from>
                  <to>
                    <xdr:col>6</xdr:col>
                    <xdr:colOff>266700</xdr:colOff>
                    <xdr:row>2</xdr:row>
                    <xdr:rowOff>251460</xdr:rowOff>
                  </to>
                </anchor>
              </controlPr>
            </control>
          </mc:Choice>
        </mc:AlternateContent>
        <mc:AlternateContent xmlns:mc="http://schemas.openxmlformats.org/markup-compatibility/2006">
          <mc:Choice Requires="x14">
            <control shapeId="3092" r:id="rId6" name="Button 20">
              <controlPr defaultSize="0" print="0" autoFill="0" autoPict="0" macro="[0]!change_date_format">
                <anchor moveWithCells="1" sizeWithCells="1">
                  <from>
                    <xdr:col>5</xdr:col>
                    <xdr:colOff>99060</xdr:colOff>
                    <xdr:row>4</xdr:row>
                    <xdr:rowOff>7620</xdr:rowOff>
                  </from>
                  <to>
                    <xdr:col>6</xdr:col>
                    <xdr:colOff>403860</xdr:colOff>
                    <xdr:row>6</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'Name &amp; Designation'!$A$8:$A$41</xm:f>
          </x14:formula1>
          <xm:sqref>A3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B2:R70"/>
  <sheetViews>
    <sheetView showGridLines="0" zoomScale="90" zoomScaleNormal="90" workbookViewId="0">
      <selection activeCell="C2" sqref="C2"/>
    </sheetView>
  </sheetViews>
  <sheetFormatPr defaultRowHeight="14.4" x14ac:dyDescent="0.3"/>
  <cols>
    <col min="1" max="1" width="3.6640625" customWidth="1"/>
    <col min="2" max="2" width="15.44140625" customWidth="1"/>
    <col min="3" max="3" width="18.88671875" customWidth="1"/>
    <col min="4" max="4" width="4.5546875" customWidth="1"/>
    <col min="5" max="5" width="8.44140625" bestFit="1" customWidth="1"/>
    <col min="6" max="6" width="18.88671875" bestFit="1" customWidth="1"/>
    <col min="7" max="7" width="4.6640625" customWidth="1"/>
    <col min="8" max="8" width="8.44140625" bestFit="1" customWidth="1"/>
    <col min="9" max="9" width="18.88671875" bestFit="1" customWidth="1"/>
    <col min="10" max="10" width="4.88671875" customWidth="1"/>
    <col min="11" max="11" width="8.44140625" bestFit="1" customWidth="1"/>
    <col min="12" max="12" width="18.88671875" bestFit="1" customWidth="1"/>
    <col min="13" max="13" width="4.88671875" customWidth="1"/>
    <col min="14" max="14" width="9" bestFit="1" customWidth="1"/>
    <col min="15" max="15" width="18.88671875" bestFit="1" customWidth="1"/>
    <col min="16" max="16" width="4.88671875" customWidth="1"/>
    <col min="17" max="17" width="8.44140625" bestFit="1" customWidth="1"/>
    <col min="18" max="18" width="18.88671875" bestFit="1" customWidth="1"/>
  </cols>
  <sheetData>
    <row r="2" spans="2:18" ht="43.2" x14ac:dyDescent="0.3">
      <c r="B2" s="49" t="s">
        <v>106</v>
      </c>
      <c r="C2" s="50">
        <f>COUNT(C4:C47)</f>
        <v>6</v>
      </c>
      <c r="E2" s="49" t="s">
        <v>107</v>
      </c>
      <c r="F2" s="50">
        <f>COUNT(F4:F47)</f>
        <v>9</v>
      </c>
      <c r="H2" s="49" t="s">
        <v>108</v>
      </c>
      <c r="I2" s="50">
        <f>COUNT(I4:I47)</f>
        <v>10</v>
      </c>
      <c r="K2" s="49" t="s">
        <v>109</v>
      </c>
      <c r="L2" s="50">
        <f>COUNT(L4:L47)</f>
        <v>4</v>
      </c>
      <c r="N2" s="49" t="s">
        <v>110</v>
      </c>
      <c r="O2" s="50">
        <f>COUNT(O4:O47)</f>
        <v>4</v>
      </c>
      <c r="Q2" s="49" t="s">
        <v>111</v>
      </c>
      <c r="R2" s="50">
        <f>COUNT(R4:R47)</f>
        <v>0</v>
      </c>
    </row>
    <row r="4" spans="2:18" x14ac:dyDescent="0.3">
      <c r="B4" s="48" t="s">
        <v>88</v>
      </c>
      <c r="C4" t="s">
        <v>100</v>
      </c>
      <c r="E4" s="48" t="s">
        <v>88</v>
      </c>
      <c r="F4" t="s">
        <v>100</v>
      </c>
      <c r="H4" s="48" t="s">
        <v>88</v>
      </c>
      <c r="I4" t="s">
        <v>100</v>
      </c>
      <c r="K4" s="48" t="s">
        <v>88</v>
      </c>
      <c r="L4" t="s">
        <v>100</v>
      </c>
      <c r="N4" s="48" t="s">
        <v>88</v>
      </c>
      <c r="O4" t="s">
        <v>100</v>
      </c>
      <c r="Q4" s="48" t="s">
        <v>88</v>
      </c>
      <c r="R4" t="s">
        <v>100</v>
      </c>
    </row>
    <row r="5" spans="2:18" hidden="1" x14ac:dyDescent="0.3"/>
    <row r="6" spans="2:18" hidden="1" x14ac:dyDescent="0.3">
      <c r="B6" s="108" t="s">
        <v>1</v>
      </c>
      <c r="C6" s="48" t="s">
        <v>2</v>
      </c>
      <c r="E6" s="108" t="s">
        <v>1</v>
      </c>
      <c r="F6" s="48" t="s">
        <v>2</v>
      </c>
      <c r="H6" s="108" t="s">
        <v>1</v>
      </c>
      <c r="I6" s="48" t="s">
        <v>2</v>
      </c>
      <c r="K6" s="108" t="s">
        <v>1</v>
      </c>
      <c r="L6" s="48" t="s">
        <v>2</v>
      </c>
      <c r="N6" s="108" t="s">
        <v>1</v>
      </c>
      <c r="O6" s="48" t="s">
        <v>2</v>
      </c>
      <c r="Q6" s="48" t="s">
        <v>1</v>
      </c>
      <c r="R6" s="48" t="s">
        <v>2</v>
      </c>
    </row>
    <row r="7" spans="2:18" hidden="1" x14ac:dyDescent="0.3">
      <c r="B7" t="s">
        <v>37</v>
      </c>
      <c r="C7">
        <v>128</v>
      </c>
      <c r="E7" t="s">
        <v>29</v>
      </c>
      <c r="F7">
        <v>479</v>
      </c>
      <c r="H7" t="s">
        <v>30</v>
      </c>
      <c r="I7">
        <v>457</v>
      </c>
      <c r="K7" t="s">
        <v>38</v>
      </c>
      <c r="L7">
        <v>38</v>
      </c>
      <c r="N7" t="s">
        <v>41</v>
      </c>
      <c r="O7">
        <v>8</v>
      </c>
    </row>
    <row r="8" spans="2:18" hidden="1" x14ac:dyDescent="0.3">
      <c r="C8">
        <v>129</v>
      </c>
      <c r="F8">
        <v>480</v>
      </c>
      <c r="I8">
        <v>458</v>
      </c>
      <c r="L8">
        <v>39</v>
      </c>
      <c r="O8">
        <v>9</v>
      </c>
    </row>
    <row r="9" spans="2:18" hidden="1" x14ac:dyDescent="0.3">
      <c r="C9">
        <v>130</v>
      </c>
      <c r="F9">
        <v>481</v>
      </c>
      <c r="I9">
        <v>459</v>
      </c>
      <c r="L9">
        <v>40</v>
      </c>
      <c r="O9">
        <v>10</v>
      </c>
    </row>
    <row r="10" spans="2:18" hidden="1" x14ac:dyDescent="0.3">
      <c r="C10">
        <v>131</v>
      </c>
      <c r="F10">
        <v>482</v>
      </c>
      <c r="I10">
        <v>460</v>
      </c>
      <c r="L10">
        <v>41</v>
      </c>
      <c r="O10">
        <v>11</v>
      </c>
    </row>
    <row r="11" spans="2:18" hidden="1" x14ac:dyDescent="0.3">
      <c r="C11">
        <v>132</v>
      </c>
      <c r="F11">
        <v>484</v>
      </c>
      <c r="I11">
        <v>461</v>
      </c>
    </row>
    <row r="12" spans="2:18" hidden="1" x14ac:dyDescent="0.3">
      <c r="C12">
        <v>133</v>
      </c>
      <c r="F12">
        <v>485</v>
      </c>
      <c r="I12">
        <v>462</v>
      </c>
    </row>
    <row r="13" spans="2:18" hidden="1" x14ac:dyDescent="0.3">
      <c r="F13">
        <v>486</v>
      </c>
      <c r="I13">
        <v>463</v>
      </c>
    </row>
    <row r="14" spans="2:18" hidden="1" x14ac:dyDescent="0.3">
      <c r="F14">
        <v>487</v>
      </c>
      <c r="I14">
        <v>464</v>
      </c>
    </row>
    <row r="15" spans="2:18" hidden="1" x14ac:dyDescent="0.3">
      <c r="F15">
        <v>488</v>
      </c>
      <c r="I15">
        <v>465</v>
      </c>
    </row>
    <row r="16" spans="2:18" hidden="1" x14ac:dyDescent="0.3">
      <c r="F16" t="s">
        <v>124</v>
      </c>
      <c r="I16">
        <v>466</v>
      </c>
    </row>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sheetData>
  <pageMargins left="0.7" right="0.7" top="0.75" bottom="0.75" header="0.3" footer="0.3"/>
  <pageSetup paperSize="9" orientation="portrait"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D38"/>
  <sheetViews>
    <sheetView showGridLines="0" zoomScaleNormal="100" workbookViewId="0">
      <pane ySplit="3" topLeftCell="A4" activePane="bottomLeft" state="frozen"/>
      <selection pane="bottomLeft" activeCell="M16" sqref="M16"/>
    </sheetView>
  </sheetViews>
  <sheetFormatPr defaultColWidth="9.109375" defaultRowHeight="13.8" x14ac:dyDescent="0.3"/>
  <cols>
    <col min="1" max="1" width="46.109375" style="53" bestFit="1" customWidth="1"/>
    <col min="2" max="2" width="35" style="53" customWidth="1"/>
    <col min="3" max="3" width="9.33203125" style="53" bestFit="1" customWidth="1"/>
    <col min="4" max="4" width="7.44140625" style="53" customWidth="1"/>
    <col min="5" max="16384" width="9.109375" style="53"/>
  </cols>
  <sheetData>
    <row r="1" spans="1:4" x14ac:dyDescent="0.3">
      <c r="A1" s="149" t="s">
        <v>1</v>
      </c>
      <c r="B1" s="53" t="s">
        <v>134</v>
      </c>
    </row>
    <row r="3" spans="1:4" x14ac:dyDescent="0.3">
      <c r="A3" s="57" t="s">
        <v>0</v>
      </c>
      <c r="B3" s="57" t="s">
        <v>6</v>
      </c>
      <c r="C3" s="58" t="s">
        <v>31</v>
      </c>
      <c r="D3" s="58" t="s">
        <v>46</v>
      </c>
    </row>
    <row r="4" spans="1:4" x14ac:dyDescent="0.3">
      <c r="A4" s="53" t="s">
        <v>21</v>
      </c>
      <c r="B4" s="53" t="s">
        <v>103</v>
      </c>
      <c r="C4" s="56">
        <v>116000</v>
      </c>
      <c r="D4" s="56">
        <v>11600</v>
      </c>
    </row>
    <row r="5" spans="1:4" x14ac:dyDescent="0.3">
      <c r="A5" s="53" t="s">
        <v>9</v>
      </c>
      <c r="B5" s="53" t="s">
        <v>60</v>
      </c>
      <c r="C5" s="56">
        <v>144000</v>
      </c>
      <c r="D5" s="56">
        <v>14400</v>
      </c>
    </row>
    <row r="6" spans="1:4" x14ac:dyDescent="0.3">
      <c r="A6" s="53" t="s">
        <v>13</v>
      </c>
      <c r="B6" s="53" t="s">
        <v>60</v>
      </c>
      <c r="C6" s="56">
        <v>50000</v>
      </c>
      <c r="D6" s="56">
        <v>5000</v>
      </c>
    </row>
    <row r="7" spans="1:4" x14ac:dyDescent="0.3">
      <c r="A7" s="53" t="s">
        <v>8</v>
      </c>
      <c r="B7" s="53" t="s">
        <v>138</v>
      </c>
      <c r="C7" s="56">
        <v>110000</v>
      </c>
      <c r="D7" s="56">
        <v>11000</v>
      </c>
    </row>
    <row r="8" spans="1:4" x14ac:dyDescent="0.3">
      <c r="A8" s="53" t="s">
        <v>11</v>
      </c>
      <c r="B8" s="53" t="s">
        <v>60</v>
      </c>
      <c r="C8" s="56">
        <v>162000</v>
      </c>
      <c r="D8" s="56">
        <v>16200</v>
      </c>
    </row>
    <row r="9" spans="1:4" x14ac:dyDescent="0.3">
      <c r="A9" s="53" t="s">
        <v>15</v>
      </c>
      <c r="B9" s="53" t="s">
        <v>60</v>
      </c>
      <c r="C9" s="56">
        <v>116000</v>
      </c>
      <c r="D9" s="56">
        <v>11600</v>
      </c>
    </row>
    <row r="10" spans="1:4" x14ac:dyDescent="0.3">
      <c r="A10" s="53" t="s">
        <v>49</v>
      </c>
      <c r="B10" s="53" t="s">
        <v>60</v>
      </c>
      <c r="C10" s="56">
        <v>166000</v>
      </c>
      <c r="D10" s="56">
        <v>16600</v>
      </c>
    </row>
    <row r="11" spans="1:4" x14ac:dyDescent="0.3">
      <c r="A11" s="53" t="s">
        <v>16</v>
      </c>
      <c r="B11" s="53" t="s">
        <v>60</v>
      </c>
      <c r="C11" s="56">
        <v>78000</v>
      </c>
      <c r="D11" s="56">
        <v>7800</v>
      </c>
    </row>
    <row r="12" spans="1:4" x14ac:dyDescent="0.3">
      <c r="A12" s="53" t="s">
        <v>112</v>
      </c>
      <c r="B12" s="53" t="s">
        <v>60</v>
      </c>
      <c r="C12" s="56">
        <v>46000</v>
      </c>
      <c r="D12" s="56">
        <v>4600</v>
      </c>
    </row>
    <row r="13" spans="1:4" x14ac:dyDescent="0.3">
      <c r="A13" s="53" t="s">
        <v>24</v>
      </c>
      <c r="B13" s="53" t="s">
        <v>60</v>
      </c>
      <c r="C13" s="56">
        <v>116000</v>
      </c>
      <c r="D13" s="56">
        <v>11600</v>
      </c>
    </row>
    <row r="14" spans="1:4" x14ac:dyDescent="0.3">
      <c r="A14" s="53" t="s">
        <v>12</v>
      </c>
      <c r="B14" s="53" t="s">
        <v>60</v>
      </c>
      <c r="C14" s="56">
        <v>166000</v>
      </c>
      <c r="D14" s="56">
        <v>16600</v>
      </c>
    </row>
    <row r="15" spans="1:4" x14ac:dyDescent="0.3">
      <c r="A15" s="53" t="s">
        <v>23</v>
      </c>
      <c r="B15" s="53" t="s">
        <v>60</v>
      </c>
      <c r="C15" s="56">
        <v>84000</v>
      </c>
      <c r="D15" s="56">
        <v>8400</v>
      </c>
    </row>
    <row r="16" spans="1:4" x14ac:dyDescent="0.3">
      <c r="A16" s="53" t="s">
        <v>20</v>
      </c>
      <c r="B16" s="53" t="s">
        <v>103</v>
      </c>
      <c r="C16" s="56">
        <v>116000</v>
      </c>
      <c r="D16" s="56">
        <v>11600</v>
      </c>
    </row>
    <row r="17" spans="1:4" x14ac:dyDescent="0.3">
      <c r="A17" s="53" t="s">
        <v>14</v>
      </c>
      <c r="B17" s="53" t="s">
        <v>60</v>
      </c>
      <c r="C17" s="56">
        <v>78000</v>
      </c>
      <c r="D17" s="56">
        <v>7800</v>
      </c>
    </row>
    <row r="18" spans="1:4" x14ac:dyDescent="0.3">
      <c r="A18" s="53" t="s">
        <v>7</v>
      </c>
      <c r="B18" s="53" t="s">
        <v>60</v>
      </c>
      <c r="C18" s="56">
        <v>68000</v>
      </c>
      <c r="D18" s="56">
        <v>6800</v>
      </c>
    </row>
    <row r="19" spans="1:4" x14ac:dyDescent="0.3">
      <c r="A19" s="53" t="s">
        <v>61</v>
      </c>
      <c r="B19" s="53" t="s">
        <v>60</v>
      </c>
      <c r="C19" s="56">
        <v>86000</v>
      </c>
      <c r="D19" s="56">
        <v>8600</v>
      </c>
    </row>
    <row r="20" spans="1:4" x14ac:dyDescent="0.3">
      <c r="A20" s="53" t="s">
        <v>54</v>
      </c>
      <c r="B20" s="53" t="s">
        <v>57</v>
      </c>
      <c r="C20" s="56">
        <v>42000</v>
      </c>
      <c r="D20" s="56">
        <v>4200</v>
      </c>
    </row>
    <row r="21" spans="1:4" x14ac:dyDescent="0.3">
      <c r="A21" s="53" t="s">
        <v>17</v>
      </c>
      <c r="B21" s="53" t="s">
        <v>103</v>
      </c>
      <c r="C21" s="56">
        <v>114000</v>
      </c>
      <c r="D21" s="56">
        <v>11400</v>
      </c>
    </row>
    <row r="22" spans="1:4" x14ac:dyDescent="0.3">
      <c r="A22" s="53" t="s">
        <v>52</v>
      </c>
      <c r="B22" s="53" t="s">
        <v>57</v>
      </c>
      <c r="C22" s="56">
        <v>42000</v>
      </c>
      <c r="D22" s="56">
        <v>4200</v>
      </c>
    </row>
    <row r="23" spans="1:4" x14ac:dyDescent="0.3">
      <c r="A23" s="53" t="s">
        <v>127</v>
      </c>
      <c r="B23" s="53" t="s">
        <v>118</v>
      </c>
      <c r="C23" s="56">
        <v>42000</v>
      </c>
      <c r="D23" s="56">
        <v>4200</v>
      </c>
    </row>
    <row r="24" spans="1:4" x14ac:dyDescent="0.3">
      <c r="A24" s="53" t="s">
        <v>128</v>
      </c>
      <c r="B24" s="53" t="s">
        <v>57</v>
      </c>
      <c r="C24" s="56">
        <v>42000</v>
      </c>
      <c r="D24" s="56">
        <v>4200</v>
      </c>
    </row>
    <row r="25" spans="1:4" x14ac:dyDescent="0.3">
      <c r="A25" s="53" t="s">
        <v>126</v>
      </c>
      <c r="B25" s="53" t="s">
        <v>57</v>
      </c>
      <c r="C25" s="56">
        <v>42000</v>
      </c>
      <c r="D25" s="56">
        <v>4200</v>
      </c>
    </row>
    <row r="26" spans="1:4" x14ac:dyDescent="0.3">
      <c r="A26" s="53" t="s">
        <v>131</v>
      </c>
      <c r="B26" s="53" t="s">
        <v>103</v>
      </c>
      <c r="C26" s="56">
        <v>36000</v>
      </c>
      <c r="D26" s="56">
        <v>3600</v>
      </c>
    </row>
    <row r="27" spans="1:4" x14ac:dyDescent="0.3">
      <c r="A27" s="53" t="s">
        <v>137</v>
      </c>
      <c r="B27" s="53" t="s">
        <v>60</v>
      </c>
      <c r="C27" s="56">
        <v>116000</v>
      </c>
      <c r="D27" s="56">
        <v>11600</v>
      </c>
    </row>
    <row r="28" spans="1:4" x14ac:dyDescent="0.3">
      <c r="A28" s="53" t="s">
        <v>120</v>
      </c>
      <c r="C28" s="56">
        <v>2178000</v>
      </c>
      <c r="D28" s="56">
        <v>217800</v>
      </c>
    </row>
    <row r="29" spans="1:4" ht="14.4" x14ac:dyDescent="0.3">
      <c r="A29"/>
      <c r="B29"/>
      <c r="C29"/>
      <c r="D29"/>
    </row>
    <row r="30" spans="1:4" ht="14.4" x14ac:dyDescent="0.3">
      <c r="A30"/>
      <c r="B30"/>
      <c r="C30"/>
      <c r="D30"/>
    </row>
    <row r="31" spans="1:4" ht="14.4" x14ac:dyDescent="0.3">
      <c r="A31"/>
      <c r="B31"/>
      <c r="C31"/>
      <c r="D31"/>
    </row>
    <row r="32" spans="1:4" ht="14.4" x14ac:dyDescent="0.3">
      <c r="A32"/>
      <c r="B32"/>
      <c r="C32"/>
      <c r="D32"/>
    </row>
    <row r="33" spans="1:4" ht="14.4" x14ac:dyDescent="0.3">
      <c r="A33"/>
      <c r="B33"/>
      <c r="C33"/>
      <c r="D33"/>
    </row>
    <row r="34" spans="1:4" ht="14.4" x14ac:dyDescent="0.3">
      <c r="A34"/>
      <c r="B34"/>
      <c r="C34"/>
      <c r="D34"/>
    </row>
    <row r="35" spans="1:4" ht="14.4" x14ac:dyDescent="0.3">
      <c r="A35"/>
      <c r="B35"/>
      <c r="C35"/>
      <c r="D35"/>
    </row>
    <row r="36" spans="1:4" ht="14.4" x14ac:dyDescent="0.3">
      <c r="A36"/>
      <c r="B36"/>
      <c r="C36"/>
      <c r="D36"/>
    </row>
    <row r="37" spans="1:4" ht="14.4" x14ac:dyDescent="0.3">
      <c r="A37"/>
      <c r="B37"/>
      <c r="C37"/>
      <c r="D37"/>
    </row>
    <row r="38" spans="1:4" ht="14.4" x14ac:dyDescent="0.3">
      <c r="A38"/>
      <c r="B38"/>
      <c r="C38"/>
      <c r="D38"/>
    </row>
  </sheetData>
  <pageMargins left="0.7" right="0.7" top="0.75" bottom="0.75" header="0.3" footer="0.3"/>
  <pageSetup orientation="portrait" r:id="rId2"/>
  <drawing r:id="rId3"/>
  <extLs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L100"/>
  <sheetViews>
    <sheetView showGridLines="0" zoomScaleNormal="100" workbookViewId="0">
      <pane ySplit="3" topLeftCell="A4" activePane="bottomLeft" state="frozen"/>
      <selection pane="bottomLeft" activeCell="B13" sqref="B13"/>
    </sheetView>
  </sheetViews>
  <sheetFormatPr defaultColWidth="9.109375" defaultRowHeight="13.8" x14ac:dyDescent="0.3"/>
  <cols>
    <col min="1" max="1" width="45.109375" style="53" bestFit="1" customWidth="1"/>
    <col min="2" max="2" width="36.109375" style="53" customWidth="1"/>
    <col min="3" max="9" width="9.33203125" style="53" bestFit="1" customWidth="1"/>
    <col min="10" max="10" width="11" style="53" bestFit="1" customWidth="1"/>
    <col min="11" max="16384" width="9.109375" style="53"/>
  </cols>
  <sheetData>
    <row r="1" spans="1:12" x14ac:dyDescent="0.3">
      <c r="A1" s="109" t="s">
        <v>88</v>
      </c>
      <c r="B1" s="110" t="s">
        <v>100</v>
      </c>
      <c r="L1" s="53" t="s">
        <v>133</v>
      </c>
    </row>
    <row r="3" spans="1:12" s="73" customFormat="1" x14ac:dyDescent="0.3">
      <c r="A3" s="74" t="s">
        <v>0</v>
      </c>
      <c r="B3" s="77" t="s">
        <v>6</v>
      </c>
      <c r="C3" s="78" t="s">
        <v>29</v>
      </c>
      <c r="D3" s="78" t="s">
        <v>30</v>
      </c>
      <c r="E3" s="78" t="s">
        <v>37</v>
      </c>
      <c r="F3" s="78" t="s">
        <v>38</v>
      </c>
      <c r="G3" s="78" t="s">
        <v>41</v>
      </c>
      <c r="H3" s="78" t="s">
        <v>43</v>
      </c>
      <c r="I3" s="78" t="s">
        <v>86</v>
      </c>
      <c r="J3" s="79" t="s">
        <v>84</v>
      </c>
      <c r="L3" s="73" t="s">
        <v>102</v>
      </c>
    </row>
    <row r="4" spans="1:12" x14ac:dyDescent="0.3">
      <c r="A4" s="111" t="s">
        <v>21</v>
      </c>
      <c r="B4" s="75" t="str">
        <f>IFERROR(VLOOKUP($A4,NameDesignation[], 2,FALSE), " ")</f>
        <v>Former Independent Director</v>
      </c>
      <c r="C4" s="63">
        <f t="array" ref="C4">SUM(IF((RawData[Name]=$A4)*(RawData[Meeting]=C$3)*(RawData[Quarter]={"Q3-23","Q4-23","Q1-24","Q2-24"}),RawData[Status1],0))</f>
        <v>7</v>
      </c>
      <c r="D4" s="63">
        <f t="array" ref="D4">SUM(IF((RawData[Name]=$A4)*(RawData[Meeting]=D$3)*(RawData[Quarter]={"Q3-23","Q4-23","Q1-24","Q2-24"}),RawData[Status1],0))</f>
        <v>0</v>
      </c>
      <c r="E4" s="63">
        <f t="array" ref="E4">SUM(IF((RawData[Name]=$A4)*(RawData[Meeting]=E$3)*(RawData[Quarter]={"Q3-23","Q4-23","Q1-24","Q2-24"}),RawData[Status1],0))</f>
        <v>6</v>
      </c>
      <c r="F4" s="63">
        <f t="array" ref="F4">SUM(IF((RawData[Name]=$A4)*(RawData[Meeting]=F$3)*(RawData[Quarter]={"Q3-23","Q4-23","Q1-24","Q2-24"}),RawData[Status1],0))</f>
        <v>0</v>
      </c>
      <c r="G4" s="63">
        <f t="array" ref="G4">SUM(IF((RawData[Name]=$A4)*(RawData[Meeting]=G$3)*(RawData[Quarter]={"Q3-23","Q4-23","Q1-24","Q2-24"}),RawData[Status1],0))</f>
        <v>0</v>
      </c>
      <c r="H4" s="63">
        <f t="array" ref="H4">SUM(IF((RawData[Name]=$A4)*(RawData[Meeting]=H$3)*(RawData[Quarter]={"Q3-23","Q4-23","Q1-24","Q2-24"}),RawData[Status1],0))</f>
        <v>0</v>
      </c>
      <c r="I4" s="63">
        <f>SUM(MeetingAttn[[#This Row],[Board]:[NRC]])</f>
        <v>13</v>
      </c>
      <c r="J4" s="76">
        <f>SUMIF(Summary!A:A, 'Meeting Attdnc'!$A4, Summary!C:C)</f>
        <v>116000</v>
      </c>
      <c r="L4" s="53" t="s">
        <v>114</v>
      </c>
    </row>
    <row r="5" spans="1:12" x14ac:dyDescent="0.3">
      <c r="A5" s="111" t="s">
        <v>9</v>
      </c>
      <c r="B5" s="75" t="str">
        <f>IFERROR(VLOOKUP($A5,NameDesignation[], 2,FALSE), " ")</f>
        <v>Former Director</v>
      </c>
      <c r="C5" s="63">
        <f t="array" ref="C5">SUM(IF((RawData[Name]=$A5)*(RawData[Meeting]=C$3)*(RawData[Quarter]={"Q3-23","Q4-23","Q1-24","Q2-24"}),RawData[Status1],0))</f>
        <v>6</v>
      </c>
      <c r="D5" s="63">
        <f t="array" ref="D5">SUM(IF((RawData[Name]=$A5)*(RawData[Meeting]=D$3)*(RawData[Quarter]={"Q3-23","Q4-23","Q1-24","Q2-24"}),RawData[Status1],0))</f>
        <v>8</v>
      </c>
      <c r="E5" s="63">
        <f t="array" ref="E5">SUM(IF((RawData[Name]=$A5)*(RawData[Meeting]=E$3)*(RawData[Quarter]={"Q3-23","Q4-23","Q1-24","Q2-24"}),RawData[Status1],0))</f>
        <v>0</v>
      </c>
      <c r="F5" s="63">
        <f t="array" ref="F5">SUM(IF((RawData[Name]=$A5)*(RawData[Meeting]=F$3)*(RawData[Quarter]={"Q3-23","Q4-23","Q1-24","Q2-24"}),RawData[Status1],0))</f>
        <v>3</v>
      </c>
      <c r="G5" s="63">
        <f t="array" ref="G5">SUM(IF((RawData[Name]=$A5)*(RawData[Meeting]=G$3)*(RawData[Quarter]={"Q3-23","Q4-23","Q1-24","Q2-24"}),RawData[Status1],0))</f>
        <v>0</v>
      </c>
      <c r="H5" s="63">
        <f t="array" ref="H5">SUM(IF((RawData[Name]=$A5)*(RawData[Meeting]=H$3)*(RawData[Quarter]={"Q3-23","Q4-23","Q1-24","Q2-24"}),RawData[Status1],0))</f>
        <v>0</v>
      </c>
      <c r="I5" s="63">
        <f>SUM(MeetingAttn[[#This Row],[Board]:[NRC]])</f>
        <v>17</v>
      </c>
      <c r="J5" s="76">
        <f>SUMIF(Summary!A:A, 'Meeting Attdnc'!$A5, Summary!C:C)</f>
        <v>144000</v>
      </c>
      <c r="L5" s="53" t="s">
        <v>113</v>
      </c>
    </row>
    <row r="6" spans="1:12" x14ac:dyDescent="0.3">
      <c r="A6" s="111" t="s">
        <v>13</v>
      </c>
      <c r="B6" s="75" t="str">
        <f>IFERROR(VLOOKUP($A6,NameDesignation[], 2,FALSE), " ")</f>
        <v>Former Director</v>
      </c>
      <c r="C6" s="63">
        <f t="array" ref="C6">SUM(IF((RawData[Name]=$A6)*(RawData[Meeting]=C$3)*(RawData[Quarter]={"Q3-23","Q4-23","Q1-24","Q2-24"}),RawData[Status1],0))</f>
        <v>3</v>
      </c>
      <c r="D6" s="63">
        <f t="array" ref="D6">SUM(IF((RawData[Name]=$A6)*(RawData[Meeting]=D$3)*(RawData[Quarter]={"Q3-23","Q4-23","Q1-24","Q2-24"}),RawData[Status1],0))</f>
        <v>3</v>
      </c>
      <c r="E6" s="63">
        <f t="array" ref="E6">SUM(IF((RawData[Name]=$A6)*(RawData[Meeting]=E$3)*(RawData[Quarter]={"Q3-23","Q4-23","Q1-24","Q2-24"}),RawData[Status1],0))</f>
        <v>0</v>
      </c>
      <c r="F6" s="63">
        <f t="array" ref="F6">SUM(IF((RawData[Name]=$A6)*(RawData[Meeting]=F$3)*(RawData[Quarter]={"Q3-23","Q4-23","Q1-24","Q2-24"}),RawData[Status1],0))</f>
        <v>0</v>
      </c>
      <c r="G6" s="63">
        <f t="array" ref="G6">SUM(IF((RawData[Name]=$A6)*(RawData[Meeting]=G$3)*(RawData[Quarter]={"Q3-23","Q4-23","Q1-24","Q2-24"}),RawData[Status1],0))</f>
        <v>0</v>
      </c>
      <c r="H6" s="63">
        <f t="array" ref="H6">SUM(IF((RawData[Name]=$A6)*(RawData[Meeting]=H$3)*(RawData[Quarter]={"Q3-23","Q4-23","Q1-24","Q2-24"}),RawData[Status1],0))</f>
        <v>0</v>
      </c>
      <c r="I6" s="63">
        <f>SUM(MeetingAttn[[#This Row],[Board]:[NRC]])</f>
        <v>6</v>
      </c>
      <c r="J6" s="76">
        <f>SUMIF(Summary!A:A, 'Meeting Attdnc'!$A6, Summary!C:C)</f>
        <v>50000</v>
      </c>
      <c r="L6" s="53" t="s">
        <v>115</v>
      </c>
    </row>
    <row r="7" spans="1:12" x14ac:dyDescent="0.3">
      <c r="A7" s="111" t="s">
        <v>8</v>
      </c>
      <c r="B7" s="75" t="str">
        <f>IFERROR(VLOOKUP($A7,NameDesignation[], 2,FALSE), " ")</f>
        <v>Former Vice-Chairman</v>
      </c>
      <c r="C7" s="63">
        <f t="array" ref="C7">SUM(IF((RawData[Name]=$A7)*(RawData[Meeting]=C$3)*(RawData[Quarter]={"Q3-23","Q4-23","Q1-24","Q2-24"}),RawData[Status1],0))</f>
        <v>6</v>
      </c>
      <c r="D7" s="63">
        <f t="array" ref="D7">SUM(IF((RawData[Name]=$A7)*(RawData[Meeting]=D$3)*(RawData[Quarter]={"Q3-23","Q4-23","Q1-24","Q2-24"}),RawData[Status1],0))</f>
        <v>7</v>
      </c>
      <c r="E7" s="63">
        <f t="array" ref="E7">SUM(IF((RawData[Name]=$A7)*(RawData[Meeting]=E$3)*(RawData[Quarter]={"Q3-23","Q4-23","Q1-24","Q2-24"}),RawData[Status1],0))</f>
        <v>0</v>
      </c>
      <c r="F7" s="63">
        <f t="array" ref="F7">SUM(IF((RawData[Name]=$A7)*(RawData[Meeting]=F$3)*(RawData[Quarter]={"Q3-23","Q4-23","Q1-24","Q2-24"}),RawData[Status1],0))</f>
        <v>0</v>
      </c>
      <c r="G7" s="63">
        <f t="array" ref="G7">SUM(IF((RawData[Name]=$A7)*(RawData[Meeting]=G$3)*(RawData[Quarter]={"Q3-23","Q4-23","Q1-24","Q2-24"}),RawData[Status1],0))</f>
        <v>0</v>
      </c>
      <c r="H7" s="63">
        <f t="array" ref="H7">SUM(IF((RawData[Name]=$A7)*(RawData[Meeting]=H$3)*(RawData[Quarter]={"Q3-23","Q4-23","Q1-24","Q2-24"}),RawData[Status1],0))</f>
        <v>0</v>
      </c>
      <c r="I7" s="63">
        <f>SUM(MeetingAttn[[#This Row],[Board]:[NRC]])</f>
        <v>13</v>
      </c>
      <c r="J7" s="76">
        <f>SUMIF(Summary!A:A, 'Meeting Attdnc'!$A7, Summary!C:C)</f>
        <v>110000</v>
      </c>
      <c r="L7" s="53" t="s">
        <v>116</v>
      </c>
    </row>
    <row r="8" spans="1:12" x14ac:dyDescent="0.3">
      <c r="A8" s="111" t="s">
        <v>11</v>
      </c>
      <c r="B8" s="75" t="str">
        <f>IFERROR(VLOOKUP($A8,NameDesignation[], 2,FALSE), " ")</f>
        <v>Former Director</v>
      </c>
      <c r="C8" s="63">
        <f t="array" ref="C8">SUM(IF((RawData[Name]=$A8)*(RawData[Meeting]=C$3)*(RawData[Quarter]={"Q3-23","Q4-23","Q1-24","Q2-24"}),RawData[Status1],0))</f>
        <v>9</v>
      </c>
      <c r="D8" s="63">
        <f t="array" ref="D8">SUM(IF((RawData[Name]=$A8)*(RawData[Meeting]=D$3)*(RawData[Quarter]={"Q3-23","Q4-23","Q1-24","Q2-24"}),RawData[Status1],0))</f>
        <v>8</v>
      </c>
      <c r="E8" s="63">
        <f t="array" ref="E8">SUM(IF((RawData[Name]=$A8)*(RawData[Meeting]=E$3)*(RawData[Quarter]={"Q3-23","Q4-23","Q1-24","Q2-24"}),RawData[Status1],0))</f>
        <v>0</v>
      </c>
      <c r="F8" s="63">
        <f t="array" ref="F8">SUM(IF((RawData[Name]=$A8)*(RawData[Meeting]=F$3)*(RawData[Quarter]={"Q3-23","Q4-23","Q1-24","Q2-24"}),RawData[Status1],0))</f>
        <v>0</v>
      </c>
      <c r="G8" s="63">
        <f t="array" ref="G8">SUM(IF((RawData[Name]=$A8)*(RawData[Meeting]=G$3)*(RawData[Quarter]={"Q3-23","Q4-23","Q1-24","Q2-24"}),RawData[Status1],0))</f>
        <v>2</v>
      </c>
      <c r="H8" s="63">
        <f t="array" ref="H8">SUM(IF((RawData[Name]=$A8)*(RawData[Meeting]=H$3)*(RawData[Quarter]={"Q3-23","Q4-23","Q1-24","Q2-24"}),RawData[Status1],0))</f>
        <v>0</v>
      </c>
      <c r="I8" s="63">
        <f>SUM(MeetingAttn[[#This Row],[Board]:[NRC]])</f>
        <v>19</v>
      </c>
      <c r="J8" s="76">
        <f>SUMIF(Summary!A:A, 'Meeting Attdnc'!$A8, Summary!C:C)</f>
        <v>162000</v>
      </c>
    </row>
    <row r="9" spans="1:12" x14ac:dyDescent="0.3">
      <c r="A9" s="111" t="s">
        <v>15</v>
      </c>
      <c r="B9" s="75" t="str">
        <f>IFERROR(VLOOKUP($A9,NameDesignation[], 2,FALSE), " ")</f>
        <v>Former Director</v>
      </c>
      <c r="C9" s="63">
        <f t="array" ref="C9">SUM(IF((RawData[Name]=$A9)*(RawData[Meeting]=C$3)*(RawData[Quarter]={"Q3-23","Q4-23","Q1-24","Q2-24"}),RawData[Status1],0))</f>
        <v>8</v>
      </c>
      <c r="D9" s="63">
        <f t="array" ref="D9">SUM(IF((RawData[Name]=$A9)*(RawData[Meeting]=D$3)*(RawData[Quarter]={"Q3-23","Q4-23","Q1-24","Q2-24"}),RawData[Status1],0))</f>
        <v>0</v>
      </c>
      <c r="E9" s="63">
        <f t="array" ref="E9">SUM(IF((RawData[Name]=$A9)*(RawData[Meeting]=E$3)*(RawData[Quarter]={"Q3-23","Q4-23","Q1-24","Q2-24"}),RawData[Status1],0))</f>
        <v>5</v>
      </c>
      <c r="F9" s="63">
        <f t="array" ref="F9">SUM(IF((RawData[Name]=$A9)*(RawData[Meeting]=F$3)*(RawData[Quarter]={"Q3-23","Q4-23","Q1-24","Q2-24"}),RawData[Status1],0))</f>
        <v>0</v>
      </c>
      <c r="G9" s="63">
        <f t="array" ref="G9">SUM(IF((RawData[Name]=$A9)*(RawData[Meeting]=G$3)*(RawData[Quarter]={"Q3-23","Q4-23","Q1-24","Q2-24"}),RawData[Status1],0))</f>
        <v>0</v>
      </c>
      <c r="H9" s="63">
        <f t="array" ref="H9">SUM(IF((RawData[Name]=$A9)*(RawData[Meeting]=H$3)*(RawData[Quarter]={"Q3-23","Q4-23","Q1-24","Q2-24"}),RawData[Status1],0))</f>
        <v>0</v>
      </c>
      <c r="I9" s="63">
        <f>SUM(MeetingAttn[[#This Row],[Board]:[NRC]])</f>
        <v>13</v>
      </c>
      <c r="J9" s="76">
        <f>SUMIF(Summary!A:A, 'Meeting Attdnc'!$A9, Summary!C:C)</f>
        <v>116000</v>
      </c>
    </row>
    <row r="10" spans="1:12" x14ac:dyDescent="0.3">
      <c r="A10" s="111" t="s">
        <v>49</v>
      </c>
      <c r="B10" s="75" t="str">
        <f>IFERROR(VLOOKUP($A10,NameDesignation[], 2,FALSE), " ")</f>
        <v>Former Director</v>
      </c>
      <c r="C10" s="63">
        <f t="array" ref="C10">SUM(IF((RawData[Name]=$A10)*(RawData[Meeting]=C$3)*(RawData[Quarter]={"Q3-23","Q4-23","Q1-24","Q2-24"}),RawData[Status1],0))</f>
        <v>8</v>
      </c>
      <c r="D10" s="63">
        <f t="array" ref="D10">SUM(IF((RawData[Name]=$A10)*(RawData[Meeting]=D$3)*(RawData[Quarter]={"Q3-23","Q4-23","Q1-24","Q2-24"}),RawData[Status1],0))</f>
        <v>7</v>
      </c>
      <c r="E10" s="63">
        <f t="array" ref="E10">SUM(IF((RawData[Name]=$A10)*(RawData[Meeting]=E$3)*(RawData[Quarter]={"Q3-23","Q4-23","Q1-24","Q2-24"}),RawData[Status1],0))</f>
        <v>0</v>
      </c>
      <c r="F10" s="63">
        <f t="array" ref="F10">SUM(IF((RawData[Name]=$A10)*(RawData[Meeting]=F$3)*(RawData[Quarter]={"Q3-23","Q4-23","Q1-24","Q2-24"}),RawData[Status1],0))</f>
        <v>4</v>
      </c>
      <c r="G10" s="63">
        <f t="array" ref="G10">SUM(IF((RawData[Name]=$A10)*(RawData[Meeting]=G$3)*(RawData[Quarter]={"Q3-23","Q4-23","Q1-24","Q2-24"}),RawData[Status1],0))</f>
        <v>0</v>
      </c>
      <c r="H10" s="63">
        <f t="array" ref="H10">SUM(IF((RawData[Name]=$A10)*(RawData[Meeting]=H$3)*(RawData[Quarter]={"Q3-23","Q4-23","Q1-24","Q2-24"}),RawData[Status1],0))</f>
        <v>0</v>
      </c>
      <c r="I10" s="63">
        <f>SUM(MeetingAttn[[#This Row],[Board]:[NRC]])</f>
        <v>19</v>
      </c>
      <c r="J10" s="76">
        <f>SUMIF(Summary!A:A, 'Meeting Attdnc'!$A10, Summary!C:C)</f>
        <v>166000</v>
      </c>
    </row>
    <row r="11" spans="1:12" x14ac:dyDescent="0.3">
      <c r="A11" s="111" t="s">
        <v>16</v>
      </c>
      <c r="B11" s="75" t="str">
        <f>IFERROR(VLOOKUP($A11,NameDesignation[], 2,FALSE), " ")</f>
        <v>Former Director</v>
      </c>
      <c r="C11" s="63">
        <f t="array" ref="C11">SUM(IF((RawData[Name]=$A11)*(RawData[Meeting]=C$3)*(RawData[Quarter]={"Q3-23","Q4-23","Q1-24","Q2-24"}),RawData[Status1],0))</f>
        <v>9</v>
      </c>
      <c r="D11" s="63">
        <f t="array" ref="D11">SUM(IF((RawData[Name]=$A11)*(RawData[Meeting]=D$3)*(RawData[Quarter]={"Q3-23","Q4-23","Q1-24","Q2-24"}),RawData[Status1],0))</f>
        <v>0</v>
      </c>
      <c r="E11" s="63">
        <f t="array" ref="E11">SUM(IF((RawData[Name]=$A11)*(RawData[Meeting]=E$3)*(RawData[Quarter]={"Q3-23","Q4-23","Q1-24","Q2-24"}),RawData[Status1],0))</f>
        <v>0</v>
      </c>
      <c r="F11" s="63">
        <f t="array" ref="F11">SUM(IF((RawData[Name]=$A11)*(RawData[Meeting]=F$3)*(RawData[Quarter]={"Q3-23","Q4-23","Q1-24","Q2-24"}),RawData[Status1],0))</f>
        <v>0</v>
      </c>
      <c r="G11" s="63">
        <f t="array" ref="G11">SUM(IF((RawData[Name]=$A11)*(RawData[Meeting]=G$3)*(RawData[Quarter]={"Q3-23","Q4-23","Q1-24","Q2-24"}),RawData[Status1],0))</f>
        <v>0</v>
      </c>
      <c r="H11" s="63">
        <f t="array" ref="H11">SUM(IF((RawData[Name]=$A11)*(RawData[Meeting]=H$3)*(RawData[Quarter]={"Q3-23","Q4-23","Q1-24","Q2-24"}),RawData[Status1],0))</f>
        <v>0</v>
      </c>
      <c r="I11" s="63">
        <f>SUM(MeetingAttn[[#This Row],[Board]:[NRC]])</f>
        <v>9</v>
      </c>
      <c r="J11" s="76">
        <f>SUMIF(Summary!A:A, 'Meeting Attdnc'!$A11, Summary!C:C)</f>
        <v>78000</v>
      </c>
    </row>
    <row r="12" spans="1:12" x14ac:dyDescent="0.3">
      <c r="A12" s="111" t="s">
        <v>112</v>
      </c>
      <c r="B12" s="75" t="str">
        <f>IFERROR(VLOOKUP($A12,NameDesignation[], 2,FALSE), " ")</f>
        <v>Former Director</v>
      </c>
      <c r="C12" s="63">
        <f t="array" ref="C12">SUM(IF((RawData[Name]=$A12)*(RawData[Meeting]=C$3)*(RawData[Quarter]={"Q3-23","Q4-23","Q1-24","Q2-24"}),RawData[Status1],0))</f>
        <v>5</v>
      </c>
      <c r="D12" s="63">
        <f t="array" ref="D12">SUM(IF((RawData[Name]=$A12)*(RawData[Meeting]=D$3)*(RawData[Quarter]={"Q3-23","Q4-23","Q1-24","Q2-24"}),RawData[Status1],0))</f>
        <v>0</v>
      </c>
      <c r="E12" s="63">
        <f t="array" ref="E12">SUM(IF((RawData[Name]=$A12)*(RawData[Meeting]=E$3)*(RawData[Quarter]={"Q3-23","Q4-23","Q1-24","Q2-24"}),RawData[Status1],0))</f>
        <v>0</v>
      </c>
      <c r="F12" s="63">
        <f t="array" ref="F12">SUM(IF((RawData[Name]=$A12)*(RawData[Meeting]=F$3)*(RawData[Quarter]={"Q3-23","Q4-23","Q1-24","Q2-24"}),RawData[Status1],0))</f>
        <v>0</v>
      </c>
      <c r="G12" s="63">
        <f t="array" ref="G12">SUM(IF((RawData[Name]=$A12)*(RawData[Meeting]=G$3)*(RawData[Quarter]={"Q3-23","Q4-23","Q1-24","Q2-24"}),RawData[Status1],0))</f>
        <v>0</v>
      </c>
      <c r="H12" s="63">
        <f t="array" ref="H12">SUM(IF((RawData[Name]=$A12)*(RawData[Meeting]=H$3)*(RawData[Quarter]={"Q3-23","Q4-23","Q1-24","Q2-24"}),RawData[Status1],0))</f>
        <v>0</v>
      </c>
      <c r="I12" s="63">
        <f>SUM(MeetingAttn[[#This Row],[Board]:[NRC]])</f>
        <v>5</v>
      </c>
      <c r="J12" s="76">
        <f>SUMIF(Summary!A:A, 'Meeting Attdnc'!$A12, Summary!C:C)</f>
        <v>46000</v>
      </c>
    </row>
    <row r="13" spans="1:12" x14ac:dyDescent="0.3">
      <c r="A13" s="111" t="s">
        <v>24</v>
      </c>
      <c r="B13" s="75" t="str">
        <f>IFERROR(VLOOKUP($A13,NameDesignation[], 2,FALSE), " ")</f>
        <v>Former Director</v>
      </c>
      <c r="C13" s="63">
        <f t="array" ref="C13">SUM(IF((RawData[Name]=$A13)*(RawData[Meeting]=C$3)*(RawData[Quarter]={"Q3-23","Q4-23","Q1-24","Q2-24"}),RawData[Status1],0))</f>
        <v>8</v>
      </c>
      <c r="D13" s="63">
        <f t="array" ref="D13">SUM(IF((RawData[Name]=$A13)*(RawData[Meeting]=D$3)*(RawData[Quarter]={"Q3-23","Q4-23","Q1-24","Q2-24"}),RawData[Status1],0))</f>
        <v>0</v>
      </c>
      <c r="E13" s="63">
        <f t="array" ref="E13">SUM(IF((RawData[Name]=$A13)*(RawData[Meeting]=E$3)*(RawData[Quarter]={"Q3-23","Q4-23","Q1-24","Q2-24"}),RawData[Status1],0))</f>
        <v>5</v>
      </c>
      <c r="F13" s="63">
        <f t="array" ref="F13">SUM(IF((RawData[Name]=$A13)*(RawData[Meeting]=F$3)*(RawData[Quarter]={"Q3-23","Q4-23","Q1-24","Q2-24"}),RawData[Status1],0))</f>
        <v>0</v>
      </c>
      <c r="G13" s="63">
        <f t="array" ref="G13">SUM(IF((RawData[Name]=$A13)*(RawData[Meeting]=G$3)*(RawData[Quarter]={"Q3-23","Q4-23","Q1-24","Q2-24"}),RawData[Status1],0))</f>
        <v>0</v>
      </c>
      <c r="H13" s="63">
        <f t="array" ref="H13">SUM(IF((RawData[Name]=$A13)*(RawData[Meeting]=H$3)*(RawData[Quarter]={"Q3-23","Q4-23","Q1-24","Q2-24"}),RawData[Status1],0))</f>
        <v>0</v>
      </c>
      <c r="I13" s="63">
        <f>SUM(MeetingAttn[[#This Row],[Board]:[NRC]])</f>
        <v>13</v>
      </c>
      <c r="J13" s="76">
        <f>SUMIF(Summary!A:A, 'Meeting Attdnc'!$A13, Summary!C:C)</f>
        <v>116000</v>
      </c>
    </row>
    <row r="14" spans="1:12" x14ac:dyDescent="0.3">
      <c r="A14" s="111" t="s">
        <v>12</v>
      </c>
      <c r="B14" s="75" t="str">
        <f>IFERROR(VLOOKUP($A14,NameDesignation[], 2,FALSE), " ")</f>
        <v>Former Director</v>
      </c>
      <c r="C14" s="63">
        <f t="array" ref="C14">SUM(IF((RawData[Name]=$A14)*(RawData[Meeting]=C$3)*(RawData[Quarter]={"Q3-23","Q4-23","Q1-24","Q2-24"}),RawData[Status1],0))</f>
        <v>8</v>
      </c>
      <c r="D14" s="63">
        <f t="array" ref="D14">SUM(IF((RawData[Name]=$A14)*(RawData[Meeting]=D$3)*(RawData[Quarter]={"Q3-23","Q4-23","Q1-24","Q2-24"}),RawData[Status1],0))</f>
        <v>7</v>
      </c>
      <c r="E14" s="63">
        <f t="array" ref="E14">SUM(IF((RawData[Name]=$A14)*(RawData[Meeting]=E$3)*(RawData[Quarter]={"Q3-23","Q4-23","Q1-24","Q2-24"}),RawData[Status1],0))</f>
        <v>0</v>
      </c>
      <c r="F14" s="63">
        <f t="array" ref="F14">SUM(IF((RawData[Name]=$A14)*(RawData[Meeting]=F$3)*(RawData[Quarter]={"Q3-23","Q4-23","Q1-24","Q2-24"}),RawData[Status1],0))</f>
        <v>4</v>
      </c>
      <c r="G14" s="63">
        <f t="array" ref="G14">SUM(IF((RawData[Name]=$A14)*(RawData[Meeting]=G$3)*(RawData[Quarter]={"Q3-23","Q4-23","Q1-24","Q2-24"}),RawData[Status1],0))</f>
        <v>0</v>
      </c>
      <c r="H14" s="63">
        <f t="array" ref="H14">SUM(IF((RawData[Name]=$A14)*(RawData[Meeting]=H$3)*(RawData[Quarter]={"Q3-23","Q4-23","Q1-24","Q2-24"}),RawData[Status1],0))</f>
        <v>0</v>
      </c>
      <c r="I14" s="63">
        <f>SUM(MeetingAttn[[#This Row],[Board]:[NRC]])</f>
        <v>19</v>
      </c>
      <c r="J14" s="76">
        <f>SUMIF(Summary!A:A, 'Meeting Attdnc'!$A14, Summary!C:C)</f>
        <v>166000</v>
      </c>
    </row>
    <row r="15" spans="1:12" x14ac:dyDescent="0.3">
      <c r="A15" s="111" t="s">
        <v>23</v>
      </c>
      <c r="B15" s="75" t="str">
        <f>IFERROR(VLOOKUP($A15,NameDesignation[], 2,FALSE), " ")</f>
        <v>Former Director</v>
      </c>
      <c r="C15" s="63">
        <f t="array" ref="C15">SUM(IF((RawData[Name]=$A15)*(RawData[Meeting]=C$3)*(RawData[Quarter]={"Q3-23","Q4-23","Q1-24","Q2-24"}),RawData[Status1],0))</f>
        <v>6</v>
      </c>
      <c r="D15" s="63">
        <f t="array" ref="D15">SUM(IF((RawData[Name]=$A15)*(RawData[Meeting]=D$3)*(RawData[Quarter]={"Q3-23","Q4-23","Q1-24","Q2-24"}),RawData[Status1],0))</f>
        <v>0</v>
      </c>
      <c r="E15" s="63">
        <f t="array" ref="E15">SUM(IF((RawData[Name]=$A15)*(RawData[Meeting]=E$3)*(RawData[Quarter]={"Q3-23","Q4-23","Q1-24","Q2-24"}),RawData[Status1],0))</f>
        <v>3</v>
      </c>
      <c r="F15" s="63">
        <f t="array" ref="F15">SUM(IF((RawData[Name]=$A15)*(RawData[Meeting]=F$3)*(RawData[Quarter]={"Q3-23","Q4-23","Q1-24","Q2-24"}),RawData[Status1],0))</f>
        <v>0</v>
      </c>
      <c r="G15" s="63">
        <f t="array" ref="G15">SUM(IF((RawData[Name]=$A15)*(RawData[Meeting]=G$3)*(RawData[Quarter]={"Q3-23","Q4-23","Q1-24","Q2-24"}),RawData[Status1],0))</f>
        <v>0</v>
      </c>
      <c r="H15" s="63">
        <f t="array" ref="H15">SUM(IF((RawData[Name]=$A15)*(RawData[Meeting]=H$3)*(RawData[Quarter]={"Q3-23","Q4-23","Q1-24","Q2-24"}),RawData[Status1],0))</f>
        <v>0</v>
      </c>
      <c r="I15" s="63">
        <f>SUM(MeetingAttn[[#This Row],[Board]:[NRC]])</f>
        <v>9</v>
      </c>
      <c r="J15" s="76">
        <f>SUMIF(Summary!A:A, 'Meeting Attdnc'!$A15, Summary!C:C)</f>
        <v>84000</v>
      </c>
    </row>
    <row r="16" spans="1:12" x14ac:dyDescent="0.3">
      <c r="A16" s="111" t="s">
        <v>20</v>
      </c>
      <c r="B16" s="75" t="str">
        <f>IFERROR(VLOOKUP($A16,NameDesignation[], 2,FALSE), " ")</f>
        <v>Former Independent Director</v>
      </c>
      <c r="C16" s="63">
        <f t="array" ref="C16">SUM(IF((RawData[Name]=$A16)*(RawData[Meeting]=C$3)*(RawData[Quarter]={"Q3-23","Q4-23","Q1-24","Q2-24"}),RawData[Status1],0))</f>
        <v>7</v>
      </c>
      <c r="D16" s="63">
        <f t="array" ref="D16">SUM(IF((RawData[Name]=$A16)*(RawData[Meeting]=D$3)*(RawData[Quarter]={"Q3-23","Q4-23","Q1-24","Q2-24"}),RawData[Status1],0))</f>
        <v>0</v>
      </c>
      <c r="E16" s="63">
        <f t="array" ref="E16">SUM(IF((RawData[Name]=$A16)*(RawData[Meeting]=E$3)*(RawData[Quarter]={"Q3-23","Q4-23","Q1-24","Q2-24"}),RawData[Status1],0))</f>
        <v>6</v>
      </c>
      <c r="F16" s="63">
        <f t="array" ref="F16">SUM(IF((RawData[Name]=$A16)*(RawData[Meeting]=F$3)*(RawData[Quarter]={"Q3-23","Q4-23","Q1-24","Q2-24"}),RawData[Status1],0))</f>
        <v>0</v>
      </c>
      <c r="G16" s="63">
        <f t="array" ref="G16">SUM(IF((RawData[Name]=$A16)*(RawData[Meeting]=G$3)*(RawData[Quarter]={"Q3-23","Q4-23","Q1-24","Q2-24"}),RawData[Status1],0))</f>
        <v>0</v>
      </c>
      <c r="H16" s="63">
        <f t="array" ref="H16">SUM(IF((RawData[Name]=$A16)*(RawData[Meeting]=H$3)*(RawData[Quarter]={"Q3-23","Q4-23","Q1-24","Q2-24"}),RawData[Status1],0))</f>
        <v>0</v>
      </c>
      <c r="I16" s="63">
        <f>SUM(MeetingAttn[[#This Row],[Board]:[NRC]])</f>
        <v>13</v>
      </c>
      <c r="J16" s="76">
        <f>SUMIF(Summary!A:A, 'Meeting Attdnc'!$A16, Summary!C:C)</f>
        <v>116000</v>
      </c>
    </row>
    <row r="17" spans="1:10" x14ac:dyDescent="0.3">
      <c r="A17" s="111" t="s">
        <v>14</v>
      </c>
      <c r="B17" s="75" t="str">
        <f>IFERROR(VLOOKUP($A17,NameDesignation[], 2,FALSE), " ")</f>
        <v>Former Director</v>
      </c>
      <c r="C17" s="63">
        <f t="array" ref="C17">SUM(IF((RawData[Name]=$A17)*(RawData[Meeting]=C$3)*(RawData[Quarter]={"Q3-23","Q4-23","Q1-24","Q2-24"}),RawData[Status1],0))</f>
        <v>9</v>
      </c>
      <c r="D17" s="63">
        <f t="array" ref="D17">SUM(IF((RawData[Name]=$A17)*(RawData[Meeting]=D$3)*(RawData[Quarter]={"Q3-23","Q4-23","Q1-24","Q2-24"}),RawData[Status1],0))</f>
        <v>0</v>
      </c>
      <c r="E17" s="63">
        <f t="array" ref="E17">SUM(IF((RawData[Name]=$A17)*(RawData[Meeting]=E$3)*(RawData[Quarter]={"Q3-23","Q4-23","Q1-24","Q2-24"}),RawData[Status1],0))</f>
        <v>0</v>
      </c>
      <c r="F17" s="63">
        <f t="array" ref="F17">SUM(IF((RawData[Name]=$A17)*(RawData[Meeting]=F$3)*(RawData[Quarter]={"Q3-23","Q4-23","Q1-24","Q2-24"}),RawData[Status1],0))</f>
        <v>0</v>
      </c>
      <c r="G17" s="63">
        <f t="array" ref="G17">SUM(IF((RawData[Name]=$A17)*(RawData[Meeting]=G$3)*(RawData[Quarter]={"Q3-23","Q4-23","Q1-24","Q2-24"}),RawData[Status1],0))</f>
        <v>0</v>
      </c>
      <c r="H17" s="63">
        <f t="array" ref="H17">SUM(IF((RawData[Name]=$A17)*(RawData[Meeting]=H$3)*(RawData[Quarter]={"Q3-23","Q4-23","Q1-24","Q2-24"}),RawData[Status1],0))</f>
        <v>0</v>
      </c>
      <c r="I17" s="63">
        <f>SUM(MeetingAttn[[#This Row],[Board]:[NRC]])</f>
        <v>9</v>
      </c>
      <c r="J17" s="76">
        <f>SUMIF(Summary!A:A, 'Meeting Attdnc'!$A17, Summary!C:C)</f>
        <v>78000</v>
      </c>
    </row>
    <row r="18" spans="1:10" x14ac:dyDescent="0.3">
      <c r="A18" s="111" t="s">
        <v>7</v>
      </c>
      <c r="B18" s="75" t="str">
        <f>IFERROR(VLOOKUP($A18,NameDesignation[], 2,FALSE), " ")</f>
        <v>Former Director</v>
      </c>
      <c r="C18" s="63">
        <f t="array" ref="C18">SUM(IF((RawData[Name]=$A18)*(RawData[Meeting]=C$3)*(RawData[Quarter]={"Q3-23","Q4-23","Q1-24","Q2-24"}),RawData[Status1],0))</f>
        <v>8</v>
      </c>
      <c r="D18" s="63">
        <f t="array" ref="D18">SUM(IF((RawData[Name]=$A18)*(RawData[Meeting]=D$3)*(RawData[Quarter]={"Q3-23","Q4-23","Q1-24","Q2-24"}),RawData[Status1],0))</f>
        <v>0</v>
      </c>
      <c r="E18" s="63">
        <f t="array" ref="E18">SUM(IF((RawData[Name]=$A18)*(RawData[Meeting]=E$3)*(RawData[Quarter]={"Q3-23","Q4-23","Q1-24","Q2-24"}),RawData[Status1],0))</f>
        <v>0</v>
      </c>
      <c r="F18" s="63">
        <f t="array" ref="F18">SUM(IF((RawData[Name]=$A18)*(RawData[Meeting]=F$3)*(RawData[Quarter]={"Q3-23","Q4-23","Q1-24","Q2-24"}),RawData[Status1],0))</f>
        <v>0</v>
      </c>
      <c r="G18" s="63">
        <f t="array" ref="G18">SUM(IF((RawData[Name]=$A18)*(RawData[Meeting]=G$3)*(RawData[Quarter]={"Q3-23","Q4-23","Q1-24","Q2-24"}),RawData[Status1],0))</f>
        <v>0</v>
      </c>
      <c r="H18" s="63">
        <f t="array" ref="H18">SUM(IF((RawData[Name]=$A18)*(RawData[Meeting]=H$3)*(RawData[Quarter]={"Q3-23","Q4-23","Q1-24","Q2-24"}),RawData[Status1],0))</f>
        <v>0</v>
      </c>
      <c r="I18" s="63">
        <f>SUM(MeetingAttn[[#This Row],[Board]:[NRC]])</f>
        <v>8</v>
      </c>
      <c r="J18" s="76">
        <f>SUMIF(Summary!A:A, 'Meeting Attdnc'!$A18, Summary!C:C)</f>
        <v>68000</v>
      </c>
    </row>
    <row r="19" spans="1:10" x14ac:dyDescent="0.3">
      <c r="A19" s="111" t="s">
        <v>61</v>
      </c>
      <c r="B19" s="75" t="str">
        <f>IFERROR(VLOOKUP($A19,NameDesignation[], 2,FALSE), " ")</f>
        <v>Former Director</v>
      </c>
      <c r="C19" s="63">
        <f t="array" ref="C19">SUM(IF((RawData[Name]=$A19)*(RawData[Meeting]=C$3)*(RawData[Quarter]={"Q3-23","Q4-23","Q1-24","Q2-24"}),RawData[Status1],0))</f>
        <v>7</v>
      </c>
      <c r="D19" s="63">
        <f t="array" ref="D19">SUM(IF((RawData[Name]=$A19)*(RawData[Meeting]=D$3)*(RawData[Quarter]={"Q3-23","Q4-23","Q1-24","Q2-24"}),RawData[Status1],0))</f>
        <v>0</v>
      </c>
      <c r="E19" s="63">
        <f t="array" ref="E19">SUM(IF((RawData[Name]=$A19)*(RawData[Meeting]=E$3)*(RawData[Quarter]={"Q3-23","Q4-23","Q1-24","Q2-24"}),RawData[Status1],0))</f>
        <v>0</v>
      </c>
      <c r="F19" s="63">
        <f t="array" ref="F19">SUM(IF((RawData[Name]=$A19)*(RawData[Meeting]=F$3)*(RawData[Quarter]={"Q3-23","Q4-23","Q1-24","Q2-24"}),RawData[Status1],0))</f>
        <v>3</v>
      </c>
      <c r="G19" s="63">
        <f t="array" ref="G19">SUM(IF((RawData[Name]=$A19)*(RawData[Meeting]=G$3)*(RawData[Quarter]={"Q3-23","Q4-23","Q1-24","Q2-24"}),RawData[Status1],0))</f>
        <v>0</v>
      </c>
      <c r="H19" s="63">
        <f t="array" ref="H19">SUM(IF((RawData[Name]=$A19)*(RawData[Meeting]=H$3)*(RawData[Quarter]={"Q3-23","Q4-23","Q1-24","Q2-24"}),RawData[Status1],0))</f>
        <v>0</v>
      </c>
      <c r="I19" s="63">
        <f>SUM(MeetingAttn[[#This Row],[Board]:[NRC]])</f>
        <v>10</v>
      </c>
      <c r="J19" s="76">
        <f>SUMIF(Summary!A:A, 'Meeting Attdnc'!$A19, Summary!C:C)</f>
        <v>86000</v>
      </c>
    </row>
    <row r="20" spans="1:10" x14ac:dyDescent="0.3">
      <c r="A20" s="111" t="s">
        <v>54</v>
      </c>
      <c r="B20" s="75" t="str">
        <f>IFERROR(VLOOKUP($A20,NameDesignation[], 2,FALSE), " ")</f>
        <v>Member, Shariah Supervisory Committee</v>
      </c>
      <c r="C20" s="63">
        <f t="array" ref="C20">SUM(IF((RawData[Name]=$A20)*(RawData[Meeting]=C$3)*(RawData[Quarter]={"Q3-23","Q4-23","Q1-24","Q2-24"}),RawData[Status1],0))</f>
        <v>0</v>
      </c>
      <c r="D20" s="63">
        <f t="array" ref="D20">SUM(IF((RawData[Name]=$A20)*(RawData[Meeting]=D$3)*(RawData[Quarter]={"Q3-23","Q4-23","Q1-24","Q2-24"}),RawData[Status1],0))</f>
        <v>0</v>
      </c>
      <c r="E20" s="63">
        <f t="array" ref="E20">SUM(IF((RawData[Name]=$A20)*(RawData[Meeting]=E$3)*(RawData[Quarter]={"Q3-23","Q4-23","Q1-24","Q2-24"}),RawData[Status1],0))</f>
        <v>0</v>
      </c>
      <c r="F20" s="63">
        <f t="array" ref="F20">SUM(IF((RawData[Name]=$A20)*(RawData[Meeting]=F$3)*(RawData[Quarter]={"Q3-23","Q4-23","Q1-24","Q2-24"}),RawData[Status1],0))</f>
        <v>0</v>
      </c>
      <c r="G20" s="63">
        <f t="array" ref="G20">SUM(IF((RawData[Name]=$A20)*(RawData[Meeting]=G$3)*(RawData[Quarter]={"Q3-23","Q4-23","Q1-24","Q2-24"}),RawData[Status1],0))</f>
        <v>5</v>
      </c>
      <c r="H20" s="63">
        <f t="array" ref="H20">SUM(IF((RawData[Name]=$A20)*(RawData[Meeting]=H$3)*(RawData[Quarter]={"Q3-23","Q4-23","Q1-24","Q2-24"}),RawData[Status1],0))</f>
        <v>0</v>
      </c>
      <c r="I20" s="63">
        <f>SUM(MeetingAttn[[#This Row],[Board]:[NRC]])</f>
        <v>5</v>
      </c>
      <c r="J20" s="76">
        <f>SUMIF(Summary!A:A, 'Meeting Attdnc'!$A20, Summary!C:C)</f>
        <v>42000</v>
      </c>
    </row>
    <row r="21" spans="1:10" x14ac:dyDescent="0.3">
      <c r="A21" s="111" t="s">
        <v>17</v>
      </c>
      <c r="B21" s="75" t="str">
        <f>IFERROR(VLOOKUP($A21,NameDesignation[], 2,FALSE), " ")</f>
        <v>Former Independent Director</v>
      </c>
      <c r="C21" s="63">
        <f t="array" ref="C21">SUM(IF((RawData[Name]=$A21)*(RawData[Meeting]=C$3)*(RawData[Quarter]={"Q3-23","Q4-23","Q1-24","Q2-24"}),RawData[Status1],0))</f>
        <v>9</v>
      </c>
      <c r="D21" s="63">
        <f t="array" ref="D21">SUM(IF((RawData[Name]=$A21)*(RawData[Meeting]=D$3)*(RawData[Quarter]={"Q3-23","Q4-23","Q1-24","Q2-24"}),RawData[Status1],0))</f>
        <v>0</v>
      </c>
      <c r="E21" s="63">
        <f t="array" ref="E21">SUM(IF((RawData[Name]=$A21)*(RawData[Meeting]=E$3)*(RawData[Quarter]={"Q3-23","Q4-23","Q1-24","Q2-24"}),RawData[Status1],0))</f>
        <v>0</v>
      </c>
      <c r="F21" s="63">
        <f t="array" ref="F21">SUM(IF((RawData[Name]=$A21)*(RawData[Meeting]=F$3)*(RawData[Quarter]={"Q3-23","Q4-23","Q1-24","Q2-24"}),RawData[Status1],0))</f>
        <v>4</v>
      </c>
      <c r="G21" s="63">
        <f t="array" ref="G21">SUM(IF((RawData[Name]=$A21)*(RawData[Meeting]=G$3)*(RawData[Quarter]={"Q3-23","Q4-23","Q1-24","Q2-24"}),RawData[Status1],0))</f>
        <v>0</v>
      </c>
      <c r="H21" s="63">
        <f t="array" ref="H21">SUM(IF((RawData[Name]=$A21)*(RawData[Meeting]=H$3)*(RawData[Quarter]={"Q3-23","Q4-23","Q1-24","Q2-24"}),RawData[Status1],0))</f>
        <v>0</v>
      </c>
      <c r="I21" s="63">
        <f>SUM(MeetingAttn[[#This Row],[Board]:[NRC]])</f>
        <v>13</v>
      </c>
      <c r="J21" s="76">
        <f>SUMIF(Summary!A:A, 'Meeting Attdnc'!$A21, Summary!C:C)</f>
        <v>114000</v>
      </c>
    </row>
    <row r="22" spans="1:10" x14ac:dyDescent="0.3">
      <c r="A22" s="112" t="s">
        <v>52</v>
      </c>
      <c r="B22" s="75" t="str">
        <f>IFERROR(VLOOKUP($A22,NameDesignation[], 2,FALSE), " ")</f>
        <v>Member, Shariah Supervisory Committee</v>
      </c>
      <c r="C22" s="63">
        <f t="array" ref="C22">SUM(IF((RawData[Name]=$A22)*(RawData[Meeting]=C$3)*(RawData[Quarter]={"Q3-23","Q4-23","Q1-24","Q2-24"}),RawData[Status1],0))</f>
        <v>0</v>
      </c>
      <c r="D22" s="63">
        <f t="array" ref="D22">SUM(IF((RawData[Name]=$A22)*(RawData[Meeting]=D$3)*(RawData[Quarter]={"Q3-23","Q4-23","Q1-24","Q2-24"}),RawData[Status1],0))</f>
        <v>0</v>
      </c>
      <c r="E22" s="63">
        <f t="array" ref="E22">SUM(IF((RawData[Name]=$A22)*(RawData[Meeting]=E$3)*(RawData[Quarter]={"Q3-23","Q4-23","Q1-24","Q2-24"}),RawData[Status1],0))</f>
        <v>0</v>
      </c>
      <c r="F22" s="63">
        <f t="array" ref="F22">SUM(IF((RawData[Name]=$A22)*(RawData[Meeting]=F$3)*(RawData[Quarter]={"Q3-23","Q4-23","Q1-24","Q2-24"}),RawData[Status1],0))</f>
        <v>0</v>
      </c>
      <c r="G22" s="63">
        <f t="array" ref="G22">SUM(IF((RawData[Name]=$A22)*(RawData[Meeting]=G$3)*(RawData[Quarter]={"Q3-23","Q4-23","Q1-24","Q2-24"}),RawData[Status1],0))</f>
        <v>5</v>
      </c>
      <c r="H22" s="63">
        <f t="array" ref="H22">SUM(IF((RawData[Name]=$A22)*(RawData[Meeting]=H$3)*(RawData[Quarter]={"Q3-23","Q4-23","Q1-24","Q2-24"}),RawData[Status1],0))</f>
        <v>0</v>
      </c>
      <c r="I22" s="63">
        <f>SUM(MeetingAttn[[#This Row],[Board]:[NRC]])</f>
        <v>5</v>
      </c>
      <c r="J22" s="76">
        <f>SUMIF(Summary!A:A, 'Meeting Attdnc'!$A22, Summary!C:C)</f>
        <v>42000</v>
      </c>
    </row>
    <row r="23" spans="1:10" x14ac:dyDescent="0.3">
      <c r="A23" s="111" t="s">
        <v>127</v>
      </c>
      <c r="B23" s="75" t="str">
        <f>IFERROR(VLOOKUP($A23,NameDesignation[], 2,FALSE), " ")</f>
        <v>Chairman, Shariah Supervisory Committee</v>
      </c>
      <c r="C23" s="63">
        <f t="array" ref="C23">SUM(IF((RawData[Name]=$A23)*(RawData[Meeting]=C$3)*(RawData[Quarter]={"Q3-23","Q4-23","Q1-24","Q2-24"}),RawData[Status1],0))</f>
        <v>0</v>
      </c>
      <c r="D23" s="63">
        <f t="array" ref="D23">SUM(IF((RawData[Name]=$A23)*(RawData[Meeting]=D$3)*(RawData[Quarter]={"Q3-23","Q4-23","Q1-24","Q2-24"}),RawData[Status1],0))</f>
        <v>0</v>
      </c>
      <c r="E23" s="63">
        <f t="array" ref="E23">SUM(IF((RawData[Name]=$A23)*(RawData[Meeting]=E$3)*(RawData[Quarter]={"Q3-23","Q4-23","Q1-24","Q2-24"}),RawData[Status1],0))</f>
        <v>0</v>
      </c>
      <c r="F23" s="63">
        <f t="array" ref="F23">SUM(IF((RawData[Name]=$A23)*(RawData[Meeting]=F$3)*(RawData[Quarter]={"Q3-23","Q4-23","Q1-24","Q2-24"}),RawData[Status1],0))</f>
        <v>0</v>
      </c>
      <c r="G23" s="63">
        <f t="array" ref="G23">SUM(IF((RawData[Name]=$A23)*(RawData[Meeting]=G$3)*(RawData[Quarter]={"Q3-23","Q4-23","Q1-24","Q2-24"}),RawData[Status1],0))</f>
        <v>5</v>
      </c>
      <c r="H23" s="63">
        <f t="array" ref="H23">SUM(IF((RawData[Name]=$A23)*(RawData[Meeting]=H$3)*(RawData[Quarter]={"Q3-23","Q4-23","Q1-24","Q2-24"}),RawData[Status1],0))</f>
        <v>0</v>
      </c>
      <c r="I23" s="63">
        <f>SUM(MeetingAttn[[#This Row],[Board]:[NRC]])</f>
        <v>5</v>
      </c>
      <c r="J23" s="76">
        <f>SUMIF(Summary!A:A, 'Meeting Attdnc'!$A23, Summary!C:C)</f>
        <v>42000</v>
      </c>
    </row>
    <row r="24" spans="1:10" x14ac:dyDescent="0.3">
      <c r="A24" s="111" t="s">
        <v>128</v>
      </c>
      <c r="B24" s="75" t="str">
        <f>IFERROR(VLOOKUP($A24,NameDesignation[], 2,FALSE), " ")</f>
        <v>Member, Shariah Supervisory Committee</v>
      </c>
      <c r="C24" s="63">
        <f t="array" ref="C24">SUM(IF((RawData[Name]=$A24)*(RawData[Meeting]=C$3)*(RawData[Quarter]={"Q3-23","Q4-23","Q1-24","Q2-24"}),RawData[Status1],0))</f>
        <v>0</v>
      </c>
      <c r="D24" s="63">
        <f t="array" ref="D24">SUM(IF((RawData[Name]=$A24)*(RawData[Meeting]=D$3)*(RawData[Quarter]={"Q3-23","Q4-23","Q1-24","Q2-24"}),RawData[Status1],0))</f>
        <v>0</v>
      </c>
      <c r="E24" s="63">
        <f t="array" ref="E24">SUM(IF((RawData[Name]=$A24)*(RawData[Meeting]=E$3)*(RawData[Quarter]={"Q3-23","Q4-23","Q1-24","Q2-24"}),RawData[Status1],0))</f>
        <v>0</v>
      </c>
      <c r="F24" s="63">
        <f t="array" ref="F24">SUM(IF((RawData[Name]=$A24)*(RawData[Meeting]=F$3)*(RawData[Quarter]={"Q3-23","Q4-23","Q1-24","Q2-24"}),RawData[Status1],0))</f>
        <v>0</v>
      </c>
      <c r="G24" s="63">
        <f t="array" ref="G24">SUM(IF((RawData[Name]=$A24)*(RawData[Meeting]=G$3)*(RawData[Quarter]={"Q3-23","Q4-23","Q1-24","Q2-24"}),RawData[Status1],0))</f>
        <v>5</v>
      </c>
      <c r="H24" s="63">
        <f t="array" ref="H24">SUM(IF((RawData[Name]=$A24)*(RawData[Meeting]=H$3)*(RawData[Quarter]={"Q3-23","Q4-23","Q1-24","Q2-24"}),RawData[Status1],0))</f>
        <v>0</v>
      </c>
      <c r="I24" s="63">
        <f>SUM(MeetingAttn[[#This Row],[Board]:[NRC]])</f>
        <v>5</v>
      </c>
      <c r="J24" s="76">
        <f>SUMIF(Summary!A:A, 'Meeting Attdnc'!$A24, Summary!C:C)</f>
        <v>42000</v>
      </c>
    </row>
    <row r="25" spans="1:10" x14ac:dyDescent="0.3">
      <c r="A25" s="111" t="s">
        <v>126</v>
      </c>
      <c r="B25" s="75" t="str">
        <f>IFERROR(VLOOKUP($A25,NameDesignation[], 2,FALSE), " ")</f>
        <v>Member, Shariah Supervisory Committee</v>
      </c>
      <c r="C25" s="63">
        <f t="array" ref="C25">SUM(IF((RawData[Name]=$A25)*(RawData[Meeting]=C$3)*(RawData[Quarter]={"Q3-23","Q4-23","Q1-24","Q2-24"}),RawData[Status1],0))</f>
        <v>0</v>
      </c>
      <c r="D25" s="63">
        <f t="array" ref="D25">SUM(IF((RawData[Name]=$A25)*(RawData[Meeting]=D$3)*(RawData[Quarter]={"Q3-23","Q4-23","Q1-24","Q2-24"}),RawData[Status1],0))</f>
        <v>0</v>
      </c>
      <c r="E25" s="63">
        <f t="array" ref="E25">SUM(IF((RawData[Name]=$A25)*(RawData[Meeting]=E$3)*(RawData[Quarter]={"Q3-23","Q4-23","Q1-24","Q2-24"}),RawData[Status1],0))</f>
        <v>0</v>
      </c>
      <c r="F25" s="63">
        <f t="array" ref="F25">SUM(IF((RawData[Name]=$A25)*(RawData[Meeting]=F$3)*(RawData[Quarter]={"Q3-23","Q4-23","Q1-24","Q2-24"}),RawData[Status1],0))</f>
        <v>0</v>
      </c>
      <c r="G25" s="63">
        <f t="array" ref="G25">SUM(IF((RawData[Name]=$A25)*(RawData[Meeting]=G$3)*(RawData[Quarter]={"Q3-23","Q4-23","Q1-24","Q2-24"}),RawData[Status1],0))</f>
        <v>5</v>
      </c>
      <c r="H25" s="63">
        <f t="array" ref="H25">SUM(IF((RawData[Name]=$A25)*(RawData[Meeting]=H$3)*(RawData[Quarter]={"Q3-23","Q4-23","Q1-24","Q2-24"}),RawData[Status1],0))</f>
        <v>0</v>
      </c>
      <c r="I25" s="63">
        <f>SUM(MeetingAttn[[#This Row],[Board]:[NRC]])</f>
        <v>5</v>
      </c>
      <c r="J25" s="76">
        <f>SUMIF(Summary!A:A, 'Meeting Attdnc'!$A25, Summary!C:C)</f>
        <v>42000</v>
      </c>
    </row>
    <row r="26" spans="1:10" x14ac:dyDescent="0.3">
      <c r="A26" s="112" t="s">
        <v>131</v>
      </c>
      <c r="B26" s="75" t="str">
        <f>IFERROR(VLOOKUP($A26,NameDesignation[], 2,FALSE), " ")</f>
        <v>Former Independent Director</v>
      </c>
      <c r="C26" s="63">
        <f t="array" ref="C26">SUM(IF((RawData[Name]=$A26)*(RawData[Meeting]=C$3)*(RawData[Quarter]={"Q3-23","Q4-23","Q1-24","Q2-24"}),RawData[Status1],0))</f>
        <v>4</v>
      </c>
      <c r="D26" s="63">
        <f t="array" ref="D26">SUM(IF((RawData[Name]=$A26)*(RawData[Meeting]=D$3)*(RawData[Quarter]={"Q3-23","Q4-23","Q1-24","Q2-24"}),RawData[Status1],0))</f>
        <v>0</v>
      </c>
      <c r="E26" s="63">
        <f t="array" ref="E26">SUM(IF((RawData[Name]=$A26)*(RawData[Meeting]=E$3)*(RawData[Quarter]={"Q3-23","Q4-23","Q1-24","Q2-24"}),RawData[Status1],0))</f>
        <v>0</v>
      </c>
      <c r="F26" s="63">
        <f t="array" ref="F26">SUM(IF((RawData[Name]=$A26)*(RawData[Meeting]=F$3)*(RawData[Quarter]={"Q3-23","Q4-23","Q1-24","Q2-24"}),RawData[Status1],0))</f>
        <v>0</v>
      </c>
      <c r="G26" s="63">
        <f t="array" ref="G26">SUM(IF((RawData[Name]=$A26)*(RawData[Meeting]=G$3)*(RawData[Quarter]={"Q3-23","Q4-23","Q1-24","Q2-24"}),RawData[Status1],0))</f>
        <v>0</v>
      </c>
      <c r="H26" s="63">
        <f t="array" ref="H26">SUM(IF((RawData[Name]=$A26)*(RawData[Meeting]=H$3)*(RawData[Quarter]={"Q3-23","Q4-23","Q1-24","Q2-24"}),RawData[Status1],0))</f>
        <v>0</v>
      </c>
      <c r="I26" s="63">
        <f>SUM(MeetingAttn[[#This Row],[Board]:[NRC]])</f>
        <v>4</v>
      </c>
      <c r="J26" s="76">
        <f>SUMIF(Summary!A:A, 'Meeting Attdnc'!$A26, Summary!C:C)</f>
        <v>36000</v>
      </c>
    </row>
    <row r="27" spans="1:10" ht="14.4" x14ac:dyDescent="0.3">
      <c r="A27"/>
      <c r="B27" s="75" t="str">
        <f>IFERROR(VLOOKUP($A27,NameDesignation[], 2,FALSE), " ")</f>
        <v xml:space="preserve"> </v>
      </c>
      <c r="C27" s="63">
        <f t="array" ref="C27">SUM(IF((RawData[Name]=$A27)*(RawData[Meeting]=C$3)*(RawData[Quarter]={"Q3-23","Q4-23","Q1-24","Q2-24"}),RawData[Status1],0))</f>
        <v>0</v>
      </c>
      <c r="D27" s="63">
        <f t="array" ref="D27">SUM(IF((RawData[Name]=$A27)*(RawData[Meeting]=D$3)*(RawData[Quarter]={"Q3-23","Q4-23","Q1-24","Q2-24"}),RawData[Status1],0))</f>
        <v>0</v>
      </c>
      <c r="E27" s="63">
        <f t="array" ref="E27">SUM(IF((RawData[Name]=$A27)*(RawData[Meeting]=E$3)*(RawData[Quarter]={"Q3-23","Q4-23","Q1-24","Q2-24"}),RawData[Status1],0))</f>
        <v>0</v>
      </c>
      <c r="F27" s="63">
        <f t="array" ref="F27">SUM(IF((RawData[Name]=$A27)*(RawData[Meeting]=F$3)*(RawData[Quarter]={"Q3-23","Q4-23","Q1-24","Q2-24"}),RawData[Status1],0))</f>
        <v>0</v>
      </c>
      <c r="G27" s="63">
        <f t="array" ref="G27">SUM(IF((RawData[Name]=$A27)*(RawData[Meeting]=G$3)*(RawData[Quarter]={"Q3-23","Q4-23","Q1-24","Q2-24"}),RawData[Status1],0))</f>
        <v>0</v>
      </c>
      <c r="H27" s="63">
        <f t="array" ref="H27">SUM(IF((RawData[Name]=$A27)*(RawData[Meeting]=H$3)*(RawData[Quarter]={"Q3-23","Q4-23","Q1-24","Q2-24"}),RawData[Status1],0))</f>
        <v>0</v>
      </c>
      <c r="I27" s="63">
        <f>SUM(MeetingAttn[[#This Row],[Board]:[NRC]])</f>
        <v>0</v>
      </c>
      <c r="J27" s="76">
        <f>SUMIF(Summary!A:A, 'Meeting Attdnc'!$A27, Summary!C:C)</f>
        <v>0</v>
      </c>
    </row>
    <row r="28" spans="1:10" ht="14.4" x14ac:dyDescent="0.3">
      <c r="A28"/>
      <c r="B28" s="75" t="str">
        <f>IFERROR(VLOOKUP($A28,NameDesignation[], 2,FALSE), " ")</f>
        <v xml:space="preserve"> </v>
      </c>
      <c r="C28" s="63">
        <f t="array" ref="C28">SUM(IF((RawData[Name]=$A28)*(RawData[Meeting]=C$3)*(RawData[Quarter]={"Q3-23","Q4-23","Q1-24","Q2-24"}),RawData[Status1],0))</f>
        <v>0</v>
      </c>
      <c r="D28" s="63">
        <f t="array" ref="D28">SUM(IF((RawData[Name]=$A28)*(RawData[Meeting]=D$3)*(RawData[Quarter]={"Q3-23","Q4-23","Q1-24","Q2-24"}),RawData[Status1],0))</f>
        <v>0</v>
      </c>
      <c r="E28" s="63">
        <f t="array" ref="E28">SUM(IF((RawData[Name]=$A28)*(RawData[Meeting]=E$3)*(RawData[Quarter]={"Q3-23","Q4-23","Q1-24","Q2-24"}),RawData[Status1],0))</f>
        <v>0</v>
      </c>
      <c r="F28" s="63">
        <f t="array" ref="F28">SUM(IF((RawData[Name]=$A28)*(RawData[Meeting]=F$3)*(RawData[Quarter]={"Q3-23","Q4-23","Q1-24","Q2-24"}),RawData[Status1],0))</f>
        <v>0</v>
      </c>
      <c r="G28" s="63">
        <f t="array" ref="G28">SUM(IF((RawData[Name]=$A28)*(RawData[Meeting]=G$3)*(RawData[Quarter]={"Q3-23","Q4-23","Q1-24","Q2-24"}),RawData[Status1],0))</f>
        <v>0</v>
      </c>
      <c r="H28" s="63">
        <f t="array" ref="H28">SUM(IF((RawData[Name]=$A28)*(RawData[Meeting]=H$3)*(RawData[Quarter]={"Q3-23","Q4-23","Q1-24","Q2-24"}),RawData[Status1],0))</f>
        <v>0</v>
      </c>
      <c r="I28" s="63">
        <f>SUM(MeetingAttn[[#This Row],[Board]:[NRC]])</f>
        <v>0</v>
      </c>
      <c r="J28" s="76">
        <f>SUMIF(Summary!A:A, 'Meeting Attdnc'!$A28, Summary!C:C)</f>
        <v>0</v>
      </c>
    </row>
    <row r="29" spans="1:10" ht="14.4" x14ac:dyDescent="0.3">
      <c r="A29"/>
      <c r="B29" s="75" t="str">
        <f>IFERROR(VLOOKUP($A29,NameDesignation[], 2,FALSE), " ")</f>
        <v xml:space="preserve"> </v>
      </c>
      <c r="C29" s="63">
        <f t="array" ref="C29">SUM(IF((RawData[Name]=$A29)*(RawData[Meeting]=C$3)*(RawData[Quarter]={"Q3-23","Q4-23","Q1-24","Q2-24"}),RawData[Status1],0))</f>
        <v>0</v>
      </c>
      <c r="D29" s="63">
        <f t="array" ref="D29">SUM(IF((RawData[Name]=$A29)*(RawData[Meeting]=D$3)*(RawData[Quarter]={"Q3-23","Q4-23","Q1-24","Q2-24"}),RawData[Status1],0))</f>
        <v>0</v>
      </c>
      <c r="E29" s="63">
        <f t="array" ref="E29">SUM(IF((RawData[Name]=$A29)*(RawData[Meeting]=E$3)*(RawData[Quarter]={"Q3-23","Q4-23","Q1-24","Q2-24"}),RawData[Status1],0))</f>
        <v>0</v>
      </c>
      <c r="F29" s="63">
        <f t="array" ref="F29">SUM(IF((RawData[Name]=$A29)*(RawData[Meeting]=F$3)*(RawData[Quarter]={"Q3-23","Q4-23","Q1-24","Q2-24"}),RawData[Status1],0))</f>
        <v>0</v>
      </c>
      <c r="G29" s="63">
        <f t="array" ref="G29">SUM(IF((RawData[Name]=$A29)*(RawData[Meeting]=G$3)*(RawData[Quarter]={"Q3-23","Q4-23","Q1-24","Q2-24"}),RawData[Status1],0))</f>
        <v>0</v>
      </c>
      <c r="H29" s="63">
        <f t="array" ref="H29">SUM(IF((RawData[Name]=$A29)*(RawData[Meeting]=H$3)*(RawData[Quarter]={"Q3-23","Q4-23","Q1-24","Q2-24"}),RawData[Status1],0))</f>
        <v>0</v>
      </c>
      <c r="I29" s="63">
        <f>SUM(MeetingAttn[[#This Row],[Board]:[NRC]])</f>
        <v>0</v>
      </c>
      <c r="J29" s="76">
        <f>SUMIF(Summary!A:A, 'Meeting Attdnc'!$A29, Summary!C:C)</f>
        <v>0</v>
      </c>
    </row>
    <row r="30" spans="1:10" ht="14.4" x14ac:dyDescent="0.3">
      <c r="A30"/>
      <c r="B30" s="75" t="str">
        <f>IFERROR(VLOOKUP($A30,NameDesignation[], 2,FALSE), " ")</f>
        <v xml:space="preserve"> </v>
      </c>
      <c r="C30" s="63">
        <f t="array" ref="C30">SUM(IF((RawData[Name]=$A30)*(RawData[Meeting]=C$3)*(RawData[Quarter]={"Q3-23","Q4-23","Q1-24","Q2-24"}),RawData[Status1],0))</f>
        <v>0</v>
      </c>
      <c r="D30" s="63">
        <f t="array" ref="D30">SUM(IF((RawData[Name]=$A30)*(RawData[Meeting]=D$3)*(RawData[Quarter]={"Q3-23","Q4-23","Q1-24","Q2-24"}),RawData[Status1],0))</f>
        <v>0</v>
      </c>
      <c r="E30" s="63">
        <f t="array" ref="E30">SUM(IF((RawData[Name]=$A30)*(RawData[Meeting]=E$3)*(RawData[Quarter]={"Q3-23","Q4-23","Q1-24","Q2-24"}),RawData[Status1],0))</f>
        <v>0</v>
      </c>
      <c r="F30" s="63">
        <f t="array" ref="F30">SUM(IF((RawData[Name]=$A30)*(RawData[Meeting]=F$3)*(RawData[Quarter]={"Q3-23","Q4-23","Q1-24","Q2-24"}),RawData[Status1],0))</f>
        <v>0</v>
      </c>
      <c r="G30" s="63">
        <f t="array" ref="G30">SUM(IF((RawData[Name]=$A30)*(RawData[Meeting]=G$3)*(RawData[Quarter]={"Q3-23","Q4-23","Q1-24","Q2-24"}),RawData[Status1],0))</f>
        <v>0</v>
      </c>
      <c r="H30" s="63">
        <f t="array" ref="H30">SUM(IF((RawData[Name]=$A30)*(RawData[Meeting]=H$3)*(RawData[Quarter]={"Q3-23","Q4-23","Q1-24","Q2-24"}),RawData[Status1],0))</f>
        <v>0</v>
      </c>
      <c r="I30" s="63">
        <f>SUM(MeetingAttn[[#This Row],[Board]:[NRC]])</f>
        <v>0</v>
      </c>
      <c r="J30" s="76">
        <f>SUMIF(Summary!A:A, 'Meeting Attdnc'!$A30, Summary!C:C)</f>
        <v>0</v>
      </c>
    </row>
    <row r="31" spans="1:10" ht="14.4" x14ac:dyDescent="0.3">
      <c r="A31" s="47"/>
      <c r="B31" s="75" t="str">
        <f>IFERROR(VLOOKUP($A31,NameDesignation[], 2,FALSE), " ")</f>
        <v xml:space="preserve"> </v>
      </c>
      <c r="C31" s="63">
        <f t="array" ref="C31">SUM(IF((RawData[Name]=$A31)*(RawData[Meeting]=C$3)*(RawData[Quarter]={"Q3-23","Q4-23","Q1-24","Q2-24"}),RawData[Status1],0))</f>
        <v>0</v>
      </c>
      <c r="D31" s="63">
        <f t="array" ref="D31">SUM(IF((RawData[Name]=$A31)*(RawData[Meeting]=D$3)*(RawData[Quarter]={"Q3-23","Q4-23","Q1-24","Q2-24"}),RawData[Status1],0))</f>
        <v>0</v>
      </c>
      <c r="E31" s="63">
        <f t="array" ref="E31">SUM(IF((RawData[Name]=$A31)*(RawData[Meeting]=E$3)*(RawData[Quarter]={"Q3-23","Q4-23","Q1-24","Q2-24"}),RawData[Status1],0))</f>
        <v>0</v>
      </c>
      <c r="F31" s="63">
        <f t="array" ref="F31">SUM(IF((RawData[Name]=$A31)*(RawData[Meeting]=F$3)*(RawData[Quarter]={"Q3-23","Q4-23","Q1-24","Q2-24"}),RawData[Status1],0))</f>
        <v>0</v>
      </c>
      <c r="G31" s="63">
        <f t="array" ref="G31">SUM(IF((RawData[Name]=$A31)*(RawData[Meeting]=G$3)*(RawData[Quarter]={"Q3-23","Q4-23","Q1-24","Q2-24"}),RawData[Status1],0))</f>
        <v>0</v>
      </c>
      <c r="H31" s="63">
        <f t="array" ref="H31">SUM(IF((RawData[Name]=$A31)*(RawData[Meeting]=H$3)*(RawData[Quarter]={"Q3-23","Q4-23","Q1-24","Q2-24"}),RawData[Status1],0))</f>
        <v>0</v>
      </c>
      <c r="I31" s="63">
        <f>SUM(MeetingAttn[[#This Row],[Board]:[NRC]])</f>
        <v>0</v>
      </c>
      <c r="J31" s="76">
        <f>SUMIF(Summary!A:A, 'Meeting Attdnc'!$A31, Summary!C:C)</f>
        <v>0</v>
      </c>
    </row>
    <row r="32" spans="1:10" ht="14.4" x14ac:dyDescent="0.3">
      <c r="A32" s="47"/>
      <c r="B32" s="75" t="str">
        <f>IFERROR(VLOOKUP($A32,NameDesignation[], 2,FALSE), " ")</f>
        <v xml:space="preserve"> </v>
      </c>
      <c r="C32" s="63">
        <f t="array" ref="C32">SUM(IF((RawData[Name]=$A32)*(RawData[Meeting]=C$3)*(RawData[Quarter]={"Q3-23","Q4-23","Q1-24","Q2-24"}),RawData[Status1],0))</f>
        <v>0</v>
      </c>
      <c r="D32" s="63">
        <f t="array" ref="D32">SUM(IF((RawData[Name]=$A32)*(RawData[Meeting]=D$3)*(RawData[Quarter]={"Q3-23","Q4-23","Q1-24","Q2-24"}),RawData[Status1],0))</f>
        <v>0</v>
      </c>
      <c r="E32" s="63">
        <f t="array" ref="E32">SUM(IF((RawData[Name]=$A32)*(RawData[Meeting]=E$3)*(RawData[Quarter]={"Q3-23","Q4-23","Q1-24","Q2-24"}),RawData[Status1],0))</f>
        <v>0</v>
      </c>
      <c r="F32" s="63">
        <f t="array" ref="F32">SUM(IF((RawData[Name]=$A32)*(RawData[Meeting]=F$3)*(RawData[Quarter]={"Q3-23","Q4-23","Q1-24","Q2-24"}),RawData[Status1],0))</f>
        <v>0</v>
      </c>
      <c r="G32" s="63">
        <f t="array" ref="G32">SUM(IF((RawData[Name]=$A32)*(RawData[Meeting]=G$3)*(RawData[Quarter]={"Q3-23","Q4-23","Q1-24","Q2-24"}),RawData[Status1],0))</f>
        <v>0</v>
      </c>
      <c r="H32" s="63">
        <f t="array" ref="H32">SUM(IF((RawData[Name]=$A32)*(RawData[Meeting]=H$3)*(RawData[Quarter]={"Q3-23","Q4-23","Q1-24","Q2-24"}),RawData[Status1],0))</f>
        <v>0</v>
      </c>
      <c r="I32" s="63">
        <f>SUM(MeetingAttn[[#This Row],[Board]:[NRC]])</f>
        <v>0</v>
      </c>
      <c r="J32" s="76">
        <f>SUMIF(Summary!A:A, 'Meeting Attdnc'!$A32, Summary!C:C)</f>
        <v>0</v>
      </c>
    </row>
    <row r="33" spans="1:10" ht="14.4" x14ac:dyDescent="0.3">
      <c r="A33" s="47"/>
      <c r="B33" s="75" t="str">
        <f>IFERROR(VLOOKUP($A33,NameDesignation[], 2,FALSE), " ")</f>
        <v xml:space="preserve"> </v>
      </c>
      <c r="C33" s="63">
        <f t="array" ref="C33">SUM(IF((RawData[Name]=$A33)*(RawData[Meeting]=C$3)*(RawData[Quarter]={"Q3-23","Q4-23","Q1-24","Q2-24"}),RawData[Status1],0))</f>
        <v>0</v>
      </c>
      <c r="D33" s="63">
        <f t="array" ref="D33">SUM(IF((RawData[Name]=$A33)*(RawData[Meeting]=D$3)*(RawData[Quarter]={"Q3-23","Q4-23","Q1-24","Q2-24"}),RawData[Status1],0))</f>
        <v>0</v>
      </c>
      <c r="E33" s="63">
        <f t="array" ref="E33">SUM(IF((RawData[Name]=$A33)*(RawData[Meeting]=E$3)*(RawData[Quarter]={"Q3-23","Q4-23","Q1-24","Q2-24"}),RawData[Status1],0))</f>
        <v>0</v>
      </c>
      <c r="F33" s="63">
        <f t="array" ref="F33">SUM(IF((RawData[Name]=$A33)*(RawData[Meeting]=F$3)*(RawData[Quarter]={"Q3-23","Q4-23","Q1-24","Q2-24"}),RawData[Status1],0))</f>
        <v>0</v>
      </c>
      <c r="G33" s="63">
        <f t="array" ref="G33">SUM(IF((RawData[Name]=$A33)*(RawData[Meeting]=G$3)*(RawData[Quarter]={"Q3-23","Q4-23","Q1-24","Q2-24"}),RawData[Status1],0))</f>
        <v>0</v>
      </c>
      <c r="H33" s="63">
        <f t="array" ref="H33">SUM(IF((RawData[Name]=$A33)*(RawData[Meeting]=H$3)*(RawData[Quarter]={"Q3-23","Q4-23","Q1-24","Q2-24"}),RawData[Status1],0))</f>
        <v>0</v>
      </c>
      <c r="I33" s="63">
        <f>SUM(MeetingAttn[[#This Row],[Board]:[NRC]])</f>
        <v>0</v>
      </c>
      <c r="J33" s="76">
        <f>SUMIF(Summary!A:A, 'Meeting Attdnc'!$A33, Summary!C:C)</f>
        <v>0</v>
      </c>
    </row>
    <row r="34" spans="1:10" ht="14.4" x14ac:dyDescent="0.3">
      <c r="A34" s="47"/>
      <c r="B34" s="75" t="str">
        <f>IFERROR(VLOOKUP($A34,NameDesignation[], 2,FALSE), " ")</f>
        <v xml:space="preserve"> </v>
      </c>
      <c r="C34" s="63">
        <f t="array" ref="C34">SUM(IF((RawData[Name]=$A34)*(RawData[Meeting]=C$3)*(RawData[Quarter]={"Q3-23","Q4-23","Q1-24","Q2-24"}),RawData[Status1],0))</f>
        <v>0</v>
      </c>
      <c r="D34" s="63">
        <f t="array" ref="D34">SUM(IF((RawData[Name]=$A34)*(RawData[Meeting]=D$3)*(RawData[Quarter]={"Q3-23","Q4-23","Q1-24","Q2-24"}),RawData[Status1],0))</f>
        <v>0</v>
      </c>
      <c r="E34" s="63">
        <f t="array" ref="E34">SUM(IF((RawData[Name]=$A34)*(RawData[Meeting]=E$3)*(RawData[Quarter]={"Q3-23","Q4-23","Q1-24","Q2-24"}),RawData[Status1],0))</f>
        <v>0</v>
      </c>
      <c r="F34" s="63">
        <f t="array" ref="F34">SUM(IF((RawData[Name]=$A34)*(RawData[Meeting]=F$3)*(RawData[Quarter]={"Q3-23","Q4-23","Q1-24","Q2-24"}),RawData[Status1],0))</f>
        <v>0</v>
      </c>
      <c r="G34" s="63">
        <f t="array" ref="G34">SUM(IF((RawData[Name]=$A34)*(RawData[Meeting]=G$3)*(RawData[Quarter]={"Q3-23","Q4-23","Q1-24","Q2-24"}),RawData[Status1],0))</f>
        <v>0</v>
      </c>
      <c r="H34" s="63">
        <f t="array" ref="H34">SUM(IF((RawData[Name]=$A34)*(RawData[Meeting]=H$3)*(RawData[Quarter]={"Q3-23","Q4-23","Q1-24","Q2-24"}),RawData[Status1],0))</f>
        <v>0</v>
      </c>
      <c r="I34" s="63">
        <f>SUM(MeetingAttn[[#This Row],[Board]:[NRC]])</f>
        <v>0</v>
      </c>
      <c r="J34" s="76">
        <f>SUMIF(Summary!A:A, 'Meeting Attdnc'!$A34, Summary!C:C)</f>
        <v>0</v>
      </c>
    </row>
    <row r="35" spans="1:10" ht="14.4" x14ac:dyDescent="0.3">
      <c r="A35" s="47"/>
      <c r="B35" s="75" t="str">
        <f>IFERROR(VLOOKUP($A35,NameDesignation[], 2,FALSE), " ")</f>
        <v xml:space="preserve"> </v>
      </c>
      <c r="C35" s="63">
        <f t="array" ref="C35">SUM(IF((RawData[Name]=$A35)*(RawData[Meeting]=C$3)*(RawData[Quarter]={"Q3-23","Q4-23","Q1-24","Q2-24"}),RawData[Status1],0))</f>
        <v>0</v>
      </c>
      <c r="D35" s="63">
        <f t="array" ref="D35">SUM(IF((RawData[Name]=$A35)*(RawData[Meeting]=D$3)*(RawData[Quarter]={"Q3-23","Q4-23","Q1-24","Q2-24"}),RawData[Status1],0))</f>
        <v>0</v>
      </c>
      <c r="E35" s="63">
        <f t="array" ref="E35">SUM(IF((RawData[Name]=$A35)*(RawData[Meeting]=E$3)*(RawData[Quarter]={"Q3-23","Q4-23","Q1-24","Q2-24"}),RawData[Status1],0))</f>
        <v>0</v>
      </c>
      <c r="F35" s="63">
        <f t="array" ref="F35">SUM(IF((RawData[Name]=$A35)*(RawData[Meeting]=F$3)*(RawData[Quarter]={"Q3-23","Q4-23","Q1-24","Q2-24"}),RawData[Status1],0))</f>
        <v>0</v>
      </c>
      <c r="G35" s="63">
        <f t="array" ref="G35">SUM(IF((RawData[Name]=$A35)*(RawData[Meeting]=G$3)*(RawData[Quarter]={"Q3-23","Q4-23","Q1-24","Q2-24"}),RawData[Status1],0))</f>
        <v>0</v>
      </c>
      <c r="H35" s="63">
        <f t="array" ref="H35">SUM(IF((RawData[Name]=$A35)*(RawData[Meeting]=H$3)*(RawData[Quarter]={"Q3-23","Q4-23","Q1-24","Q2-24"}),RawData[Status1],0))</f>
        <v>0</v>
      </c>
      <c r="I35" s="63">
        <f>SUM(MeetingAttn[[#This Row],[Board]:[NRC]])</f>
        <v>0</v>
      </c>
      <c r="J35" s="76">
        <f>SUMIF(Summary!A:A, 'Meeting Attdnc'!$A35, Summary!C:C)</f>
        <v>0</v>
      </c>
    </row>
    <row r="36" spans="1:10" ht="14.4" x14ac:dyDescent="0.3">
      <c r="A36" s="47"/>
      <c r="B36" s="75" t="str">
        <f>IFERROR(VLOOKUP($A36,NameDesignation[], 2,FALSE), " ")</f>
        <v xml:space="preserve"> </v>
      </c>
      <c r="C36" s="63">
        <f t="array" ref="C36">SUM(IF((RawData[Name]=$A36)*(RawData[Meeting]=C$3)*(RawData[Quarter]={"Q3-23","Q4-23","Q1-24","Q2-24"}),RawData[Status1],0))</f>
        <v>0</v>
      </c>
      <c r="D36" s="63">
        <f t="array" ref="D36">SUM(IF((RawData[Name]=$A36)*(RawData[Meeting]=D$3)*(RawData[Quarter]={"Q3-23","Q4-23","Q1-24","Q2-24"}),RawData[Status1],0))</f>
        <v>0</v>
      </c>
      <c r="E36" s="63">
        <f t="array" ref="E36">SUM(IF((RawData[Name]=$A36)*(RawData[Meeting]=E$3)*(RawData[Quarter]={"Q3-23","Q4-23","Q1-24","Q2-24"}),RawData[Status1],0))</f>
        <v>0</v>
      </c>
      <c r="F36" s="63">
        <f t="array" ref="F36">SUM(IF((RawData[Name]=$A36)*(RawData[Meeting]=F$3)*(RawData[Quarter]={"Q3-23","Q4-23","Q1-24","Q2-24"}),RawData[Status1],0))</f>
        <v>0</v>
      </c>
      <c r="G36" s="63">
        <f t="array" ref="G36">SUM(IF((RawData[Name]=$A36)*(RawData[Meeting]=G$3)*(RawData[Quarter]={"Q3-23","Q4-23","Q1-24","Q2-24"}),RawData[Status1],0))</f>
        <v>0</v>
      </c>
      <c r="H36" s="63">
        <f t="array" ref="H36">SUM(IF((RawData[Name]=$A36)*(RawData[Meeting]=H$3)*(RawData[Quarter]={"Q3-23","Q4-23","Q1-24","Q2-24"}),RawData[Status1],0))</f>
        <v>0</v>
      </c>
      <c r="I36" s="63">
        <f>SUM(MeetingAttn[[#This Row],[Board]:[NRC]])</f>
        <v>0</v>
      </c>
      <c r="J36" s="76">
        <f>SUMIF(Summary!A:A, 'Meeting Attdnc'!$A36, Summary!C:C)</f>
        <v>0</v>
      </c>
    </row>
    <row r="37" spans="1:10" ht="14.4" x14ac:dyDescent="0.3">
      <c r="A37" s="47"/>
      <c r="B37" s="75" t="str">
        <f>IFERROR(VLOOKUP($A37,NameDesignation[], 2,FALSE), " ")</f>
        <v xml:space="preserve"> </v>
      </c>
      <c r="C37" s="63">
        <f t="array" ref="C37">SUM(IF((RawData[Name]=$A37)*(RawData[Meeting]=C$3)*(RawData[Quarter]={"Q3-23","Q4-23","Q1-24","Q2-24"}),RawData[Status1],0))</f>
        <v>0</v>
      </c>
      <c r="D37" s="63">
        <f t="array" ref="D37">SUM(IF((RawData[Name]=$A37)*(RawData[Meeting]=D$3)*(RawData[Quarter]={"Q3-23","Q4-23","Q1-24","Q2-24"}),RawData[Status1],0))</f>
        <v>0</v>
      </c>
      <c r="E37" s="63">
        <f t="array" ref="E37">SUM(IF((RawData[Name]=$A37)*(RawData[Meeting]=E$3)*(RawData[Quarter]={"Q3-23","Q4-23","Q1-24","Q2-24"}),RawData[Status1],0))</f>
        <v>0</v>
      </c>
      <c r="F37" s="63">
        <f t="array" ref="F37">SUM(IF((RawData[Name]=$A37)*(RawData[Meeting]=F$3)*(RawData[Quarter]={"Q3-23","Q4-23","Q1-24","Q2-24"}),RawData[Status1],0))</f>
        <v>0</v>
      </c>
      <c r="G37" s="63">
        <f t="array" ref="G37">SUM(IF((RawData[Name]=$A37)*(RawData[Meeting]=G$3)*(RawData[Quarter]={"Q3-23","Q4-23","Q1-24","Q2-24"}),RawData[Status1],0))</f>
        <v>0</v>
      </c>
      <c r="H37" s="63">
        <f t="array" ref="H37">SUM(IF((RawData[Name]=$A37)*(RawData[Meeting]=H$3)*(RawData[Quarter]={"Q3-23","Q4-23","Q1-24","Q2-24"}),RawData[Status1],0))</f>
        <v>0</v>
      </c>
      <c r="I37" s="63">
        <f>SUM(MeetingAttn[[#This Row],[Board]:[NRC]])</f>
        <v>0</v>
      </c>
      <c r="J37" s="76">
        <f>SUMIF(Summary!A:A, 'Meeting Attdnc'!$A37, Summary!C:C)</f>
        <v>0</v>
      </c>
    </row>
    <row r="38" spans="1:10" x14ac:dyDescent="0.3">
      <c r="A38" s="72"/>
      <c r="B38" s="75" t="str">
        <f>IFERROR(VLOOKUP($A38,NameDesignation[], 2,FALSE), " ")</f>
        <v xml:space="preserve"> </v>
      </c>
      <c r="C38" s="63">
        <f t="array" ref="C38">SUM(IF((RawData[Name]=$A38)*(RawData[Meeting]=C$3)*(RawData[Quarter]={"Q3-23","Q4-23","Q1-24","Q2-24"}),RawData[Status1],0))</f>
        <v>0</v>
      </c>
      <c r="D38" s="63">
        <f t="array" ref="D38">SUM(IF((RawData[Name]=$A38)*(RawData[Meeting]=D$3)*(RawData[Quarter]={"Q3-23","Q4-23","Q1-24","Q2-24"}),RawData[Status1],0))</f>
        <v>0</v>
      </c>
      <c r="E38" s="63">
        <f t="array" ref="E38">SUM(IF((RawData[Name]=$A38)*(RawData[Meeting]=E$3)*(RawData[Quarter]={"Q3-23","Q4-23","Q1-24","Q2-24"}),RawData[Status1],0))</f>
        <v>0</v>
      </c>
      <c r="F38" s="63">
        <f t="array" ref="F38">SUM(IF((RawData[Name]=$A38)*(RawData[Meeting]=F$3)*(RawData[Quarter]={"Q3-23","Q4-23","Q1-24","Q2-24"}),RawData[Status1],0))</f>
        <v>0</v>
      </c>
      <c r="G38" s="63">
        <f t="array" ref="G38">SUM(IF((RawData[Name]=$A38)*(RawData[Meeting]=G$3)*(RawData[Quarter]={"Q3-23","Q4-23","Q1-24","Q2-24"}),RawData[Status1],0))</f>
        <v>0</v>
      </c>
      <c r="H38" s="63">
        <f t="array" ref="H38">SUM(IF((RawData[Name]=$A38)*(RawData[Meeting]=H$3)*(RawData[Quarter]={"Q3-23","Q4-23","Q1-24","Q2-24"}),RawData[Status1],0))</f>
        <v>0</v>
      </c>
      <c r="I38" s="63">
        <f>SUM(MeetingAttn[[#This Row],[Board]:[NRC]])</f>
        <v>0</v>
      </c>
      <c r="J38" s="76">
        <f>SUMIF(Summary!A:A, 'Meeting Attdnc'!$A38, Summary!C:C)</f>
        <v>0</v>
      </c>
    </row>
    <row r="39" spans="1:10" x14ac:dyDescent="0.3">
      <c r="A39" s="72"/>
      <c r="B39" s="80" t="str">
        <f>IFERROR(VLOOKUP($A39,NameDesignation[], 2,FALSE), " ")</f>
        <v xml:space="preserve"> </v>
      </c>
      <c r="C39" s="63">
        <f t="array" ref="C39">SUM(IF((RawData[Name]=$A39)*(RawData[Meeting]=C$3)*(RawData[Quarter]={"Q3-23","Q4-23","Q1-24","Q2-24"}),RawData[Status1],0))</f>
        <v>0</v>
      </c>
      <c r="D39" s="63">
        <f t="array" ref="D39">SUM(IF((RawData[Name]=$A39)*(RawData[Meeting]=D$3)*(RawData[Quarter]={"Q3-23","Q4-23","Q1-24","Q2-24"}),RawData[Status1],0))</f>
        <v>0</v>
      </c>
      <c r="E39" s="63">
        <f t="array" ref="E39">SUM(IF((RawData[Name]=$A39)*(RawData[Meeting]=E$3)*(RawData[Quarter]={"Q3-23","Q4-23","Q1-24","Q2-24"}),RawData[Status1],0))</f>
        <v>0</v>
      </c>
      <c r="F39" s="63">
        <f t="array" ref="F39">SUM(IF((RawData[Name]=$A39)*(RawData[Meeting]=F$3)*(RawData[Quarter]={"Q3-23","Q4-23","Q1-24","Q2-24"}),RawData[Status1],0))</f>
        <v>0</v>
      </c>
      <c r="G39" s="63">
        <f t="array" ref="G39">SUM(IF((RawData[Name]=$A39)*(RawData[Meeting]=G$3)*(RawData[Quarter]={"Q3-23","Q4-23","Q1-24","Q2-24"}),RawData[Status1],0))</f>
        <v>0</v>
      </c>
      <c r="H39" s="63">
        <f t="array" ref="H39">SUM(IF((RawData[Name]=$A39)*(RawData[Meeting]=H$3)*(RawData[Quarter]={"Q3-23","Q4-23","Q1-24","Q2-24"}),RawData[Status1],0))</f>
        <v>0</v>
      </c>
      <c r="I39" s="63">
        <f>SUM(MeetingAttn[[#This Row],[Board]:[NRC]])</f>
        <v>0</v>
      </c>
      <c r="J39" s="81">
        <f>SUMIF(Summary!A:A, 'Meeting Attdnc'!$A39, Summary!C:C)</f>
        <v>0</v>
      </c>
    </row>
    <row r="62" spans="1:10" x14ac:dyDescent="0.3">
      <c r="A62" s="65" t="s">
        <v>88</v>
      </c>
      <c r="B62" s="66" t="s">
        <v>100</v>
      </c>
      <c r="C62" s="67"/>
      <c r="D62" s="67"/>
      <c r="E62" s="67"/>
      <c r="F62" s="67"/>
      <c r="G62" s="67"/>
      <c r="H62" s="67"/>
      <c r="I62" s="68"/>
    </row>
    <row r="64" spans="1:10" x14ac:dyDescent="0.3">
      <c r="A64" s="69" t="s">
        <v>101</v>
      </c>
      <c r="B64" s="59" t="s">
        <v>6</v>
      </c>
      <c r="C64" s="60" t="s">
        <v>29</v>
      </c>
      <c r="D64" s="60" t="s">
        <v>30</v>
      </c>
      <c r="E64" s="60" t="s">
        <v>37</v>
      </c>
      <c r="F64" s="60" t="s">
        <v>38</v>
      </c>
      <c r="G64" s="60" t="s">
        <v>41</v>
      </c>
      <c r="H64" s="60" t="s">
        <v>43</v>
      </c>
      <c r="I64" s="60" t="s">
        <v>86</v>
      </c>
      <c r="J64" s="61" t="s">
        <v>84</v>
      </c>
    </row>
    <row r="65" spans="1:10" x14ac:dyDescent="0.3">
      <c r="A65" s="70" t="s">
        <v>21</v>
      </c>
      <c r="B65" s="62" t="str">
        <f>IFERROR(VLOOKUP($A65,#REF!, 2,FALSE), " ")</f>
        <v xml:space="preserve"> </v>
      </c>
      <c r="C65" s="63" t="e">
        <f t="array" ref="C65">SUM(IF((#REF!=$A65)*(#REF!=C$64)*(#REF!={"Q3-23","Q4-23","Q1-24","Q2-24"}),#REF!,0))</f>
        <v>#REF!</v>
      </c>
      <c r="D65" s="63" t="e">
        <f t="array" ref="D65">SUM(IF((#REF!=$A65)*(#REF!=D$64)*(#REF!={"Q3-23","Q4-23","Q1-24","Q2-24"}),#REF!,0))</f>
        <v>#REF!</v>
      </c>
      <c r="E65" s="63" t="e">
        <f t="array" ref="E65">SUM(IF((#REF!=$A65)*(#REF!=E$64)*(#REF!={"Q3-23","Q4-23","Q1-24","Q2-24"}),#REF!,0))</f>
        <v>#REF!</v>
      </c>
      <c r="F65" s="63" t="e">
        <f t="array" ref="F65">SUM(IF((#REF!=$A65)*(#REF!=F$64)*(#REF!={"Q3-23","Q4-23","Q1-24","Q2-24"}),#REF!,0))</f>
        <v>#REF!</v>
      </c>
      <c r="G65" s="63" t="e">
        <f t="array" ref="G65">SUM(IF((#REF!=$A65)*(#REF!=G$64)*(#REF!={"Q3-23","Q4-23","Q1-24","Q2-24"}),#REF!,0))</f>
        <v>#REF!</v>
      </c>
      <c r="H65" s="63" t="e">
        <f t="array" ref="H65">SUM(IF((#REF!=$A65)*(#REF!=H$64)*(#REF!={"Q3-23","Q4-23","Q1-24","Q2-24"}),#REF!,0))</f>
        <v>#REF!</v>
      </c>
      <c r="I65" s="63" t="e">
        <f t="array" ref="I65">SUM(#REF!)</f>
        <v>#REF!</v>
      </c>
      <c r="J65" s="64">
        <f>SUMIF(Summary!A:A, 'Meeting Attdnc'!$A65, Summary!C:C)</f>
        <v>116000</v>
      </c>
    </row>
    <row r="66" spans="1:10" x14ac:dyDescent="0.3">
      <c r="A66" s="70" t="s">
        <v>40</v>
      </c>
      <c r="B66" s="62" t="str">
        <f>IFERROR(VLOOKUP($A66,#REF!, 2,FALSE), " ")</f>
        <v xml:space="preserve"> </v>
      </c>
      <c r="C66" s="63" t="e">
        <f t="array" ref="C66">SUM(IF((#REF!=$A66)*(#REF!=C$64)*(#REF!={"Q3-23","Q4-23","Q1-24","Q2-24"}),#REF!,0))</f>
        <v>#REF!</v>
      </c>
      <c r="D66" s="63" t="e">
        <f t="array" ref="D66">SUM(IF((#REF!=$A66)*(#REF!=D$64)*(#REF!={"Q3-23","Q4-23","Q1-24","Q2-24"}),#REF!,0))</f>
        <v>#REF!</v>
      </c>
      <c r="E66" s="63" t="e">
        <f t="array" ref="E66">SUM(IF((#REF!=$A66)*(#REF!=E$64)*(#REF!={"Q3-23","Q4-23","Q1-24","Q2-24"}),#REF!,0))</f>
        <v>#REF!</v>
      </c>
      <c r="F66" s="63" t="e">
        <f t="array" ref="F66">SUM(IF((#REF!=$A66)*(#REF!=F$64)*(#REF!={"Q3-23","Q4-23","Q1-24","Q2-24"}),#REF!,0))</f>
        <v>#REF!</v>
      </c>
      <c r="G66" s="63" t="e">
        <f t="array" ref="G66">SUM(IF((#REF!=$A66)*(#REF!=G$64)*(#REF!={"Q3-23","Q4-23","Q1-24","Q2-24"}),#REF!,0))</f>
        <v>#REF!</v>
      </c>
      <c r="H66" s="63" t="e">
        <f t="array" ref="H66">SUM(IF((#REF!=$A66)*(#REF!=H$64)*(#REF!={"Q3-23","Q4-23","Q1-24","Q2-24"}),#REF!,0))</f>
        <v>#REF!</v>
      </c>
      <c r="I66" s="63" t="e">
        <f t="array" ref="I66">SUM(#REF!)</f>
        <v>#REF!</v>
      </c>
      <c r="J66" s="64">
        <f>SUMIF(Summary!A:A, 'Meeting Attdnc'!$A66, Summary!C:C)</f>
        <v>0</v>
      </c>
    </row>
    <row r="67" spans="1:10" x14ac:dyDescent="0.3">
      <c r="A67" s="70" t="s">
        <v>39</v>
      </c>
      <c r="B67" s="62" t="str">
        <f>IFERROR(VLOOKUP($A67,#REF!, 2,FALSE), " ")</f>
        <v xml:space="preserve"> </v>
      </c>
      <c r="C67" s="63" t="e">
        <f t="array" ref="C67">SUM(IF((#REF!=$A67)*(#REF!=C$64)*(#REF!={"Q3-23","Q4-23","Q1-24","Q2-24"}),#REF!,0))</f>
        <v>#REF!</v>
      </c>
      <c r="D67" s="63" t="e">
        <f t="array" ref="D67">SUM(IF((#REF!=$A67)*(#REF!=D$64)*(#REF!={"Q3-23","Q4-23","Q1-24","Q2-24"}),#REF!,0))</f>
        <v>#REF!</v>
      </c>
      <c r="E67" s="63" t="e">
        <f t="array" ref="E67">SUM(IF((#REF!=$A67)*(#REF!=E$64)*(#REF!={"Q3-23","Q4-23","Q1-24","Q2-24"}),#REF!,0))</f>
        <v>#REF!</v>
      </c>
      <c r="F67" s="63" t="e">
        <f t="array" ref="F67">SUM(IF((#REF!=$A67)*(#REF!=F$64)*(#REF!={"Q3-23","Q4-23","Q1-24","Q2-24"}),#REF!,0))</f>
        <v>#REF!</v>
      </c>
      <c r="G67" s="63" t="e">
        <f t="array" ref="G67">SUM(IF((#REF!=$A67)*(#REF!=G$64)*(#REF!={"Q3-23","Q4-23","Q1-24","Q2-24"}),#REF!,0))</f>
        <v>#REF!</v>
      </c>
      <c r="H67" s="63" t="e">
        <f t="array" ref="H67">SUM(IF((#REF!=$A67)*(#REF!=H$64)*(#REF!={"Q3-23","Q4-23","Q1-24","Q2-24"}),#REF!,0))</f>
        <v>#REF!</v>
      </c>
      <c r="I67" s="63" t="e">
        <f t="array" ref="I67">SUM(#REF!)</f>
        <v>#REF!</v>
      </c>
      <c r="J67" s="64">
        <f>SUMIF(Summary!A:A, 'Meeting Attdnc'!$A67, Summary!C:C)</f>
        <v>0</v>
      </c>
    </row>
    <row r="68" spans="1:10" x14ac:dyDescent="0.3">
      <c r="A68" s="71" t="s">
        <v>119</v>
      </c>
      <c r="B68" s="62" t="str">
        <f>IFERROR(VLOOKUP($A68,#REF!, 2,FALSE), " ")</f>
        <v xml:space="preserve"> </v>
      </c>
      <c r="C68" s="63" t="e">
        <f t="array" ref="C68">SUM(IF((#REF!=$A68)*(#REF!=C$64)*(#REF!={"Q3-23","Q4-23","Q1-24","Q2-24"}),#REF!,0))</f>
        <v>#REF!</v>
      </c>
      <c r="D68" s="63" t="e">
        <f t="array" ref="D68">SUM(IF((#REF!=$A68)*(#REF!=D$64)*(#REF!={"Q3-23","Q4-23","Q1-24","Q2-24"}),#REF!,0))</f>
        <v>#REF!</v>
      </c>
      <c r="E68" s="63" t="e">
        <f t="array" ref="E68">SUM(IF((#REF!=$A68)*(#REF!=E$64)*(#REF!={"Q3-23","Q4-23","Q1-24","Q2-24"}),#REF!,0))</f>
        <v>#REF!</v>
      </c>
      <c r="F68" s="63" t="e">
        <f t="array" ref="F68">SUM(IF((#REF!=$A68)*(#REF!=F$64)*(#REF!={"Q3-23","Q4-23","Q1-24","Q2-24"}),#REF!,0))</f>
        <v>#REF!</v>
      </c>
      <c r="G68" s="63" t="e">
        <f t="array" ref="G68">SUM(IF((#REF!=$A68)*(#REF!=G$64)*(#REF!={"Q3-23","Q4-23","Q1-24","Q2-24"}),#REF!,0))</f>
        <v>#REF!</v>
      </c>
      <c r="H68" s="63" t="e">
        <f t="array" ref="H68">SUM(IF((#REF!=$A68)*(#REF!=H$64)*(#REF!={"Q3-23","Q4-23","Q1-24","Q2-24"}),#REF!,0))</f>
        <v>#REF!</v>
      </c>
      <c r="I68" s="63" t="e">
        <f t="array" ref="I68">SUM(#REF!)</f>
        <v>#REF!</v>
      </c>
      <c r="J68" s="64">
        <f>SUMIF(Summary!A:A, 'Meeting Attdnc'!$A68, Summary!C:C)</f>
        <v>0</v>
      </c>
    </row>
    <row r="69" spans="1:10" x14ac:dyDescent="0.3">
      <c r="A69" s="70" t="s">
        <v>9</v>
      </c>
      <c r="B69" s="62" t="str">
        <f>IFERROR(VLOOKUP($A69,#REF!, 2,FALSE), " ")</f>
        <v xml:space="preserve"> </v>
      </c>
      <c r="C69" s="63" t="e">
        <f t="array" ref="C69">SUM(IF((#REF!=$A69)*(#REF!=C$64)*(#REF!={"Q3-23","Q4-23","Q1-24","Q2-24"}),#REF!,0))</f>
        <v>#REF!</v>
      </c>
      <c r="D69" s="63" t="e">
        <f t="array" ref="D69">SUM(IF((#REF!=$A69)*(#REF!=D$64)*(#REF!={"Q3-23","Q4-23","Q1-24","Q2-24"}),#REF!,0))</f>
        <v>#REF!</v>
      </c>
      <c r="E69" s="63" t="e">
        <f t="array" ref="E69">SUM(IF((#REF!=$A69)*(#REF!=E$64)*(#REF!={"Q3-23","Q4-23","Q1-24","Q2-24"}),#REF!,0))</f>
        <v>#REF!</v>
      </c>
      <c r="F69" s="63" t="e">
        <f t="array" ref="F69">SUM(IF((#REF!=$A69)*(#REF!=F$64)*(#REF!={"Q3-23","Q4-23","Q1-24","Q2-24"}),#REF!,0))</f>
        <v>#REF!</v>
      </c>
      <c r="G69" s="63" t="e">
        <f t="array" ref="G69">SUM(IF((#REF!=$A69)*(#REF!=G$64)*(#REF!={"Q3-23","Q4-23","Q1-24","Q2-24"}),#REF!,0))</f>
        <v>#REF!</v>
      </c>
      <c r="H69" s="63" t="e">
        <f t="array" ref="H69">SUM(IF((#REF!=$A69)*(#REF!=H$64)*(#REF!={"Q3-23","Q4-23","Q1-24","Q2-24"}),#REF!,0))</f>
        <v>#REF!</v>
      </c>
      <c r="I69" s="63" t="e">
        <f t="array" ref="I69">SUM(#REF!)</f>
        <v>#REF!</v>
      </c>
      <c r="J69" s="64">
        <f>SUMIF(Summary!A:A, 'Meeting Attdnc'!$A69, Summary!C:C)</f>
        <v>144000</v>
      </c>
    </row>
    <row r="70" spans="1:10" x14ac:dyDescent="0.3">
      <c r="A70" s="70" t="s">
        <v>13</v>
      </c>
      <c r="B70" s="62" t="str">
        <f>IFERROR(VLOOKUP($A70,#REF!, 2,FALSE), " ")</f>
        <v xml:space="preserve"> </v>
      </c>
      <c r="C70" s="63" t="e">
        <f t="array" ref="C70">SUM(IF((#REF!=$A70)*(#REF!=C$64)*(#REF!={"Q3-23","Q4-23","Q1-24","Q2-24"}),#REF!,0))</f>
        <v>#REF!</v>
      </c>
      <c r="D70" s="63" t="e">
        <f t="array" ref="D70">SUM(IF((#REF!=$A70)*(#REF!=D$64)*(#REF!={"Q3-23","Q4-23","Q1-24","Q2-24"}),#REF!,0))</f>
        <v>#REF!</v>
      </c>
      <c r="E70" s="63" t="e">
        <f t="array" ref="E70">SUM(IF((#REF!=$A70)*(#REF!=E$64)*(#REF!={"Q3-23","Q4-23","Q1-24","Q2-24"}),#REF!,0))</f>
        <v>#REF!</v>
      </c>
      <c r="F70" s="63" t="e">
        <f t="array" ref="F70">SUM(IF((#REF!=$A70)*(#REF!=F$64)*(#REF!={"Q3-23","Q4-23","Q1-24","Q2-24"}),#REF!,0))</f>
        <v>#REF!</v>
      </c>
      <c r="G70" s="63" t="e">
        <f t="array" ref="G70">SUM(IF((#REF!=$A70)*(#REF!=G$64)*(#REF!={"Q3-23","Q4-23","Q1-24","Q2-24"}),#REF!,0))</f>
        <v>#REF!</v>
      </c>
      <c r="H70" s="63" t="e">
        <f t="array" ref="H70">SUM(IF((#REF!=$A70)*(#REF!=H$64)*(#REF!={"Q3-23","Q4-23","Q1-24","Q2-24"}),#REF!,0))</f>
        <v>#REF!</v>
      </c>
      <c r="I70" s="63" t="e">
        <f t="array" ref="I70">SUM(#REF!)</f>
        <v>#REF!</v>
      </c>
      <c r="J70" s="64">
        <f>SUMIF(Summary!A:A, 'Meeting Attdnc'!$A70, Summary!C:C)</f>
        <v>50000</v>
      </c>
    </row>
    <row r="71" spans="1:10" x14ac:dyDescent="0.3">
      <c r="A71" s="70" t="s">
        <v>8</v>
      </c>
      <c r="B71" s="62" t="str">
        <f>IFERROR(VLOOKUP($A71,#REF!, 2,FALSE), " ")</f>
        <v xml:space="preserve"> </v>
      </c>
      <c r="C71" s="63" t="e">
        <f t="array" ref="C71">SUM(IF((#REF!=$A71)*(#REF!=C$64)*(#REF!={"Q3-23","Q4-23","Q1-24","Q2-24"}),#REF!,0))</f>
        <v>#REF!</v>
      </c>
      <c r="D71" s="63" t="e">
        <f t="array" ref="D71">SUM(IF((#REF!=$A71)*(#REF!=D$64)*(#REF!={"Q3-23","Q4-23","Q1-24","Q2-24"}),#REF!,0))</f>
        <v>#REF!</v>
      </c>
      <c r="E71" s="63" t="e">
        <f t="array" ref="E71">SUM(IF((#REF!=$A71)*(#REF!=E$64)*(#REF!={"Q3-23","Q4-23","Q1-24","Q2-24"}),#REF!,0))</f>
        <v>#REF!</v>
      </c>
      <c r="F71" s="63" t="e">
        <f t="array" ref="F71">SUM(IF((#REF!=$A71)*(#REF!=F$64)*(#REF!={"Q3-23","Q4-23","Q1-24","Q2-24"}),#REF!,0))</f>
        <v>#REF!</v>
      </c>
      <c r="G71" s="63" t="e">
        <f t="array" ref="G71">SUM(IF((#REF!=$A71)*(#REF!=G$64)*(#REF!={"Q3-23","Q4-23","Q1-24","Q2-24"}),#REF!,0))</f>
        <v>#REF!</v>
      </c>
      <c r="H71" s="63" t="e">
        <f t="array" ref="H71">SUM(IF((#REF!=$A71)*(#REF!=H$64)*(#REF!={"Q3-23","Q4-23","Q1-24","Q2-24"}),#REF!,0))</f>
        <v>#REF!</v>
      </c>
      <c r="I71" s="63" t="e">
        <f t="array" ref="I71">SUM(#REF!)</f>
        <v>#REF!</v>
      </c>
      <c r="J71" s="64">
        <f>SUMIF(Summary!A:A, 'Meeting Attdnc'!$A71, Summary!C:C)</f>
        <v>110000</v>
      </c>
    </row>
    <row r="72" spans="1:10" x14ac:dyDescent="0.3">
      <c r="A72" s="70" t="s">
        <v>11</v>
      </c>
      <c r="B72" s="62" t="str">
        <f>IFERROR(VLOOKUP($A72,#REF!, 2,FALSE), " ")</f>
        <v xml:space="preserve"> </v>
      </c>
      <c r="C72" s="63" t="e">
        <f t="array" ref="C72">SUM(IF((#REF!=$A72)*(#REF!=C$64)*(#REF!={"Q3-23","Q4-23","Q1-24","Q2-24"}),#REF!,0))</f>
        <v>#REF!</v>
      </c>
      <c r="D72" s="63" t="e">
        <f t="array" ref="D72">SUM(IF((#REF!=$A72)*(#REF!=D$64)*(#REF!={"Q3-23","Q4-23","Q1-24","Q2-24"}),#REF!,0))</f>
        <v>#REF!</v>
      </c>
      <c r="E72" s="63" t="e">
        <f t="array" ref="E72">SUM(IF((#REF!=$A72)*(#REF!=E$64)*(#REF!={"Q3-23","Q4-23","Q1-24","Q2-24"}),#REF!,0))</f>
        <v>#REF!</v>
      </c>
      <c r="F72" s="63" t="e">
        <f t="array" ref="F72">SUM(IF((#REF!=$A72)*(#REF!=F$64)*(#REF!={"Q3-23","Q4-23","Q1-24","Q2-24"}),#REF!,0))</f>
        <v>#REF!</v>
      </c>
      <c r="G72" s="63" t="e">
        <f t="array" ref="G72">SUM(IF((#REF!=$A72)*(#REF!=G$64)*(#REF!={"Q3-23","Q4-23","Q1-24","Q2-24"}),#REF!,0))</f>
        <v>#REF!</v>
      </c>
      <c r="H72" s="63" t="e">
        <f t="array" ref="H72">SUM(IF((#REF!=$A72)*(#REF!=H$64)*(#REF!={"Q3-23","Q4-23","Q1-24","Q2-24"}),#REF!,0))</f>
        <v>#REF!</v>
      </c>
      <c r="I72" s="63" t="e">
        <f t="array" ref="I72">SUM(#REF!)</f>
        <v>#REF!</v>
      </c>
      <c r="J72" s="64">
        <f>SUMIF(Summary!A:A, 'Meeting Attdnc'!$A72, Summary!C:C)</f>
        <v>162000</v>
      </c>
    </row>
    <row r="73" spans="1:10" x14ac:dyDescent="0.3">
      <c r="A73" s="70" t="s">
        <v>15</v>
      </c>
      <c r="B73" s="62" t="str">
        <f>IFERROR(VLOOKUP($A73,#REF!, 2,FALSE), " ")</f>
        <v xml:space="preserve"> </v>
      </c>
      <c r="C73" s="63" t="e">
        <f t="array" ref="C73">SUM(IF((#REF!=$A73)*(#REF!=C$64)*(#REF!={"Q3-23","Q4-23","Q1-24","Q2-24"}),#REF!,0))</f>
        <v>#REF!</v>
      </c>
      <c r="D73" s="63" t="e">
        <f t="array" ref="D73">SUM(IF((#REF!=$A73)*(#REF!=D$64)*(#REF!={"Q3-23","Q4-23","Q1-24","Q2-24"}),#REF!,0))</f>
        <v>#REF!</v>
      </c>
      <c r="E73" s="63" t="e">
        <f t="array" ref="E73">SUM(IF((#REF!=$A73)*(#REF!=E$64)*(#REF!={"Q3-23","Q4-23","Q1-24","Q2-24"}),#REF!,0))</f>
        <v>#REF!</v>
      </c>
      <c r="F73" s="63" t="e">
        <f t="array" ref="F73">SUM(IF((#REF!=$A73)*(#REF!=F$64)*(#REF!={"Q3-23","Q4-23","Q1-24","Q2-24"}),#REF!,0))</f>
        <v>#REF!</v>
      </c>
      <c r="G73" s="63" t="e">
        <f t="array" ref="G73">SUM(IF((#REF!=$A73)*(#REF!=G$64)*(#REF!={"Q3-23","Q4-23","Q1-24","Q2-24"}),#REF!,0))</f>
        <v>#REF!</v>
      </c>
      <c r="H73" s="63" t="e">
        <f t="array" ref="H73">SUM(IF((#REF!=$A73)*(#REF!=H$64)*(#REF!={"Q3-23","Q4-23","Q1-24","Q2-24"}),#REF!,0))</f>
        <v>#REF!</v>
      </c>
      <c r="I73" s="63" t="e">
        <f t="array" ref="I73">SUM(#REF!)</f>
        <v>#REF!</v>
      </c>
      <c r="J73" s="64">
        <f>SUMIF(Summary!A:A, 'Meeting Attdnc'!$A73, Summary!C:C)</f>
        <v>116000</v>
      </c>
    </row>
    <row r="74" spans="1:10" x14ac:dyDescent="0.3">
      <c r="A74" s="70" t="s">
        <v>49</v>
      </c>
      <c r="B74" s="62" t="str">
        <f>IFERROR(VLOOKUP($A74,#REF!, 2,FALSE), " ")</f>
        <v xml:space="preserve"> </v>
      </c>
      <c r="C74" s="63" t="e">
        <f t="array" ref="C74">SUM(IF((#REF!=$A74)*(#REF!=C$64)*(#REF!={"Q3-23","Q4-23","Q1-24","Q2-24"}),#REF!,0))</f>
        <v>#REF!</v>
      </c>
      <c r="D74" s="63" t="e">
        <f t="array" ref="D74">SUM(IF((#REF!=$A74)*(#REF!=D$64)*(#REF!={"Q3-23","Q4-23","Q1-24","Q2-24"}),#REF!,0))</f>
        <v>#REF!</v>
      </c>
      <c r="E74" s="63" t="e">
        <f t="array" ref="E74">SUM(IF((#REF!=$A74)*(#REF!=E$64)*(#REF!={"Q3-23","Q4-23","Q1-24","Q2-24"}),#REF!,0))</f>
        <v>#REF!</v>
      </c>
      <c r="F74" s="63" t="e">
        <f t="array" ref="F74">SUM(IF((#REF!=$A74)*(#REF!=F$64)*(#REF!={"Q3-23","Q4-23","Q1-24","Q2-24"}),#REF!,0))</f>
        <v>#REF!</v>
      </c>
      <c r="G74" s="63" t="e">
        <f t="array" ref="G74">SUM(IF((#REF!=$A74)*(#REF!=G$64)*(#REF!={"Q3-23","Q4-23","Q1-24","Q2-24"}),#REF!,0))</f>
        <v>#REF!</v>
      </c>
      <c r="H74" s="63" t="e">
        <f t="array" ref="H74">SUM(IF((#REF!=$A74)*(#REF!=H$64)*(#REF!={"Q3-23","Q4-23","Q1-24","Q2-24"}),#REF!,0))</f>
        <v>#REF!</v>
      </c>
      <c r="I74" s="63" t="e">
        <f t="array" ref="I74">SUM(#REF!)</f>
        <v>#REF!</v>
      </c>
      <c r="J74" s="64">
        <f>SUMIF(Summary!A:A, 'Meeting Attdnc'!$A74, Summary!C:C)</f>
        <v>166000</v>
      </c>
    </row>
    <row r="75" spans="1:10" x14ac:dyDescent="0.3">
      <c r="A75" s="70" t="s">
        <v>16</v>
      </c>
      <c r="B75" s="62" t="str">
        <f>IFERROR(VLOOKUP($A75,#REF!, 2,FALSE), " ")</f>
        <v xml:space="preserve"> </v>
      </c>
      <c r="C75" s="63" t="e">
        <f t="array" ref="C75">SUM(IF((#REF!=$A75)*(#REF!=C$64)*(#REF!={"Q3-23","Q4-23","Q1-24","Q2-24"}),#REF!,0))</f>
        <v>#REF!</v>
      </c>
      <c r="D75" s="63" t="e">
        <f t="array" ref="D75">SUM(IF((#REF!=$A75)*(#REF!=D$64)*(#REF!={"Q3-23","Q4-23","Q1-24","Q2-24"}),#REF!,0))</f>
        <v>#REF!</v>
      </c>
      <c r="E75" s="63" t="e">
        <f t="array" ref="E75">SUM(IF((#REF!=$A75)*(#REF!=E$64)*(#REF!={"Q3-23","Q4-23","Q1-24","Q2-24"}),#REF!,0))</f>
        <v>#REF!</v>
      </c>
      <c r="F75" s="63" t="e">
        <f t="array" ref="F75">SUM(IF((#REF!=$A75)*(#REF!=F$64)*(#REF!={"Q3-23","Q4-23","Q1-24","Q2-24"}),#REF!,0))</f>
        <v>#REF!</v>
      </c>
      <c r="G75" s="63" t="e">
        <f t="array" ref="G75">SUM(IF((#REF!=$A75)*(#REF!=G$64)*(#REF!={"Q3-23","Q4-23","Q1-24","Q2-24"}),#REF!,0))</f>
        <v>#REF!</v>
      </c>
      <c r="H75" s="63" t="e">
        <f t="array" ref="H75">SUM(IF((#REF!=$A75)*(#REF!=H$64)*(#REF!={"Q3-23","Q4-23","Q1-24","Q2-24"}),#REF!,0))</f>
        <v>#REF!</v>
      </c>
      <c r="I75" s="63" t="e">
        <f t="array" ref="I75">SUM(#REF!)</f>
        <v>#REF!</v>
      </c>
      <c r="J75" s="64">
        <f>SUMIF(Summary!A:A, 'Meeting Attdnc'!$A75, Summary!C:C)</f>
        <v>78000</v>
      </c>
    </row>
    <row r="76" spans="1:10" x14ac:dyDescent="0.3">
      <c r="A76" s="71" t="s">
        <v>112</v>
      </c>
      <c r="B76" s="62" t="str">
        <f>IFERROR(VLOOKUP($A76,#REF!, 2,FALSE), " ")</f>
        <v xml:space="preserve"> </v>
      </c>
      <c r="C76" s="63" t="e">
        <f t="array" ref="C76">SUM(IF((#REF!=$A76)*(#REF!=C$64)*(#REF!={"Q3-23","Q4-23","Q1-24","Q2-24"}),#REF!,0))</f>
        <v>#REF!</v>
      </c>
      <c r="D76" s="63" t="e">
        <f t="array" ref="D76">SUM(IF((#REF!=$A76)*(#REF!=D$64)*(#REF!={"Q3-23","Q4-23","Q1-24","Q2-24"}),#REF!,0))</f>
        <v>#REF!</v>
      </c>
      <c r="E76" s="63" t="e">
        <f t="array" ref="E76">SUM(IF((#REF!=$A76)*(#REF!=E$64)*(#REF!={"Q3-23","Q4-23","Q1-24","Q2-24"}),#REF!,0))</f>
        <v>#REF!</v>
      </c>
      <c r="F76" s="63" t="e">
        <f t="array" ref="F76">SUM(IF((#REF!=$A76)*(#REF!=F$64)*(#REF!={"Q3-23","Q4-23","Q1-24","Q2-24"}),#REF!,0))</f>
        <v>#REF!</v>
      </c>
      <c r="G76" s="63" t="e">
        <f t="array" ref="G76">SUM(IF((#REF!=$A76)*(#REF!=G$64)*(#REF!={"Q3-23","Q4-23","Q1-24","Q2-24"}),#REF!,0))</f>
        <v>#REF!</v>
      </c>
      <c r="H76" s="63" t="e">
        <f t="array" ref="H76">SUM(IF((#REF!=$A76)*(#REF!=H$64)*(#REF!={"Q3-23","Q4-23","Q1-24","Q2-24"}),#REF!,0))</f>
        <v>#REF!</v>
      </c>
      <c r="I76" s="63" t="e">
        <f t="array" ref="I76">SUM(#REF!)</f>
        <v>#REF!</v>
      </c>
      <c r="J76" s="64">
        <f>SUMIF(Summary!A:A, 'Meeting Attdnc'!$A76, Summary!C:C)</f>
        <v>46000</v>
      </c>
    </row>
    <row r="77" spans="1:10" x14ac:dyDescent="0.3">
      <c r="A77" s="70" t="s">
        <v>24</v>
      </c>
      <c r="B77" s="62" t="str">
        <f>IFERROR(VLOOKUP($A77,#REF!, 2,FALSE), " ")</f>
        <v xml:space="preserve"> </v>
      </c>
      <c r="C77" s="63" t="e">
        <f t="array" ref="C77">SUM(IF((#REF!=$A77)*(#REF!=C$64)*(#REF!={"Q3-23","Q4-23","Q1-24","Q2-24"}),#REF!,0))</f>
        <v>#REF!</v>
      </c>
      <c r="D77" s="63" t="e">
        <f t="array" ref="D77">SUM(IF((#REF!=$A77)*(#REF!=D$64)*(#REF!={"Q3-23","Q4-23","Q1-24","Q2-24"}),#REF!,0))</f>
        <v>#REF!</v>
      </c>
      <c r="E77" s="63" t="e">
        <f t="array" ref="E77">SUM(IF((#REF!=$A77)*(#REF!=E$64)*(#REF!={"Q3-23","Q4-23","Q1-24","Q2-24"}),#REF!,0))</f>
        <v>#REF!</v>
      </c>
      <c r="F77" s="63" t="e">
        <f t="array" ref="F77">SUM(IF((#REF!=$A77)*(#REF!=F$64)*(#REF!={"Q3-23","Q4-23","Q1-24","Q2-24"}),#REF!,0))</f>
        <v>#REF!</v>
      </c>
      <c r="G77" s="63" t="e">
        <f t="array" ref="G77">SUM(IF((#REF!=$A77)*(#REF!=G$64)*(#REF!={"Q3-23","Q4-23","Q1-24","Q2-24"}),#REF!,0))</f>
        <v>#REF!</v>
      </c>
      <c r="H77" s="63" t="e">
        <f t="array" ref="H77">SUM(IF((#REF!=$A77)*(#REF!=H$64)*(#REF!={"Q3-23","Q4-23","Q1-24","Q2-24"}),#REF!,0))</f>
        <v>#REF!</v>
      </c>
      <c r="I77" s="63" t="e">
        <f t="array" ref="I77">SUM(#REF!)</f>
        <v>#REF!</v>
      </c>
      <c r="J77" s="64">
        <f>SUMIF(Summary!A:A, 'Meeting Attdnc'!$A77, Summary!C:C)</f>
        <v>116000</v>
      </c>
    </row>
    <row r="78" spans="1:10" x14ac:dyDescent="0.3">
      <c r="A78" s="70" t="s">
        <v>12</v>
      </c>
      <c r="B78" s="62" t="str">
        <f>IFERROR(VLOOKUP($A78,#REF!, 2,FALSE), " ")</f>
        <v xml:space="preserve"> </v>
      </c>
      <c r="C78" s="63" t="e">
        <f t="array" ref="C78">SUM(IF((#REF!=$A78)*(#REF!=C$64)*(#REF!={"Q3-23","Q4-23","Q1-24","Q2-24"}),#REF!,0))</f>
        <v>#REF!</v>
      </c>
      <c r="D78" s="63" t="e">
        <f t="array" ref="D78">SUM(IF((#REF!=$A78)*(#REF!=D$64)*(#REF!={"Q3-23","Q4-23","Q1-24","Q2-24"}),#REF!,0))</f>
        <v>#REF!</v>
      </c>
      <c r="E78" s="63" t="e">
        <f t="array" ref="E78">SUM(IF((#REF!=$A78)*(#REF!=E$64)*(#REF!={"Q3-23","Q4-23","Q1-24","Q2-24"}),#REF!,0))</f>
        <v>#REF!</v>
      </c>
      <c r="F78" s="63" t="e">
        <f t="array" ref="F78">SUM(IF((#REF!=$A78)*(#REF!=F$64)*(#REF!={"Q3-23","Q4-23","Q1-24","Q2-24"}),#REF!,0))</f>
        <v>#REF!</v>
      </c>
      <c r="G78" s="63" t="e">
        <f t="array" ref="G78">SUM(IF((#REF!=$A78)*(#REF!=G$64)*(#REF!={"Q3-23","Q4-23","Q1-24","Q2-24"}),#REF!,0))</f>
        <v>#REF!</v>
      </c>
      <c r="H78" s="63" t="e">
        <f t="array" ref="H78">SUM(IF((#REF!=$A78)*(#REF!=H$64)*(#REF!={"Q3-23","Q4-23","Q1-24","Q2-24"}),#REF!,0))</f>
        <v>#REF!</v>
      </c>
      <c r="I78" s="63" t="e">
        <f t="array" ref="I78">SUM(#REF!)</f>
        <v>#REF!</v>
      </c>
      <c r="J78" s="64">
        <f>SUMIF(Summary!A:A, 'Meeting Attdnc'!$A78, Summary!C:C)</f>
        <v>166000</v>
      </c>
    </row>
    <row r="79" spans="1:10" x14ac:dyDescent="0.3">
      <c r="A79" s="70" t="s">
        <v>23</v>
      </c>
      <c r="B79" s="62" t="str">
        <f>IFERROR(VLOOKUP($A79,#REF!, 2,FALSE), " ")</f>
        <v xml:space="preserve"> </v>
      </c>
      <c r="C79" s="63" t="e">
        <f t="array" ref="C79">SUM(IF((#REF!=$A79)*(#REF!=C$64)*(#REF!={"Q3-23","Q4-23","Q1-24","Q2-24"}),#REF!,0))</f>
        <v>#REF!</v>
      </c>
      <c r="D79" s="63" t="e">
        <f t="array" ref="D79">SUM(IF((#REF!=$A79)*(#REF!=D$64)*(#REF!={"Q3-23","Q4-23","Q1-24","Q2-24"}),#REF!,0))</f>
        <v>#REF!</v>
      </c>
      <c r="E79" s="63" t="e">
        <f t="array" ref="E79">SUM(IF((#REF!=$A79)*(#REF!=E$64)*(#REF!={"Q3-23","Q4-23","Q1-24","Q2-24"}),#REF!,0))</f>
        <v>#REF!</v>
      </c>
      <c r="F79" s="63" t="e">
        <f t="array" ref="F79">SUM(IF((#REF!=$A79)*(#REF!=F$64)*(#REF!={"Q3-23","Q4-23","Q1-24","Q2-24"}),#REF!,0))</f>
        <v>#REF!</v>
      </c>
      <c r="G79" s="63" t="e">
        <f t="array" ref="G79">SUM(IF((#REF!=$A79)*(#REF!=G$64)*(#REF!={"Q3-23","Q4-23","Q1-24","Q2-24"}),#REF!,0))</f>
        <v>#REF!</v>
      </c>
      <c r="H79" s="63" t="e">
        <f t="array" ref="H79">SUM(IF((#REF!=$A79)*(#REF!=H$64)*(#REF!={"Q3-23","Q4-23","Q1-24","Q2-24"}),#REF!,0))</f>
        <v>#REF!</v>
      </c>
      <c r="I79" s="63" t="e">
        <f t="array" ref="I79">SUM(#REF!)</f>
        <v>#REF!</v>
      </c>
      <c r="J79" s="64">
        <f>SUMIF(Summary!A:A, 'Meeting Attdnc'!$A79, Summary!C:C)</f>
        <v>84000</v>
      </c>
    </row>
    <row r="80" spans="1:10" x14ac:dyDescent="0.3">
      <c r="A80" s="70" t="s">
        <v>20</v>
      </c>
      <c r="B80" s="62" t="str">
        <f>IFERROR(VLOOKUP($A80,#REF!, 2,FALSE), " ")</f>
        <v xml:space="preserve"> </v>
      </c>
      <c r="C80" s="63" t="e">
        <f t="array" ref="C80">SUM(IF((#REF!=$A80)*(#REF!=C$64)*(#REF!={"Q3-23","Q4-23","Q1-24","Q2-24"}),#REF!,0))</f>
        <v>#REF!</v>
      </c>
      <c r="D80" s="63" t="e">
        <f t="array" ref="D80">SUM(IF((#REF!=$A80)*(#REF!=D$64)*(#REF!={"Q3-23","Q4-23","Q1-24","Q2-24"}),#REF!,0))</f>
        <v>#REF!</v>
      </c>
      <c r="E80" s="63" t="e">
        <f t="array" ref="E80">SUM(IF((#REF!=$A80)*(#REF!=E$64)*(#REF!={"Q3-23","Q4-23","Q1-24","Q2-24"}),#REF!,0))</f>
        <v>#REF!</v>
      </c>
      <c r="F80" s="63" t="e">
        <f t="array" ref="F80">SUM(IF((#REF!=$A80)*(#REF!=F$64)*(#REF!={"Q3-23","Q4-23","Q1-24","Q2-24"}),#REF!,0))</f>
        <v>#REF!</v>
      </c>
      <c r="G80" s="63" t="e">
        <f t="array" ref="G80">SUM(IF((#REF!=$A80)*(#REF!=G$64)*(#REF!={"Q3-23","Q4-23","Q1-24","Q2-24"}),#REF!,0))</f>
        <v>#REF!</v>
      </c>
      <c r="H80" s="63" t="e">
        <f t="array" ref="H80">SUM(IF((#REF!=$A80)*(#REF!=H$64)*(#REF!={"Q3-23","Q4-23","Q1-24","Q2-24"}),#REF!,0))</f>
        <v>#REF!</v>
      </c>
      <c r="I80" s="63" t="e">
        <f t="array" ref="I80">SUM(#REF!)</f>
        <v>#REF!</v>
      </c>
      <c r="J80" s="64">
        <f>SUMIF(Summary!A:A, 'Meeting Attdnc'!$A80, Summary!C:C)</f>
        <v>116000</v>
      </c>
    </row>
    <row r="81" spans="1:10" x14ac:dyDescent="0.3">
      <c r="A81" s="70" t="s">
        <v>14</v>
      </c>
      <c r="B81" s="62" t="str">
        <f>IFERROR(VLOOKUP($A81,#REF!, 2,FALSE), " ")</f>
        <v xml:space="preserve"> </v>
      </c>
      <c r="C81" s="63" t="e">
        <f t="array" ref="C81">SUM(IF((#REF!=$A81)*(#REF!=C$64)*(#REF!={"Q3-23","Q4-23","Q1-24","Q2-24"}),#REF!,0))</f>
        <v>#REF!</v>
      </c>
      <c r="D81" s="63" t="e">
        <f t="array" ref="D81">SUM(IF((#REF!=$A81)*(#REF!=D$64)*(#REF!={"Q3-23","Q4-23","Q1-24","Q2-24"}),#REF!,0))</f>
        <v>#REF!</v>
      </c>
      <c r="E81" s="63" t="e">
        <f t="array" ref="E81">SUM(IF((#REF!=$A81)*(#REF!=E$64)*(#REF!={"Q3-23","Q4-23","Q1-24","Q2-24"}),#REF!,0))</f>
        <v>#REF!</v>
      </c>
      <c r="F81" s="63" t="e">
        <f t="array" ref="F81">SUM(IF((#REF!=$A81)*(#REF!=F$64)*(#REF!={"Q3-23","Q4-23","Q1-24","Q2-24"}),#REF!,0))</f>
        <v>#REF!</v>
      </c>
      <c r="G81" s="63" t="e">
        <f t="array" ref="G81">SUM(IF((#REF!=$A81)*(#REF!=G$64)*(#REF!={"Q3-23","Q4-23","Q1-24","Q2-24"}),#REF!,0))</f>
        <v>#REF!</v>
      </c>
      <c r="H81" s="63" t="e">
        <f t="array" ref="H81">SUM(IF((#REF!=$A81)*(#REF!=H$64)*(#REF!={"Q3-23","Q4-23","Q1-24","Q2-24"}),#REF!,0))</f>
        <v>#REF!</v>
      </c>
      <c r="I81" s="63" t="e">
        <f t="array" ref="I81">SUM(#REF!)</f>
        <v>#REF!</v>
      </c>
      <c r="J81" s="64">
        <f>SUMIF(Summary!A:A, 'Meeting Attdnc'!$A81, Summary!C:C)</f>
        <v>78000</v>
      </c>
    </row>
    <row r="82" spans="1:10" x14ac:dyDescent="0.3">
      <c r="A82" s="70" t="s">
        <v>19</v>
      </c>
      <c r="B82" s="62" t="str">
        <f>IFERROR(VLOOKUP($A82,#REF!, 2,FALSE), " ")</f>
        <v xml:space="preserve"> </v>
      </c>
      <c r="C82" s="63" t="e">
        <f t="array" ref="C82">SUM(IF((#REF!=$A82)*(#REF!=C$64)*(#REF!={"Q3-23","Q4-23","Q1-24","Q2-24"}),#REF!,0))</f>
        <v>#REF!</v>
      </c>
      <c r="D82" s="63" t="e">
        <f t="array" ref="D82">SUM(IF((#REF!=$A82)*(#REF!=D$64)*(#REF!={"Q3-23","Q4-23","Q1-24","Q2-24"}),#REF!,0))</f>
        <v>#REF!</v>
      </c>
      <c r="E82" s="63" t="e">
        <f t="array" ref="E82">SUM(IF((#REF!=$A82)*(#REF!=E$64)*(#REF!={"Q3-23","Q4-23","Q1-24","Q2-24"}),#REF!,0))</f>
        <v>#REF!</v>
      </c>
      <c r="F82" s="63" t="e">
        <f t="array" ref="F82">SUM(IF((#REF!=$A82)*(#REF!=F$64)*(#REF!={"Q3-23","Q4-23","Q1-24","Q2-24"}),#REF!,0))</f>
        <v>#REF!</v>
      </c>
      <c r="G82" s="63" t="e">
        <f t="array" ref="G82">SUM(IF((#REF!=$A82)*(#REF!=G$64)*(#REF!={"Q3-23","Q4-23","Q1-24","Q2-24"}),#REF!,0))</f>
        <v>#REF!</v>
      </c>
      <c r="H82" s="63" t="e">
        <f t="array" ref="H82">SUM(IF((#REF!=$A82)*(#REF!=H$64)*(#REF!={"Q3-23","Q4-23","Q1-24","Q2-24"}),#REF!,0))</f>
        <v>#REF!</v>
      </c>
      <c r="I82" s="63" t="e">
        <f t="array" ref="I82">SUM(#REF!)</f>
        <v>#REF!</v>
      </c>
      <c r="J82" s="64">
        <f>SUMIF(Summary!A:A, 'Meeting Attdnc'!$A82, Summary!C:C)</f>
        <v>0</v>
      </c>
    </row>
    <row r="83" spans="1:10" x14ac:dyDescent="0.3">
      <c r="A83" s="70" t="s">
        <v>7</v>
      </c>
      <c r="B83" s="62" t="str">
        <f>IFERROR(VLOOKUP($A83,#REF!, 2,FALSE), " ")</f>
        <v xml:space="preserve"> </v>
      </c>
      <c r="C83" s="63" t="e">
        <f t="array" ref="C83">SUM(IF((#REF!=$A83)*(#REF!=C$64)*(#REF!={"Q3-23","Q4-23","Q1-24","Q2-24"}),#REF!,0))</f>
        <v>#REF!</v>
      </c>
      <c r="D83" s="63" t="e">
        <f t="array" ref="D83">SUM(IF((#REF!=$A83)*(#REF!=D$64)*(#REF!={"Q3-23","Q4-23","Q1-24","Q2-24"}),#REF!,0))</f>
        <v>#REF!</v>
      </c>
      <c r="E83" s="63" t="e">
        <f t="array" ref="E83">SUM(IF((#REF!=$A83)*(#REF!=E$64)*(#REF!={"Q3-23","Q4-23","Q1-24","Q2-24"}),#REF!,0))</f>
        <v>#REF!</v>
      </c>
      <c r="F83" s="63" t="e">
        <f t="array" ref="F83">SUM(IF((#REF!=$A83)*(#REF!=F$64)*(#REF!={"Q3-23","Q4-23","Q1-24","Q2-24"}),#REF!,0))</f>
        <v>#REF!</v>
      </c>
      <c r="G83" s="63" t="e">
        <f t="array" ref="G83">SUM(IF((#REF!=$A83)*(#REF!=G$64)*(#REF!={"Q3-23","Q4-23","Q1-24","Q2-24"}),#REF!,0))</f>
        <v>#REF!</v>
      </c>
      <c r="H83" s="63" t="e">
        <f t="array" ref="H83">SUM(IF((#REF!=$A83)*(#REF!=H$64)*(#REF!={"Q3-23","Q4-23","Q1-24","Q2-24"}),#REF!,0))</f>
        <v>#REF!</v>
      </c>
      <c r="I83" s="63" t="e">
        <f t="array" ref="I83">SUM(#REF!)</f>
        <v>#REF!</v>
      </c>
      <c r="J83" s="64">
        <f>SUMIF(Summary!A:A, 'Meeting Attdnc'!$A83, Summary!C:C)</f>
        <v>68000</v>
      </c>
    </row>
    <row r="84" spans="1:10" x14ac:dyDescent="0.3">
      <c r="A84" s="70" t="s">
        <v>61</v>
      </c>
      <c r="B84" s="62" t="str">
        <f>IFERROR(VLOOKUP($A84,#REF!, 2,FALSE), " ")</f>
        <v xml:space="preserve"> </v>
      </c>
      <c r="C84" s="63" t="e">
        <f t="array" ref="C84">SUM(IF((#REF!=$A84)*(#REF!=C$64)*(#REF!={"Q3-23","Q4-23","Q1-24","Q2-24"}),#REF!,0))</f>
        <v>#REF!</v>
      </c>
      <c r="D84" s="63" t="e">
        <f t="array" ref="D84">SUM(IF((#REF!=$A84)*(#REF!=D$64)*(#REF!={"Q3-23","Q4-23","Q1-24","Q2-24"}),#REF!,0))</f>
        <v>#REF!</v>
      </c>
      <c r="E84" s="63" t="e">
        <f t="array" ref="E84">SUM(IF((#REF!=$A84)*(#REF!=E$64)*(#REF!={"Q3-23","Q4-23","Q1-24","Q2-24"}),#REF!,0))</f>
        <v>#REF!</v>
      </c>
      <c r="F84" s="63" t="e">
        <f t="array" ref="F84">SUM(IF((#REF!=$A84)*(#REF!=F$64)*(#REF!={"Q3-23","Q4-23","Q1-24","Q2-24"}),#REF!,0))</f>
        <v>#REF!</v>
      </c>
      <c r="G84" s="63" t="e">
        <f t="array" ref="G84">SUM(IF((#REF!=$A84)*(#REF!=G$64)*(#REF!={"Q3-23","Q4-23","Q1-24","Q2-24"}),#REF!,0))</f>
        <v>#REF!</v>
      </c>
      <c r="H84" s="63" t="e">
        <f t="array" ref="H84">SUM(IF((#REF!=$A84)*(#REF!=H$64)*(#REF!={"Q3-23","Q4-23","Q1-24","Q2-24"}),#REF!,0))</f>
        <v>#REF!</v>
      </c>
      <c r="I84" s="63" t="e">
        <f t="array" ref="I84">SUM(#REF!)</f>
        <v>#REF!</v>
      </c>
      <c r="J84" s="64">
        <f>SUMIF(Summary!A:A, 'Meeting Attdnc'!$A84, Summary!C:C)</f>
        <v>86000</v>
      </c>
    </row>
    <row r="85" spans="1:10" x14ac:dyDescent="0.3">
      <c r="A85" s="70" t="s">
        <v>54</v>
      </c>
      <c r="B85" s="62" t="str">
        <f>IFERROR(VLOOKUP($A85,#REF!, 2,FALSE), " ")</f>
        <v xml:space="preserve"> </v>
      </c>
      <c r="C85" s="63" t="e">
        <f t="array" ref="C85">SUM(IF((#REF!=$A85)*(#REF!=C$64)*(#REF!={"Q3-23","Q4-23","Q1-24","Q2-24"}),#REF!,0))</f>
        <v>#REF!</v>
      </c>
      <c r="D85" s="63" t="e">
        <f t="array" ref="D85">SUM(IF((#REF!=$A85)*(#REF!=D$64)*(#REF!={"Q3-23","Q4-23","Q1-24","Q2-24"}),#REF!,0))</f>
        <v>#REF!</v>
      </c>
      <c r="E85" s="63" t="e">
        <f t="array" ref="E85">SUM(IF((#REF!=$A85)*(#REF!=E$64)*(#REF!={"Q3-23","Q4-23","Q1-24","Q2-24"}),#REF!,0))</f>
        <v>#REF!</v>
      </c>
      <c r="F85" s="63" t="e">
        <f t="array" ref="F85">SUM(IF((#REF!=$A85)*(#REF!=F$64)*(#REF!={"Q3-23","Q4-23","Q1-24","Q2-24"}),#REF!,0))</f>
        <v>#REF!</v>
      </c>
      <c r="G85" s="63" t="e">
        <f t="array" ref="G85">SUM(IF((#REF!=$A85)*(#REF!=G$64)*(#REF!={"Q3-23","Q4-23","Q1-24","Q2-24"}),#REF!,0))</f>
        <v>#REF!</v>
      </c>
      <c r="H85" s="63" t="e">
        <f t="array" ref="H85">SUM(IF((#REF!=$A85)*(#REF!=H$64)*(#REF!={"Q3-23","Q4-23","Q1-24","Q2-24"}),#REF!,0))</f>
        <v>#REF!</v>
      </c>
      <c r="I85" s="63" t="e">
        <f t="array" ref="I85">SUM(#REF!)</f>
        <v>#REF!</v>
      </c>
      <c r="J85" s="64">
        <f>SUMIF(Summary!A:A, 'Meeting Attdnc'!$A85, Summary!C:C)</f>
        <v>42000</v>
      </c>
    </row>
    <row r="86" spans="1:10" x14ac:dyDescent="0.3">
      <c r="A86" s="70" t="s">
        <v>17</v>
      </c>
      <c r="B86" s="62" t="str">
        <f>IFERROR(VLOOKUP($A86,#REF!, 2,FALSE), " ")</f>
        <v xml:space="preserve"> </v>
      </c>
      <c r="C86" s="63" t="e">
        <f t="array" ref="C86">SUM(IF((#REF!=$A86)*(#REF!=C$64)*(#REF!={"Q3-23","Q4-23","Q1-24","Q2-24"}),#REF!,0))</f>
        <v>#REF!</v>
      </c>
      <c r="D86" s="63" t="e">
        <f t="array" ref="D86">SUM(IF((#REF!=$A86)*(#REF!=D$64)*(#REF!={"Q3-23","Q4-23","Q1-24","Q2-24"}),#REF!,0))</f>
        <v>#REF!</v>
      </c>
      <c r="E86" s="63" t="e">
        <f t="array" ref="E86">SUM(IF((#REF!=$A86)*(#REF!=E$64)*(#REF!={"Q3-23","Q4-23","Q1-24","Q2-24"}),#REF!,0))</f>
        <v>#REF!</v>
      </c>
      <c r="F86" s="63" t="e">
        <f t="array" ref="F86">SUM(IF((#REF!=$A86)*(#REF!=F$64)*(#REF!={"Q3-23","Q4-23","Q1-24","Q2-24"}),#REF!,0))</f>
        <v>#REF!</v>
      </c>
      <c r="G86" s="63" t="e">
        <f t="array" ref="G86">SUM(IF((#REF!=$A86)*(#REF!=G$64)*(#REF!={"Q3-23","Q4-23","Q1-24","Q2-24"}),#REF!,0))</f>
        <v>#REF!</v>
      </c>
      <c r="H86" s="63" t="e">
        <f t="array" ref="H86">SUM(IF((#REF!=$A86)*(#REF!=H$64)*(#REF!={"Q3-23","Q4-23","Q1-24","Q2-24"}),#REF!,0))</f>
        <v>#REF!</v>
      </c>
      <c r="I86" s="63" t="e">
        <f t="array" ref="I86">SUM(#REF!)</f>
        <v>#REF!</v>
      </c>
      <c r="J86" s="64">
        <f>SUMIF(Summary!A:A, 'Meeting Attdnc'!$A86, Summary!C:C)</f>
        <v>114000</v>
      </c>
    </row>
    <row r="87" spans="1:10" x14ac:dyDescent="0.3">
      <c r="A87" s="70" t="s">
        <v>52</v>
      </c>
      <c r="B87" s="62" t="str">
        <f>IFERROR(VLOOKUP($A87,#REF!, 2,FALSE), " ")</f>
        <v xml:space="preserve"> </v>
      </c>
      <c r="C87" s="63" t="e">
        <f t="array" ref="C87">SUM(IF((#REF!=$A87)*(#REF!=C$64)*(#REF!={"Q3-23","Q4-23","Q1-24","Q2-24"}),#REF!,0))</f>
        <v>#REF!</v>
      </c>
      <c r="D87" s="63" t="e">
        <f t="array" ref="D87">SUM(IF((#REF!=$A87)*(#REF!=D$64)*(#REF!={"Q3-23","Q4-23","Q1-24","Q2-24"}),#REF!,0))</f>
        <v>#REF!</v>
      </c>
      <c r="E87" s="63" t="e">
        <f t="array" ref="E87">SUM(IF((#REF!=$A87)*(#REF!=E$64)*(#REF!={"Q3-23","Q4-23","Q1-24","Q2-24"}),#REF!,0))</f>
        <v>#REF!</v>
      </c>
      <c r="F87" s="63" t="e">
        <f t="array" ref="F87">SUM(IF((#REF!=$A87)*(#REF!=F$64)*(#REF!={"Q3-23","Q4-23","Q1-24","Q2-24"}),#REF!,0))</f>
        <v>#REF!</v>
      </c>
      <c r="G87" s="63" t="e">
        <f t="array" ref="G87">SUM(IF((#REF!=$A87)*(#REF!=G$64)*(#REF!={"Q3-23","Q4-23","Q1-24","Q2-24"}),#REF!,0))</f>
        <v>#REF!</v>
      </c>
      <c r="H87" s="63" t="e">
        <f t="array" ref="H87">SUM(IF((#REF!=$A87)*(#REF!=H$64)*(#REF!={"Q3-23","Q4-23","Q1-24","Q2-24"}),#REF!,0))</f>
        <v>#REF!</v>
      </c>
      <c r="I87" s="63" t="e">
        <f t="array" ref="I87">SUM(#REF!)</f>
        <v>#REF!</v>
      </c>
      <c r="J87" s="64">
        <f>SUMIF(Summary!A:A, 'Meeting Attdnc'!$A87, Summary!C:C)</f>
        <v>42000</v>
      </c>
    </row>
    <row r="88" spans="1:10" x14ac:dyDescent="0.3">
      <c r="A88" s="70" t="s">
        <v>53</v>
      </c>
      <c r="B88" s="62" t="str">
        <f>IFERROR(VLOOKUP($A88,#REF!, 2,FALSE), " ")</f>
        <v xml:space="preserve"> </v>
      </c>
      <c r="C88" s="63" t="e">
        <f t="array" ref="C88">SUM(IF((#REF!=$A88)*(#REF!=C$64)*(#REF!={"Q3-23","Q4-23","Q1-24","Q2-24"}),#REF!,0))</f>
        <v>#REF!</v>
      </c>
      <c r="D88" s="63" t="e">
        <f t="array" ref="D88">SUM(IF((#REF!=$A88)*(#REF!=D$64)*(#REF!={"Q3-23","Q4-23","Q1-24","Q2-24"}),#REF!,0))</f>
        <v>#REF!</v>
      </c>
      <c r="E88" s="63" t="e">
        <f t="array" ref="E88">SUM(IF((#REF!=$A88)*(#REF!=E$64)*(#REF!={"Q3-23","Q4-23","Q1-24","Q2-24"}),#REF!,0))</f>
        <v>#REF!</v>
      </c>
      <c r="F88" s="63" t="e">
        <f t="array" ref="F88">SUM(IF((#REF!=$A88)*(#REF!=F$64)*(#REF!={"Q3-23","Q4-23","Q1-24","Q2-24"}),#REF!,0))</f>
        <v>#REF!</v>
      </c>
      <c r="G88" s="63" t="e">
        <f t="array" ref="G88">SUM(IF((#REF!=$A88)*(#REF!=G$64)*(#REF!={"Q3-23","Q4-23","Q1-24","Q2-24"}),#REF!,0))</f>
        <v>#REF!</v>
      </c>
      <c r="H88" s="63" t="e">
        <f t="array" ref="H88">SUM(IF((#REF!=$A88)*(#REF!=H$64)*(#REF!={"Q3-23","Q4-23","Q1-24","Q2-24"}),#REF!,0))</f>
        <v>#REF!</v>
      </c>
      <c r="I88" s="63" t="e">
        <f t="array" ref="I88">SUM(#REF!)</f>
        <v>#REF!</v>
      </c>
      <c r="J88" s="64">
        <f>SUMIF(Summary!A:A, 'Meeting Attdnc'!$A88, Summary!C:C)</f>
        <v>0</v>
      </c>
    </row>
    <row r="89" spans="1:10" x14ac:dyDescent="0.3">
      <c r="A89" s="72"/>
      <c r="B89" s="62" t="str">
        <f>IFERROR(VLOOKUP($A89,#REF!, 2,FALSE), " ")</f>
        <v xml:space="preserve"> </v>
      </c>
      <c r="C89" s="63" t="e">
        <f t="array" ref="C89">SUM(IF((#REF!=$A89)*(#REF!=C$64)*(#REF!={"Q3-23","Q4-23","Q1-24","Q2-24"}),#REF!,0))</f>
        <v>#REF!</v>
      </c>
      <c r="D89" s="63" t="e">
        <f t="array" ref="D89">SUM(IF((#REF!=$A89)*(#REF!=D$64)*(#REF!={"Q3-23","Q4-23","Q1-24","Q2-24"}),#REF!,0))</f>
        <v>#REF!</v>
      </c>
      <c r="E89" s="63" t="e">
        <f t="array" ref="E89">SUM(IF((#REF!=$A89)*(#REF!=E$64)*(#REF!={"Q3-23","Q4-23","Q1-24","Q2-24"}),#REF!,0))</f>
        <v>#REF!</v>
      </c>
      <c r="F89" s="63" t="e">
        <f t="array" ref="F89">SUM(IF((#REF!=$A89)*(#REF!=F$64)*(#REF!={"Q3-23","Q4-23","Q1-24","Q2-24"}),#REF!,0))</f>
        <v>#REF!</v>
      </c>
      <c r="G89" s="63" t="e">
        <f t="array" ref="G89">SUM(IF((#REF!=$A89)*(#REF!=G$64)*(#REF!={"Q3-23","Q4-23","Q1-24","Q2-24"}),#REF!,0))</f>
        <v>#REF!</v>
      </c>
      <c r="H89" s="63" t="e">
        <f t="array" ref="H89">SUM(IF((#REF!=$A89)*(#REF!=H$64)*(#REF!={"Q3-23","Q4-23","Q1-24","Q2-24"}),#REF!,0))</f>
        <v>#REF!</v>
      </c>
      <c r="I89" s="63" t="e">
        <f t="array" ref="I89">SUM(#REF!)</f>
        <v>#REF!</v>
      </c>
      <c r="J89" s="64">
        <f>SUMIF(Summary!A:A, 'Meeting Attdnc'!$A89, Summary!C:C)</f>
        <v>0</v>
      </c>
    </row>
    <row r="90" spans="1:10" x14ac:dyDescent="0.3">
      <c r="A90" s="72"/>
      <c r="B90" s="62" t="str">
        <f>IFERROR(VLOOKUP($A90,#REF!, 2,FALSE), " ")</f>
        <v xml:space="preserve"> </v>
      </c>
      <c r="C90" s="63" t="e">
        <f t="array" ref="C90">SUM(IF((#REF!=$A90)*(#REF!=C$64)*(#REF!={"Q3-23","Q4-23","Q1-24","Q2-24"}),#REF!,0))</f>
        <v>#REF!</v>
      </c>
      <c r="D90" s="63" t="e">
        <f t="array" ref="D90">SUM(IF((#REF!=$A90)*(#REF!=D$64)*(#REF!={"Q3-23","Q4-23","Q1-24","Q2-24"}),#REF!,0))</f>
        <v>#REF!</v>
      </c>
      <c r="E90" s="63" t="e">
        <f t="array" ref="E90">SUM(IF((#REF!=$A90)*(#REF!=E$64)*(#REF!={"Q3-23","Q4-23","Q1-24","Q2-24"}),#REF!,0))</f>
        <v>#REF!</v>
      </c>
      <c r="F90" s="63" t="e">
        <f t="array" ref="F90">SUM(IF((#REF!=$A90)*(#REF!=F$64)*(#REF!={"Q3-23","Q4-23","Q1-24","Q2-24"}),#REF!,0))</f>
        <v>#REF!</v>
      </c>
      <c r="G90" s="63" t="e">
        <f t="array" ref="G90">SUM(IF((#REF!=$A90)*(#REF!=G$64)*(#REF!={"Q3-23","Q4-23","Q1-24","Q2-24"}),#REF!,0))</f>
        <v>#REF!</v>
      </c>
      <c r="H90" s="63" t="e">
        <f t="array" ref="H90">SUM(IF((#REF!=$A90)*(#REF!=H$64)*(#REF!={"Q3-23","Q4-23","Q1-24","Q2-24"}),#REF!,0))</f>
        <v>#REF!</v>
      </c>
      <c r="I90" s="63" t="e">
        <f t="array" ref="I90">SUM(#REF!)</f>
        <v>#REF!</v>
      </c>
      <c r="J90" s="64">
        <f>SUMIF(Summary!A:A, 'Meeting Attdnc'!$A90, Summary!C:C)</f>
        <v>0</v>
      </c>
    </row>
    <row r="91" spans="1:10" x14ac:dyDescent="0.3">
      <c r="A91" s="72"/>
      <c r="B91" s="62" t="str">
        <f>IFERROR(VLOOKUP($A91,#REF!, 2,FALSE), " ")</f>
        <v xml:space="preserve"> </v>
      </c>
      <c r="C91" s="63" t="e">
        <f t="array" ref="C91">SUM(IF((#REF!=$A91)*(#REF!=C$64)*(#REF!={"Q3-23","Q4-23","Q1-24","Q2-24"}),#REF!,0))</f>
        <v>#REF!</v>
      </c>
      <c r="D91" s="63" t="e">
        <f t="array" ref="D91">SUM(IF((#REF!=$A91)*(#REF!=D$64)*(#REF!={"Q3-23","Q4-23","Q1-24","Q2-24"}),#REF!,0))</f>
        <v>#REF!</v>
      </c>
      <c r="E91" s="63" t="e">
        <f t="array" ref="E91">SUM(IF((#REF!=$A91)*(#REF!=E$64)*(#REF!={"Q3-23","Q4-23","Q1-24","Q2-24"}),#REF!,0))</f>
        <v>#REF!</v>
      </c>
      <c r="F91" s="63" t="e">
        <f t="array" ref="F91">SUM(IF((#REF!=$A91)*(#REF!=F$64)*(#REF!={"Q3-23","Q4-23","Q1-24","Q2-24"}),#REF!,0))</f>
        <v>#REF!</v>
      </c>
      <c r="G91" s="63" t="e">
        <f t="array" ref="G91">SUM(IF((#REF!=$A91)*(#REF!=G$64)*(#REF!={"Q3-23","Q4-23","Q1-24","Q2-24"}),#REF!,0))</f>
        <v>#REF!</v>
      </c>
      <c r="H91" s="63" t="e">
        <f t="array" ref="H91">SUM(IF((#REF!=$A91)*(#REF!=H$64)*(#REF!={"Q3-23","Q4-23","Q1-24","Q2-24"}),#REF!,0))</f>
        <v>#REF!</v>
      </c>
      <c r="I91" s="63" t="e">
        <f t="array" ref="I91">SUM(#REF!)</f>
        <v>#REF!</v>
      </c>
      <c r="J91" s="64">
        <f>SUMIF(Summary!A:A, 'Meeting Attdnc'!$A91, Summary!C:C)</f>
        <v>0</v>
      </c>
    </row>
    <row r="92" spans="1:10" x14ac:dyDescent="0.3">
      <c r="A92" s="72"/>
      <c r="B92" s="62" t="str">
        <f>IFERROR(VLOOKUP($A92,#REF!, 2,FALSE), " ")</f>
        <v xml:space="preserve"> </v>
      </c>
      <c r="C92" s="63" t="e">
        <f t="array" ref="C92">SUM(IF((#REF!=$A92)*(#REF!=C$64)*(#REF!={"Q3-23","Q4-23","Q1-24","Q2-24"}),#REF!,0))</f>
        <v>#REF!</v>
      </c>
      <c r="D92" s="63" t="e">
        <f t="array" ref="D92">SUM(IF((#REF!=$A92)*(#REF!=D$64)*(#REF!={"Q3-23","Q4-23","Q1-24","Q2-24"}),#REF!,0))</f>
        <v>#REF!</v>
      </c>
      <c r="E92" s="63" t="e">
        <f t="array" ref="E92">SUM(IF((#REF!=$A92)*(#REF!=E$64)*(#REF!={"Q3-23","Q4-23","Q1-24","Q2-24"}),#REF!,0))</f>
        <v>#REF!</v>
      </c>
      <c r="F92" s="63" t="e">
        <f t="array" ref="F92">SUM(IF((#REF!=$A92)*(#REF!=F$64)*(#REF!={"Q3-23","Q4-23","Q1-24","Q2-24"}),#REF!,0))</f>
        <v>#REF!</v>
      </c>
      <c r="G92" s="63" t="e">
        <f t="array" ref="G92">SUM(IF((#REF!=$A92)*(#REF!=G$64)*(#REF!={"Q3-23","Q4-23","Q1-24","Q2-24"}),#REF!,0))</f>
        <v>#REF!</v>
      </c>
      <c r="H92" s="63" t="e">
        <f t="array" ref="H92">SUM(IF((#REF!=$A92)*(#REF!=H$64)*(#REF!={"Q3-23","Q4-23","Q1-24","Q2-24"}),#REF!,0))</f>
        <v>#REF!</v>
      </c>
      <c r="I92" s="63" t="e">
        <f t="array" ref="I92">SUM(#REF!)</f>
        <v>#REF!</v>
      </c>
      <c r="J92" s="64">
        <f>SUMIF(Summary!A:A, 'Meeting Attdnc'!$A92, Summary!C:C)</f>
        <v>0</v>
      </c>
    </row>
    <row r="93" spans="1:10" x14ac:dyDescent="0.3">
      <c r="A93" s="72"/>
      <c r="B93" s="62" t="str">
        <f>IFERROR(VLOOKUP($A93,#REF!, 2,FALSE), " ")</f>
        <v xml:space="preserve"> </v>
      </c>
      <c r="C93" s="63" t="e">
        <f t="array" ref="C93">SUM(IF((#REF!=$A93)*(#REF!=C$64)*(#REF!={"Q3-23","Q4-23","Q1-24","Q2-24"}),#REF!,0))</f>
        <v>#REF!</v>
      </c>
      <c r="D93" s="63" t="e">
        <f t="array" ref="D93">SUM(IF((#REF!=$A93)*(#REF!=D$64)*(#REF!={"Q3-23","Q4-23","Q1-24","Q2-24"}),#REF!,0))</f>
        <v>#REF!</v>
      </c>
      <c r="E93" s="63" t="e">
        <f t="array" ref="E93">SUM(IF((#REF!=$A93)*(#REF!=E$64)*(#REF!={"Q3-23","Q4-23","Q1-24","Q2-24"}),#REF!,0))</f>
        <v>#REF!</v>
      </c>
      <c r="F93" s="63" t="e">
        <f t="array" ref="F93">SUM(IF((#REF!=$A93)*(#REF!=F$64)*(#REF!={"Q3-23","Q4-23","Q1-24","Q2-24"}),#REF!,0))</f>
        <v>#REF!</v>
      </c>
      <c r="G93" s="63" t="e">
        <f t="array" ref="G93">SUM(IF((#REF!=$A93)*(#REF!=G$64)*(#REF!={"Q3-23","Q4-23","Q1-24","Q2-24"}),#REF!,0))</f>
        <v>#REF!</v>
      </c>
      <c r="H93" s="63" t="e">
        <f t="array" ref="H93">SUM(IF((#REF!=$A93)*(#REF!=H$64)*(#REF!={"Q3-23","Q4-23","Q1-24","Q2-24"}),#REF!,0))</f>
        <v>#REF!</v>
      </c>
      <c r="I93" s="63" t="e">
        <f t="array" ref="I93">SUM(#REF!)</f>
        <v>#REF!</v>
      </c>
      <c r="J93" s="64">
        <f>SUMIF(Summary!A:A, 'Meeting Attdnc'!$A93, Summary!C:C)</f>
        <v>0</v>
      </c>
    </row>
    <row r="94" spans="1:10" x14ac:dyDescent="0.3">
      <c r="A94" s="72"/>
      <c r="B94" s="62" t="str">
        <f>IFERROR(VLOOKUP($A94,#REF!, 2,FALSE), " ")</f>
        <v xml:space="preserve"> </v>
      </c>
      <c r="C94" s="63" t="e">
        <f t="array" ref="C94">SUM(IF((#REF!=$A94)*(#REF!=C$64)*(#REF!={"Q3-23","Q4-23","Q1-24","Q2-24"}),#REF!,0))</f>
        <v>#REF!</v>
      </c>
      <c r="D94" s="63" t="e">
        <f t="array" ref="D94">SUM(IF((#REF!=$A94)*(#REF!=D$64)*(#REF!={"Q3-23","Q4-23","Q1-24","Q2-24"}),#REF!,0))</f>
        <v>#REF!</v>
      </c>
      <c r="E94" s="63" t="e">
        <f t="array" ref="E94">SUM(IF((#REF!=$A94)*(#REF!=E$64)*(#REF!={"Q3-23","Q4-23","Q1-24","Q2-24"}),#REF!,0))</f>
        <v>#REF!</v>
      </c>
      <c r="F94" s="63" t="e">
        <f t="array" ref="F94">SUM(IF((#REF!=$A94)*(#REF!=F$64)*(#REF!={"Q3-23","Q4-23","Q1-24","Q2-24"}),#REF!,0))</f>
        <v>#REF!</v>
      </c>
      <c r="G94" s="63" t="e">
        <f t="array" ref="G94">SUM(IF((#REF!=$A94)*(#REF!=G$64)*(#REF!={"Q3-23","Q4-23","Q1-24","Q2-24"}),#REF!,0))</f>
        <v>#REF!</v>
      </c>
      <c r="H94" s="63" t="e">
        <f t="array" ref="H94">SUM(IF((#REF!=$A94)*(#REF!=H$64)*(#REF!={"Q3-23","Q4-23","Q1-24","Q2-24"}),#REF!,0))</f>
        <v>#REF!</v>
      </c>
      <c r="I94" s="63" t="e">
        <f t="array" ref="I94">SUM(#REF!)</f>
        <v>#REF!</v>
      </c>
      <c r="J94" s="64">
        <f>SUMIF(Summary!A:A, 'Meeting Attdnc'!$A94, Summary!C:C)</f>
        <v>0</v>
      </c>
    </row>
    <row r="95" spans="1:10" x14ac:dyDescent="0.3">
      <c r="A95" s="72"/>
      <c r="B95" s="62" t="str">
        <f>IFERROR(VLOOKUP($A95,#REF!, 2,FALSE), " ")</f>
        <v xml:space="preserve"> </v>
      </c>
      <c r="C95" s="63" t="e">
        <f t="array" ref="C95">SUM(IF((#REF!=$A95)*(#REF!=C$64)*(#REF!={"Q3-23","Q4-23","Q1-24","Q2-24"}),#REF!,0))</f>
        <v>#REF!</v>
      </c>
      <c r="D95" s="63" t="e">
        <f t="array" ref="D95">SUM(IF((#REF!=$A95)*(#REF!=D$64)*(#REF!={"Q3-23","Q4-23","Q1-24","Q2-24"}),#REF!,0))</f>
        <v>#REF!</v>
      </c>
      <c r="E95" s="63" t="e">
        <f t="array" ref="E95">SUM(IF((#REF!=$A95)*(#REF!=E$64)*(#REF!={"Q3-23","Q4-23","Q1-24","Q2-24"}),#REF!,0))</f>
        <v>#REF!</v>
      </c>
      <c r="F95" s="63" t="e">
        <f t="array" ref="F95">SUM(IF((#REF!=$A95)*(#REF!=F$64)*(#REF!={"Q3-23","Q4-23","Q1-24","Q2-24"}),#REF!,0))</f>
        <v>#REF!</v>
      </c>
      <c r="G95" s="63" t="e">
        <f t="array" ref="G95">SUM(IF((#REF!=$A95)*(#REF!=G$64)*(#REF!={"Q3-23","Q4-23","Q1-24","Q2-24"}),#REF!,0))</f>
        <v>#REF!</v>
      </c>
      <c r="H95" s="63" t="e">
        <f t="array" ref="H95">SUM(IF((#REF!=$A95)*(#REF!=H$64)*(#REF!={"Q3-23","Q4-23","Q1-24","Q2-24"}),#REF!,0))</f>
        <v>#REF!</v>
      </c>
      <c r="I95" s="63" t="e">
        <f t="array" ref="I95">SUM(#REF!)</f>
        <v>#REF!</v>
      </c>
      <c r="J95" s="64">
        <f>SUMIF(Summary!A:A, 'Meeting Attdnc'!$A95, Summary!C:C)</f>
        <v>0</v>
      </c>
    </row>
    <row r="96" spans="1:10" x14ac:dyDescent="0.3">
      <c r="A96" s="72"/>
      <c r="B96" s="62" t="str">
        <f>IFERROR(VLOOKUP($A96,#REF!, 2,FALSE), " ")</f>
        <v xml:space="preserve"> </v>
      </c>
      <c r="C96" s="63" t="e">
        <f t="array" ref="C96">SUM(IF((#REF!=$A96)*(#REF!=C$64)*(#REF!={"Q3-23","Q4-23","Q1-24","Q2-24"}),#REF!,0))</f>
        <v>#REF!</v>
      </c>
      <c r="D96" s="63" t="e">
        <f t="array" ref="D96">SUM(IF((#REF!=$A96)*(#REF!=D$64)*(#REF!={"Q3-23","Q4-23","Q1-24","Q2-24"}),#REF!,0))</f>
        <v>#REF!</v>
      </c>
      <c r="E96" s="63" t="e">
        <f t="array" ref="E96">SUM(IF((#REF!=$A96)*(#REF!=E$64)*(#REF!={"Q3-23","Q4-23","Q1-24","Q2-24"}),#REF!,0))</f>
        <v>#REF!</v>
      </c>
      <c r="F96" s="63" t="e">
        <f t="array" ref="F96">SUM(IF((#REF!=$A96)*(#REF!=F$64)*(#REF!={"Q3-23","Q4-23","Q1-24","Q2-24"}),#REF!,0))</f>
        <v>#REF!</v>
      </c>
      <c r="G96" s="63" t="e">
        <f t="array" ref="G96">SUM(IF((#REF!=$A96)*(#REF!=G$64)*(#REF!={"Q3-23","Q4-23","Q1-24","Q2-24"}),#REF!,0))</f>
        <v>#REF!</v>
      </c>
      <c r="H96" s="63" t="e">
        <f t="array" ref="H96">SUM(IF((#REF!=$A96)*(#REF!=H$64)*(#REF!={"Q3-23","Q4-23","Q1-24","Q2-24"}),#REF!,0))</f>
        <v>#REF!</v>
      </c>
      <c r="I96" s="63" t="e">
        <f t="array" ref="I96">SUM(#REF!)</f>
        <v>#REF!</v>
      </c>
      <c r="J96" s="64">
        <f>SUMIF(Summary!A:A, 'Meeting Attdnc'!$A96, Summary!C:C)</f>
        <v>0</v>
      </c>
    </row>
    <row r="97" spans="1:10" x14ac:dyDescent="0.3">
      <c r="A97" s="72"/>
      <c r="B97" s="62" t="str">
        <f>IFERROR(VLOOKUP($A97,#REF!, 2,FALSE), " ")</f>
        <v xml:space="preserve"> </v>
      </c>
      <c r="C97" s="63" t="e">
        <f t="array" ref="C97">SUM(IF((#REF!=$A97)*(#REF!=C$64)*(#REF!={"Q3-23","Q4-23","Q1-24","Q2-24"}),#REF!,0))</f>
        <v>#REF!</v>
      </c>
      <c r="D97" s="63" t="e">
        <f t="array" ref="D97">SUM(IF((#REF!=$A97)*(#REF!=D$64)*(#REF!={"Q3-23","Q4-23","Q1-24","Q2-24"}),#REF!,0))</f>
        <v>#REF!</v>
      </c>
      <c r="E97" s="63" t="e">
        <f t="array" ref="E97">SUM(IF((#REF!=$A97)*(#REF!=E$64)*(#REF!={"Q3-23","Q4-23","Q1-24","Q2-24"}),#REF!,0))</f>
        <v>#REF!</v>
      </c>
      <c r="F97" s="63" t="e">
        <f t="array" ref="F97">SUM(IF((#REF!=$A97)*(#REF!=F$64)*(#REF!={"Q3-23","Q4-23","Q1-24","Q2-24"}),#REF!,0))</f>
        <v>#REF!</v>
      </c>
      <c r="G97" s="63" t="e">
        <f t="array" ref="G97">SUM(IF((#REF!=$A97)*(#REF!=G$64)*(#REF!={"Q3-23","Q4-23","Q1-24","Q2-24"}),#REF!,0))</f>
        <v>#REF!</v>
      </c>
      <c r="H97" s="63" t="e">
        <f t="array" ref="H97">SUM(IF((#REF!=$A97)*(#REF!=H$64)*(#REF!={"Q3-23","Q4-23","Q1-24","Q2-24"}),#REF!,0))</f>
        <v>#REF!</v>
      </c>
      <c r="I97" s="63" t="e">
        <f t="array" ref="I97">SUM(#REF!)</f>
        <v>#REF!</v>
      </c>
      <c r="J97" s="64">
        <f>SUMIF(Summary!A:A, 'Meeting Attdnc'!$A97, Summary!C:C)</f>
        <v>0</v>
      </c>
    </row>
    <row r="98" spans="1:10" x14ac:dyDescent="0.3">
      <c r="A98" s="72"/>
      <c r="B98" s="62" t="str">
        <f>IFERROR(VLOOKUP($A98,#REF!, 2,FALSE), " ")</f>
        <v xml:space="preserve"> </v>
      </c>
      <c r="C98" s="63" t="e">
        <f t="array" ref="C98">SUM(IF((#REF!=$A98)*(#REF!=C$64)*(#REF!={"Q3-23","Q4-23","Q1-24","Q2-24"}),#REF!,0))</f>
        <v>#REF!</v>
      </c>
      <c r="D98" s="63" t="e">
        <f t="array" ref="D98">SUM(IF((#REF!=$A98)*(#REF!=D$64)*(#REF!={"Q3-23","Q4-23","Q1-24","Q2-24"}),#REF!,0))</f>
        <v>#REF!</v>
      </c>
      <c r="E98" s="63" t="e">
        <f t="array" ref="E98">SUM(IF((#REF!=$A98)*(#REF!=E$64)*(#REF!={"Q3-23","Q4-23","Q1-24","Q2-24"}),#REF!,0))</f>
        <v>#REF!</v>
      </c>
      <c r="F98" s="63" t="e">
        <f t="array" ref="F98">SUM(IF((#REF!=$A98)*(#REF!=F$64)*(#REF!={"Q3-23","Q4-23","Q1-24","Q2-24"}),#REF!,0))</f>
        <v>#REF!</v>
      </c>
      <c r="G98" s="63" t="e">
        <f t="array" ref="G98">SUM(IF((#REF!=$A98)*(#REF!=G$64)*(#REF!={"Q3-23","Q4-23","Q1-24","Q2-24"}),#REF!,0))</f>
        <v>#REF!</v>
      </c>
      <c r="H98" s="63" t="e">
        <f t="array" ref="H98">SUM(IF((#REF!=$A98)*(#REF!=H$64)*(#REF!={"Q3-23","Q4-23","Q1-24","Q2-24"}),#REF!,0))</f>
        <v>#REF!</v>
      </c>
      <c r="I98" s="63" t="e">
        <f t="array" ref="I98">SUM(#REF!)</f>
        <v>#REF!</v>
      </c>
      <c r="J98" s="64">
        <f>SUMIF(Summary!A:A, 'Meeting Attdnc'!$A98, Summary!C:C)</f>
        <v>0</v>
      </c>
    </row>
    <row r="99" spans="1:10" x14ac:dyDescent="0.3">
      <c r="A99" s="72"/>
      <c r="B99" s="62" t="str">
        <f>IFERROR(VLOOKUP($A99,#REF!, 2,FALSE), " ")</f>
        <v xml:space="preserve"> </v>
      </c>
      <c r="C99" s="63" t="e">
        <f t="array" ref="C99">SUM(IF((#REF!=$A99)*(#REF!=C$64)*(#REF!={"Q3-23","Q4-23","Q1-24","Q2-24"}),#REF!,0))</f>
        <v>#REF!</v>
      </c>
      <c r="D99" s="63" t="e">
        <f t="array" ref="D99">SUM(IF((#REF!=$A99)*(#REF!=D$64)*(#REF!={"Q3-23","Q4-23","Q1-24","Q2-24"}),#REF!,0))</f>
        <v>#REF!</v>
      </c>
      <c r="E99" s="63" t="e">
        <f t="array" ref="E99">SUM(IF((#REF!=$A99)*(#REF!=E$64)*(#REF!={"Q3-23","Q4-23","Q1-24","Q2-24"}),#REF!,0))</f>
        <v>#REF!</v>
      </c>
      <c r="F99" s="63" t="e">
        <f t="array" ref="F99">SUM(IF((#REF!=$A99)*(#REF!=F$64)*(#REF!={"Q3-23","Q4-23","Q1-24","Q2-24"}),#REF!,0))</f>
        <v>#REF!</v>
      </c>
      <c r="G99" s="63" t="e">
        <f t="array" ref="G99">SUM(IF((#REF!=$A99)*(#REF!=G$64)*(#REF!={"Q3-23","Q4-23","Q1-24","Q2-24"}),#REF!,0))</f>
        <v>#REF!</v>
      </c>
      <c r="H99" s="63" t="e">
        <f t="array" ref="H99">SUM(IF((#REF!=$A99)*(#REF!=H$64)*(#REF!={"Q3-23","Q4-23","Q1-24","Q2-24"}),#REF!,0))</f>
        <v>#REF!</v>
      </c>
      <c r="I99" s="63" t="e">
        <f t="array" ref="I99">SUM(#REF!)</f>
        <v>#REF!</v>
      </c>
      <c r="J99" s="64">
        <f>SUMIF(Summary!A:A, 'Meeting Attdnc'!$A99, Summary!C:C)</f>
        <v>0</v>
      </c>
    </row>
    <row r="100" spans="1:10" x14ac:dyDescent="0.3">
      <c r="A100" s="72"/>
      <c r="B100" s="62" t="str">
        <f>IFERROR(VLOOKUP($A100,#REF!, 2,FALSE), " ")</f>
        <v xml:space="preserve"> </v>
      </c>
      <c r="C100" s="63" t="e">
        <f t="array" ref="C100">SUM(IF((#REF!=$A100)*(#REF!=C$64)*(#REF!={"Q3-23","Q4-23","Q1-24","Q2-24"}),#REF!,0))</f>
        <v>#REF!</v>
      </c>
      <c r="D100" s="63" t="e">
        <f t="array" ref="D100">SUM(IF((#REF!=$A100)*(#REF!=D$64)*(#REF!={"Q3-23","Q4-23","Q1-24","Q2-24"}),#REF!,0))</f>
        <v>#REF!</v>
      </c>
      <c r="E100" s="63" t="e">
        <f t="array" ref="E100">SUM(IF((#REF!=$A100)*(#REF!=E$64)*(#REF!={"Q3-23","Q4-23","Q1-24","Q2-24"}),#REF!,0))</f>
        <v>#REF!</v>
      </c>
      <c r="F100" s="63" t="e">
        <f t="array" ref="F100">SUM(IF((#REF!=$A100)*(#REF!=F$64)*(#REF!={"Q3-23","Q4-23","Q1-24","Q2-24"}),#REF!,0))</f>
        <v>#REF!</v>
      </c>
      <c r="G100" s="63" t="e">
        <f t="array" ref="G100">SUM(IF((#REF!=$A100)*(#REF!=G$64)*(#REF!={"Q3-23","Q4-23","Q1-24","Q2-24"}),#REF!,0))</f>
        <v>#REF!</v>
      </c>
      <c r="H100" s="63" t="e">
        <f t="array" ref="H100">SUM(IF((#REF!=$A100)*(#REF!=H$64)*(#REF!={"Q3-23","Q4-23","Q1-24","Q2-24"}),#REF!,0))</f>
        <v>#REF!</v>
      </c>
      <c r="I100" s="63" t="e">
        <f t="array" ref="I100">SUM(#REF!)</f>
        <v>#REF!</v>
      </c>
      <c r="J100" s="64">
        <f>SUMIF(Summary!A:A, 'Meeting Attdnc'!$A100, Summary!C:C)</f>
        <v>0</v>
      </c>
    </row>
  </sheetData>
  <pageMargins left="0.7" right="0.7" top="0.75" bottom="0.75" header="0.3" footer="0.3"/>
  <pageSetup orientation="portrait"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K34"/>
  <sheetViews>
    <sheetView showGridLines="0" topLeftCell="A13" workbookViewId="0">
      <selection activeCell="G32" sqref="G32"/>
    </sheetView>
  </sheetViews>
  <sheetFormatPr defaultColWidth="9.109375" defaultRowHeight="13.8" x14ac:dyDescent="0.3"/>
  <cols>
    <col min="1" max="1" width="9.5546875" style="53" bestFit="1" customWidth="1"/>
    <col min="2" max="2" width="33" style="53" bestFit="1" customWidth="1"/>
    <col min="3" max="3" width="35" style="53" bestFit="1" customWidth="1"/>
    <col min="4" max="4" width="10.5546875" style="129" bestFit="1" customWidth="1"/>
    <col min="5" max="5" width="7.88671875" style="129" bestFit="1" customWidth="1"/>
    <col min="6" max="6" width="8.109375" style="129" bestFit="1" customWidth="1"/>
    <col min="7" max="7" width="9.5546875" style="129" bestFit="1" customWidth="1"/>
    <col min="8" max="8" width="8.6640625" style="129" bestFit="1" customWidth="1"/>
    <col min="9" max="9" width="9.33203125" style="129" bestFit="1" customWidth="1"/>
    <col min="10" max="10" width="9.88671875" style="129" bestFit="1" customWidth="1"/>
    <col min="11" max="11" width="21.88671875" style="53" bestFit="1" customWidth="1"/>
    <col min="12" max="16384" width="9.109375" style="53"/>
  </cols>
  <sheetData>
    <row r="1" spans="1:11" s="83" customFormat="1" x14ac:dyDescent="0.3">
      <c r="A1" s="54" t="s">
        <v>77</v>
      </c>
      <c r="B1" s="55" t="s">
        <v>101</v>
      </c>
      <c r="C1" s="55" t="s">
        <v>6</v>
      </c>
      <c r="D1" s="126" t="s">
        <v>29</v>
      </c>
      <c r="E1" s="126" t="s">
        <v>30</v>
      </c>
      <c r="F1" s="126" t="s">
        <v>37</v>
      </c>
      <c r="G1" s="126" t="s">
        <v>38</v>
      </c>
      <c r="H1" s="126" t="s">
        <v>41</v>
      </c>
      <c r="I1" s="126" t="s">
        <v>43</v>
      </c>
      <c r="J1" s="126" t="s">
        <v>86</v>
      </c>
      <c r="K1" s="82" t="s">
        <v>117</v>
      </c>
    </row>
    <row r="2" spans="1:11" x14ac:dyDescent="0.3">
      <c r="A2" s="84">
        <f t="shared" ref="A2:A34" si="0">IF(C2="Chairman",1,IF(C2="Vice-Chairman",2,IF(C2="Director",3,IF(C2="Independent Director",4,IF(C2="Member, Shariah Supervisory Committee",6,IF(C2="Former Director",7,IF(C2="Managing Director &amp; CEO", 8, IF(C2= "Acting Managing Director &amp; CEO", 9, IF(C2="Chairman, Shariah Supervisory Committee",5, "")))))))))</f>
        <v>5</v>
      </c>
      <c r="B2" s="85" t="str">
        <f>'Meeting Attdnc'!A23</f>
        <v>Professor Dr. Muhammad Abdur Rashid</v>
      </c>
      <c r="C2" s="85" t="str">
        <f>'Meeting Attdnc'!B23</f>
        <v>Chairman, Shariah Supervisory Committee</v>
      </c>
      <c r="D2" s="127">
        <f>'Meeting Attdnc'!C23</f>
        <v>0</v>
      </c>
      <c r="E2" s="127">
        <f>'Meeting Attdnc'!D23</f>
        <v>0</v>
      </c>
      <c r="F2" s="127">
        <f>'Meeting Attdnc'!E23</f>
        <v>0</v>
      </c>
      <c r="G2" s="127">
        <f>'Meeting Attdnc'!F23</f>
        <v>0</v>
      </c>
      <c r="H2" s="127">
        <f>'Meeting Attdnc'!G23</f>
        <v>5</v>
      </c>
      <c r="I2" s="127">
        <f>'Meeting Attdnc'!H23</f>
        <v>0</v>
      </c>
      <c r="J2" s="127">
        <f>'Meeting Attdnc'!I23</f>
        <v>5</v>
      </c>
      <c r="K2" s="88">
        <f>'Meeting Attdnc'!J23</f>
        <v>42000</v>
      </c>
    </row>
    <row r="3" spans="1:11" x14ac:dyDescent="0.3">
      <c r="A3" s="84">
        <f t="shared" si="0"/>
        <v>7</v>
      </c>
      <c r="B3" s="85" t="str">
        <f>'Meeting Attdnc'!A9</f>
        <v>Mr. Kanak Kanti Sen</v>
      </c>
      <c r="C3" s="85" t="str">
        <f>'Meeting Attdnc'!B9</f>
        <v>Former Director</v>
      </c>
      <c r="D3" s="127">
        <f>'Meeting Attdnc'!C9</f>
        <v>8</v>
      </c>
      <c r="E3" s="127">
        <f>'Meeting Attdnc'!D9</f>
        <v>0</v>
      </c>
      <c r="F3" s="127">
        <f>'Meeting Attdnc'!E9</f>
        <v>5</v>
      </c>
      <c r="G3" s="127">
        <f>'Meeting Attdnc'!F9</f>
        <v>0</v>
      </c>
      <c r="H3" s="127">
        <f>'Meeting Attdnc'!G9</f>
        <v>0</v>
      </c>
      <c r="I3" s="127">
        <f>'Meeting Attdnc'!H9</f>
        <v>0</v>
      </c>
      <c r="J3" s="127">
        <f>'Meeting Attdnc'!I9</f>
        <v>13</v>
      </c>
      <c r="K3" s="88">
        <f>'Meeting Attdnc'!J9</f>
        <v>116000</v>
      </c>
    </row>
    <row r="4" spans="1:11" x14ac:dyDescent="0.3">
      <c r="A4" s="84">
        <f t="shared" si="0"/>
        <v>7</v>
      </c>
      <c r="B4" s="85" t="str">
        <f>'Meeting Attdnc'!A10</f>
        <v>Mr. M. A. Sabur</v>
      </c>
      <c r="C4" s="85" t="str">
        <f>'Meeting Attdnc'!B10</f>
        <v>Former Director</v>
      </c>
      <c r="D4" s="127">
        <f>'Meeting Attdnc'!C10</f>
        <v>8</v>
      </c>
      <c r="E4" s="127">
        <f>'Meeting Attdnc'!D10</f>
        <v>7</v>
      </c>
      <c r="F4" s="127">
        <f>'Meeting Attdnc'!E10</f>
        <v>0</v>
      </c>
      <c r="G4" s="127">
        <f>'Meeting Attdnc'!F10</f>
        <v>4</v>
      </c>
      <c r="H4" s="127">
        <f>'Meeting Attdnc'!G10</f>
        <v>0</v>
      </c>
      <c r="I4" s="127">
        <f>'Meeting Attdnc'!H10</f>
        <v>0</v>
      </c>
      <c r="J4" s="127">
        <f>'Meeting Attdnc'!I10</f>
        <v>19</v>
      </c>
      <c r="K4" s="88">
        <f>'Meeting Attdnc'!J10</f>
        <v>166000</v>
      </c>
    </row>
    <row r="5" spans="1:11" x14ac:dyDescent="0.3">
      <c r="A5" s="84" t="str">
        <f t="shared" si="0"/>
        <v/>
      </c>
      <c r="B5" s="85" t="str">
        <f>'Meeting Attdnc'!A7</f>
        <v>Mr. Bashir Ahmed</v>
      </c>
      <c r="C5" s="85" t="str">
        <f>'Meeting Attdnc'!B7</f>
        <v>Former Vice-Chairman</v>
      </c>
      <c r="D5" s="127">
        <f>'Meeting Attdnc'!C7</f>
        <v>6</v>
      </c>
      <c r="E5" s="127">
        <f>'Meeting Attdnc'!D7</f>
        <v>7</v>
      </c>
      <c r="F5" s="127">
        <f>'Meeting Attdnc'!E7</f>
        <v>0</v>
      </c>
      <c r="G5" s="127">
        <f>'Meeting Attdnc'!F7</f>
        <v>0</v>
      </c>
      <c r="H5" s="127">
        <f>'Meeting Attdnc'!G7</f>
        <v>0</v>
      </c>
      <c r="I5" s="127">
        <f>'Meeting Attdnc'!H7</f>
        <v>0</v>
      </c>
      <c r="J5" s="127">
        <f>'Meeting Attdnc'!I7</f>
        <v>13</v>
      </c>
      <c r="K5" s="88">
        <f>'Meeting Attdnc'!J7</f>
        <v>110000</v>
      </c>
    </row>
    <row r="6" spans="1:11" x14ac:dyDescent="0.3">
      <c r="A6" s="84">
        <f t="shared" si="0"/>
        <v>7</v>
      </c>
      <c r="B6" s="85" t="str">
        <f>'Meeting Attdnc'!A14</f>
        <v>Mr. Nurul Islam Chowdhury</v>
      </c>
      <c r="C6" s="85" t="str">
        <f>'Meeting Attdnc'!B14</f>
        <v>Former Director</v>
      </c>
      <c r="D6" s="127">
        <f>'Meeting Attdnc'!C14</f>
        <v>8</v>
      </c>
      <c r="E6" s="127">
        <f>'Meeting Attdnc'!D14</f>
        <v>7</v>
      </c>
      <c r="F6" s="127">
        <f>'Meeting Attdnc'!E14</f>
        <v>0</v>
      </c>
      <c r="G6" s="127">
        <f>'Meeting Attdnc'!F14</f>
        <v>4</v>
      </c>
      <c r="H6" s="127">
        <f>'Meeting Attdnc'!G14</f>
        <v>0</v>
      </c>
      <c r="I6" s="127">
        <f>'Meeting Attdnc'!H14</f>
        <v>0</v>
      </c>
      <c r="J6" s="127">
        <f>'Meeting Attdnc'!I14</f>
        <v>19</v>
      </c>
      <c r="K6" s="88">
        <f>'Meeting Attdnc'!J14</f>
        <v>166000</v>
      </c>
    </row>
    <row r="7" spans="1:11" x14ac:dyDescent="0.3">
      <c r="A7" s="84">
        <f t="shared" si="0"/>
        <v>7</v>
      </c>
      <c r="B7" s="85" t="str">
        <f>'Meeting Attdnc'!A15</f>
        <v>Mr. Syed Kamruzzaman</v>
      </c>
      <c r="C7" s="85" t="str">
        <f>'Meeting Attdnc'!B15</f>
        <v>Former Director</v>
      </c>
      <c r="D7" s="127">
        <f>'Meeting Attdnc'!C15</f>
        <v>6</v>
      </c>
      <c r="E7" s="127">
        <f>'Meeting Attdnc'!D15</f>
        <v>0</v>
      </c>
      <c r="F7" s="127">
        <f>'Meeting Attdnc'!E15</f>
        <v>3</v>
      </c>
      <c r="G7" s="127">
        <f>'Meeting Attdnc'!F15</f>
        <v>0</v>
      </c>
      <c r="H7" s="127">
        <f>'Meeting Attdnc'!G15</f>
        <v>0</v>
      </c>
      <c r="I7" s="127">
        <f>'Meeting Attdnc'!H15</f>
        <v>0</v>
      </c>
      <c r="J7" s="127">
        <f>'Meeting Attdnc'!I15</f>
        <v>9</v>
      </c>
      <c r="K7" s="88">
        <f>'Meeting Attdnc'!J15</f>
        <v>84000</v>
      </c>
    </row>
    <row r="8" spans="1:11" x14ac:dyDescent="0.3">
      <c r="A8" s="84" t="str">
        <f t="shared" si="0"/>
        <v/>
      </c>
      <c r="B8" s="85" t="str">
        <f>'Meeting Attdnc'!A16</f>
        <v>Mr. Touhid Shipar Rafiquzzaman</v>
      </c>
      <c r="C8" s="85" t="str">
        <f>'Meeting Attdnc'!B16</f>
        <v>Former Independent Director</v>
      </c>
      <c r="D8" s="127">
        <f>'Meeting Attdnc'!C16</f>
        <v>7</v>
      </c>
      <c r="E8" s="127">
        <f>'Meeting Attdnc'!D16</f>
        <v>0</v>
      </c>
      <c r="F8" s="127">
        <f>'Meeting Attdnc'!E16</f>
        <v>6</v>
      </c>
      <c r="G8" s="127">
        <f>'Meeting Attdnc'!F16</f>
        <v>0</v>
      </c>
      <c r="H8" s="127">
        <f>'Meeting Attdnc'!G16</f>
        <v>0</v>
      </c>
      <c r="I8" s="127">
        <f>'Meeting Attdnc'!H16</f>
        <v>0</v>
      </c>
      <c r="J8" s="127">
        <f>'Meeting Attdnc'!I16</f>
        <v>13</v>
      </c>
      <c r="K8" s="88">
        <f>'Meeting Attdnc'!J16</f>
        <v>116000</v>
      </c>
    </row>
    <row r="9" spans="1:11" x14ac:dyDescent="0.3">
      <c r="A9" s="84">
        <f t="shared" si="0"/>
        <v>7</v>
      </c>
      <c r="B9" s="85" t="str">
        <f>'Meeting Attdnc'!A17</f>
        <v>Mrs. Masuma Parvin</v>
      </c>
      <c r="C9" s="85" t="str">
        <f>'Meeting Attdnc'!B17</f>
        <v>Former Director</v>
      </c>
      <c r="D9" s="127">
        <f>'Meeting Attdnc'!C17</f>
        <v>9</v>
      </c>
      <c r="E9" s="127">
        <f>'Meeting Attdnc'!D17</f>
        <v>0</v>
      </c>
      <c r="F9" s="127">
        <f>'Meeting Attdnc'!E17</f>
        <v>0</v>
      </c>
      <c r="G9" s="127">
        <f>'Meeting Attdnc'!F17</f>
        <v>0</v>
      </c>
      <c r="H9" s="127">
        <f>'Meeting Attdnc'!G17</f>
        <v>0</v>
      </c>
      <c r="I9" s="127">
        <f>'Meeting Attdnc'!H17</f>
        <v>0</v>
      </c>
      <c r="J9" s="127">
        <f>'Meeting Attdnc'!I17</f>
        <v>9</v>
      </c>
      <c r="K9" s="88">
        <f>'Meeting Attdnc'!J17</f>
        <v>78000</v>
      </c>
    </row>
    <row r="10" spans="1:11" x14ac:dyDescent="0.3">
      <c r="A10" s="84">
        <f t="shared" si="0"/>
        <v>7</v>
      </c>
      <c r="B10" s="85" t="str">
        <f>'Meeting Attdnc'!A18</f>
        <v>Mrs. Rukhmila Zaman</v>
      </c>
      <c r="C10" s="85" t="str">
        <f>'Meeting Attdnc'!B18</f>
        <v>Former Director</v>
      </c>
      <c r="D10" s="127">
        <f>'Meeting Attdnc'!C18</f>
        <v>8</v>
      </c>
      <c r="E10" s="127">
        <f>'Meeting Attdnc'!D18</f>
        <v>0</v>
      </c>
      <c r="F10" s="127">
        <f>'Meeting Attdnc'!E18</f>
        <v>0</v>
      </c>
      <c r="G10" s="127">
        <f>'Meeting Attdnc'!F18</f>
        <v>0</v>
      </c>
      <c r="H10" s="127">
        <f>'Meeting Attdnc'!G18</f>
        <v>0</v>
      </c>
      <c r="I10" s="127">
        <f>'Meeting Attdnc'!H18</f>
        <v>0</v>
      </c>
      <c r="J10" s="127">
        <f>'Meeting Attdnc'!I18</f>
        <v>8</v>
      </c>
      <c r="K10" s="88">
        <f>'Meeting Attdnc'!J18</f>
        <v>68000</v>
      </c>
    </row>
    <row r="11" spans="1:11" x14ac:dyDescent="0.3">
      <c r="A11" s="84">
        <f t="shared" si="0"/>
        <v>7</v>
      </c>
      <c r="B11" s="85" t="str">
        <f>'Meeting Attdnc'!A19</f>
        <v>Ms. Afroza Zaman</v>
      </c>
      <c r="C11" s="85" t="str">
        <f>'Meeting Attdnc'!B19</f>
        <v>Former Director</v>
      </c>
      <c r="D11" s="127">
        <f>'Meeting Attdnc'!C19</f>
        <v>7</v>
      </c>
      <c r="E11" s="127">
        <f>'Meeting Attdnc'!D19</f>
        <v>0</v>
      </c>
      <c r="F11" s="127">
        <f>'Meeting Attdnc'!E19</f>
        <v>0</v>
      </c>
      <c r="G11" s="127">
        <f>'Meeting Attdnc'!F19</f>
        <v>3</v>
      </c>
      <c r="H11" s="127">
        <f>'Meeting Attdnc'!G19</f>
        <v>0</v>
      </c>
      <c r="I11" s="127">
        <f>'Meeting Attdnc'!H19</f>
        <v>0</v>
      </c>
      <c r="J11" s="127">
        <f>'Meeting Attdnc'!I19</f>
        <v>10</v>
      </c>
      <c r="K11" s="88">
        <f>'Meeting Attdnc'!J19</f>
        <v>86000</v>
      </c>
    </row>
    <row r="12" spans="1:11" x14ac:dyDescent="0.3">
      <c r="A12" s="84" t="str">
        <f t="shared" si="0"/>
        <v/>
      </c>
      <c r="B12" s="85" t="str">
        <f>'Meeting Attdnc'!A21</f>
        <v>Professor Dr. Iftekhar Uddin Chowdhury</v>
      </c>
      <c r="C12" s="85" t="str">
        <f>'Meeting Attdnc'!B21</f>
        <v>Former Independent Director</v>
      </c>
      <c r="D12" s="127">
        <f>'Meeting Attdnc'!C21</f>
        <v>9</v>
      </c>
      <c r="E12" s="127">
        <f>'Meeting Attdnc'!D21</f>
        <v>0</v>
      </c>
      <c r="F12" s="127">
        <f>'Meeting Attdnc'!E21</f>
        <v>0</v>
      </c>
      <c r="G12" s="127">
        <f>'Meeting Attdnc'!F21</f>
        <v>4</v>
      </c>
      <c r="H12" s="127">
        <f>'Meeting Attdnc'!G21</f>
        <v>0</v>
      </c>
      <c r="I12" s="127">
        <f>'Meeting Attdnc'!H21</f>
        <v>0</v>
      </c>
      <c r="J12" s="127">
        <f>'Meeting Attdnc'!I21</f>
        <v>13</v>
      </c>
      <c r="K12" s="88">
        <f>'Meeting Attdnc'!J21</f>
        <v>114000</v>
      </c>
    </row>
    <row r="13" spans="1:11" x14ac:dyDescent="0.3">
      <c r="A13" s="84">
        <f t="shared" si="0"/>
        <v>6</v>
      </c>
      <c r="B13" s="85" t="str">
        <f>'Meeting Attdnc'!A24</f>
        <v>Professor Dr. Mohammed Nasir Uddin (Azhary)</v>
      </c>
      <c r="C13" s="85" t="str">
        <f>'Meeting Attdnc'!B24</f>
        <v>Member, Shariah Supervisory Committee</v>
      </c>
      <c r="D13" s="127">
        <f>'Meeting Attdnc'!C24</f>
        <v>0</v>
      </c>
      <c r="E13" s="127">
        <f>'Meeting Attdnc'!D24</f>
        <v>0</v>
      </c>
      <c r="F13" s="127">
        <f>'Meeting Attdnc'!E24</f>
        <v>0</v>
      </c>
      <c r="G13" s="127">
        <f>'Meeting Attdnc'!F24</f>
        <v>0</v>
      </c>
      <c r="H13" s="127">
        <f>'Meeting Attdnc'!G24</f>
        <v>5</v>
      </c>
      <c r="I13" s="127">
        <f>'Meeting Attdnc'!H24</f>
        <v>0</v>
      </c>
      <c r="J13" s="127">
        <f>'Meeting Attdnc'!I24</f>
        <v>5</v>
      </c>
      <c r="K13" s="88">
        <f>'Meeting Attdnc'!J24</f>
        <v>42000</v>
      </c>
    </row>
    <row r="14" spans="1:11" x14ac:dyDescent="0.3">
      <c r="A14" s="84">
        <f t="shared" si="0"/>
        <v>6</v>
      </c>
      <c r="B14" s="85" t="str">
        <f>'Meeting Attdnc'!A22</f>
        <v>Professor Dr. K M Saiful Islam Khan</v>
      </c>
      <c r="C14" s="85" t="str">
        <f>'Meeting Attdnc'!B22</f>
        <v>Member, Shariah Supervisory Committee</v>
      </c>
      <c r="D14" s="127">
        <f>'Meeting Attdnc'!C22</f>
        <v>0</v>
      </c>
      <c r="E14" s="127">
        <f>'Meeting Attdnc'!D22</f>
        <v>0</v>
      </c>
      <c r="F14" s="127">
        <f>'Meeting Attdnc'!E22</f>
        <v>0</v>
      </c>
      <c r="G14" s="127">
        <f>'Meeting Attdnc'!F22</f>
        <v>0</v>
      </c>
      <c r="H14" s="127">
        <f>'Meeting Attdnc'!G22</f>
        <v>5</v>
      </c>
      <c r="I14" s="127">
        <f>'Meeting Attdnc'!H22</f>
        <v>0</v>
      </c>
      <c r="J14" s="127">
        <f>'Meeting Attdnc'!I22</f>
        <v>5</v>
      </c>
      <c r="K14" s="88">
        <f>'Meeting Attdnc'!J22</f>
        <v>42000</v>
      </c>
    </row>
    <row r="15" spans="1:11" x14ac:dyDescent="0.3">
      <c r="A15" s="84">
        <f t="shared" si="0"/>
        <v>7</v>
      </c>
      <c r="B15" s="85" t="str">
        <f>'Meeting Attdnc'!A13</f>
        <v>Mr. Muhammed Shah Alam</v>
      </c>
      <c r="C15" s="85" t="str">
        <f>'Meeting Attdnc'!B13</f>
        <v>Former Director</v>
      </c>
      <c r="D15" s="127">
        <f>'Meeting Attdnc'!C13</f>
        <v>8</v>
      </c>
      <c r="E15" s="127">
        <f>'Meeting Attdnc'!D13</f>
        <v>0</v>
      </c>
      <c r="F15" s="127">
        <f>'Meeting Attdnc'!E13</f>
        <v>5</v>
      </c>
      <c r="G15" s="127">
        <f>'Meeting Attdnc'!F13</f>
        <v>0</v>
      </c>
      <c r="H15" s="127">
        <f>'Meeting Attdnc'!G13</f>
        <v>0</v>
      </c>
      <c r="I15" s="127">
        <f>'Meeting Attdnc'!H13</f>
        <v>0</v>
      </c>
      <c r="J15" s="127">
        <f>'Meeting Attdnc'!I13</f>
        <v>13</v>
      </c>
      <c r="K15" s="88">
        <f>'Meeting Attdnc'!J13</f>
        <v>116000</v>
      </c>
    </row>
    <row r="16" spans="1:11" x14ac:dyDescent="0.3">
      <c r="A16" s="84">
        <f t="shared" si="0"/>
        <v>7</v>
      </c>
      <c r="B16" s="85" t="str">
        <f>'Meeting Attdnc'!A8</f>
        <v>Mr. Bazal Ahmed</v>
      </c>
      <c r="C16" s="85" t="str">
        <f>'Meeting Attdnc'!B8</f>
        <v>Former Director</v>
      </c>
      <c r="D16" s="127">
        <f>'Meeting Attdnc'!C8</f>
        <v>9</v>
      </c>
      <c r="E16" s="127">
        <f>'Meeting Attdnc'!D8</f>
        <v>8</v>
      </c>
      <c r="F16" s="127">
        <f>'Meeting Attdnc'!E8</f>
        <v>0</v>
      </c>
      <c r="G16" s="127">
        <f>'Meeting Attdnc'!F8</f>
        <v>0</v>
      </c>
      <c r="H16" s="127">
        <f>'Meeting Attdnc'!G8</f>
        <v>2</v>
      </c>
      <c r="I16" s="127">
        <f>'Meeting Attdnc'!H8</f>
        <v>0</v>
      </c>
      <c r="J16" s="127">
        <f>'Meeting Attdnc'!I8</f>
        <v>19</v>
      </c>
      <c r="K16" s="88">
        <f>'Meeting Attdnc'!J8</f>
        <v>162000</v>
      </c>
    </row>
    <row r="17" spans="1:11" x14ac:dyDescent="0.3">
      <c r="A17" s="84" t="str">
        <f t="shared" si="0"/>
        <v/>
      </c>
      <c r="B17" s="85" t="str">
        <f>'Meeting Attdnc'!A26</f>
        <v>Mr. Md. Abdul Hannan</v>
      </c>
      <c r="C17" s="85" t="str">
        <f>'Meeting Attdnc'!B26</f>
        <v>Former Independent Director</v>
      </c>
      <c r="D17" s="127">
        <f>'Meeting Attdnc'!C26</f>
        <v>4</v>
      </c>
      <c r="E17" s="127">
        <f>'Meeting Attdnc'!D26</f>
        <v>0</v>
      </c>
      <c r="F17" s="127">
        <f>'Meeting Attdnc'!E26</f>
        <v>0</v>
      </c>
      <c r="G17" s="127">
        <f>'Meeting Attdnc'!F26</f>
        <v>0</v>
      </c>
      <c r="H17" s="127">
        <f>'Meeting Attdnc'!G26</f>
        <v>0</v>
      </c>
      <c r="I17" s="127">
        <f>'Meeting Attdnc'!H26</f>
        <v>0</v>
      </c>
      <c r="J17" s="127">
        <f>'Meeting Attdnc'!I26</f>
        <v>4</v>
      </c>
      <c r="K17" s="88">
        <f>'Meeting Attdnc'!J26</f>
        <v>36000</v>
      </c>
    </row>
    <row r="18" spans="1:11" x14ac:dyDescent="0.3">
      <c r="A18" s="84" t="str">
        <f t="shared" si="0"/>
        <v/>
      </c>
      <c r="B18" s="85" t="str">
        <f>'Meeting Attdnc'!A4</f>
        <v>Dr. Aparup Chowdhury</v>
      </c>
      <c r="C18" s="85" t="str">
        <f>'Meeting Attdnc'!B4</f>
        <v>Former Independent Director</v>
      </c>
      <c r="D18" s="127">
        <f>'Meeting Attdnc'!C4</f>
        <v>7</v>
      </c>
      <c r="E18" s="127">
        <f>'Meeting Attdnc'!D4</f>
        <v>0</v>
      </c>
      <c r="F18" s="127">
        <f>'Meeting Attdnc'!E4</f>
        <v>6</v>
      </c>
      <c r="G18" s="127">
        <f>'Meeting Attdnc'!F4</f>
        <v>0</v>
      </c>
      <c r="H18" s="127">
        <f>'Meeting Attdnc'!G4</f>
        <v>0</v>
      </c>
      <c r="I18" s="127">
        <f>'Meeting Attdnc'!H4</f>
        <v>0</v>
      </c>
      <c r="J18" s="127">
        <f>'Meeting Attdnc'!I4</f>
        <v>13</v>
      </c>
      <c r="K18" s="88">
        <f>'Meeting Attdnc'!J4</f>
        <v>116000</v>
      </c>
    </row>
    <row r="19" spans="1:11" x14ac:dyDescent="0.3">
      <c r="A19" s="84">
        <f t="shared" si="0"/>
        <v>6</v>
      </c>
      <c r="B19" s="85" t="str">
        <f>'Meeting Attdnc'!A20</f>
        <v>Professor Dr. A. F. M. Akbar Hossain</v>
      </c>
      <c r="C19" s="85" t="str">
        <f>'Meeting Attdnc'!B20</f>
        <v>Member, Shariah Supervisory Committee</v>
      </c>
      <c r="D19" s="127">
        <f>'Meeting Attdnc'!C20</f>
        <v>0</v>
      </c>
      <c r="E19" s="127">
        <f>'Meeting Attdnc'!D20</f>
        <v>0</v>
      </c>
      <c r="F19" s="127">
        <f>'Meeting Attdnc'!E20</f>
        <v>0</v>
      </c>
      <c r="G19" s="127">
        <f>'Meeting Attdnc'!F20</f>
        <v>0</v>
      </c>
      <c r="H19" s="127">
        <f>'Meeting Attdnc'!G20</f>
        <v>5</v>
      </c>
      <c r="I19" s="127">
        <f>'Meeting Attdnc'!H20</f>
        <v>0</v>
      </c>
      <c r="J19" s="127">
        <f>'Meeting Attdnc'!I20</f>
        <v>5</v>
      </c>
      <c r="K19" s="88">
        <f>'Meeting Attdnc'!J20</f>
        <v>42000</v>
      </c>
    </row>
    <row r="20" spans="1:11" x14ac:dyDescent="0.3">
      <c r="A20" s="84" t="str">
        <f t="shared" si="0"/>
        <v/>
      </c>
      <c r="B20" s="85">
        <f>'Meeting Attdnc'!A28</f>
        <v>0</v>
      </c>
      <c r="C20" s="85" t="str">
        <f>'Meeting Attdnc'!B28</f>
        <v xml:space="preserve"> </v>
      </c>
      <c r="D20" s="127">
        <f>'Meeting Attdnc'!C28</f>
        <v>0</v>
      </c>
      <c r="E20" s="127">
        <f>'Meeting Attdnc'!D28</f>
        <v>0</v>
      </c>
      <c r="F20" s="127">
        <f>'Meeting Attdnc'!E28</f>
        <v>0</v>
      </c>
      <c r="G20" s="127">
        <f>'Meeting Attdnc'!F28</f>
        <v>0</v>
      </c>
      <c r="H20" s="127">
        <f>'Meeting Attdnc'!G28</f>
        <v>0</v>
      </c>
      <c r="I20" s="127">
        <f>'Meeting Attdnc'!H28</f>
        <v>0</v>
      </c>
      <c r="J20" s="127">
        <f>'Meeting Attdnc'!I28</f>
        <v>0</v>
      </c>
      <c r="K20" s="88">
        <f>'Meeting Attdnc'!J28</f>
        <v>0</v>
      </c>
    </row>
    <row r="21" spans="1:11" x14ac:dyDescent="0.3">
      <c r="A21" s="84">
        <f t="shared" si="0"/>
        <v>6</v>
      </c>
      <c r="B21" s="85" t="str">
        <f>'Meeting Attdnc'!A25</f>
        <v>Associate Professor Dr. Mohammad Manjurur Rahman</v>
      </c>
      <c r="C21" s="85" t="str">
        <f>'Meeting Attdnc'!B25</f>
        <v>Member, Shariah Supervisory Committee</v>
      </c>
      <c r="D21" s="127">
        <f>'Meeting Attdnc'!C25</f>
        <v>0</v>
      </c>
      <c r="E21" s="127">
        <f>'Meeting Attdnc'!D25</f>
        <v>0</v>
      </c>
      <c r="F21" s="127">
        <f>'Meeting Attdnc'!E25</f>
        <v>0</v>
      </c>
      <c r="G21" s="127">
        <f>'Meeting Attdnc'!F25</f>
        <v>0</v>
      </c>
      <c r="H21" s="127">
        <f>'Meeting Attdnc'!G25</f>
        <v>5</v>
      </c>
      <c r="I21" s="127">
        <f>'Meeting Attdnc'!H25</f>
        <v>0</v>
      </c>
      <c r="J21" s="127">
        <f>'Meeting Attdnc'!I25</f>
        <v>5</v>
      </c>
      <c r="K21" s="88">
        <f>'Meeting Attdnc'!J25</f>
        <v>42000</v>
      </c>
    </row>
    <row r="22" spans="1:11" x14ac:dyDescent="0.3">
      <c r="A22" s="84">
        <f t="shared" si="0"/>
        <v>7</v>
      </c>
      <c r="B22" s="85" t="str">
        <f>'Meeting Attdnc'!A5</f>
        <v>Mr. Anisuzzaman Chowdhury</v>
      </c>
      <c r="C22" s="85" t="str">
        <f>'Meeting Attdnc'!B5</f>
        <v>Former Director</v>
      </c>
      <c r="D22" s="127">
        <f>'Meeting Attdnc'!C5</f>
        <v>6</v>
      </c>
      <c r="E22" s="127">
        <f>'Meeting Attdnc'!D5</f>
        <v>8</v>
      </c>
      <c r="F22" s="127">
        <f>'Meeting Attdnc'!E5</f>
        <v>0</v>
      </c>
      <c r="G22" s="127">
        <f>'Meeting Attdnc'!F5</f>
        <v>3</v>
      </c>
      <c r="H22" s="127">
        <f>'Meeting Attdnc'!G5</f>
        <v>0</v>
      </c>
      <c r="I22" s="127">
        <f>'Meeting Attdnc'!H5</f>
        <v>0</v>
      </c>
      <c r="J22" s="127">
        <f>'Meeting Attdnc'!I5</f>
        <v>17</v>
      </c>
      <c r="K22" s="88">
        <f>'Meeting Attdnc'!J5</f>
        <v>144000</v>
      </c>
    </row>
    <row r="23" spans="1:11" x14ac:dyDescent="0.3">
      <c r="A23" s="84">
        <f t="shared" si="0"/>
        <v>7</v>
      </c>
      <c r="B23" s="85" t="str">
        <f>'Meeting Attdnc'!A6</f>
        <v>Mr. Asifuzzaman Chowdhury</v>
      </c>
      <c r="C23" s="85" t="str">
        <f>'Meeting Attdnc'!B6</f>
        <v>Former Director</v>
      </c>
      <c r="D23" s="127">
        <f>'Meeting Attdnc'!C6</f>
        <v>3</v>
      </c>
      <c r="E23" s="127">
        <f>'Meeting Attdnc'!D6</f>
        <v>3</v>
      </c>
      <c r="F23" s="127">
        <f>'Meeting Attdnc'!E6</f>
        <v>0</v>
      </c>
      <c r="G23" s="127">
        <f>'Meeting Attdnc'!F6</f>
        <v>0</v>
      </c>
      <c r="H23" s="127">
        <f>'Meeting Attdnc'!G6</f>
        <v>0</v>
      </c>
      <c r="I23" s="127">
        <f>'Meeting Attdnc'!H6</f>
        <v>0</v>
      </c>
      <c r="J23" s="127">
        <f>'Meeting Attdnc'!I6</f>
        <v>6</v>
      </c>
      <c r="K23" s="88">
        <f>'Meeting Attdnc'!J6</f>
        <v>50000</v>
      </c>
    </row>
    <row r="24" spans="1:11" x14ac:dyDescent="0.3">
      <c r="A24" s="84" t="str">
        <f t="shared" si="0"/>
        <v/>
      </c>
      <c r="B24" s="85">
        <f>'Meeting Attdnc'!A27</f>
        <v>0</v>
      </c>
      <c r="C24" s="85" t="str">
        <f>'Meeting Attdnc'!B27</f>
        <v xml:space="preserve"> </v>
      </c>
      <c r="D24" s="127">
        <f>'Meeting Attdnc'!C27</f>
        <v>0</v>
      </c>
      <c r="E24" s="127">
        <f>'Meeting Attdnc'!D27</f>
        <v>0</v>
      </c>
      <c r="F24" s="127">
        <f>'Meeting Attdnc'!E27</f>
        <v>0</v>
      </c>
      <c r="G24" s="127">
        <f>'Meeting Attdnc'!F27</f>
        <v>0</v>
      </c>
      <c r="H24" s="127">
        <f>'Meeting Attdnc'!G27</f>
        <v>0</v>
      </c>
      <c r="I24" s="127">
        <f>'Meeting Attdnc'!H27</f>
        <v>0</v>
      </c>
      <c r="J24" s="127">
        <f>'Meeting Attdnc'!I27</f>
        <v>0</v>
      </c>
      <c r="K24" s="88">
        <f>'Meeting Attdnc'!J27</f>
        <v>0</v>
      </c>
    </row>
    <row r="25" spans="1:11" x14ac:dyDescent="0.3">
      <c r="A25" s="84">
        <f t="shared" si="0"/>
        <v>7</v>
      </c>
      <c r="B25" s="85" t="str">
        <f>'Meeting Attdnc'!A11</f>
        <v>Mr. Md. Aksed Ali Sarker</v>
      </c>
      <c r="C25" s="85" t="str">
        <f>'Meeting Attdnc'!B11</f>
        <v>Former Director</v>
      </c>
      <c r="D25" s="127">
        <f>'Meeting Attdnc'!C11</f>
        <v>9</v>
      </c>
      <c r="E25" s="127">
        <f>'Meeting Attdnc'!D11</f>
        <v>0</v>
      </c>
      <c r="F25" s="127">
        <f>'Meeting Attdnc'!E11</f>
        <v>0</v>
      </c>
      <c r="G25" s="127">
        <f>'Meeting Attdnc'!F11</f>
        <v>0</v>
      </c>
      <c r="H25" s="127">
        <f>'Meeting Attdnc'!G11</f>
        <v>0</v>
      </c>
      <c r="I25" s="127">
        <f>'Meeting Attdnc'!H11</f>
        <v>0</v>
      </c>
      <c r="J25" s="127">
        <f>'Meeting Attdnc'!I11</f>
        <v>9</v>
      </c>
      <c r="K25" s="88">
        <f>'Meeting Attdnc'!J11</f>
        <v>78000</v>
      </c>
    </row>
    <row r="26" spans="1:11" x14ac:dyDescent="0.3">
      <c r="A26" s="84">
        <f t="shared" si="0"/>
        <v>7</v>
      </c>
      <c r="B26" s="85" t="str">
        <f>'Meeting Attdnc'!A12</f>
        <v>Mr. Md. Nasim Kalam</v>
      </c>
      <c r="C26" s="85" t="str">
        <f>'Meeting Attdnc'!B12</f>
        <v>Former Director</v>
      </c>
      <c r="D26" s="127">
        <f>'Meeting Attdnc'!C12</f>
        <v>5</v>
      </c>
      <c r="E26" s="127">
        <f>'Meeting Attdnc'!D12</f>
        <v>0</v>
      </c>
      <c r="F26" s="127">
        <f>'Meeting Attdnc'!E12</f>
        <v>0</v>
      </c>
      <c r="G26" s="127">
        <f>'Meeting Attdnc'!F12</f>
        <v>0</v>
      </c>
      <c r="H26" s="127">
        <f>'Meeting Attdnc'!G12</f>
        <v>0</v>
      </c>
      <c r="I26" s="127">
        <f>'Meeting Attdnc'!H12</f>
        <v>0</v>
      </c>
      <c r="J26" s="127">
        <f>'Meeting Attdnc'!I12</f>
        <v>5</v>
      </c>
      <c r="K26" s="88">
        <f>'Meeting Attdnc'!J12</f>
        <v>46000</v>
      </c>
    </row>
    <row r="27" spans="1:11" x14ac:dyDescent="0.3">
      <c r="A27" s="84" t="str">
        <f t="shared" si="0"/>
        <v/>
      </c>
      <c r="B27" s="85">
        <f>'Meeting Attdnc'!A30</f>
        <v>0</v>
      </c>
      <c r="C27" s="85" t="str">
        <f>'Meeting Attdnc'!B30</f>
        <v xml:space="preserve"> </v>
      </c>
      <c r="D27" s="127">
        <f>'Meeting Attdnc'!C30</f>
        <v>0</v>
      </c>
      <c r="E27" s="127">
        <f>'Meeting Attdnc'!D30</f>
        <v>0</v>
      </c>
      <c r="F27" s="127">
        <f>'Meeting Attdnc'!E30</f>
        <v>0</v>
      </c>
      <c r="G27" s="127">
        <f>'Meeting Attdnc'!F30</f>
        <v>0</v>
      </c>
      <c r="H27" s="127">
        <f>'Meeting Attdnc'!G30</f>
        <v>0</v>
      </c>
      <c r="I27" s="127">
        <f>'Meeting Attdnc'!H30</f>
        <v>0</v>
      </c>
      <c r="J27" s="127">
        <f>'Meeting Attdnc'!I30</f>
        <v>0</v>
      </c>
      <c r="K27" s="88">
        <f>'Meeting Attdnc'!J30</f>
        <v>0</v>
      </c>
    </row>
    <row r="28" spans="1:11" x14ac:dyDescent="0.3">
      <c r="A28" s="86" t="str">
        <f t="shared" si="0"/>
        <v/>
      </c>
      <c r="B28" s="85">
        <f>'Meeting Attdnc'!A29</f>
        <v>0</v>
      </c>
      <c r="C28" s="85" t="str">
        <f>'Meeting Attdnc'!B29</f>
        <v xml:space="preserve"> </v>
      </c>
      <c r="D28" s="127">
        <f>'Meeting Attdnc'!C29</f>
        <v>0</v>
      </c>
      <c r="E28" s="127">
        <f>'Meeting Attdnc'!D29</f>
        <v>0</v>
      </c>
      <c r="F28" s="127">
        <f>'Meeting Attdnc'!E29</f>
        <v>0</v>
      </c>
      <c r="G28" s="127">
        <f>'Meeting Attdnc'!F29</f>
        <v>0</v>
      </c>
      <c r="H28" s="127">
        <f>'Meeting Attdnc'!G29</f>
        <v>0</v>
      </c>
      <c r="I28" s="127">
        <f>'Meeting Attdnc'!H29</f>
        <v>0</v>
      </c>
      <c r="J28" s="127">
        <f>'Meeting Attdnc'!I29</f>
        <v>0</v>
      </c>
      <c r="K28" s="88">
        <f>'Meeting Attdnc'!J29</f>
        <v>0</v>
      </c>
    </row>
    <row r="29" spans="1:11" x14ac:dyDescent="0.3">
      <c r="A29" s="84" t="str">
        <f t="shared" si="0"/>
        <v/>
      </c>
      <c r="B29" s="85">
        <f>'Meeting Attdnc'!A31</f>
        <v>0</v>
      </c>
      <c r="C29" s="85" t="str">
        <f>'Meeting Attdnc'!B31</f>
        <v xml:space="preserve"> </v>
      </c>
      <c r="D29" s="127">
        <f>'Meeting Attdnc'!C31</f>
        <v>0</v>
      </c>
      <c r="E29" s="127">
        <f>'Meeting Attdnc'!D31</f>
        <v>0</v>
      </c>
      <c r="F29" s="127">
        <f>'Meeting Attdnc'!E31</f>
        <v>0</v>
      </c>
      <c r="G29" s="127">
        <f>'Meeting Attdnc'!F31</f>
        <v>0</v>
      </c>
      <c r="H29" s="127">
        <f>'Meeting Attdnc'!G31</f>
        <v>0</v>
      </c>
      <c r="I29" s="127">
        <f>'Meeting Attdnc'!H31</f>
        <v>0</v>
      </c>
      <c r="J29" s="127">
        <f>'Meeting Attdnc'!I31</f>
        <v>0</v>
      </c>
      <c r="K29" s="88">
        <f>'Meeting Attdnc'!J31</f>
        <v>0</v>
      </c>
    </row>
    <row r="30" spans="1:11" x14ac:dyDescent="0.3">
      <c r="A30" s="84" t="str">
        <f t="shared" si="0"/>
        <v/>
      </c>
      <c r="B30" s="85">
        <f>'Meeting Attdnc'!A32</f>
        <v>0</v>
      </c>
      <c r="C30" s="85" t="str">
        <f>'Meeting Attdnc'!B32</f>
        <v xml:space="preserve"> </v>
      </c>
      <c r="D30" s="127">
        <f>'Meeting Attdnc'!C32</f>
        <v>0</v>
      </c>
      <c r="E30" s="127">
        <f>'Meeting Attdnc'!D32</f>
        <v>0</v>
      </c>
      <c r="F30" s="127">
        <f>'Meeting Attdnc'!E32</f>
        <v>0</v>
      </c>
      <c r="G30" s="127">
        <f>'Meeting Attdnc'!F32</f>
        <v>0</v>
      </c>
      <c r="H30" s="127">
        <f>'Meeting Attdnc'!G32</f>
        <v>0</v>
      </c>
      <c r="I30" s="127">
        <f>'Meeting Attdnc'!H32</f>
        <v>0</v>
      </c>
      <c r="J30" s="127">
        <f>'Meeting Attdnc'!I32</f>
        <v>0</v>
      </c>
      <c r="K30" s="88">
        <f>'Meeting Attdnc'!J32</f>
        <v>0</v>
      </c>
    </row>
    <row r="31" spans="1:11" x14ac:dyDescent="0.3">
      <c r="A31" s="84" t="str">
        <f t="shared" si="0"/>
        <v/>
      </c>
      <c r="B31" s="85">
        <f>'Meeting Attdnc'!A33</f>
        <v>0</v>
      </c>
      <c r="C31" s="85" t="str">
        <f>'Meeting Attdnc'!B33</f>
        <v xml:space="preserve"> </v>
      </c>
      <c r="D31" s="127">
        <f>'Meeting Attdnc'!C33</f>
        <v>0</v>
      </c>
      <c r="E31" s="127">
        <f>'Meeting Attdnc'!D33</f>
        <v>0</v>
      </c>
      <c r="F31" s="127">
        <f>'Meeting Attdnc'!E33</f>
        <v>0</v>
      </c>
      <c r="G31" s="127">
        <f>'Meeting Attdnc'!F33</f>
        <v>0</v>
      </c>
      <c r="H31" s="127">
        <f>'Meeting Attdnc'!G33</f>
        <v>0</v>
      </c>
      <c r="I31" s="127">
        <f>'Meeting Attdnc'!H33</f>
        <v>0</v>
      </c>
      <c r="J31" s="127">
        <f>'Meeting Attdnc'!I33</f>
        <v>0</v>
      </c>
      <c r="K31" s="88">
        <f>'Meeting Attdnc'!J33</f>
        <v>0</v>
      </c>
    </row>
    <row r="32" spans="1:11" x14ac:dyDescent="0.3">
      <c r="A32" s="84" t="str">
        <f t="shared" si="0"/>
        <v/>
      </c>
      <c r="B32" s="85">
        <f>'Meeting Attdnc'!A34</f>
        <v>0</v>
      </c>
      <c r="C32" s="85" t="str">
        <f>'Meeting Attdnc'!B34</f>
        <v xml:space="preserve"> </v>
      </c>
      <c r="D32" s="127">
        <f>'Meeting Attdnc'!C34</f>
        <v>0</v>
      </c>
      <c r="E32" s="127">
        <f>'Meeting Attdnc'!D34</f>
        <v>0</v>
      </c>
      <c r="F32" s="127">
        <f>'Meeting Attdnc'!E34</f>
        <v>0</v>
      </c>
      <c r="G32" s="127">
        <f>'Meeting Attdnc'!F34</f>
        <v>0</v>
      </c>
      <c r="H32" s="127">
        <f>'Meeting Attdnc'!G34</f>
        <v>0</v>
      </c>
      <c r="I32" s="127">
        <f>'Meeting Attdnc'!H34</f>
        <v>0</v>
      </c>
      <c r="J32" s="127">
        <f>'Meeting Attdnc'!I34</f>
        <v>0</v>
      </c>
      <c r="K32" s="88">
        <f>'Meeting Attdnc'!J34</f>
        <v>0</v>
      </c>
    </row>
    <row r="33" spans="1:11" x14ac:dyDescent="0.3">
      <c r="A33" s="84" t="str">
        <f t="shared" si="0"/>
        <v/>
      </c>
      <c r="B33" s="85">
        <f>'Meeting Attdnc'!A35</f>
        <v>0</v>
      </c>
      <c r="C33" s="85" t="str">
        <f>'Meeting Attdnc'!B35</f>
        <v xml:space="preserve"> </v>
      </c>
      <c r="D33" s="127">
        <f>'Meeting Attdnc'!C35</f>
        <v>0</v>
      </c>
      <c r="E33" s="127">
        <f>'Meeting Attdnc'!D35</f>
        <v>0</v>
      </c>
      <c r="F33" s="127">
        <f>'Meeting Attdnc'!E35</f>
        <v>0</v>
      </c>
      <c r="G33" s="127">
        <f>'Meeting Attdnc'!F35</f>
        <v>0</v>
      </c>
      <c r="H33" s="127">
        <f>'Meeting Attdnc'!G35</f>
        <v>0</v>
      </c>
      <c r="I33" s="127">
        <f>'Meeting Attdnc'!H35</f>
        <v>0</v>
      </c>
      <c r="J33" s="127">
        <f>'Meeting Attdnc'!I35</f>
        <v>0</v>
      </c>
      <c r="K33" s="88">
        <f>'Meeting Attdnc'!J35</f>
        <v>0</v>
      </c>
    </row>
    <row r="34" spans="1:11" x14ac:dyDescent="0.3">
      <c r="A34" s="86" t="str">
        <f t="shared" si="0"/>
        <v/>
      </c>
      <c r="B34" s="87">
        <f>'Meeting Attdnc'!A36</f>
        <v>0</v>
      </c>
      <c r="C34" s="87" t="str">
        <f>'Meeting Attdnc'!B36</f>
        <v xml:space="preserve"> </v>
      </c>
      <c r="D34" s="128">
        <f>'Meeting Attdnc'!C36</f>
        <v>0</v>
      </c>
      <c r="E34" s="128">
        <f>'Meeting Attdnc'!D36</f>
        <v>0</v>
      </c>
      <c r="F34" s="128">
        <f>'Meeting Attdnc'!E36</f>
        <v>0</v>
      </c>
      <c r="G34" s="128">
        <f>'Meeting Attdnc'!F36</f>
        <v>0</v>
      </c>
      <c r="H34" s="128">
        <f>'Meeting Attdnc'!G36</f>
        <v>0</v>
      </c>
      <c r="I34" s="128">
        <f>'Meeting Attdnc'!H36</f>
        <v>0</v>
      </c>
      <c r="J34" s="128">
        <f>'Meeting Attdnc'!I36</f>
        <v>0</v>
      </c>
      <c r="K34" s="89">
        <f>'Meeting Attdnc'!J36</f>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AF28"/>
  <sheetViews>
    <sheetView topLeftCell="A19" workbookViewId="0">
      <selection activeCell="I21" sqref="I21"/>
    </sheetView>
  </sheetViews>
  <sheetFormatPr defaultRowHeight="14.4" x14ac:dyDescent="0.3"/>
  <sheetData>
    <row r="1" spans="1:32" ht="374.4" x14ac:dyDescent="0.3">
      <c r="A1" s="51" t="s">
        <v>83</v>
      </c>
      <c r="B1" s="51"/>
      <c r="C1" s="51"/>
      <c r="D1" s="51"/>
      <c r="E1" s="51"/>
      <c r="F1" s="51"/>
      <c r="G1" s="51"/>
      <c r="H1" s="51"/>
      <c r="I1" s="51"/>
      <c r="J1" s="51"/>
      <c r="L1" s="51" t="s">
        <v>85</v>
      </c>
      <c r="M1" s="51"/>
      <c r="N1" s="51"/>
      <c r="O1" s="51"/>
      <c r="P1" s="51"/>
      <c r="Q1" s="51"/>
      <c r="R1" s="51"/>
      <c r="S1" s="51"/>
      <c r="T1" s="51"/>
      <c r="U1" s="51"/>
      <c r="W1" s="51" t="s">
        <v>87</v>
      </c>
      <c r="X1" s="51"/>
      <c r="Y1" s="51"/>
      <c r="Z1" s="51"/>
      <c r="AA1" s="51"/>
      <c r="AB1" s="51"/>
      <c r="AC1" s="51"/>
      <c r="AD1" s="51"/>
      <c r="AE1" s="51"/>
      <c r="AF1" s="51"/>
    </row>
    <row r="2" spans="1:32" x14ac:dyDescent="0.3">
      <c r="A2" s="6" t="s">
        <v>77</v>
      </c>
      <c r="B2" s="3" t="s">
        <v>0</v>
      </c>
      <c r="C2" s="37" t="s">
        <v>29</v>
      </c>
      <c r="D2" s="37" t="s">
        <v>30</v>
      </c>
      <c r="E2" s="37" t="s">
        <v>37</v>
      </c>
      <c r="F2" s="37" t="s">
        <v>38</v>
      </c>
      <c r="G2" s="37" t="s">
        <v>41</v>
      </c>
      <c r="H2" s="37" t="s">
        <v>43</v>
      </c>
      <c r="I2" s="3" t="s">
        <v>86</v>
      </c>
      <c r="J2" s="38" t="s">
        <v>84</v>
      </c>
      <c r="L2" s="6" t="s">
        <v>77</v>
      </c>
      <c r="M2" s="3" t="s">
        <v>0</v>
      </c>
      <c r="N2" s="37" t="s">
        <v>29</v>
      </c>
      <c r="O2" s="37" t="s">
        <v>30</v>
      </c>
      <c r="P2" s="37" t="s">
        <v>37</v>
      </c>
      <c r="Q2" s="37" t="s">
        <v>38</v>
      </c>
      <c r="R2" s="37" t="s">
        <v>41</v>
      </c>
      <c r="S2" s="37" t="s">
        <v>43</v>
      </c>
      <c r="T2" s="37" t="s">
        <v>86</v>
      </c>
      <c r="U2" s="45" t="s">
        <v>84</v>
      </c>
      <c r="W2" s="6" t="s">
        <v>77</v>
      </c>
      <c r="X2" s="3" t="s">
        <v>0</v>
      </c>
      <c r="Y2" s="37" t="s">
        <v>29</v>
      </c>
      <c r="Z2" s="37" t="s">
        <v>30</v>
      </c>
      <c r="AA2" s="37" t="s">
        <v>37</v>
      </c>
      <c r="AB2" s="37" t="s">
        <v>38</v>
      </c>
      <c r="AC2" s="37" t="s">
        <v>41</v>
      </c>
      <c r="AD2" s="37" t="s">
        <v>43</v>
      </c>
      <c r="AE2" s="37" t="s">
        <v>86</v>
      </c>
      <c r="AF2" s="45" t="s">
        <v>84</v>
      </c>
    </row>
    <row r="3" spans="1:32" ht="57.6" x14ac:dyDescent="0.3">
      <c r="A3" s="40">
        <f>ROW()-ROW($A$2)</f>
        <v>1</v>
      </c>
      <c r="B3" s="41" t="s">
        <v>21</v>
      </c>
      <c r="C3" s="39" t="e">
        <f t="array" ref="C3">SUM(IF((#REF!=$B3)*(#REF!=C$2)*(#REF!={"Q3'22","Q4'22","Q1'23","Q2'23"}),#REF!,0))</f>
        <v>#REF!</v>
      </c>
      <c r="D3" s="39" t="e">
        <f t="array" ref="D3">SUM(IF((#REF!=$B3)*(#REF!=D$2)*(#REF!={"Q3'22","Q4'22","Q1'23","Q2'23"}),#REF!,0))</f>
        <v>#REF!</v>
      </c>
      <c r="E3" s="39" t="e">
        <f t="array" ref="E3">SUM(IF((#REF!=$B3)*(#REF!=E$2)*(#REF!={"Q3'22","Q4'22","Q1'23","Q2'23"}),#REF!,0))</f>
        <v>#REF!</v>
      </c>
      <c r="F3" s="39" t="e">
        <f t="array" ref="F3">SUM(IF((#REF!=$B3)*(#REF!=F$2)*(#REF!={"Q3'22","Q4'22","Q1'23","Q2'23"}),#REF!,0))</f>
        <v>#REF!</v>
      </c>
      <c r="G3" s="39" t="e">
        <f t="array" ref="G3">SUM(IF((#REF!=$B3)*(#REF!=G$2)*(#REF!={"Q3'22","Q4'22","Q1'23","Q2'23"}),#REF!,0))</f>
        <v>#REF!</v>
      </c>
      <c r="H3" s="39" t="e">
        <f t="array" ref="H3">SUM(IF((#REF!=$B3)*(#REF!=H$2)*(#REF!={"Q3'22","Q4'22","Q1'23","Q2'23"}),#REF!,0))</f>
        <v>#REF!</v>
      </c>
      <c r="I3" s="41" t="e">
        <f>SUM(#REF!)</f>
        <v>#REF!</v>
      </c>
      <c r="J3" s="42" t="e">
        <f>#REF!*8000</f>
        <v>#REF!</v>
      </c>
      <c r="L3" s="40">
        <f>ROW()-ROW($A$2)</f>
        <v>1</v>
      </c>
      <c r="M3" s="10" t="s">
        <v>21</v>
      </c>
      <c r="N3" s="39" t="e">
        <f t="array" ref="N3">SUM(IF((#REF!=$M3)*(#REF!=N$2)*(#REF!={"Q3-23","Q4-23","Q1-23","Q2-23"}),#REF!,0))</f>
        <v>#REF!</v>
      </c>
      <c r="O3" s="39" t="e">
        <f t="array" ref="O3">SUM(IF((#REF!=$M3)*(#REF!=O$2)*(#REF!={"Q3-23","Q4-23","Q1-23","Q2-23"}),#REF!,0))</f>
        <v>#REF!</v>
      </c>
      <c r="P3" s="39" t="e">
        <f t="array" ref="P3">SUM(IF((#REF!=$M3)*(#REF!=P$2)*(#REF!={"Q3-23","Q4-23","Q1-23","Q2-23"}),#REF!,0))</f>
        <v>#REF!</v>
      </c>
      <c r="Q3" s="39" t="e">
        <f t="array" ref="Q3">SUM(IF((#REF!=$M3)*(#REF!=Q$2)*(#REF!={"Q3-23","Q4-23","Q1-23","Q2-23"}),#REF!,0))</f>
        <v>#REF!</v>
      </c>
      <c r="R3" s="39" t="e">
        <f t="array" ref="R3">SUM(IF((#REF!=$M3)*(#REF!=R$2)*(#REF!={"Q3-23","Q4-23","Q1-23","Q2-23"}),#REF!,0))</f>
        <v>#REF!</v>
      </c>
      <c r="S3" s="39" t="e">
        <f t="array" ref="S3">SUM(IF((#REF!=$M3)*(#REF!=S$2)*(#REF!={"Q3-23","Q4-23","Q1-23","Q2-23"}),#REF!,0))</f>
        <v>#REF!</v>
      </c>
      <c r="T3" s="39" t="e">
        <f>SUM(#REF!)</f>
        <v>#REF!</v>
      </c>
      <c r="U3" s="46" t="e">
        <f>#REF!*8000</f>
        <v>#REF!</v>
      </c>
      <c r="W3" s="40">
        <f>ROW()-ROW($A$2)</f>
        <v>1</v>
      </c>
      <c r="X3" s="41" t="s">
        <v>21</v>
      </c>
      <c r="Y3" s="39" t="e">
        <f t="array" ref="Y3">SUM(IF((#REF!=$X3)*(#REF!=Y$2)*(#REF!={"Q3'23","Q4'23","Q1'24","Q2'24"}),#REF!,0))</f>
        <v>#REF!</v>
      </c>
      <c r="Z3" s="39" t="e">
        <f t="array" ref="Z3">SUM(IF((#REF!=$X3)*(#REF!=Z$2)*(#REF!={"Q3'23","Q4'23","Q1'24","Q2'24"}),#REF!,0))</f>
        <v>#REF!</v>
      </c>
      <c r="AA3" s="39" t="e">
        <f t="array" ref="AA3">SUM(IF((#REF!=$X3)*(#REF!=AA$2)*(#REF!={"Q3'23","Q4'23","Q1'24","Q2'24"}),#REF!,0))</f>
        <v>#REF!</v>
      </c>
      <c r="AB3" s="39" t="e">
        <f t="array" ref="AB3">SUM(IF((#REF!=$X3)*(#REF!=AB$2)*(#REF!={"Q3'23","Q4'23","Q1'24","Q2'24"}),#REF!,0))</f>
        <v>#REF!</v>
      </c>
      <c r="AC3" s="39" t="e">
        <f t="array" ref="AC3">SUM(IF((#REF!=$X3)*(#REF!=AC$2)*(#REF!={"Q3'23","Q4'23","Q1'24","Q2'24"}),#REF!,0))</f>
        <v>#REF!</v>
      </c>
      <c r="AD3" s="39" t="e">
        <f t="array" ref="AD3">SUM(IF((#REF!=$X3)*(#REF!=AD$2)*(#REF!={"Q3'23","Q4'23","Q1'24","Q2'24"}),#REF!,0))</f>
        <v>#REF!</v>
      </c>
      <c r="AE3" s="39" t="e">
        <f>SUM(#REF!)</f>
        <v>#REF!</v>
      </c>
      <c r="AF3" s="46" t="e">
        <f>#REF!*8000</f>
        <v>#REF!</v>
      </c>
    </row>
    <row r="4" spans="1:32" ht="72" x14ac:dyDescent="0.3">
      <c r="A4" s="40">
        <f t="shared" ref="A4:A28" si="0">ROW()-ROW($A$2)</f>
        <v>2</v>
      </c>
      <c r="B4" s="41" t="s">
        <v>18</v>
      </c>
      <c r="C4" s="39" t="e">
        <f t="array" ref="C4">SUM(IF((#REF!=$B4)*(#REF!=C$2)*(#REF!={"Q3'22","Q4'22","Q1'23","Q2'23"}),#REF!,0))</f>
        <v>#REF!</v>
      </c>
      <c r="D4" s="39" t="e">
        <f t="array" ref="D4">SUM(IF((#REF!=$B4)*(#REF!=D$2)*(#REF!={"Q3'22","Q4'22","Q1'23","Q2'23"}),#REF!,0))</f>
        <v>#REF!</v>
      </c>
      <c r="E4" s="39" t="e">
        <f t="array" ref="E4">SUM(IF((#REF!=$B4)*(#REF!=E$2)*(#REF!={"Q3'22","Q4'22","Q1'23","Q2'23"}),#REF!,0))</f>
        <v>#REF!</v>
      </c>
      <c r="F4" s="39" t="e">
        <f t="array" ref="F4">SUM(IF((#REF!=$B4)*(#REF!=F$2)*(#REF!={"Q3'22","Q4'22","Q1'23","Q2'23"}),#REF!,0))</f>
        <v>#REF!</v>
      </c>
      <c r="G4" s="39" t="e">
        <f t="array" ref="G4">SUM(IF((#REF!=$B4)*(#REF!=G$2)*(#REF!={"Q3'22","Q4'22","Q1'23","Q2'23"}),#REF!,0))</f>
        <v>#REF!</v>
      </c>
      <c r="H4" s="39" t="e">
        <f t="array" ref="H4">SUM(IF((#REF!=$B4)*(#REF!=H$2)*(#REF!={"Q3'22","Q4'22","Q1'23","Q2'23"}),#REF!,0))</f>
        <v>#REF!</v>
      </c>
      <c r="I4" s="41" t="e">
        <f>SUM(#REF!)</f>
        <v>#REF!</v>
      </c>
      <c r="J4" s="42" t="e">
        <f>#REF!*8000</f>
        <v>#REF!</v>
      </c>
      <c r="L4" s="40">
        <f t="shared" ref="L4:L23" si="1">ROW()-ROW($A$2)</f>
        <v>2</v>
      </c>
      <c r="M4" s="10" t="s">
        <v>9</v>
      </c>
      <c r="N4" s="39" t="e">
        <f t="array" ref="N4">SUM(IF((#REF!=$M4)*(#REF!=N$2)*(#REF!={"Q3-23","Q4-23","Q1-23","Q2-23"}),#REF!,0))</f>
        <v>#REF!</v>
      </c>
      <c r="O4" s="39" t="e">
        <f t="array" ref="O4">SUM(IF((#REF!=$M4)*(#REF!=O$2)*(#REF!={"Q3-23","Q4-23","Q1-23","Q2-23"}),#REF!,0))</f>
        <v>#REF!</v>
      </c>
      <c r="P4" s="39" t="e">
        <f t="array" ref="P4">SUM(IF((#REF!=$M4)*(#REF!=P$2)*(#REF!={"Q3-23","Q4-23","Q1-23","Q2-23"}),#REF!,0))</f>
        <v>#REF!</v>
      </c>
      <c r="Q4" s="39" t="e">
        <f t="array" ref="Q4">SUM(IF((#REF!=$M4)*(#REF!=Q$2)*(#REF!={"Q3-23","Q4-23","Q1-23","Q2-23"}),#REF!,0))</f>
        <v>#REF!</v>
      </c>
      <c r="R4" s="39" t="e">
        <f t="array" ref="R4">SUM(IF((#REF!=$M4)*(#REF!=R$2)*(#REF!={"Q3-23","Q4-23","Q1-23","Q2-23"}),#REF!,0))</f>
        <v>#REF!</v>
      </c>
      <c r="S4" s="39" t="e">
        <f t="array" ref="S4">SUM(IF((#REF!=$M4)*(#REF!=S$2)*(#REF!={"Q3-23","Q4-23","Q1-23","Q2-23"}),#REF!,0))</f>
        <v>#REF!</v>
      </c>
      <c r="T4" s="39" t="e">
        <f>SUM(#REF!)</f>
        <v>#REF!</v>
      </c>
      <c r="U4" s="46" t="e">
        <f>#REF!*8000</f>
        <v>#REF!</v>
      </c>
      <c r="W4" s="40">
        <f t="shared" ref="W4:W24" si="2">ROW()-ROW($A$2)</f>
        <v>2</v>
      </c>
      <c r="X4" s="41" t="s">
        <v>9</v>
      </c>
      <c r="Y4" s="39" t="e">
        <f t="array" ref="Y4">SUM(IF((#REF!=$X4)*(#REF!=Y$2)*(#REF!={"Q3'23","Q4'23","Q1'24","Q2'24"}),#REF!,0))</f>
        <v>#REF!</v>
      </c>
      <c r="Z4" s="39" t="e">
        <f t="array" ref="Z4">SUM(IF((#REF!=$X4)*(#REF!=Z$2)*(#REF!={"Q3'23","Q4'23","Q1'24","Q2'24"}),#REF!,0))</f>
        <v>#REF!</v>
      </c>
      <c r="AA4" s="39" t="e">
        <f t="array" ref="AA4">SUM(IF((#REF!=$X4)*(#REF!=AA$2)*(#REF!={"Q3'23","Q4'23","Q1'24","Q2'24"}),#REF!,0))</f>
        <v>#REF!</v>
      </c>
      <c r="AB4" s="39" t="e">
        <f t="array" ref="AB4">SUM(IF((#REF!=$X4)*(#REF!=AB$2)*(#REF!={"Q3'23","Q4'23","Q1'24","Q2'24"}),#REF!,0))</f>
        <v>#REF!</v>
      </c>
      <c r="AC4" s="39" t="e">
        <f t="array" ref="AC4">SUM(IF((#REF!=$X4)*(#REF!=AC$2)*(#REF!={"Q3'23","Q4'23","Q1'24","Q2'24"}),#REF!,0))</f>
        <v>#REF!</v>
      </c>
      <c r="AD4" s="39" t="e">
        <f t="array" ref="AD4">SUM(IF((#REF!=$X4)*(#REF!=AD$2)*(#REF!={"Q3'23","Q4'23","Q1'24","Q2'24"}),#REF!,0))</f>
        <v>#REF!</v>
      </c>
      <c r="AE4" s="39" t="e">
        <f>SUM(#REF!)</f>
        <v>#REF!</v>
      </c>
      <c r="AF4" s="46" t="e">
        <f>#REF!*8000</f>
        <v>#REF!</v>
      </c>
    </row>
    <row r="5" spans="1:32" ht="72" x14ac:dyDescent="0.3">
      <c r="A5" s="40">
        <f t="shared" si="0"/>
        <v>3</v>
      </c>
      <c r="B5" s="41" t="s">
        <v>9</v>
      </c>
      <c r="C5" s="39" t="e">
        <f t="array" ref="C5">SUM(IF((#REF!=$B5)*(#REF!=C$2)*(#REF!={"Q3'22","Q4'22","Q1'23","Q2'23"}),#REF!,0))</f>
        <v>#REF!</v>
      </c>
      <c r="D5" s="39" t="e">
        <f t="array" ref="D5">SUM(IF((#REF!=$B5)*(#REF!=D$2)*(#REF!={"Q3'22","Q4'22","Q1'23","Q2'23"}),#REF!,0))</f>
        <v>#REF!</v>
      </c>
      <c r="E5" s="39" t="e">
        <f t="array" ref="E5">SUM(IF((#REF!=$B5)*(#REF!=E$2)*(#REF!={"Q3'22","Q4'22","Q1'23","Q2'23"}),#REF!,0))</f>
        <v>#REF!</v>
      </c>
      <c r="F5" s="39" t="e">
        <f t="array" ref="F5">SUM(IF((#REF!=$B5)*(#REF!=F$2)*(#REF!={"Q3'22","Q4'22","Q1'23","Q2'23"}),#REF!,0))</f>
        <v>#REF!</v>
      </c>
      <c r="G5" s="39" t="e">
        <f t="array" ref="G5">SUM(IF((#REF!=$B5)*(#REF!=G$2)*(#REF!={"Q3'22","Q4'22","Q1'23","Q2'23"}),#REF!,0))</f>
        <v>#REF!</v>
      </c>
      <c r="H5" s="39" t="e">
        <f t="array" ref="H5">SUM(IF((#REF!=$B5)*(#REF!=H$2)*(#REF!={"Q3'22","Q4'22","Q1'23","Q2'23"}),#REF!,0))</f>
        <v>#REF!</v>
      </c>
      <c r="I5" s="41" t="e">
        <f>SUM(#REF!)</f>
        <v>#REF!</v>
      </c>
      <c r="J5" s="42" t="e">
        <f>#REF!*8000</f>
        <v>#REF!</v>
      </c>
      <c r="L5" s="40">
        <f t="shared" si="1"/>
        <v>3</v>
      </c>
      <c r="M5" s="10" t="s">
        <v>13</v>
      </c>
      <c r="N5" s="39" t="e">
        <f t="array" ref="N5">SUM(IF((#REF!=$M5)*(#REF!=N$2)*(#REF!={"Q3-23","Q4-23","Q1-23","Q2-23"}),#REF!,0))</f>
        <v>#REF!</v>
      </c>
      <c r="O5" s="39" t="e">
        <f t="array" ref="O5">SUM(IF((#REF!=$M5)*(#REF!=O$2)*(#REF!={"Q3-23","Q4-23","Q1-23","Q2-23"}),#REF!,0))</f>
        <v>#REF!</v>
      </c>
      <c r="P5" s="39" t="e">
        <f t="array" ref="P5">SUM(IF((#REF!=$M5)*(#REF!=P$2)*(#REF!={"Q3-23","Q4-23","Q1-23","Q2-23"}),#REF!,0))</f>
        <v>#REF!</v>
      </c>
      <c r="Q5" s="39" t="e">
        <f t="array" ref="Q5">SUM(IF((#REF!=$M5)*(#REF!=Q$2)*(#REF!={"Q3-23","Q4-23","Q1-23","Q2-23"}),#REF!,0))</f>
        <v>#REF!</v>
      </c>
      <c r="R5" s="39" t="e">
        <f t="array" ref="R5">SUM(IF((#REF!=$M5)*(#REF!=R$2)*(#REF!={"Q3-23","Q4-23","Q1-23","Q2-23"}),#REF!,0))</f>
        <v>#REF!</v>
      </c>
      <c r="S5" s="39" t="e">
        <f t="array" ref="S5">SUM(IF((#REF!=$M5)*(#REF!=S$2)*(#REF!={"Q3-23","Q4-23","Q1-23","Q2-23"}),#REF!,0))</f>
        <v>#REF!</v>
      </c>
      <c r="T5" s="39" t="e">
        <f>SUM(#REF!)</f>
        <v>#REF!</v>
      </c>
      <c r="U5" s="46" t="e">
        <f>#REF!*8000</f>
        <v>#REF!</v>
      </c>
      <c r="W5" s="40">
        <f t="shared" si="2"/>
        <v>3</v>
      </c>
      <c r="X5" s="41" t="s">
        <v>13</v>
      </c>
      <c r="Y5" s="39" t="e">
        <f t="array" ref="Y5">SUM(IF((#REF!=$X5)*(#REF!=Y$2)*(#REF!={"Q3'23","Q4'23","Q1'24","Q2'24"}),#REF!,0))</f>
        <v>#REF!</v>
      </c>
      <c r="Z5" s="39" t="e">
        <f t="array" ref="Z5">SUM(IF((#REF!=$X5)*(#REF!=Z$2)*(#REF!={"Q3'23","Q4'23","Q1'24","Q2'24"}),#REF!,0))</f>
        <v>#REF!</v>
      </c>
      <c r="AA5" s="39" t="e">
        <f t="array" ref="AA5">SUM(IF((#REF!=$X5)*(#REF!=AA$2)*(#REF!={"Q3'23","Q4'23","Q1'24","Q2'24"}),#REF!,0))</f>
        <v>#REF!</v>
      </c>
      <c r="AB5" s="39" t="e">
        <f t="array" ref="AB5">SUM(IF((#REF!=$X5)*(#REF!=AB$2)*(#REF!={"Q3'23","Q4'23","Q1'24","Q2'24"}),#REF!,0))</f>
        <v>#REF!</v>
      </c>
      <c r="AC5" s="39" t="e">
        <f t="array" ref="AC5">SUM(IF((#REF!=$X5)*(#REF!=AC$2)*(#REF!={"Q3'23","Q4'23","Q1'24","Q2'24"}),#REF!,0))</f>
        <v>#REF!</v>
      </c>
      <c r="AD5" s="39" t="e">
        <f t="array" ref="AD5">SUM(IF((#REF!=$X5)*(#REF!=AD$2)*(#REF!={"Q3'23","Q4'23","Q1'24","Q2'24"}),#REF!,0))</f>
        <v>#REF!</v>
      </c>
      <c r="AE5" s="39" t="e">
        <f>SUM(#REF!)</f>
        <v>#REF!</v>
      </c>
      <c r="AF5" s="46" t="e">
        <f>#REF!*8000</f>
        <v>#REF!</v>
      </c>
    </row>
    <row r="6" spans="1:32" ht="72" x14ac:dyDescent="0.3">
      <c r="A6" s="40">
        <f t="shared" si="0"/>
        <v>4</v>
      </c>
      <c r="B6" s="41" t="s">
        <v>13</v>
      </c>
      <c r="C6" s="39" t="e">
        <f t="array" ref="C6">SUM(IF((#REF!=$B6)*(#REF!=C$2)*(#REF!={"Q3'22","Q4'22","Q1'23","Q2'23"}),#REF!,0))</f>
        <v>#REF!</v>
      </c>
      <c r="D6" s="39" t="e">
        <f t="array" ref="D6">SUM(IF((#REF!=$B6)*(#REF!=D$2)*(#REF!={"Q3'22","Q4'22","Q1'23","Q2'23"}),#REF!,0))</f>
        <v>#REF!</v>
      </c>
      <c r="E6" s="39" t="e">
        <f t="array" ref="E6">SUM(IF((#REF!=$B6)*(#REF!=E$2)*(#REF!={"Q3'22","Q4'22","Q1'23","Q2'23"}),#REF!,0))</f>
        <v>#REF!</v>
      </c>
      <c r="F6" s="39" t="e">
        <f t="array" ref="F6">SUM(IF((#REF!=$B6)*(#REF!=F$2)*(#REF!={"Q3'22","Q4'22","Q1'23","Q2'23"}),#REF!,0))</f>
        <v>#REF!</v>
      </c>
      <c r="G6" s="39" t="e">
        <f t="array" ref="G6">SUM(IF((#REF!=$B6)*(#REF!=G$2)*(#REF!={"Q3'22","Q4'22","Q1'23","Q2'23"}),#REF!,0))</f>
        <v>#REF!</v>
      </c>
      <c r="H6" s="39" t="e">
        <f t="array" ref="H6">SUM(IF((#REF!=$B6)*(#REF!=H$2)*(#REF!={"Q3'22","Q4'22","Q1'23","Q2'23"}),#REF!,0))</f>
        <v>#REF!</v>
      </c>
      <c r="I6" s="41" t="e">
        <f>SUM(#REF!)</f>
        <v>#REF!</v>
      </c>
      <c r="J6" s="42" t="e">
        <f>#REF!*8000</f>
        <v>#REF!</v>
      </c>
      <c r="L6" s="40">
        <f t="shared" si="1"/>
        <v>4</v>
      </c>
      <c r="M6" s="10" t="s">
        <v>8</v>
      </c>
      <c r="N6" s="39" t="e">
        <f t="array" ref="N6">SUM(IF((#REF!=$M6)*(#REF!=N$2)*(#REF!={"Q3-23","Q4-23","Q1-23","Q2-23"}),#REF!,0))</f>
        <v>#REF!</v>
      </c>
      <c r="O6" s="39" t="e">
        <f t="array" ref="O6">SUM(IF((#REF!=$M6)*(#REF!=O$2)*(#REF!={"Q3-23","Q4-23","Q1-23","Q2-23"}),#REF!,0))</f>
        <v>#REF!</v>
      </c>
      <c r="P6" s="39" t="e">
        <f t="array" ref="P6">SUM(IF((#REF!=$M6)*(#REF!=P$2)*(#REF!={"Q3-23","Q4-23","Q1-23","Q2-23"}),#REF!,0))</f>
        <v>#REF!</v>
      </c>
      <c r="Q6" s="39" t="e">
        <f t="array" ref="Q6">SUM(IF((#REF!=$M6)*(#REF!=Q$2)*(#REF!={"Q3-23","Q4-23","Q1-23","Q2-23"}),#REF!,0))</f>
        <v>#REF!</v>
      </c>
      <c r="R6" s="39" t="e">
        <f t="array" ref="R6">SUM(IF((#REF!=$M6)*(#REF!=R$2)*(#REF!={"Q3-23","Q4-23","Q1-23","Q2-23"}),#REF!,0))</f>
        <v>#REF!</v>
      </c>
      <c r="S6" s="39" t="e">
        <f t="array" ref="S6">SUM(IF((#REF!=$M6)*(#REF!=S$2)*(#REF!={"Q3-23","Q4-23","Q1-23","Q2-23"}),#REF!,0))</f>
        <v>#REF!</v>
      </c>
      <c r="T6" s="39" t="e">
        <f>SUM(#REF!)</f>
        <v>#REF!</v>
      </c>
      <c r="U6" s="46" t="e">
        <f>#REF!*8000</f>
        <v>#REF!</v>
      </c>
      <c r="W6" s="40">
        <f t="shared" si="2"/>
        <v>4</v>
      </c>
      <c r="X6" s="41" t="s">
        <v>8</v>
      </c>
      <c r="Y6" s="39" t="e">
        <f t="array" ref="Y6">SUM(IF((#REF!=$X6)*(#REF!=Y$2)*(#REF!={"Q3'23","Q4'23","Q1'24","Q2'24"}),#REF!,0))</f>
        <v>#REF!</v>
      </c>
      <c r="Z6" s="39" t="e">
        <f t="array" ref="Z6">SUM(IF((#REF!=$X6)*(#REF!=Z$2)*(#REF!={"Q3'23","Q4'23","Q1'24","Q2'24"}),#REF!,0))</f>
        <v>#REF!</v>
      </c>
      <c r="AA6" s="39" t="e">
        <f t="array" ref="AA6">SUM(IF((#REF!=$X6)*(#REF!=AA$2)*(#REF!={"Q3'23","Q4'23","Q1'24","Q2'24"}),#REF!,0))</f>
        <v>#REF!</v>
      </c>
      <c r="AB6" s="39" t="e">
        <f t="array" ref="AB6">SUM(IF((#REF!=$X6)*(#REF!=AB$2)*(#REF!={"Q3'23","Q4'23","Q1'24","Q2'24"}),#REF!,0))</f>
        <v>#REF!</v>
      </c>
      <c r="AC6" s="39" t="e">
        <f t="array" ref="AC6">SUM(IF((#REF!=$X6)*(#REF!=AC$2)*(#REF!={"Q3'23","Q4'23","Q1'24","Q2'24"}),#REF!,0))</f>
        <v>#REF!</v>
      </c>
      <c r="AD6" s="39" t="e">
        <f t="array" ref="AD6">SUM(IF((#REF!=$X6)*(#REF!=AD$2)*(#REF!={"Q3'23","Q4'23","Q1'24","Q2'24"}),#REF!,0))</f>
        <v>#REF!</v>
      </c>
      <c r="AE6" s="39" t="e">
        <f>SUM(#REF!)</f>
        <v>#REF!</v>
      </c>
      <c r="AF6" s="46" t="e">
        <f>#REF!*8000</f>
        <v>#REF!</v>
      </c>
    </row>
    <row r="7" spans="1:32" ht="43.2" x14ac:dyDescent="0.3">
      <c r="A7" s="40">
        <f t="shared" si="0"/>
        <v>5</v>
      </c>
      <c r="B7" s="41" t="s">
        <v>8</v>
      </c>
      <c r="C7" s="39" t="e">
        <f t="array" ref="C7">SUM(IF((#REF!=$B7)*(#REF!=C$2)*(#REF!={"Q3'22","Q4'22","Q1'23","Q2'23"}),#REF!,0))</f>
        <v>#REF!</v>
      </c>
      <c r="D7" s="39" t="e">
        <f t="array" ref="D7">SUM(IF((#REF!=$B7)*(#REF!=D$2)*(#REF!={"Q3'22","Q4'22","Q1'23","Q2'23"}),#REF!,0))</f>
        <v>#REF!</v>
      </c>
      <c r="E7" s="39" t="e">
        <f t="array" ref="E7">SUM(IF((#REF!=$B7)*(#REF!=E$2)*(#REF!={"Q3'22","Q4'22","Q1'23","Q2'23"}),#REF!,0))</f>
        <v>#REF!</v>
      </c>
      <c r="F7" s="39" t="e">
        <f t="array" ref="F7">SUM(IF((#REF!=$B7)*(#REF!=F$2)*(#REF!={"Q3'22","Q4'22","Q1'23","Q2'23"}),#REF!,0))</f>
        <v>#REF!</v>
      </c>
      <c r="G7" s="39" t="e">
        <f t="array" ref="G7">SUM(IF((#REF!=$B7)*(#REF!=G$2)*(#REF!={"Q3'22","Q4'22","Q1'23","Q2'23"}),#REF!,0))</f>
        <v>#REF!</v>
      </c>
      <c r="H7" s="39" t="e">
        <f t="array" ref="H7">SUM(IF((#REF!=$B7)*(#REF!=H$2)*(#REF!={"Q3'22","Q4'22","Q1'23","Q2'23"}),#REF!,0))</f>
        <v>#REF!</v>
      </c>
      <c r="I7" s="41" t="e">
        <f>SUM(#REF!)</f>
        <v>#REF!</v>
      </c>
      <c r="J7" s="42" t="e">
        <f>#REF!*8000</f>
        <v>#REF!</v>
      </c>
      <c r="L7" s="40">
        <f t="shared" si="1"/>
        <v>5</v>
      </c>
      <c r="M7" s="10" t="s">
        <v>11</v>
      </c>
      <c r="N7" s="39" t="e">
        <f t="array" ref="N7">SUM(IF((#REF!=$M7)*(#REF!=N$2)*(#REF!={"Q3-23","Q4-23","Q1-23","Q2-23"}),#REF!,0))</f>
        <v>#REF!</v>
      </c>
      <c r="O7" s="39" t="e">
        <f t="array" ref="O7">SUM(IF((#REF!=$M7)*(#REF!=O$2)*(#REF!={"Q3-23","Q4-23","Q1-23","Q2-23"}),#REF!,0))</f>
        <v>#REF!</v>
      </c>
      <c r="P7" s="39" t="e">
        <f t="array" ref="P7">SUM(IF((#REF!=$M7)*(#REF!=P$2)*(#REF!={"Q3-23","Q4-23","Q1-23","Q2-23"}),#REF!,0))</f>
        <v>#REF!</v>
      </c>
      <c r="Q7" s="39" t="e">
        <f t="array" ref="Q7">SUM(IF((#REF!=$M7)*(#REF!=Q$2)*(#REF!={"Q3-23","Q4-23","Q1-23","Q2-23"}),#REF!,0))</f>
        <v>#REF!</v>
      </c>
      <c r="R7" s="39" t="e">
        <f t="array" ref="R7">SUM(IF((#REF!=$M7)*(#REF!=R$2)*(#REF!={"Q3-23","Q4-23","Q1-23","Q2-23"}),#REF!,0))</f>
        <v>#REF!</v>
      </c>
      <c r="S7" s="39" t="e">
        <f t="array" ref="S7">SUM(IF((#REF!=$M7)*(#REF!=S$2)*(#REF!={"Q3-23","Q4-23","Q1-23","Q2-23"}),#REF!,0))</f>
        <v>#REF!</v>
      </c>
      <c r="T7" s="39" t="e">
        <f>SUM(#REF!)</f>
        <v>#REF!</v>
      </c>
      <c r="U7" s="46" t="e">
        <f>#REF!*8000</f>
        <v>#REF!</v>
      </c>
      <c r="W7" s="40">
        <f t="shared" si="2"/>
        <v>5</v>
      </c>
      <c r="X7" s="41" t="s">
        <v>11</v>
      </c>
      <c r="Y7" s="39" t="e">
        <f t="array" ref="Y7">SUM(IF((#REF!=$X7)*(#REF!=Y$2)*(#REF!={"Q3'23","Q4'23","Q1'24","Q2'24"}),#REF!,0))</f>
        <v>#REF!</v>
      </c>
      <c r="Z7" s="39" t="e">
        <f t="array" ref="Z7">SUM(IF((#REF!=$X7)*(#REF!=Z$2)*(#REF!={"Q3'23","Q4'23","Q1'24","Q2'24"}),#REF!,0))</f>
        <v>#REF!</v>
      </c>
      <c r="AA7" s="39" t="e">
        <f t="array" ref="AA7">SUM(IF((#REF!=$X7)*(#REF!=AA$2)*(#REF!={"Q3'23","Q4'23","Q1'24","Q2'24"}),#REF!,0))</f>
        <v>#REF!</v>
      </c>
      <c r="AB7" s="39" t="e">
        <f t="array" ref="AB7">SUM(IF((#REF!=$X7)*(#REF!=AB$2)*(#REF!={"Q3'23","Q4'23","Q1'24","Q2'24"}),#REF!,0))</f>
        <v>#REF!</v>
      </c>
      <c r="AC7" s="39" t="e">
        <f t="array" ref="AC7">SUM(IF((#REF!=$X7)*(#REF!=AC$2)*(#REF!={"Q3'23","Q4'23","Q1'24","Q2'24"}),#REF!,0))</f>
        <v>#REF!</v>
      </c>
      <c r="AD7" s="39" t="e">
        <f t="array" ref="AD7">SUM(IF((#REF!=$X7)*(#REF!=AD$2)*(#REF!={"Q3'23","Q4'23","Q1'24","Q2'24"}),#REF!,0))</f>
        <v>#REF!</v>
      </c>
      <c r="AE7" s="39" t="e">
        <f>SUM(#REF!)</f>
        <v>#REF!</v>
      </c>
      <c r="AF7" s="46" t="e">
        <f>#REF!*8000</f>
        <v>#REF!</v>
      </c>
    </row>
    <row r="8" spans="1:32" ht="57.6" x14ac:dyDescent="0.3">
      <c r="A8" s="40">
        <f t="shared" si="0"/>
        <v>6</v>
      </c>
      <c r="B8" s="41" t="s">
        <v>11</v>
      </c>
      <c r="C8" s="39" t="e">
        <f t="array" ref="C8">SUM(IF((#REF!=$B8)*(#REF!=C$2)*(#REF!={"Q3'22","Q4'22","Q1'23","Q2'23"}),#REF!,0))</f>
        <v>#REF!</v>
      </c>
      <c r="D8" s="39" t="e">
        <f t="array" ref="D8">SUM(IF((#REF!=$B8)*(#REF!=D$2)*(#REF!={"Q3'22","Q4'22","Q1'23","Q2'23"}),#REF!,0))</f>
        <v>#REF!</v>
      </c>
      <c r="E8" s="39" t="e">
        <f t="array" ref="E8">SUM(IF((#REF!=$B8)*(#REF!=E$2)*(#REF!={"Q3'22","Q4'22","Q1'23","Q2'23"}),#REF!,0))</f>
        <v>#REF!</v>
      </c>
      <c r="F8" s="39" t="e">
        <f t="array" ref="F8">SUM(IF((#REF!=$B8)*(#REF!=F$2)*(#REF!={"Q3'22","Q4'22","Q1'23","Q2'23"}),#REF!,0))</f>
        <v>#REF!</v>
      </c>
      <c r="G8" s="39" t="e">
        <f t="array" ref="G8">SUM(IF((#REF!=$B8)*(#REF!=G$2)*(#REF!={"Q3'22","Q4'22","Q1'23","Q2'23"}),#REF!,0))</f>
        <v>#REF!</v>
      </c>
      <c r="H8" s="39" t="e">
        <f t="array" ref="H8">SUM(IF((#REF!=$B8)*(#REF!=H$2)*(#REF!={"Q3'22","Q4'22","Q1'23","Q2'23"}),#REF!,0))</f>
        <v>#REF!</v>
      </c>
      <c r="I8" s="41" t="e">
        <f>SUM(#REF!)</f>
        <v>#REF!</v>
      </c>
      <c r="J8" s="42" t="e">
        <f>#REF!*8000</f>
        <v>#REF!</v>
      </c>
      <c r="L8" s="40">
        <f t="shared" si="1"/>
        <v>6</v>
      </c>
      <c r="M8" s="10" t="s">
        <v>25</v>
      </c>
      <c r="N8" s="39" t="e">
        <f t="array" ref="N8">SUM(IF((#REF!=$M8)*(#REF!=N$2)*(#REF!={"Q3-23","Q4-23","Q1-23","Q2-23"}),#REF!,0))</f>
        <v>#REF!</v>
      </c>
      <c r="O8" s="39" t="e">
        <f t="array" ref="O8">SUM(IF((#REF!=$M8)*(#REF!=O$2)*(#REF!={"Q3-23","Q4-23","Q1-23","Q2-23"}),#REF!,0))</f>
        <v>#REF!</v>
      </c>
      <c r="P8" s="39" t="e">
        <f t="array" ref="P8">SUM(IF((#REF!=$M8)*(#REF!=P$2)*(#REF!={"Q3-23","Q4-23","Q1-23","Q2-23"}),#REF!,0))</f>
        <v>#REF!</v>
      </c>
      <c r="Q8" s="39" t="e">
        <f t="array" ref="Q8">SUM(IF((#REF!=$M8)*(#REF!=Q$2)*(#REF!={"Q3-23","Q4-23","Q1-23","Q2-23"}),#REF!,0))</f>
        <v>#REF!</v>
      </c>
      <c r="R8" s="39" t="e">
        <f t="array" ref="R8">SUM(IF((#REF!=$M8)*(#REF!=R$2)*(#REF!={"Q3-23","Q4-23","Q1-23","Q2-23"}),#REF!,0))</f>
        <v>#REF!</v>
      </c>
      <c r="S8" s="39" t="e">
        <f t="array" ref="S8">SUM(IF((#REF!=$M8)*(#REF!=S$2)*(#REF!={"Q3-23","Q4-23","Q1-23","Q2-23"}),#REF!,0))</f>
        <v>#REF!</v>
      </c>
      <c r="T8" s="39" t="e">
        <f>SUM(#REF!)</f>
        <v>#REF!</v>
      </c>
      <c r="U8" s="46" t="e">
        <f>#REF!*8000</f>
        <v>#REF!</v>
      </c>
      <c r="W8" s="40">
        <f t="shared" si="2"/>
        <v>6</v>
      </c>
      <c r="X8" s="41" t="s">
        <v>15</v>
      </c>
      <c r="Y8" s="39" t="e">
        <f t="array" ref="Y8">SUM(IF((#REF!=$X8)*(#REF!=Y$2)*(#REF!={"Q3'23","Q4'23","Q1'24","Q2'24"}),#REF!,0))</f>
        <v>#REF!</v>
      </c>
      <c r="Z8" s="39" t="e">
        <f t="array" ref="Z8">SUM(IF((#REF!=$X8)*(#REF!=Z$2)*(#REF!={"Q3'23","Q4'23","Q1'24","Q2'24"}),#REF!,0))</f>
        <v>#REF!</v>
      </c>
      <c r="AA8" s="39" t="e">
        <f t="array" ref="AA8">SUM(IF((#REF!=$X8)*(#REF!=AA$2)*(#REF!={"Q3'23","Q4'23","Q1'24","Q2'24"}),#REF!,0))</f>
        <v>#REF!</v>
      </c>
      <c r="AB8" s="39" t="e">
        <f t="array" ref="AB8">SUM(IF((#REF!=$X8)*(#REF!=AB$2)*(#REF!={"Q3'23","Q4'23","Q1'24","Q2'24"}),#REF!,0))</f>
        <v>#REF!</v>
      </c>
      <c r="AC8" s="39" t="e">
        <f t="array" ref="AC8">SUM(IF((#REF!=$X8)*(#REF!=AC$2)*(#REF!={"Q3'23","Q4'23","Q1'24","Q2'24"}),#REF!,0))</f>
        <v>#REF!</v>
      </c>
      <c r="AD8" s="39" t="e">
        <f t="array" ref="AD8">SUM(IF((#REF!=$X8)*(#REF!=AD$2)*(#REF!={"Q3'23","Q4'23","Q1'24","Q2'24"}),#REF!,0))</f>
        <v>#REF!</v>
      </c>
      <c r="AE8" s="39" t="e">
        <f>SUM(#REF!)</f>
        <v>#REF!</v>
      </c>
      <c r="AF8" s="46" t="e">
        <f>#REF!*8000</f>
        <v>#REF!</v>
      </c>
    </row>
    <row r="9" spans="1:32" ht="57.6" x14ac:dyDescent="0.3">
      <c r="A9" s="40">
        <f t="shared" si="0"/>
        <v>7</v>
      </c>
      <c r="B9" s="41" t="s">
        <v>25</v>
      </c>
      <c r="C9" s="39" t="e">
        <f t="array" ref="C9">SUM(IF((#REF!=$B9)*(#REF!=C$2)*(#REF!={"Q3'22","Q4'22","Q1'23","Q2'23"}),#REF!,0))</f>
        <v>#REF!</v>
      </c>
      <c r="D9" s="39" t="e">
        <f t="array" ref="D9">SUM(IF((#REF!=$B9)*(#REF!=D$2)*(#REF!={"Q3'22","Q4'22","Q1'23","Q2'23"}),#REF!,0))</f>
        <v>#REF!</v>
      </c>
      <c r="E9" s="39" t="e">
        <f t="array" ref="E9">SUM(IF((#REF!=$B9)*(#REF!=E$2)*(#REF!={"Q3'22","Q4'22","Q1'23","Q2'23"}),#REF!,0))</f>
        <v>#REF!</v>
      </c>
      <c r="F9" s="39" t="e">
        <f t="array" ref="F9">SUM(IF((#REF!=$B9)*(#REF!=F$2)*(#REF!={"Q3'22","Q4'22","Q1'23","Q2'23"}),#REF!,0))</f>
        <v>#REF!</v>
      </c>
      <c r="G9" s="39" t="e">
        <f t="array" ref="G9">SUM(IF((#REF!=$B9)*(#REF!=G$2)*(#REF!={"Q3'22","Q4'22","Q1'23","Q2'23"}),#REF!,0))</f>
        <v>#REF!</v>
      </c>
      <c r="H9" s="39" t="e">
        <f t="array" ref="H9">SUM(IF((#REF!=$B9)*(#REF!=H$2)*(#REF!={"Q3'22","Q4'22","Q1'23","Q2'23"}),#REF!,0))</f>
        <v>#REF!</v>
      </c>
      <c r="I9" s="41" t="e">
        <f>SUM(#REF!)</f>
        <v>#REF!</v>
      </c>
      <c r="J9" s="42" t="e">
        <f>#REF!*8000</f>
        <v>#REF!</v>
      </c>
      <c r="L9" s="40">
        <f t="shared" si="1"/>
        <v>7</v>
      </c>
      <c r="M9" s="10" t="s">
        <v>15</v>
      </c>
      <c r="N9" s="39" t="e">
        <f t="array" ref="N9">SUM(IF((#REF!=$M9)*(#REF!=N$2)*(#REF!={"Q3-23","Q4-23","Q1-23","Q2-23"}),#REF!,0))</f>
        <v>#REF!</v>
      </c>
      <c r="O9" s="39" t="e">
        <f t="array" ref="O9">SUM(IF((#REF!=$M9)*(#REF!=O$2)*(#REF!={"Q3-23","Q4-23","Q1-23","Q2-23"}),#REF!,0))</f>
        <v>#REF!</v>
      </c>
      <c r="P9" s="39" t="e">
        <f t="array" ref="P9">SUM(IF((#REF!=$M9)*(#REF!=P$2)*(#REF!={"Q3-23","Q4-23","Q1-23","Q2-23"}),#REF!,0))</f>
        <v>#REF!</v>
      </c>
      <c r="Q9" s="39" t="e">
        <f t="array" ref="Q9">SUM(IF((#REF!=$M9)*(#REF!=Q$2)*(#REF!={"Q3-23","Q4-23","Q1-23","Q2-23"}),#REF!,0))</f>
        <v>#REF!</v>
      </c>
      <c r="R9" s="39" t="e">
        <f t="array" ref="R9">SUM(IF((#REF!=$M9)*(#REF!=R$2)*(#REF!={"Q3-23","Q4-23","Q1-23","Q2-23"}),#REF!,0))</f>
        <v>#REF!</v>
      </c>
      <c r="S9" s="39" t="e">
        <f t="array" ref="S9">SUM(IF((#REF!=$M9)*(#REF!=S$2)*(#REF!={"Q3-23","Q4-23","Q1-23","Q2-23"}),#REF!,0))</f>
        <v>#REF!</v>
      </c>
      <c r="T9" s="39" t="e">
        <f>SUM(#REF!)</f>
        <v>#REF!</v>
      </c>
      <c r="U9" s="46" t="e">
        <f>#REF!*8000</f>
        <v>#REF!</v>
      </c>
      <c r="W9" s="40">
        <f t="shared" si="2"/>
        <v>7</v>
      </c>
      <c r="X9" s="41" t="s">
        <v>16</v>
      </c>
      <c r="Y9" s="39" t="e">
        <f t="array" ref="Y9">SUM(IF((#REF!=$X9)*(#REF!=Y$2)*(#REF!={"Q3'23","Q4'23","Q1'24","Q2'24"}),#REF!,0))</f>
        <v>#REF!</v>
      </c>
      <c r="Z9" s="39" t="e">
        <f t="array" ref="Z9">SUM(IF((#REF!=$X9)*(#REF!=Z$2)*(#REF!={"Q3'23","Q4'23","Q1'24","Q2'24"}),#REF!,0))</f>
        <v>#REF!</v>
      </c>
      <c r="AA9" s="39" t="e">
        <f t="array" ref="AA9">SUM(IF((#REF!=$X9)*(#REF!=AA$2)*(#REF!={"Q3'23","Q4'23","Q1'24","Q2'24"}),#REF!,0))</f>
        <v>#REF!</v>
      </c>
      <c r="AB9" s="39" t="e">
        <f t="array" ref="AB9">SUM(IF((#REF!=$X9)*(#REF!=AB$2)*(#REF!={"Q3'23","Q4'23","Q1'24","Q2'24"}),#REF!,0))</f>
        <v>#REF!</v>
      </c>
      <c r="AC9" s="39" t="e">
        <f t="array" ref="AC9">SUM(IF((#REF!=$X9)*(#REF!=AC$2)*(#REF!={"Q3'23","Q4'23","Q1'24","Q2'24"}),#REF!,0))</f>
        <v>#REF!</v>
      </c>
      <c r="AD9" s="39" t="e">
        <f t="array" ref="AD9">SUM(IF((#REF!=$X9)*(#REF!=AD$2)*(#REF!={"Q3'23","Q4'23","Q1'24","Q2'24"}),#REF!,0))</f>
        <v>#REF!</v>
      </c>
      <c r="AE9" s="39" t="e">
        <f>SUM(#REF!)</f>
        <v>#REF!</v>
      </c>
      <c r="AF9" s="46" t="e">
        <f>#REF!*8000</f>
        <v>#REF!</v>
      </c>
    </row>
    <row r="10" spans="1:32" ht="57.6" x14ac:dyDescent="0.3">
      <c r="A10" s="40">
        <f t="shared" si="0"/>
        <v>8</v>
      </c>
      <c r="B10" s="41" t="s">
        <v>15</v>
      </c>
      <c r="C10" s="39" t="e">
        <f t="array" ref="C10">SUM(IF((#REF!=$B10)*(#REF!=C$2)*(#REF!={"Q3'22","Q4'22","Q1'23","Q2'23"}),#REF!,0))</f>
        <v>#REF!</v>
      </c>
      <c r="D10" s="39" t="e">
        <f t="array" ref="D10">SUM(IF((#REF!=$B10)*(#REF!=D$2)*(#REF!={"Q3'22","Q4'22","Q1'23","Q2'23"}),#REF!,0))</f>
        <v>#REF!</v>
      </c>
      <c r="E10" s="39" t="e">
        <f t="array" ref="E10">SUM(IF((#REF!=$B10)*(#REF!=E$2)*(#REF!={"Q3'22","Q4'22","Q1'23","Q2'23"}),#REF!,0))</f>
        <v>#REF!</v>
      </c>
      <c r="F10" s="39" t="e">
        <f t="array" ref="F10">SUM(IF((#REF!=$B10)*(#REF!=F$2)*(#REF!={"Q3'22","Q4'22","Q1'23","Q2'23"}),#REF!,0))</f>
        <v>#REF!</v>
      </c>
      <c r="G10" s="39" t="e">
        <f t="array" ref="G10">SUM(IF((#REF!=$B10)*(#REF!=G$2)*(#REF!={"Q3'22","Q4'22","Q1'23","Q2'23"}),#REF!,0))</f>
        <v>#REF!</v>
      </c>
      <c r="H10" s="39" t="e">
        <f t="array" ref="H10">SUM(IF((#REF!=$B10)*(#REF!=H$2)*(#REF!={"Q3'22","Q4'22","Q1'23","Q2'23"}),#REF!,0))</f>
        <v>#REF!</v>
      </c>
      <c r="I10" s="41" t="e">
        <f>SUM(#REF!)</f>
        <v>#REF!</v>
      </c>
      <c r="J10" s="42" t="e">
        <f>#REF!*8000</f>
        <v>#REF!</v>
      </c>
      <c r="L10" s="40">
        <f t="shared" si="1"/>
        <v>8</v>
      </c>
      <c r="M10" s="10" t="s">
        <v>16</v>
      </c>
      <c r="N10" s="39" t="e">
        <f t="array" ref="N10">SUM(IF((#REF!=$M10)*(#REF!=N$2)*(#REF!={"Q3-23","Q4-23","Q1-23","Q2-23"}),#REF!,0))</f>
        <v>#REF!</v>
      </c>
      <c r="O10" s="39" t="e">
        <f t="array" ref="O10">SUM(IF((#REF!=$M10)*(#REF!=O$2)*(#REF!={"Q3-23","Q4-23","Q1-23","Q2-23"}),#REF!,0))</f>
        <v>#REF!</v>
      </c>
      <c r="P10" s="39" t="e">
        <f t="array" ref="P10">SUM(IF((#REF!=$M10)*(#REF!=P$2)*(#REF!={"Q3-23","Q4-23","Q1-23","Q2-23"}),#REF!,0))</f>
        <v>#REF!</v>
      </c>
      <c r="Q10" s="39" t="e">
        <f t="array" ref="Q10">SUM(IF((#REF!=$M10)*(#REF!=Q$2)*(#REF!={"Q3-23","Q4-23","Q1-23","Q2-23"}),#REF!,0))</f>
        <v>#REF!</v>
      </c>
      <c r="R10" s="39" t="e">
        <f t="array" ref="R10">SUM(IF((#REF!=$M10)*(#REF!=R$2)*(#REF!={"Q3-23","Q4-23","Q1-23","Q2-23"}),#REF!,0))</f>
        <v>#REF!</v>
      </c>
      <c r="S10" s="39" t="e">
        <f t="array" ref="S10">SUM(IF((#REF!=$M10)*(#REF!=S$2)*(#REF!={"Q3-23","Q4-23","Q1-23","Q2-23"}),#REF!,0))</f>
        <v>#REF!</v>
      </c>
      <c r="T10" s="39" t="e">
        <f>SUM(#REF!)</f>
        <v>#REF!</v>
      </c>
      <c r="U10" s="46" t="e">
        <f>#REF!*8000</f>
        <v>#REF!</v>
      </c>
      <c r="W10" s="40">
        <f t="shared" si="2"/>
        <v>8</v>
      </c>
      <c r="X10" s="41" t="s">
        <v>24</v>
      </c>
      <c r="Y10" s="39" t="e">
        <f t="array" ref="Y10">SUM(IF((#REF!=$X10)*(#REF!=Y$2)*(#REF!={"Q3'23","Q4'23","Q1'24","Q2'24"}),#REF!,0))</f>
        <v>#REF!</v>
      </c>
      <c r="Z10" s="39" t="e">
        <f t="array" ref="Z10">SUM(IF((#REF!=$X10)*(#REF!=Z$2)*(#REF!={"Q3'23","Q4'23","Q1'24","Q2'24"}),#REF!,0))</f>
        <v>#REF!</v>
      </c>
      <c r="AA10" s="39" t="e">
        <f t="array" ref="AA10">SUM(IF((#REF!=$X10)*(#REF!=AA$2)*(#REF!={"Q3'23","Q4'23","Q1'24","Q2'24"}),#REF!,0))</f>
        <v>#REF!</v>
      </c>
      <c r="AB10" s="39" t="e">
        <f t="array" ref="AB10">SUM(IF((#REF!=$X10)*(#REF!=AB$2)*(#REF!={"Q3'23","Q4'23","Q1'24","Q2'24"}),#REF!,0))</f>
        <v>#REF!</v>
      </c>
      <c r="AC10" s="39" t="e">
        <f t="array" ref="AC10">SUM(IF((#REF!=$X10)*(#REF!=AC$2)*(#REF!={"Q3'23","Q4'23","Q1'24","Q2'24"}),#REF!,0))</f>
        <v>#REF!</v>
      </c>
      <c r="AD10" s="39" t="e">
        <f t="array" ref="AD10">SUM(IF((#REF!=$X10)*(#REF!=AD$2)*(#REF!={"Q3'23","Q4'23","Q1'24","Q2'24"}),#REF!,0))</f>
        <v>#REF!</v>
      </c>
      <c r="AE10" s="39" t="e">
        <f>SUM(#REF!)</f>
        <v>#REF!</v>
      </c>
      <c r="AF10" s="46" t="e">
        <f>#REF!*8000</f>
        <v>#REF!</v>
      </c>
    </row>
    <row r="11" spans="1:32" ht="57.6" x14ac:dyDescent="0.3">
      <c r="A11" s="40">
        <f t="shared" si="0"/>
        <v>9</v>
      </c>
      <c r="B11" s="41" t="s">
        <v>16</v>
      </c>
      <c r="C11" s="39" t="e">
        <f t="array" ref="C11">SUM(IF((#REF!=$B11)*(#REF!=C$2)*(#REF!={"Q3'22","Q4'22","Q1'23","Q2'23"}),#REF!,0))</f>
        <v>#REF!</v>
      </c>
      <c r="D11" s="39" t="e">
        <f t="array" ref="D11">SUM(IF((#REF!=$B11)*(#REF!=D$2)*(#REF!={"Q3'22","Q4'22","Q1'23","Q2'23"}),#REF!,0))</f>
        <v>#REF!</v>
      </c>
      <c r="E11" s="39" t="e">
        <f t="array" ref="E11">SUM(IF((#REF!=$B11)*(#REF!=E$2)*(#REF!={"Q3'22","Q4'22","Q1'23","Q2'23"}),#REF!,0))</f>
        <v>#REF!</v>
      </c>
      <c r="F11" s="39" t="e">
        <f t="array" ref="F11">SUM(IF((#REF!=$B11)*(#REF!=F$2)*(#REF!={"Q3'22","Q4'22","Q1'23","Q2'23"}),#REF!,0))</f>
        <v>#REF!</v>
      </c>
      <c r="G11" s="39" t="e">
        <f t="array" ref="G11">SUM(IF((#REF!=$B11)*(#REF!=G$2)*(#REF!={"Q3'22","Q4'22","Q1'23","Q2'23"}),#REF!,0))</f>
        <v>#REF!</v>
      </c>
      <c r="H11" s="39" t="e">
        <f t="array" ref="H11">SUM(IF((#REF!=$B11)*(#REF!=H$2)*(#REF!={"Q3'22","Q4'22","Q1'23","Q2'23"}),#REF!,0))</f>
        <v>#REF!</v>
      </c>
      <c r="I11" s="41" t="e">
        <f>SUM(#REF!)</f>
        <v>#REF!</v>
      </c>
      <c r="J11" s="42" t="e">
        <f>#REF!*8000</f>
        <v>#REF!</v>
      </c>
      <c r="L11" s="40">
        <f t="shared" si="1"/>
        <v>9</v>
      </c>
      <c r="M11" s="10" t="s">
        <v>24</v>
      </c>
      <c r="N11" s="39" t="e">
        <f t="array" ref="N11">SUM(IF((#REF!=$M11)*(#REF!=N$2)*(#REF!={"Q3-23","Q4-23","Q1-23","Q2-23"}),#REF!,0))</f>
        <v>#REF!</v>
      </c>
      <c r="O11" s="39" t="e">
        <f t="array" ref="O11">SUM(IF((#REF!=$M11)*(#REF!=O$2)*(#REF!={"Q3-23","Q4-23","Q1-23","Q2-23"}),#REF!,0))</f>
        <v>#REF!</v>
      </c>
      <c r="P11" s="39" t="e">
        <f t="array" ref="P11">SUM(IF((#REF!=$M11)*(#REF!=P$2)*(#REF!={"Q3-23","Q4-23","Q1-23","Q2-23"}),#REF!,0))</f>
        <v>#REF!</v>
      </c>
      <c r="Q11" s="39" t="e">
        <f t="array" ref="Q11">SUM(IF((#REF!=$M11)*(#REF!=Q$2)*(#REF!={"Q3-23","Q4-23","Q1-23","Q2-23"}),#REF!,0))</f>
        <v>#REF!</v>
      </c>
      <c r="R11" s="39" t="e">
        <f t="array" ref="R11">SUM(IF((#REF!=$M11)*(#REF!=R$2)*(#REF!={"Q3-23","Q4-23","Q1-23","Q2-23"}),#REF!,0))</f>
        <v>#REF!</v>
      </c>
      <c r="S11" s="39" t="e">
        <f t="array" ref="S11">SUM(IF((#REF!=$M11)*(#REF!=S$2)*(#REF!={"Q3-23","Q4-23","Q1-23","Q2-23"}),#REF!,0))</f>
        <v>#REF!</v>
      </c>
      <c r="T11" s="39" t="e">
        <f>SUM(#REF!)</f>
        <v>#REF!</v>
      </c>
      <c r="U11" s="46" t="e">
        <f>#REF!*8000</f>
        <v>#REF!</v>
      </c>
      <c r="W11" s="40">
        <f t="shared" si="2"/>
        <v>9</v>
      </c>
      <c r="X11" s="41" t="s">
        <v>12</v>
      </c>
      <c r="Y11" s="39" t="e">
        <f t="array" ref="Y11">SUM(IF((#REF!=$X11)*(#REF!=Y$2)*(#REF!={"Q3'23","Q4'23","Q1'24","Q2'24"}),#REF!,0))</f>
        <v>#REF!</v>
      </c>
      <c r="Z11" s="39" t="e">
        <f t="array" ref="Z11">SUM(IF((#REF!=$X11)*(#REF!=Z$2)*(#REF!={"Q3'23","Q4'23","Q1'24","Q2'24"}),#REF!,0))</f>
        <v>#REF!</v>
      </c>
      <c r="AA11" s="39" t="e">
        <f t="array" ref="AA11">SUM(IF((#REF!=$X11)*(#REF!=AA$2)*(#REF!={"Q3'23","Q4'23","Q1'24","Q2'24"}),#REF!,0))</f>
        <v>#REF!</v>
      </c>
      <c r="AB11" s="39" t="e">
        <f t="array" ref="AB11">SUM(IF((#REF!=$X11)*(#REF!=AB$2)*(#REF!={"Q3'23","Q4'23","Q1'24","Q2'24"}),#REF!,0))</f>
        <v>#REF!</v>
      </c>
      <c r="AC11" s="39" t="e">
        <f t="array" ref="AC11">SUM(IF((#REF!=$X11)*(#REF!=AC$2)*(#REF!={"Q3'23","Q4'23","Q1'24","Q2'24"}),#REF!,0))</f>
        <v>#REF!</v>
      </c>
      <c r="AD11" s="39" t="e">
        <f t="array" ref="AD11">SUM(IF((#REF!=$X11)*(#REF!=AD$2)*(#REF!={"Q3'23","Q4'23","Q1'24","Q2'24"}),#REF!,0))</f>
        <v>#REF!</v>
      </c>
      <c r="AE11" s="39" t="e">
        <f>SUM(#REF!)</f>
        <v>#REF!</v>
      </c>
      <c r="AF11" s="46" t="e">
        <f>#REF!*8000</f>
        <v>#REF!</v>
      </c>
    </row>
    <row r="12" spans="1:32" ht="57.6" x14ac:dyDescent="0.3">
      <c r="A12" s="40">
        <f t="shared" si="0"/>
        <v>10</v>
      </c>
      <c r="B12" s="41" t="s">
        <v>24</v>
      </c>
      <c r="C12" s="39" t="e">
        <f t="array" ref="C12">SUM(IF((#REF!=$B12)*(#REF!=C$2)*(#REF!={"Q3'22","Q4'22","Q1'23","Q2'23"}),#REF!,0))</f>
        <v>#REF!</v>
      </c>
      <c r="D12" s="39" t="e">
        <f t="array" ref="D12">SUM(IF((#REF!=$B12)*(#REF!=D$2)*(#REF!={"Q3'22","Q4'22","Q1'23","Q2'23"}),#REF!,0))</f>
        <v>#REF!</v>
      </c>
      <c r="E12" s="39" t="e">
        <f t="array" ref="E12">SUM(IF((#REF!=$B12)*(#REF!=E$2)*(#REF!={"Q3'22","Q4'22","Q1'23","Q2'23"}),#REF!,0))</f>
        <v>#REF!</v>
      </c>
      <c r="F12" s="39" t="e">
        <f t="array" ref="F12">SUM(IF((#REF!=$B12)*(#REF!=F$2)*(#REF!={"Q3'22","Q4'22","Q1'23","Q2'23"}),#REF!,0))</f>
        <v>#REF!</v>
      </c>
      <c r="G12" s="39" t="e">
        <f t="array" ref="G12">SUM(IF((#REF!=$B12)*(#REF!=G$2)*(#REF!={"Q3'22","Q4'22","Q1'23","Q2'23"}),#REF!,0))</f>
        <v>#REF!</v>
      </c>
      <c r="H12" s="39" t="e">
        <f t="array" ref="H12">SUM(IF((#REF!=$B12)*(#REF!=H$2)*(#REF!={"Q3'22","Q4'22","Q1'23","Q2'23"}),#REF!,0))</f>
        <v>#REF!</v>
      </c>
      <c r="I12" s="41" t="e">
        <f>SUM(#REF!)</f>
        <v>#REF!</v>
      </c>
      <c r="J12" s="42" t="e">
        <f>#REF!*8000</f>
        <v>#REF!</v>
      </c>
      <c r="L12" s="40">
        <f t="shared" si="1"/>
        <v>10</v>
      </c>
      <c r="M12" s="10" t="s">
        <v>12</v>
      </c>
      <c r="N12" s="39" t="e">
        <f t="array" ref="N12">SUM(IF((#REF!=$M12)*(#REF!=N$2)*(#REF!={"Q3-23","Q4-23","Q1-23","Q2-23"}),#REF!,0))</f>
        <v>#REF!</v>
      </c>
      <c r="O12" s="39" t="e">
        <f t="array" ref="O12">SUM(IF((#REF!=$M12)*(#REF!=O$2)*(#REF!={"Q3-23","Q4-23","Q1-23","Q2-23"}),#REF!,0))</f>
        <v>#REF!</v>
      </c>
      <c r="P12" s="39" t="e">
        <f t="array" ref="P12">SUM(IF((#REF!=$M12)*(#REF!=P$2)*(#REF!={"Q3-23","Q4-23","Q1-23","Q2-23"}),#REF!,0))</f>
        <v>#REF!</v>
      </c>
      <c r="Q12" s="39" t="e">
        <f t="array" ref="Q12">SUM(IF((#REF!=$M12)*(#REF!=Q$2)*(#REF!={"Q3-23","Q4-23","Q1-23","Q2-23"}),#REF!,0))</f>
        <v>#REF!</v>
      </c>
      <c r="R12" s="39" t="e">
        <f t="array" ref="R12">SUM(IF((#REF!=$M12)*(#REF!=R$2)*(#REF!={"Q3-23","Q4-23","Q1-23","Q2-23"}),#REF!,0))</f>
        <v>#REF!</v>
      </c>
      <c r="S12" s="39" t="e">
        <f t="array" ref="S12">SUM(IF((#REF!=$M12)*(#REF!=S$2)*(#REF!={"Q3-23","Q4-23","Q1-23","Q2-23"}),#REF!,0))</f>
        <v>#REF!</v>
      </c>
      <c r="T12" s="39" t="e">
        <f>SUM(#REF!)</f>
        <v>#REF!</v>
      </c>
      <c r="U12" s="46" t="e">
        <f>#REF!*8000</f>
        <v>#REF!</v>
      </c>
      <c r="W12" s="40">
        <f t="shared" si="2"/>
        <v>10</v>
      </c>
      <c r="X12" s="41" t="s">
        <v>23</v>
      </c>
      <c r="Y12" s="39" t="e">
        <f t="array" ref="Y12">SUM(IF((#REF!=$X12)*(#REF!=Y$2)*(#REF!={"Q3'23","Q4'23","Q1'24","Q2'24"}),#REF!,0))</f>
        <v>#REF!</v>
      </c>
      <c r="Z12" s="39" t="e">
        <f t="array" ref="Z12">SUM(IF((#REF!=$X12)*(#REF!=Z$2)*(#REF!={"Q3'23","Q4'23","Q1'24","Q2'24"}),#REF!,0))</f>
        <v>#REF!</v>
      </c>
      <c r="AA12" s="39" t="e">
        <f t="array" ref="AA12">SUM(IF((#REF!=$X12)*(#REF!=AA$2)*(#REF!={"Q3'23","Q4'23","Q1'24","Q2'24"}),#REF!,0))</f>
        <v>#REF!</v>
      </c>
      <c r="AB12" s="39" t="e">
        <f t="array" ref="AB12">SUM(IF((#REF!=$X12)*(#REF!=AB$2)*(#REF!={"Q3'23","Q4'23","Q1'24","Q2'24"}),#REF!,0))</f>
        <v>#REF!</v>
      </c>
      <c r="AC12" s="39" t="e">
        <f t="array" ref="AC12">SUM(IF((#REF!=$X12)*(#REF!=AC$2)*(#REF!={"Q3'23","Q4'23","Q1'24","Q2'24"}),#REF!,0))</f>
        <v>#REF!</v>
      </c>
      <c r="AD12" s="39" t="e">
        <f t="array" ref="AD12">SUM(IF((#REF!=$X12)*(#REF!=AD$2)*(#REF!={"Q3'23","Q4'23","Q1'24","Q2'24"}),#REF!,0))</f>
        <v>#REF!</v>
      </c>
      <c r="AE12" s="39" t="e">
        <f>SUM(#REF!)</f>
        <v>#REF!</v>
      </c>
      <c r="AF12" s="46" t="e">
        <f>#REF!*8000</f>
        <v>#REF!</v>
      </c>
    </row>
    <row r="13" spans="1:32" ht="72" x14ac:dyDescent="0.3">
      <c r="A13" s="40">
        <f t="shared" si="0"/>
        <v>11</v>
      </c>
      <c r="B13" s="41" t="s">
        <v>12</v>
      </c>
      <c r="C13" s="39" t="e">
        <f t="array" ref="C13">SUM(IF((#REF!=$B13)*(#REF!=C$2)*(#REF!={"Q3'22","Q4'22","Q1'23","Q2'23"}),#REF!,0))</f>
        <v>#REF!</v>
      </c>
      <c r="D13" s="39" t="e">
        <f t="array" ref="D13">SUM(IF((#REF!=$B13)*(#REF!=D$2)*(#REF!={"Q3'22","Q4'22","Q1'23","Q2'23"}),#REF!,0))</f>
        <v>#REF!</v>
      </c>
      <c r="E13" s="39" t="e">
        <f t="array" ref="E13">SUM(IF((#REF!=$B13)*(#REF!=E$2)*(#REF!={"Q3'22","Q4'22","Q1'23","Q2'23"}),#REF!,0))</f>
        <v>#REF!</v>
      </c>
      <c r="F13" s="39" t="e">
        <f t="array" ref="F13">SUM(IF((#REF!=$B13)*(#REF!=F$2)*(#REF!={"Q3'22","Q4'22","Q1'23","Q2'23"}),#REF!,0))</f>
        <v>#REF!</v>
      </c>
      <c r="G13" s="39" t="e">
        <f t="array" ref="G13">SUM(IF((#REF!=$B13)*(#REF!=G$2)*(#REF!={"Q3'22","Q4'22","Q1'23","Q2'23"}),#REF!,0))</f>
        <v>#REF!</v>
      </c>
      <c r="H13" s="39" t="e">
        <f t="array" ref="H13">SUM(IF((#REF!=$B13)*(#REF!=H$2)*(#REF!={"Q3'22","Q4'22","Q1'23","Q2'23"}),#REF!,0))</f>
        <v>#REF!</v>
      </c>
      <c r="I13" s="41" t="e">
        <f>SUM(#REF!)</f>
        <v>#REF!</v>
      </c>
      <c r="J13" s="42" t="e">
        <f>#REF!*8000</f>
        <v>#REF!</v>
      </c>
      <c r="L13" s="40">
        <f t="shared" si="1"/>
        <v>11</v>
      </c>
      <c r="M13" s="10" t="s">
        <v>23</v>
      </c>
      <c r="N13" s="39" t="e">
        <f t="array" ref="N13">SUM(IF((#REF!=$M13)*(#REF!=N$2)*(#REF!={"Q3-23","Q4-23","Q1-23","Q2-23"}),#REF!,0))</f>
        <v>#REF!</v>
      </c>
      <c r="O13" s="39" t="e">
        <f t="array" ref="O13">SUM(IF((#REF!=$M13)*(#REF!=O$2)*(#REF!={"Q3-23","Q4-23","Q1-23","Q2-23"}),#REF!,0))</f>
        <v>#REF!</v>
      </c>
      <c r="P13" s="39" t="e">
        <f t="array" ref="P13">SUM(IF((#REF!=$M13)*(#REF!=P$2)*(#REF!={"Q3-23","Q4-23","Q1-23","Q2-23"}),#REF!,0))</f>
        <v>#REF!</v>
      </c>
      <c r="Q13" s="39" t="e">
        <f t="array" ref="Q13">SUM(IF((#REF!=$M13)*(#REF!=Q$2)*(#REF!={"Q3-23","Q4-23","Q1-23","Q2-23"}),#REF!,0))</f>
        <v>#REF!</v>
      </c>
      <c r="R13" s="39" t="e">
        <f t="array" ref="R13">SUM(IF((#REF!=$M13)*(#REF!=R$2)*(#REF!={"Q3-23","Q4-23","Q1-23","Q2-23"}),#REF!,0))</f>
        <v>#REF!</v>
      </c>
      <c r="S13" s="39" t="e">
        <f t="array" ref="S13">SUM(IF((#REF!=$M13)*(#REF!=S$2)*(#REF!={"Q3-23","Q4-23","Q1-23","Q2-23"}),#REF!,0))</f>
        <v>#REF!</v>
      </c>
      <c r="T13" s="39" t="e">
        <f>SUM(#REF!)</f>
        <v>#REF!</v>
      </c>
      <c r="U13" s="46" t="e">
        <f>#REF!*8000</f>
        <v>#REF!</v>
      </c>
      <c r="W13" s="40">
        <f t="shared" si="2"/>
        <v>11</v>
      </c>
      <c r="X13" s="41" t="s">
        <v>20</v>
      </c>
      <c r="Y13" s="39" t="e">
        <f t="array" ref="Y13">SUM(IF((#REF!=$X13)*(#REF!=Y$2)*(#REF!={"Q3'23","Q4'23","Q1'24","Q2'24"}),#REF!,0))</f>
        <v>#REF!</v>
      </c>
      <c r="Z13" s="39" t="e">
        <f t="array" ref="Z13">SUM(IF((#REF!=$X13)*(#REF!=Z$2)*(#REF!={"Q3'23","Q4'23","Q1'24","Q2'24"}),#REF!,0))</f>
        <v>#REF!</v>
      </c>
      <c r="AA13" s="39" t="e">
        <f t="array" ref="AA13">SUM(IF((#REF!=$X13)*(#REF!=AA$2)*(#REF!={"Q3'23","Q4'23","Q1'24","Q2'24"}),#REF!,0))</f>
        <v>#REF!</v>
      </c>
      <c r="AB13" s="39" t="e">
        <f t="array" ref="AB13">SUM(IF((#REF!=$X13)*(#REF!=AB$2)*(#REF!={"Q3'23","Q4'23","Q1'24","Q2'24"}),#REF!,0))</f>
        <v>#REF!</v>
      </c>
      <c r="AC13" s="39" t="e">
        <f t="array" ref="AC13">SUM(IF((#REF!=$X13)*(#REF!=AC$2)*(#REF!={"Q3'23","Q4'23","Q1'24","Q2'24"}),#REF!,0))</f>
        <v>#REF!</v>
      </c>
      <c r="AD13" s="39" t="e">
        <f t="array" ref="AD13">SUM(IF((#REF!=$X13)*(#REF!=AD$2)*(#REF!={"Q3'23","Q4'23","Q1'24","Q2'24"}),#REF!,0))</f>
        <v>#REF!</v>
      </c>
      <c r="AE13" s="39" t="e">
        <f>SUM(#REF!)</f>
        <v>#REF!</v>
      </c>
      <c r="AF13" s="46" t="e">
        <f>#REF!*8000</f>
        <v>#REF!</v>
      </c>
    </row>
    <row r="14" spans="1:32" ht="72" x14ac:dyDescent="0.3">
      <c r="A14" s="40">
        <f t="shared" si="0"/>
        <v>12</v>
      </c>
      <c r="B14" s="41" t="s">
        <v>23</v>
      </c>
      <c r="C14" s="39" t="e">
        <f t="array" ref="C14">SUM(IF((#REF!=$B14)*(#REF!=C$2)*(#REF!={"Q3'22","Q4'22","Q1'23","Q2'23"}),#REF!,0))</f>
        <v>#REF!</v>
      </c>
      <c r="D14" s="39" t="e">
        <f t="array" ref="D14">SUM(IF((#REF!=$B14)*(#REF!=D$2)*(#REF!={"Q3'22","Q4'22","Q1'23","Q2'23"}),#REF!,0))</f>
        <v>#REF!</v>
      </c>
      <c r="E14" s="39" t="e">
        <f t="array" ref="E14">SUM(IF((#REF!=$B14)*(#REF!=E$2)*(#REF!={"Q3'22","Q4'22","Q1'23","Q2'23"}),#REF!,0))</f>
        <v>#REF!</v>
      </c>
      <c r="F14" s="39" t="e">
        <f t="array" ref="F14">SUM(IF((#REF!=$B14)*(#REF!=F$2)*(#REF!={"Q3'22","Q4'22","Q1'23","Q2'23"}),#REF!,0))</f>
        <v>#REF!</v>
      </c>
      <c r="G14" s="39" t="e">
        <f t="array" ref="G14">SUM(IF((#REF!=$B14)*(#REF!=G$2)*(#REF!={"Q3'22","Q4'22","Q1'23","Q2'23"}),#REF!,0))</f>
        <v>#REF!</v>
      </c>
      <c r="H14" s="39" t="e">
        <f t="array" ref="H14">SUM(IF((#REF!=$B14)*(#REF!=H$2)*(#REF!={"Q3'22","Q4'22","Q1'23","Q2'23"}),#REF!,0))</f>
        <v>#REF!</v>
      </c>
      <c r="I14" s="41" t="e">
        <f>SUM(#REF!)</f>
        <v>#REF!</v>
      </c>
      <c r="J14" s="42" t="e">
        <f>#REF!*8000</f>
        <v>#REF!</v>
      </c>
      <c r="L14" s="40">
        <f t="shared" si="1"/>
        <v>12</v>
      </c>
      <c r="M14" s="10" t="s">
        <v>20</v>
      </c>
      <c r="N14" s="39" t="e">
        <f t="array" ref="N14">SUM(IF((#REF!=$M14)*(#REF!=N$2)*(#REF!={"Q3-23","Q4-23","Q1-23","Q2-23"}),#REF!,0))</f>
        <v>#REF!</v>
      </c>
      <c r="O14" s="39" t="e">
        <f t="array" ref="O14">SUM(IF((#REF!=$M14)*(#REF!=O$2)*(#REF!={"Q3-23","Q4-23","Q1-23","Q2-23"}),#REF!,0))</f>
        <v>#REF!</v>
      </c>
      <c r="P14" s="39" t="e">
        <f t="array" ref="P14">SUM(IF((#REF!=$M14)*(#REF!=P$2)*(#REF!={"Q3-23","Q4-23","Q1-23","Q2-23"}),#REF!,0))</f>
        <v>#REF!</v>
      </c>
      <c r="Q14" s="39" t="e">
        <f t="array" ref="Q14">SUM(IF((#REF!=$M14)*(#REF!=Q$2)*(#REF!={"Q3-23","Q4-23","Q1-23","Q2-23"}),#REF!,0))</f>
        <v>#REF!</v>
      </c>
      <c r="R14" s="39" t="e">
        <f t="array" ref="R14">SUM(IF((#REF!=$M14)*(#REF!=R$2)*(#REF!={"Q3-23","Q4-23","Q1-23","Q2-23"}),#REF!,0))</f>
        <v>#REF!</v>
      </c>
      <c r="S14" s="39" t="e">
        <f t="array" ref="S14">SUM(IF((#REF!=$M14)*(#REF!=S$2)*(#REF!={"Q3-23","Q4-23","Q1-23","Q2-23"}),#REF!,0))</f>
        <v>#REF!</v>
      </c>
      <c r="T14" s="39" t="e">
        <f>SUM(#REF!)</f>
        <v>#REF!</v>
      </c>
      <c r="U14" s="46" t="e">
        <f>#REF!*8000</f>
        <v>#REF!</v>
      </c>
      <c r="W14" s="40">
        <f t="shared" si="2"/>
        <v>12</v>
      </c>
      <c r="X14" s="41" t="s">
        <v>14</v>
      </c>
      <c r="Y14" s="39" t="e">
        <f t="array" ref="Y14">SUM(IF((#REF!=$X14)*(#REF!=Y$2)*(#REF!={"Q3'23","Q4'23","Q1'24","Q2'24"}),#REF!,0))</f>
        <v>#REF!</v>
      </c>
      <c r="Z14" s="39" t="e">
        <f t="array" ref="Z14">SUM(IF((#REF!=$X14)*(#REF!=Z$2)*(#REF!={"Q3'23","Q4'23","Q1'24","Q2'24"}),#REF!,0))</f>
        <v>#REF!</v>
      </c>
      <c r="AA14" s="39" t="e">
        <f t="array" ref="AA14">SUM(IF((#REF!=$X14)*(#REF!=AA$2)*(#REF!={"Q3'23","Q4'23","Q1'24","Q2'24"}),#REF!,0))</f>
        <v>#REF!</v>
      </c>
      <c r="AB14" s="39" t="e">
        <f t="array" ref="AB14">SUM(IF((#REF!=$X14)*(#REF!=AB$2)*(#REF!={"Q3'23","Q4'23","Q1'24","Q2'24"}),#REF!,0))</f>
        <v>#REF!</v>
      </c>
      <c r="AC14" s="39" t="e">
        <f t="array" ref="AC14">SUM(IF((#REF!=$X14)*(#REF!=AC$2)*(#REF!={"Q3'23","Q4'23","Q1'24","Q2'24"}),#REF!,0))</f>
        <v>#REF!</v>
      </c>
      <c r="AD14" s="39" t="e">
        <f t="array" ref="AD14">SUM(IF((#REF!=$X14)*(#REF!=AD$2)*(#REF!={"Q3'23","Q4'23","Q1'24","Q2'24"}),#REF!,0))</f>
        <v>#REF!</v>
      </c>
      <c r="AE14" s="39" t="e">
        <f>SUM(#REF!)</f>
        <v>#REF!</v>
      </c>
      <c r="AF14" s="46" t="e">
        <f>#REF!*8000</f>
        <v>#REF!</v>
      </c>
    </row>
    <row r="15" spans="1:32" ht="72" x14ac:dyDescent="0.3">
      <c r="A15" s="40">
        <f t="shared" si="0"/>
        <v>13</v>
      </c>
      <c r="B15" s="41" t="s">
        <v>20</v>
      </c>
      <c r="C15" s="39" t="e">
        <f t="array" ref="C15">SUM(IF((#REF!=$B15)*(#REF!=C$2)*(#REF!={"Q3'22","Q4'22","Q1'23","Q2'23"}),#REF!,0))</f>
        <v>#REF!</v>
      </c>
      <c r="D15" s="39" t="e">
        <f t="array" ref="D15">SUM(IF((#REF!=$B15)*(#REF!=D$2)*(#REF!={"Q3'22","Q4'22","Q1'23","Q2'23"}),#REF!,0))</f>
        <v>#REF!</v>
      </c>
      <c r="E15" s="39" t="e">
        <f t="array" ref="E15">SUM(IF((#REF!=$B15)*(#REF!=E$2)*(#REF!={"Q3'22","Q4'22","Q1'23","Q2'23"}),#REF!,0))</f>
        <v>#REF!</v>
      </c>
      <c r="F15" s="39" t="e">
        <f t="array" ref="F15">SUM(IF((#REF!=$B15)*(#REF!=F$2)*(#REF!={"Q3'22","Q4'22","Q1'23","Q2'23"}),#REF!,0))</f>
        <v>#REF!</v>
      </c>
      <c r="G15" s="39" t="e">
        <f t="array" ref="G15">SUM(IF((#REF!=$B15)*(#REF!=G$2)*(#REF!={"Q3'22","Q4'22","Q1'23","Q2'23"}),#REF!,0))</f>
        <v>#REF!</v>
      </c>
      <c r="H15" s="39" t="e">
        <f t="array" ref="H15">SUM(IF((#REF!=$B15)*(#REF!=H$2)*(#REF!={"Q3'22","Q4'22","Q1'23","Q2'23"}),#REF!,0))</f>
        <v>#REF!</v>
      </c>
      <c r="I15" s="41" t="e">
        <f>SUM(#REF!)</f>
        <v>#REF!</v>
      </c>
      <c r="J15" s="42" t="e">
        <f>#REF!*8000</f>
        <v>#REF!</v>
      </c>
      <c r="L15" s="40">
        <f t="shared" si="1"/>
        <v>13</v>
      </c>
      <c r="M15" s="10" t="s">
        <v>14</v>
      </c>
      <c r="N15" s="39" t="e">
        <f t="array" ref="N15">SUM(IF((#REF!=$M15)*(#REF!=N$2)*(#REF!={"Q3-23","Q4-23","Q1-23","Q2-23"}),#REF!,0))</f>
        <v>#REF!</v>
      </c>
      <c r="O15" s="39" t="e">
        <f t="array" ref="O15">SUM(IF((#REF!=$M15)*(#REF!=O$2)*(#REF!={"Q3-23","Q4-23","Q1-23","Q2-23"}),#REF!,0))</f>
        <v>#REF!</v>
      </c>
      <c r="P15" s="39" t="e">
        <f t="array" ref="P15">SUM(IF((#REF!=$M15)*(#REF!=P$2)*(#REF!={"Q3-23","Q4-23","Q1-23","Q2-23"}),#REF!,0))</f>
        <v>#REF!</v>
      </c>
      <c r="Q15" s="39" t="e">
        <f t="array" ref="Q15">SUM(IF((#REF!=$M15)*(#REF!=Q$2)*(#REF!={"Q3-23","Q4-23","Q1-23","Q2-23"}),#REF!,0))</f>
        <v>#REF!</v>
      </c>
      <c r="R15" s="39" t="e">
        <f t="array" ref="R15">SUM(IF((#REF!=$M15)*(#REF!=R$2)*(#REF!={"Q3-23","Q4-23","Q1-23","Q2-23"}),#REF!,0))</f>
        <v>#REF!</v>
      </c>
      <c r="S15" s="39" t="e">
        <f t="array" ref="S15">SUM(IF((#REF!=$M15)*(#REF!=S$2)*(#REF!={"Q3-23","Q4-23","Q1-23","Q2-23"}),#REF!,0))</f>
        <v>#REF!</v>
      </c>
      <c r="T15" s="39" t="e">
        <f>SUM(#REF!)</f>
        <v>#REF!</v>
      </c>
      <c r="U15" s="46" t="e">
        <f>#REF!*8000</f>
        <v>#REF!</v>
      </c>
      <c r="W15" s="40">
        <f t="shared" si="2"/>
        <v>13</v>
      </c>
      <c r="X15" s="41" t="s">
        <v>19</v>
      </c>
      <c r="Y15" s="39" t="e">
        <f t="array" ref="Y15">SUM(IF((#REF!=$X15)*(#REF!=Y$2)*(#REF!={"Q3'23","Q4'23","Q1'24","Q2'24"}),#REF!,0))</f>
        <v>#REF!</v>
      </c>
      <c r="Z15" s="39" t="e">
        <f t="array" ref="Z15">SUM(IF((#REF!=$X15)*(#REF!=Z$2)*(#REF!={"Q3'23","Q4'23","Q1'24","Q2'24"}),#REF!,0))</f>
        <v>#REF!</v>
      </c>
      <c r="AA15" s="39" t="e">
        <f t="array" ref="AA15">SUM(IF((#REF!=$X15)*(#REF!=AA$2)*(#REF!={"Q3'23","Q4'23","Q1'24","Q2'24"}),#REF!,0))</f>
        <v>#REF!</v>
      </c>
      <c r="AB15" s="39" t="e">
        <f t="array" ref="AB15">SUM(IF((#REF!=$X15)*(#REF!=AB$2)*(#REF!={"Q3'23","Q4'23","Q1'24","Q2'24"}),#REF!,0))</f>
        <v>#REF!</v>
      </c>
      <c r="AC15" s="39" t="e">
        <f t="array" ref="AC15">SUM(IF((#REF!=$X15)*(#REF!=AC$2)*(#REF!={"Q3'23","Q4'23","Q1'24","Q2'24"}),#REF!,0))</f>
        <v>#REF!</v>
      </c>
      <c r="AD15" s="39" t="e">
        <f t="array" ref="AD15">SUM(IF((#REF!=$X15)*(#REF!=AD$2)*(#REF!={"Q3'23","Q4'23","Q1'24","Q2'24"}),#REF!,0))</f>
        <v>#REF!</v>
      </c>
      <c r="AE15" s="39" t="e">
        <f>SUM(#REF!)</f>
        <v>#REF!</v>
      </c>
      <c r="AF15" s="46" t="e">
        <f>#REF!*8000</f>
        <v>#REF!</v>
      </c>
    </row>
    <row r="16" spans="1:32" ht="43.2" x14ac:dyDescent="0.3">
      <c r="A16" s="40">
        <f t="shared" si="0"/>
        <v>14</v>
      </c>
      <c r="B16" s="41" t="s">
        <v>14</v>
      </c>
      <c r="C16" s="39" t="e">
        <f t="array" ref="C16">SUM(IF((#REF!=$B16)*(#REF!=C$2)*(#REF!={"Q3'22","Q4'22","Q1'23","Q2'23"}),#REF!,0))</f>
        <v>#REF!</v>
      </c>
      <c r="D16" s="39" t="e">
        <f t="array" ref="D16">SUM(IF((#REF!=$B16)*(#REF!=D$2)*(#REF!={"Q3'22","Q4'22","Q1'23","Q2'23"}),#REF!,0))</f>
        <v>#REF!</v>
      </c>
      <c r="E16" s="39" t="e">
        <f t="array" ref="E16">SUM(IF((#REF!=$B16)*(#REF!=E$2)*(#REF!={"Q3'22","Q4'22","Q1'23","Q2'23"}),#REF!,0))</f>
        <v>#REF!</v>
      </c>
      <c r="F16" s="39" t="e">
        <f t="array" ref="F16">SUM(IF((#REF!=$B16)*(#REF!=F$2)*(#REF!={"Q3'22","Q4'22","Q1'23","Q2'23"}),#REF!,0))</f>
        <v>#REF!</v>
      </c>
      <c r="G16" s="39" t="e">
        <f t="array" ref="G16">SUM(IF((#REF!=$B16)*(#REF!=G$2)*(#REF!={"Q3'22","Q4'22","Q1'23","Q2'23"}),#REF!,0))</f>
        <v>#REF!</v>
      </c>
      <c r="H16" s="39" t="e">
        <f t="array" ref="H16">SUM(IF((#REF!=$B16)*(#REF!=H$2)*(#REF!={"Q3'22","Q4'22","Q1'23","Q2'23"}),#REF!,0))</f>
        <v>#REF!</v>
      </c>
      <c r="I16" s="41" t="e">
        <f>SUM(#REF!)</f>
        <v>#REF!</v>
      </c>
      <c r="J16" s="42" t="e">
        <f>#REF!*8000</f>
        <v>#REF!</v>
      </c>
      <c r="L16" s="40">
        <f t="shared" si="1"/>
        <v>14</v>
      </c>
      <c r="M16" s="10" t="s">
        <v>19</v>
      </c>
      <c r="N16" s="39" t="e">
        <f t="array" ref="N16">SUM(IF((#REF!=$M16)*(#REF!=N$2)*(#REF!={"Q3-23","Q4-23","Q1-23","Q2-23"}),#REF!,0))</f>
        <v>#REF!</v>
      </c>
      <c r="O16" s="39" t="e">
        <f t="array" ref="O16">SUM(IF((#REF!=$M16)*(#REF!=O$2)*(#REF!={"Q3-23","Q4-23","Q1-23","Q2-23"}),#REF!,0))</f>
        <v>#REF!</v>
      </c>
      <c r="P16" s="39" t="e">
        <f t="array" ref="P16">SUM(IF((#REF!=$M16)*(#REF!=P$2)*(#REF!={"Q3-23","Q4-23","Q1-23","Q2-23"}),#REF!,0))</f>
        <v>#REF!</v>
      </c>
      <c r="Q16" s="39" t="e">
        <f t="array" ref="Q16">SUM(IF((#REF!=$M16)*(#REF!=Q$2)*(#REF!={"Q3-23","Q4-23","Q1-23","Q2-23"}),#REF!,0))</f>
        <v>#REF!</v>
      </c>
      <c r="R16" s="39" t="e">
        <f t="array" ref="R16">SUM(IF((#REF!=$M16)*(#REF!=R$2)*(#REF!={"Q3-23","Q4-23","Q1-23","Q2-23"}),#REF!,0))</f>
        <v>#REF!</v>
      </c>
      <c r="S16" s="39" t="e">
        <f t="array" ref="S16">SUM(IF((#REF!=$M16)*(#REF!=S$2)*(#REF!={"Q3-23","Q4-23","Q1-23","Q2-23"}),#REF!,0))</f>
        <v>#REF!</v>
      </c>
      <c r="T16" s="39" t="e">
        <f>SUM(#REF!)</f>
        <v>#REF!</v>
      </c>
      <c r="U16" s="46" t="e">
        <f>#REF!*8000</f>
        <v>#REF!</v>
      </c>
      <c r="W16" s="40">
        <f t="shared" si="2"/>
        <v>14</v>
      </c>
      <c r="X16" s="41" t="s">
        <v>7</v>
      </c>
      <c r="Y16" s="39" t="e">
        <f t="array" ref="Y16">SUM(IF((#REF!=$X16)*(#REF!=Y$2)*(#REF!={"Q3'23","Q4'23","Q1'24","Q2'24"}),#REF!,0))</f>
        <v>#REF!</v>
      </c>
      <c r="Z16" s="39" t="e">
        <f t="array" ref="Z16">SUM(IF((#REF!=$X16)*(#REF!=Z$2)*(#REF!={"Q3'23","Q4'23","Q1'24","Q2'24"}),#REF!,0))</f>
        <v>#REF!</v>
      </c>
      <c r="AA16" s="39" t="e">
        <f t="array" ref="AA16">SUM(IF((#REF!=$X16)*(#REF!=AA$2)*(#REF!={"Q3'23","Q4'23","Q1'24","Q2'24"}),#REF!,0))</f>
        <v>#REF!</v>
      </c>
      <c r="AB16" s="39" t="e">
        <f t="array" ref="AB16">SUM(IF((#REF!=$X16)*(#REF!=AB$2)*(#REF!={"Q3'23","Q4'23","Q1'24","Q2'24"}),#REF!,0))</f>
        <v>#REF!</v>
      </c>
      <c r="AC16" s="39" t="e">
        <f t="array" ref="AC16">SUM(IF((#REF!=$X16)*(#REF!=AC$2)*(#REF!={"Q3'23","Q4'23","Q1'24","Q2'24"}),#REF!,0))</f>
        <v>#REF!</v>
      </c>
      <c r="AD16" s="39" t="e">
        <f t="array" ref="AD16">SUM(IF((#REF!=$X16)*(#REF!=AD$2)*(#REF!={"Q3'23","Q4'23","Q1'24","Q2'24"}),#REF!,0))</f>
        <v>#REF!</v>
      </c>
      <c r="AE16" s="39" t="e">
        <f>SUM(#REF!)</f>
        <v>#REF!</v>
      </c>
      <c r="AF16" s="46" t="e">
        <f>#REF!*8000</f>
        <v>#REF!</v>
      </c>
    </row>
    <row r="17" spans="1:32" ht="86.4" x14ac:dyDescent="0.3">
      <c r="A17" s="40">
        <f t="shared" si="0"/>
        <v>15</v>
      </c>
      <c r="B17" s="41" t="s">
        <v>19</v>
      </c>
      <c r="C17" s="39" t="e">
        <f t="array" ref="C17">SUM(IF((#REF!=$B17)*(#REF!=C$2)*(#REF!={"Q3'22","Q4'22","Q1'23","Q2'23"}),#REF!,0))</f>
        <v>#REF!</v>
      </c>
      <c r="D17" s="39" t="e">
        <f t="array" ref="D17">SUM(IF((#REF!=$B17)*(#REF!=D$2)*(#REF!={"Q3'22","Q4'22","Q1'23","Q2'23"}),#REF!,0))</f>
        <v>#REF!</v>
      </c>
      <c r="E17" s="39" t="e">
        <f t="array" ref="E17">SUM(IF((#REF!=$B17)*(#REF!=E$2)*(#REF!={"Q3'22","Q4'22","Q1'23","Q2'23"}),#REF!,0))</f>
        <v>#REF!</v>
      </c>
      <c r="F17" s="39" t="e">
        <f t="array" ref="F17">SUM(IF((#REF!=$B17)*(#REF!=F$2)*(#REF!={"Q3'22","Q4'22","Q1'23","Q2'23"}),#REF!,0))</f>
        <v>#REF!</v>
      </c>
      <c r="G17" s="39" t="e">
        <f t="array" ref="G17">SUM(IF((#REF!=$B17)*(#REF!=G$2)*(#REF!={"Q3'22","Q4'22","Q1'23","Q2'23"}),#REF!,0))</f>
        <v>#REF!</v>
      </c>
      <c r="H17" s="39" t="e">
        <f t="array" ref="H17">SUM(IF((#REF!=$B17)*(#REF!=H$2)*(#REF!={"Q3'22","Q4'22","Q1'23","Q2'23"}),#REF!,0))</f>
        <v>#REF!</v>
      </c>
      <c r="I17" s="41" t="e">
        <f>SUM(#REF!)</f>
        <v>#REF!</v>
      </c>
      <c r="J17" s="42" t="e">
        <f>#REF!*8000</f>
        <v>#REF!</v>
      </c>
      <c r="L17" s="40">
        <f t="shared" si="1"/>
        <v>15</v>
      </c>
      <c r="M17" s="10" t="s">
        <v>7</v>
      </c>
      <c r="N17" s="39" t="e">
        <f t="array" ref="N17">SUM(IF((#REF!=$M17)*(#REF!=N$2)*(#REF!={"Q3-23","Q4-23","Q1-23","Q2-23"}),#REF!,0))</f>
        <v>#REF!</v>
      </c>
      <c r="O17" s="39" t="e">
        <f t="array" ref="O17">SUM(IF((#REF!=$M17)*(#REF!=O$2)*(#REF!={"Q3-23","Q4-23","Q1-23","Q2-23"}),#REF!,0))</f>
        <v>#REF!</v>
      </c>
      <c r="P17" s="39" t="e">
        <f t="array" ref="P17">SUM(IF((#REF!=$M17)*(#REF!=P$2)*(#REF!={"Q3-23","Q4-23","Q1-23","Q2-23"}),#REF!,0))</f>
        <v>#REF!</v>
      </c>
      <c r="Q17" s="39" t="e">
        <f t="array" ref="Q17">SUM(IF((#REF!=$M17)*(#REF!=Q$2)*(#REF!={"Q3-23","Q4-23","Q1-23","Q2-23"}),#REF!,0))</f>
        <v>#REF!</v>
      </c>
      <c r="R17" s="39" t="e">
        <f t="array" ref="R17">SUM(IF((#REF!=$M17)*(#REF!=R$2)*(#REF!={"Q3-23","Q4-23","Q1-23","Q2-23"}),#REF!,0))</f>
        <v>#REF!</v>
      </c>
      <c r="S17" s="39" t="e">
        <f t="array" ref="S17">SUM(IF((#REF!=$M17)*(#REF!=S$2)*(#REF!={"Q3-23","Q4-23","Q1-23","Q2-23"}),#REF!,0))</f>
        <v>#REF!</v>
      </c>
      <c r="T17" s="39" t="e">
        <f>SUM(#REF!)</f>
        <v>#REF!</v>
      </c>
      <c r="U17" s="46" t="e">
        <f>#REF!*8000</f>
        <v>#REF!</v>
      </c>
      <c r="W17" s="40">
        <f t="shared" si="2"/>
        <v>15</v>
      </c>
      <c r="X17" s="41" t="s">
        <v>17</v>
      </c>
      <c r="Y17" s="39" t="e">
        <f t="array" ref="Y17">SUM(IF((#REF!=$X17)*(#REF!=Y$2)*(#REF!={"Q3'23","Q4'23","Q1'24","Q2'24"}),#REF!,0))</f>
        <v>#REF!</v>
      </c>
      <c r="Z17" s="39" t="e">
        <f t="array" ref="Z17">SUM(IF((#REF!=$X17)*(#REF!=Z$2)*(#REF!={"Q3'23","Q4'23","Q1'24","Q2'24"}),#REF!,0))</f>
        <v>#REF!</v>
      </c>
      <c r="AA17" s="39" t="e">
        <f t="array" ref="AA17">SUM(IF((#REF!=$X17)*(#REF!=AA$2)*(#REF!={"Q3'23","Q4'23","Q1'24","Q2'24"}),#REF!,0))</f>
        <v>#REF!</v>
      </c>
      <c r="AB17" s="39" t="e">
        <f t="array" ref="AB17">SUM(IF((#REF!=$X17)*(#REF!=AB$2)*(#REF!={"Q3'23","Q4'23","Q1'24","Q2'24"}),#REF!,0))</f>
        <v>#REF!</v>
      </c>
      <c r="AC17" s="39" t="e">
        <f t="array" ref="AC17">SUM(IF((#REF!=$X17)*(#REF!=AC$2)*(#REF!={"Q3'23","Q4'23","Q1'24","Q2'24"}),#REF!,0))</f>
        <v>#REF!</v>
      </c>
      <c r="AD17" s="39" t="e">
        <f t="array" ref="AD17">SUM(IF((#REF!=$X17)*(#REF!=AD$2)*(#REF!={"Q3'23","Q4'23","Q1'24","Q2'24"}),#REF!,0))</f>
        <v>#REF!</v>
      </c>
      <c r="AE17" s="39" t="e">
        <f>SUM(#REF!)</f>
        <v>#REF!</v>
      </c>
      <c r="AF17" s="46" t="e">
        <f>#REF!*8000</f>
        <v>#REF!</v>
      </c>
    </row>
    <row r="18" spans="1:32" ht="86.4" x14ac:dyDescent="0.3">
      <c r="A18" s="40">
        <f t="shared" si="0"/>
        <v>16</v>
      </c>
      <c r="B18" s="41" t="s">
        <v>7</v>
      </c>
      <c r="C18" s="39" t="e">
        <f t="array" ref="C18">SUM(IF((#REF!=$B18)*(#REF!=C$2)*(#REF!={"Q3'22","Q4'22","Q1'23","Q2'23"}),#REF!,0))</f>
        <v>#REF!</v>
      </c>
      <c r="D18" s="39" t="e">
        <f t="array" ref="D18">SUM(IF((#REF!=$B18)*(#REF!=D$2)*(#REF!={"Q3'22","Q4'22","Q1'23","Q2'23"}),#REF!,0))</f>
        <v>#REF!</v>
      </c>
      <c r="E18" s="39" t="e">
        <f t="array" ref="E18">SUM(IF((#REF!=$B18)*(#REF!=E$2)*(#REF!={"Q3'22","Q4'22","Q1'23","Q2'23"}),#REF!,0))</f>
        <v>#REF!</v>
      </c>
      <c r="F18" s="39" t="e">
        <f t="array" ref="F18">SUM(IF((#REF!=$B18)*(#REF!=F$2)*(#REF!={"Q3'22","Q4'22","Q1'23","Q2'23"}),#REF!,0))</f>
        <v>#REF!</v>
      </c>
      <c r="G18" s="39" t="e">
        <f t="array" ref="G18">SUM(IF((#REF!=$B18)*(#REF!=G$2)*(#REF!={"Q3'22","Q4'22","Q1'23","Q2'23"}),#REF!,0))</f>
        <v>#REF!</v>
      </c>
      <c r="H18" s="39" t="e">
        <f t="array" ref="H18">SUM(IF((#REF!=$B18)*(#REF!=H$2)*(#REF!={"Q3'22","Q4'22","Q1'23","Q2'23"}),#REF!,0))</f>
        <v>#REF!</v>
      </c>
      <c r="I18" s="41" t="e">
        <f>SUM(#REF!)</f>
        <v>#REF!</v>
      </c>
      <c r="J18" s="42" t="e">
        <f>#REF!*8000</f>
        <v>#REF!</v>
      </c>
      <c r="L18" s="40">
        <f t="shared" si="1"/>
        <v>16</v>
      </c>
      <c r="M18" s="10" t="s">
        <v>17</v>
      </c>
      <c r="N18" s="39" t="e">
        <f t="array" ref="N18">SUM(IF((#REF!=$M18)*(#REF!=N$2)*(#REF!={"Q3-23","Q4-23","Q1-23","Q2-23"}),#REF!,0))</f>
        <v>#REF!</v>
      </c>
      <c r="O18" s="39" t="e">
        <f t="array" ref="O18">SUM(IF((#REF!=$M18)*(#REF!=O$2)*(#REF!={"Q3-23","Q4-23","Q1-23","Q2-23"}),#REF!,0))</f>
        <v>#REF!</v>
      </c>
      <c r="P18" s="39" t="e">
        <f t="array" ref="P18">SUM(IF((#REF!=$M18)*(#REF!=P$2)*(#REF!={"Q3-23","Q4-23","Q1-23","Q2-23"}),#REF!,0))</f>
        <v>#REF!</v>
      </c>
      <c r="Q18" s="39" t="e">
        <f t="array" ref="Q18">SUM(IF((#REF!=$M18)*(#REF!=Q$2)*(#REF!={"Q3-23","Q4-23","Q1-23","Q2-23"}),#REF!,0))</f>
        <v>#REF!</v>
      </c>
      <c r="R18" s="39" t="e">
        <f t="array" ref="R18">SUM(IF((#REF!=$M18)*(#REF!=R$2)*(#REF!={"Q3-23","Q4-23","Q1-23","Q2-23"}),#REF!,0))</f>
        <v>#REF!</v>
      </c>
      <c r="S18" s="39" t="e">
        <f t="array" ref="S18">SUM(IF((#REF!=$M18)*(#REF!=S$2)*(#REF!={"Q3-23","Q4-23","Q1-23","Q2-23"}),#REF!,0))</f>
        <v>#REF!</v>
      </c>
      <c r="T18" s="39" t="e">
        <f>SUM(#REF!)</f>
        <v>#REF!</v>
      </c>
      <c r="U18" s="46" t="e">
        <f>#REF!*8000</f>
        <v>#REF!</v>
      </c>
      <c r="W18" s="40">
        <f t="shared" si="2"/>
        <v>16</v>
      </c>
      <c r="X18" s="41" t="s">
        <v>49</v>
      </c>
      <c r="Y18" s="39" t="e">
        <f t="array" ref="Y18">SUM(IF((#REF!=$X18)*(#REF!=Y$2)*(#REF!={"Q3'23","Q4'23","Q1'24","Q2'24"}),#REF!,0))</f>
        <v>#REF!</v>
      </c>
      <c r="Z18" s="39" t="e">
        <f t="array" ref="Z18">SUM(IF((#REF!=$X18)*(#REF!=Z$2)*(#REF!={"Q3'23","Q4'23","Q1'24","Q2'24"}),#REF!,0))</f>
        <v>#REF!</v>
      </c>
      <c r="AA18" s="39" t="e">
        <f t="array" ref="AA18">SUM(IF((#REF!=$X18)*(#REF!=AA$2)*(#REF!={"Q3'23","Q4'23","Q1'24","Q2'24"}),#REF!,0))</f>
        <v>#REF!</v>
      </c>
      <c r="AB18" s="39" t="e">
        <f t="array" ref="AB18">SUM(IF((#REF!=$X18)*(#REF!=AB$2)*(#REF!={"Q3'23","Q4'23","Q1'24","Q2'24"}),#REF!,0))</f>
        <v>#REF!</v>
      </c>
      <c r="AC18" s="39" t="e">
        <f t="array" ref="AC18">SUM(IF((#REF!=$X18)*(#REF!=AC$2)*(#REF!={"Q3'23","Q4'23","Q1'24","Q2'24"}),#REF!,0))</f>
        <v>#REF!</v>
      </c>
      <c r="AD18" s="39" t="e">
        <f t="array" ref="AD18">SUM(IF((#REF!=$X18)*(#REF!=AD$2)*(#REF!={"Q3'23","Q4'23","Q1'24","Q2'24"}),#REF!,0))</f>
        <v>#REF!</v>
      </c>
      <c r="AE18" s="39" t="e">
        <f>SUM(#REF!)</f>
        <v>#REF!</v>
      </c>
      <c r="AF18" s="46" t="e">
        <f>#REF!*8000</f>
        <v>#REF!</v>
      </c>
    </row>
    <row r="19" spans="1:32" ht="86.4" x14ac:dyDescent="0.3">
      <c r="A19" s="40">
        <f t="shared" si="0"/>
        <v>17</v>
      </c>
      <c r="B19" s="41" t="s">
        <v>17</v>
      </c>
      <c r="C19" s="39" t="e">
        <f t="array" ref="C19">SUM(IF((#REF!=$B19)*(#REF!=C$2)*(#REF!={"Q3'22","Q4'22","Q1'23","Q2'23"}),#REF!,0))</f>
        <v>#REF!</v>
      </c>
      <c r="D19" s="39" t="e">
        <f t="array" ref="D19">SUM(IF((#REF!=$B19)*(#REF!=D$2)*(#REF!={"Q3'22","Q4'22","Q1'23","Q2'23"}),#REF!,0))</f>
        <v>#REF!</v>
      </c>
      <c r="E19" s="39" t="e">
        <f t="array" ref="E19">SUM(IF((#REF!=$B19)*(#REF!=E$2)*(#REF!={"Q3'22","Q4'22","Q1'23","Q2'23"}),#REF!,0))</f>
        <v>#REF!</v>
      </c>
      <c r="F19" s="39" t="e">
        <f t="array" ref="F19">SUM(IF((#REF!=$B19)*(#REF!=F$2)*(#REF!={"Q3'22","Q4'22","Q1'23","Q2'23"}),#REF!,0))</f>
        <v>#REF!</v>
      </c>
      <c r="G19" s="39" t="e">
        <f t="array" ref="G19">SUM(IF((#REF!=$B19)*(#REF!=G$2)*(#REF!={"Q3'22","Q4'22","Q1'23","Q2'23"}),#REF!,0))</f>
        <v>#REF!</v>
      </c>
      <c r="H19" s="39" t="e">
        <f t="array" ref="H19">SUM(IF((#REF!=$B19)*(#REF!=H$2)*(#REF!={"Q3'22","Q4'22","Q1'23","Q2'23"}),#REF!,0))</f>
        <v>#REF!</v>
      </c>
      <c r="I19" s="41" t="e">
        <f>SUM(#REF!)</f>
        <v>#REF!</v>
      </c>
      <c r="J19" s="42" t="e">
        <f>#REF!*8000</f>
        <v>#REF!</v>
      </c>
      <c r="L19" s="40">
        <f t="shared" si="1"/>
        <v>17</v>
      </c>
      <c r="M19" s="10" t="s">
        <v>49</v>
      </c>
      <c r="N19" s="39" t="e">
        <f t="array" ref="N19">SUM(IF((#REF!=$M19)*(#REF!=N$2)*(#REF!={"Q3-23","Q4-23","Q1-23","Q2-23"}),#REF!,0))</f>
        <v>#REF!</v>
      </c>
      <c r="O19" s="39" t="e">
        <f t="array" ref="O19">SUM(IF((#REF!=$M19)*(#REF!=O$2)*(#REF!={"Q3-23","Q4-23","Q1-23","Q2-23"}),#REF!,0))</f>
        <v>#REF!</v>
      </c>
      <c r="P19" s="39" t="e">
        <f t="array" ref="P19">SUM(IF((#REF!=$M19)*(#REF!=P$2)*(#REF!={"Q3-23","Q4-23","Q1-23","Q2-23"}),#REF!,0))</f>
        <v>#REF!</v>
      </c>
      <c r="Q19" s="39" t="e">
        <f t="array" ref="Q19">SUM(IF((#REF!=$M19)*(#REF!=Q$2)*(#REF!={"Q3-23","Q4-23","Q1-23","Q2-23"}),#REF!,0))</f>
        <v>#REF!</v>
      </c>
      <c r="R19" s="39" t="e">
        <f t="array" ref="R19">SUM(IF((#REF!=$M19)*(#REF!=R$2)*(#REF!={"Q3-23","Q4-23","Q1-23","Q2-23"}),#REF!,0))</f>
        <v>#REF!</v>
      </c>
      <c r="S19" s="39" t="e">
        <f t="array" ref="S19">SUM(IF((#REF!=$M19)*(#REF!=S$2)*(#REF!={"Q3-23","Q4-23","Q1-23","Q2-23"}),#REF!,0))</f>
        <v>#REF!</v>
      </c>
      <c r="T19" s="39" t="e">
        <f>SUM(#REF!)</f>
        <v>#REF!</v>
      </c>
      <c r="U19" s="46" t="e">
        <f>#REF!*8000</f>
        <v>#REF!</v>
      </c>
      <c r="W19" s="40">
        <f t="shared" si="2"/>
        <v>17</v>
      </c>
      <c r="X19" s="41" t="s">
        <v>61</v>
      </c>
      <c r="Y19" s="39" t="e">
        <f t="array" ref="Y19">SUM(IF((#REF!=$X19)*(#REF!=Y$2)*(#REF!={"Q3'23","Q4'23","Q1'24","Q2'24"}),#REF!,0))</f>
        <v>#REF!</v>
      </c>
      <c r="Z19" s="39" t="e">
        <f t="array" ref="Z19">SUM(IF((#REF!=$X19)*(#REF!=Z$2)*(#REF!={"Q3'23","Q4'23","Q1'24","Q2'24"}),#REF!,0))</f>
        <v>#REF!</v>
      </c>
      <c r="AA19" s="39" t="e">
        <f t="array" ref="AA19">SUM(IF((#REF!=$X19)*(#REF!=AA$2)*(#REF!={"Q3'23","Q4'23","Q1'24","Q2'24"}),#REF!,0))</f>
        <v>#REF!</v>
      </c>
      <c r="AB19" s="39" t="e">
        <f t="array" ref="AB19">SUM(IF((#REF!=$X19)*(#REF!=AB$2)*(#REF!={"Q3'23","Q4'23","Q1'24","Q2'24"}),#REF!,0))</f>
        <v>#REF!</v>
      </c>
      <c r="AC19" s="39" t="e">
        <f t="array" ref="AC19">SUM(IF((#REF!=$X19)*(#REF!=AC$2)*(#REF!={"Q3'23","Q4'23","Q1'24","Q2'24"}),#REF!,0))</f>
        <v>#REF!</v>
      </c>
      <c r="AD19" s="39" t="e">
        <f t="array" ref="AD19">SUM(IF((#REF!=$X19)*(#REF!=AD$2)*(#REF!={"Q3'23","Q4'23","Q1'24","Q2'24"}),#REF!,0))</f>
        <v>#REF!</v>
      </c>
      <c r="AE19" s="39" t="e">
        <f>SUM(#REF!)</f>
        <v>#REF!</v>
      </c>
      <c r="AF19" s="46" t="e">
        <f>#REF!*8000</f>
        <v>#REF!</v>
      </c>
    </row>
    <row r="20" spans="1:32" ht="57.6" x14ac:dyDescent="0.3">
      <c r="A20" s="40">
        <f t="shared" si="0"/>
        <v>18</v>
      </c>
      <c r="B20" s="41" t="s">
        <v>49</v>
      </c>
      <c r="C20" s="39" t="e">
        <f t="array" ref="C20">SUM(IF((#REF!=$B20)*(#REF!=C$2)*(#REF!={"Q3'22","Q4'22","Q1'23","Q2'23"}),#REF!,0))</f>
        <v>#REF!</v>
      </c>
      <c r="D20" s="39" t="e">
        <f t="array" ref="D20">SUM(IF((#REF!=$B20)*(#REF!=D$2)*(#REF!={"Q3'22","Q4'22","Q1'23","Q2'23"}),#REF!,0))</f>
        <v>#REF!</v>
      </c>
      <c r="E20" s="39" t="e">
        <f t="array" ref="E20">SUM(IF((#REF!=$B20)*(#REF!=E$2)*(#REF!={"Q3'22","Q4'22","Q1'23","Q2'23"}),#REF!,0))</f>
        <v>#REF!</v>
      </c>
      <c r="F20" s="39" t="e">
        <f t="array" ref="F20">SUM(IF((#REF!=$B20)*(#REF!=F$2)*(#REF!={"Q3'22","Q4'22","Q1'23","Q2'23"}),#REF!,0))</f>
        <v>#REF!</v>
      </c>
      <c r="G20" s="39" t="e">
        <f t="array" ref="G20">SUM(IF((#REF!=$B20)*(#REF!=G$2)*(#REF!={"Q3'22","Q4'22","Q1'23","Q2'23"}),#REF!,0))</f>
        <v>#REF!</v>
      </c>
      <c r="H20" s="39" t="e">
        <f t="array" ref="H20">SUM(IF((#REF!=$B20)*(#REF!=H$2)*(#REF!={"Q3'22","Q4'22","Q1'23","Q2'23"}),#REF!,0))</f>
        <v>#REF!</v>
      </c>
      <c r="I20" s="41" t="e">
        <f>SUM(#REF!)</f>
        <v>#REF!</v>
      </c>
      <c r="J20" s="42" t="e">
        <f>#REF!*8000</f>
        <v>#REF!</v>
      </c>
      <c r="L20" s="40">
        <f t="shared" si="1"/>
        <v>18</v>
      </c>
      <c r="M20" s="10" t="s">
        <v>50</v>
      </c>
      <c r="N20" s="39" t="e">
        <f t="array" ref="N20">SUM(IF((#REF!=$M20)*(#REF!=N$2)*(#REF!={"Q3-23","Q4-23","Q1-23","Q2-23"}),#REF!,0))</f>
        <v>#REF!</v>
      </c>
      <c r="O20" s="39" t="e">
        <f t="array" ref="O20">SUM(IF((#REF!=$M20)*(#REF!=O$2)*(#REF!={"Q3-23","Q4-23","Q1-23","Q2-23"}),#REF!,0))</f>
        <v>#REF!</v>
      </c>
      <c r="P20" s="39" t="e">
        <f t="array" ref="P20">SUM(IF((#REF!=$M20)*(#REF!=P$2)*(#REF!={"Q3-23","Q4-23","Q1-23","Q2-23"}),#REF!,0))</f>
        <v>#REF!</v>
      </c>
      <c r="Q20" s="39" t="e">
        <f t="array" ref="Q20">SUM(IF((#REF!=$M20)*(#REF!=Q$2)*(#REF!={"Q3-23","Q4-23","Q1-23","Q2-23"}),#REF!,0))</f>
        <v>#REF!</v>
      </c>
      <c r="R20" s="39" t="e">
        <f t="array" ref="R20">SUM(IF((#REF!=$M20)*(#REF!=R$2)*(#REF!={"Q3-23","Q4-23","Q1-23","Q2-23"}),#REF!,0))</f>
        <v>#REF!</v>
      </c>
      <c r="S20" s="39" t="e">
        <f t="array" ref="S20">SUM(IF((#REF!=$M20)*(#REF!=S$2)*(#REF!={"Q3-23","Q4-23","Q1-23","Q2-23"}),#REF!,0))</f>
        <v>#REF!</v>
      </c>
      <c r="T20" s="39" t="e">
        <f>SUM(#REF!)</f>
        <v>#REF!</v>
      </c>
      <c r="U20" s="46" t="e">
        <f>#REF!*8000</f>
        <v>#REF!</v>
      </c>
      <c r="W20" s="40">
        <f t="shared" si="2"/>
        <v>18</v>
      </c>
      <c r="X20" s="41" t="s">
        <v>54</v>
      </c>
      <c r="Y20" s="39" t="e">
        <f t="array" ref="Y20">SUM(IF((#REF!=$X20)*(#REF!=Y$2)*(#REF!={"Q3'23","Q4'23","Q1'24","Q2'24"}),#REF!,0))</f>
        <v>#REF!</v>
      </c>
      <c r="Z20" s="39" t="e">
        <f t="array" ref="Z20">SUM(IF((#REF!=$X20)*(#REF!=Z$2)*(#REF!={"Q3'23","Q4'23","Q1'24","Q2'24"}),#REF!,0))</f>
        <v>#REF!</v>
      </c>
      <c r="AA20" s="39" t="e">
        <f t="array" ref="AA20">SUM(IF((#REF!=$X20)*(#REF!=AA$2)*(#REF!={"Q3'23","Q4'23","Q1'24","Q2'24"}),#REF!,0))</f>
        <v>#REF!</v>
      </c>
      <c r="AB20" s="39" t="e">
        <f t="array" ref="AB20">SUM(IF((#REF!=$X20)*(#REF!=AB$2)*(#REF!={"Q3'23","Q4'23","Q1'24","Q2'24"}),#REF!,0))</f>
        <v>#REF!</v>
      </c>
      <c r="AC20" s="39" t="e">
        <f t="array" ref="AC20">SUM(IF((#REF!=$X20)*(#REF!=AC$2)*(#REF!={"Q3'23","Q4'23","Q1'24","Q2'24"}),#REF!,0))</f>
        <v>#REF!</v>
      </c>
      <c r="AD20" s="39" t="e">
        <f t="array" ref="AD20">SUM(IF((#REF!=$X20)*(#REF!=AD$2)*(#REF!={"Q3'23","Q4'23","Q1'24","Q2'24"}),#REF!,0))</f>
        <v>#REF!</v>
      </c>
      <c r="AE20" s="39" t="e">
        <f>SUM(#REF!)</f>
        <v>#REF!</v>
      </c>
      <c r="AF20" s="46" t="e">
        <f>#REF!*8000</f>
        <v>#REF!</v>
      </c>
    </row>
    <row r="21" spans="1:32" ht="72" x14ac:dyDescent="0.3">
      <c r="A21" s="40">
        <f t="shared" si="0"/>
        <v>19</v>
      </c>
      <c r="B21" s="41" t="s">
        <v>50</v>
      </c>
      <c r="C21" s="39" t="e">
        <f t="array" ref="C21">SUM(IF((#REF!=$B21)*(#REF!=C$2)*(#REF!={"Q3'22","Q4'22","Q1'23","Q2'23"}),#REF!,0))</f>
        <v>#REF!</v>
      </c>
      <c r="D21" s="39" t="e">
        <f t="array" ref="D21">SUM(IF((#REF!=$B21)*(#REF!=D$2)*(#REF!={"Q3'22","Q4'22","Q1'23","Q2'23"}),#REF!,0))</f>
        <v>#REF!</v>
      </c>
      <c r="E21" s="39" t="e">
        <f t="array" ref="E21">SUM(IF((#REF!=$B21)*(#REF!=E$2)*(#REF!={"Q3'22","Q4'22","Q1'23","Q2'23"}),#REF!,0))</f>
        <v>#REF!</v>
      </c>
      <c r="F21" s="39" t="e">
        <f t="array" ref="F21">SUM(IF((#REF!=$B21)*(#REF!=F$2)*(#REF!={"Q3'22","Q4'22","Q1'23","Q2'23"}),#REF!,0))</f>
        <v>#REF!</v>
      </c>
      <c r="G21" s="39" t="e">
        <f t="array" ref="G21">SUM(IF((#REF!=$B21)*(#REF!=G$2)*(#REF!={"Q3'22","Q4'22","Q1'23","Q2'23"}),#REF!,0))</f>
        <v>#REF!</v>
      </c>
      <c r="H21" s="39" t="e">
        <f t="array" ref="H21">SUM(IF((#REF!=$B21)*(#REF!=H$2)*(#REF!={"Q3'22","Q4'22","Q1'23","Q2'23"}),#REF!,0))</f>
        <v>#REF!</v>
      </c>
      <c r="I21" s="41" t="e">
        <f>SUM(#REF!)</f>
        <v>#REF!</v>
      </c>
      <c r="J21" s="42" t="e">
        <f>#REF!*8000</f>
        <v>#REF!</v>
      </c>
      <c r="L21" s="40">
        <f t="shared" si="1"/>
        <v>19</v>
      </c>
      <c r="M21" s="10" t="s">
        <v>61</v>
      </c>
      <c r="N21" s="39" t="e">
        <f t="array" ref="N21">SUM(IF((#REF!=$M21)*(#REF!=N$2)*(#REF!={"Q3-23","Q4-23","Q1-23","Q2-23"}),#REF!,0))</f>
        <v>#REF!</v>
      </c>
      <c r="O21" s="39" t="e">
        <f t="array" ref="O21">SUM(IF((#REF!=$M21)*(#REF!=O$2)*(#REF!={"Q3-23","Q4-23","Q1-23","Q2-23"}),#REF!,0))</f>
        <v>#REF!</v>
      </c>
      <c r="P21" s="39" t="e">
        <f t="array" ref="P21">SUM(IF((#REF!=$M21)*(#REF!=P$2)*(#REF!={"Q3-23","Q4-23","Q1-23","Q2-23"}),#REF!,0))</f>
        <v>#REF!</v>
      </c>
      <c r="Q21" s="39" t="e">
        <f t="array" ref="Q21">SUM(IF((#REF!=$M21)*(#REF!=Q$2)*(#REF!={"Q3-23","Q4-23","Q1-23","Q2-23"}),#REF!,0))</f>
        <v>#REF!</v>
      </c>
      <c r="R21" s="39" t="e">
        <f t="array" ref="R21">SUM(IF((#REF!=$M21)*(#REF!=R$2)*(#REF!={"Q3-23","Q4-23","Q1-23","Q2-23"}),#REF!,0))</f>
        <v>#REF!</v>
      </c>
      <c r="S21" s="39" t="e">
        <f t="array" ref="S21">SUM(IF((#REF!=$M21)*(#REF!=S$2)*(#REF!={"Q3-23","Q4-23","Q1-23","Q2-23"}),#REF!,0))</f>
        <v>#REF!</v>
      </c>
      <c r="T21" s="39" t="e">
        <f>SUM(#REF!)</f>
        <v>#REF!</v>
      </c>
      <c r="U21" s="46" t="e">
        <f>#REF!*8000</f>
        <v>#REF!</v>
      </c>
      <c r="W21" s="40">
        <f t="shared" si="2"/>
        <v>19</v>
      </c>
      <c r="X21" s="41" t="s">
        <v>53</v>
      </c>
      <c r="Y21" s="39" t="e">
        <f t="array" ref="Y21">SUM(IF((#REF!=$X21)*(#REF!=Y$2)*(#REF!={"Q3'23","Q4'23","Q1'24","Q2'24"}),#REF!,0))</f>
        <v>#REF!</v>
      </c>
      <c r="Z21" s="39" t="e">
        <f t="array" ref="Z21">SUM(IF((#REF!=$X21)*(#REF!=Z$2)*(#REF!={"Q3'23","Q4'23","Q1'24","Q2'24"}),#REF!,0))</f>
        <v>#REF!</v>
      </c>
      <c r="AA21" s="39" t="e">
        <f t="array" ref="AA21">SUM(IF((#REF!=$X21)*(#REF!=AA$2)*(#REF!={"Q3'23","Q4'23","Q1'24","Q2'24"}),#REF!,0))</f>
        <v>#REF!</v>
      </c>
      <c r="AB21" s="39" t="e">
        <f t="array" ref="AB21">SUM(IF((#REF!=$X21)*(#REF!=AB$2)*(#REF!={"Q3'23","Q4'23","Q1'24","Q2'24"}),#REF!,0))</f>
        <v>#REF!</v>
      </c>
      <c r="AC21" s="39" t="e">
        <f t="array" ref="AC21">SUM(IF((#REF!=$X21)*(#REF!=AC$2)*(#REF!={"Q3'23","Q4'23","Q1'24","Q2'24"}),#REF!,0))</f>
        <v>#REF!</v>
      </c>
      <c r="AD21" s="39" t="e">
        <f t="array" ref="AD21">SUM(IF((#REF!=$X21)*(#REF!=AD$2)*(#REF!={"Q3'23","Q4'23","Q1'24","Q2'24"}),#REF!,0))</f>
        <v>#REF!</v>
      </c>
      <c r="AE21" s="39" t="e">
        <f>SUM(#REF!)</f>
        <v>#REF!</v>
      </c>
      <c r="AF21" s="46" t="e">
        <f>#REF!*8000</f>
        <v>#REF!</v>
      </c>
    </row>
    <row r="22" spans="1:32" ht="72" x14ac:dyDescent="0.3">
      <c r="A22" s="40">
        <f t="shared" si="0"/>
        <v>20</v>
      </c>
      <c r="B22" s="41" t="s">
        <v>51</v>
      </c>
      <c r="C22" s="39" t="e">
        <f t="array" ref="C22">SUM(IF((#REF!=$B22)*(#REF!=C$2)*(#REF!={"Q3'22","Q4'22","Q1'23","Q2'23"}),#REF!,0))</f>
        <v>#REF!</v>
      </c>
      <c r="D22" s="39" t="e">
        <f t="array" ref="D22">SUM(IF((#REF!=$B22)*(#REF!=D$2)*(#REF!={"Q3'22","Q4'22","Q1'23","Q2'23"}),#REF!,0))</f>
        <v>#REF!</v>
      </c>
      <c r="E22" s="39" t="e">
        <f t="array" ref="E22">SUM(IF((#REF!=$B22)*(#REF!=E$2)*(#REF!={"Q3'22","Q4'22","Q1'23","Q2'23"}),#REF!,0))</f>
        <v>#REF!</v>
      </c>
      <c r="F22" s="39" t="e">
        <f t="array" ref="F22">SUM(IF((#REF!=$B22)*(#REF!=F$2)*(#REF!={"Q3'22","Q4'22","Q1'23","Q2'23"}),#REF!,0))</f>
        <v>#REF!</v>
      </c>
      <c r="G22" s="39" t="e">
        <f t="array" ref="G22">SUM(IF((#REF!=$B22)*(#REF!=G$2)*(#REF!={"Q3'22","Q4'22","Q1'23","Q2'23"}),#REF!,0))</f>
        <v>#REF!</v>
      </c>
      <c r="H22" s="39" t="e">
        <f t="array" ref="H22">SUM(IF((#REF!=$B22)*(#REF!=H$2)*(#REF!={"Q3'22","Q4'22","Q1'23","Q2'23"}),#REF!,0))</f>
        <v>#REF!</v>
      </c>
      <c r="I22" s="41" t="e">
        <f>SUM(#REF!)</f>
        <v>#REF!</v>
      </c>
      <c r="J22" s="42" t="e">
        <f>#REF!*8000</f>
        <v>#REF!</v>
      </c>
      <c r="L22" s="40">
        <f t="shared" si="1"/>
        <v>20</v>
      </c>
      <c r="M22" s="10" t="s">
        <v>54</v>
      </c>
      <c r="N22" s="39" t="e">
        <f t="array" ref="N22">SUM(IF((#REF!=$M22)*(#REF!=N$2)*(#REF!={"Q3-23","Q4-23","Q1-23","Q2-23"}),#REF!,0))</f>
        <v>#REF!</v>
      </c>
      <c r="O22" s="39" t="e">
        <f t="array" ref="O22">SUM(IF((#REF!=$M22)*(#REF!=O$2)*(#REF!={"Q3-23","Q4-23","Q1-23","Q2-23"}),#REF!,0))</f>
        <v>#REF!</v>
      </c>
      <c r="P22" s="39" t="e">
        <f t="array" ref="P22">SUM(IF((#REF!=$M22)*(#REF!=P$2)*(#REF!={"Q3-23","Q4-23","Q1-23","Q2-23"}),#REF!,0))</f>
        <v>#REF!</v>
      </c>
      <c r="Q22" s="39" t="e">
        <f t="array" ref="Q22">SUM(IF((#REF!=$M22)*(#REF!=Q$2)*(#REF!={"Q3-23","Q4-23","Q1-23","Q2-23"}),#REF!,0))</f>
        <v>#REF!</v>
      </c>
      <c r="R22" s="39" t="e">
        <f t="array" ref="R22">SUM(IF((#REF!=$M22)*(#REF!=R$2)*(#REF!={"Q3-23","Q4-23","Q1-23","Q2-23"}),#REF!,0))</f>
        <v>#REF!</v>
      </c>
      <c r="S22" s="39" t="e">
        <f t="array" ref="S22">SUM(IF((#REF!=$M22)*(#REF!=S$2)*(#REF!={"Q3-23","Q4-23","Q1-23","Q2-23"}),#REF!,0))</f>
        <v>#REF!</v>
      </c>
      <c r="T22" s="39" t="e">
        <f>SUM(#REF!)</f>
        <v>#REF!</v>
      </c>
      <c r="U22" s="46" t="e">
        <f>#REF!*8000</f>
        <v>#REF!</v>
      </c>
      <c r="W22" s="40">
        <f t="shared" si="2"/>
        <v>20</v>
      </c>
      <c r="X22" s="41" t="s">
        <v>52</v>
      </c>
      <c r="Y22" s="39" t="e">
        <f t="array" ref="Y22">SUM(IF((#REF!=$X22)*(#REF!=Y$2)*(#REF!={"Q3'23","Q4'23","Q1'24","Q2'24"}),#REF!,0))</f>
        <v>#REF!</v>
      </c>
      <c r="Z22" s="39" t="e">
        <f t="array" ref="Z22">SUM(IF((#REF!=$X22)*(#REF!=Z$2)*(#REF!={"Q3'23","Q4'23","Q1'24","Q2'24"}),#REF!,0))</f>
        <v>#REF!</v>
      </c>
      <c r="AA22" s="39" t="e">
        <f t="array" ref="AA22">SUM(IF((#REF!=$X22)*(#REF!=AA$2)*(#REF!={"Q3'23","Q4'23","Q1'24","Q2'24"}),#REF!,0))</f>
        <v>#REF!</v>
      </c>
      <c r="AB22" s="39" t="e">
        <f t="array" ref="AB22">SUM(IF((#REF!=$X22)*(#REF!=AB$2)*(#REF!={"Q3'23","Q4'23","Q1'24","Q2'24"}),#REF!,0))</f>
        <v>#REF!</v>
      </c>
      <c r="AC22" s="39" t="e">
        <f t="array" ref="AC22">SUM(IF((#REF!=$X22)*(#REF!=AC$2)*(#REF!={"Q3'23","Q4'23","Q1'24","Q2'24"}),#REF!,0))</f>
        <v>#REF!</v>
      </c>
      <c r="AD22" s="39" t="e">
        <f t="array" ref="AD22">SUM(IF((#REF!=$X22)*(#REF!=AD$2)*(#REF!={"Q3'23","Q4'23","Q1'24","Q2'24"}),#REF!,0))</f>
        <v>#REF!</v>
      </c>
      <c r="AE22" s="39" t="e">
        <f>SUM(#REF!)</f>
        <v>#REF!</v>
      </c>
      <c r="AF22" s="46" t="e">
        <f>#REF!*8000</f>
        <v>#REF!</v>
      </c>
    </row>
    <row r="23" spans="1:32" ht="72" x14ac:dyDescent="0.3">
      <c r="A23" s="40">
        <f t="shared" si="0"/>
        <v>21</v>
      </c>
      <c r="B23" s="41" t="s">
        <v>61</v>
      </c>
      <c r="C23" s="39" t="e">
        <f t="array" ref="C23">SUM(IF((#REF!=$B23)*(#REF!=C$2)*(#REF!={"Q3'22","Q4'22","Q1'23","Q2'23"}),#REF!,0))</f>
        <v>#REF!</v>
      </c>
      <c r="D23" s="39" t="e">
        <f t="array" ref="D23">SUM(IF((#REF!=$B23)*(#REF!=D$2)*(#REF!={"Q3'22","Q4'22","Q1'23","Q2'23"}),#REF!,0))</f>
        <v>#REF!</v>
      </c>
      <c r="E23" s="39" t="e">
        <f t="array" ref="E23">SUM(IF((#REF!=$B23)*(#REF!=E$2)*(#REF!={"Q3'22","Q4'22","Q1'23","Q2'23"}),#REF!,0))</f>
        <v>#REF!</v>
      </c>
      <c r="F23" s="39" t="e">
        <f t="array" ref="F23">SUM(IF((#REF!=$B23)*(#REF!=F$2)*(#REF!={"Q3'22","Q4'22","Q1'23","Q2'23"}),#REF!,0))</f>
        <v>#REF!</v>
      </c>
      <c r="G23" s="39" t="e">
        <f t="array" ref="G23">SUM(IF((#REF!=$B23)*(#REF!=G$2)*(#REF!={"Q3'22","Q4'22","Q1'23","Q2'23"}),#REF!,0))</f>
        <v>#REF!</v>
      </c>
      <c r="H23" s="39" t="e">
        <f t="array" ref="H23">SUM(IF((#REF!=$B23)*(#REF!=H$2)*(#REF!={"Q3'22","Q4'22","Q1'23","Q2'23"}),#REF!,0))</f>
        <v>#REF!</v>
      </c>
      <c r="I23" s="41" t="e">
        <f>SUM(#REF!)</f>
        <v>#REF!</v>
      </c>
      <c r="J23" s="42" t="e">
        <f>#REF!*8000</f>
        <v>#REF!</v>
      </c>
      <c r="L23" s="40">
        <f t="shared" si="1"/>
        <v>21</v>
      </c>
      <c r="M23" s="10" t="s">
        <v>53</v>
      </c>
      <c r="N23" s="39" t="e">
        <f t="array" ref="N23">SUM(IF((#REF!=$M23)*(#REF!=N$2)*(#REF!={"Q3-23","Q4-23","Q1-23","Q2-23"}),#REF!,0))</f>
        <v>#REF!</v>
      </c>
      <c r="O23" s="39" t="e">
        <f t="array" ref="O23">SUM(IF((#REF!=$M23)*(#REF!=O$2)*(#REF!={"Q3-23","Q4-23","Q1-23","Q2-23"}),#REF!,0))</f>
        <v>#REF!</v>
      </c>
      <c r="P23" s="39" t="e">
        <f t="array" ref="P23">SUM(IF((#REF!=$M23)*(#REF!=P$2)*(#REF!={"Q3-23","Q4-23","Q1-23","Q2-23"}),#REF!,0))</f>
        <v>#REF!</v>
      </c>
      <c r="Q23" s="39" t="e">
        <f t="array" ref="Q23">SUM(IF((#REF!=$M23)*(#REF!=Q$2)*(#REF!={"Q3-23","Q4-23","Q1-23","Q2-23"}),#REF!,0))</f>
        <v>#REF!</v>
      </c>
      <c r="R23" s="39" t="e">
        <f t="array" ref="R23">SUM(IF((#REF!=$M23)*(#REF!=R$2)*(#REF!={"Q3-23","Q4-23","Q1-23","Q2-23"}),#REF!,0))</f>
        <v>#REF!</v>
      </c>
      <c r="S23" s="39" t="e">
        <f t="array" ref="S23">SUM(IF((#REF!=$M23)*(#REF!=S$2)*(#REF!={"Q3-23","Q4-23","Q1-23","Q2-23"}),#REF!,0))</f>
        <v>#REF!</v>
      </c>
      <c r="T23" s="39" t="e">
        <f>SUM(#REF!)</f>
        <v>#REF!</v>
      </c>
      <c r="U23" s="46" t="e">
        <f>#REF!*8000</f>
        <v>#REF!</v>
      </c>
      <c r="W23" s="40">
        <f t="shared" si="2"/>
        <v>21</v>
      </c>
      <c r="X23" s="41" t="s">
        <v>39</v>
      </c>
      <c r="Y23" s="39" t="e">
        <f t="array" ref="Y23">SUM(IF((#REF!=$X23)*(#REF!=Y$2)*(#REF!={"Q3'23","Q4'23","Q1'24","Q2'24"}),#REF!,0))</f>
        <v>#REF!</v>
      </c>
      <c r="Z23" s="39" t="e">
        <f t="array" ref="Z23">SUM(IF((#REF!=$X23)*(#REF!=Z$2)*(#REF!={"Q3'23","Q4'23","Q1'24","Q2'24"}),#REF!,0))</f>
        <v>#REF!</v>
      </c>
      <c r="AA23" s="39" t="e">
        <f t="array" ref="AA23">SUM(IF((#REF!=$X23)*(#REF!=AA$2)*(#REF!={"Q3'23","Q4'23","Q1'24","Q2'24"}),#REF!,0))</f>
        <v>#REF!</v>
      </c>
      <c r="AB23" s="39" t="e">
        <f t="array" ref="AB23">SUM(IF((#REF!=$X23)*(#REF!=AB$2)*(#REF!={"Q3'23","Q4'23","Q1'24","Q2'24"}),#REF!,0))</f>
        <v>#REF!</v>
      </c>
      <c r="AC23" s="39" t="e">
        <f t="array" ref="AC23">SUM(IF((#REF!=$X23)*(#REF!=AC$2)*(#REF!={"Q3'23","Q4'23","Q1'24","Q2'24"}),#REF!,0))</f>
        <v>#REF!</v>
      </c>
      <c r="AD23" s="39" t="e">
        <f t="array" ref="AD23">SUM(IF((#REF!=$X23)*(#REF!=AD$2)*(#REF!={"Q3'23","Q4'23","Q1'24","Q2'24"}),#REF!,0))</f>
        <v>#REF!</v>
      </c>
      <c r="AE23" s="39" t="e">
        <f>SUM(#REF!)</f>
        <v>#REF!</v>
      </c>
      <c r="AF23" s="46" t="e">
        <f>#REF!*8000</f>
        <v>#REF!</v>
      </c>
    </row>
    <row r="24" spans="1:32" ht="72" x14ac:dyDescent="0.3">
      <c r="A24" s="40">
        <f t="shared" si="0"/>
        <v>22</v>
      </c>
      <c r="B24" s="41" t="s">
        <v>54</v>
      </c>
      <c r="C24" s="39" t="e">
        <f t="array" ref="C24">SUM(IF((#REF!=$B24)*(#REF!=C$2)*(#REF!={"Q3'22","Q4'22","Q1'23","Q2'23"}),#REF!,0))</f>
        <v>#REF!</v>
      </c>
      <c r="D24" s="39" t="e">
        <f t="array" ref="D24">SUM(IF((#REF!=$B24)*(#REF!=D$2)*(#REF!={"Q3'22","Q4'22","Q1'23","Q2'23"}),#REF!,0))</f>
        <v>#REF!</v>
      </c>
      <c r="E24" s="39" t="e">
        <f t="array" ref="E24">SUM(IF((#REF!=$B24)*(#REF!=E$2)*(#REF!={"Q3'22","Q4'22","Q1'23","Q2'23"}),#REF!,0))</f>
        <v>#REF!</v>
      </c>
      <c r="F24" s="39" t="e">
        <f t="array" ref="F24">SUM(IF((#REF!=$B24)*(#REF!=F$2)*(#REF!={"Q3'22","Q4'22","Q1'23","Q2'23"}),#REF!,0))</f>
        <v>#REF!</v>
      </c>
      <c r="G24" s="39" t="e">
        <f t="array" ref="G24">SUM(IF((#REF!=$B24)*(#REF!=G$2)*(#REF!={"Q3'22","Q4'22","Q1'23","Q2'23"}),#REF!,0))</f>
        <v>#REF!</v>
      </c>
      <c r="H24" s="39" t="e">
        <f t="array" ref="H24">SUM(IF((#REF!=$B24)*(#REF!=H$2)*(#REF!={"Q3'22","Q4'22","Q1'23","Q2'23"}),#REF!,0))</f>
        <v>#REF!</v>
      </c>
      <c r="I24" s="41" t="e">
        <f>SUM(#REF!)</f>
        <v>#REF!</v>
      </c>
      <c r="J24" s="42" t="e">
        <f>#REF!*8000</f>
        <v>#REF!</v>
      </c>
      <c r="L24" s="40">
        <f t="shared" ref="L24:L26" si="3">ROW()-ROW($A$2)</f>
        <v>22</v>
      </c>
      <c r="M24" s="10" t="s">
        <v>52</v>
      </c>
      <c r="N24" s="39" t="e">
        <f t="array" ref="N24">SUM(IF((#REF!=$M24)*(#REF!=N$2)*(#REF!={"Q3-23","Q4-23","Q1-23","Q2-23"}),#REF!,0))</f>
        <v>#REF!</v>
      </c>
      <c r="O24" s="39" t="e">
        <f t="array" ref="O24">SUM(IF((#REF!=$M24)*(#REF!=O$2)*(#REF!={"Q3-23","Q4-23","Q1-23","Q2-23"}),#REF!,0))</f>
        <v>#REF!</v>
      </c>
      <c r="P24" s="39" t="e">
        <f t="array" ref="P24">SUM(IF((#REF!=$M24)*(#REF!=P$2)*(#REF!={"Q3-23","Q4-23","Q1-23","Q2-23"}),#REF!,0))</f>
        <v>#REF!</v>
      </c>
      <c r="Q24" s="39" t="e">
        <f t="array" ref="Q24">SUM(IF((#REF!=$M24)*(#REF!=Q$2)*(#REF!={"Q3-23","Q4-23","Q1-23","Q2-23"}),#REF!,0))</f>
        <v>#REF!</v>
      </c>
      <c r="R24" s="39" t="e">
        <f t="array" ref="R24">SUM(IF((#REF!=$M24)*(#REF!=R$2)*(#REF!={"Q3-23","Q4-23","Q1-23","Q2-23"}),#REF!,0))</f>
        <v>#REF!</v>
      </c>
      <c r="S24" s="39" t="e">
        <f t="array" ref="S24">SUM(IF((#REF!=$M24)*(#REF!=S$2)*(#REF!={"Q3-23","Q4-23","Q1-23","Q2-23"}),#REF!,0))</f>
        <v>#REF!</v>
      </c>
      <c r="T24" s="39" t="e">
        <f>SUM(#REF!)</f>
        <v>#REF!</v>
      </c>
      <c r="U24" s="46" t="e">
        <f>#REF!*8000</f>
        <v>#REF!</v>
      </c>
      <c r="W24" s="40">
        <f t="shared" si="2"/>
        <v>22</v>
      </c>
      <c r="X24" s="41" t="s">
        <v>40</v>
      </c>
      <c r="Y24" s="39" t="e">
        <f t="array" ref="Y24">SUM(IF((#REF!=$X24)*(#REF!=Y$2)*(#REF!={"Q3'23","Q4'23","Q1'24","Q2'24"}),#REF!,0))</f>
        <v>#REF!</v>
      </c>
      <c r="Z24" s="39" t="e">
        <f t="array" ref="Z24">SUM(IF((#REF!=$X24)*(#REF!=Z$2)*(#REF!={"Q3'23","Q4'23","Q1'24","Q2'24"}),#REF!,0))</f>
        <v>#REF!</v>
      </c>
      <c r="AA24" s="39" t="e">
        <f t="array" ref="AA24">SUM(IF((#REF!=$X24)*(#REF!=AA$2)*(#REF!={"Q3'23","Q4'23","Q1'24","Q2'24"}),#REF!,0))</f>
        <v>#REF!</v>
      </c>
      <c r="AB24" s="39" t="e">
        <f t="array" ref="AB24">SUM(IF((#REF!=$X24)*(#REF!=AB$2)*(#REF!={"Q3'23","Q4'23","Q1'24","Q2'24"}),#REF!,0))</f>
        <v>#REF!</v>
      </c>
      <c r="AC24" s="39" t="e">
        <f t="array" ref="AC24">SUM(IF((#REF!=$X24)*(#REF!=AC$2)*(#REF!={"Q3'23","Q4'23","Q1'24","Q2'24"}),#REF!,0))</f>
        <v>#REF!</v>
      </c>
      <c r="AD24" s="39" t="e">
        <f t="array" ref="AD24">SUM(IF((#REF!=$X24)*(#REF!=AD$2)*(#REF!={"Q3'23","Q4'23","Q1'24","Q2'24"}),#REF!,0))</f>
        <v>#REF!</v>
      </c>
      <c r="AE24" s="39" t="e">
        <f>SUM(#REF!)</f>
        <v>#REF!</v>
      </c>
      <c r="AF24" s="46" t="e">
        <f>#REF!*8000</f>
        <v>#REF!</v>
      </c>
    </row>
    <row r="25" spans="1:32" ht="72" x14ac:dyDescent="0.3">
      <c r="A25" s="40">
        <f t="shared" si="0"/>
        <v>23</v>
      </c>
      <c r="B25" s="41" t="s">
        <v>53</v>
      </c>
      <c r="C25" s="39" t="e">
        <f t="array" ref="C25">SUM(IF((#REF!=$B25)*(#REF!=C$2)*(#REF!={"Q3'22","Q4'22","Q1'23","Q2'23"}),#REF!,0))</f>
        <v>#REF!</v>
      </c>
      <c r="D25" s="39" t="e">
        <f t="array" ref="D25">SUM(IF((#REF!=$B25)*(#REF!=D$2)*(#REF!={"Q3'22","Q4'22","Q1'23","Q2'23"}),#REF!,0))</f>
        <v>#REF!</v>
      </c>
      <c r="E25" s="39" t="e">
        <f t="array" ref="E25">SUM(IF((#REF!=$B25)*(#REF!=E$2)*(#REF!={"Q3'22","Q4'22","Q1'23","Q2'23"}),#REF!,0))</f>
        <v>#REF!</v>
      </c>
      <c r="F25" s="39" t="e">
        <f t="array" ref="F25">SUM(IF((#REF!=$B25)*(#REF!=F$2)*(#REF!={"Q3'22","Q4'22","Q1'23","Q2'23"}),#REF!,0))</f>
        <v>#REF!</v>
      </c>
      <c r="G25" s="39" t="e">
        <f t="array" ref="G25">SUM(IF((#REF!=$B25)*(#REF!=G$2)*(#REF!={"Q3'22","Q4'22","Q1'23","Q2'23"}),#REF!,0))</f>
        <v>#REF!</v>
      </c>
      <c r="H25" s="39" t="e">
        <f t="array" ref="H25">SUM(IF((#REF!=$B25)*(#REF!=H$2)*(#REF!={"Q3'22","Q4'22","Q1'23","Q2'23"}),#REF!,0))</f>
        <v>#REF!</v>
      </c>
      <c r="I25" s="41" t="e">
        <f>SUM(#REF!)</f>
        <v>#REF!</v>
      </c>
      <c r="J25" s="42" t="e">
        <f>#REF!*8000</f>
        <v>#REF!</v>
      </c>
      <c r="L25" s="40">
        <f t="shared" si="3"/>
        <v>23</v>
      </c>
      <c r="M25" s="10" t="s">
        <v>39</v>
      </c>
      <c r="N25" s="39" t="e">
        <f t="array" ref="N25">SUM(IF((#REF!=$M25)*(#REF!=N$2)*(#REF!={"Q3-23","Q4-23","Q1-23","Q2-23"}),#REF!,0))</f>
        <v>#REF!</v>
      </c>
      <c r="O25" s="39" t="e">
        <f t="array" ref="O25">SUM(IF((#REF!=$M25)*(#REF!=O$2)*(#REF!={"Q3-23","Q4-23","Q1-23","Q2-23"}),#REF!,0))</f>
        <v>#REF!</v>
      </c>
      <c r="P25" s="39" t="e">
        <f t="array" ref="P25">SUM(IF((#REF!=$M25)*(#REF!=P$2)*(#REF!={"Q3-23","Q4-23","Q1-23","Q2-23"}),#REF!,0))</f>
        <v>#REF!</v>
      </c>
      <c r="Q25" s="39" t="e">
        <f t="array" ref="Q25">SUM(IF((#REF!=$M25)*(#REF!=Q$2)*(#REF!={"Q3-23","Q4-23","Q1-23","Q2-23"}),#REF!,0))</f>
        <v>#REF!</v>
      </c>
      <c r="R25" s="39" t="e">
        <f t="array" ref="R25">SUM(IF((#REF!=$M25)*(#REF!=R$2)*(#REF!={"Q3-23","Q4-23","Q1-23","Q2-23"}),#REF!,0))</f>
        <v>#REF!</v>
      </c>
      <c r="S25" s="39" t="e">
        <f t="array" ref="S25">SUM(IF((#REF!=$M25)*(#REF!=S$2)*(#REF!={"Q3-23","Q4-23","Q1-23","Q2-23"}),#REF!,0))</f>
        <v>#REF!</v>
      </c>
      <c r="T25" s="39" t="e">
        <f>SUM(#REF!)</f>
        <v>#REF!</v>
      </c>
      <c r="U25" s="46" t="e">
        <f>#REF!*8000</f>
        <v>#REF!</v>
      </c>
    </row>
    <row r="26" spans="1:32" ht="72" x14ac:dyDescent="0.3">
      <c r="A26" s="40">
        <f t="shared" si="0"/>
        <v>24</v>
      </c>
      <c r="B26" s="41" t="s">
        <v>52</v>
      </c>
      <c r="C26" s="39" t="e">
        <f t="array" ref="C26">SUM(IF((#REF!=$B26)*(#REF!=C$2)*(#REF!={"Q3'22","Q4'22","Q1'23","Q2'23"}),#REF!,0))</f>
        <v>#REF!</v>
      </c>
      <c r="D26" s="39" t="e">
        <f t="array" ref="D26">SUM(IF((#REF!=$B26)*(#REF!=D$2)*(#REF!={"Q3'22","Q4'22","Q1'23","Q2'23"}),#REF!,0))</f>
        <v>#REF!</v>
      </c>
      <c r="E26" s="39" t="e">
        <f t="array" ref="E26">SUM(IF((#REF!=$B26)*(#REF!=E$2)*(#REF!={"Q3'22","Q4'22","Q1'23","Q2'23"}),#REF!,0))</f>
        <v>#REF!</v>
      </c>
      <c r="F26" s="39" t="e">
        <f t="array" ref="F26">SUM(IF((#REF!=$B26)*(#REF!=F$2)*(#REF!={"Q3'22","Q4'22","Q1'23","Q2'23"}),#REF!,0))</f>
        <v>#REF!</v>
      </c>
      <c r="G26" s="39" t="e">
        <f t="array" ref="G26">SUM(IF((#REF!=$B26)*(#REF!=G$2)*(#REF!={"Q3'22","Q4'22","Q1'23","Q2'23"}),#REF!,0))</f>
        <v>#REF!</v>
      </c>
      <c r="H26" s="39" t="e">
        <f t="array" ref="H26">SUM(IF((#REF!=$B26)*(#REF!=H$2)*(#REF!={"Q3'22","Q4'22","Q1'23","Q2'23"}),#REF!,0))</f>
        <v>#REF!</v>
      </c>
      <c r="I26" s="41" t="e">
        <f>SUM(#REF!)</f>
        <v>#REF!</v>
      </c>
      <c r="J26" s="42" t="e">
        <f>#REF!*8000</f>
        <v>#REF!</v>
      </c>
      <c r="L26" s="40">
        <f t="shared" si="3"/>
        <v>24</v>
      </c>
      <c r="M26" s="10" t="s">
        <v>40</v>
      </c>
      <c r="N26" s="39" t="e">
        <f t="array" ref="N26">SUM(IF((#REF!=$M26)*(#REF!=N$2)*(#REF!={"Q3-23","Q4-23","Q1-23","Q2-23"}),#REF!,0))</f>
        <v>#REF!</v>
      </c>
      <c r="O26" s="39" t="e">
        <f t="array" ref="O26">SUM(IF((#REF!=$M26)*(#REF!=O$2)*(#REF!={"Q3-23","Q4-23","Q1-23","Q2-23"}),#REF!,0))</f>
        <v>#REF!</v>
      </c>
      <c r="P26" s="39" t="e">
        <f t="array" ref="P26">SUM(IF((#REF!=$M26)*(#REF!=P$2)*(#REF!={"Q3-23","Q4-23","Q1-23","Q2-23"}),#REF!,0))</f>
        <v>#REF!</v>
      </c>
      <c r="Q26" s="39" t="e">
        <f t="array" ref="Q26">SUM(IF((#REF!=$M26)*(#REF!=Q$2)*(#REF!={"Q3-23","Q4-23","Q1-23","Q2-23"}),#REF!,0))</f>
        <v>#REF!</v>
      </c>
      <c r="R26" s="39" t="e">
        <f t="array" ref="R26">SUM(IF((#REF!=$M26)*(#REF!=R$2)*(#REF!={"Q3-23","Q4-23","Q1-23","Q2-23"}),#REF!,0))</f>
        <v>#REF!</v>
      </c>
      <c r="S26" s="39" t="e">
        <f t="array" ref="S26">SUM(IF((#REF!=$M26)*(#REF!=S$2)*(#REF!={"Q3-23","Q4-23","Q1-23","Q2-23"}),#REF!,0))</f>
        <v>#REF!</v>
      </c>
      <c r="T26" s="39" t="e">
        <f>SUM(#REF!)</f>
        <v>#REF!</v>
      </c>
      <c r="U26" s="46" t="e">
        <f>#REF!*8000</f>
        <v>#REF!</v>
      </c>
    </row>
    <row r="27" spans="1:32" ht="57.6" x14ac:dyDescent="0.3">
      <c r="A27" s="40">
        <f t="shared" si="0"/>
        <v>25</v>
      </c>
      <c r="B27" s="41" t="s">
        <v>39</v>
      </c>
      <c r="C27" s="39" t="e">
        <f t="array" ref="C27">SUM(IF((#REF!=$B27)*(#REF!=C$2)*(#REF!={"Q3'22","Q4'22","Q1'23","Q2'23"}),#REF!,0))</f>
        <v>#REF!</v>
      </c>
      <c r="D27" s="39" t="e">
        <f t="array" ref="D27">SUM(IF((#REF!=$B27)*(#REF!=D$2)*(#REF!={"Q3'22","Q4'22","Q1'23","Q2'23"}),#REF!,0))</f>
        <v>#REF!</v>
      </c>
      <c r="E27" s="39" t="e">
        <f t="array" ref="E27">SUM(IF((#REF!=$B27)*(#REF!=E$2)*(#REF!={"Q3'22","Q4'22","Q1'23","Q2'23"}),#REF!,0))</f>
        <v>#REF!</v>
      </c>
      <c r="F27" s="39" t="e">
        <f t="array" ref="F27">SUM(IF((#REF!=$B27)*(#REF!=F$2)*(#REF!={"Q3'22","Q4'22","Q1'23","Q2'23"}),#REF!,0))</f>
        <v>#REF!</v>
      </c>
      <c r="G27" s="39" t="e">
        <f t="array" ref="G27">SUM(IF((#REF!=$B27)*(#REF!=G$2)*(#REF!={"Q3'22","Q4'22","Q1'23","Q2'23"}),#REF!,0))</f>
        <v>#REF!</v>
      </c>
      <c r="H27" s="39" t="e">
        <f t="array" ref="H27">SUM(IF((#REF!=$B27)*(#REF!=H$2)*(#REF!={"Q3'22","Q4'22","Q1'23","Q2'23"}),#REF!,0))</f>
        <v>#REF!</v>
      </c>
      <c r="I27" s="41" t="e">
        <f>SUM(#REF!)</f>
        <v>#REF!</v>
      </c>
      <c r="J27" s="42" t="e">
        <f>#REF!*8000</f>
        <v>#REF!</v>
      </c>
    </row>
    <row r="28" spans="1:32" ht="72" x14ac:dyDescent="0.3">
      <c r="A28" s="40">
        <f t="shared" si="0"/>
        <v>26</v>
      </c>
      <c r="B28" s="43" t="s">
        <v>40</v>
      </c>
      <c r="C28" s="39" t="e">
        <f t="array" ref="C28">SUM(IF((#REF!=$B28)*(#REF!=C$2)*(#REF!={"Q3'22","Q4'22","Q1'23","Q2'23"}),#REF!,0))</f>
        <v>#REF!</v>
      </c>
      <c r="D28" s="39" t="e">
        <f t="array" ref="D28">SUM(IF((#REF!=$B28)*(#REF!=D$2)*(#REF!={"Q3'22","Q4'22","Q1'23","Q2'23"}),#REF!,0))</f>
        <v>#REF!</v>
      </c>
      <c r="E28" s="39" t="e">
        <f t="array" ref="E28">SUM(IF((#REF!=$B28)*(#REF!=E$2)*(#REF!={"Q3'22","Q4'22","Q1'23","Q2'23"}),#REF!,0))</f>
        <v>#REF!</v>
      </c>
      <c r="F28" s="39" t="e">
        <f t="array" ref="F28">SUM(IF((#REF!=$B28)*(#REF!=F$2)*(#REF!={"Q3'22","Q4'22","Q1'23","Q2'23"}),#REF!,0))</f>
        <v>#REF!</v>
      </c>
      <c r="G28" s="39" t="e">
        <f t="array" ref="G28">SUM(IF((#REF!=$B28)*(#REF!=G$2)*(#REF!={"Q3'22","Q4'22","Q1'23","Q2'23"}),#REF!,0))</f>
        <v>#REF!</v>
      </c>
      <c r="H28" s="39" t="e">
        <f t="array" ref="H28">SUM(IF((#REF!=$B28)*(#REF!=H$2)*(#REF!={"Q3'22","Q4'22","Q1'23","Q2'23"}),#REF!,0))</f>
        <v>#REF!</v>
      </c>
      <c r="I28" s="43" t="e">
        <f>SUM(#REF!)</f>
        <v>#REF!</v>
      </c>
      <c r="J28" s="44" t="e">
        <f>#REF!*8000</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dimension ref="A1:J25"/>
  <sheetViews>
    <sheetView workbookViewId="0"/>
  </sheetViews>
  <sheetFormatPr defaultRowHeight="14.4" x14ac:dyDescent="0.3"/>
  <sheetData>
    <row r="1" spans="1:10" ht="304.2" x14ac:dyDescent="0.3">
      <c r="A1" s="51" t="s">
        <v>83</v>
      </c>
      <c r="B1" s="51"/>
      <c r="C1" s="51"/>
      <c r="D1" s="51"/>
      <c r="E1" s="51"/>
      <c r="F1" s="51"/>
      <c r="G1" s="51"/>
      <c r="H1" s="51"/>
      <c r="I1" s="51"/>
      <c r="J1" s="51"/>
    </row>
    <row r="2" spans="1:10" ht="43.2" x14ac:dyDescent="0.3">
      <c r="A2" s="6" t="s">
        <v>77</v>
      </c>
      <c r="B2" s="3" t="s">
        <v>0</v>
      </c>
      <c r="C2" s="37" t="s">
        <v>29</v>
      </c>
      <c r="D2" s="37" t="s">
        <v>30</v>
      </c>
      <c r="E2" s="37" t="s">
        <v>37</v>
      </c>
      <c r="F2" s="37" t="s">
        <v>38</v>
      </c>
      <c r="G2" s="37" t="s">
        <v>41</v>
      </c>
      <c r="H2" s="37" t="s">
        <v>43</v>
      </c>
      <c r="I2" s="37" t="s">
        <v>33</v>
      </c>
      <c r="J2" s="45" t="s">
        <v>84</v>
      </c>
    </row>
    <row r="3" spans="1:10" ht="57.6" x14ac:dyDescent="0.3">
      <c r="A3" s="40">
        <f>ROW()-ROW($A$2)</f>
        <v>1</v>
      </c>
      <c r="B3" s="41" t="s">
        <v>21</v>
      </c>
      <c r="C3" s="39" t="e">
        <f t="array" ref="C3">SUM(IF((#REF!=$B3)*(#REF!=C$2)*(#REF!={"Jul'23","Aug'23","Sep'23","Oct'23","Nov'23","Dec'23","Jan'24","Feb'24","Mar'24","Apr'24","May'24","Jun'24"}),#REF!,0))</f>
        <v>#REF!</v>
      </c>
      <c r="D3" s="39" t="e">
        <f t="array" ref="D3">SUM(IF((#REF!=$B3)*(#REF!=D$2)*(#REF!={"Jul'23","Aug'23","Sep'23","Oct'23","Nov'23","Dec'23","Jan'24","Feb'24","Mar'24","Apr'24","May'24","Jun'24"}),#REF!,0))</f>
        <v>#REF!</v>
      </c>
      <c r="E3" s="39" t="e">
        <f t="array" ref="E3">SUM(IF((#REF!=$B3)*(#REF!=E$2)*(#REF!={"Jul'23","Aug'23","Sep'23","Oct'23","Nov'23","Dec'23","Jan'24","Feb'24","Mar'24","Apr'24","May'24","Jun'24"}),#REF!,0))</f>
        <v>#REF!</v>
      </c>
      <c r="F3" s="39" t="e">
        <f t="array" ref="F3">SUM(IF((#REF!=$B3)*(#REF!=F$2)*(#REF!={"Jul'23","Aug'23","Sep'23","Oct'23","Nov'23","Dec'23","Jan'24","Feb'24","Mar'24","Apr'24","May'24","Jun'24"}),#REF!,0))</f>
        <v>#REF!</v>
      </c>
      <c r="G3" s="39" t="e">
        <f t="array" ref="G3">SUM(IF((#REF!=$B3)*(#REF!=G$2)*(#REF!={"Jul'23","Aug'23","Sep'23","Oct'23","Nov'23","Dec'23","Jan'24","Feb'24","Mar'24","Apr'24","May'24","Jun'24"}),#REF!,0))</f>
        <v>#REF!</v>
      </c>
      <c r="H3" s="39" t="e">
        <f t="array" ref="H3">SUM(IF((#REF!=$B3)*(#REF!=H$2)*(#REF!={"Jul'23","Aug'23","Sep'23","Oct'23","Nov'23","Dec'23","Jan'24","Feb'24","Mar'24","Apr'24","May'24","Jun'24"}),#REF!,0))</f>
        <v>#REF!</v>
      </c>
      <c r="I3" s="39" t="e">
        <f>SUM(#REF!)</f>
        <v>#REF!</v>
      </c>
      <c r="J3" s="46" t="e">
        <f>#REF!*8000</f>
        <v>#REF!</v>
      </c>
    </row>
    <row r="4" spans="1:10" ht="72" x14ac:dyDescent="0.3">
      <c r="A4" s="40">
        <f t="shared" ref="A4:A25" si="0">ROW()-ROW($A$2)</f>
        <v>2</v>
      </c>
      <c r="B4" s="41" t="s">
        <v>9</v>
      </c>
      <c r="C4" s="39" t="e">
        <f t="array" ref="C4">SUM(IF((#REF!=$B4)*(#REF!=C$2)*(#REF!={"Jul'23","Aug'23","Sep'23","Oct'23","Nov'23","Dec'23","Jan'24","Feb'24","Mar'24","Apr'24","May'24","Jun'24"}),#REF!,0))</f>
        <v>#REF!</v>
      </c>
      <c r="D4" s="39" t="e">
        <f t="array" ref="D4">SUM(IF((#REF!=$B4)*(#REF!=D$2)*(#REF!={"Jul'23","Aug'23","Sep'23","Oct'23","Nov'23","Dec'23","Jan'24","Feb'24","Mar'24","Apr'24","May'24","Jun'24"}),#REF!,0))</f>
        <v>#REF!</v>
      </c>
      <c r="E4" s="39" t="e">
        <f t="array" ref="E4">SUM(IF((#REF!=$B4)*(#REF!=E$2)*(#REF!={"Jul'23","Aug'23","Sep'23","Oct'23","Nov'23","Dec'23","Jan'24","Feb'24","Mar'24","Apr'24","May'24","Jun'24"}),#REF!,0))</f>
        <v>#REF!</v>
      </c>
      <c r="F4" s="39" t="e">
        <f t="array" ref="F4">SUM(IF((#REF!=$B4)*(#REF!=F$2)*(#REF!={"Jul'23","Aug'23","Sep'23","Oct'23","Nov'23","Dec'23","Jan'24","Feb'24","Mar'24","Apr'24","May'24","Jun'24"}),#REF!,0))</f>
        <v>#REF!</v>
      </c>
      <c r="G4" s="39" t="e">
        <f t="array" ref="G4">SUM(IF((#REF!=$B4)*(#REF!=G$2)*(#REF!={"Jul'23","Aug'23","Sep'23","Oct'23","Nov'23","Dec'23","Jan'24","Feb'24","Mar'24","Apr'24","May'24","Jun'24"}),#REF!,0))</f>
        <v>#REF!</v>
      </c>
      <c r="H4" s="39" t="e">
        <f t="array" ref="H4">SUM(IF((#REF!=$B4)*(#REF!=H$2)*(#REF!={"Jul'23","Aug'23","Sep'23","Oct'23","Nov'23","Dec'23","Jan'24","Feb'24","Mar'24","Apr'24","May'24","Jun'24"}),#REF!,0))</f>
        <v>#REF!</v>
      </c>
      <c r="I4" s="39" t="e">
        <f>SUM(#REF!)</f>
        <v>#REF!</v>
      </c>
      <c r="J4" s="46" t="e">
        <f>#REF!*8000</f>
        <v>#REF!</v>
      </c>
    </row>
    <row r="5" spans="1:10" ht="72" x14ac:dyDescent="0.3">
      <c r="A5" s="40">
        <f t="shared" si="0"/>
        <v>3</v>
      </c>
      <c r="B5" s="41" t="s">
        <v>13</v>
      </c>
      <c r="C5" s="39" t="e">
        <f t="array" ref="C5">SUM(IF((#REF!=$B5)*(#REF!=C$2)*(#REF!={"Jul'23","Aug'23","Sep'23","Oct'23","Nov'23","Dec'23","Jan'24","Feb'24","Mar'24","Apr'24","May'24","Jun'24"}),#REF!,0))</f>
        <v>#REF!</v>
      </c>
      <c r="D5" s="39" t="e">
        <f t="array" ref="D5">SUM(IF((#REF!=$B5)*(#REF!=D$2)*(#REF!={"Jul'23","Aug'23","Sep'23","Oct'23","Nov'23","Dec'23","Jan'24","Feb'24","Mar'24","Apr'24","May'24","Jun'24"}),#REF!,0))</f>
        <v>#REF!</v>
      </c>
      <c r="E5" s="39" t="e">
        <f t="array" ref="E5">SUM(IF((#REF!=$B5)*(#REF!=E$2)*(#REF!={"Jul'23","Aug'23","Sep'23","Oct'23","Nov'23","Dec'23","Jan'24","Feb'24","Mar'24","Apr'24","May'24","Jun'24"}),#REF!,0))</f>
        <v>#REF!</v>
      </c>
      <c r="F5" s="39" t="e">
        <f t="array" ref="F5">SUM(IF((#REF!=$B5)*(#REF!=F$2)*(#REF!={"Jul'23","Aug'23","Sep'23","Oct'23","Nov'23","Dec'23","Jan'24","Feb'24","Mar'24","Apr'24","May'24","Jun'24"}),#REF!,0))</f>
        <v>#REF!</v>
      </c>
      <c r="G5" s="39" t="e">
        <f t="array" ref="G5">SUM(IF((#REF!=$B5)*(#REF!=G$2)*(#REF!={"Jul'23","Aug'23","Sep'23","Oct'23","Nov'23","Dec'23","Jan'24","Feb'24","Mar'24","Apr'24","May'24","Jun'24"}),#REF!,0))</f>
        <v>#REF!</v>
      </c>
      <c r="H5" s="39" t="e">
        <f t="array" ref="H5">SUM(IF((#REF!=$B5)*(#REF!=H$2)*(#REF!={"Jul'23","Aug'23","Sep'23","Oct'23","Nov'23","Dec'23","Jan'24","Feb'24","Mar'24","Apr'24","May'24","Jun'24"}),#REF!,0))</f>
        <v>#REF!</v>
      </c>
      <c r="I5" s="39" t="e">
        <f>SUM(#REF!)</f>
        <v>#REF!</v>
      </c>
      <c r="J5" s="46" t="e">
        <f>#REF!*8000</f>
        <v>#REF!</v>
      </c>
    </row>
    <row r="6" spans="1:10" ht="43.2" x14ac:dyDescent="0.3">
      <c r="A6" s="40">
        <f t="shared" si="0"/>
        <v>4</v>
      </c>
      <c r="B6" s="41" t="s">
        <v>8</v>
      </c>
      <c r="C6" s="39" t="e">
        <f t="array" ref="C6">SUM(IF((#REF!=$B6)*(#REF!=C$2)*(#REF!={"Jul'23","Aug'23","Sep'23","Oct'23","Nov'23","Dec'23","Jan'24","Feb'24","Mar'24","Apr'24","May'24","Jun'24"}),#REF!,0))</f>
        <v>#REF!</v>
      </c>
      <c r="D6" s="39" t="e">
        <f t="array" ref="D6">SUM(IF((#REF!=$B6)*(#REF!=D$2)*(#REF!={"Jul'23","Aug'23","Sep'23","Oct'23","Nov'23","Dec'23","Jan'24","Feb'24","Mar'24","Apr'24","May'24","Jun'24"}),#REF!,0))</f>
        <v>#REF!</v>
      </c>
      <c r="E6" s="39" t="e">
        <f t="array" ref="E6">SUM(IF((#REF!=$B6)*(#REF!=E$2)*(#REF!={"Jul'23","Aug'23","Sep'23","Oct'23","Nov'23","Dec'23","Jan'24","Feb'24","Mar'24","Apr'24","May'24","Jun'24"}),#REF!,0))</f>
        <v>#REF!</v>
      </c>
      <c r="F6" s="39" t="e">
        <f t="array" ref="F6">SUM(IF((#REF!=$B6)*(#REF!=F$2)*(#REF!={"Jul'23","Aug'23","Sep'23","Oct'23","Nov'23","Dec'23","Jan'24","Feb'24","Mar'24","Apr'24","May'24","Jun'24"}),#REF!,0))</f>
        <v>#REF!</v>
      </c>
      <c r="G6" s="39" t="e">
        <f t="array" ref="G6">SUM(IF((#REF!=$B6)*(#REF!=G$2)*(#REF!={"Jul'23","Aug'23","Sep'23","Oct'23","Nov'23","Dec'23","Jan'24","Feb'24","Mar'24","Apr'24","May'24","Jun'24"}),#REF!,0))</f>
        <v>#REF!</v>
      </c>
      <c r="H6" s="39" t="e">
        <f t="array" ref="H6">SUM(IF((#REF!=$B6)*(#REF!=H$2)*(#REF!={"Jul'23","Aug'23","Sep'23","Oct'23","Nov'23","Dec'23","Jan'24","Feb'24","Mar'24","Apr'24","May'24","Jun'24"}),#REF!,0))</f>
        <v>#REF!</v>
      </c>
      <c r="I6" s="39" t="e">
        <f>SUM(#REF!)</f>
        <v>#REF!</v>
      </c>
      <c r="J6" s="46" t="e">
        <f>#REF!*8000</f>
        <v>#REF!</v>
      </c>
    </row>
    <row r="7" spans="1:10" ht="28.8" x14ac:dyDescent="0.3">
      <c r="A7" s="40">
        <f t="shared" si="0"/>
        <v>5</v>
      </c>
      <c r="B7" s="41" t="s">
        <v>11</v>
      </c>
      <c r="C7" s="39" t="e">
        <f t="array" ref="C7">SUM(IF((#REF!=$B7)*(#REF!=C$2)*(#REF!={"Jul'23","Aug'23","Sep'23","Oct'23","Nov'23","Dec'23","Jan'24","Feb'24","Mar'24","Apr'24","May'24","Jun'24"}),#REF!,0))</f>
        <v>#REF!</v>
      </c>
      <c r="D7" s="39" t="e">
        <f t="array" ref="D7">SUM(IF((#REF!=$B7)*(#REF!=D$2)*(#REF!={"Jul'23","Aug'23","Sep'23","Oct'23","Nov'23","Dec'23","Jan'24","Feb'24","Mar'24","Apr'24","May'24","Jun'24"}),#REF!,0))</f>
        <v>#REF!</v>
      </c>
      <c r="E7" s="39" t="e">
        <f t="array" ref="E7">SUM(IF((#REF!=$B7)*(#REF!=E$2)*(#REF!={"Jul'23","Aug'23","Sep'23","Oct'23","Nov'23","Dec'23","Jan'24","Feb'24","Mar'24","Apr'24","May'24","Jun'24"}),#REF!,0))</f>
        <v>#REF!</v>
      </c>
      <c r="F7" s="39" t="e">
        <f t="array" ref="F7">SUM(IF((#REF!=$B7)*(#REF!=F$2)*(#REF!={"Jul'23","Aug'23","Sep'23","Oct'23","Nov'23","Dec'23","Jan'24","Feb'24","Mar'24","Apr'24","May'24","Jun'24"}),#REF!,0))</f>
        <v>#REF!</v>
      </c>
      <c r="G7" s="39" t="e">
        <f t="array" ref="G7">SUM(IF((#REF!=$B7)*(#REF!=G$2)*(#REF!={"Jul'23","Aug'23","Sep'23","Oct'23","Nov'23","Dec'23","Jan'24","Feb'24","Mar'24","Apr'24","May'24","Jun'24"}),#REF!,0))</f>
        <v>#REF!</v>
      </c>
      <c r="H7" s="39" t="e">
        <f t="array" ref="H7">SUM(IF((#REF!=$B7)*(#REF!=H$2)*(#REF!={"Jul'23","Aug'23","Sep'23","Oct'23","Nov'23","Dec'23","Jan'24","Feb'24","Mar'24","Apr'24","May'24","Jun'24"}),#REF!,0))</f>
        <v>#REF!</v>
      </c>
      <c r="I7" s="39" t="e">
        <f>SUM(#REF!)</f>
        <v>#REF!</v>
      </c>
      <c r="J7" s="46" t="e">
        <f>#REF!*8000</f>
        <v>#REF!</v>
      </c>
    </row>
    <row r="8" spans="1:10" ht="43.2" x14ac:dyDescent="0.3">
      <c r="A8" s="40">
        <f t="shared" si="0"/>
        <v>6</v>
      </c>
      <c r="B8" s="41" t="s">
        <v>15</v>
      </c>
      <c r="C8" s="39" t="e">
        <f t="array" ref="C8">SUM(IF((#REF!=$B8)*(#REF!=C$2)*(#REF!={"Jul'23","Aug'23","Sep'23","Oct'23","Nov'23","Dec'23","Jan'24","Feb'24","Mar'24","Apr'24","May'24","Jun'24"}),#REF!,0))</f>
        <v>#REF!</v>
      </c>
      <c r="D8" s="39" t="e">
        <f t="array" ref="D8">SUM(IF((#REF!=$B8)*(#REF!=D$2)*(#REF!={"Jul'23","Aug'23","Sep'23","Oct'23","Nov'23","Dec'23","Jan'24","Feb'24","Mar'24","Apr'24","May'24","Jun'24"}),#REF!,0))</f>
        <v>#REF!</v>
      </c>
      <c r="E8" s="39" t="e">
        <f t="array" ref="E8">SUM(IF((#REF!=$B8)*(#REF!=E$2)*(#REF!={"Jul'23","Aug'23","Sep'23","Oct'23","Nov'23","Dec'23","Jan'24","Feb'24","Mar'24","Apr'24","May'24","Jun'24"}),#REF!,0))</f>
        <v>#REF!</v>
      </c>
      <c r="F8" s="39" t="e">
        <f t="array" ref="F8">SUM(IF((#REF!=$B8)*(#REF!=F$2)*(#REF!={"Jul'23","Aug'23","Sep'23","Oct'23","Nov'23","Dec'23","Jan'24","Feb'24","Mar'24","Apr'24","May'24","Jun'24"}),#REF!,0))</f>
        <v>#REF!</v>
      </c>
      <c r="G8" s="39" t="e">
        <f t="array" ref="G8">SUM(IF((#REF!=$B8)*(#REF!=G$2)*(#REF!={"Jul'23","Aug'23","Sep'23","Oct'23","Nov'23","Dec'23","Jan'24","Feb'24","Mar'24","Apr'24","May'24","Jun'24"}),#REF!,0))</f>
        <v>#REF!</v>
      </c>
      <c r="H8" s="39" t="e">
        <f t="array" ref="H8">SUM(IF((#REF!=$B8)*(#REF!=H$2)*(#REF!={"Jul'23","Aug'23","Sep'23","Oct'23","Nov'23","Dec'23","Jan'24","Feb'24","Mar'24","Apr'24","May'24","Jun'24"}),#REF!,0))</f>
        <v>#REF!</v>
      </c>
      <c r="I8" s="39" t="e">
        <f>SUM(#REF!)</f>
        <v>#REF!</v>
      </c>
      <c r="J8" s="46" t="e">
        <f>#REF!*8000</f>
        <v>#REF!</v>
      </c>
    </row>
    <row r="9" spans="1:10" ht="43.2" x14ac:dyDescent="0.3">
      <c r="A9" s="40">
        <f t="shared" si="0"/>
        <v>7</v>
      </c>
      <c r="B9" s="41" t="s">
        <v>16</v>
      </c>
      <c r="C9" s="39" t="e">
        <f t="array" ref="C9">SUM(IF((#REF!=$B9)*(#REF!=C$2)*(#REF!={"Jul'23","Aug'23","Sep'23","Oct'23","Nov'23","Dec'23","Jan'24","Feb'24","Mar'24","Apr'24","May'24","Jun'24"}),#REF!,0))</f>
        <v>#REF!</v>
      </c>
      <c r="D9" s="39" t="e">
        <f t="array" ref="D9">SUM(IF((#REF!=$B9)*(#REF!=D$2)*(#REF!={"Jul'23","Aug'23","Sep'23","Oct'23","Nov'23","Dec'23","Jan'24","Feb'24","Mar'24","Apr'24","May'24","Jun'24"}),#REF!,0))</f>
        <v>#REF!</v>
      </c>
      <c r="E9" s="39" t="e">
        <f t="array" ref="E9">SUM(IF((#REF!=$B9)*(#REF!=E$2)*(#REF!={"Jul'23","Aug'23","Sep'23","Oct'23","Nov'23","Dec'23","Jan'24","Feb'24","Mar'24","Apr'24","May'24","Jun'24"}),#REF!,0))</f>
        <v>#REF!</v>
      </c>
      <c r="F9" s="39" t="e">
        <f t="array" ref="F9">SUM(IF((#REF!=$B9)*(#REF!=F$2)*(#REF!={"Jul'23","Aug'23","Sep'23","Oct'23","Nov'23","Dec'23","Jan'24","Feb'24","Mar'24","Apr'24","May'24","Jun'24"}),#REF!,0))</f>
        <v>#REF!</v>
      </c>
      <c r="G9" s="39" t="e">
        <f t="array" ref="G9">SUM(IF((#REF!=$B9)*(#REF!=G$2)*(#REF!={"Jul'23","Aug'23","Sep'23","Oct'23","Nov'23","Dec'23","Jan'24","Feb'24","Mar'24","Apr'24","May'24","Jun'24"}),#REF!,0))</f>
        <v>#REF!</v>
      </c>
      <c r="H9" s="39" t="e">
        <f t="array" ref="H9">SUM(IF((#REF!=$B9)*(#REF!=H$2)*(#REF!={"Jul'23","Aug'23","Sep'23","Oct'23","Nov'23","Dec'23","Jan'24","Feb'24","Mar'24","Apr'24","May'24","Jun'24"}),#REF!,0))</f>
        <v>#REF!</v>
      </c>
      <c r="I9" s="39" t="e">
        <f>SUM(#REF!)</f>
        <v>#REF!</v>
      </c>
      <c r="J9" s="46" t="e">
        <f>#REF!*8000</f>
        <v>#REF!</v>
      </c>
    </row>
    <row r="10" spans="1:10" ht="57.6" x14ac:dyDescent="0.3">
      <c r="A10" s="40">
        <f t="shared" si="0"/>
        <v>8</v>
      </c>
      <c r="B10" s="41" t="s">
        <v>24</v>
      </c>
      <c r="C10" s="39" t="e">
        <f t="array" ref="C10">SUM(IF((#REF!=$B10)*(#REF!=C$2)*(#REF!={"Jul'23","Aug'23","Sep'23","Oct'23","Nov'23","Dec'23","Jan'24","Feb'24","Mar'24","Apr'24","May'24","Jun'24"}),#REF!,0))</f>
        <v>#REF!</v>
      </c>
      <c r="D10" s="39" t="e">
        <f t="array" ref="D10">SUM(IF((#REF!=$B10)*(#REF!=D$2)*(#REF!={"Jul'23","Aug'23","Sep'23","Oct'23","Nov'23","Dec'23","Jan'24","Feb'24","Mar'24","Apr'24","May'24","Jun'24"}),#REF!,0))</f>
        <v>#REF!</v>
      </c>
      <c r="E10" s="39" t="e">
        <f t="array" ref="E10">SUM(IF((#REF!=$B10)*(#REF!=E$2)*(#REF!={"Jul'23","Aug'23","Sep'23","Oct'23","Nov'23","Dec'23","Jan'24","Feb'24","Mar'24","Apr'24","May'24","Jun'24"}),#REF!,0))</f>
        <v>#REF!</v>
      </c>
      <c r="F10" s="39" t="e">
        <f t="array" ref="F10">SUM(IF((#REF!=$B10)*(#REF!=F$2)*(#REF!={"Jul'23","Aug'23","Sep'23","Oct'23","Nov'23","Dec'23","Jan'24","Feb'24","Mar'24","Apr'24","May'24","Jun'24"}),#REF!,0))</f>
        <v>#REF!</v>
      </c>
      <c r="G10" s="39" t="e">
        <f t="array" ref="G10">SUM(IF((#REF!=$B10)*(#REF!=G$2)*(#REF!={"Jul'23","Aug'23","Sep'23","Oct'23","Nov'23","Dec'23","Jan'24","Feb'24","Mar'24","Apr'24","May'24","Jun'24"}),#REF!,0))</f>
        <v>#REF!</v>
      </c>
      <c r="H10" s="39" t="e">
        <f t="array" ref="H10">SUM(IF((#REF!=$B10)*(#REF!=H$2)*(#REF!={"Jul'23","Aug'23","Sep'23","Oct'23","Nov'23","Dec'23","Jan'24","Feb'24","Mar'24","Apr'24","May'24","Jun'24"}),#REF!,0))</f>
        <v>#REF!</v>
      </c>
      <c r="I10" s="39" t="e">
        <f>SUM(#REF!)</f>
        <v>#REF!</v>
      </c>
      <c r="J10" s="46" t="e">
        <f>#REF!*8000</f>
        <v>#REF!</v>
      </c>
    </row>
    <row r="11" spans="1:10" ht="57.6" x14ac:dyDescent="0.3">
      <c r="A11" s="40">
        <f t="shared" si="0"/>
        <v>9</v>
      </c>
      <c r="B11" s="41" t="s">
        <v>12</v>
      </c>
      <c r="C11" s="39" t="e">
        <f t="array" ref="C11">SUM(IF((#REF!=$B11)*(#REF!=C$2)*(#REF!={"Jul'23","Aug'23","Sep'23","Oct'23","Nov'23","Dec'23","Jan'24","Feb'24","Mar'24","Apr'24","May'24","Jun'24"}),#REF!,0))</f>
        <v>#REF!</v>
      </c>
      <c r="D11" s="39" t="e">
        <f t="array" ref="D11">SUM(IF((#REF!=$B11)*(#REF!=D$2)*(#REF!={"Jul'23","Aug'23","Sep'23","Oct'23","Nov'23","Dec'23","Jan'24","Feb'24","Mar'24","Apr'24","May'24","Jun'24"}),#REF!,0))</f>
        <v>#REF!</v>
      </c>
      <c r="E11" s="39" t="e">
        <f t="array" ref="E11">SUM(IF((#REF!=$B11)*(#REF!=E$2)*(#REF!={"Jul'23","Aug'23","Sep'23","Oct'23","Nov'23","Dec'23","Jan'24","Feb'24","Mar'24","Apr'24","May'24","Jun'24"}),#REF!,0))</f>
        <v>#REF!</v>
      </c>
      <c r="F11" s="39" t="e">
        <f t="array" ref="F11">SUM(IF((#REF!=$B11)*(#REF!=F$2)*(#REF!={"Jul'23","Aug'23","Sep'23","Oct'23","Nov'23","Dec'23","Jan'24","Feb'24","Mar'24","Apr'24","May'24","Jun'24"}),#REF!,0))</f>
        <v>#REF!</v>
      </c>
      <c r="G11" s="39" t="e">
        <f t="array" ref="G11">SUM(IF((#REF!=$B11)*(#REF!=G$2)*(#REF!={"Jul'23","Aug'23","Sep'23","Oct'23","Nov'23","Dec'23","Jan'24","Feb'24","Mar'24","Apr'24","May'24","Jun'24"}),#REF!,0))</f>
        <v>#REF!</v>
      </c>
      <c r="H11" s="39" t="e">
        <f t="array" ref="H11">SUM(IF((#REF!=$B11)*(#REF!=H$2)*(#REF!={"Jul'23","Aug'23","Sep'23","Oct'23","Nov'23","Dec'23","Jan'24","Feb'24","Mar'24","Apr'24","May'24","Jun'24"}),#REF!,0))</f>
        <v>#REF!</v>
      </c>
      <c r="I11" s="39" t="e">
        <f>SUM(#REF!)</f>
        <v>#REF!</v>
      </c>
      <c r="J11" s="46" t="e">
        <f>#REF!*8000</f>
        <v>#REF!</v>
      </c>
    </row>
    <row r="12" spans="1:10" ht="43.2" x14ac:dyDescent="0.3">
      <c r="A12" s="40">
        <f t="shared" si="0"/>
        <v>10</v>
      </c>
      <c r="B12" s="41" t="s">
        <v>23</v>
      </c>
      <c r="C12" s="39" t="e">
        <f t="array" ref="C12">SUM(IF((#REF!=$B12)*(#REF!=C$2)*(#REF!={"Jul'23","Aug'23","Sep'23","Oct'23","Nov'23","Dec'23","Jan'24","Feb'24","Mar'24","Apr'24","May'24","Jun'24"}),#REF!,0))</f>
        <v>#REF!</v>
      </c>
      <c r="D12" s="39" t="e">
        <f t="array" ref="D12">SUM(IF((#REF!=$B12)*(#REF!=D$2)*(#REF!={"Jul'23","Aug'23","Sep'23","Oct'23","Nov'23","Dec'23","Jan'24","Feb'24","Mar'24","Apr'24","May'24","Jun'24"}),#REF!,0))</f>
        <v>#REF!</v>
      </c>
      <c r="E12" s="39" t="e">
        <f t="array" ref="E12">SUM(IF((#REF!=$B12)*(#REF!=E$2)*(#REF!={"Jul'23","Aug'23","Sep'23","Oct'23","Nov'23","Dec'23","Jan'24","Feb'24","Mar'24","Apr'24","May'24","Jun'24"}),#REF!,0))</f>
        <v>#REF!</v>
      </c>
      <c r="F12" s="39" t="e">
        <f t="array" ref="F12">SUM(IF((#REF!=$B12)*(#REF!=F$2)*(#REF!={"Jul'23","Aug'23","Sep'23","Oct'23","Nov'23","Dec'23","Jan'24","Feb'24","Mar'24","Apr'24","May'24","Jun'24"}),#REF!,0))</f>
        <v>#REF!</v>
      </c>
      <c r="G12" s="39" t="e">
        <f t="array" ref="G12">SUM(IF((#REF!=$B12)*(#REF!=G$2)*(#REF!={"Jul'23","Aug'23","Sep'23","Oct'23","Nov'23","Dec'23","Jan'24","Feb'24","Mar'24","Apr'24","May'24","Jun'24"}),#REF!,0))</f>
        <v>#REF!</v>
      </c>
      <c r="H12" s="39" t="e">
        <f t="array" ref="H12">SUM(IF((#REF!=$B12)*(#REF!=H$2)*(#REF!={"Jul'23","Aug'23","Sep'23","Oct'23","Nov'23","Dec'23","Jan'24","Feb'24","Mar'24","Apr'24","May'24","Jun'24"}),#REF!,0))</f>
        <v>#REF!</v>
      </c>
      <c r="I12" s="39" t="e">
        <f>SUM(#REF!)</f>
        <v>#REF!</v>
      </c>
      <c r="J12" s="46" t="e">
        <f>#REF!*8000</f>
        <v>#REF!</v>
      </c>
    </row>
    <row r="13" spans="1:10" ht="72" x14ac:dyDescent="0.3">
      <c r="A13" s="40">
        <f t="shared" si="0"/>
        <v>11</v>
      </c>
      <c r="B13" s="41" t="s">
        <v>20</v>
      </c>
      <c r="C13" s="39" t="e">
        <f t="array" ref="C13">SUM(IF((#REF!=$B13)*(#REF!=C$2)*(#REF!={"Jul'23","Aug'23","Sep'23","Oct'23","Nov'23","Dec'23","Jan'24","Feb'24","Mar'24","Apr'24","May'24","Jun'24"}),#REF!,0))</f>
        <v>#REF!</v>
      </c>
      <c r="D13" s="39" t="e">
        <f t="array" ref="D13">SUM(IF((#REF!=$B13)*(#REF!=D$2)*(#REF!={"Jul'23","Aug'23","Sep'23","Oct'23","Nov'23","Dec'23","Jan'24","Feb'24","Mar'24","Apr'24","May'24","Jun'24"}),#REF!,0))</f>
        <v>#REF!</v>
      </c>
      <c r="E13" s="39" t="e">
        <f t="array" ref="E13">SUM(IF((#REF!=$B13)*(#REF!=E$2)*(#REF!={"Jul'23","Aug'23","Sep'23","Oct'23","Nov'23","Dec'23","Jan'24","Feb'24","Mar'24","Apr'24","May'24","Jun'24"}),#REF!,0))</f>
        <v>#REF!</v>
      </c>
      <c r="F13" s="39" t="e">
        <f t="array" ref="F13">SUM(IF((#REF!=$B13)*(#REF!=F$2)*(#REF!={"Jul'23","Aug'23","Sep'23","Oct'23","Nov'23","Dec'23","Jan'24","Feb'24","Mar'24","Apr'24","May'24","Jun'24"}),#REF!,0))</f>
        <v>#REF!</v>
      </c>
      <c r="G13" s="39" t="e">
        <f t="array" ref="G13">SUM(IF((#REF!=$B13)*(#REF!=G$2)*(#REF!={"Jul'23","Aug'23","Sep'23","Oct'23","Nov'23","Dec'23","Jan'24","Feb'24","Mar'24","Apr'24","May'24","Jun'24"}),#REF!,0))</f>
        <v>#REF!</v>
      </c>
      <c r="H13" s="39" t="e">
        <f t="array" ref="H13">SUM(IF((#REF!=$B13)*(#REF!=H$2)*(#REF!={"Jul'23","Aug'23","Sep'23","Oct'23","Nov'23","Dec'23","Jan'24","Feb'24","Mar'24","Apr'24","May'24","Jun'24"}),#REF!,0))</f>
        <v>#REF!</v>
      </c>
      <c r="I13" s="39" t="e">
        <f>SUM(#REF!)</f>
        <v>#REF!</v>
      </c>
      <c r="J13" s="46" t="e">
        <f>#REF!*8000</f>
        <v>#REF!</v>
      </c>
    </row>
    <row r="14" spans="1:10" ht="43.2" x14ac:dyDescent="0.3">
      <c r="A14" s="40">
        <f t="shared" si="0"/>
        <v>12</v>
      </c>
      <c r="B14" s="41" t="s">
        <v>14</v>
      </c>
      <c r="C14" s="39" t="e">
        <f t="array" ref="C14">SUM(IF((#REF!=$B14)*(#REF!=C$2)*(#REF!={"Jul'23","Aug'23","Sep'23","Oct'23","Nov'23","Dec'23","Jan'24","Feb'24","Mar'24","Apr'24","May'24","Jun'24"}),#REF!,0))</f>
        <v>#REF!</v>
      </c>
      <c r="D14" s="39" t="e">
        <f t="array" ref="D14">SUM(IF((#REF!=$B14)*(#REF!=D$2)*(#REF!={"Jul'23","Aug'23","Sep'23","Oct'23","Nov'23","Dec'23","Jan'24","Feb'24","Mar'24","Apr'24","May'24","Jun'24"}),#REF!,0))</f>
        <v>#REF!</v>
      </c>
      <c r="E14" s="39" t="e">
        <f t="array" ref="E14">SUM(IF((#REF!=$B14)*(#REF!=E$2)*(#REF!={"Jul'23","Aug'23","Sep'23","Oct'23","Nov'23","Dec'23","Jan'24","Feb'24","Mar'24","Apr'24","May'24","Jun'24"}),#REF!,0))</f>
        <v>#REF!</v>
      </c>
      <c r="F14" s="39" t="e">
        <f t="array" ref="F14">SUM(IF((#REF!=$B14)*(#REF!=F$2)*(#REF!={"Jul'23","Aug'23","Sep'23","Oct'23","Nov'23","Dec'23","Jan'24","Feb'24","Mar'24","Apr'24","May'24","Jun'24"}),#REF!,0))</f>
        <v>#REF!</v>
      </c>
      <c r="G14" s="39" t="e">
        <f t="array" ref="G14">SUM(IF((#REF!=$B14)*(#REF!=G$2)*(#REF!={"Jul'23","Aug'23","Sep'23","Oct'23","Nov'23","Dec'23","Jan'24","Feb'24","Mar'24","Apr'24","May'24","Jun'24"}),#REF!,0))</f>
        <v>#REF!</v>
      </c>
      <c r="H14" s="39" t="e">
        <f t="array" ref="H14">SUM(IF((#REF!=$B14)*(#REF!=H$2)*(#REF!={"Jul'23","Aug'23","Sep'23","Oct'23","Nov'23","Dec'23","Jan'24","Feb'24","Mar'24","Apr'24","May'24","Jun'24"}),#REF!,0))</f>
        <v>#REF!</v>
      </c>
      <c r="I14" s="39" t="e">
        <f>SUM(#REF!)</f>
        <v>#REF!</v>
      </c>
      <c r="J14" s="46" t="e">
        <f>#REF!*8000</f>
        <v>#REF!</v>
      </c>
    </row>
    <row r="15" spans="1:10" ht="43.2" x14ac:dyDescent="0.3">
      <c r="A15" s="40">
        <f t="shared" si="0"/>
        <v>13</v>
      </c>
      <c r="B15" s="41" t="s">
        <v>19</v>
      </c>
      <c r="C15" s="39" t="e">
        <f t="array" ref="C15">SUM(IF((#REF!=$B15)*(#REF!=C$2)*(#REF!={"Jul'23","Aug'23","Sep'23","Oct'23","Nov'23","Dec'23","Jan'24","Feb'24","Mar'24","Apr'24","May'24","Jun'24"}),#REF!,0))</f>
        <v>#REF!</v>
      </c>
      <c r="D15" s="39" t="e">
        <f t="array" ref="D15">SUM(IF((#REF!=$B15)*(#REF!=D$2)*(#REF!={"Jul'23","Aug'23","Sep'23","Oct'23","Nov'23","Dec'23","Jan'24","Feb'24","Mar'24","Apr'24","May'24","Jun'24"}),#REF!,0))</f>
        <v>#REF!</v>
      </c>
      <c r="E15" s="39" t="e">
        <f t="array" ref="E15">SUM(IF((#REF!=$B15)*(#REF!=E$2)*(#REF!={"Jul'23","Aug'23","Sep'23","Oct'23","Nov'23","Dec'23","Jan'24","Feb'24","Mar'24","Apr'24","May'24","Jun'24"}),#REF!,0))</f>
        <v>#REF!</v>
      </c>
      <c r="F15" s="39" t="e">
        <f t="array" ref="F15">SUM(IF((#REF!=$B15)*(#REF!=F$2)*(#REF!={"Jul'23","Aug'23","Sep'23","Oct'23","Nov'23","Dec'23","Jan'24","Feb'24","Mar'24","Apr'24","May'24","Jun'24"}),#REF!,0))</f>
        <v>#REF!</v>
      </c>
      <c r="G15" s="39" t="e">
        <f t="array" ref="G15">SUM(IF((#REF!=$B15)*(#REF!=G$2)*(#REF!={"Jul'23","Aug'23","Sep'23","Oct'23","Nov'23","Dec'23","Jan'24","Feb'24","Mar'24","Apr'24","May'24","Jun'24"}),#REF!,0))</f>
        <v>#REF!</v>
      </c>
      <c r="H15" s="39" t="e">
        <f t="array" ref="H15">SUM(IF((#REF!=$B15)*(#REF!=H$2)*(#REF!={"Jul'23","Aug'23","Sep'23","Oct'23","Nov'23","Dec'23","Jan'24","Feb'24","Mar'24","Apr'24","May'24","Jun'24"}),#REF!,0))</f>
        <v>#REF!</v>
      </c>
      <c r="I15" s="39" t="e">
        <f>SUM(#REF!)</f>
        <v>#REF!</v>
      </c>
      <c r="J15" s="46" t="e">
        <f>#REF!*8000</f>
        <v>#REF!</v>
      </c>
    </row>
    <row r="16" spans="1:10" ht="43.2" x14ac:dyDescent="0.3">
      <c r="A16" s="40">
        <f t="shared" si="0"/>
        <v>14</v>
      </c>
      <c r="B16" s="41" t="s">
        <v>7</v>
      </c>
      <c r="C16" s="39" t="e">
        <f t="array" ref="C16">SUM(IF((#REF!=$B16)*(#REF!=C$2)*(#REF!={"Jul'23","Aug'23","Sep'23","Oct'23","Nov'23","Dec'23","Jan'24","Feb'24","Mar'24","Apr'24","May'24","Jun'24"}),#REF!,0))</f>
        <v>#REF!</v>
      </c>
      <c r="D16" s="39" t="e">
        <f t="array" ref="D16">SUM(IF((#REF!=$B16)*(#REF!=D$2)*(#REF!={"Jul'23","Aug'23","Sep'23","Oct'23","Nov'23","Dec'23","Jan'24","Feb'24","Mar'24","Apr'24","May'24","Jun'24"}),#REF!,0))</f>
        <v>#REF!</v>
      </c>
      <c r="E16" s="39" t="e">
        <f t="array" ref="E16">SUM(IF((#REF!=$B16)*(#REF!=E$2)*(#REF!={"Jul'23","Aug'23","Sep'23","Oct'23","Nov'23","Dec'23","Jan'24","Feb'24","Mar'24","Apr'24","May'24","Jun'24"}),#REF!,0))</f>
        <v>#REF!</v>
      </c>
      <c r="F16" s="39" t="e">
        <f t="array" ref="F16">SUM(IF((#REF!=$B16)*(#REF!=F$2)*(#REF!={"Jul'23","Aug'23","Sep'23","Oct'23","Nov'23","Dec'23","Jan'24","Feb'24","Mar'24","Apr'24","May'24","Jun'24"}),#REF!,0))</f>
        <v>#REF!</v>
      </c>
      <c r="G16" s="39" t="e">
        <f t="array" ref="G16">SUM(IF((#REF!=$B16)*(#REF!=G$2)*(#REF!={"Jul'23","Aug'23","Sep'23","Oct'23","Nov'23","Dec'23","Jan'24","Feb'24","Mar'24","Apr'24","May'24","Jun'24"}),#REF!,0))</f>
        <v>#REF!</v>
      </c>
      <c r="H16" s="39" t="e">
        <f t="array" ref="H16">SUM(IF((#REF!=$B16)*(#REF!=H$2)*(#REF!={"Jul'23","Aug'23","Sep'23","Oct'23","Nov'23","Dec'23","Jan'24","Feb'24","Mar'24","Apr'24","May'24","Jun'24"}),#REF!,0))</f>
        <v>#REF!</v>
      </c>
      <c r="I16" s="39" t="e">
        <f>SUM(#REF!)</f>
        <v>#REF!</v>
      </c>
      <c r="J16" s="46" t="e">
        <f>#REF!*8000</f>
        <v>#REF!</v>
      </c>
    </row>
    <row r="17" spans="1:10" ht="86.4" x14ac:dyDescent="0.3">
      <c r="A17" s="40">
        <f t="shared" si="0"/>
        <v>15</v>
      </c>
      <c r="B17" s="41" t="s">
        <v>17</v>
      </c>
      <c r="C17" s="39" t="e">
        <f t="array" ref="C17">SUM(IF((#REF!=$B17)*(#REF!=C$2)*(#REF!={"Jul'23","Aug'23","Sep'23","Oct'23","Nov'23","Dec'23","Jan'24","Feb'24","Mar'24","Apr'24","May'24","Jun'24"}),#REF!,0))</f>
        <v>#REF!</v>
      </c>
      <c r="D17" s="39" t="e">
        <f t="array" ref="D17">SUM(IF((#REF!=$B17)*(#REF!=D$2)*(#REF!={"Jul'23","Aug'23","Sep'23","Oct'23","Nov'23","Dec'23","Jan'24","Feb'24","Mar'24","Apr'24","May'24","Jun'24"}),#REF!,0))</f>
        <v>#REF!</v>
      </c>
      <c r="E17" s="39" t="e">
        <f t="array" ref="E17">SUM(IF((#REF!=$B17)*(#REF!=E$2)*(#REF!={"Jul'23","Aug'23","Sep'23","Oct'23","Nov'23","Dec'23","Jan'24","Feb'24","Mar'24","Apr'24","May'24","Jun'24"}),#REF!,0))</f>
        <v>#REF!</v>
      </c>
      <c r="F17" s="39" t="e">
        <f t="array" ref="F17">SUM(IF((#REF!=$B17)*(#REF!=F$2)*(#REF!={"Jul'23","Aug'23","Sep'23","Oct'23","Nov'23","Dec'23","Jan'24","Feb'24","Mar'24","Apr'24","May'24","Jun'24"}),#REF!,0))</f>
        <v>#REF!</v>
      </c>
      <c r="G17" s="39" t="e">
        <f t="array" ref="G17">SUM(IF((#REF!=$B17)*(#REF!=G$2)*(#REF!={"Jul'23","Aug'23","Sep'23","Oct'23","Nov'23","Dec'23","Jan'24","Feb'24","Mar'24","Apr'24","May'24","Jun'24"}),#REF!,0))</f>
        <v>#REF!</v>
      </c>
      <c r="H17" s="39" t="e">
        <f t="array" ref="H17">SUM(IF((#REF!=$B17)*(#REF!=H$2)*(#REF!={"Jul'23","Aug'23","Sep'23","Oct'23","Nov'23","Dec'23","Jan'24","Feb'24","Mar'24","Apr'24","May'24","Jun'24"}),#REF!,0))</f>
        <v>#REF!</v>
      </c>
      <c r="I17" s="39" t="e">
        <f>SUM(#REF!)</f>
        <v>#REF!</v>
      </c>
      <c r="J17" s="46" t="e">
        <f>#REF!*8000</f>
        <v>#REF!</v>
      </c>
    </row>
    <row r="18" spans="1:10" ht="28.8" x14ac:dyDescent="0.3">
      <c r="A18" s="40">
        <f t="shared" si="0"/>
        <v>16</v>
      </c>
      <c r="B18" s="41" t="s">
        <v>34</v>
      </c>
      <c r="C18" s="39" t="e">
        <f t="array" ref="C18">SUM(IF((#REF!=$B18)*(#REF!=C$2)*(#REF!={"Jul'23","Aug'23","Sep'23","Oct'23","Nov'23","Dec'23","Jan'24","Feb'24","Mar'24","Apr'24","May'24","Jun'24"}),#REF!,0))</f>
        <v>#REF!</v>
      </c>
      <c r="D18" s="39" t="e">
        <f t="array" ref="D18">SUM(IF((#REF!=$B18)*(#REF!=D$2)*(#REF!={"Jul'23","Aug'23","Sep'23","Oct'23","Nov'23","Dec'23","Jan'24","Feb'24","Mar'24","Apr'24","May'24","Jun'24"}),#REF!,0))</f>
        <v>#REF!</v>
      </c>
      <c r="E18" s="39" t="e">
        <f t="array" ref="E18">SUM(IF((#REF!=$B18)*(#REF!=E$2)*(#REF!={"Jul'23","Aug'23","Sep'23","Oct'23","Nov'23","Dec'23","Jan'24","Feb'24","Mar'24","Apr'24","May'24","Jun'24"}),#REF!,0))</f>
        <v>#REF!</v>
      </c>
      <c r="F18" s="39" t="e">
        <f t="array" ref="F18">SUM(IF((#REF!=$B18)*(#REF!=F$2)*(#REF!={"Jul'23","Aug'23","Sep'23","Oct'23","Nov'23","Dec'23","Jan'24","Feb'24","Mar'24","Apr'24","May'24","Jun'24"}),#REF!,0))</f>
        <v>#REF!</v>
      </c>
      <c r="G18" s="39" t="e">
        <f t="array" ref="G18">SUM(IF((#REF!=$B18)*(#REF!=G$2)*(#REF!={"Jul'23","Aug'23","Sep'23","Oct'23","Nov'23","Dec'23","Jan'24","Feb'24","Mar'24","Apr'24","May'24","Jun'24"}),#REF!,0))</f>
        <v>#REF!</v>
      </c>
      <c r="H18" s="39" t="e">
        <f t="array" ref="H18">SUM(IF((#REF!=$B18)*(#REF!=H$2)*(#REF!={"Jul'23","Aug'23","Sep'23","Oct'23","Nov'23","Dec'23","Jan'24","Feb'24","Mar'24","Apr'24","May'24","Jun'24"}),#REF!,0))</f>
        <v>#REF!</v>
      </c>
      <c r="I18" s="39" t="e">
        <f>SUM(#REF!)</f>
        <v>#REF!</v>
      </c>
      <c r="J18" s="46" t="e">
        <f>#REF!*8000</f>
        <v>#REF!</v>
      </c>
    </row>
    <row r="19" spans="1:10" ht="28.8" x14ac:dyDescent="0.3">
      <c r="A19" s="40">
        <f t="shared" si="0"/>
        <v>17</v>
      </c>
      <c r="B19" s="41" t="s">
        <v>49</v>
      </c>
      <c r="C19" s="39" t="e">
        <f t="array" ref="C19">SUM(IF((#REF!=$B19)*(#REF!=C$2)*(#REF!={"Jul'23","Aug'23","Sep'23","Oct'23","Nov'23","Dec'23","Jan'24","Feb'24","Mar'24","Apr'24","May'24","Jun'24"}),#REF!,0))</f>
        <v>#REF!</v>
      </c>
      <c r="D19" s="39" t="e">
        <f t="array" ref="D19">SUM(IF((#REF!=$B19)*(#REF!=D$2)*(#REF!={"Jul'23","Aug'23","Sep'23","Oct'23","Nov'23","Dec'23","Jan'24","Feb'24","Mar'24","Apr'24","May'24","Jun'24"}),#REF!,0))</f>
        <v>#REF!</v>
      </c>
      <c r="E19" s="39" t="e">
        <f t="array" ref="E19">SUM(IF((#REF!=$B19)*(#REF!=E$2)*(#REF!={"Jul'23","Aug'23","Sep'23","Oct'23","Nov'23","Dec'23","Jan'24","Feb'24","Mar'24","Apr'24","May'24","Jun'24"}),#REF!,0))</f>
        <v>#REF!</v>
      </c>
      <c r="F19" s="39" t="e">
        <f t="array" ref="F19">SUM(IF((#REF!=$B19)*(#REF!=F$2)*(#REF!={"Jul'23","Aug'23","Sep'23","Oct'23","Nov'23","Dec'23","Jan'24","Feb'24","Mar'24","Apr'24","May'24","Jun'24"}),#REF!,0))</f>
        <v>#REF!</v>
      </c>
      <c r="G19" s="39" t="e">
        <f t="array" ref="G19">SUM(IF((#REF!=$B19)*(#REF!=G$2)*(#REF!={"Jul'23","Aug'23","Sep'23","Oct'23","Nov'23","Dec'23","Jan'24","Feb'24","Mar'24","Apr'24","May'24","Jun'24"}),#REF!,0))</f>
        <v>#REF!</v>
      </c>
      <c r="H19" s="39" t="e">
        <f t="array" ref="H19">SUM(IF((#REF!=$B19)*(#REF!=H$2)*(#REF!={"Jul'23","Aug'23","Sep'23","Oct'23","Nov'23","Dec'23","Jan'24","Feb'24","Mar'24","Apr'24","May'24","Jun'24"}),#REF!,0))</f>
        <v>#REF!</v>
      </c>
      <c r="I19" s="39" t="e">
        <f>SUM(#REF!)</f>
        <v>#REF!</v>
      </c>
      <c r="J19" s="46" t="e">
        <f>#REF!*8000</f>
        <v>#REF!</v>
      </c>
    </row>
    <row r="20" spans="1:10" ht="43.2" x14ac:dyDescent="0.3">
      <c r="A20" s="40">
        <f t="shared" si="0"/>
        <v>18</v>
      </c>
      <c r="B20" s="41" t="s">
        <v>61</v>
      </c>
      <c r="C20" s="39" t="e">
        <f t="array" ref="C20">SUM(IF((#REF!=$B20)*(#REF!=C$2)*(#REF!={"Jul'23","Aug'23","Sep'23","Oct'23","Nov'23","Dec'23","Jan'24","Feb'24","Mar'24","Apr'24","May'24","Jun'24"}),#REF!,0))</f>
        <v>#REF!</v>
      </c>
      <c r="D20" s="39" t="e">
        <f t="array" ref="D20">SUM(IF((#REF!=$B20)*(#REF!=D$2)*(#REF!={"Jul'23","Aug'23","Sep'23","Oct'23","Nov'23","Dec'23","Jan'24","Feb'24","Mar'24","Apr'24","May'24","Jun'24"}),#REF!,0))</f>
        <v>#REF!</v>
      </c>
      <c r="E20" s="39" t="e">
        <f t="array" ref="E20">SUM(IF((#REF!=$B20)*(#REF!=E$2)*(#REF!={"Jul'23","Aug'23","Sep'23","Oct'23","Nov'23","Dec'23","Jan'24","Feb'24","Mar'24","Apr'24","May'24","Jun'24"}),#REF!,0))</f>
        <v>#REF!</v>
      </c>
      <c r="F20" s="39" t="e">
        <f t="array" ref="F20">SUM(IF((#REF!=$B20)*(#REF!=F$2)*(#REF!={"Jul'23","Aug'23","Sep'23","Oct'23","Nov'23","Dec'23","Jan'24","Feb'24","Mar'24","Apr'24","May'24","Jun'24"}),#REF!,0))</f>
        <v>#REF!</v>
      </c>
      <c r="G20" s="39" t="e">
        <f t="array" ref="G20">SUM(IF((#REF!=$B20)*(#REF!=G$2)*(#REF!={"Jul'23","Aug'23","Sep'23","Oct'23","Nov'23","Dec'23","Jan'24","Feb'24","Mar'24","Apr'24","May'24","Jun'24"}),#REF!,0))</f>
        <v>#REF!</v>
      </c>
      <c r="H20" s="39" t="e">
        <f t="array" ref="H20">SUM(IF((#REF!=$B20)*(#REF!=H$2)*(#REF!={"Jul'23","Aug'23","Sep'23","Oct'23","Nov'23","Dec'23","Jan'24","Feb'24","Mar'24","Apr'24","May'24","Jun'24"}),#REF!,0))</f>
        <v>#REF!</v>
      </c>
      <c r="I20" s="39" t="e">
        <f>SUM(#REF!)</f>
        <v>#REF!</v>
      </c>
      <c r="J20" s="46" t="e">
        <f>#REF!*8000</f>
        <v>#REF!</v>
      </c>
    </row>
    <row r="21" spans="1:10" ht="57.6" x14ac:dyDescent="0.3">
      <c r="A21" s="40">
        <f t="shared" si="0"/>
        <v>19</v>
      </c>
      <c r="B21" s="41" t="s">
        <v>54</v>
      </c>
      <c r="C21" s="39" t="e">
        <f t="array" ref="C21">SUM(IF((#REF!=$B21)*(#REF!=C$2)*(#REF!={"Jul'23","Aug'23","Sep'23","Oct'23","Nov'23","Dec'23","Jan'24","Feb'24","Mar'24","Apr'24","May'24","Jun'24"}),#REF!,0))</f>
        <v>#REF!</v>
      </c>
      <c r="D21" s="39" t="e">
        <f t="array" ref="D21">SUM(IF((#REF!=$B21)*(#REF!=D$2)*(#REF!={"Jul'23","Aug'23","Sep'23","Oct'23","Nov'23","Dec'23","Jan'24","Feb'24","Mar'24","Apr'24","May'24","Jun'24"}),#REF!,0))</f>
        <v>#REF!</v>
      </c>
      <c r="E21" s="39" t="e">
        <f t="array" ref="E21">SUM(IF((#REF!=$B21)*(#REF!=E$2)*(#REF!={"Jul'23","Aug'23","Sep'23","Oct'23","Nov'23","Dec'23","Jan'24","Feb'24","Mar'24","Apr'24","May'24","Jun'24"}),#REF!,0))</f>
        <v>#REF!</v>
      </c>
      <c r="F21" s="39" t="e">
        <f t="array" ref="F21">SUM(IF((#REF!=$B21)*(#REF!=F$2)*(#REF!={"Jul'23","Aug'23","Sep'23","Oct'23","Nov'23","Dec'23","Jan'24","Feb'24","Mar'24","Apr'24","May'24","Jun'24"}),#REF!,0))</f>
        <v>#REF!</v>
      </c>
      <c r="G21" s="39" t="e">
        <f t="array" ref="G21">SUM(IF((#REF!=$B21)*(#REF!=G$2)*(#REF!={"Jul'23","Aug'23","Sep'23","Oct'23","Nov'23","Dec'23","Jan'24","Feb'24","Mar'24","Apr'24","May'24","Jun'24"}),#REF!,0))</f>
        <v>#REF!</v>
      </c>
      <c r="H21" s="39" t="e">
        <f t="array" ref="H21">SUM(IF((#REF!=$B21)*(#REF!=H$2)*(#REF!={"Jul'23","Aug'23","Sep'23","Oct'23","Nov'23","Dec'23","Jan'24","Feb'24","Mar'24","Apr'24","May'24","Jun'24"}),#REF!,0))</f>
        <v>#REF!</v>
      </c>
      <c r="I21" s="39" t="e">
        <f>SUM(#REF!)</f>
        <v>#REF!</v>
      </c>
      <c r="J21" s="46" t="e">
        <f>#REF!*8000</f>
        <v>#REF!</v>
      </c>
    </row>
    <row r="22" spans="1:10" ht="72" x14ac:dyDescent="0.3">
      <c r="A22" s="40">
        <f t="shared" si="0"/>
        <v>20</v>
      </c>
      <c r="B22" s="41" t="s">
        <v>53</v>
      </c>
      <c r="C22" s="39" t="e">
        <f t="array" ref="C22">SUM(IF((#REF!=$B22)*(#REF!=C$2)*(#REF!={"Jul'23","Aug'23","Sep'23","Oct'23","Nov'23","Dec'23","Jan'24","Feb'24","Mar'24","Apr'24","May'24","Jun'24"}),#REF!,0))</f>
        <v>#REF!</v>
      </c>
      <c r="D22" s="39" t="e">
        <f t="array" ref="D22">SUM(IF((#REF!=$B22)*(#REF!=D$2)*(#REF!={"Jul'23","Aug'23","Sep'23","Oct'23","Nov'23","Dec'23","Jan'24","Feb'24","Mar'24","Apr'24","May'24","Jun'24"}),#REF!,0))</f>
        <v>#REF!</v>
      </c>
      <c r="E22" s="39" t="e">
        <f t="array" ref="E22">SUM(IF((#REF!=$B22)*(#REF!=E$2)*(#REF!={"Jul'23","Aug'23","Sep'23","Oct'23","Nov'23","Dec'23","Jan'24","Feb'24","Mar'24","Apr'24","May'24","Jun'24"}),#REF!,0))</f>
        <v>#REF!</v>
      </c>
      <c r="F22" s="39" t="e">
        <f t="array" ref="F22">SUM(IF((#REF!=$B22)*(#REF!=F$2)*(#REF!={"Jul'23","Aug'23","Sep'23","Oct'23","Nov'23","Dec'23","Jan'24","Feb'24","Mar'24","Apr'24","May'24","Jun'24"}),#REF!,0))</f>
        <v>#REF!</v>
      </c>
      <c r="G22" s="39" t="e">
        <f t="array" ref="G22">SUM(IF((#REF!=$B22)*(#REF!=G$2)*(#REF!={"Jul'23","Aug'23","Sep'23","Oct'23","Nov'23","Dec'23","Jan'24","Feb'24","Mar'24","Apr'24","May'24","Jun'24"}),#REF!,0))</f>
        <v>#REF!</v>
      </c>
      <c r="H22" s="39" t="e">
        <f t="array" ref="H22">SUM(IF((#REF!=$B22)*(#REF!=H$2)*(#REF!={"Jul'23","Aug'23","Sep'23","Oct'23","Nov'23","Dec'23","Jan'24","Feb'24","Mar'24","Apr'24","May'24","Jun'24"}),#REF!,0))</f>
        <v>#REF!</v>
      </c>
      <c r="I22" s="39" t="e">
        <f>SUM(#REF!)</f>
        <v>#REF!</v>
      </c>
      <c r="J22" s="46" t="e">
        <f>#REF!*8000</f>
        <v>#REF!</v>
      </c>
    </row>
    <row r="23" spans="1:10" ht="72" x14ac:dyDescent="0.3">
      <c r="A23" s="40">
        <f t="shared" si="0"/>
        <v>21</v>
      </c>
      <c r="B23" s="41" t="s">
        <v>52</v>
      </c>
      <c r="C23" s="39" t="e">
        <f t="array" ref="C23">SUM(IF((#REF!=$B23)*(#REF!=C$2)*(#REF!={"Jul'23","Aug'23","Sep'23","Oct'23","Nov'23","Dec'23","Jan'24","Feb'24","Mar'24","Apr'24","May'24","Jun'24"}),#REF!,0))</f>
        <v>#REF!</v>
      </c>
      <c r="D23" s="39" t="e">
        <f t="array" ref="D23">SUM(IF((#REF!=$B23)*(#REF!=D$2)*(#REF!={"Jul'23","Aug'23","Sep'23","Oct'23","Nov'23","Dec'23","Jan'24","Feb'24","Mar'24","Apr'24","May'24","Jun'24"}),#REF!,0))</f>
        <v>#REF!</v>
      </c>
      <c r="E23" s="39" t="e">
        <f t="array" ref="E23">SUM(IF((#REF!=$B23)*(#REF!=E$2)*(#REF!={"Jul'23","Aug'23","Sep'23","Oct'23","Nov'23","Dec'23","Jan'24","Feb'24","Mar'24","Apr'24","May'24","Jun'24"}),#REF!,0))</f>
        <v>#REF!</v>
      </c>
      <c r="F23" s="39" t="e">
        <f t="array" ref="F23">SUM(IF((#REF!=$B23)*(#REF!=F$2)*(#REF!={"Jul'23","Aug'23","Sep'23","Oct'23","Nov'23","Dec'23","Jan'24","Feb'24","Mar'24","Apr'24","May'24","Jun'24"}),#REF!,0))</f>
        <v>#REF!</v>
      </c>
      <c r="G23" s="39" t="e">
        <f t="array" ref="G23">SUM(IF((#REF!=$B23)*(#REF!=G$2)*(#REF!={"Jul'23","Aug'23","Sep'23","Oct'23","Nov'23","Dec'23","Jan'24","Feb'24","Mar'24","Apr'24","May'24","Jun'24"}),#REF!,0))</f>
        <v>#REF!</v>
      </c>
      <c r="H23" s="39" t="e">
        <f t="array" ref="H23">SUM(IF((#REF!=$B23)*(#REF!=H$2)*(#REF!={"Jul'23","Aug'23","Sep'23","Oct'23","Nov'23","Dec'23","Jan'24","Feb'24","Mar'24","Apr'24","May'24","Jun'24"}),#REF!,0))</f>
        <v>#REF!</v>
      </c>
      <c r="I23" s="39" t="e">
        <f>SUM(#REF!)</f>
        <v>#REF!</v>
      </c>
      <c r="J23" s="46" t="e">
        <f>#REF!*8000</f>
        <v>#REF!</v>
      </c>
    </row>
    <row r="24" spans="1:10" ht="57.6" x14ac:dyDescent="0.3">
      <c r="A24" s="40">
        <f t="shared" si="0"/>
        <v>22</v>
      </c>
      <c r="B24" s="41" t="s">
        <v>39</v>
      </c>
      <c r="C24" s="39" t="e">
        <f t="array" ref="C24">SUM(IF((#REF!=$B24)*(#REF!=C$2)*(#REF!={"Jul'23","Aug'23","Sep'23","Oct'23","Nov'23","Dec'23","Jan'24","Feb'24","Mar'24","Apr'24","May'24","Jun'24"}),#REF!,0))</f>
        <v>#REF!</v>
      </c>
      <c r="D24" s="39" t="e">
        <f t="array" ref="D24">SUM(IF((#REF!=$B24)*(#REF!=D$2)*(#REF!={"Jul'23","Aug'23","Sep'23","Oct'23","Nov'23","Dec'23","Jan'24","Feb'24","Mar'24","Apr'24","May'24","Jun'24"}),#REF!,0))</f>
        <v>#REF!</v>
      </c>
      <c r="E24" s="39" t="e">
        <f t="array" ref="E24">SUM(IF((#REF!=$B24)*(#REF!=E$2)*(#REF!={"Jul'23","Aug'23","Sep'23","Oct'23","Nov'23","Dec'23","Jan'24","Feb'24","Mar'24","Apr'24","May'24","Jun'24"}),#REF!,0))</f>
        <v>#REF!</v>
      </c>
      <c r="F24" s="39" t="e">
        <f t="array" ref="F24">SUM(IF((#REF!=$B24)*(#REF!=F$2)*(#REF!={"Jul'23","Aug'23","Sep'23","Oct'23","Nov'23","Dec'23","Jan'24","Feb'24","Mar'24","Apr'24","May'24","Jun'24"}),#REF!,0))</f>
        <v>#REF!</v>
      </c>
      <c r="G24" s="39" t="e">
        <f t="array" ref="G24">SUM(IF((#REF!=$B24)*(#REF!=G$2)*(#REF!={"Jul'23","Aug'23","Sep'23","Oct'23","Nov'23","Dec'23","Jan'24","Feb'24","Mar'24","Apr'24","May'24","Jun'24"}),#REF!,0))</f>
        <v>#REF!</v>
      </c>
      <c r="H24" s="39" t="e">
        <f t="array" ref="H24">SUM(IF((#REF!=$B24)*(#REF!=H$2)*(#REF!={"Jul'23","Aug'23","Sep'23","Oct'23","Nov'23","Dec'23","Jan'24","Feb'24","Mar'24","Apr'24","May'24","Jun'24"}),#REF!,0))</f>
        <v>#REF!</v>
      </c>
      <c r="I24" s="39" t="e">
        <f>SUM(#REF!)</f>
        <v>#REF!</v>
      </c>
      <c r="J24" s="46" t="e">
        <f>#REF!*8000</f>
        <v>#REF!</v>
      </c>
    </row>
    <row r="25" spans="1:10" ht="72" x14ac:dyDescent="0.3">
      <c r="A25" s="40">
        <f t="shared" si="0"/>
        <v>23</v>
      </c>
      <c r="B25" s="41" t="s">
        <v>40</v>
      </c>
      <c r="C25" s="39" t="e">
        <f t="array" ref="C25">SUM(IF((#REF!=$B25)*(#REF!=C$2)*(#REF!={"Jul'23","Aug'23","Sep'23","Oct'23","Nov'23","Dec'23","Jan'24","Feb'24","Mar'24","Apr'24","May'24","Jun'24"}),#REF!,0))</f>
        <v>#REF!</v>
      </c>
      <c r="D25" s="39" t="e">
        <f t="array" ref="D25">SUM(IF((#REF!=$B25)*(#REF!=D$2)*(#REF!={"Jul'23","Aug'23","Sep'23","Oct'23","Nov'23","Dec'23","Jan'24","Feb'24","Mar'24","Apr'24","May'24","Jun'24"}),#REF!,0))</f>
        <v>#REF!</v>
      </c>
      <c r="E25" s="39" t="e">
        <f t="array" ref="E25">SUM(IF((#REF!=$B25)*(#REF!=E$2)*(#REF!={"Jul'23","Aug'23","Sep'23","Oct'23","Nov'23","Dec'23","Jan'24","Feb'24","Mar'24","Apr'24","May'24","Jun'24"}),#REF!,0))</f>
        <v>#REF!</v>
      </c>
      <c r="F25" s="39" t="e">
        <f t="array" ref="F25">SUM(IF((#REF!=$B25)*(#REF!=F$2)*(#REF!={"Jul'23","Aug'23","Sep'23","Oct'23","Nov'23","Dec'23","Jan'24","Feb'24","Mar'24","Apr'24","May'24","Jun'24"}),#REF!,0))</f>
        <v>#REF!</v>
      </c>
      <c r="G25" s="39" t="e">
        <f t="array" ref="G25">SUM(IF((#REF!=$B25)*(#REF!=G$2)*(#REF!={"Jul'23","Aug'23","Sep'23","Oct'23","Nov'23","Dec'23","Jan'24","Feb'24","Mar'24","Apr'24","May'24","Jun'24"}),#REF!,0))</f>
        <v>#REF!</v>
      </c>
      <c r="H25" s="39" t="e">
        <f t="array" ref="H25">SUM(IF((#REF!=$B25)*(#REF!=H$2)*(#REF!={"Jul'23","Aug'23","Sep'23","Oct'23","Nov'23","Dec'23","Jan'24","Feb'24","Mar'24","Apr'24","May'24","Jun'24"}),#REF!,0))</f>
        <v>#REF!</v>
      </c>
      <c r="I25" s="39" t="e">
        <f>SUM(#REF!)</f>
        <v>#REF!</v>
      </c>
      <c r="J25" s="46" t="e">
        <f>#REF!*8000</f>
        <v>#REF!</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C51"/>
  <sheetViews>
    <sheetView workbookViewId="0">
      <pane ySplit="1" topLeftCell="A2" activePane="bottomLeft" state="frozen"/>
      <selection pane="bottomLeft" activeCell="B14" sqref="B14"/>
    </sheetView>
  </sheetViews>
  <sheetFormatPr defaultRowHeight="14.4" x14ac:dyDescent="0.3"/>
  <cols>
    <col min="2" max="2" width="46" bestFit="1" customWidth="1"/>
    <col min="3" max="3" width="8.5546875" bestFit="1" customWidth="1"/>
  </cols>
  <sheetData>
    <row r="1" spans="1:3" x14ac:dyDescent="0.3">
      <c r="A1" s="35" t="s">
        <v>77</v>
      </c>
      <c r="B1" s="35" t="s">
        <v>63</v>
      </c>
      <c r="C1" s="35" t="s">
        <v>78</v>
      </c>
    </row>
    <row r="2" spans="1:3" x14ac:dyDescent="0.3">
      <c r="A2" s="36">
        <f>ROW()-ROW($A$1)</f>
        <v>1</v>
      </c>
      <c r="B2" s="33" t="s">
        <v>51</v>
      </c>
    </row>
    <row r="3" spans="1:3" x14ac:dyDescent="0.3">
      <c r="A3" s="36">
        <f t="shared" ref="A3:A51" si="0">ROW()-ROW($A$1)</f>
        <v>2</v>
      </c>
      <c r="B3" s="33" t="s">
        <v>27</v>
      </c>
    </row>
    <row r="4" spans="1:3" x14ac:dyDescent="0.3">
      <c r="A4" s="36">
        <f t="shared" si="0"/>
        <v>3</v>
      </c>
      <c r="B4" s="33" t="s">
        <v>18</v>
      </c>
    </row>
    <row r="5" spans="1:3" x14ac:dyDescent="0.3">
      <c r="A5" s="36">
        <f t="shared" si="0"/>
        <v>4</v>
      </c>
      <c r="B5" s="33" t="s">
        <v>28</v>
      </c>
    </row>
    <row r="6" spans="1:3" x14ac:dyDescent="0.3">
      <c r="A6" s="36">
        <f t="shared" si="0"/>
        <v>5</v>
      </c>
      <c r="B6" s="34" t="s">
        <v>35</v>
      </c>
    </row>
    <row r="7" spans="1:3" x14ac:dyDescent="0.3">
      <c r="A7" s="36">
        <f t="shared" si="0"/>
        <v>6</v>
      </c>
      <c r="B7" s="34" t="s">
        <v>36</v>
      </c>
    </row>
    <row r="8" spans="1:3" x14ac:dyDescent="0.3">
      <c r="A8" s="36">
        <f t="shared" si="0"/>
        <v>7</v>
      </c>
      <c r="B8" s="34" t="s">
        <v>62</v>
      </c>
    </row>
    <row r="9" spans="1:3" x14ac:dyDescent="0.3">
      <c r="A9" s="36">
        <f t="shared" si="0"/>
        <v>8</v>
      </c>
      <c r="B9" t="s">
        <v>64</v>
      </c>
    </row>
    <row r="10" spans="1:3" x14ac:dyDescent="0.3">
      <c r="A10" s="36">
        <f t="shared" si="0"/>
        <v>9</v>
      </c>
      <c r="B10" t="s">
        <v>65</v>
      </c>
    </row>
    <row r="11" spans="1:3" x14ac:dyDescent="0.3">
      <c r="A11" s="36">
        <f t="shared" si="0"/>
        <v>10</v>
      </c>
      <c r="B11" t="s">
        <v>66</v>
      </c>
    </row>
    <row r="12" spans="1:3" x14ac:dyDescent="0.3">
      <c r="A12" s="36">
        <f t="shared" si="0"/>
        <v>11</v>
      </c>
      <c r="B12" t="s">
        <v>67</v>
      </c>
    </row>
    <row r="13" spans="1:3" x14ac:dyDescent="0.3">
      <c r="A13" s="36">
        <f t="shared" si="0"/>
        <v>12</v>
      </c>
      <c r="B13" t="s">
        <v>68</v>
      </c>
    </row>
    <row r="14" spans="1:3" x14ac:dyDescent="0.3">
      <c r="A14" s="36">
        <f t="shared" si="0"/>
        <v>13</v>
      </c>
    </row>
    <row r="15" spans="1:3" x14ac:dyDescent="0.3">
      <c r="A15" s="36">
        <f t="shared" si="0"/>
        <v>14</v>
      </c>
      <c r="B15" t="s">
        <v>69</v>
      </c>
    </row>
    <row r="16" spans="1:3" x14ac:dyDescent="0.3">
      <c r="A16" s="36">
        <f t="shared" si="0"/>
        <v>15</v>
      </c>
      <c r="B16" t="s">
        <v>70</v>
      </c>
    </row>
    <row r="17" spans="1:2" x14ac:dyDescent="0.3">
      <c r="A17" s="36">
        <f t="shared" si="0"/>
        <v>16</v>
      </c>
      <c r="B17" t="s">
        <v>71</v>
      </c>
    </row>
    <row r="18" spans="1:2" x14ac:dyDescent="0.3">
      <c r="A18" s="36">
        <f t="shared" si="0"/>
        <v>17</v>
      </c>
      <c r="B18" t="s">
        <v>72</v>
      </c>
    </row>
    <row r="19" spans="1:2" x14ac:dyDescent="0.3">
      <c r="A19" s="36">
        <f t="shared" si="0"/>
        <v>18</v>
      </c>
      <c r="B19" t="s">
        <v>73</v>
      </c>
    </row>
    <row r="20" spans="1:2" x14ac:dyDescent="0.3">
      <c r="A20" s="36">
        <f t="shared" si="0"/>
        <v>19</v>
      </c>
      <c r="B20" t="s">
        <v>74</v>
      </c>
    </row>
    <row r="21" spans="1:2" x14ac:dyDescent="0.3">
      <c r="A21" s="36">
        <f t="shared" si="0"/>
        <v>20</v>
      </c>
      <c r="B21" t="s">
        <v>75</v>
      </c>
    </row>
    <row r="22" spans="1:2" x14ac:dyDescent="0.3">
      <c r="A22" s="36">
        <f t="shared" si="0"/>
        <v>21</v>
      </c>
      <c r="B22" t="s">
        <v>76</v>
      </c>
    </row>
    <row r="23" spans="1:2" x14ac:dyDescent="0.3">
      <c r="A23" s="36">
        <f t="shared" si="0"/>
        <v>22</v>
      </c>
      <c r="B23" t="s">
        <v>79</v>
      </c>
    </row>
    <row r="24" spans="1:2" x14ac:dyDescent="0.3">
      <c r="A24" s="36">
        <f t="shared" si="0"/>
        <v>23</v>
      </c>
      <c r="B24" t="s">
        <v>80</v>
      </c>
    </row>
    <row r="25" spans="1:2" x14ac:dyDescent="0.3">
      <c r="A25" s="36">
        <f t="shared" si="0"/>
        <v>24</v>
      </c>
      <c r="B25" t="s">
        <v>81</v>
      </c>
    </row>
    <row r="26" spans="1:2" x14ac:dyDescent="0.3">
      <c r="A26" s="36">
        <f t="shared" si="0"/>
        <v>25</v>
      </c>
      <c r="B26" t="s">
        <v>7</v>
      </c>
    </row>
    <row r="27" spans="1:2" x14ac:dyDescent="0.3">
      <c r="A27" s="36">
        <f t="shared" si="0"/>
        <v>26</v>
      </c>
      <c r="B27" t="s">
        <v>8</v>
      </c>
    </row>
    <row r="28" spans="1:2" x14ac:dyDescent="0.3">
      <c r="A28" s="36">
        <f t="shared" si="0"/>
        <v>27</v>
      </c>
      <c r="B28" t="s">
        <v>9</v>
      </c>
    </row>
    <row r="29" spans="1:2" x14ac:dyDescent="0.3">
      <c r="A29" s="36">
        <f t="shared" si="0"/>
        <v>28</v>
      </c>
      <c r="B29" t="s">
        <v>20</v>
      </c>
    </row>
    <row r="30" spans="1:2" x14ac:dyDescent="0.3">
      <c r="A30" s="36">
        <f t="shared" si="0"/>
        <v>29</v>
      </c>
      <c r="B30" t="s">
        <v>49</v>
      </c>
    </row>
    <row r="31" spans="1:2" x14ac:dyDescent="0.3">
      <c r="A31" s="36">
        <f t="shared" si="0"/>
        <v>30</v>
      </c>
      <c r="B31" t="s">
        <v>11</v>
      </c>
    </row>
    <row r="32" spans="1:2" x14ac:dyDescent="0.3">
      <c r="A32" s="36">
        <f t="shared" si="0"/>
        <v>31</v>
      </c>
      <c r="B32" t="s">
        <v>12</v>
      </c>
    </row>
    <row r="33" spans="1:2" x14ac:dyDescent="0.3">
      <c r="A33" s="36">
        <f t="shared" si="0"/>
        <v>32</v>
      </c>
      <c r="B33" t="s">
        <v>137</v>
      </c>
    </row>
    <row r="34" spans="1:2" x14ac:dyDescent="0.3">
      <c r="A34" s="36">
        <f t="shared" si="0"/>
        <v>33</v>
      </c>
      <c r="B34" t="s">
        <v>13</v>
      </c>
    </row>
    <row r="35" spans="1:2" x14ac:dyDescent="0.3">
      <c r="A35" s="36">
        <f t="shared" si="0"/>
        <v>34</v>
      </c>
      <c r="B35" t="s">
        <v>61</v>
      </c>
    </row>
    <row r="36" spans="1:2" x14ac:dyDescent="0.3">
      <c r="A36" s="36">
        <f t="shared" si="0"/>
        <v>35</v>
      </c>
      <c r="B36" t="s">
        <v>14</v>
      </c>
    </row>
    <row r="37" spans="1:2" x14ac:dyDescent="0.3">
      <c r="A37" s="36">
        <f t="shared" si="0"/>
        <v>36</v>
      </c>
      <c r="B37" t="s">
        <v>23</v>
      </c>
    </row>
    <row r="38" spans="1:2" x14ac:dyDescent="0.3">
      <c r="A38" s="36">
        <f t="shared" si="0"/>
        <v>37</v>
      </c>
      <c r="B38" t="s">
        <v>24</v>
      </c>
    </row>
    <row r="39" spans="1:2" x14ac:dyDescent="0.3">
      <c r="A39" s="36">
        <f t="shared" si="0"/>
        <v>38</v>
      </c>
      <c r="B39" t="s">
        <v>15</v>
      </c>
    </row>
    <row r="40" spans="1:2" x14ac:dyDescent="0.3">
      <c r="A40" s="36">
        <f t="shared" si="0"/>
        <v>39</v>
      </c>
      <c r="B40" t="s">
        <v>16</v>
      </c>
    </row>
    <row r="41" spans="1:2" x14ac:dyDescent="0.3">
      <c r="A41" s="36">
        <f t="shared" si="0"/>
        <v>40</v>
      </c>
      <c r="B41" t="s">
        <v>112</v>
      </c>
    </row>
    <row r="42" spans="1:2" x14ac:dyDescent="0.3">
      <c r="A42" s="36">
        <f t="shared" si="0"/>
        <v>41</v>
      </c>
      <c r="B42" t="s">
        <v>21</v>
      </c>
    </row>
    <row r="43" spans="1:2" x14ac:dyDescent="0.3">
      <c r="A43" s="36">
        <f t="shared" si="0"/>
        <v>42</v>
      </c>
      <c r="B43" t="s">
        <v>131</v>
      </c>
    </row>
    <row r="44" spans="1:2" x14ac:dyDescent="0.3">
      <c r="A44" s="36">
        <f t="shared" si="0"/>
        <v>43</v>
      </c>
      <c r="B44" t="s">
        <v>17</v>
      </c>
    </row>
    <row r="45" spans="1:2" x14ac:dyDescent="0.3">
      <c r="A45" s="36">
        <f t="shared" si="0"/>
        <v>44</v>
      </c>
      <c r="B45" t="s">
        <v>25</v>
      </c>
    </row>
    <row r="46" spans="1:2" x14ac:dyDescent="0.3">
      <c r="A46" s="36">
        <f t="shared" si="0"/>
        <v>45</v>
      </c>
      <c r="B46" t="s">
        <v>50</v>
      </c>
    </row>
    <row r="47" spans="1:2" x14ac:dyDescent="0.3">
      <c r="A47" s="36">
        <f t="shared" si="0"/>
        <v>46</v>
      </c>
      <c r="B47" t="s">
        <v>18</v>
      </c>
    </row>
    <row r="48" spans="1:2" x14ac:dyDescent="0.3">
      <c r="A48" s="36">
        <f t="shared" si="0"/>
        <v>47</v>
      </c>
      <c r="B48" t="s">
        <v>51</v>
      </c>
    </row>
    <row r="49" spans="1:2" x14ac:dyDescent="0.3">
      <c r="A49" s="36">
        <f t="shared" si="0"/>
        <v>48</v>
      </c>
      <c r="B49" t="s">
        <v>27</v>
      </c>
    </row>
    <row r="50" spans="1:2" x14ac:dyDescent="0.3">
      <c r="A50" s="36">
        <f t="shared" si="0"/>
        <v>49</v>
      </c>
      <c r="B50" t="s">
        <v>28</v>
      </c>
    </row>
    <row r="51" spans="1:2" x14ac:dyDescent="0.3">
      <c r="A51" s="36">
        <f t="shared" si="0"/>
        <v>50</v>
      </c>
      <c r="B51" t="s">
        <v>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H21"/>
  <sheetViews>
    <sheetView zoomScaleNormal="100" workbookViewId="0">
      <selection activeCell="E2" sqref="E2:H15"/>
    </sheetView>
  </sheetViews>
  <sheetFormatPr defaultRowHeight="14.4" x14ac:dyDescent="0.3"/>
  <cols>
    <col min="1" max="1" width="3" style="36" bestFit="1" customWidth="1"/>
    <col min="2" max="2" width="54" bestFit="1" customWidth="1"/>
    <col min="3" max="3" width="3" bestFit="1" customWidth="1"/>
    <col min="4" max="4" width="40.44140625" bestFit="1" customWidth="1"/>
    <col min="5" max="5" width="3" bestFit="1" customWidth="1"/>
    <col min="6" max="6" width="34.88671875" bestFit="1" customWidth="1"/>
    <col min="7" max="7" width="3" bestFit="1" customWidth="1"/>
    <col min="8" max="8" width="54" bestFit="1" customWidth="1"/>
  </cols>
  <sheetData>
    <row r="1" spans="1:8" x14ac:dyDescent="0.3">
      <c r="A1" s="164" t="s">
        <v>167</v>
      </c>
      <c r="B1" s="164"/>
      <c r="C1" s="164"/>
      <c r="D1" s="164"/>
    </row>
    <row r="2" spans="1:8" x14ac:dyDescent="0.3">
      <c r="A2" s="36" t="s">
        <v>166</v>
      </c>
      <c r="B2" t="s">
        <v>0</v>
      </c>
      <c r="C2" s="36" t="s">
        <v>166</v>
      </c>
      <c r="D2" t="s">
        <v>0</v>
      </c>
      <c r="E2">
        <v>1</v>
      </c>
      <c r="F2" t="s">
        <v>68</v>
      </c>
      <c r="G2">
        <v>2</v>
      </c>
      <c r="H2" t="s">
        <v>70</v>
      </c>
    </row>
    <row r="3" spans="1:8" x14ac:dyDescent="0.3">
      <c r="A3" s="36">
        <v>1</v>
      </c>
      <c r="B3" t="s">
        <v>157</v>
      </c>
      <c r="C3" s="36">
        <v>20</v>
      </c>
      <c r="D3" t="s">
        <v>27</v>
      </c>
      <c r="E3">
        <v>3</v>
      </c>
      <c r="F3" t="s">
        <v>165</v>
      </c>
      <c r="G3">
        <v>4</v>
      </c>
      <c r="H3" t="s">
        <v>151</v>
      </c>
    </row>
    <row r="4" spans="1:8" x14ac:dyDescent="0.3">
      <c r="A4" s="36">
        <v>2</v>
      </c>
      <c r="B4" t="s">
        <v>68</v>
      </c>
      <c r="C4" s="36">
        <v>21</v>
      </c>
      <c r="D4" t="s">
        <v>18</v>
      </c>
      <c r="E4">
        <v>5</v>
      </c>
      <c r="F4" t="s">
        <v>49</v>
      </c>
      <c r="G4">
        <v>6</v>
      </c>
      <c r="H4" t="s">
        <v>170</v>
      </c>
    </row>
    <row r="5" spans="1:8" x14ac:dyDescent="0.3">
      <c r="A5" s="36">
        <v>3</v>
      </c>
      <c r="B5" t="s">
        <v>9</v>
      </c>
      <c r="C5" s="36">
        <v>22</v>
      </c>
      <c r="D5" t="s">
        <v>165</v>
      </c>
      <c r="E5">
        <v>7</v>
      </c>
      <c r="F5" t="s">
        <v>64</v>
      </c>
      <c r="G5">
        <v>8</v>
      </c>
      <c r="H5" t="s">
        <v>169</v>
      </c>
    </row>
    <row r="6" spans="1:8" x14ac:dyDescent="0.3">
      <c r="A6" s="36">
        <v>4</v>
      </c>
      <c r="B6" t="s">
        <v>160</v>
      </c>
      <c r="C6" s="36">
        <v>23</v>
      </c>
      <c r="D6" t="s">
        <v>11</v>
      </c>
      <c r="E6">
        <v>9</v>
      </c>
      <c r="F6" t="s">
        <v>171</v>
      </c>
      <c r="G6">
        <v>10</v>
      </c>
      <c r="H6" t="s">
        <v>150</v>
      </c>
    </row>
    <row r="7" spans="1:8" x14ac:dyDescent="0.3">
      <c r="A7" s="36">
        <v>5</v>
      </c>
      <c r="B7" t="s">
        <v>49</v>
      </c>
      <c r="C7" s="36">
        <v>24</v>
      </c>
      <c r="D7" s="155" t="s">
        <v>19</v>
      </c>
      <c r="E7">
        <v>11</v>
      </c>
      <c r="F7" t="s">
        <v>66</v>
      </c>
      <c r="G7">
        <v>12</v>
      </c>
      <c r="H7" t="s">
        <v>71</v>
      </c>
    </row>
    <row r="8" spans="1:8" x14ac:dyDescent="0.3">
      <c r="A8" s="36">
        <v>6</v>
      </c>
      <c r="B8" t="s">
        <v>150</v>
      </c>
      <c r="C8" s="36">
        <v>25</v>
      </c>
      <c r="D8" t="s">
        <v>8</v>
      </c>
      <c r="E8">
        <v>13</v>
      </c>
      <c r="F8" t="s">
        <v>8</v>
      </c>
      <c r="G8">
        <v>14</v>
      </c>
      <c r="H8" t="s">
        <v>11</v>
      </c>
    </row>
    <row r="9" spans="1:8" x14ac:dyDescent="0.3">
      <c r="A9" s="36">
        <v>7</v>
      </c>
      <c r="B9" t="s">
        <v>64</v>
      </c>
      <c r="C9" s="36">
        <v>26</v>
      </c>
      <c r="D9" s="155" t="s">
        <v>22</v>
      </c>
      <c r="E9">
        <v>15</v>
      </c>
      <c r="F9" t="s">
        <v>155</v>
      </c>
      <c r="G9">
        <v>16</v>
      </c>
      <c r="H9" t="s">
        <v>9</v>
      </c>
    </row>
    <row r="10" spans="1:8" x14ac:dyDescent="0.3">
      <c r="A10" s="36">
        <v>8</v>
      </c>
      <c r="B10" t="s">
        <v>151</v>
      </c>
      <c r="C10" s="36">
        <v>27</v>
      </c>
      <c r="D10" s="155" t="s">
        <v>23</v>
      </c>
      <c r="E10">
        <v>17</v>
      </c>
      <c r="F10" t="s">
        <v>13</v>
      </c>
      <c r="G10">
        <v>18</v>
      </c>
      <c r="H10" t="s">
        <v>19</v>
      </c>
    </row>
    <row r="11" spans="1:8" x14ac:dyDescent="0.3">
      <c r="A11" s="36">
        <v>9</v>
      </c>
      <c r="B11" t="s">
        <v>152</v>
      </c>
      <c r="C11" s="36">
        <v>28</v>
      </c>
      <c r="D11" s="155" t="s">
        <v>28</v>
      </c>
      <c r="E11">
        <v>19</v>
      </c>
      <c r="F11" t="s">
        <v>22</v>
      </c>
      <c r="G11">
        <v>20</v>
      </c>
      <c r="H11" t="s">
        <v>12</v>
      </c>
    </row>
    <row r="12" spans="1:8" x14ac:dyDescent="0.3">
      <c r="A12" s="36">
        <v>10</v>
      </c>
      <c r="B12" t="s">
        <v>153</v>
      </c>
      <c r="C12" s="36">
        <v>29</v>
      </c>
      <c r="D12" s="155" t="s">
        <v>24</v>
      </c>
      <c r="E12">
        <v>21</v>
      </c>
      <c r="F12" t="s">
        <v>23</v>
      </c>
      <c r="G12">
        <v>22</v>
      </c>
      <c r="H12" t="s">
        <v>24</v>
      </c>
    </row>
    <row r="13" spans="1:8" x14ac:dyDescent="0.3">
      <c r="A13" s="36">
        <v>11</v>
      </c>
      <c r="B13" t="s">
        <v>70</v>
      </c>
      <c r="C13" s="36">
        <v>30</v>
      </c>
      <c r="D13" t="s">
        <v>80</v>
      </c>
      <c r="E13">
        <v>23</v>
      </c>
      <c r="F13" t="s">
        <v>168</v>
      </c>
      <c r="G13">
        <v>24</v>
      </c>
      <c r="H13" t="s">
        <v>27</v>
      </c>
    </row>
    <row r="14" spans="1:8" x14ac:dyDescent="0.3">
      <c r="A14" s="36">
        <v>12</v>
      </c>
      <c r="B14" t="s">
        <v>13</v>
      </c>
      <c r="C14" s="36">
        <v>31</v>
      </c>
      <c r="D14" t="s">
        <v>159</v>
      </c>
      <c r="E14">
        <v>25</v>
      </c>
      <c r="F14" t="s">
        <v>18</v>
      </c>
      <c r="G14">
        <v>26</v>
      </c>
      <c r="H14" t="s">
        <v>160</v>
      </c>
    </row>
    <row r="15" spans="1:8" x14ac:dyDescent="0.3">
      <c r="A15" s="36">
        <v>13</v>
      </c>
      <c r="B15" t="s">
        <v>158</v>
      </c>
      <c r="C15" s="36">
        <v>32</v>
      </c>
      <c r="D15" t="s">
        <v>162</v>
      </c>
      <c r="E15">
        <v>27</v>
      </c>
      <c r="F15" t="s">
        <v>80</v>
      </c>
    </row>
    <row r="16" spans="1:8" x14ac:dyDescent="0.3">
      <c r="A16" s="36">
        <v>14</v>
      </c>
      <c r="B16" t="s">
        <v>66</v>
      </c>
      <c r="C16" s="36">
        <v>33</v>
      </c>
      <c r="D16" t="s">
        <v>163</v>
      </c>
    </row>
    <row r="17" spans="1:4" x14ac:dyDescent="0.3">
      <c r="A17" s="36">
        <v>15</v>
      </c>
      <c r="B17" t="s">
        <v>71</v>
      </c>
      <c r="C17" s="36">
        <v>34</v>
      </c>
      <c r="D17" t="s">
        <v>10</v>
      </c>
    </row>
    <row r="18" spans="1:4" x14ac:dyDescent="0.3">
      <c r="A18" s="36">
        <v>16</v>
      </c>
      <c r="B18" t="s">
        <v>155</v>
      </c>
      <c r="C18" s="36">
        <v>35</v>
      </c>
      <c r="D18" t="s">
        <v>154</v>
      </c>
    </row>
    <row r="19" spans="1:4" x14ac:dyDescent="0.3">
      <c r="A19" s="36">
        <v>17</v>
      </c>
      <c r="B19" t="s">
        <v>12</v>
      </c>
      <c r="C19" s="36">
        <v>36</v>
      </c>
      <c r="D19" t="s">
        <v>164</v>
      </c>
    </row>
    <row r="20" spans="1:4" x14ac:dyDescent="0.3">
      <c r="A20" s="36">
        <v>18</v>
      </c>
      <c r="B20" t="s">
        <v>156</v>
      </c>
      <c r="C20" s="36">
        <v>37</v>
      </c>
      <c r="D20" t="s">
        <v>161</v>
      </c>
    </row>
    <row r="21" spans="1:4" x14ac:dyDescent="0.3">
      <c r="A21" s="36">
        <v>19</v>
      </c>
      <c r="B21" t="s">
        <v>9</v>
      </c>
    </row>
  </sheetData>
  <mergeCells count="1">
    <mergeCell ref="A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A1:B42"/>
  <sheetViews>
    <sheetView showGridLines="0" workbookViewId="0">
      <pane ySplit="1" topLeftCell="A6" activePane="bottomLeft" state="frozen"/>
      <selection pane="bottomLeft" activeCell="A11" sqref="A11"/>
    </sheetView>
  </sheetViews>
  <sheetFormatPr defaultColWidth="34.5546875" defaultRowHeight="14.4" x14ac:dyDescent="0.3"/>
  <sheetData>
    <row r="1" spans="1:2" x14ac:dyDescent="0.3">
      <c r="A1" s="32" t="s">
        <v>0</v>
      </c>
      <c r="B1" s="32" t="s">
        <v>6</v>
      </c>
    </row>
    <row r="2" spans="1:2" x14ac:dyDescent="0.3">
      <c r="A2" s="32" t="s">
        <v>68</v>
      </c>
      <c r="B2" s="32" t="s">
        <v>58</v>
      </c>
    </row>
    <row r="3" spans="1:2" x14ac:dyDescent="0.3">
      <c r="A3" s="32" t="s">
        <v>141</v>
      </c>
      <c r="B3" s="32" t="s">
        <v>59</v>
      </c>
    </row>
    <row r="4" spans="1:2" x14ac:dyDescent="0.3">
      <c r="A4" s="32" t="s">
        <v>70</v>
      </c>
      <c r="B4" s="32" t="s">
        <v>55</v>
      </c>
    </row>
    <row r="5" spans="1:2" x14ac:dyDescent="0.3">
      <c r="A5" s="32" t="s">
        <v>142</v>
      </c>
      <c r="B5" s="32" t="s">
        <v>56</v>
      </c>
    </row>
    <row r="6" spans="1:2" x14ac:dyDescent="0.3">
      <c r="A6" s="32" t="s">
        <v>143</v>
      </c>
      <c r="B6" s="32" t="s">
        <v>56</v>
      </c>
    </row>
    <row r="7" spans="1:2" x14ac:dyDescent="0.3">
      <c r="A7" s="32" t="s">
        <v>148</v>
      </c>
      <c r="B7" s="32" t="s">
        <v>149</v>
      </c>
    </row>
    <row r="8" spans="1:2" x14ac:dyDescent="0.3">
      <c r="A8" s="32" t="s">
        <v>7</v>
      </c>
      <c r="B8" s="32" t="s">
        <v>60</v>
      </c>
    </row>
    <row r="9" spans="1:2" x14ac:dyDescent="0.3">
      <c r="A9" s="32" t="s">
        <v>8</v>
      </c>
      <c r="B9" s="32" t="s">
        <v>138</v>
      </c>
    </row>
    <row r="10" spans="1:2" x14ac:dyDescent="0.3">
      <c r="A10" s="32" t="s">
        <v>9</v>
      </c>
      <c r="B10" s="32" t="s">
        <v>60</v>
      </c>
    </row>
    <row r="11" spans="1:2" x14ac:dyDescent="0.3">
      <c r="A11" s="31" t="s">
        <v>20</v>
      </c>
      <c r="B11" s="32" t="s">
        <v>103</v>
      </c>
    </row>
    <row r="12" spans="1:2" x14ac:dyDescent="0.3">
      <c r="A12" s="32" t="s">
        <v>49</v>
      </c>
      <c r="B12" s="32" t="s">
        <v>60</v>
      </c>
    </row>
    <row r="13" spans="1:2" x14ac:dyDescent="0.3">
      <c r="A13" s="32" t="s">
        <v>11</v>
      </c>
      <c r="B13" s="32" t="s">
        <v>60</v>
      </c>
    </row>
    <row r="14" spans="1:2" x14ac:dyDescent="0.3">
      <c r="A14" s="32" t="s">
        <v>12</v>
      </c>
      <c r="B14" s="32" t="s">
        <v>60</v>
      </c>
    </row>
    <row r="15" spans="1:2" x14ac:dyDescent="0.3">
      <c r="A15" s="32" t="s">
        <v>137</v>
      </c>
      <c r="B15" s="32" t="s">
        <v>60</v>
      </c>
    </row>
    <row r="16" spans="1:2" x14ac:dyDescent="0.3">
      <c r="A16" s="32" t="s">
        <v>13</v>
      </c>
      <c r="B16" s="32" t="s">
        <v>60</v>
      </c>
    </row>
    <row r="17" spans="1:2" x14ac:dyDescent="0.3">
      <c r="A17" s="32" t="s">
        <v>61</v>
      </c>
      <c r="B17" s="32" t="s">
        <v>60</v>
      </c>
    </row>
    <row r="18" spans="1:2" x14ac:dyDescent="0.3">
      <c r="A18" s="31" t="s">
        <v>14</v>
      </c>
      <c r="B18" s="32" t="s">
        <v>60</v>
      </c>
    </row>
    <row r="19" spans="1:2" x14ac:dyDescent="0.3">
      <c r="A19" s="32" t="s">
        <v>23</v>
      </c>
      <c r="B19" s="32" t="s">
        <v>60</v>
      </c>
    </row>
    <row r="20" spans="1:2" x14ac:dyDescent="0.3">
      <c r="A20" s="32" t="s">
        <v>24</v>
      </c>
      <c r="B20" s="32" t="s">
        <v>60</v>
      </c>
    </row>
    <row r="21" spans="1:2" x14ac:dyDescent="0.3">
      <c r="A21" s="31" t="s">
        <v>15</v>
      </c>
      <c r="B21" s="32" t="s">
        <v>60</v>
      </c>
    </row>
    <row r="22" spans="1:2" x14ac:dyDescent="0.3">
      <c r="A22" s="31" t="s">
        <v>16</v>
      </c>
      <c r="B22" s="32" t="s">
        <v>60</v>
      </c>
    </row>
    <row r="23" spans="1:2" x14ac:dyDescent="0.3">
      <c r="A23" s="31" t="s">
        <v>112</v>
      </c>
      <c r="B23" s="32" t="s">
        <v>60</v>
      </c>
    </row>
    <row r="24" spans="1:2" x14ac:dyDescent="0.3">
      <c r="A24" s="31" t="s">
        <v>21</v>
      </c>
      <c r="B24" s="32" t="s">
        <v>103</v>
      </c>
    </row>
    <row r="25" spans="1:2" x14ac:dyDescent="0.3">
      <c r="A25" s="31" t="s">
        <v>131</v>
      </c>
      <c r="B25" s="32" t="s">
        <v>103</v>
      </c>
    </row>
    <row r="26" spans="1:2" ht="25.2" x14ac:dyDescent="0.3">
      <c r="A26" s="31" t="s">
        <v>17</v>
      </c>
      <c r="B26" s="32" t="s">
        <v>103</v>
      </c>
    </row>
    <row r="27" spans="1:2" x14ac:dyDescent="0.3">
      <c r="A27" s="32" t="s">
        <v>34</v>
      </c>
      <c r="B27" s="32" t="s">
        <v>104</v>
      </c>
    </row>
    <row r="28" spans="1:2" x14ac:dyDescent="0.3">
      <c r="A28" s="33" t="s">
        <v>25</v>
      </c>
      <c r="B28" s="32" t="s">
        <v>60</v>
      </c>
    </row>
    <row r="29" spans="1:2" x14ac:dyDescent="0.3">
      <c r="A29" s="33" t="s">
        <v>50</v>
      </c>
      <c r="B29" s="32" t="s">
        <v>60</v>
      </c>
    </row>
    <row r="30" spans="1:2" ht="25.2" x14ac:dyDescent="0.3">
      <c r="A30" s="31" t="s">
        <v>54</v>
      </c>
      <c r="B30" s="32" t="s">
        <v>57</v>
      </c>
    </row>
    <row r="31" spans="1:2" ht="25.2" x14ac:dyDescent="0.3">
      <c r="A31" s="31" t="s">
        <v>127</v>
      </c>
      <c r="B31" s="32" t="s">
        <v>118</v>
      </c>
    </row>
    <row r="32" spans="1:2" ht="25.2" x14ac:dyDescent="0.3">
      <c r="A32" s="31" t="s">
        <v>52</v>
      </c>
      <c r="B32" s="32" t="s">
        <v>57</v>
      </c>
    </row>
    <row r="33" spans="1:2" ht="25.2" x14ac:dyDescent="0.3">
      <c r="A33" s="31" t="s">
        <v>128</v>
      </c>
      <c r="B33" s="32" t="s">
        <v>57</v>
      </c>
    </row>
    <row r="34" spans="1:2" ht="25.2" x14ac:dyDescent="0.3">
      <c r="A34" s="31" t="s">
        <v>126</v>
      </c>
      <c r="B34" s="32" t="s">
        <v>57</v>
      </c>
    </row>
    <row r="35" spans="1:2" x14ac:dyDescent="0.3">
      <c r="A35" s="31" t="s">
        <v>18</v>
      </c>
      <c r="B35" s="32" t="s">
        <v>103</v>
      </c>
    </row>
    <row r="36" spans="1:2" x14ac:dyDescent="0.3">
      <c r="A36" s="31" t="s">
        <v>51</v>
      </c>
      <c r="B36" s="32" t="s">
        <v>60</v>
      </c>
    </row>
    <row r="37" spans="1:2" x14ac:dyDescent="0.3">
      <c r="A37" s="31" t="s">
        <v>35</v>
      </c>
      <c r="B37" s="32" t="s">
        <v>104</v>
      </c>
    </row>
    <row r="38" spans="1:2" x14ac:dyDescent="0.3">
      <c r="A38" s="31" t="s">
        <v>27</v>
      </c>
      <c r="B38" s="32" t="s">
        <v>60</v>
      </c>
    </row>
    <row r="39" spans="1:2" x14ac:dyDescent="0.3">
      <c r="A39" s="31" t="s">
        <v>36</v>
      </c>
      <c r="B39" s="32" t="s">
        <v>105</v>
      </c>
    </row>
    <row r="40" spans="1:2" x14ac:dyDescent="0.3">
      <c r="A40" s="31" t="s">
        <v>28</v>
      </c>
      <c r="B40" s="32" t="s">
        <v>60</v>
      </c>
    </row>
    <row r="41" spans="1:2" x14ac:dyDescent="0.3">
      <c r="A41" s="31" t="s">
        <v>80</v>
      </c>
      <c r="B41" s="32" t="s">
        <v>103</v>
      </c>
    </row>
    <row r="42" spans="1:2" x14ac:dyDescent="0.3">
      <c r="A42" s="31" t="s">
        <v>144</v>
      </c>
      <c r="B42" s="32" t="s">
        <v>105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dimension ref="A1:K37"/>
  <sheetViews>
    <sheetView showGridLines="0" view="pageBreakPreview" zoomScale="60" zoomScaleNormal="90" workbookViewId="0">
      <pane ySplit="3" topLeftCell="A10" activePane="bottomLeft" state="frozen"/>
      <selection pane="bottomLeft" activeCell="N26" sqref="N26"/>
    </sheetView>
  </sheetViews>
  <sheetFormatPr defaultRowHeight="14.4" x14ac:dyDescent="0.3"/>
  <cols>
    <col min="1" max="5" width="12.33203125" customWidth="1"/>
    <col min="6" max="6" width="13.44140625" bestFit="1" customWidth="1"/>
    <col min="7" max="8" width="12.33203125" customWidth="1"/>
    <col min="9" max="9" width="12.109375" customWidth="1"/>
    <col min="10" max="10" width="6.6640625" bestFit="1" customWidth="1"/>
  </cols>
  <sheetData>
    <row r="1" spans="1:10" ht="13.5" customHeight="1" x14ac:dyDescent="0.3">
      <c r="A1" s="156" t="s">
        <v>0</v>
      </c>
      <c r="B1" s="156"/>
      <c r="C1" s="156" t="s">
        <v>6</v>
      </c>
      <c r="D1" s="156"/>
      <c r="F1" s="102" t="s">
        <v>47</v>
      </c>
      <c r="G1" s="102" t="s">
        <v>48</v>
      </c>
      <c r="H1" s="90"/>
    </row>
    <row r="2" spans="1:10" x14ac:dyDescent="0.3">
      <c r="A2" s="156" t="s">
        <v>11</v>
      </c>
      <c r="B2" s="156"/>
      <c r="C2" s="157" t="str">
        <f>VLOOKUP(A2, 'Name &amp; Designation'!$A$2:$B$42, 2,FALSE)</f>
        <v>Former Director</v>
      </c>
      <c r="D2" s="157"/>
      <c r="F2" s="103">
        <f>VLOOKUP(A2, Summary!A3:D71, 3, FALSE)</f>
        <v>162000</v>
      </c>
      <c r="G2" s="104">
        <f>VLOOKUP(A2, Summary!A3:D71, 4, FALSE)</f>
        <v>16200</v>
      </c>
      <c r="H2" s="91"/>
      <c r="I2" s="151">
        <f>50000*5+F2</f>
        <v>412000</v>
      </c>
      <c r="J2">
        <f>I2*0.1</f>
        <v>41200</v>
      </c>
    </row>
    <row r="3" spans="1:10" x14ac:dyDescent="0.3">
      <c r="B3" s="90"/>
      <c r="C3" s="90"/>
      <c r="F3" s="92"/>
      <c r="G3" s="92"/>
      <c r="H3" s="92"/>
    </row>
    <row r="4" spans="1:10" x14ac:dyDescent="0.3">
      <c r="F4" s="29"/>
    </row>
    <row r="5" spans="1:10" x14ac:dyDescent="0.3">
      <c r="F5" s="29"/>
    </row>
    <row r="6" spans="1:10" s="93" customFormat="1" ht="16.2" x14ac:dyDescent="0.3">
      <c r="F6" s="94"/>
    </row>
    <row r="7" spans="1:10" s="93" customFormat="1" ht="16.2" x14ac:dyDescent="0.3">
      <c r="F7" s="94"/>
    </row>
    <row r="8" spans="1:10" s="93" customFormat="1" ht="16.2" x14ac:dyDescent="0.3">
      <c r="F8" s="94"/>
    </row>
    <row r="9" spans="1:10" s="93" customFormat="1" ht="16.2" x14ac:dyDescent="0.3">
      <c r="F9" s="94"/>
    </row>
    <row r="10" spans="1:10" s="93" customFormat="1" ht="16.2" x14ac:dyDescent="0.3">
      <c r="F10" s="94"/>
    </row>
    <row r="11" spans="1:10" s="93" customFormat="1" ht="15.6" x14ac:dyDescent="0.3"/>
    <row r="12" spans="1:10" s="96" customFormat="1" ht="15.75" customHeight="1" x14ac:dyDescent="0.3">
      <c r="A12" s="161" t="str">
        <f ca="1">CONCATENATE("NO.UCB/HO/BOARD/F-30(VI)-6/            /", (YEAR(G12)))</f>
        <v>NO.UCB/HO/BOARD/F-30(VI)-6/            /2026</v>
      </c>
      <c r="B12" s="161"/>
      <c r="C12" s="161"/>
      <c r="D12" s="161"/>
      <c r="E12" s="161"/>
      <c r="F12" s="161"/>
      <c r="G12" s="163">
        <f ca="1">TODAY()-6</f>
        <v>46194</v>
      </c>
      <c r="H12" s="163"/>
    </row>
    <row r="13" spans="1:10" s="96" customFormat="1" ht="16.2" x14ac:dyDescent="0.3"/>
    <row r="14" spans="1:10" s="96" customFormat="1" ht="16.2" x14ac:dyDescent="0.3"/>
    <row r="15" spans="1:10" s="96" customFormat="1" ht="16.2" x14ac:dyDescent="0.3"/>
    <row r="16" spans="1:10" s="96" customFormat="1" ht="16.2" x14ac:dyDescent="0.3"/>
    <row r="17" spans="1:11" s="96" customFormat="1" ht="16.2" x14ac:dyDescent="0.3"/>
    <row r="18" spans="1:11" s="96" customFormat="1" ht="16.2" x14ac:dyDescent="0.3">
      <c r="A18" s="160" t="s">
        <v>45</v>
      </c>
      <c r="B18" s="160"/>
      <c r="C18" s="160"/>
      <c r="D18" s="160"/>
      <c r="E18" s="160"/>
      <c r="F18" s="160"/>
      <c r="G18" s="160"/>
      <c r="H18" s="160"/>
    </row>
    <row r="19" spans="1:11" s="96" customFormat="1" ht="16.2" x14ac:dyDescent="0.3">
      <c r="A19" s="97"/>
      <c r="B19" s="97"/>
      <c r="C19" s="97"/>
      <c r="D19" s="97"/>
      <c r="E19" s="97"/>
      <c r="F19" s="97"/>
      <c r="G19" s="97"/>
      <c r="H19" s="97"/>
    </row>
    <row r="20" spans="1:11" s="96" customFormat="1" ht="16.2" x14ac:dyDescent="0.3">
      <c r="A20" s="97"/>
      <c r="B20" s="97"/>
      <c r="C20" s="97"/>
      <c r="D20" s="97"/>
      <c r="E20" s="97"/>
      <c r="F20" s="97"/>
      <c r="G20" s="97"/>
      <c r="H20" s="97"/>
    </row>
    <row r="21" spans="1:11" s="96" customFormat="1" ht="16.2" x14ac:dyDescent="0.3">
      <c r="A21" s="97"/>
      <c r="B21" s="97"/>
      <c r="C21" s="97"/>
      <c r="D21" s="97"/>
      <c r="E21" s="97"/>
      <c r="F21" s="97"/>
      <c r="G21" s="97"/>
      <c r="H21" s="97"/>
    </row>
    <row r="22" spans="1:11" s="96" customFormat="1" ht="16.2" x14ac:dyDescent="0.3"/>
    <row r="23" spans="1:11" s="96" customFormat="1" ht="87" customHeight="1" x14ac:dyDescent="0.3">
      <c r="A23" s="158" t="str">
        <f ca="1">CONCATENATE("This is to certify that ", A2, (", "), C2, (" &amp; immediate past Chairman of United Commercial Bank PLC received Tk."), TEXT(F2, "#,##0"), (".00"),("/-"),(" (Taka "),  NumberToTextBN(F2), (")"), (" only as fees for attending different meetings of the Board of Directors and Committee of the Bank for the"), (" FY "), YEAR(G12)-1, ("-"), YEAR(G12), ("."))</f>
        <v>This is to certify that Mr. Bazal Ahmed, Former Director &amp; immediate past Chairman of United Commercial Bank PLC received Tk.162,000.00/- (Taka One Lac Sixty-Two Thousand) only as fees for attending different meetings of the Board of Directors and Committee of the Bank for the FY 2025-2026.</v>
      </c>
      <c r="B23" s="158"/>
      <c r="C23" s="158"/>
      <c r="D23" s="158"/>
      <c r="E23" s="158"/>
      <c r="F23" s="158"/>
      <c r="G23" s="158"/>
      <c r="H23" s="158"/>
    </row>
    <row r="24" spans="1:11" s="96" customFormat="1" ht="20.25" customHeight="1" x14ac:dyDescent="0.3">
      <c r="A24" s="98"/>
      <c r="B24" s="98"/>
      <c r="C24" s="98"/>
      <c r="D24" s="98"/>
      <c r="E24" s="98"/>
      <c r="F24" s="98"/>
      <c r="G24" s="98"/>
      <c r="H24" s="98"/>
    </row>
    <row r="25" spans="1:11" s="96" customFormat="1" ht="16.2" x14ac:dyDescent="0.3">
      <c r="A25" s="98"/>
      <c r="B25" s="98"/>
      <c r="C25" s="98"/>
      <c r="D25" s="98"/>
      <c r="E25" s="98"/>
      <c r="F25" s="98"/>
      <c r="G25" s="98"/>
      <c r="H25" s="98"/>
    </row>
    <row r="26" spans="1:11" s="96" customFormat="1" ht="110.25" customHeight="1" x14ac:dyDescent="0.3">
      <c r="A26" s="159" t="str">
        <f>CONCATENATE("It is to be mentioned here that an amount of Tk.", TEXT(G2, "#,##0"), (".00"),("/-"),(" (Taka "), NumberToTextBN(G2),(")"), (" only has been deducted at source from the aforesaid fees as per section 90 of Income Tax Act 2023 and Regulation 4 of TDS Rules 2023. Subsequently, the deducted tax has been deposited to the Government Exchequer through Treasury Challan"), (" ("), ("Challan enclosed"), (")."))</f>
        <v>It is to be mentioned here that an amount of Tk.16,200.00/- (Taka Sixteen Thousand Two Hundred) only has been deducted at source from the aforesaid fees as per section 90 of Income Tax Act 2023 and Regulation 4 of TDS Rules 2023. Subsequently, the deducted tax has been deposited to the Government Exchequer through Treasury Challan (Challan enclosed).</v>
      </c>
      <c r="B26" s="159"/>
      <c r="C26" s="159"/>
      <c r="D26" s="159"/>
      <c r="E26" s="159"/>
      <c r="F26" s="159"/>
      <c r="G26" s="159"/>
      <c r="H26" s="159"/>
      <c r="K26" s="98"/>
    </row>
    <row r="27" spans="1:11" s="96" customFormat="1" ht="16.2" x14ac:dyDescent="0.3">
      <c r="A27" s="98"/>
      <c r="B27" s="98"/>
      <c r="C27" s="98"/>
      <c r="D27" s="98"/>
      <c r="E27" s="98"/>
      <c r="F27" s="98"/>
      <c r="G27" s="98"/>
      <c r="H27" s="98"/>
      <c r="K27" s="98"/>
    </row>
    <row r="28" spans="1:11" s="96" customFormat="1" ht="16.2" x14ac:dyDescent="0.3">
      <c r="A28" s="98"/>
      <c r="B28" s="98"/>
      <c r="C28" s="98"/>
      <c r="D28" s="98"/>
      <c r="E28" s="98"/>
      <c r="F28" s="98"/>
      <c r="G28" s="98"/>
      <c r="H28" s="98"/>
      <c r="K28" s="98"/>
    </row>
    <row r="29" spans="1:11" s="96" customFormat="1" ht="16.2" x14ac:dyDescent="0.3">
      <c r="A29" s="98"/>
      <c r="B29" s="98"/>
      <c r="C29" s="98"/>
      <c r="D29" s="98"/>
      <c r="E29" s="98"/>
      <c r="F29" s="98"/>
      <c r="G29" s="98"/>
      <c r="H29" s="98"/>
      <c r="K29" s="98"/>
    </row>
    <row r="30" spans="1:11" s="96" customFormat="1" ht="16.2" x14ac:dyDescent="0.3"/>
    <row r="31" spans="1:11" s="96" customFormat="1" ht="16.2" x14ac:dyDescent="0.3"/>
    <row r="32" spans="1:11" s="96" customFormat="1" ht="16.2" x14ac:dyDescent="0.3"/>
    <row r="33" spans="1:5" s="96" customFormat="1" ht="16.2" x14ac:dyDescent="0.3"/>
    <row r="34" spans="1:5" s="96" customFormat="1" ht="16.2" x14ac:dyDescent="0.3"/>
    <row r="35" spans="1:5" s="96" customFormat="1" ht="16.2" x14ac:dyDescent="0.3">
      <c r="A35" s="134"/>
      <c r="B35" s="134"/>
      <c r="C35" s="134"/>
    </row>
    <row r="36" spans="1:5" s="96" customFormat="1" ht="53.25" customHeight="1" x14ac:dyDescent="0.3">
      <c r="A36" s="162" t="s">
        <v>136</v>
      </c>
      <c r="B36" s="162"/>
      <c r="C36" s="162"/>
      <c r="D36" s="99"/>
    </row>
    <row r="37" spans="1:5" s="93" customFormat="1" ht="16.2" x14ac:dyDescent="0.3">
      <c r="A37" s="99"/>
      <c r="B37" s="99"/>
      <c r="C37" s="99"/>
      <c r="D37" s="99"/>
      <c r="E37" s="100"/>
    </row>
  </sheetData>
  <mergeCells count="10">
    <mergeCell ref="A18:H18"/>
    <mergeCell ref="A23:H23"/>
    <mergeCell ref="A26:H26"/>
    <mergeCell ref="A36:C36"/>
    <mergeCell ref="A1:B1"/>
    <mergeCell ref="C1:D1"/>
    <mergeCell ref="A2:B2"/>
    <mergeCell ref="C2:D2"/>
    <mergeCell ref="A12:F12"/>
    <mergeCell ref="G12:H12"/>
  </mergeCells>
  <pageMargins left="0.86614173228346458" right="0.59055118110236227" top="0.74803149606299213" bottom="0.74803149606299213" header="0.31496062992125984" footer="0.31496062992125984"/>
  <pageSetup paperSize="9" scale="85"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Summary!$A$4:$A$28</xm:f>
          </x14:formula1>
          <xm:sqref>A2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K37"/>
  <sheetViews>
    <sheetView showGridLines="0" tabSelected="1" view="pageBreakPreview" zoomScale="90" zoomScaleNormal="90" zoomScaleSheetLayoutView="90" workbookViewId="0">
      <pane ySplit="3" topLeftCell="A4" activePane="bottomLeft" state="frozen"/>
      <selection pane="bottomLeft" activeCell="I23" sqref="I23"/>
    </sheetView>
  </sheetViews>
  <sheetFormatPr defaultRowHeight="14.4" x14ac:dyDescent="0.3"/>
  <cols>
    <col min="1" max="5" width="12.33203125" customWidth="1"/>
    <col min="6" max="6" width="13.44140625" bestFit="1" customWidth="1"/>
    <col min="7" max="8" width="12.33203125" customWidth="1"/>
    <col min="9" max="9" width="12.109375" customWidth="1"/>
    <col min="10" max="10" width="6.6640625" bestFit="1" customWidth="1"/>
  </cols>
  <sheetData>
    <row r="1" spans="1:10" ht="13.5" customHeight="1" x14ac:dyDescent="0.3">
      <c r="A1" s="156" t="s">
        <v>0</v>
      </c>
      <c r="B1" s="156"/>
      <c r="C1" s="156" t="s">
        <v>6</v>
      </c>
      <c r="D1" s="156"/>
      <c r="F1" s="102" t="s">
        <v>47</v>
      </c>
      <c r="G1" s="102" t="s">
        <v>48</v>
      </c>
      <c r="H1" s="90"/>
    </row>
    <row r="2" spans="1:10" x14ac:dyDescent="0.3">
      <c r="A2" s="156" t="s">
        <v>16</v>
      </c>
      <c r="B2" s="156"/>
      <c r="C2" s="157" t="str">
        <f>VLOOKUP(A2, 'Name &amp; Designation'!$A$2:$B$42, 2,FALSE)</f>
        <v>Former Director</v>
      </c>
      <c r="D2" s="157"/>
      <c r="F2" s="103">
        <f>VLOOKUP(A2, Summary!A3:D71, 3, FALSE)</f>
        <v>78000</v>
      </c>
      <c r="G2" s="104">
        <f>VLOOKUP(A2, Summary!A3:D71, 4, FALSE)</f>
        <v>7800</v>
      </c>
      <c r="H2" s="91"/>
      <c r="I2" s="151">
        <f>50000*5+F2</f>
        <v>328000</v>
      </c>
      <c r="J2">
        <f>I2*0.1</f>
        <v>32800</v>
      </c>
    </row>
    <row r="3" spans="1:10" x14ac:dyDescent="0.3">
      <c r="B3" s="90"/>
      <c r="C3" s="90"/>
      <c r="F3" s="92"/>
      <c r="G3" s="92"/>
      <c r="H3" s="92"/>
    </row>
    <row r="4" spans="1:10" x14ac:dyDescent="0.3">
      <c r="F4" s="29"/>
    </row>
    <row r="5" spans="1:10" x14ac:dyDescent="0.3">
      <c r="F5" s="29"/>
    </row>
    <row r="6" spans="1:10" s="93" customFormat="1" ht="16.2" x14ac:dyDescent="0.3">
      <c r="F6" s="94"/>
    </row>
    <row r="7" spans="1:10" s="93" customFormat="1" ht="16.2" x14ac:dyDescent="0.3">
      <c r="F7" s="94"/>
    </row>
    <row r="8" spans="1:10" s="93" customFormat="1" ht="16.2" x14ac:dyDescent="0.3">
      <c r="F8" s="94"/>
    </row>
    <row r="9" spans="1:10" s="93" customFormat="1" ht="16.2" x14ac:dyDescent="0.3">
      <c r="F9" s="94"/>
    </row>
    <row r="10" spans="1:10" s="93" customFormat="1" ht="16.2" x14ac:dyDescent="0.3">
      <c r="F10" s="94"/>
    </row>
    <row r="11" spans="1:10" s="93" customFormat="1" ht="15.6" x14ac:dyDescent="0.3"/>
    <row r="12" spans="1:10" s="96" customFormat="1" ht="15.75" customHeight="1" x14ac:dyDescent="0.3">
      <c r="A12" s="161" t="str">
        <f ca="1">CONCATENATE("NO.UCB/HO/BOARD/F-30(VI)-6/            /", (YEAR(G12)))</f>
        <v>NO.UCB/HO/BOARD/F-30(VI)-6/            /2026</v>
      </c>
      <c r="B12" s="161"/>
      <c r="C12" s="161"/>
      <c r="D12" s="161"/>
      <c r="E12" s="161"/>
      <c r="F12" s="161"/>
      <c r="G12" s="163">
        <f ca="1">TODAY()-36+9</f>
        <v>46173</v>
      </c>
      <c r="H12" s="163"/>
    </row>
    <row r="13" spans="1:10" s="96" customFormat="1" ht="16.2" x14ac:dyDescent="0.3"/>
    <row r="14" spans="1:10" s="96" customFormat="1" ht="16.2" x14ac:dyDescent="0.3"/>
    <row r="15" spans="1:10" s="96" customFormat="1" ht="16.2" x14ac:dyDescent="0.3"/>
    <row r="16" spans="1:10" s="96" customFormat="1" ht="16.2" x14ac:dyDescent="0.3"/>
    <row r="17" spans="1:11" s="96" customFormat="1" ht="16.2" x14ac:dyDescent="0.3"/>
    <row r="18" spans="1:11" s="96" customFormat="1" ht="16.2" x14ac:dyDescent="0.3">
      <c r="A18" s="160" t="s">
        <v>45</v>
      </c>
      <c r="B18" s="160"/>
      <c r="C18" s="160"/>
      <c r="D18" s="160"/>
      <c r="E18" s="160"/>
      <c r="F18" s="160"/>
      <c r="G18" s="160"/>
      <c r="H18" s="160"/>
    </row>
    <row r="19" spans="1:11" s="96" customFormat="1" ht="16.2" x14ac:dyDescent="0.3">
      <c r="A19" s="97"/>
      <c r="B19" s="97"/>
      <c r="C19" s="97"/>
      <c r="D19" s="97"/>
      <c r="E19" s="97"/>
      <c r="F19" s="97"/>
      <c r="G19" s="97"/>
      <c r="H19" s="97"/>
    </row>
    <row r="20" spans="1:11" s="96" customFormat="1" ht="16.2" x14ac:dyDescent="0.3">
      <c r="A20" s="97"/>
      <c r="B20" s="97"/>
      <c r="C20" s="97"/>
      <c r="D20" s="97"/>
      <c r="E20" s="97"/>
      <c r="F20" s="97"/>
      <c r="G20" s="97"/>
      <c r="H20" s="97"/>
    </row>
    <row r="21" spans="1:11" s="96" customFormat="1" ht="16.2" x14ac:dyDescent="0.3">
      <c r="A21" s="97"/>
      <c r="B21" s="97"/>
      <c r="C21" s="97"/>
      <c r="D21" s="97"/>
      <c r="E21" s="97"/>
      <c r="F21" s="97"/>
      <c r="G21" s="97"/>
      <c r="H21" s="97"/>
    </row>
    <row r="22" spans="1:11" s="96" customFormat="1" ht="16.2" x14ac:dyDescent="0.3"/>
    <row r="23" spans="1:11" s="96" customFormat="1" ht="87" customHeight="1" x14ac:dyDescent="0.3">
      <c r="A23" s="158" t="str">
        <f ca="1">CONCATENATE("This is to certify that ", A2, (", "), C2, (" of United Commercial Bank PLC received Tk."), TEXT(F2, "#,##0"), (".00"),("/-"),(" (Taka "),  NumberToTextBN(F2), (")"), (" only as fees for attending different meetings of the Board of Directors and Committee of the Bank for the"), (" FY "), YEAR(G12)-1, ("-"), YEAR(G12), ("."))</f>
        <v>This is to certify that Mr. Md. Aksed Ali Sarker, Former Director of United Commercial Bank PLC received Tk.78,000.00/- (Taka Seventy-Eight Thousand) only as fees for attending different meetings of the Board of Directors and Committee of the Bank for the FY 2025-2026.</v>
      </c>
      <c r="B23" s="158"/>
      <c r="C23" s="158"/>
      <c r="D23" s="158"/>
      <c r="E23" s="158"/>
      <c r="F23" s="158"/>
      <c r="G23" s="158"/>
      <c r="H23" s="158"/>
    </row>
    <row r="24" spans="1:11" s="96" customFormat="1" ht="20.25" customHeight="1" x14ac:dyDescent="0.3">
      <c r="A24" s="98"/>
      <c r="B24" s="98"/>
      <c r="C24" s="98"/>
      <c r="D24" s="98"/>
      <c r="E24" s="98"/>
      <c r="F24" s="98"/>
      <c r="G24" s="98"/>
      <c r="H24" s="98"/>
    </row>
    <row r="25" spans="1:11" s="96" customFormat="1" ht="16.2" x14ac:dyDescent="0.3">
      <c r="A25" s="98"/>
      <c r="B25" s="98"/>
      <c r="C25" s="98"/>
      <c r="D25" s="98"/>
      <c r="E25" s="98"/>
      <c r="F25" s="98"/>
      <c r="G25" s="98"/>
      <c r="H25" s="98"/>
    </row>
    <row r="26" spans="1:11" s="96" customFormat="1" ht="110.25" customHeight="1" x14ac:dyDescent="0.3">
      <c r="A26" s="159" t="str">
        <f>CONCATENATE("It is to be mentioned here that an amount of Tk.", TEXT(G2, "#,##0"), (".00"),("/-"),(" (Taka "), NumberToTextBN(G2),(")"), (" only has been deducted at source from the aforesaid fees as per section 90 of Income Tax Act 2023 and Regulation 4 of TDS Rules 2023. Subsequently, the deducted tax has been deposited to the Government Exchequer through Treasury Challan"), (" ("), ("Challan enclosed"), (")."))</f>
        <v>It is to be mentioned here that an amount of Tk.7,800.00/- (Taka Seven Thousand Eight Hundred) only has been deducted at source from the aforesaid fees as per section 90 of Income Tax Act 2023 and Regulation 4 of TDS Rules 2023. Subsequently, the deducted tax has been deposited to the Government Exchequer through Treasury Challan (Challan enclosed).</v>
      </c>
      <c r="B26" s="159"/>
      <c r="C26" s="159"/>
      <c r="D26" s="159"/>
      <c r="E26" s="159"/>
      <c r="F26" s="159"/>
      <c r="G26" s="159"/>
      <c r="H26" s="159"/>
      <c r="K26" s="98"/>
    </row>
    <row r="27" spans="1:11" s="96" customFormat="1" ht="16.2" x14ac:dyDescent="0.3">
      <c r="A27" s="98"/>
      <c r="B27" s="98"/>
      <c r="C27" s="98"/>
      <c r="D27" s="98"/>
      <c r="E27" s="98"/>
      <c r="F27" s="98"/>
      <c r="G27" s="98"/>
      <c r="H27" s="98"/>
      <c r="K27" s="98"/>
    </row>
    <row r="28" spans="1:11" s="96" customFormat="1" ht="16.2" x14ac:dyDescent="0.3">
      <c r="A28" s="98"/>
      <c r="B28" s="98"/>
      <c r="C28" s="98"/>
      <c r="D28" s="98"/>
      <c r="E28" s="98"/>
      <c r="F28" s="98"/>
      <c r="G28" s="98"/>
      <c r="H28" s="98"/>
      <c r="K28" s="98"/>
    </row>
    <row r="29" spans="1:11" s="96" customFormat="1" ht="16.2" x14ac:dyDescent="0.3">
      <c r="A29" s="98"/>
      <c r="B29" s="98"/>
      <c r="C29" s="98"/>
      <c r="D29" s="98"/>
      <c r="E29" s="98"/>
      <c r="F29" s="98"/>
      <c r="G29" s="98"/>
      <c r="H29" s="98"/>
      <c r="K29" s="98"/>
    </row>
    <row r="30" spans="1:11" s="96" customFormat="1" ht="16.2" x14ac:dyDescent="0.3"/>
    <row r="31" spans="1:11" s="96" customFormat="1" ht="16.2" x14ac:dyDescent="0.3"/>
    <row r="32" spans="1:11" s="96" customFormat="1" ht="16.2" x14ac:dyDescent="0.3"/>
    <row r="33" spans="1:5" s="96" customFormat="1" ht="16.2" x14ac:dyDescent="0.3"/>
    <row r="34" spans="1:5" s="96" customFormat="1" ht="16.2" x14ac:dyDescent="0.3"/>
    <row r="35" spans="1:5" s="96" customFormat="1" ht="16.2" x14ac:dyDescent="0.3">
      <c r="A35" s="134"/>
      <c r="B35" s="134"/>
      <c r="C35" s="134"/>
    </row>
    <row r="36" spans="1:5" s="96" customFormat="1" ht="53.25" customHeight="1" x14ac:dyDescent="0.3">
      <c r="A36" s="162" t="s">
        <v>136</v>
      </c>
      <c r="B36" s="162"/>
      <c r="C36" s="162"/>
      <c r="D36" s="99"/>
    </row>
    <row r="37" spans="1:5" s="93" customFormat="1" ht="16.2" x14ac:dyDescent="0.3">
      <c r="A37" s="99"/>
      <c r="B37" s="99"/>
      <c r="C37" s="99"/>
      <c r="D37" s="99"/>
      <c r="E37" s="100"/>
    </row>
  </sheetData>
  <mergeCells count="10">
    <mergeCell ref="A26:H26"/>
    <mergeCell ref="A18:H18"/>
    <mergeCell ref="A12:F12"/>
    <mergeCell ref="A36:C36"/>
    <mergeCell ref="G12:H12"/>
    <mergeCell ref="A1:B1"/>
    <mergeCell ref="A2:B2"/>
    <mergeCell ref="C1:D1"/>
    <mergeCell ref="C2:D2"/>
    <mergeCell ref="A23:H23"/>
  </mergeCells>
  <pageMargins left="0.86614173228346458" right="0.59055118110236227" top="0.74803149606299213" bottom="0.74803149606299213" header="0.31496062992125984" footer="0.31496062992125984"/>
  <pageSetup paperSize="9" scale="85"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Summary!$A$4:$A$28</xm:f>
          </x14:formula1>
          <xm:sqref>A2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37"/>
  <sheetViews>
    <sheetView showGridLines="0" view="pageBreakPreview" zoomScale="90" zoomScaleNormal="90" zoomScaleSheetLayoutView="90" workbookViewId="0">
      <pane ySplit="3" topLeftCell="A14" activePane="bottomLeft" state="frozen"/>
      <selection pane="bottomLeft" activeCell="A27" sqref="A27"/>
    </sheetView>
  </sheetViews>
  <sheetFormatPr defaultRowHeight="14.4" x14ac:dyDescent="0.3"/>
  <cols>
    <col min="1" max="5" width="12.33203125" customWidth="1"/>
    <col min="6" max="6" width="13.44140625" bestFit="1" customWidth="1"/>
    <col min="7" max="8" width="12.33203125" customWidth="1"/>
    <col min="10" max="10" width="12.109375" bestFit="1" customWidth="1"/>
    <col min="11" max="11" width="11.109375" bestFit="1" customWidth="1"/>
  </cols>
  <sheetData>
    <row r="1" spans="1:11" ht="13.5" customHeight="1" x14ac:dyDescent="0.3">
      <c r="A1" s="156" t="s">
        <v>0</v>
      </c>
      <c r="B1" s="156"/>
      <c r="C1" s="156" t="s">
        <v>6</v>
      </c>
      <c r="D1" s="156"/>
      <c r="F1" s="102" t="s">
        <v>47</v>
      </c>
      <c r="G1" s="102" t="s">
        <v>48</v>
      </c>
      <c r="H1" s="90"/>
    </row>
    <row r="2" spans="1:11" x14ac:dyDescent="0.3">
      <c r="A2" s="156" t="s">
        <v>21</v>
      </c>
      <c r="B2" s="156"/>
      <c r="C2" s="157" t="str">
        <f>VLOOKUP(A2, 'Name &amp; Designation'!$A$2:$B$42, 2,FALSE)</f>
        <v>Former Independent Director</v>
      </c>
      <c r="D2" s="157"/>
      <c r="F2" s="103">
        <f>VLOOKUP(A2, Summary!A3:D71, 3, FALSE)</f>
        <v>116000</v>
      </c>
      <c r="G2" s="104">
        <f>VLOOKUP(A2, Summary!A3:D71, 4, FALSE)</f>
        <v>11600</v>
      </c>
      <c r="H2" s="91"/>
      <c r="J2" s="151">
        <f>50000*5+F2</f>
        <v>366000</v>
      </c>
      <c r="K2" s="153">
        <f>J2*0.1</f>
        <v>36600</v>
      </c>
    </row>
    <row r="3" spans="1:11" x14ac:dyDescent="0.3">
      <c r="B3" s="90"/>
      <c r="C3" s="90"/>
      <c r="F3" s="92"/>
      <c r="G3" s="92"/>
      <c r="H3" s="92"/>
    </row>
    <row r="4" spans="1:11" x14ac:dyDescent="0.3">
      <c r="F4" s="29"/>
    </row>
    <row r="5" spans="1:11" x14ac:dyDescent="0.3">
      <c r="F5" s="29"/>
    </row>
    <row r="6" spans="1:11" s="93" customFormat="1" ht="16.2" x14ac:dyDescent="0.3">
      <c r="F6" s="94"/>
    </row>
    <row r="7" spans="1:11" s="93" customFormat="1" ht="16.2" x14ac:dyDescent="0.3">
      <c r="F7" s="94"/>
    </row>
    <row r="8" spans="1:11" s="93" customFormat="1" ht="16.2" x14ac:dyDescent="0.3">
      <c r="F8" s="94"/>
    </row>
    <row r="9" spans="1:11" s="93" customFormat="1" ht="16.2" x14ac:dyDescent="0.3">
      <c r="F9" s="94"/>
    </row>
    <row r="10" spans="1:11" s="93" customFormat="1" ht="16.2" x14ac:dyDescent="0.3">
      <c r="F10" s="94"/>
    </row>
    <row r="11" spans="1:11" s="93" customFormat="1" ht="15.6" x14ac:dyDescent="0.3"/>
    <row r="12" spans="1:11" s="96" customFormat="1" ht="15.75" customHeight="1" x14ac:dyDescent="0.3">
      <c r="A12" s="161" t="str">
        <f ca="1">CONCATENATE("NO.UCB/HO/BOARD/F-30(VI)-6/            /", (YEAR(G12)))</f>
        <v>NO.UCB/HO/BOARD/F-30(VI)-6/            /2026</v>
      </c>
      <c r="B12" s="161"/>
      <c r="C12" s="161"/>
      <c r="D12" s="161"/>
      <c r="E12" s="161"/>
      <c r="F12" s="161"/>
      <c r="G12" s="163">
        <f ca="1">TODAY()</f>
        <v>46200</v>
      </c>
      <c r="H12" s="163"/>
    </row>
    <row r="13" spans="1:11" s="96" customFormat="1" ht="16.2" x14ac:dyDescent="0.3"/>
    <row r="14" spans="1:11" s="96" customFormat="1" ht="16.2" x14ac:dyDescent="0.3"/>
    <row r="15" spans="1:11" s="96" customFormat="1" ht="16.2" x14ac:dyDescent="0.3"/>
    <row r="16" spans="1:11" s="96" customFormat="1" ht="16.2" x14ac:dyDescent="0.3"/>
    <row r="17" spans="1:11" s="96" customFormat="1" ht="16.2" x14ac:dyDescent="0.3"/>
    <row r="18" spans="1:11" s="96" customFormat="1" ht="16.2" x14ac:dyDescent="0.3">
      <c r="A18" s="165" t="s">
        <v>45</v>
      </c>
      <c r="B18" s="165"/>
      <c r="C18" s="165"/>
      <c r="D18" s="165"/>
      <c r="E18" s="165"/>
      <c r="F18" s="165"/>
      <c r="G18" s="165"/>
      <c r="H18" s="165"/>
    </row>
    <row r="19" spans="1:11" s="96" customFormat="1" ht="16.2" x14ac:dyDescent="0.3">
      <c r="A19" s="97"/>
      <c r="B19" s="97"/>
      <c r="C19" s="97"/>
      <c r="D19" s="97"/>
      <c r="E19" s="97"/>
      <c r="F19" s="97"/>
      <c r="G19" s="97"/>
      <c r="H19" s="97"/>
    </row>
    <row r="20" spans="1:11" s="96" customFormat="1" ht="16.2" x14ac:dyDescent="0.3">
      <c r="A20" s="97"/>
      <c r="B20" s="97"/>
      <c r="C20" s="97"/>
      <c r="D20" s="97"/>
      <c r="E20" s="97"/>
      <c r="F20" s="97"/>
      <c r="G20" s="97"/>
      <c r="H20" s="97"/>
    </row>
    <row r="21" spans="1:11" s="96" customFormat="1" ht="16.2" x14ac:dyDescent="0.3">
      <c r="A21" s="97"/>
      <c r="B21" s="97"/>
      <c r="C21" s="97"/>
      <c r="D21" s="97"/>
      <c r="E21" s="97"/>
      <c r="F21" s="97"/>
      <c r="G21" s="97"/>
      <c r="H21" s="97"/>
    </row>
    <row r="22" spans="1:11" s="96" customFormat="1" ht="16.2" x14ac:dyDescent="0.3"/>
    <row r="23" spans="1:11" s="96" customFormat="1" ht="73.5" customHeight="1" x14ac:dyDescent="0.3">
      <c r="A23" s="158" t="str">
        <f ca="1">CONCATENATE("This is to certify that ", A2, (", "), C2, (" of United Commercial Bank PLC. received Tk."), TEXT(J2, "#,##0"), (".00"),("/-"),(" (Taka "),  NumberToTextBN(J2), (")"), (" only as monthly honorarium &amp; fees for attending different meetings of the Board of Directors and Committee of the Bank for the"), (" FY "), YEAR(G12)-1, ("-"), YEAR(G12), ("."))</f>
        <v>This is to certify that Dr. Aparup Chowdhury, Former Independent Director of United Commercial Bank PLC. received Tk.366,000.00/- (Taka Three Lac Sixty-Six Thousand) only as monthly honorarium &amp; fees for attending different meetings of the Board of Directors and Committee of the Bank for the FY 2025-2026.</v>
      </c>
      <c r="B23" s="158"/>
      <c r="C23" s="158"/>
      <c r="D23" s="158"/>
      <c r="E23" s="158"/>
      <c r="F23" s="158"/>
      <c r="G23" s="158"/>
      <c r="H23" s="158"/>
    </row>
    <row r="24" spans="1:11" s="96" customFormat="1" ht="16.2" x14ac:dyDescent="0.3">
      <c r="A24" s="98"/>
      <c r="B24" s="98"/>
      <c r="C24" s="98"/>
      <c r="D24" s="98"/>
      <c r="E24" s="98"/>
      <c r="F24" s="98"/>
      <c r="G24" s="98"/>
      <c r="H24" s="98"/>
    </row>
    <row r="25" spans="1:11" s="96" customFormat="1" ht="16.2" x14ac:dyDescent="0.3">
      <c r="A25" s="98"/>
      <c r="B25" s="98"/>
      <c r="C25" s="98"/>
      <c r="D25" s="98"/>
      <c r="E25" s="98"/>
      <c r="F25" s="98"/>
      <c r="G25" s="98"/>
      <c r="H25" s="98"/>
    </row>
    <row r="26" spans="1:11" s="96" customFormat="1" ht="91.5" customHeight="1" x14ac:dyDescent="0.3">
      <c r="A26" s="159" t="str">
        <f>CONCATENATE("It is to be mentioned here that an amount of Tk.", TEXT(K2, "#,##0"), (".00"),("/-"),(" (Taka "), NumberToTextBN(K2),(")"), (" only has been deducted at source from the aforesaid honoarium &amp; fees as per section 90 of Income Tax Act 2023 and Regulation 4 of TDS Rules 2023. Subsequently, the deducted tax has been deposited to the Government Exchequer through Treasury Challan."), (" ("), ("Challan enclosed."), (")"))</f>
        <v>It is to be mentioned here that an amount of Tk.36,600.00/- (Taka Thirty-Six Thousand Six Hundred) only has been deducted at source from the aforesaid honoarium &amp; fees as per section 90 of Income Tax Act 2023 and Regulation 4 of TDS Rules 2023. Subsequently, the deducted tax has been deposited to the Government Exchequer through Treasury Challan. (Challan enclosed.)</v>
      </c>
      <c r="B26" s="159"/>
      <c r="C26" s="159"/>
      <c r="D26" s="159"/>
      <c r="E26" s="159"/>
      <c r="F26" s="159"/>
      <c r="G26" s="159"/>
      <c r="H26" s="159"/>
      <c r="K26" s="98"/>
    </row>
    <row r="27" spans="1:11" s="96" customFormat="1" ht="16.2" x14ac:dyDescent="0.3">
      <c r="A27" s="98"/>
      <c r="B27" s="98"/>
      <c r="C27" s="98"/>
      <c r="D27" s="98"/>
      <c r="E27" s="98"/>
      <c r="F27" s="98"/>
      <c r="G27" s="98"/>
      <c r="H27" s="98"/>
      <c r="K27" s="98"/>
    </row>
    <row r="28" spans="1:11" s="96" customFormat="1" ht="16.2" x14ac:dyDescent="0.3">
      <c r="A28" s="98"/>
      <c r="B28" s="98"/>
      <c r="C28" s="98"/>
      <c r="D28" s="98"/>
      <c r="E28" s="98"/>
      <c r="F28" s="98"/>
      <c r="G28" s="98"/>
      <c r="H28" s="98"/>
      <c r="K28" s="98"/>
    </row>
    <row r="29" spans="1:11" s="96" customFormat="1" ht="16.2" x14ac:dyDescent="0.3">
      <c r="A29" s="98"/>
      <c r="B29" s="98"/>
      <c r="C29" s="98"/>
      <c r="D29" s="98"/>
      <c r="E29" s="98"/>
      <c r="F29" s="98"/>
      <c r="G29" s="98"/>
      <c r="H29" s="98"/>
      <c r="K29" s="98"/>
    </row>
    <row r="30" spans="1:11" s="96" customFormat="1" ht="16.2" x14ac:dyDescent="0.3"/>
    <row r="31" spans="1:11" s="96" customFormat="1" ht="16.2" x14ac:dyDescent="0.3"/>
    <row r="32" spans="1:11" s="96" customFormat="1" ht="16.2" x14ac:dyDescent="0.3"/>
    <row r="33" spans="1:5" s="96" customFormat="1" ht="16.2" x14ac:dyDescent="0.3"/>
    <row r="34" spans="1:5" s="96" customFormat="1" ht="16.2" x14ac:dyDescent="0.3"/>
    <row r="35" spans="1:5" s="96" customFormat="1" ht="16.2" x14ac:dyDescent="0.3">
      <c r="A35" s="134"/>
      <c r="B35" s="134"/>
      <c r="C35" s="134"/>
    </row>
    <row r="36" spans="1:5" s="96" customFormat="1" ht="43.5" customHeight="1" x14ac:dyDescent="0.3">
      <c r="A36" s="166" t="s">
        <v>123</v>
      </c>
      <c r="B36" s="166"/>
      <c r="C36" s="166"/>
      <c r="D36" s="99"/>
    </row>
    <row r="37" spans="1:5" s="93" customFormat="1" ht="16.2" x14ac:dyDescent="0.3">
      <c r="A37" s="99"/>
      <c r="B37" s="99"/>
      <c r="C37" s="99"/>
      <c r="D37" s="99"/>
      <c r="E37" s="100"/>
    </row>
  </sheetData>
  <mergeCells count="10">
    <mergeCell ref="A18:H18"/>
    <mergeCell ref="A23:H23"/>
    <mergeCell ref="A26:H26"/>
    <mergeCell ref="A36:C36"/>
    <mergeCell ref="A1:B1"/>
    <mergeCell ref="C1:D1"/>
    <mergeCell ref="A2:B2"/>
    <mergeCell ref="C2:D2"/>
    <mergeCell ref="A12:F12"/>
    <mergeCell ref="G12:H12"/>
  </mergeCells>
  <pageMargins left="0.76771653543307095" right="0.70866141732283472" top="0.74803149606299213" bottom="0.74803149606299213" header="0.31496062992125984" footer="0.31496062992125984"/>
  <pageSetup paperSize="9" scale="87"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Summary!$A$4:$A$28</xm:f>
          </x14:formula1>
          <xm:sqref>A2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L35"/>
  <sheetViews>
    <sheetView showGridLines="0" view="pageBreakPreview" zoomScale="90" zoomScaleNormal="70" zoomScaleSheetLayoutView="90" workbookViewId="0">
      <pane ySplit="4" topLeftCell="A5" activePane="bottomLeft" state="frozen"/>
      <selection pane="bottomLeft" activeCell="K8" sqref="K8"/>
    </sheetView>
  </sheetViews>
  <sheetFormatPr defaultRowHeight="14.4" x14ac:dyDescent="0.3"/>
  <cols>
    <col min="2" max="2" width="10.109375" bestFit="1" customWidth="1"/>
    <col min="6" max="6" width="14.5546875" bestFit="1" customWidth="1"/>
    <col min="7" max="7" width="8.109375" customWidth="1"/>
    <col min="8" max="8" width="20.88671875" customWidth="1"/>
  </cols>
  <sheetData>
    <row r="1" spans="1:8" x14ac:dyDescent="0.3">
      <c r="A1" s="156" t="s">
        <v>0</v>
      </c>
      <c r="B1" s="156"/>
      <c r="C1" s="156" t="s">
        <v>6</v>
      </c>
      <c r="D1" s="156"/>
      <c r="F1" s="113" t="s">
        <v>47</v>
      </c>
      <c r="G1" s="114" t="s">
        <v>48</v>
      </c>
      <c r="H1" s="105"/>
    </row>
    <row r="2" spans="1:8" s="107" customFormat="1" ht="43.5" customHeight="1" x14ac:dyDescent="0.3">
      <c r="A2" s="167" t="s">
        <v>126</v>
      </c>
      <c r="B2" s="167"/>
      <c r="C2" s="168" t="str">
        <f>VLOOKUP(A2, 'Name &amp; Designation'!$A$2:$B$42, 2,FALSE)</f>
        <v>Member, Shariah Supervisory Committee</v>
      </c>
      <c r="D2" s="168"/>
      <c r="F2" s="115">
        <f>VLOOKUP(A2, Summary!A4:C71, 3, FALSE)</f>
        <v>42000</v>
      </c>
      <c r="G2" s="101">
        <f>VLOOKUP(A2, Summary!A4:D71, 4, FALSE)</f>
        <v>4200</v>
      </c>
      <c r="H2" s="90"/>
    </row>
    <row r="3" spans="1:8" x14ac:dyDescent="0.3">
      <c r="B3" s="105"/>
      <c r="C3" s="105"/>
      <c r="F3" s="106"/>
    </row>
    <row r="4" spans="1:8" x14ac:dyDescent="0.3">
      <c r="F4" s="29"/>
    </row>
    <row r="5" spans="1:8" x14ac:dyDescent="0.3">
      <c r="F5" s="29"/>
    </row>
    <row r="6" spans="1:8" s="93" customFormat="1" ht="16.2" x14ac:dyDescent="0.3">
      <c r="F6" s="94"/>
    </row>
    <row r="7" spans="1:8" s="93" customFormat="1" ht="16.2" x14ac:dyDescent="0.3">
      <c r="F7" s="94"/>
    </row>
    <row r="8" spans="1:8" s="93" customFormat="1" ht="16.2" x14ac:dyDescent="0.3">
      <c r="F8" s="94"/>
    </row>
    <row r="9" spans="1:8" s="93" customFormat="1" ht="16.2" x14ac:dyDescent="0.3">
      <c r="F9" s="94"/>
    </row>
    <row r="10" spans="1:8" s="93" customFormat="1" ht="16.2" x14ac:dyDescent="0.3">
      <c r="F10" s="94"/>
    </row>
    <row r="11" spans="1:8" s="93" customFormat="1" ht="15.6" x14ac:dyDescent="0.3"/>
    <row r="12" spans="1:8" s="93" customFormat="1" ht="16.2" x14ac:dyDescent="0.3">
      <c r="A12" s="161" t="str">
        <f ca="1">CONCATENATE("NO.UCB/HO/BOARD/F-30 (VI)-6/            /", (YEAR(H12)))</f>
        <v>NO.UCB/HO/BOARD/F-30 (VI)-6/            /2026</v>
      </c>
      <c r="B12" s="161"/>
      <c r="C12" s="161"/>
      <c r="D12" s="161"/>
      <c r="E12" s="161"/>
      <c r="F12" s="161"/>
      <c r="G12" s="95"/>
      <c r="H12" s="133">
        <f ca="1">TODAY()</f>
        <v>46200</v>
      </c>
    </row>
    <row r="13" spans="1:8" s="93" customFormat="1" ht="15.6" x14ac:dyDescent="0.3"/>
    <row r="14" spans="1:8" s="93" customFormat="1" ht="15.6" x14ac:dyDescent="0.3"/>
    <row r="15" spans="1:8" s="93" customFormat="1" ht="15.6" x14ac:dyDescent="0.3"/>
    <row r="16" spans="1:8" s="93" customFormat="1" ht="15.6" x14ac:dyDescent="0.3"/>
    <row r="17" spans="1:12" s="93" customFormat="1" ht="15.6" x14ac:dyDescent="0.3"/>
    <row r="18" spans="1:12" s="93" customFormat="1" ht="16.2" x14ac:dyDescent="0.3">
      <c r="A18" s="160" t="s">
        <v>45</v>
      </c>
      <c r="B18" s="160"/>
      <c r="C18" s="160"/>
      <c r="D18" s="160"/>
      <c r="E18" s="160"/>
      <c r="F18" s="160"/>
      <c r="G18" s="160"/>
      <c r="H18" s="160"/>
    </row>
    <row r="19" spans="1:12" s="93" customFormat="1" ht="16.2" x14ac:dyDescent="0.3">
      <c r="A19" s="97"/>
      <c r="B19" s="97"/>
      <c r="C19" s="97"/>
      <c r="D19" s="97"/>
      <c r="E19" s="97"/>
      <c r="F19" s="97"/>
      <c r="G19" s="97"/>
      <c r="H19" s="97"/>
    </row>
    <row r="20" spans="1:12" s="93" customFormat="1" ht="16.2" x14ac:dyDescent="0.3">
      <c r="A20" s="97"/>
      <c r="B20" s="97"/>
      <c r="C20" s="97"/>
      <c r="D20" s="97"/>
      <c r="E20" s="97"/>
      <c r="F20" s="97"/>
      <c r="G20" s="97"/>
      <c r="H20" s="97"/>
    </row>
    <row r="21" spans="1:12" s="93" customFormat="1" ht="16.2" x14ac:dyDescent="0.3">
      <c r="A21" s="97"/>
      <c r="B21" s="97"/>
      <c r="C21" s="97"/>
      <c r="D21" s="97"/>
      <c r="E21" s="97"/>
      <c r="F21" s="97"/>
      <c r="G21" s="97"/>
      <c r="H21" s="97"/>
    </row>
    <row r="22" spans="1:12" s="93" customFormat="1" ht="15.6" x14ac:dyDescent="0.3"/>
    <row r="23" spans="1:12" s="93" customFormat="1" ht="82.5" customHeight="1" x14ac:dyDescent="0.3">
      <c r="A23" s="159" t="str">
        <f ca="1">CONCATENATE("This is to certify that ", A2, (", "), C2, (" of United Commercial Bank PLC. received Tk."), TEXT(F2, "#,##0"), (".00"),("/-"), (" (Taka "),  NumberToTextBN(F2), (")"), (" only as fees for attending different meetings of the Committee of the Bank for the"), (" FY "), YEAR(H12)-1, ("-"), YEAR(H12), ("."))</f>
        <v>This is to certify that Associate Professor Dr. Mohammad Manjurur Rahman, Member, Shariah Supervisory Committee of United Commercial Bank PLC. received Tk.42,000.00/- (Taka Forty-Two Thousand) only as fees for attending different meetings of the Committee of the Bank for the FY 2025-2026.</v>
      </c>
      <c r="B23" s="159"/>
      <c r="C23" s="159"/>
      <c r="D23" s="159"/>
      <c r="E23" s="159"/>
      <c r="F23" s="159"/>
      <c r="G23" s="159"/>
      <c r="H23" s="159"/>
    </row>
    <row r="24" spans="1:12" s="93" customFormat="1" ht="16.2" x14ac:dyDescent="0.3">
      <c r="A24" s="98"/>
      <c r="B24" s="98"/>
      <c r="C24" s="98"/>
      <c r="D24" s="98"/>
      <c r="E24" s="98"/>
      <c r="F24" s="98"/>
      <c r="G24" s="98"/>
      <c r="H24" s="98"/>
    </row>
    <row r="25" spans="1:12" s="93" customFormat="1" ht="16.2" x14ac:dyDescent="0.3">
      <c r="A25" s="98"/>
      <c r="B25" s="98"/>
      <c r="C25" s="98"/>
      <c r="D25" s="98"/>
      <c r="E25" s="98"/>
      <c r="F25" s="98"/>
      <c r="G25" s="98"/>
      <c r="H25" s="98"/>
    </row>
    <row r="26" spans="1:12" s="93" customFormat="1" ht="103.5" customHeight="1" x14ac:dyDescent="0.3">
      <c r="A26" s="159" t="str">
        <f>CONCATENATE("It is to be mentioned here that an amount of Tk.", TEXT(G2, "#,##0"), (".00"),("/-"), (" (Taka "), NumberToTextBN(G2),(")"), (" only has been deducted at source from the aforesaid fees as per section 90 of Income Tax Act 2023 and Regulation 4 of TDS Rules 2023. Subsequently, the deducted tax has been deposited to the Government Exchequer through Treasury Challan"), (" ("), ("Challan enclosed"), (")."))</f>
        <v>It is to be mentioned here that an amount of Tk.4,200.00/- (Taka Four Thousand Two Hundred) only has been deducted at source from the aforesaid fees as per section 90 of Income Tax Act 2023 and Regulation 4 of TDS Rules 2023. Subsequently, the deducted tax has been deposited to the Government Exchequer through Treasury Challan (Challan enclosed).</v>
      </c>
      <c r="B26" s="159"/>
      <c r="C26" s="159"/>
      <c r="D26" s="159"/>
      <c r="E26" s="159"/>
      <c r="F26" s="159"/>
      <c r="G26" s="159"/>
      <c r="H26" s="159"/>
      <c r="L26" s="98"/>
    </row>
    <row r="27" spans="1:12" s="93" customFormat="1" ht="16.2" x14ac:dyDescent="0.3">
      <c r="A27" s="98"/>
      <c r="B27" s="98"/>
      <c r="C27" s="98"/>
      <c r="D27" s="98"/>
      <c r="E27" s="98"/>
      <c r="F27" s="98"/>
      <c r="G27" s="98"/>
      <c r="H27" s="98"/>
      <c r="L27" s="98"/>
    </row>
    <row r="28" spans="1:12" s="93" customFormat="1" ht="16.2" x14ac:dyDescent="0.3">
      <c r="A28" s="98"/>
      <c r="B28" s="98"/>
      <c r="C28" s="98"/>
      <c r="D28" s="98"/>
      <c r="E28" s="98"/>
      <c r="F28" s="98"/>
      <c r="G28" s="98"/>
      <c r="H28" s="98"/>
      <c r="L28" s="98"/>
    </row>
    <row r="29" spans="1:12" s="93" customFormat="1" ht="16.2" x14ac:dyDescent="0.3">
      <c r="A29" s="98"/>
      <c r="B29" s="98"/>
      <c r="C29" s="98"/>
      <c r="D29" s="98"/>
      <c r="E29" s="98"/>
      <c r="F29" s="98"/>
      <c r="G29" s="98"/>
      <c r="H29" s="98"/>
      <c r="L29" s="98"/>
    </row>
    <row r="30" spans="1:12" s="93" customFormat="1" ht="15.6" x14ac:dyDescent="0.3"/>
    <row r="31" spans="1:12" s="93" customFormat="1" ht="15.6" x14ac:dyDescent="0.3"/>
    <row r="32" spans="1:12" s="93" customFormat="1" ht="15.6" x14ac:dyDescent="0.3"/>
    <row r="33" spans="1:5" s="93" customFormat="1" ht="16.2" x14ac:dyDescent="0.3">
      <c r="A33" s="134"/>
      <c r="B33" s="134"/>
      <c r="C33" s="134"/>
    </row>
    <row r="34" spans="1:5" s="93" customFormat="1" ht="38.25" customHeight="1" x14ac:dyDescent="0.3">
      <c r="A34" s="166" t="s">
        <v>135</v>
      </c>
      <c r="B34" s="166"/>
      <c r="C34" s="166"/>
      <c r="D34" s="166"/>
    </row>
    <row r="35" spans="1:5" x14ac:dyDescent="0.3">
      <c r="A35" s="52"/>
      <c r="B35" s="52"/>
      <c r="C35" s="52"/>
      <c r="D35" s="52"/>
      <c r="E35" s="30"/>
    </row>
  </sheetData>
  <mergeCells count="9">
    <mergeCell ref="A26:H26"/>
    <mergeCell ref="A34:D34"/>
    <mergeCell ref="A2:B2"/>
    <mergeCell ref="C2:D2"/>
    <mergeCell ref="A1:B1"/>
    <mergeCell ref="C1:D1"/>
    <mergeCell ref="A12:F12"/>
    <mergeCell ref="A18:H18"/>
    <mergeCell ref="A23:H23"/>
  </mergeCells>
  <pageMargins left="0.86599999999999999" right="0.59" top="0.74803149606299202" bottom="0.74803149606299202" header="0.31496062992126" footer="0.31496062992126"/>
  <pageSetup paperSize="9" scale="93"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Summary!$A$4:$A$28</xm:f>
          </x14:formula1>
          <xm:sqref>A2:B2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dimension ref="B2:L28"/>
  <sheetViews>
    <sheetView workbookViewId="0"/>
  </sheetViews>
  <sheetFormatPr defaultRowHeight="14.4" x14ac:dyDescent="0.3"/>
  <sheetData>
    <row r="2" spans="2:12" x14ac:dyDescent="0.3">
      <c r="D2" t="s">
        <v>44</v>
      </c>
    </row>
    <row r="3" spans="2:12" x14ac:dyDescent="0.3">
      <c r="I3" t="str">
        <f ca="1">CONCATENATE("{", I4, "}")</f>
        <v>{"Q1'23", "Q2'23", "Q3'23", "Q4'23", "Q3'24", "Q4'24", "Q3'25", "Q4'25"}</v>
      </c>
    </row>
    <row r="4" spans="2:12" x14ac:dyDescent="0.3">
      <c r="I4" t="str">
        <f t="array" aca="1" ref="I4" ca="1">JOINTEXT(", ", 1, (OFFSET($L$4, COUNTA($L$5:$L$20), 0, -COUNTA($L$5:$L$20), 1)))</f>
        <v>"Q1'23", "Q2'23", "Q3'23", "Q4'23", "Q3'24", "Q4'24", "Q3'25", "Q4'25"</v>
      </c>
    </row>
    <row r="5" spans="2:12" ht="28.8" x14ac:dyDescent="0.3">
      <c r="B5" s="19" t="s">
        <v>0</v>
      </c>
      <c r="C5" s="20" t="s">
        <v>1</v>
      </c>
      <c r="D5" s="20" t="s">
        <v>2</v>
      </c>
      <c r="E5" s="21" t="s">
        <v>4</v>
      </c>
      <c r="F5" s="22" t="s">
        <v>3</v>
      </c>
      <c r="G5" s="23" t="s">
        <v>5</v>
      </c>
      <c r="I5" t="s">
        <v>95</v>
      </c>
      <c r="J5" t="str">
        <f>CONCATENATE(""", I5, """)</f>
        <v>", I5, "</v>
      </c>
      <c r="L5" t="str">
        <f>CONCATENATE("""", I5, """")</f>
        <v>"Q1'23"</v>
      </c>
    </row>
    <row r="6" spans="2:12" x14ac:dyDescent="0.3">
      <c r="B6" s="17" t="s">
        <v>7</v>
      </c>
      <c r="C6" s="14" t="s">
        <v>29</v>
      </c>
      <c r="D6" s="14">
        <v>446</v>
      </c>
      <c r="E6" s="15">
        <v>43856</v>
      </c>
      <c r="F6" s="16" t="s">
        <v>32</v>
      </c>
      <c r="G6" s="18">
        <v>1</v>
      </c>
      <c r="I6" t="s">
        <v>94</v>
      </c>
      <c r="L6" t="str">
        <f t="shared" ref="L6:L12" si="0">CONCATENATE("""", I6, """")</f>
        <v>"Q2'23"</v>
      </c>
    </row>
    <row r="7" spans="2:12" x14ac:dyDescent="0.3">
      <c r="B7" s="12" t="s">
        <v>8</v>
      </c>
      <c r="C7" s="1" t="s">
        <v>29</v>
      </c>
      <c r="D7" s="1">
        <v>446</v>
      </c>
      <c r="E7" s="4">
        <v>43856</v>
      </c>
      <c r="F7" s="2" t="s">
        <v>32</v>
      </c>
      <c r="G7" s="5">
        <v>1</v>
      </c>
      <c r="I7" t="s">
        <v>93</v>
      </c>
      <c r="L7" t="str">
        <f t="shared" si="0"/>
        <v>"Q3'23"</v>
      </c>
    </row>
    <row r="8" spans="2:12" x14ac:dyDescent="0.3">
      <c r="B8" s="17" t="s">
        <v>9</v>
      </c>
      <c r="C8" s="14" t="s">
        <v>29</v>
      </c>
      <c r="D8" s="14">
        <v>446</v>
      </c>
      <c r="E8" s="15">
        <v>43856</v>
      </c>
      <c r="F8" s="16" t="s">
        <v>32</v>
      </c>
      <c r="G8" s="18">
        <v>0</v>
      </c>
      <c r="I8" t="s">
        <v>92</v>
      </c>
      <c r="L8" t="str">
        <f t="shared" si="0"/>
        <v>"Q4'23"</v>
      </c>
    </row>
    <row r="9" spans="2:12" x14ac:dyDescent="0.3">
      <c r="B9" s="12" t="s">
        <v>20</v>
      </c>
      <c r="C9" s="1" t="s">
        <v>29</v>
      </c>
      <c r="D9" s="1">
        <v>446</v>
      </c>
      <c r="E9" s="4">
        <v>43856</v>
      </c>
      <c r="F9" s="2" t="s">
        <v>32</v>
      </c>
      <c r="G9" s="5">
        <v>1</v>
      </c>
      <c r="I9" t="s">
        <v>96</v>
      </c>
      <c r="L9" t="str">
        <f t="shared" si="0"/>
        <v>"Q3'24"</v>
      </c>
    </row>
    <row r="10" spans="2:12" x14ac:dyDescent="0.3">
      <c r="B10" s="17" t="s">
        <v>10</v>
      </c>
      <c r="C10" s="14" t="s">
        <v>29</v>
      </c>
      <c r="D10" s="14">
        <v>446</v>
      </c>
      <c r="E10" s="15">
        <v>43856</v>
      </c>
      <c r="F10" s="16" t="s">
        <v>32</v>
      </c>
      <c r="G10" s="18">
        <v>1</v>
      </c>
      <c r="I10" t="s">
        <v>97</v>
      </c>
      <c r="L10" t="str">
        <f t="shared" si="0"/>
        <v>"Q4'24"</v>
      </c>
    </row>
    <row r="11" spans="2:12" x14ac:dyDescent="0.3">
      <c r="B11" s="12" t="s">
        <v>11</v>
      </c>
      <c r="C11" s="1" t="s">
        <v>29</v>
      </c>
      <c r="D11" s="1">
        <v>446</v>
      </c>
      <c r="E11" s="4">
        <v>43856</v>
      </c>
      <c r="F11" s="2" t="s">
        <v>32</v>
      </c>
      <c r="G11" s="5">
        <v>1</v>
      </c>
      <c r="I11" t="s">
        <v>98</v>
      </c>
      <c r="L11" t="str">
        <f t="shared" si="0"/>
        <v>"Q3'25"</v>
      </c>
    </row>
    <row r="12" spans="2:12" x14ac:dyDescent="0.3">
      <c r="B12" s="17" t="s">
        <v>12</v>
      </c>
      <c r="C12" s="14" t="s">
        <v>29</v>
      </c>
      <c r="D12" s="14">
        <v>446</v>
      </c>
      <c r="E12" s="15">
        <v>43856</v>
      </c>
      <c r="F12" s="16" t="s">
        <v>32</v>
      </c>
      <c r="G12" s="18">
        <v>1</v>
      </c>
      <c r="I12" t="s">
        <v>99</v>
      </c>
      <c r="L12" t="str">
        <f t="shared" si="0"/>
        <v>"Q4'25"</v>
      </c>
    </row>
    <row r="13" spans="2:12" x14ac:dyDescent="0.3">
      <c r="B13" s="12" t="s">
        <v>19</v>
      </c>
      <c r="C13" s="1" t="s">
        <v>29</v>
      </c>
      <c r="D13" s="1">
        <v>446</v>
      </c>
      <c r="E13" s="4">
        <v>43856</v>
      </c>
      <c r="F13" s="2" t="s">
        <v>32</v>
      </c>
      <c r="G13" s="5">
        <v>1</v>
      </c>
    </row>
    <row r="14" spans="2:12" x14ac:dyDescent="0.3">
      <c r="B14" s="17" t="s">
        <v>13</v>
      </c>
      <c r="C14" s="14" t="s">
        <v>29</v>
      </c>
      <c r="D14" s="14">
        <v>446</v>
      </c>
      <c r="E14" s="15">
        <v>43856</v>
      </c>
      <c r="F14" s="16" t="s">
        <v>32</v>
      </c>
      <c r="G14" s="18">
        <v>0</v>
      </c>
    </row>
    <row r="15" spans="2:12" x14ac:dyDescent="0.3">
      <c r="B15" s="12" t="s">
        <v>22</v>
      </c>
      <c r="C15" s="1" t="s">
        <v>29</v>
      </c>
      <c r="D15" s="1">
        <v>446</v>
      </c>
      <c r="E15" s="4">
        <v>43856</v>
      </c>
      <c r="F15" s="2" t="s">
        <v>32</v>
      </c>
      <c r="G15" s="5">
        <v>1</v>
      </c>
    </row>
    <row r="16" spans="2:12" x14ac:dyDescent="0.3">
      <c r="B16" s="17" t="s">
        <v>23</v>
      </c>
      <c r="C16" s="14" t="s">
        <v>29</v>
      </c>
      <c r="D16" s="14">
        <v>446</v>
      </c>
      <c r="E16" s="15">
        <v>43856</v>
      </c>
      <c r="F16" s="16" t="s">
        <v>32</v>
      </c>
      <c r="G16" s="18">
        <v>1</v>
      </c>
    </row>
    <row r="17" spans="2:7" x14ac:dyDescent="0.3">
      <c r="B17" s="12" t="s">
        <v>24</v>
      </c>
      <c r="C17" s="1" t="s">
        <v>29</v>
      </c>
      <c r="D17" s="1">
        <v>446</v>
      </c>
      <c r="E17" s="4">
        <v>43856</v>
      </c>
      <c r="F17" s="2" t="s">
        <v>32</v>
      </c>
      <c r="G17" s="5">
        <v>1</v>
      </c>
    </row>
    <row r="18" spans="2:7" x14ac:dyDescent="0.3">
      <c r="B18" s="17" t="s">
        <v>21</v>
      </c>
      <c r="C18" s="14" t="s">
        <v>29</v>
      </c>
      <c r="D18" s="14">
        <v>446</v>
      </c>
      <c r="E18" s="15">
        <v>43856</v>
      </c>
      <c r="F18" s="16" t="s">
        <v>32</v>
      </c>
      <c r="G18" s="18">
        <v>1</v>
      </c>
    </row>
    <row r="19" spans="2:7" x14ac:dyDescent="0.3">
      <c r="B19" s="12" t="s">
        <v>25</v>
      </c>
      <c r="C19" s="1" t="s">
        <v>29</v>
      </c>
      <c r="D19" s="1">
        <v>446</v>
      </c>
      <c r="E19" s="4">
        <v>43856</v>
      </c>
      <c r="F19" s="2" t="s">
        <v>32</v>
      </c>
      <c r="G19" s="5">
        <v>0</v>
      </c>
    </row>
    <row r="20" spans="2:7" x14ac:dyDescent="0.3">
      <c r="B20" s="17" t="s">
        <v>26</v>
      </c>
      <c r="C20" s="14" t="s">
        <v>29</v>
      </c>
      <c r="D20" s="14">
        <v>446</v>
      </c>
      <c r="E20" s="15">
        <v>43856</v>
      </c>
      <c r="F20" s="16" t="s">
        <v>32</v>
      </c>
      <c r="G20" s="18">
        <v>1</v>
      </c>
    </row>
    <row r="21" spans="2:7" x14ac:dyDescent="0.3">
      <c r="B21" s="13" t="s">
        <v>42</v>
      </c>
      <c r="C21" s="7" t="s">
        <v>29</v>
      </c>
      <c r="D21" s="7">
        <v>446</v>
      </c>
      <c r="E21" s="8">
        <v>43856</v>
      </c>
      <c r="F21" s="11" t="s">
        <v>32</v>
      </c>
      <c r="G21" s="9">
        <v>1</v>
      </c>
    </row>
    <row r="22" spans="2:7" x14ac:dyDescent="0.3">
      <c r="B22" s="17" t="s">
        <v>24</v>
      </c>
      <c r="C22" s="14" t="s">
        <v>37</v>
      </c>
      <c r="D22" s="14">
        <v>113</v>
      </c>
      <c r="E22" s="15">
        <v>44151</v>
      </c>
      <c r="F22" s="16" t="s">
        <v>32</v>
      </c>
      <c r="G22" s="18">
        <v>1</v>
      </c>
    </row>
    <row r="23" spans="2:7" x14ac:dyDescent="0.3">
      <c r="B23" s="12" t="s">
        <v>21</v>
      </c>
      <c r="C23" s="1" t="s">
        <v>37</v>
      </c>
      <c r="D23" s="1">
        <v>113</v>
      </c>
      <c r="E23" s="4">
        <v>44151</v>
      </c>
      <c r="F23" s="2" t="s">
        <v>32</v>
      </c>
      <c r="G23" s="5">
        <v>0</v>
      </c>
    </row>
    <row r="24" spans="2:7" x14ac:dyDescent="0.3">
      <c r="B24" s="17" t="s">
        <v>18</v>
      </c>
      <c r="C24" s="14" t="s">
        <v>37</v>
      </c>
      <c r="D24" s="14">
        <v>113</v>
      </c>
      <c r="E24" s="15">
        <v>44151</v>
      </c>
      <c r="F24" s="16" t="s">
        <v>32</v>
      </c>
      <c r="G24" s="18">
        <v>1</v>
      </c>
    </row>
    <row r="25" spans="2:7" x14ac:dyDescent="0.3">
      <c r="B25" s="12" t="s">
        <v>27</v>
      </c>
      <c r="C25" s="1" t="s">
        <v>37</v>
      </c>
      <c r="D25" s="1">
        <v>113</v>
      </c>
      <c r="E25" s="4">
        <v>44151</v>
      </c>
      <c r="F25" s="2" t="s">
        <v>32</v>
      </c>
      <c r="G25" s="5">
        <v>0</v>
      </c>
    </row>
    <row r="26" spans="2:7" x14ac:dyDescent="0.3">
      <c r="B26" s="17" t="s">
        <v>23</v>
      </c>
      <c r="C26" s="14" t="s">
        <v>37</v>
      </c>
      <c r="D26" s="14">
        <v>114</v>
      </c>
      <c r="E26" s="15">
        <v>44192</v>
      </c>
      <c r="F26" s="16" t="s">
        <v>32</v>
      </c>
      <c r="G26" s="18">
        <v>1</v>
      </c>
    </row>
    <row r="27" spans="2:7" x14ac:dyDescent="0.3">
      <c r="B27" s="12" t="s">
        <v>24</v>
      </c>
      <c r="C27" s="1" t="s">
        <v>37</v>
      </c>
      <c r="D27" s="1">
        <v>114</v>
      </c>
      <c r="E27" s="4">
        <v>44192</v>
      </c>
      <c r="F27" s="2" t="s">
        <v>32</v>
      </c>
      <c r="G27" s="5">
        <v>1</v>
      </c>
    </row>
    <row r="28" spans="2:7" x14ac:dyDescent="0.3">
      <c r="B28" s="24" t="s">
        <v>21</v>
      </c>
      <c r="C28" s="25" t="s">
        <v>37</v>
      </c>
      <c r="D28" s="25">
        <v>114</v>
      </c>
      <c r="E28" s="26">
        <v>44192</v>
      </c>
      <c r="F28" s="27" t="s">
        <v>32</v>
      </c>
      <c r="G28" s="28">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72B20E-046D-4B32-9B70-26F7404C98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Raw Data</vt:lpstr>
      <vt:lpstr>Temp_Sheet</vt:lpstr>
      <vt:lpstr>Meeting Details</vt:lpstr>
      <vt:lpstr>Yearly Meeting</vt:lpstr>
      <vt:lpstr>Summary</vt:lpstr>
      <vt:lpstr>Meeting Attdnc</vt:lpstr>
      <vt:lpstr>Meeting Attdnc (Mail)</vt:lpstr>
      <vt:lpstr>Meeting Attdnc - Rough</vt:lpstr>
      <vt:lpstr>Meeting Attdnc all time</vt:lpstr>
      <vt:lpstr>Previous Director Till 2012</vt:lpstr>
      <vt:lpstr>Directors List 2015-2018</vt:lpstr>
      <vt:lpstr>Name &amp; Designation</vt:lpstr>
      <vt:lpstr>Tax Certificate D (2)</vt:lpstr>
      <vt:lpstr>Tax Certificate D</vt:lpstr>
      <vt:lpstr>Tax Certificate ID</vt:lpstr>
      <vt:lpstr>Tax Certificate (SSC Member)</vt:lpstr>
      <vt:lpstr>Sheet2</vt:lpstr>
      <vt:lpstr>'Meeting Details'!Criteria</vt:lpstr>
      <vt:lpstr>'Meeting Details'!Extract</vt:lpstr>
      <vt:lpstr>'Tax Certificate (SSC Member)'!Print_Area</vt:lpstr>
      <vt:lpstr>'Tax Certificate D'!Print_Area</vt:lpstr>
      <vt:lpstr>'Tax Certificate D (2)'!Print_Area</vt:lpstr>
      <vt:lpstr>'Tax Certificate ID'!Print_Area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Shafiq Hossain Sourav</cp:lastModifiedBy>
  <cp:lastPrinted>2024-10-09T08:13:44Z</cp:lastPrinted>
  <dcterms:created xsi:type="dcterms:W3CDTF">2015-06-05T18:17:20Z</dcterms:created>
  <dcterms:modified xsi:type="dcterms:W3CDTF">2026-06-26T18:26:11Z</dcterms:modified>
</cp:coreProperties>
</file>