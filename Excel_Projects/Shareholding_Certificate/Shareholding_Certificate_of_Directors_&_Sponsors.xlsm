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rive - mdshafathossain\Sample\"/>
    </mc:Choice>
  </mc:AlternateContent>
  <xr:revisionPtr revIDLastSave="0" documentId="13_ncr:1_{328FAF36-70B1-460C-A650-5CA937264B58}" xr6:coauthVersionLast="47" xr6:coauthVersionMax="47" xr10:uidLastSave="{00000000-0000-0000-0000-000000000000}"/>
  <bookViews>
    <workbookView xWindow="-108" yWindow="-108" windowWidth="23256" windowHeight="12456" firstSheet="4" activeTab="8" xr2:uid="{00000000-000D-0000-FFFF-FFFF00000000}"/>
  </bookViews>
  <sheets>
    <sheet name="Share Holding Position" sheetId="11" state="hidden" r:id="rId1"/>
    <sheet name="As per Family" sheetId="12" state="hidden" r:id="rId2"/>
    <sheet name="Own and Family" sheetId="15" state="hidden" r:id="rId3"/>
    <sheet name="Detail Up 1st July,2023" sheetId="10" r:id="rId4"/>
    <sheet name="Designation" sheetId="18" r:id="rId5"/>
    <sheet name="Summary" sheetId="16" r:id="rId6"/>
    <sheet name="certificate director" sheetId="17" r:id="rId7"/>
    <sheet name="certificate family Custom" sheetId="20" r:id="rId8"/>
    <sheet name="certificate family" sheetId="19" r:id="rId9"/>
    <sheet name="Calculation" sheetId="13" state="hidden" r:id="rId10"/>
    <sheet name="Workings" sheetId="14" state="hidden" r:id="rId11"/>
  </sheets>
  <functionGroups builtInGroupCount="19"/>
  <externalReferences>
    <externalReference r:id="rId12"/>
  </externalReferences>
  <definedNames>
    <definedName name="_xlnm._FilterDatabase" localSheetId="1" hidden="1">'As per Family'!$A$2:$DH$321</definedName>
    <definedName name="_xlnm._FilterDatabase" localSheetId="3" hidden="1">'Detail Up 1st July,2023'!$B$2:$I$120</definedName>
    <definedName name="OLE_LINK5" localSheetId="0">'Share Holding Position'!$J$46</definedName>
    <definedName name="_xlnm.Print_Area" localSheetId="6">'certificate director'!$A$8:$H$37</definedName>
    <definedName name="_xlnm.Print_Area" localSheetId="8">'certificate family'!$A$7:$H$36</definedName>
    <definedName name="_xlnm.Print_Area" localSheetId="7">'certificate family Custom'!$A$7:$H$36</definedName>
  </definedNames>
  <calcPr calcId="191029"/>
  <pivotCaches>
    <pivotCache cacheId="0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9" l="1"/>
  <c r="H14" i="20"/>
  <c r="A14" i="20" s="1"/>
  <c r="B91" i="10" l="1"/>
  <c r="D91" i="10" s="1"/>
  <c r="J91" i="10"/>
  <c r="E1" i="16" a="1"/>
  <c r="E1" i="16" l="1"/>
  <c r="H15" i="17"/>
  <c r="B89" i="10" l="1"/>
  <c r="D89" i="10" s="1"/>
  <c r="B90" i="10"/>
  <c r="D90" i="10" s="1"/>
  <c r="J89" i="10"/>
  <c r="J90" i="10"/>
  <c r="D77" i="10" l="1"/>
  <c r="J77" i="10"/>
  <c r="D78" i="10"/>
  <c r="J78" i="10"/>
  <c r="D86" i="10" l="1"/>
  <c r="J86" i="10"/>
  <c r="C1" i="16" l="1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9" i="10"/>
  <c r="D80" i="10"/>
  <c r="D81" i="10"/>
  <c r="D82" i="10"/>
  <c r="D83" i="10"/>
  <c r="D84" i="10"/>
  <c r="D85" i="10"/>
  <c r="D87" i="10"/>
  <c r="D88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J3" i="10" l="1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9" i="10"/>
  <c r="J80" i="10"/>
  <c r="J81" i="10"/>
  <c r="J82" i="10"/>
  <c r="J83" i="10"/>
  <c r="J84" i="10"/>
  <c r="J85" i="10"/>
  <c r="J87" i="10"/>
  <c r="J88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E2" i="16" l="1"/>
  <c r="E3" i="16" l="1"/>
  <c r="A15" i="17"/>
  <c r="A14" i="19"/>
  <c r="A25" i="20"/>
  <c r="A25" i="19"/>
  <c r="A26" i="17"/>
  <c r="H93" i="10" l="1"/>
  <c r="H94" i="10"/>
  <c r="H97" i="10"/>
  <c r="H98" i="10"/>
  <c r="L81" i="15" l="1"/>
  <c r="M81" i="15" s="1"/>
  <c r="L82" i="15"/>
  <c r="M82" i="15" s="1"/>
  <c r="L83" i="15"/>
  <c r="M83" i="15" s="1"/>
  <c r="L84" i="15"/>
  <c r="M84" i="15" s="1"/>
  <c r="L85" i="15"/>
  <c r="M85" i="15" s="1"/>
  <c r="L86" i="15"/>
  <c r="M86" i="15" s="1"/>
  <c r="L80" i="15"/>
  <c r="M80" i="15" s="1"/>
  <c r="K72" i="15"/>
  <c r="K19" i="15"/>
  <c r="M87" i="15" l="1"/>
  <c r="G59" i="14"/>
  <c r="H59" i="14" s="1"/>
  <c r="M59" i="14"/>
  <c r="G60" i="14"/>
  <c r="H60" i="14" s="1"/>
  <c r="J60" i="14" s="1"/>
  <c r="M60" i="14"/>
  <c r="G61" i="14"/>
  <c r="M61" i="14"/>
  <c r="G62" i="14"/>
  <c r="H62" i="14" s="1"/>
  <c r="M62" i="14"/>
  <c r="G63" i="14"/>
  <c r="H63" i="14" s="1"/>
  <c r="M63" i="14"/>
  <c r="G64" i="14"/>
  <c r="H64" i="14" s="1"/>
  <c r="M64" i="14"/>
  <c r="G65" i="14"/>
  <c r="H65" i="14" s="1"/>
  <c r="J65" i="14" s="1"/>
  <c r="M65" i="14"/>
  <c r="F66" i="14"/>
  <c r="I66" i="14"/>
  <c r="L66" i="14"/>
  <c r="G66" i="14" l="1"/>
  <c r="H61" i="14"/>
  <c r="J61" i="14" s="1"/>
  <c r="K60" i="14"/>
  <c r="M66" i="14"/>
  <c r="J64" i="14"/>
  <c r="K64" i="14" s="1"/>
  <c r="H66" i="14"/>
  <c r="J59" i="14"/>
  <c r="J63" i="14"/>
  <c r="K63" i="14" s="1"/>
  <c r="J62" i="14"/>
  <c r="K62" i="14" s="1"/>
  <c r="K65" i="14"/>
  <c r="K61" i="14"/>
  <c r="L75" i="15"/>
  <c r="M75" i="15" s="1"/>
  <c r="L74" i="15"/>
  <c r="M74" i="15" s="1"/>
  <c r="L73" i="15"/>
  <c r="M73" i="15" s="1"/>
  <c r="L72" i="15"/>
  <c r="M72" i="15" s="1"/>
  <c r="L71" i="15"/>
  <c r="M71" i="15" s="1"/>
  <c r="L70" i="15"/>
  <c r="M70" i="15" s="1"/>
  <c r="L69" i="15"/>
  <c r="M69" i="15" s="1"/>
  <c r="L68" i="15"/>
  <c r="M68" i="15" s="1"/>
  <c r="L67" i="15"/>
  <c r="M67" i="15" s="1"/>
  <c r="L66" i="15"/>
  <c r="M66" i="15" s="1"/>
  <c r="L65" i="15"/>
  <c r="M65" i="15" s="1"/>
  <c r="L60" i="15"/>
  <c r="M60" i="15" s="1"/>
  <c r="L59" i="15"/>
  <c r="M59" i="15" s="1"/>
  <c r="L58" i="15"/>
  <c r="M58" i="15" s="1"/>
  <c r="L57" i="15"/>
  <c r="M57" i="15" s="1"/>
  <c r="L56" i="15"/>
  <c r="M56" i="15" s="1"/>
  <c r="L55" i="15"/>
  <c r="M55" i="15" s="1"/>
  <c r="L54" i="15"/>
  <c r="M54" i="15" s="1"/>
  <c r="L53" i="15"/>
  <c r="M53" i="15" s="1"/>
  <c r="L52" i="15"/>
  <c r="M52" i="15" s="1"/>
  <c r="L51" i="15"/>
  <c r="M51" i="15" s="1"/>
  <c r="L50" i="15"/>
  <c r="M50" i="15" s="1"/>
  <c r="L49" i="15"/>
  <c r="M49" i="15" s="1"/>
  <c r="L48" i="15"/>
  <c r="M48" i="15" s="1"/>
  <c r="L47" i="15"/>
  <c r="M47" i="15" s="1"/>
  <c r="L46" i="15"/>
  <c r="M46" i="15" s="1"/>
  <c r="L45" i="15"/>
  <c r="M45" i="15" s="1"/>
  <c r="L44" i="15"/>
  <c r="M44" i="15" s="1"/>
  <c r="L43" i="15"/>
  <c r="M43" i="15" s="1"/>
  <c r="L42" i="15"/>
  <c r="M42" i="15" s="1"/>
  <c r="L41" i="15"/>
  <c r="M41" i="15" s="1"/>
  <c r="L40" i="15"/>
  <c r="M40" i="15" s="1"/>
  <c r="L39" i="15"/>
  <c r="M39" i="15" s="1"/>
  <c r="L38" i="15"/>
  <c r="M38" i="15" s="1"/>
  <c r="L37" i="15"/>
  <c r="M37" i="15" s="1"/>
  <c r="L36" i="15"/>
  <c r="M36" i="15" s="1"/>
  <c r="L35" i="15"/>
  <c r="M35" i="15" s="1"/>
  <c r="L34" i="15"/>
  <c r="M34" i="15" s="1"/>
  <c r="L33" i="15"/>
  <c r="M33" i="15" s="1"/>
  <c r="L29" i="15"/>
  <c r="M29" i="15" s="1"/>
  <c r="L28" i="15"/>
  <c r="M28" i="15" s="1"/>
  <c r="L27" i="15"/>
  <c r="M27" i="15" s="1"/>
  <c r="L26" i="15"/>
  <c r="M26" i="15" s="1"/>
  <c r="L25" i="15"/>
  <c r="M25" i="15" s="1"/>
  <c r="L24" i="15"/>
  <c r="M24" i="15" s="1"/>
  <c r="L23" i="15"/>
  <c r="M23" i="15" s="1"/>
  <c r="L22" i="15"/>
  <c r="M22" i="15" s="1"/>
  <c r="L21" i="15"/>
  <c r="M21" i="15" s="1"/>
  <c r="L20" i="15"/>
  <c r="M20" i="15" s="1"/>
  <c r="L19" i="15"/>
  <c r="M19" i="15" s="1"/>
  <c r="L15" i="15"/>
  <c r="M15" i="15" s="1"/>
  <c r="L14" i="15"/>
  <c r="M14" i="15" s="1"/>
  <c r="L13" i="15"/>
  <c r="M13" i="15" s="1"/>
  <c r="L12" i="15"/>
  <c r="M12" i="15" s="1"/>
  <c r="L11" i="15"/>
  <c r="M11" i="15" s="1"/>
  <c r="L10" i="15"/>
  <c r="M10" i="15" s="1"/>
  <c r="L9" i="15"/>
  <c r="M9" i="15" s="1"/>
  <c r="L8" i="15"/>
  <c r="M8" i="15" s="1"/>
  <c r="L5" i="15"/>
  <c r="M5" i="15" s="1"/>
  <c r="L4" i="15"/>
  <c r="M4" i="15" s="1"/>
  <c r="J66" i="14" l="1"/>
  <c r="K59" i="14"/>
  <c r="K66" i="14" s="1"/>
  <c r="M61" i="15"/>
  <c r="M6" i="15"/>
  <c r="M16" i="15"/>
  <c r="M76" i="15"/>
  <c r="M30" i="15"/>
  <c r="L50" i="11"/>
  <c r="K49" i="11"/>
  <c r="K50" i="11" s="1"/>
  <c r="C48" i="11"/>
  <c r="AT8" i="11"/>
  <c r="AT7" i="11"/>
  <c r="GV22" i="13"/>
  <c r="AT10" i="11" s="1"/>
  <c r="GX14" i="13"/>
  <c r="AT9" i="11" s="1"/>
  <c r="GX6" i="13"/>
  <c r="GY256" i="12"/>
  <c r="GY255" i="12"/>
  <c r="GY249" i="12"/>
  <c r="GY248" i="12"/>
  <c r="GY147" i="12"/>
  <c r="GY106" i="12"/>
  <c r="GX22" i="13" l="1"/>
  <c r="GX23" i="13" s="1"/>
  <c r="AT6" i="11"/>
  <c r="AT11" i="11" s="1"/>
  <c r="GY286" i="12"/>
  <c r="GX286" i="12"/>
  <c r="GW286" i="12"/>
  <c r="GZ285" i="12"/>
  <c r="GZ284" i="12"/>
  <c r="GY275" i="12"/>
  <c r="GX275" i="12"/>
  <c r="GW275" i="12"/>
  <c r="GZ274" i="12"/>
  <c r="GZ275" i="12" s="1"/>
  <c r="GY269" i="12"/>
  <c r="GX269" i="12"/>
  <c r="GW269" i="12"/>
  <c r="GZ268" i="12"/>
  <c r="HA268" i="12" s="1"/>
  <c r="GZ267" i="12"/>
  <c r="GZ266" i="12"/>
  <c r="GZ265" i="12"/>
  <c r="GZ264" i="12"/>
  <c r="HA264" i="12" s="1"/>
  <c r="GZ263" i="12"/>
  <c r="GX258" i="12"/>
  <c r="GW258" i="12"/>
  <c r="GZ257" i="12"/>
  <c r="GZ256" i="12"/>
  <c r="GZ255" i="12"/>
  <c r="GZ254" i="12"/>
  <c r="GZ253" i="12"/>
  <c r="GZ252" i="12"/>
  <c r="GZ251" i="12"/>
  <c r="HA251" i="12" s="1"/>
  <c r="GZ250" i="12"/>
  <c r="GZ249" i="12"/>
  <c r="GZ248" i="12"/>
  <c r="GY258" i="12"/>
  <c r="GZ242" i="12"/>
  <c r="HA242" i="12" s="1"/>
  <c r="GZ241" i="12"/>
  <c r="GZ240" i="12"/>
  <c r="GZ239" i="12"/>
  <c r="GZ238" i="12"/>
  <c r="HA238" i="12" s="1"/>
  <c r="GZ237" i="12"/>
  <c r="HA237" i="12" s="1"/>
  <c r="GZ236" i="12"/>
  <c r="GZ235" i="12"/>
  <c r="GZ229" i="12"/>
  <c r="GZ228" i="12"/>
  <c r="HA228" i="12" s="1"/>
  <c r="GZ227" i="12"/>
  <c r="GZ226" i="12"/>
  <c r="GZ225" i="12"/>
  <c r="GZ224" i="12"/>
  <c r="GZ223" i="12"/>
  <c r="HA223" i="12" s="1"/>
  <c r="GZ222" i="12"/>
  <c r="HA222" i="12" s="1"/>
  <c r="GZ221" i="12"/>
  <c r="GZ220" i="12"/>
  <c r="GZ219" i="12"/>
  <c r="HA219" i="12" s="1"/>
  <c r="GZ218" i="12"/>
  <c r="GZ217" i="12"/>
  <c r="GY212" i="12"/>
  <c r="GY230" i="12" s="1"/>
  <c r="GY243" i="12" s="1"/>
  <c r="GX212" i="12"/>
  <c r="GX230" i="12" s="1"/>
  <c r="GX243" i="12" s="1"/>
  <c r="GW212" i="12"/>
  <c r="GW230" i="12" s="1"/>
  <c r="GW243" i="12" s="1"/>
  <c r="GZ211" i="12"/>
  <c r="GZ210" i="12"/>
  <c r="GZ209" i="12"/>
  <c r="GZ208" i="12"/>
  <c r="GZ207" i="12"/>
  <c r="GZ206" i="12"/>
  <c r="GY201" i="12"/>
  <c r="GX201" i="12"/>
  <c r="GW201" i="12"/>
  <c r="GZ200" i="12"/>
  <c r="GZ199" i="12"/>
  <c r="GY194" i="12"/>
  <c r="GX194" i="12"/>
  <c r="GW194" i="12"/>
  <c r="GZ193" i="12"/>
  <c r="GZ192" i="12"/>
  <c r="GZ191" i="12"/>
  <c r="HA191" i="12" s="1"/>
  <c r="GZ190" i="12"/>
  <c r="HA190" i="12" s="1"/>
  <c r="GZ189" i="12"/>
  <c r="GZ188" i="12"/>
  <c r="GZ187" i="12"/>
  <c r="GZ186" i="12"/>
  <c r="GY181" i="12"/>
  <c r="GX181" i="12"/>
  <c r="GW181" i="12"/>
  <c r="GZ180" i="12"/>
  <c r="GZ179" i="12"/>
  <c r="GZ178" i="12"/>
  <c r="HA178" i="12" s="1"/>
  <c r="GZ177" i="12"/>
  <c r="GZ176" i="12"/>
  <c r="HA176" i="12" s="1"/>
  <c r="GZ175" i="12"/>
  <c r="HA175" i="12" s="1"/>
  <c r="GZ174" i="12"/>
  <c r="GZ173" i="12"/>
  <c r="GZ172" i="12"/>
  <c r="GZ171" i="12"/>
  <c r="HA171" i="12" s="1"/>
  <c r="GY166" i="12"/>
  <c r="GX166" i="12"/>
  <c r="GW166" i="12"/>
  <c r="GZ165" i="12"/>
  <c r="GZ164" i="12"/>
  <c r="HA164" i="12" s="1"/>
  <c r="GZ163" i="12"/>
  <c r="HA163" i="12" s="1"/>
  <c r="GZ162" i="12"/>
  <c r="GZ161" i="12"/>
  <c r="HA161" i="12" s="1"/>
  <c r="GZ160" i="12"/>
  <c r="GZ159" i="12"/>
  <c r="HA159" i="12" s="1"/>
  <c r="GY154" i="12"/>
  <c r="GX154" i="12"/>
  <c r="GW154" i="12"/>
  <c r="GZ153" i="12"/>
  <c r="GZ152" i="12"/>
  <c r="GZ151" i="12"/>
  <c r="GZ150" i="12"/>
  <c r="GZ149" i="12"/>
  <c r="GZ148" i="12"/>
  <c r="GZ147" i="12"/>
  <c r="GY142" i="12"/>
  <c r="GX142" i="12"/>
  <c r="GW142" i="12"/>
  <c r="GZ141" i="12"/>
  <c r="GZ140" i="12"/>
  <c r="GZ139" i="12"/>
  <c r="GZ138" i="12"/>
  <c r="HA138" i="12" s="1"/>
  <c r="GZ137" i="12"/>
  <c r="HA137" i="12" s="1"/>
  <c r="GZ136" i="12"/>
  <c r="GZ135" i="12"/>
  <c r="GZ134" i="12"/>
  <c r="GZ133" i="12"/>
  <c r="HA133" i="12" s="1"/>
  <c r="GY128" i="12"/>
  <c r="GX128" i="12"/>
  <c r="GW128" i="12"/>
  <c r="GZ127" i="12"/>
  <c r="HA127" i="12" s="1"/>
  <c r="GZ126" i="12"/>
  <c r="GZ125" i="12"/>
  <c r="GZ124" i="12"/>
  <c r="GZ123" i="12"/>
  <c r="HA123" i="12" s="1"/>
  <c r="GZ122" i="12"/>
  <c r="GZ121" i="12"/>
  <c r="GY116" i="12"/>
  <c r="GX116" i="12"/>
  <c r="GW116" i="12"/>
  <c r="GZ115" i="12"/>
  <c r="GZ114" i="12"/>
  <c r="GY109" i="12"/>
  <c r="GX109" i="12"/>
  <c r="GW109" i="12"/>
  <c r="GZ107" i="12"/>
  <c r="GZ106" i="12"/>
  <c r="GZ105" i="12"/>
  <c r="GY101" i="12"/>
  <c r="GX101" i="12"/>
  <c r="GW101" i="12"/>
  <c r="GZ99" i="12"/>
  <c r="GZ98" i="12"/>
  <c r="GZ97" i="12"/>
  <c r="GY92" i="12"/>
  <c r="GX92" i="12"/>
  <c r="GW92" i="12"/>
  <c r="GZ91" i="12"/>
  <c r="GZ90" i="12"/>
  <c r="GZ89" i="12"/>
  <c r="GZ88" i="12"/>
  <c r="HA88" i="12" s="1"/>
  <c r="GY83" i="12"/>
  <c r="GX83" i="12"/>
  <c r="GW83" i="12"/>
  <c r="GZ82" i="12"/>
  <c r="GZ81" i="12"/>
  <c r="HA81" i="12" s="1"/>
  <c r="GZ80" i="12"/>
  <c r="GZ79" i="12"/>
  <c r="GZ78" i="12"/>
  <c r="GZ77" i="12"/>
  <c r="HA77" i="12" s="1"/>
  <c r="GZ76" i="12"/>
  <c r="HA76" i="12" s="1"/>
  <c r="GZ75" i="12"/>
  <c r="HA75" i="12" s="1"/>
  <c r="GZ74" i="12"/>
  <c r="GZ73" i="12"/>
  <c r="HA73" i="12" s="1"/>
  <c r="GZ72" i="12"/>
  <c r="HA72" i="12" s="1"/>
  <c r="GZ71" i="12"/>
  <c r="GZ70" i="12"/>
  <c r="GZ69" i="12"/>
  <c r="HA69" i="12" s="1"/>
  <c r="GZ68" i="12"/>
  <c r="HA68" i="12" s="1"/>
  <c r="GZ67" i="12"/>
  <c r="GZ66" i="12"/>
  <c r="GZ65" i="12"/>
  <c r="GZ64" i="12"/>
  <c r="HA64" i="12" s="1"/>
  <c r="GZ63" i="12"/>
  <c r="GZ62" i="12"/>
  <c r="GZ61" i="12"/>
  <c r="GZ60" i="12"/>
  <c r="HA60" i="12" s="1"/>
  <c r="GZ59" i="12"/>
  <c r="GZ58" i="12"/>
  <c r="GZ57" i="12"/>
  <c r="GZ56" i="12"/>
  <c r="HA56" i="12" s="1"/>
  <c r="GZ55" i="12"/>
  <c r="GY51" i="12"/>
  <c r="GX51" i="12"/>
  <c r="GW51" i="12"/>
  <c r="GZ49" i="12"/>
  <c r="HA49" i="12" s="1"/>
  <c r="GZ48" i="12"/>
  <c r="GZ47" i="12"/>
  <c r="GY42" i="12"/>
  <c r="GX42" i="12"/>
  <c r="GW42" i="12"/>
  <c r="GZ41" i="12"/>
  <c r="GZ40" i="12"/>
  <c r="GY30" i="12"/>
  <c r="GX30" i="12"/>
  <c r="GW30" i="12"/>
  <c r="GZ29" i="12"/>
  <c r="GZ28" i="12"/>
  <c r="GY24" i="12"/>
  <c r="GX24" i="12"/>
  <c r="GW24" i="12"/>
  <c r="GZ23" i="12"/>
  <c r="GZ22" i="12"/>
  <c r="GZ21" i="12"/>
  <c r="GZ20" i="12"/>
  <c r="HA20" i="12" s="1"/>
  <c r="GY15" i="12"/>
  <c r="GX15" i="12"/>
  <c r="GW15" i="12"/>
  <c r="GZ14" i="12"/>
  <c r="GZ13" i="12"/>
  <c r="HA13" i="12" s="1"/>
  <c r="GZ12" i="12"/>
  <c r="GZ11" i="12"/>
  <c r="GZ10" i="12"/>
  <c r="GZ9" i="12"/>
  <c r="HA9" i="12" s="1"/>
  <c r="GZ8" i="12"/>
  <c r="GZ7" i="12"/>
  <c r="GZ6" i="12"/>
  <c r="GZ5" i="12"/>
  <c r="HA5" i="12" s="1"/>
  <c r="GZ4" i="12"/>
  <c r="HA165" i="12" l="1"/>
  <c r="HA180" i="12"/>
  <c r="HA189" i="12"/>
  <c r="HA218" i="12"/>
  <c r="HA227" i="12"/>
  <c r="HA252" i="12"/>
  <c r="HA126" i="12"/>
  <c r="HA200" i="12"/>
  <c r="HA250" i="12"/>
  <c r="HA257" i="12"/>
  <c r="HA97" i="12"/>
  <c r="HA179" i="12"/>
  <c r="HA187" i="12"/>
  <c r="HA239" i="12"/>
  <c r="GZ194" i="12"/>
  <c r="HA186" i="12"/>
  <c r="HA193" i="12"/>
  <c r="HA211" i="12"/>
  <c r="HA255" i="12"/>
  <c r="HA285" i="12"/>
  <c r="HA241" i="12"/>
  <c r="HA235" i="12"/>
  <c r="HA209" i="12"/>
  <c r="HA174" i="12"/>
  <c r="HA153" i="12"/>
  <c r="HA149" i="12"/>
  <c r="HA141" i="12"/>
  <c r="HA139" i="12"/>
  <c r="HA135" i="12"/>
  <c r="GZ128" i="12"/>
  <c r="HA115" i="12"/>
  <c r="HA71" i="12"/>
  <c r="HA48" i="12"/>
  <c r="GZ15" i="12"/>
  <c r="HA4" i="12"/>
  <c r="HA6" i="12"/>
  <c r="HA8" i="12"/>
  <c r="HA10" i="12"/>
  <c r="HA12" i="12"/>
  <c r="HA14" i="12"/>
  <c r="HA23" i="12"/>
  <c r="HA21" i="12"/>
  <c r="HA29" i="12"/>
  <c r="HA41" i="12"/>
  <c r="HA55" i="12"/>
  <c r="HA57" i="12"/>
  <c r="HA59" i="12"/>
  <c r="HA61" i="12"/>
  <c r="HA63" i="12"/>
  <c r="HA65" i="12"/>
  <c r="HA67" i="12"/>
  <c r="HA80" i="12"/>
  <c r="HA89" i="12"/>
  <c r="HA91" i="12"/>
  <c r="GZ92" i="12"/>
  <c r="HA90" i="12"/>
  <c r="HA98" i="12"/>
  <c r="GZ109" i="12"/>
  <c r="HA105" i="12"/>
  <c r="HA122" i="12"/>
  <c r="HA124" i="12"/>
  <c r="HA134" i="12"/>
  <c r="HA148" i="12"/>
  <c r="HA150" i="12"/>
  <c r="HA152" i="12"/>
  <c r="GZ154" i="12"/>
  <c r="HA160" i="12"/>
  <c r="GZ166" i="12"/>
  <c r="GZ181" i="12"/>
  <c r="HA172" i="12"/>
  <c r="HA208" i="12"/>
  <c r="HA207" i="12"/>
  <c r="HA220" i="12"/>
  <c r="HA224" i="12"/>
  <c r="HA226" i="12"/>
  <c r="HA254" i="12"/>
  <c r="HA263" i="12"/>
  <c r="HA265" i="12"/>
  <c r="HA267" i="12"/>
  <c r="GZ269" i="12"/>
  <c r="HA274" i="12"/>
  <c r="HA275" i="12" s="1"/>
  <c r="GZ51" i="12"/>
  <c r="GZ116" i="12"/>
  <c r="HA114" i="12"/>
  <c r="HA229" i="12"/>
  <c r="HA7" i="12"/>
  <c r="HA11" i="12"/>
  <c r="HA22" i="12"/>
  <c r="GZ24" i="12"/>
  <c r="HA28" i="12"/>
  <c r="GZ30" i="12"/>
  <c r="HA40" i="12"/>
  <c r="HA42" i="12" s="1"/>
  <c r="GZ42" i="12"/>
  <c r="HA47" i="12"/>
  <c r="HA58" i="12"/>
  <c r="HA62" i="12"/>
  <c r="HA66" i="12"/>
  <c r="HA70" i="12"/>
  <c r="HA74" i="12"/>
  <c r="HA79" i="12"/>
  <c r="HA82" i="12"/>
  <c r="HA106" i="12"/>
  <c r="GZ142" i="12"/>
  <c r="HA136" i="12"/>
  <c r="HA151" i="12"/>
  <c r="GZ201" i="12"/>
  <c r="HA199" i="12"/>
  <c r="HA248" i="12"/>
  <c r="HA256" i="12"/>
  <c r="HA99" i="12"/>
  <c r="GZ101" i="12"/>
  <c r="HA121" i="12"/>
  <c r="HA140" i="12"/>
  <c r="HA173" i="12"/>
  <c r="HA188" i="12"/>
  <c r="HA217" i="12"/>
  <c r="HA236" i="12"/>
  <c r="HA240" i="12"/>
  <c r="GZ258" i="12"/>
  <c r="GZ286" i="12"/>
  <c r="HA284" i="12"/>
  <c r="HA147" i="12"/>
  <c r="HA210" i="12"/>
  <c r="HA225" i="12"/>
  <c r="GZ83" i="12"/>
  <c r="HA78" i="12"/>
  <c r="HA107" i="12"/>
  <c r="HA125" i="12"/>
  <c r="HA162" i="12"/>
  <c r="HA177" i="12"/>
  <c r="HA192" i="12"/>
  <c r="GZ212" i="12"/>
  <c r="GZ230" i="12" s="1"/>
  <c r="GZ243" i="12" s="1"/>
  <c r="HA206" i="12"/>
  <c r="HA221" i="12"/>
  <c r="HA249" i="12"/>
  <c r="HA253" i="12"/>
  <c r="HA266" i="12"/>
  <c r="AK115" i="15"/>
  <c r="AH115" i="15"/>
  <c r="AE115" i="15"/>
  <c r="AL114" i="15"/>
  <c r="AF114" i="15"/>
  <c r="AG114" i="15" s="1"/>
  <c r="AL113" i="15"/>
  <c r="AF113" i="15"/>
  <c r="AG113" i="15" s="1"/>
  <c r="AL112" i="15"/>
  <c r="AF112" i="15"/>
  <c r="AG112" i="15" s="1"/>
  <c r="AI112" i="15" s="1"/>
  <c r="AJ112" i="15" s="1"/>
  <c r="AL111" i="15"/>
  <c r="AF111" i="15"/>
  <c r="AG111" i="15" s="1"/>
  <c r="AL110" i="15"/>
  <c r="AF110" i="15"/>
  <c r="AG110" i="15" s="1"/>
  <c r="AI110" i="15" s="1"/>
  <c r="AJ110" i="15" s="1"/>
  <c r="AL109" i="15"/>
  <c r="AF109" i="15"/>
  <c r="AG109" i="15" s="1"/>
  <c r="AL108" i="15"/>
  <c r="AF108" i="15"/>
  <c r="AG108" i="15" s="1"/>
  <c r="AI108" i="15" s="1"/>
  <c r="HA201" i="12" l="1"/>
  <c r="HA101" i="12"/>
  <c r="HA109" i="12"/>
  <c r="HA166" i="12"/>
  <c r="HA286" i="12"/>
  <c r="HA194" i="12"/>
  <c r="HA51" i="12"/>
  <c r="HA30" i="12"/>
  <c r="HA116" i="12"/>
  <c r="HA92" i="12"/>
  <c r="HA24" i="12"/>
  <c r="HA15" i="12"/>
  <c r="HA83" i="12"/>
  <c r="HA142" i="12"/>
  <c r="HA269" i="12"/>
  <c r="HA212" i="12"/>
  <c r="HA230" i="12" s="1"/>
  <c r="HA243" i="12" s="1"/>
  <c r="HA181" i="12"/>
  <c r="HA258" i="12"/>
  <c r="HA154" i="12"/>
  <c r="HA128" i="12"/>
  <c r="AL115" i="15"/>
  <c r="AF115" i="15"/>
  <c r="AJ108" i="15"/>
  <c r="AI113" i="15"/>
  <c r="AJ113" i="15" s="1"/>
  <c r="AI109" i="15"/>
  <c r="AJ109" i="15" s="1"/>
  <c r="AI111" i="15"/>
  <c r="AJ111" i="15" s="1"/>
  <c r="AI114" i="15"/>
  <c r="AJ114" i="15" s="1"/>
  <c r="AG115" i="15"/>
  <c r="AI115" i="15" l="1"/>
  <c r="AJ115" i="15"/>
  <c r="G75" i="15"/>
  <c r="H75" i="15" s="1"/>
  <c r="G74" i="15"/>
  <c r="H74" i="15" s="1"/>
  <c r="G73" i="15"/>
  <c r="H73" i="15" s="1"/>
  <c r="G72" i="15"/>
  <c r="H72" i="15" s="1"/>
  <c r="G71" i="15"/>
  <c r="H71" i="15" s="1"/>
  <c r="G70" i="15"/>
  <c r="H70" i="15" s="1"/>
  <c r="G69" i="15"/>
  <c r="H69" i="15" s="1"/>
  <c r="G68" i="15"/>
  <c r="H68" i="15" s="1"/>
  <c r="G67" i="15"/>
  <c r="H67" i="15" s="1"/>
  <c r="G66" i="15"/>
  <c r="H66" i="15" s="1"/>
  <c r="G65" i="15"/>
  <c r="H65" i="15" s="1"/>
  <c r="G60" i="15"/>
  <c r="H60" i="15" s="1"/>
  <c r="G59" i="15"/>
  <c r="H59" i="15" s="1"/>
  <c r="G58" i="15"/>
  <c r="H58" i="15" s="1"/>
  <c r="G57" i="15"/>
  <c r="H57" i="15" s="1"/>
  <c r="G56" i="15"/>
  <c r="H56" i="15" s="1"/>
  <c r="G55" i="15"/>
  <c r="H55" i="15" s="1"/>
  <c r="G54" i="15"/>
  <c r="H54" i="15" s="1"/>
  <c r="G53" i="15"/>
  <c r="H53" i="15" s="1"/>
  <c r="G52" i="15"/>
  <c r="H52" i="15" s="1"/>
  <c r="G51" i="15"/>
  <c r="H51" i="15" s="1"/>
  <c r="G50" i="15"/>
  <c r="H50" i="15" s="1"/>
  <c r="G49" i="15"/>
  <c r="H49" i="15" s="1"/>
  <c r="G48" i="15"/>
  <c r="H48" i="15" s="1"/>
  <c r="G47" i="15"/>
  <c r="H47" i="15" s="1"/>
  <c r="G46" i="15"/>
  <c r="H46" i="15" s="1"/>
  <c r="G45" i="15"/>
  <c r="H45" i="15" s="1"/>
  <c r="G44" i="15"/>
  <c r="H44" i="15" s="1"/>
  <c r="G43" i="15"/>
  <c r="H43" i="15" s="1"/>
  <c r="G42" i="15"/>
  <c r="H42" i="15" s="1"/>
  <c r="G41" i="15"/>
  <c r="H41" i="15" s="1"/>
  <c r="G40" i="15"/>
  <c r="H40" i="15" s="1"/>
  <c r="G39" i="15"/>
  <c r="H39" i="15" s="1"/>
  <c r="G38" i="15"/>
  <c r="H38" i="15" s="1"/>
  <c r="G37" i="15"/>
  <c r="H37" i="15" s="1"/>
  <c r="G36" i="15"/>
  <c r="H36" i="15" s="1"/>
  <c r="G35" i="15"/>
  <c r="H35" i="15" s="1"/>
  <c r="G34" i="15"/>
  <c r="H34" i="15" s="1"/>
  <c r="G33" i="15"/>
  <c r="H33" i="15" s="1"/>
  <c r="G29" i="15"/>
  <c r="H29" i="15" s="1"/>
  <c r="G28" i="15"/>
  <c r="H28" i="15" s="1"/>
  <c r="G27" i="15"/>
  <c r="H27" i="15" s="1"/>
  <c r="G26" i="15"/>
  <c r="H26" i="15" s="1"/>
  <c r="G25" i="15"/>
  <c r="H25" i="15" s="1"/>
  <c r="G24" i="15"/>
  <c r="H24" i="15" s="1"/>
  <c r="G23" i="15"/>
  <c r="H23" i="15" s="1"/>
  <c r="G22" i="15"/>
  <c r="H22" i="15" s="1"/>
  <c r="G21" i="15"/>
  <c r="H21" i="15" s="1"/>
  <c r="G20" i="15"/>
  <c r="H20" i="15" s="1"/>
  <c r="G19" i="15"/>
  <c r="H19" i="15" s="1"/>
  <c r="G15" i="15"/>
  <c r="H15" i="15" s="1"/>
  <c r="G14" i="15"/>
  <c r="H14" i="15" s="1"/>
  <c r="G13" i="15"/>
  <c r="H13" i="15" s="1"/>
  <c r="G12" i="15"/>
  <c r="H12" i="15" s="1"/>
  <c r="G9" i="15"/>
  <c r="H9" i="15" s="1"/>
  <c r="G11" i="15"/>
  <c r="H11" i="15" s="1"/>
  <c r="G10" i="15"/>
  <c r="H10" i="15" s="1"/>
  <c r="G8" i="15"/>
  <c r="H8" i="15" s="1"/>
  <c r="G5" i="15"/>
  <c r="G4" i="15"/>
  <c r="H16" i="15" l="1"/>
  <c r="H61" i="15"/>
  <c r="H30" i="15"/>
  <c r="H76" i="15"/>
  <c r="Q76" i="15" s="1"/>
  <c r="H5" i="15"/>
  <c r="H4" i="15"/>
  <c r="H6" i="15" l="1"/>
  <c r="AS8" i="11" l="1"/>
  <c r="AS7" i="11"/>
  <c r="GS256" i="12"/>
  <c r="GS255" i="12"/>
  <c r="GS249" i="12"/>
  <c r="GS248" i="12"/>
  <c r="GS286" i="12" l="1"/>
  <c r="GR286" i="12"/>
  <c r="GQ286" i="12"/>
  <c r="GT285" i="12"/>
  <c r="GT284" i="12"/>
  <c r="GS275" i="12"/>
  <c r="GR275" i="12"/>
  <c r="GQ275" i="12"/>
  <c r="GT274" i="12"/>
  <c r="GS269" i="12"/>
  <c r="GR269" i="12"/>
  <c r="GQ269" i="12"/>
  <c r="GT268" i="12"/>
  <c r="GT267" i="12"/>
  <c r="GT266" i="12"/>
  <c r="GT265" i="12"/>
  <c r="GT264" i="12"/>
  <c r="GT263" i="12"/>
  <c r="GR258" i="12"/>
  <c r="GQ258" i="12"/>
  <c r="GT257" i="12"/>
  <c r="GT256" i="12"/>
  <c r="GT255" i="12"/>
  <c r="GT254" i="12"/>
  <c r="GT253" i="12"/>
  <c r="GT252" i="12"/>
  <c r="GT251" i="12"/>
  <c r="GT250" i="12"/>
  <c r="GT249" i="12"/>
  <c r="GT248" i="12"/>
  <c r="GS258" i="12"/>
  <c r="GT242" i="12"/>
  <c r="GT241" i="12"/>
  <c r="GT240" i="12"/>
  <c r="GT239" i="12"/>
  <c r="GT238" i="12"/>
  <c r="GT237" i="12"/>
  <c r="GT236" i="12"/>
  <c r="GT235" i="12"/>
  <c r="GT229" i="12"/>
  <c r="GT228" i="12"/>
  <c r="GT227" i="12"/>
  <c r="GT226" i="12"/>
  <c r="GT225" i="12"/>
  <c r="GT224" i="12"/>
  <c r="GT223" i="12"/>
  <c r="GT222" i="12"/>
  <c r="GT221" i="12"/>
  <c r="GT220" i="12"/>
  <c r="GT219" i="12"/>
  <c r="GT218" i="12"/>
  <c r="GT217" i="12"/>
  <c r="GS212" i="12"/>
  <c r="GS230" i="12" s="1"/>
  <c r="GS243" i="12" s="1"/>
  <c r="GR212" i="12"/>
  <c r="GR230" i="12" s="1"/>
  <c r="GR243" i="12" s="1"/>
  <c r="GQ212" i="12"/>
  <c r="GQ230" i="12" s="1"/>
  <c r="GQ243" i="12" s="1"/>
  <c r="GT211" i="12"/>
  <c r="GT210" i="12"/>
  <c r="GT209" i="12"/>
  <c r="GT208" i="12"/>
  <c r="GT207" i="12"/>
  <c r="GT206" i="12"/>
  <c r="GS201" i="12"/>
  <c r="GR201" i="12"/>
  <c r="GQ201" i="12"/>
  <c r="GT200" i="12"/>
  <c r="GT199" i="12"/>
  <c r="GS194" i="12"/>
  <c r="GR194" i="12"/>
  <c r="GQ194" i="12"/>
  <c r="GT193" i="12"/>
  <c r="GT192" i="12"/>
  <c r="GT191" i="12"/>
  <c r="GT190" i="12"/>
  <c r="GT189" i="12"/>
  <c r="GT188" i="12"/>
  <c r="GT187" i="12"/>
  <c r="GT186" i="12"/>
  <c r="GS181" i="12"/>
  <c r="GR181" i="12"/>
  <c r="GQ181" i="12"/>
  <c r="GT180" i="12"/>
  <c r="GT179" i="12"/>
  <c r="GT178" i="12"/>
  <c r="GT177" i="12"/>
  <c r="GT176" i="12"/>
  <c r="GT175" i="12"/>
  <c r="GT174" i="12"/>
  <c r="GT173" i="12"/>
  <c r="GT172" i="12"/>
  <c r="GT171" i="12"/>
  <c r="GS166" i="12"/>
  <c r="GR166" i="12"/>
  <c r="GQ166" i="12"/>
  <c r="GT165" i="12"/>
  <c r="GT164" i="12"/>
  <c r="GT163" i="12"/>
  <c r="GT162" i="12"/>
  <c r="GT161" i="12"/>
  <c r="GT160" i="12"/>
  <c r="GT159" i="12"/>
  <c r="GS154" i="12"/>
  <c r="GR154" i="12"/>
  <c r="GQ154" i="12"/>
  <c r="GT153" i="12"/>
  <c r="GT152" i="12"/>
  <c r="GT151" i="12"/>
  <c r="GT150" i="12"/>
  <c r="GT149" i="12"/>
  <c r="GT148" i="12"/>
  <c r="GT147" i="12"/>
  <c r="GS142" i="12"/>
  <c r="GR142" i="12"/>
  <c r="GQ142" i="12"/>
  <c r="GT141" i="12"/>
  <c r="GT140" i="12"/>
  <c r="GT139" i="12"/>
  <c r="GT138" i="12"/>
  <c r="GT137" i="12"/>
  <c r="GT136" i="12"/>
  <c r="GT135" i="12"/>
  <c r="GT134" i="12"/>
  <c r="GT133" i="12"/>
  <c r="GS128" i="12"/>
  <c r="GR128" i="12"/>
  <c r="GQ128" i="12"/>
  <c r="GT127" i="12"/>
  <c r="GT126" i="12"/>
  <c r="GT125" i="12"/>
  <c r="GT124" i="12"/>
  <c r="GT123" i="12"/>
  <c r="GT122" i="12"/>
  <c r="GT121" i="12"/>
  <c r="GS116" i="12"/>
  <c r="GR116" i="12"/>
  <c r="GQ116" i="12"/>
  <c r="GT115" i="12"/>
  <c r="GT114" i="12"/>
  <c r="GS109" i="12"/>
  <c r="GR109" i="12"/>
  <c r="GQ109" i="12"/>
  <c r="GT107" i="12"/>
  <c r="GT106" i="12"/>
  <c r="GT105" i="12"/>
  <c r="GS101" i="12"/>
  <c r="GR101" i="12"/>
  <c r="GQ101" i="12"/>
  <c r="GT99" i="12"/>
  <c r="GT98" i="12"/>
  <c r="GT97" i="12"/>
  <c r="GS92" i="12"/>
  <c r="GR92" i="12"/>
  <c r="GQ92" i="12"/>
  <c r="GT91" i="12"/>
  <c r="GT90" i="12"/>
  <c r="GT89" i="12"/>
  <c r="GT88" i="12"/>
  <c r="GS83" i="12"/>
  <c r="GR83" i="12"/>
  <c r="GQ83" i="12"/>
  <c r="GT82" i="12"/>
  <c r="GT81" i="12"/>
  <c r="GT80" i="12"/>
  <c r="GT79" i="12"/>
  <c r="GT78" i="12"/>
  <c r="GT77" i="12"/>
  <c r="GT76" i="12"/>
  <c r="GT75" i="12"/>
  <c r="GT74" i="12"/>
  <c r="GT73" i="12"/>
  <c r="GT72" i="12"/>
  <c r="GT71" i="12"/>
  <c r="GT70" i="12"/>
  <c r="GT69" i="12"/>
  <c r="GT68" i="12"/>
  <c r="GT67" i="12"/>
  <c r="GT66" i="12"/>
  <c r="GT65" i="12"/>
  <c r="GT64" i="12"/>
  <c r="GT63" i="12"/>
  <c r="GT62" i="12"/>
  <c r="GT61" i="12"/>
  <c r="GT60" i="12"/>
  <c r="GT59" i="12"/>
  <c r="GT58" i="12"/>
  <c r="GT57" i="12"/>
  <c r="GT56" i="12"/>
  <c r="GT55" i="12"/>
  <c r="GS51" i="12"/>
  <c r="GR51" i="12"/>
  <c r="GQ51" i="12"/>
  <c r="GT49" i="12"/>
  <c r="GT48" i="12"/>
  <c r="GT47" i="12"/>
  <c r="GS42" i="12"/>
  <c r="GR42" i="12"/>
  <c r="GQ42" i="12"/>
  <c r="GT41" i="12"/>
  <c r="GT40" i="12"/>
  <c r="GS30" i="12"/>
  <c r="GR30" i="12"/>
  <c r="GQ30" i="12"/>
  <c r="GT29" i="12"/>
  <c r="GT28" i="12"/>
  <c r="GS24" i="12"/>
  <c r="GR24" i="12"/>
  <c r="GQ24" i="12"/>
  <c r="GT23" i="12"/>
  <c r="GT22" i="12"/>
  <c r="GT21" i="12"/>
  <c r="GT20" i="12"/>
  <c r="GS15" i="12"/>
  <c r="GR15" i="12"/>
  <c r="GQ15" i="12"/>
  <c r="GT14" i="12"/>
  <c r="GT13" i="12"/>
  <c r="GT12" i="12"/>
  <c r="GT11" i="12"/>
  <c r="GT10" i="12"/>
  <c r="GT9" i="12"/>
  <c r="GT8" i="12"/>
  <c r="GT7" i="12"/>
  <c r="GT6" i="12"/>
  <c r="GT5" i="12"/>
  <c r="GT4" i="12"/>
  <c r="GQ22" i="13"/>
  <c r="AS10" i="11" s="1"/>
  <c r="GS14" i="13"/>
  <c r="AS9" i="11" s="1"/>
  <c r="GS6" i="13"/>
  <c r="HK22" i="12" l="1"/>
  <c r="HL22" i="12" s="1"/>
  <c r="HM22" i="12" s="1"/>
  <c r="HE22" i="12"/>
  <c r="HB22" i="12"/>
  <c r="HE48" i="12"/>
  <c r="HK48" i="12"/>
  <c r="HL48" i="12" s="1"/>
  <c r="HM48" i="12" s="1"/>
  <c r="HB48" i="12"/>
  <c r="HE62" i="12"/>
  <c r="HK62" i="12"/>
  <c r="HL62" i="12" s="1"/>
  <c r="HM62" i="12" s="1"/>
  <c r="HB62" i="12"/>
  <c r="HE70" i="12"/>
  <c r="HK70" i="12"/>
  <c r="HL70" i="12" s="1"/>
  <c r="HM70" i="12" s="1"/>
  <c r="HB70" i="12"/>
  <c r="HE74" i="12"/>
  <c r="HK74" i="12"/>
  <c r="HL74" i="12" s="1"/>
  <c r="HM74" i="12" s="1"/>
  <c r="HB74" i="12"/>
  <c r="HE82" i="12"/>
  <c r="HK82" i="12"/>
  <c r="HL82" i="12" s="1"/>
  <c r="HM82" i="12" s="1"/>
  <c r="HB82" i="12"/>
  <c r="HE98" i="12"/>
  <c r="HK98" i="12"/>
  <c r="HL98" i="12" s="1"/>
  <c r="HM98" i="12" s="1"/>
  <c r="HB98" i="12"/>
  <c r="HE115" i="12"/>
  <c r="HK115" i="12"/>
  <c r="HL115" i="12" s="1"/>
  <c r="HM115" i="12" s="1"/>
  <c r="HB115" i="12"/>
  <c r="HC125" i="12"/>
  <c r="HE125" i="12"/>
  <c r="HK125" i="12"/>
  <c r="HL125" i="12" s="1"/>
  <c r="HM125" i="12" s="1"/>
  <c r="HB125" i="12"/>
  <c r="HE135" i="12"/>
  <c r="HK135" i="12"/>
  <c r="HL135" i="12" s="1"/>
  <c r="HM135" i="12" s="1"/>
  <c r="HB135" i="12"/>
  <c r="HE149" i="12"/>
  <c r="HK149" i="12"/>
  <c r="HL149" i="12" s="1"/>
  <c r="HM149" i="12" s="1"/>
  <c r="HB149" i="12"/>
  <c r="HC159" i="12"/>
  <c r="HK159" i="12"/>
  <c r="HL159" i="12" s="1"/>
  <c r="HM159" i="12" s="1"/>
  <c r="HE159" i="12"/>
  <c r="HB159" i="12"/>
  <c r="HC177" i="12"/>
  <c r="HK177" i="12"/>
  <c r="HL177" i="12" s="1"/>
  <c r="HM177" i="12" s="1"/>
  <c r="HE177" i="12"/>
  <c r="HB177" i="12"/>
  <c r="HK191" i="12"/>
  <c r="HL191" i="12" s="1"/>
  <c r="HM191" i="12" s="1"/>
  <c r="HE191" i="12"/>
  <c r="HB191" i="12"/>
  <c r="GU211" i="12"/>
  <c r="HK211" i="12"/>
  <c r="HL211" i="12" s="1"/>
  <c r="HM211" i="12" s="1"/>
  <c r="HE211" i="12"/>
  <c r="HB211" i="12"/>
  <c r="HC221" i="12"/>
  <c r="HE221" i="12"/>
  <c r="HK221" i="12"/>
  <c r="HL221" i="12" s="1"/>
  <c r="HM221" i="12" s="1"/>
  <c r="HB221" i="12"/>
  <c r="HC229" i="12"/>
  <c r="HE229" i="12"/>
  <c r="HK229" i="12"/>
  <c r="HL229" i="12" s="1"/>
  <c r="HM229" i="12" s="1"/>
  <c r="HB229" i="12"/>
  <c r="HE242" i="12"/>
  <c r="HK242" i="12"/>
  <c r="HL242" i="12" s="1"/>
  <c r="HM242" i="12" s="1"/>
  <c r="HB242" i="12"/>
  <c r="HE254" i="12"/>
  <c r="HK254" i="12"/>
  <c r="HL254" i="12" s="1"/>
  <c r="HM254" i="12" s="1"/>
  <c r="HB254" i="12"/>
  <c r="HE285" i="12"/>
  <c r="HK285" i="12"/>
  <c r="HL285" i="12" s="1"/>
  <c r="HM285" i="12" s="1"/>
  <c r="HB285" i="12"/>
  <c r="HE28" i="12"/>
  <c r="HK28" i="12"/>
  <c r="HL28" i="12" s="1"/>
  <c r="HM28" i="12" s="1"/>
  <c r="HB28" i="12"/>
  <c r="HC55" i="12"/>
  <c r="HK55" i="12"/>
  <c r="HL55" i="12" s="1"/>
  <c r="HM55" i="12" s="1"/>
  <c r="HE55" i="12"/>
  <c r="HB55" i="12"/>
  <c r="HE63" i="12"/>
  <c r="HK63" i="12"/>
  <c r="HL63" i="12" s="1"/>
  <c r="HM63" i="12" s="1"/>
  <c r="HB63" i="12"/>
  <c r="HE71" i="12"/>
  <c r="HK71" i="12"/>
  <c r="HL71" i="12" s="1"/>
  <c r="HM71" i="12" s="1"/>
  <c r="HB71" i="12"/>
  <c r="HE79" i="12"/>
  <c r="HK79" i="12"/>
  <c r="HL79" i="12" s="1"/>
  <c r="HM79" i="12" s="1"/>
  <c r="HB79" i="12"/>
  <c r="HE89" i="12"/>
  <c r="HK89" i="12"/>
  <c r="HL89" i="12" s="1"/>
  <c r="HM89" i="12" s="1"/>
  <c r="HB89" i="12"/>
  <c r="HC99" i="12"/>
  <c r="HK99" i="12"/>
  <c r="HL99" i="12" s="1"/>
  <c r="HM99" i="12" s="1"/>
  <c r="HE99" i="12"/>
  <c r="HB99" i="12"/>
  <c r="HK126" i="12"/>
  <c r="HL126" i="12" s="1"/>
  <c r="HM126" i="12" s="1"/>
  <c r="HE126" i="12"/>
  <c r="HB126" i="12"/>
  <c r="HC136" i="12"/>
  <c r="HE136" i="12"/>
  <c r="HK136" i="12"/>
  <c r="HL136" i="12" s="1"/>
  <c r="HM136" i="12" s="1"/>
  <c r="HB136" i="12"/>
  <c r="HK150" i="12"/>
  <c r="HL150" i="12" s="1"/>
  <c r="HM150" i="12" s="1"/>
  <c r="HE150" i="12"/>
  <c r="HB150" i="12"/>
  <c r="HK160" i="12"/>
  <c r="HL160" i="12" s="1"/>
  <c r="HM160" i="12" s="1"/>
  <c r="HE160" i="12"/>
  <c r="HB160" i="12"/>
  <c r="HE178" i="12"/>
  <c r="HK178" i="12"/>
  <c r="HL178" i="12" s="1"/>
  <c r="HM178" i="12" s="1"/>
  <c r="HB178" i="12"/>
  <c r="HC188" i="12"/>
  <c r="HE188" i="12"/>
  <c r="HK188" i="12"/>
  <c r="HL188" i="12" s="1"/>
  <c r="HM188" i="12" s="1"/>
  <c r="HB188" i="12"/>
  <c r="GU222" i="12"/>
  <c r="HE222" i="12"/>
  <c r="HK222" i="12"/>
  <c r="HL222" i="12" s="1"/>
  <c r="HM222" i="12" s="1"/>
  <c r="HB222" i="12"/>
  <c r="HK235" i="12"/>
  <c r="HL235" i="12" s="1"/>
  <c r="HM235" i="12" s="1"/>
  <c r="HE235" i="12"/>
  <c r="HB235" i="12"/>
  <c r="HE251" i="12"/>
  <c r="HK251" i="12"/>
  <c r="HL251" i="12" s="1"/>
  <c r="HM251" i="12" s="1"/>
  <c r="HB251" i="12"/>
  <c r="HC266" i="12"/>
  <c r="HE266" i="12"/>
  <c r="HK266" i="12"/>
  <c r="HL266" i="12" s="1"/>
  <c r="HM266" i="12" s="1"/>
  <c r="HB266" i="12"/>
  <c r="HK20" i="12"/>
  <c r="HL20" i="12" s="1"/>
  <c r="HM20" i="12" s="1"/>
  <c r="HE20" i="12"/>
  <c r="HF20" i="12" s="1"/>
  <c r="HB20" i="12"/>
  <c r="HC29" i="12"/>
  <c r="HE29" i="12"/>
  <c r="HK29" i="12"/>
  <c r="HL29" i="12" s="1"/>
  <c r="HM29" i="12" s="1"/>
  <c r="HB29" i="12"/>
  <c r="HK40" i="12"/>
  <c r="HL40" i="12" s="1"/>
  <c r="HM40" i="12" s="1"/>
  <c r="HE40" i="12"/>
  <c r="HB40" i="12"/>
  <c r="HE56" i="12"/>
  <c r="HK56" i="12"/>
  <c r="HL56" i="12" s="1"/>
  <c r="HM56" i="12" s="1"/>
  <c r="HB56" i="12"/>
  <c r="HE60" i="12"/>
  <c r="HF60" i="12" s="1"/>
  <c r="HK60" i="12"/>
  <c r="HL60" i="12" s="1"/>
  <c r="HM60" i="12" s="1"/>
  <c r="HB60" i="12"/>
  <c r="HK64" i="12"/>
  <c r="HL64" i="12" s="1"/>
  <c r="HM64" i="12" s="1"/>
  <c r="HE64" i="12"/>
  <c r="HB64" i="12"/>
  <c r="HC68" i="12"/>
  <c r="HK68" i="12"/>
  <c r="HL68" i="12" s="1"/>
  <c r="HM68" i="12" s="1"/>
  <c r="HE68" i="12"/>
  <c r="HB68" i="12"/>
  <c r="GU72" i="12"/>
  <c r="HK72" i="12"/>
  <c r="HL72" i="12" s="1"/>
  <c r="HM72" i="12" s="1"/>
  <c r="HE72" i="12"/>
  <c r="HB72" i="12"/>
  <c r="HE76" i="12"/>
  <c r="HK76" i="12"/>
  <c r="HL76" i="12" s="1"/>
  <c r="HM76" i="12" s="1"/>
  <c r="HB76" i="12"/>
  <c r="HK80" i="12"/>
  <c r="HL80" i="12" s="1"/>
  <c r="HM80" i="12" s="1"/>
  <c r="HE80" i="12"/>
  <c r="HB80" i="12"/>
  <c r="HK90" i="12"/>
  <c r="HL90" i="12" s="1"/>
  <c r="HM90" i="12" s="1"/>
  <c r="HE90" i="12"/>
  <c r="HB90" i="12"/>
  <c r="HC106" i="12"/>
  <c r="HK106" i="12"/>
  <c r="HL106" i="12" s="1"/>
  <c r="HM106" i="12" s="1"/>
  <c r="HE106" i="12"/>
  <c r="HB106" i="12"/>
  <c r="HK123" i="12"/>
  <c r="HL123" i="12" s="1"/>
  <c r="HM123" i="12" s="1"/>
  <c r="HE123" i="12"/>
  <c r="HB123" i="12"/>
  <c r="HK127" i="12"/>
  <c r="HL127" i="12" s="1"/>
  <c r="HM127" i="12" s="1"/>
  <c r="HE127" i="12"/>
  <c r="HB127" i="12"/>
  <c r="HK133" i="12"/>
  <c r="HL133" i="12" s="1"/>
  <c r="HM133" i="12" s="1"/>
  <c r="HE133" i="12"/>
  <c r="HB133" i="12"/>
  <c r="HK137" i="12"/>
  <c r="HL137" i="12" s="1"/>
  <c r="HM137" i="12" s="1"/>
  <c r="HE137" i="12"/>
  <c r="HB137" i="12"/>
  <c r="HE141" i="12"/>
  <c r="HK141" i="12"/>
  <c r="HL141" i="12" s="1"/>
  <c r="HM141" i="12" s="1"/>
  <c r="HB141" i="12"/>
  <c r="HC147" i="12"/>
  <c r="HK147" i="12"/>
  <c r="HL147" i="12" s="1"/>
  <c r="HM147" i="12" s="1"/>
  <c r="HE147" i="12"/>
  <c r="HB147" i="12"/>
  <c r="HC151" i="12"/>
  <c r="HE151" i="12"/>
  <c r="HK151" i="12"/>
  <c r="HL151" i="12" s="1"/>
  <c r="HM151" i="12" s="1"/>
  <c r="HB151" i="12"/>
  <c r="HE161" i="12"/>
  <c r="HK161" i="12"/>
  <c r="HL161" i="12" s="1"/>
  <c r="HM161" i="12" s="1"/>
  <c r="HB161" i="12"/>
  <c r="HE165" i="12"/>
  <c r="HK165" i="12"/>
  <c r="HL165" i="12" s="1"/>
  <c r="HM165" i="12" s="1"/>
  <c r="HB165" i="12"/>
  <c r="HE171" i="12"/>
  <c r="HK171" i="12"/>
  <c r="HL171" i="12" s="1"/>
  <c r="HM171" i="12" s="1"/>
  <c r="HB171" i="12"/>
  <c r="HK175" i="12"/>
  <c r="HL175" i="12" s="1"/>
  <c r="HM175" i="12" s="1"/>
  <c r="HE175" i="12"/>
  <c r="HB175" i="12"/>
  <c r="HK179" i="12"/>
  <c r="HL179" i="12" s="1"/>
  <c r="HM179" i="12" s="1"/>
  <c r="HE179" i="12"/>
  <c r="HB179" i="12"/>
  <c r="HE189" i="12"/>
  <c r="HK189" i="12"/>
  <c r="HL189" i="12" s="1"/>
  <c r="HM189" i="12" s="1"/>
  <c r="HB189" i="12"/>
  <c r="HE193" i="12"/>
  <c r="HK193" i="12"/>
  <c r="HL193" i="12" s="1"/>
  <c r="HM193" i="12" s="1"/>
  <c r="HB193" i="12"/>
  <c r="HC199" i="12"/>
  <c r="HK199" i="12"/>
  <c r="HL199" i="12" s="1"/>
  <c r="HM199" i="12" s="1"/>
  <c r="HE199" i="12"/>
  <c r="HB199" i="12"/>
  <c r="HE209" i="12"/>
  <c r="HK209" i="12"/>
  <c r="HL209" i="12" s="1"/>
  <c r="HM209" i="12" s="1"/>
  <c r="HB209" i="12"/>
  <c r="HE219" i="12"/>
  <c r="HK219" i="12"/>
  <c r="HL219" i="12" s="1"/>
  <c r="HM219" i="12" s="1"/>
  <c r="HB219" i="12"/>
  <c r="HK223" i="12"/>
  <c r="HL223" i="12" s="1"/>
  <c r="HM223" i="12" s="1"/>
  <c r="HE223" i="12"/>
  <c r="HB223" i="12"/>
  <c r="HE227" i="12"/>
  <c r="HK227" i="12"/>
  <c r="HL227" i="12" s="1"/>
  <c r="HM227" i="12" s="1"/>
  <c r="HB227" i="12"/>
  <c r="HC236" i="12"/>
  <c r="HE236" i="12"/>
  <c r="HK236" i="12"/>
  <c r="HL236" i="12" s="1"/>
  <c r="HM236" i="12" s="1"/>
  <c r="HB236" i="12"/>
  <c r="HC240" i="12"/>
  <c r="HE240" i="12"/>
  <c r="HK240" i="12"/>
  <c r="HL240" i="12" s="1"/>
  <c r="HM240" i="12" s="1"/>
  <c r="HB240" i="12"/>
  <c r="HC248" i="12"/>
  <c r="HK248" i="12"/>
  <c r="HL248" i="12" s="1"/>
  <c r="HM248" i="12" s="1"/>
  <c r="HE248" i="12"/>
  <c r="HB248" i="12"/>
  <c r="HE252" i="12"/>
  <c r="HK252" i="12"/>
  <c r="HL252" i="12" s="1"/>
  <c r="HM252" i="12" s="1"/>
  <c r="HB252" i="12"/>
  <c r="HK256" i="12"/>
  <c r="HL256" i="12" s="1"/>
  <c r="HM256" i="12" s="1"/>
  <c r="HE256" i="12"/>
  <c r="HB256" i="12"/>
  <c r="HK263" i="12"/>
  <c r="HL263" i="12" s="1"/>
  <c r="HM263" i="12" s="1"/>
  <c r="HE263" i="12"/>
  <c r="HB263" i="12"/>
  <c r="HE267" i="12"/>
  <c r="HK267" i="12"/>
  <c r="HL267" i="12" s="1"/>
  <c r="HM267" i="12" s="1"/>
  <c r="HB267" i="12"/>
  <c r="HE4" i="12"/>
  <c r="HK4" i="12"/>
  <c r="HL4" i="12" s="1"/>
  <c r="HM4" i="12" s="1"/>
  <c r="HB4" i="12"/>
  <c r="HK58" i="12"/>
  <c r="HL58" i="12" s="1"/>
  <c r="HM58" i="12" s="1"/>
  <c r="HE58" i="12"/>
  <c r="HB58" i="12"/>
  <c r="HK66" i="12"/>
  <c r="HL66" i="12" s="1"/>
  <c r="HM66" i="12" s="1"/>
  <c r="HE66" i="12"/>
  <c r="HB66" i="12"/>
  <c r="HE78" i="12"/>
  <c r="HK78" i="12"/>
  <c r="HL78" i="12" s="1"/>
  <c r="HM78" i="12" s="1"/>
  <c r="HB78" i="12"/>
  <c r="HC88" i="12"/>
  <c r="HE88" i="12"/>
  <c r="HK88" i="12"/>
  <c r="HL88" i="12" s="1"/>
  <c r="HM88" i="12" s="1"/>
  <c r="HB88" i="12"/>
  <c r="HC121" i="12"/>
  <c r="HE121" i="12"/>
  <c r="HK121" i="12"/>
  <c r="HL121" i="12" s="1"/>
  <c r="HM121" i="12" s="1"/>
  <c r="HB121" i="12"/>
  <c r="HK139" i="12"/>
  <c r="HL139" i="12" s="1"/>
  <c r="HM139" i="12" s="1"/>
  <c r="HE139" i="12"/>
  <c r="HB139" i="12"/>
  <c r="HK153" i="12"/>
  <c r="HL153" i="12" s="1"/>
  <c r="HM153" i="12" s="1"/>
  <c r="HE153" i="12"/>
  <c r="HB153" i="12"/>
  <c r="HC163" i="12"/>
  <c r="HK163" i="12"/>
  <c r="HL163" i="12" s="1"/>
  <c r="HM163" i="12" s="1"/>
  <c r="HE163" i="12"/>
  <c r="HB163" i="12"/>
  <c r="HC173" i="12"/>
  <c r="HK173" i="12"/>
  <c r="HL173" i="12" s="1"/>
  <c r="HM173" i="12" s="1"/>
  <c r="HE173" i="12"/>
  <c r="HB173" i="12"/>
  <c r="HK187" i="12"/>
  <c r="HL187" i="12" s="1"/>
  <c r="HM187" i="12" s="1"/>
  <c r="HE187" i="12"/>
  <c r="HB187" i="12"/>
  <c r="HK207" i="12"/>
  <c r="HL207" i="12" s="1"/>
  <c r="HM207" i="12" s="1"/>
  <c r="HE207" i="12"/>
  <c r="HB207" i="12"/>
  <c r="HC217" i="12"/>
  <c r="HE217" i="12"/>
  <c r="HK217" i="12"/>
  <c r="HL217" i="12" s="1"/>
  <c r="HM217" i="12" s="1"/>
  <c r="HB217" i="12"/>
  <c r="HC225" i="12"/>
  <c r="HK225" i="12"/>
  <c r="HL225" i="12" s="1"/>
  <c r="HM225" i="12" s="1"/>
  <c r="HE225" i="12"/>
  <c r="HB225" i="12"/>
  <c r="HK238" i="12"/>
  <c r="HL238" i="12" s="1"/>
  <c r="HM238" i="12" s="1"/>
  <c r="HE238" i="12"/>
  <c r="HB238" i="12"/>
  <c r="HE250" i="12"/>
  <c r="HK250" i="12"/>
  <c r="HL250" i="12" s="1"/>
  <c r="HM250" i="12" s="1"/>
  <c r="HB250" i="12"/>
  <c r="HE265" i="12"/>
  <c r="HK265" i="12"/>
  <c r="HL265" i="12" s="1"/>
  <c r="HM265" i="12" s="1"/>
  <c r="HB265" i="12"/>
  <c r="HE23" i="12"/>
  <c r="HK23" i="12"/>
  <c r="HL23" i="12" s="1"/>
  <c r="HM23" i="12" s="1"/>
  <c r="HB23" i="12"/>
  <c r="HK49" i="12"/>
  <c r="HL49" i="12" s="1"/>
  <c r="HM49" i="12" s="1"/>
  <c r="HE49" i="12"/>
  <c r="HB49" i="12"/>
  <c r="HK59" i="12"/>
  <c r="HL59" i="12" s="1"/>
  <c r="HM59" i="12" s="1"/>
  <c r="HE59" i="12"/>
  <c r="HB59" i="12"/>
  <c r="HE67" i="12"/>
  <c r="HK67" i="12"/>
  <c r="HL67" i="12" s="1"/>
  <c r="HM67" i="12" s="1"/>
  <c r="HB67" i="12"/>
  <c r="HE75" i="12"/>
  <c r="HK75" i="12"/>
  <c r="HL75" i="12" s="1"/>
  <c r="HM75" i="12" s="1"/>
  <c r="HB75" i="12"/>
  <c r="HE105" i="12"/>
  <c r="HK105" i="12"/>
  <c r="HL105" i="12" s="1"/>
  <c r="HM105" i="12" s="1"/>
  <c r="HB105" i="12"/>
  <c r="HK122" i="12"/>
  <c r="HL122" i="12" s="1"/>
  <c r="HM122" i="12" s="1"/>
  <c r="HE122" i="12"/>
  <c r="HB122" i="12"/>
  <c r="HC140" i="12"/>
  <c r="HE140" i="12"/>
  <c r="HK140" i="12"/>
  <c r="HL140" i="12" s="1"/>
  <c r="HM140" i="12" s="1"/>
  <c r="HB140" i="12"/>
  <c r="HE164" i="12"/>
  <c r="HK164" i="12"/>
  <c r="HL164" i="12" s="1"/>
  <c r="HM164" i="12" s="1"/>
  <c r="HB164" i="12"/>
  <c r="HE174" i="12"/>
  <c r="HK174" i="12"/>
  <c r="HL174" i="12" s="1"/>
  <c r="HM174" i="12" s="1"/>
  <c r="HB174" i="12"/>
  <c r="HC192" i="12"/>
  <c r="HE192" i="12"/>
  <c r="HK192" i="12"/>
  <c r="HL192" i="12" s="1"/>
  <c r="HM192" i="12" s="1"/>
  <c r="HB192" i="12"/>
  <c r="HK208" i="12"/>
  <c r="HL208" i="12" s="1"/>
  <c r="HM208" i="12" s="1"/>
  <c r="HE208" i="12"/>
  <c r="HB208" i="12"/>
  <c r="HK218" i="12"/>
  <c r="HL218" i="12" s="1"/>
  <c r="HM218" i="12" s="1"/>
  <c r="HE218" i="12"/>
  <c r="HB218" i="12"/>
  <c r="HK226" i="12"/>
  <c r="HL226" i="12" s="1"/>
  <c r="HM226" i="12" s="1"/>
  <c r="HE226" i="12"/>
  <c r="HB226" i="12"/>
  <c r="HE239" i="12"/>
  <c r="HK239" i="12"/>
  <c r="HL239" i="12" s="1"/>
  <c r="HM239" i="12" s="1"/>
  <c r="HB239" i="12"/>
  <c r="HE255" i="12"/>
  <c r="HK255" i="12"/>
  <c r="HL255" i="12" s="1"/>
  <c r="HM255" i="12" s="1"/>
  <c r="HB255" i="12"/>
  <c r="HE21" i="12"/>
  <c r="HK21" i="12"/>
  <c r="HL21" i="12" s="1"/>
  <c r="HM21" i="12" s="1"/>
  <c r="HB21" i="12"/>
  <c r="HK41" i="12"/>
  <c r="HL41" i="12" s="1"/>
  <c r="HM41" i="12" s="1"/>
  <c r="HE41" i="12"/>
  <c r="HB41" i="12"/>
  <c r="HK47" i="12"/>
  <c r="HL47" i="12" s="1"/>
  <c r="HM47" i="12" s="1"/>
  <c r="HE47" i="12"/>
  <c r="HB47" i="12"/>
  <c r="HE57" i="12"/>
  <c r="HK57" i="12"/>
  <c r="HL57" i="12" s="1"/>
  <c r="HM57" i="12" s="1"/>
  <c r="HB57" i="12"/>
  <c r="HK61" i="12"/>
  <c r="HL61" i="12" s="1"/>
  <c r="HM61" i="12" s="1"/>
  <c r="HE61" i="12"/>
  <c r="HB61" i="12"/>
  <c r="HC65" i="12"/>
  <c r="HK65" i="12"/>
  <c r="HL65" i="12" s="1"/>
  <c r="HM65" i="12" s="1"/>
  <c r="HE65" i="12"/>
  <c r="HB65" i="12"/>
  <c r="HC69" i="12"/>
  <c r="HE69" i="12"/>
  <c r="HK69" i="12"/>
  <c r="HL69" i="12" s="1"/>
  <c r="HM69" i="12" s="1"/>
  <c r="HB69" i="12"/>
  <c r="HC73" i="12"/>
  <c r="HE73" i="12"/>
  <c r="HK73" i="12"/>
  <c r="HL73" i="12" s="1"/>
  <c r="HM73" i="12" s="1"/>
  <c r="HB73" i="12"/>
  <c r="HC77" i="12"/>
  <c r="HE77" i="12"/>
  <c r="HK77" i="12"/>
  <c r="HL77" i="12" s="1"/>
  <c r="HM77" i="12" s="1"/>
  <c r="HB77" i="12"/>
  <c r="HC81" i="12"/>
  <c r="HE81" i="12"/>
  <c r="HK81" i="12"/>
  <c r="HL81" i="12" s="1"/>
  <c r="HM81" i="12" s="1"/>
  <c r="HB81" i="12"/>
  <c r="HK91" i="12"/>
  <c r="HL91" i="12" s="1"/>
  <c r="HM91" i="12" s="1"/>
  <c r="HE91" i="12"/>
  <c r="HB91" i="12"/>
  <c r="HE97" i="12"/>
  <c r="HK97" i="12"/>
  <c r="HL97" i="12" s="1"/>
  <c r="HM97" i="12" s="1"/>
  <c r="HB97" i="12"/>
  <c r="HE107" i="12"/>
  <c r="HK107" i="12"/>
  <c r="HL107" i="12" s="1"/>
  <c r="HM107" i="12" s="1"/>
  <c r="HB107" i="12"/>
  <c r="HC114" i="12"/>
  <c r="HK114" i="12"/>
  <c r="HL114" i="12" s="1"/>
  <c r="HM114" i="12" s="1"/>
  <c r="HE114" i="12"/>
  <c r="HB114" i="12"/>
  <c r="HE124" i="12"/>
  <c r="HK124" i="12"/>
  <c r="HL124" i="12" s="1"/>
  <c r="HM124" i="12" s="1"/>
  <c r="HB124" i="12"/>
  <c r="HK134" i="12"/>
  <c r="HL134" i="12" s="1"/>
  <c r="HM134" i="12" s="1"/>
  <c r="HE134" i="12"/>
  <c r="HB134" i="12"/>
  <c r="HK138" i="12"/>
  <c r="HL138" i="12" s="1"/>
  <c r="HM138" i="12" s="1"/>
  <c r="HE138" i="12"/>
  <c r="HB138" i="12"/>
  <c r="HE148" i="12"/>
  <c r="HK148" i="12"/>
  <c r="HL148" i="12" s="1"/>
  <c r="HM148" i="12" s="1"/>
  <c r="HB148" i="12"/>
  <c r="HE152" i="12"/>
  <c r="HK152" i="12"/>
  <c r="HL152" i="12" s="1"/>
  <c r="HM152" i="12" s="1"/>
  <c r="HB152" i="12"/>
  <c r="HC162" i="12"/>
  <c r="HE162" i="12"/>
  <c r="HK162" i="12"/>
  <c r="HL162" i="12" s="1"/>
  <c r="HM162" i="12" s="1"/>
  <c r="HB162" i="12"/>
  <c r="HE172" i="12"/>
  <c r="HK172" i="12"/>
  <c r="HL172" i="12" s="1"/>
  <c r="HM172" i="12" s="1"/>
  <c r="HB172" i="12"/>
  <c r="HE176" i="12"/>
  <c r="HK176" i="12"/>
  <c r="HL176" i="12" s="1"/>
  <c r="HM176" i="12" s="1"/>
  <c r="HB176" i="12"/>
  <c r="HE180" i="12"/>
  <c r="HK180" i="12"/>
  <c r="HL180" i="12" s="1"/>
  <c r="HM180" i="12" s="1"/>
  <c r="HB180" i="12"/>
  <c r="HE186" i="12"/>
  <c r="HF186" i="12" s="1"/>
  <c r="HK186" i="12"/>
  <c r="HL186" i="12" s="1"/>
  <c r="HM186" i="12" s="1"/>
  <c r="HB186" i="12"/>
  <c r="HE190" i="12"/>
  <c r="HF190" i="12" s="1"/>
  <c r="HK190" i="12"/>
  <c r="HL190" i="12" s="1"/>
  <c r="HM190" i="12" s="1"/>
  <c r="HB190" i="12"/>
  <c r="HK200" i="12"/>
  <c r="HL200" i="12" s="1"/>
  <c r="HM200" i="12" s="1"/>
  <c r="HE200" i="12"/>
  <c r="HB200" i="12"/>
  <c r="HC206" i="12"/>
  <c r="HK206" i="12"/>
  <c r="HL206" i="12" s="1"/>
  <c r="HM206" i="12" s="1"/>
  <c r="HE206" i="12"/>
  <c r="HB206" i="12"/>
  <c r="HC210" i="12"/>
  <c r="HE210" i="12"/>
  <c r="HK210" i="12"/>
  <c r="HL210" i="12" s="1"/>
  <c r="HM210" i="12" s="1"/>
  <c r="HB210" i="12"/>
  <c r="HE220" i="12"/>
  <c r="HK220" i="12"/>
  <c r="HL220" i="12" s="1"/>
  <c r="HM220" i="12" s="1"/>
  <c r="HB220" i="12"/>
  <c r="HK224" i="12"/>
  <c r="HL224" i="12" s="1"/>
  <c r="HM224" i="12" s="1"/>
  <c r="HE224" i="12"/>
  <c r="HB224" i="12"/>
  <c r="GU228" i="12"/>
  <c r="HK228" i="12"/>
  <c r="HL228" i="12" s="1"/>
  <c r="HM228" i="12" s="1"/>
  <c r="HE228" i="12"/>
  <c r="HB228" i="12"/>
  <c r="HE237" i="12"/>
  <c r="HK237" i="12"/>
  <c r="HL237" i="12" s="1"/>
  <c r="HM237" i="12" s="1"/>
  <c r="HB237" i="12"/>
  <c r="HE241" i="12"/>
  <c r="HK241" i="12"/>
  <c r="HL241" i="12" s="1"/>
  <c r="HM241" i="12" s="1"/>
  <c r="HB241" i="12"/>
  <c r="HC249" i="12"/>
  <c r="HE249" i="12"/>
  <c r="HK249" i="12"/>
  <c r="HL249" i="12" s="1"/>
  <c r="HM249" i="12" s="1"/>
  <c r="HB249" i="12"/>
  <c r="HC253" i="12"/>
  <c r="HE253" i="12"/>
  <c r="HK253" i="12"/>
  <c r="HL253" i="12" s="1"/>
  <c r="HM253" i="12" s="1"/>
  <c r="HB253" i="12"/>
  <c r="HK257" i="12"/>
  <c r="HL257" i="12" s="1"/>
  <c r="HM257" i="12" s="1"/>
  <c r="HE257" i="12"/>
  <c r="HB257" i="12"/>
  <c r="HE264" i="12"/>
  <c r="HK264" i="12"/>
  <c r="HL264" i="12" s="1"/>
  <c r="HM264" i="12" s="1"/>
  <c r="HB264" i="12"/>
  <c r="HE268" i="12"/>
  <c r="HK268" i="12"/>
  <c r="HL268" i="12" s="1"/>
  <c r="HM268" i="12" s="1"/>
  <c r="HB268" i="12"/>
  <c r="HE274" i="12"/>
  <c r="HK274" i="12"/>
  <c r="HL274" i="12" s="1"/>
  <c r="HM274" i="12" s="1"/>
  <c r="HB274" i="12"/>
  <c r="HK284" i="12"/>
  <c r="HL284" i="12" s="1"/>
  <c r="HM284" i="12" s="1"/>
  <c r="HE284" i="12"/>
  <c r="HC284" i="12"/>
  <c r="HC285" i="12" s="1"/>
  <c r="HB284" i="12"/>
  <c r="HE8" i="12"/>
  <c r="HK8" i="12"/>
  <c r="HL8" i="12" s="1"/>
  <c r="HM8" i="12" s="1"/>
  <c r="HB8" i="12"/>
  <c r="HE9" i="12"/>
  <c r="HK9" i="12"/>
  <c r="HL9" i="12" s="1"/>
  <c r="HM9" i="12" s="1"/>
  <c r="HB9" i="12"/>
  <c r="HE6" i="12"/>
  <c r="HK6" i="12"/>
  <c r="HL6" i="12" s="1"/>
  <c r="HM6" i="12" s="1"/>
  <c r="HB6" i="12"/>
  <c r="HE10" i="12"/>
  <c r="HK10" i="12"/>
  <c r="HL10" i="12" s="1"/>
  <c r="HM10" i="12" s="1"/>
  <c r="HB10" i="12"/>
  <c r="HE14" i="12"/>
  <c r="HK14" i="12"/>
  <c r="HL14" i="12" s="1"/>
  <c r="HM14" i="12" s="1"/>
  <c r="HB14" i="12"/>
  <c r="HE12" i="12"/>
  <c r="HK12" i="12"/>
  <c r="HL12" i="12" s="1"/>
  <c r="HM12" i="12" s="1"/>
  <c r="HB12" i="12"/>
  <c r="HE5" i="12"/>
  <c r="HK5" i="12"/>
  <c r="HL5" i="12" s="1"/>
  <c r="HM5" i="12" s="1"/>
  <c r="HB5" i="12"/>
  <c r="HE13" i="12"/>
  <c r="HK13" i="12"/>
  <c r="HL13" i="12" s="1"/>
  <c r="HM13" i="12" s="1"/>
  <c r="HB13" i="12"/>
  <c r="GU7" i="12"/>
  <c r="HE7" i="12"/>
  <c r="HK7" i="12"/>
  <c r="HL7" i="12" s="1"/>
  <c r="HM7" i="12" s="1"/>
  <c r="HB7" i="12"/>
  <c r="HE11" i="12"/>
  <c r="HK11" i="12"/>
  <c r="HL11" i="12" s="1"/>
  <c r="HM11" i="12" s="1"/>
  <c r="HB11" i="12"/>
  <c r="GU163" i="12"/>
  <c r="HC4" i="12"/>
  <c r="HC11" i="12"/>
  <c r="GU21" i="12"/>
  <c r="HC21" i="12"/>
  <c r="HC47" i="12"/>
  <c r="HC56" i="12"/>
  <c r="HC59" i="12"/>
  <c r="HC63" i="12"/>
  <c r="HC67" i="12"/>
  <c r="GU76" i="12"/>
  <c r="HC76" i="12"/>
  <c r="GU80" i="12"/>
  <c r="HC80" i="12"/>
  <c r="GU90" i="12"/>
  <c r="HC90" i="12"/>
  <c r="GU105" i="12"/>
  <c r="HC105" i="12"/>
  <c r="HC115" i="12"/>
  <c r="HC135" i="12"/>
  <c r="GU138" i="12"/>
  <c r="HC138" i="12"/>
  <c r="HC141" i="12"/>
  <c r="HC150" i="12"/>
  <c r="GU160" i="12"/>
  <c r="HC160" i="12"/>
  <c r="HC165" i="12"/>
  <c r="HC171" i="12"/>
  <c r="GU175" i="12"/>
  <c r="HC175" i="12"/>
  <c r="HC178" i="12"/>
  <c r="HC180" i="12"/>
  <c r="GU186" i="12"/>
  <c r="HC186" i="12"/>
  <c r="HC189" i="12"/>
  <c r="HC191" i="12"/>
  <c r="HC200" i="12"/>
  <c r="HC209" i="12"/>
  <c r="HC226" i="12"/>
  <c r="GU251" i="12"/>
  <c r="HC251" i="12"/>
  <c r="GU257" i="12"/>
  <c r="HC257" i="12"/>
  <c r="HC263" i="12"/>
  <c r="GS22" i="13"/>
  <c r="GS23" i="13" s="1"/>
  <c r="AS6" i="11"/>
  <c r="AS11" i="11" s="1"/>
  <c r="HC5" i="12"/>
  <c r="HC8" i="12"/>
  <c r="HC12" i="12"/>
  <c r="HC22" i="12"/>
  <c r="GU47" i="12"/>
  <c r="GU56" i="12"/>
  <c r="HC60" i="12"/>
  <c r="GU64" i="12"/>
  <c r="HC64" i="12"/>
  <c r="HC70" i="12"/>
  <c r="HC91" i="12"/>
  <c r="GU97" i="12"/>
  <c r="HC97" i="12"/>
  <c r="HC122" i="12"/>
  <c r="HC126" i="12"/>
  <c r="GU141" i="12"/>
  <c r="HC161" i="12"/>
  <c r="HC172" i="12"/>
  <c r="GU178" i="12"/>
  <c r="GU189" i="12"/>
  <c r="GU200" i="12"/>
  <c r="GU209" i="12"/>
  <c r="HC218" i="12"/>
  <c r="HC220" i="12"/>
  <c r="GU223" i="12"/>
  <c r="HC223" i="12"/>
  <c r="GU227" i="12"/>
  <c r="HC227" i="12"/>
  <c r="HC237" i="12"/>
  <c r="HC241" i="12"/>
  <c r="HC254" i="12"/>
  <c r="GU264" i="12"/>
  <c r="HC264" i="12"/>
  <c r="HC267" i="12"/>
  <c r="GU6" i="12"/>
  <c r="HC6" i="12"/>
  <c r="HC9" i="12"/>
  <c r="HC13" i="12"/>
  <c r="HC23" i="12"/>
  <c r="HC28" i="12"/>
  <c r="HC48" i="12"/>
  <c r="GU57" i="12"/>
  <c r="HC57" i="12"/>
  <c r="GU61" i="12"/>
  <c r="HC61" i="12"/>
  <c r="GU68" i="12"/>
  <c r="HC71" i="12"/>
  <c r="HC74" i="12"/>
  <c r="HC78" i="12"/>
  <c r="HC82" i="12"/>
  <c r="GU123" i="12"/>
  <c r="HC123" i="12"/>
  <c r="GU127" i="12"/>
  <c r="HC127" i="12"/>
  <c r="GU133" i="12"/>
  <c r="HC133" i="12"/>
  <c r="HC137" i="12"/>
  <c r="HC139" i="12"/>
  <c r="HC148" i="12"/>
  <c r="HC152" i="12"/>
  <c r="GU164" i="12"/>
  <c r="HC164" i="12"/>
  <c r="HC176" i="12"/>
  <c r="GU179" i="12"/>
  <c r="HC179" i="12"/>
  <c r="HC187" i="12"/>
  <c r="GU190" i="12"/>
  <c r="HC190" i="12"/>
  <c r="HC193" i="12"/>
  <c r="HC207" i="12"/>
  <c r="GU218" i="12"/>
  <c r="HC224" i="12"/>
  <c r="GU238" i="12"/>
  <c r="HC238" i="12"/>
  <c r="GU242" i="12"/>
  <c r="HC242" i="12"/>
  <c r="HC250" i="12"/>
  <c r="HC252" i="12"/>
  <c r="HC255" i="12"/>
  <c r="GU268" i="12"/>
  <c r="HC268" i="12"/>
  <c r="HC7" i="12"/>
  <c r="GU10" i="12"/>
  <c r="HC10" i="12"/>
  <c r="GU14" i="12"/>
  <c r="HC14" i="12"/>
  <c r="HC20" i="12"/>
  <c r="HC49" i="12"/>
  <c r="HC58" i="12"/>
  <c r="HC62" i="12"/>
  <c r="HC66" i="12"/>
  <c r="HC72" i="12"/>
  <c r="GU75" i="12"/>
  <c r="HC75" i="12"/>
  <c r="GU79" i="12"/>
  <c r="HC79" i="12"/>
  <c r="HC89" i="12"/>
  <c r="HC98" i="12"/>
  <c r="HC107" i="12"/>
  <c r="HC124" i="12"/>
  <c r="GU134" i="12"/>
  <c r="HC134" i="12"/>
  <c r="GU137" i="12"/>
  <c r="GU149" i="12"/>
  <c r="HC149" i="12"/>
  <c r="GU153" i="12"/>
  <c r="HC153" i="12"/>
  <c r="HC174" i="12"/>
  <c r="GU193" i="12"/>
  <c r="GU208" i="12"/>
  <c r="HC208" i="12"/>
  <c r="HC211" i="12"/>
  <c r="GU219" i="12"/>
  <c r="HC219" i="12"/>
  <c r="HC222" i="12"/>
  <c r="HC228" i="12"/>
  <c r="HC235" i="12"/>
  <c r="HC239" i="12"/>
  <c r="GU250" i="12"/>
  <c r="GU252" i="12"/>
  <c r="HC256" i="12"/>
  <c r="HC265" i="12"/>
  <c r="GT275" i="12"/>
  <c r="HC274" i="12"/>
  <c r="GU67" i="12"/>
  <c r="GU74" i="12"/>
  <c r="GU58" i="12"/>
  <c r="GT166" i="12"/>
  <c r="GU285" i="12"/>
  <c r="GT269" i="12"/>
  <c r="GU239" i="12"/>
  <c r="GU237" i="12"/>
  <c r="GU89" i="12"/>
  <c r="GU40" i="12"/>
  <c r="GT42" i="12"/>
  <c r="GT30" i="12"/>
  <c r="GU11" i="12"/>
  <c r="GU5" i="12"/>
  <c r="GU274" i="12"/>
  <c r="GU275" i="12" s="1"/>
  <c r="GU263" i="12"/>
  <c r="GU265" i="12"/>
  <c r="GU267" i="12"/>
  <c r="GT258" i="12"/>
  <c r="GU254" i="12"/>
  <c r="GU241" i="12"/>
  <c r="GU235" i="12"/>
  <c r="GU226" i="12"/>
  <c r="GU224" i="12"/>
  <c r="GU220" i="12"/>
  <c r="GU207" i="12"/>
  <c r="GU174" i="12"/>
  <c r="GU159" i="12"/>
  <c r="GU152" i="12"/>
  <c r="GU148" i="12"/>
  <c r="GT128" i="12"/>
  <c r="GU126" i="12"/>
  <c r="GU122" i="12"/>
  <c r="GU115" i="12"/>
  <c r="GU107" i="12"/>
  <c r="GU82" i="12"/>
  <c r="GU78" i="12"/>
  <c r="GU71" i="12"/>
  <c r="GU70" i="12"/>
  <c r="GU63" i="12"/>
  <c r="GT83" i="12"/>
  <c r="GU60" i="12"/>
  <c r="GU62" i="12"/>
  <c r="GU49" i="12"/>
  <c r="GU28" i="12"/>
  <c r="GU22" i="12"/>
  <c r="GU20" i="12"/>
  <c r="GU13" i="12"/>
  <c r="GU9" i="12"/>
  <c r="GT15" i="12"/>
  <c r="GU136" i="12"/>
  <c r="GU217" i="12"/>
  <c r="GU4" i="12"/>
  <c r="GU8" i="12"/>
  <c r="GU12" i="12"/>
  <c r="GU23" i="12"/>
  <c r="GU29" i="12"/>
  <c r="GU41" i="12"/>
  <c r="GU48" i="12"/>
  <c r="GT51" i="12"/>
  <c r="GU55" i="12"/>
  <c r="GU59" i="12"/>
  <c r="GU65" i="12"/>
  <c r="GU81" i="12"/>
  <c r="GU99" i="12"/>
  <c r="GU173" i="12"/>
  <c r="GU188" i="12"/>
  <c r="GT201" i="12"/>
  <c r="GU199" i="12"/>
  <c r="GU229" i="12"/>
  <c r="GU240" i="12"/>
  <c r="GU253" i="12"/>
  <c r="GU255" i="12"/>
  <c r="GU106" i="12"/>
  <c r="GU147" i="12"/>
  <c r="GT24" i="12"/>
  <c r="GU69" i="12"/>
  <c r="GU77" i="12"/>
  <c r="GT116" i="12"/>
  <c r="GU114" i="12"/>
  <c r="GU125" i="12"/>
  <c r="GU140" i="12"/>
  <c r="GT181" i="12"/>
  <c r="GU210" i="12"/>
  <c r="GU225" i="12"/>
  <c r="GU236" i="12"/>
  <c r="GU249" i="12"/>
  <c r="GT286" i="12"/>
  <c r="GU284" i="12"/>
  <c r="GU121" i="12"/>
  <c r="GT154" i="12"/>
  <c r="GU177" i="12"/>
  <c r="GU248" i="12"/>
  <c r="GU266" i="12"/>
  <c r="GU66" i="12"/>
  <c r="GU73" i="12"/>
  <c r="GT92" i="12"/>
  <c r="GU88" i="12"/>
  <c r="GT142" i="12"/>
  <c r="GU151" i="12"/>
  <c r="GU162" i="12"/>
  <c r="GU192" i="12"/>
  <c r="GT212" i="12"/>
  <c r="GT230" i="12" s="1"/>
  <c r="GT243" i="12" s="1"/>
  <c r="GU206" i="12"/>
  <c r="GU221" i="12"/>
  <c r="GU256" i="12"/>
  <c r="GT109" i="12"/>
  <c r="GT194" i="12"/>
  <c r="GU91" i="12"/>
  <c r="GU98" i="12"/>
  <c r="GT101" i="12"/>
  <c r="GU124" i="12"/>
  <c r="GU135" i="12"/>
  <c r="GU139" i="12"/>
  <c r="GU150" i="12"/>
  <c r="GU161" i="12"/>
  <c r="GU165" i="12"/>
  <c r="GU172" i="12"/>
  <c r="GU176" i="12"/>
  <c r="GU180" i="12"/>
  <c r="GU187" i="12"/>
  <c r="GU191" i="12"/>
  <c r="GU171" i="12"/>
  <c r="AR8" i="11"/>
  <c r="AR7" i="11"/>
  <c r="GL22" i="13"/>
  <c r="AR10" i="11" s="1"/>
  <c r="GN14" i="13"/>
  <c r="AR9" i="11" s="1"/>
  <c r="GN6" i="13"/>
  <c r="HF228" i="12" l="1"/>
  <c r="HN228" i="12" s="1"/>
  <c r="HO228" i="12" s="1"/>
  <c r="HD228" i="12" s="1"/>
  <c r="HF65" i="12"/>
  <c r="HN65" i="12" s="1"/>
  <c r="HO65" i="12" s="1"/>
  <c r="HF57" i="12"/>
  <c r="HN57" i="12" s="1"/>
  <c r="HO57" i="12" s="1"/>
  <c r="HF255" i="12"/>
  <c r="HN255" i="12" s="1"/>
  <c r="HO255" i="12" s="1"/>
  <c r="HF173" i="12"/>
  <c r="HG173" i="12" s="1"/>
  <c r="HF153" i="12"/>
  <c r="HN153" i="12" s="1"/>
  <c r="HO153" i="12" s="1"/>
  <c r="HD153" i="12" s="1"/>
  <c r="HF4" i="12"/>
  <c r="HN4" i="12" s="1"/>
  <c r="HO4" i="12" s="1"/>
  <c r="HF256" i="12"/>
  <c r="HF179" i="12"/>
  <c r="HN179" i="12" s="1"/>
  <c r="HO179" i="12" s="1"/>
  <c r="HF151" i="12"/>
  <c r="HN151" i="12" s="1"/>
  <c r="HO151" i="12" s="1"/>
  <c r="HD151" i="12" s="1"/>
  <c r="HB142" i="12"/>
  <c r="HF79" i="12"/>
  <c r="HN79" i="12" s="1"/>
  <c r="HO79" i="12" s="1"/>
  <c r="HF55" i="12"/>
  <c r="HN55" i="12" s="1"/>
  <c r="HO55" i="12" s="1"/>
  <c r="HD55" i="12" s="1"/>
  <c r="HF285" i="12"/>
  <c r="HN285" i="12" s="1"/>
  <c r="HO285" i="12" s="1"/>
  <c r="HD285" i="12" s="1"/>
  <c r="HB275" i="12"/>
  <c r="HG186" i="12"/>
  <c r="HN186" i="12"/>
  <c r="HO186" i="12" s="1"/>
  <c r="HD186" i="12" s="1"/>
  <c r="HF152" i="12"/>
  <c r="HN152" i="12" s="1"/>
  <c r="HO152" i="12" s="1"/>
  <c r="HD152" i="12" s="1"/>
  <c r="HF134" i="12"/>
  <c r="HN134" i="12" s="1"/>
  <c r="HO134" i="12" s="1"/>
  <c r="HF81" i="12"/>
  <c r="HN81" i="12" s="1"/>
  <c r="HF73" i="12"/>
  <c r="HN73" i="12" s="1"/>
  <c r="HO73" i="12" s="1"/>
  <c r="HB230" i="12"/>
  <c r="HB92" i="12"/>
  <c r="HF223" i="12"/>
  <c r="HN223" i="12" s="1"/>
  <c r="HO223" i="12" s="1"/>
  <c r="HD223" i="12" s="1"/>
  <c r="HB201" i="12"/>
  <c r="HF161" i="12"/>
  <c r="HF133" i="12"/>
  <c r="HN133" i="12" s="1"/>
  <c r="HO133" i="12" s="1"/>
  <c r="HF76" i="12"/>
  <c r="HN76" i="12" s="1"/>
  <c r="HO76" i="12" s="1"/>
  <c r="HD76" i="12" s="1"/>
  <c r="HB269" i="12"/>
  <c r="HF235" i="12"/>
  <c r="HN235" i="12" s="1"/>
  <c r="HO235" i="12" s="1"/>
  <c r="HD235" i="12" s="1"/>
  <c r="HF188" i="12"/>
  <c r="HF178" i="12"/>
  <c r="HN178" i="12" s="1"/>
  <c r="HO178" i="12" s="1"/>
  <c r="HD178" i="12" s="1"/>
  <c r="HF126" i="12"/>
  <c r="HN126" i="12" s="1"/>
  <c r="HO126" i="12" s="1"/>
  <c r="HD126" i="12" s="1"/>
  <c r="HF89" i="12"/>
  <c r="HF28" i="12"/>
  <c r="HN28" i="12" s="1"/>
  <c r="HO28" i="12" s="1"/>
  <c r="HD28" i="12" s="1"/>
  <c r="HF229" i="12"/>
  <c r="HN229" i="12" s="1"/>
  <c r="HO229" i="12" s="1"/>
  <c r="HD229" i="12" s="1"/>
  <c r="HF221" i="12"/>
  <c r="HN221" i="12" s="1"/>
  <c r="HO221" i="12" s="1"/>
  <c r="HD221" i="12" s="1"/>
  <c r="HF98" i="12"/>
  <c r="HF7" i="12"/>
  <c r="HN7" i="12" s="1"/>
  <c r="HO7" i="12" s="1"/>
  <c r="HD7" i="12" s="1"/>
  <c r="HF13" i="12"/>
  <c r="HN13" i="12" s="1"/>
  <c r="HO13" i="12" s="1"/>
  <c r="HF10" i="12"/>
  <c r="HN10" i="12" s="1"/>
  <c r="HO10" i="12" s="1"/>
  <c r="HD10" i="12" s="1"/>
  <c r="HF268" i="12"/>
  <c r="HF237" i="12"/>
  <c r="HN237" i="12" s="1"/>
  <c r="HO237" i="12" s="1"/>
  <c r="HF206" i="12"/>
  <c r="HN206" i="12" s="1"/>
  <c r="HO206" i="12" s="1"/>
  <c r="HD206" i="12" s="1"/>
  <c r="HF200" i="12"/>
  <c r="HG190" i="12"/>
  <c r="HN190" i="12"/>
  <c r="HO190" i="12" s="1"/>
  <c r="HD190" i="12" s="1"/>
  <c r="HF172" i="12"/>
  <c r="HN172" i="12" s="1"/>
  <c r="HO172" i="12" s="1"/>
  <c r="HD172" i="12" s="1"/>
  <c r="HF138" i="12"/>
  <c r="HB116" i="12"/>
  <c r="HF47" i="12"/>
  <c r="HN47" i="12" s="1"/>
  <c r="HO47" i="12" s="1"/>
  <c r="HF164" i="12"/>
  <c r="HF67" i="12"/>
  <c r="HB51" i="12"/>
  <c r="HF265" i="12"/>
  <c r="HN265" i="12" s="1"/>
  <c r="HO265" i="12" s="1"/>
  <c r="HD265" i="12" s="1"/>
  <c r="HF225" i="12"/>
  <c r="HF207" i="12"/>
  <c r="HN207" i="12" s="1"/>
  <c r="HO207" i="12" s="1"/>
  <c r="HF248" i="12"/>
  <c r="HN248" i="12" s="1"/>
  <c r="HO248" i="12" s="1"/>
  <c r="HD248" i="12" s="1"/>
  <c r="HF199" i="12"/>
  <c r="HN199" i="12" s="1"/>
  <c r="HO199" i="12" s="1"/>
  <c r="HF189" i="12"/>
  <c r="HN189" i="12" s="1"/>
  <c r="HO189" i="12" s="1"/>
  <c r="HD189" i="12" s="1"/>
  <c r="HF165" i="12"/>
  <c r="HN165" i="12" s="1"/>
  <c r="HO165" i="12" s="1"/>
  <c r="HD165" i="12" s="1"/>
  <c r="HB154" i="12"/>
  <c r="HF137" i="12"/>
  <c r="HN137" i="12" s="1"/>
  <c r="HO137" i="12" s="1"/>
  <c r="HF106" i="12"/>
  <c r="HF90" i="12"/>
  <c r="HF56" i="12"/>
  <c r="HB24" i="12"/>
  <c r="HF150" i="12"/>
  <c r="HN150" i="12" s="1"/>
  <c r="HF136" i="12"/>
  <c r="HF63" i="12"/>
  <c r="HN63" i="12" s="1"/>
  <c r="HO63" i="12" s="1"/>
  <c r="HD63" i="12" s="1"/>
  <c r="HF242" i="12"/>
  <c r="HN242" i="12" s="1"/>
  <c r="HO242" i="12" s="1"/>
  <c r="HD242" i="12" s="1"/>
  <c r="HB166" i="12"/>
  <c r="HF125" i="12"/>
  <c r="HF115" i="12"/>
  <c r="HF70" i="12"/>
  <c r="HN70" i="12" s="1"/>
  <c r="HO70" i="12" s="1"/>
  <c r="HD70" i="12" s="1"/>
  <c r="HF22" i="12"/>
  <c r="HN22" i="12" s="1"/>
  <c r="HO22" i="12" s="1"/>
  <c r="HK275" i="12"/>
  <c r="HL275" i="12" s="1"/>
  <c r="HM275" i="12" s="1"/>
  <c r="HE275" i="12"/>
  <c r="HF12" i="12"/>
  <c r="HN12" i="12" s="1"/>
  <c r="HO12" i="12" s="1"/>
  <c r="HF9" i="12"/>
  <c r="HD237" i="12"/>
  <c r="HF224" i="12"/>
  <c r="HN224" i="12" s="1"/>
  <c r="HO224" i="12" s="1"/>
  <c r="HD224" i="12" s="1"/>
  <c r="HF220" i="12"/>
  <c r="HN220" i="12" s="1"/>
  <c r="HF180" i="12"/>
  <c r="HF148" i="12"/>
  <c r="HN148" i="12" s="1"/>
  <c r="HO148" i="12" s="1"/>
  <c r="HF107" i="12"/>
  <c r="HN107" i="12" s="1"/>
  <c r="HO107" i="12" s="1"/>
  <c r="HO81" i="12"/>
  <c r="HF61" i="12"/>
  <c r="HN61" i="12" s="1"/>
  <c r="HO61" i="12" s="1"/>
  <c r="HD61" i="12" s="1"/>
  <c r="HF218" i="12"/>
  <c r="HN218" i="12" s="1"/>
  <c r="HO218" i="12" s="1"/>
  <c r="HD218" i="12" s="1"/>
  <c r="HF122" i="12"/>
  <c r="HN122" i="12" s="1"/>
  <c r="HO122" i="12" s="1"/>
  <c r="HD122" i="12" s="1"/>
  <c r="HF105" i="12"/>
  <c r="HF59" i="12"/>
  <c r="HN59" i="12" s="1"/>
  <c r="HO59" i="12" s="1"/>
  <c r="HF163" i="12"/>
  <c r="HF58" i="12"/>
  <c r="HN58" i="12" s="1"/>
  <c r="HO58" i="12" s="1"/>
  <c r="HD58" i="12" s="1"/>
  <c r="HF252" i="12"/>
  <c r="HN252" i="12" s="1"/>
  <c r="HO252" i="12" s="1"/>
  <c r="HF209" i="12"/>
  <c r="HN209" i="12" s="1"/>
  <c r="HO209" i="12" s="1"/>
  <c r="HF141" i="12"/>
  <c r="HN141" i="12" s="1"/>
  <c r="HO141" i="12" s="1"/>
  <c r="HF127" i="12"/>
  <c r="HN127" i="12" s="1"/>
  <c r="HO127" i="12" s="1"/>
  <c r="HD127" i="12" s="1"/>
  <c r="HF40" i="12"/>
  <c r="HF29" i="12"/>
  <c r="HN29" i="12" s="1"/>
  <c r="HO29" i="12" s="1"/>
  <c r="HB243" i="12"/>
  <c r="HF99" i="12"/>
  <c r="HN99" i="12" s="1"/>
  <c r="HO99" i="12" s="1"/>
  <c r="HF211" i="12"/>
  <c r="HN211" i="12" s="1"/>
  <c r="HO211" i="12" s="1"/>
  <c r="HD211" i="12" s="1"/>
  <c r="HF191" i="12"/>
  <c r="HN191" i="12" s="1"/>
  <c r="HO191" i="12" s="1"/>
  <c r="HD191" i="12" s="1"/>
  <c r="HF149" i="12"/>
  <c r="HN149" i="12" s="1"/>
  <c r="HO149" i="12" s="1"/>
  <c r="HD149" i="12" s="1"/>
  <c r="HF82" i="12"/>
  <c r="HN82" i="12" s="1"/>
  <c r="HO82" i="12" s="1"/>
  <c r="HD82" i="12" s="1"/>
  <c r="HF48" i="12"/>
  <c r="HN48" i="12" s="1"/>
  <c r="HO48" i="12" s="1"/>
  <c r="HF5" i="12"/>
  <c r="HN5" i="12" s="1"/>
  <c r="HO5" i="12" s="1"/>
  <c r="HF6" i="12"/>
  <c r="HN6" i="12" s="1"/>
  <c r="HO6" i="12" s="1"/>
  <c r="HD6" i="12" s="1"/>
  <c r="HB286" i="12"/>
  <c r="HF264" i="12"/>
  <c r="HN264" i="12" s="1"/>
  <c r="HO264" i="12" s="1"/>
  <c r="HB212" i="12"/>
  <c r="HF162" i="12"/>
  <c r="HG162" i="12" s="1"/>
  <c r="HF124" i="12"/>
  <c r="HF91" i="12"/>
  <c r="HN91" i="12" s="1"/>
  <c r="HO91" i="12" s="1"/>
  <c r="HF77" i="12"/>
  <c r="HN77" i="12" s="1"/>
  <c r="HO77" i="12" s="1"/>
  <c r="HF69" i="12"/>
  <c r="HG69" i="12" s="1"/>
  <c r="HF41" i="12"/>
  <c r="HF21" i="12"/>
  <c r="HN21" i="12" s="1"/>
  <c r="HO21" i="12" s="1"/>
  <c r="HF226" i="12"/>
  <c r="HF140" i="12"/>
  <c r="HG140" i="12" s="1"/>
  <c r="HF250" i="12"/>
  <c r="HN250" i="12" s="1"/>
  <c r="HO250" i="12" s="1"/>
  <c r="HF187" i="12"/>
  <c r="HB128" i="12"/>
  <c r="HF66" i="12"/>
  <c r="HN66" i="12" s="1"/>
  <c r="HO66" i="12" s="1"/>
  <c r="HF263" i="12"/>
  <c r="HB258" i="12"/>
  <c r="HF219" i="12"/>
  <c r="HN219" i="12" s="1"/>
  <c r="HO219" i="12" s="1"/>
  <c r="HB109" i="12"/>
  <c r="HF80" i="12"/>
  <c r="HF222" i="12"/>
  <c r="HF62" i="12"/>
  <c r="HF11" i="12"/>
  <c r="HN11" i="12" s="1"/>
  <c r="HO11" i="12" s="1"/>
  <c r="HD11" i="12" s="1"/>
  <c r="HF14" i="12"/>
  <c r="HN14" i="12" s="1"/>
  <c r="HO14" i="12" s="1"/>
  <c r="HF8" i="12"/>
  <c r="HF284" i="12"/>
  <c r="HN284" i="12" s="1"/>
  <c r="HO284" i="12" s="1"/>
  <c r="HF274" i="12"/>
  <c r="HN274" i="12" s="1"/>
  <c r="HO274" i="12" s="1"/>
  <c r="HF257" i="12"/>
  <c r="HN257" i="12" s="1"/>
  <c r="HO257" i="12" s="1"/>
  <c r="HF253" i="12"/>
  <c r="HN253" i="12" s="1"/>
  <c r="HO253" i="12" s="1"/>
  <c r="HD253" i="12" s="1"/>
  <c r="HF249" i="12"/>
  <c r="HF241" i="12"/>
  <c r="HN241" i="12" s="1"/>
  <c r="HO241" i="12" s="1"/>
  <c r="HO220" i="12"/>
  <c r="HD220" i="12" s="1"/>
  <c r="HF210" i="12"/>
  <c r="HB194" i="12"/>
  <c r="HF176" i="12"/>
  <c r="HN176" i="12" s="1"/>
  <c r="HO176" i="12" s="1"/>
  <c r="HD176" i="12" s="1"/>
  <c r="HF114" i="12"/>
  <c r="HN114" i="12" s="1"/>
  <c r="HO114" i="12" s="1"/>
  <c r="HF97" i="12"/>
  <c r="HN97" i="12" s="1"/>
  <c r="HO97" i="12" s="1"/>
  <c r="HF239" i="12"/>
  <c r="HN239" i="12" s="1"/>
  <c r="HO239" i="12" s="1"/>
  <c r="HF208" i="12"/>
  <c r="HF192" i="12"/>
  <c r="HN192" i="12" s="1"/>
  <c r="HO192" i="12" s="1"/>
  <c r="HF174" i="12"/>
  <c r="HN174" i="12" s="1"/>
  <c r="HO174" i="12" s="1"/>
  <c r="HF75" i="12"/>
  <c r="HN75" i="12" s="1"/>
  <c r="HO75" i="12" s="1"/>
  <c r="HD75" i="12" s="1"/>
  <c r="HF49" i="12"/>
  <c r="HN49" i="12" s="1"/>
  <c r="HO49" i="12" s="1"/>
  <c r="HF23" i="12"/>
  <c r="HF238" i="12"/>
  <c r="HF217" i="12"/>
  <c r="HN217" i="12" s="1"/>
  <c r="HO217" i="12" s="1"/>
  <c r="HB181" i="12"/>
  <c r="HF139" i="12"/>
  <c r="HN139" i="12" s="1"/>
  <c r="HO139" i="12" s="1"/>
  <c r="HF121" i="12"/>
  <c r="HN121" i="12" s="1"/>
  <c r="HO121" i="12" s="1"/>
  <c r="HF88" i="12"/>
  <c r="HN88" i="12" s="1"/>
  <c r="HO88" i="12" s="1"/>
  <c r="HF78" i="12"/>
  <c r="HN78" i="12" s="1"/>
  <c r="HO78" i="12" s="1"/>
  <c r="HQ78" i="12" s="1"/>
  <c r="HF267" i="12"/>
  <c r="HF240" i="12"/>
  <c r="HN240" i="12" s="1"/>
  <c r="HO240" i="12" s="1"/>
  <c r="HD240" i="12" s="1"/>
  <c r="HF236" i="12"/>
  <c r="HN236" i="12" s="1"/>
  <c r="HO236" i="12" s="1"/>
  <c r="HD236" i="12" s="1"/>
  <c r="HF227" i="12"/>
  <c r="HN227" i="12" s="1"/>
  <c r="HO227" i="12" s="1"/>
  <c r="HF193" i="12"/>
  <c r="HD179" i="12"/>
  <c r="HF175" i="12"/>
  <c r="HN175" i="12" s="1"/>
  <c r="HO175" i="12" s="1"/>
  <c r="HF171" i="12"/>
  <c r="HN171" i="12" s="1"/>
  <c r="HO171" i="12" s="1"/>
  <c r="HF147" i="12"/>
  <c r="HN147" i="12" s="1"/>
  <c r="HO147" i="12" s="1"/>
  <c r="HF123" i="12"/>
  <c r="HN123" i="12" s="1"/>
  <c r="HO123" i="12" s="1"/>
  <c r="HF72" i="12"/>
  <c r="HN72" i="12" s="1"/>
  <c r="HO72" i="12" s="1"/>
  <c r="HD72" i="12" s="1"/>
  <c r="HF68" i="12"/>
  <c r="HF64" i="12"/>
  <c r="HN64" i="12" s="1"/>
  <c r="HO64" i="12" s="1"/>
  <c r="HG60" i="12"/>
  <c r="HN60" i="12"/>
  <c r="HO60" i="12" s="1"/>
  <c r="HB42" i="12"/>
  <c r="HG20" i="12"/>
  <c r="HN20" i="12"/>
  <c r="HO20" i="12" s="1"/>
  <c r="HD20" i="12" s="1"/>
  <c r="HF266" i="12"/>
  <c r="HF251" i="12"/>
  <c r="HN251" i="12" s="1"/>
  <c r="HO251" i="12" s="1"/>
  <c r="HF160" i="12"/>
  <c r="HN160" i="12" s="1"/>
  <c r="HO160" i="12" s="1"/>
  <c r="HO150" i="12"/>
  <c r="HQ150" i="12" s="1"/>
  <c r="HB101" i="12"/>
  <c r="HF71" i="12"/>
  <c r="HN71" i="12" s="1"/>
  <c r="HO71" i="12" s="1"/>
  <c r="HB83" i="12"/>
  <c r="HB30" i="12"/>
  <c r="HF254" i="12"/>
  <c r="HF177" i="12"/>
  <c r="HN177" i="12" s="1"/>
  <c r="HO177" i="12" s="1"/>
  <c r="HF159" i="12"/>
  <c r="HN159" i="12" s="1"/>
  <c r="HO159" i="12" s="1"/>
  <c r="HD159" i="12" s="1"/>
  <c r="HF135" i="12"/>
  <c r="HF74" i="12"/>
  <c r="HN74" i="12" s="1"/>
  <c r="HO74" i="12" s="1"/>
  <c r="HQ6" i="12"/>
  <c r="HQ10" i="12"/>
  <c r="HB15" i="12"/>
  <c r="GN22" i="13"/>
  <c r="GN23" i="13" s="1"/>
  <c r="GU286" i="12"/>
  <c r="GU201" i="12"/>
  <c r="GU101" i="12"/>
  <c r="GU51" i="12"/>
  <c r="GU109" i="12"/>
  <c r="GU42" i="12"/>
  <c r="AR6" i="11"/>
  <c r="AR11" i="11" s="1"/>
  <c r="GU194" i="12"/>
  <c r="GU142" i="12"/>
  <c r="GU166" i="12"/>
  <c r="GU269" i="12"/>
  <c r="GU116" i="12"/>
  <c r="GU30" i="12"/>
  <c r="GU24" i="12"/>
  <c r="GU258" i="12"/>
  <c r="GU92" i="12"/>
  <c r="GU212" i="12"/>
  <c r="GU230" i="12" s="1"/>
  <c r="GU243" i="12" s="1"/>
  <c r="GU154" i="12"/>
  <c r="GU181" i="12"/>
  <c r="GU128" i="12"/>
  <c r="GU83" i="12"/>
  <c r="GU15" i="12"/>
  <c r="GM256" i="12"/>
  <c r="GN256" i="12" s="1"/>
  <c r="GV256" i="12" s="1"/>
  <c r="GM255" i="12"/>
  <c r="GN255" i="12" s="1"/>
  <c r="GV255" i="12" s="1"/>
  <c r="GM249" i="12"/>
  <c r="GN249" i="12" s="1"/>
  <c r="GM248" i="12"/>
  <c r="GN248" i="12" s="1"/>
  <c r="GM286" i="12"/>
  <c r="GL286" i="12"/>
  <c r="GK286" i="12"/>
  <c r="GN285" i="12"/>
  <c r="GV285" i="12" s="1"/>
  <c r="GN284" i="12"/>
  <c r="GV284" i="12" s="1"/>
  <c r="GM275" i="12"/>
  <c r="GL275" i="12"/>
  <c r="GK275" i="12"/>
  <c r="GN274" i="12"/>
  <c r="GM269" i="12"/>
  <c r="GL269" i="12"/>
  <c r="GK269" i="12"/>
  <c r="GN268" i="12"/>
  <c r="GN267" i="12"/>
  <c r="GV267" i="12" s="1"/>
  <c r="GN266" i="12"/>
  <c r="GN265" i="12"/>
  <c r="GV265" i="12" s="1"/>
  <c r="GN264" i="12"/>
  <c r="GN263" i="12"/>
  <c r="GV263" i="12" s="1"/>
  <c r="GL258" i="12"/>
  <c r="GK258" i="12"/>
  <c r="GN257" i="12"/>
  <c r="GN254" i="12"/>
  <c r="GV254" i="12" s="1"/>
  <c r="GN253" i="12"/>
  <c r="GN252" i="12"/>
  <c r="GV252" i="12" s="1"/>
  <c r="GN251" i="12"/>
  <c r="GN250" i="12"/>
  <c r="GV250" i="12" s="1"/>
  <c r="GN242" i="12"/>
  <c r="GN241" i="12"/>
  <c r="GV241" i="12" s="1"/>
  <c r="GN240" i="12"/>
  <c r="GN239" i="12"/>
  <c r="GV239" i="12" s="1"/>
  <c r="GN238" i="12"/>
  <c r="GN237" i="12"/>
  <c r="GV237" i="12" s="1"/>
  <c r="GN236" i="12"/>
  <c r="GN235" i="12"/>
  <c r="GV235" i="12" s="1"/>
  <c r="GN229" i="12"/>
  <c r="GN228" i="12"/>
  <c r="GV228" i="12" s="1"/>
  <c r="GN227" i="12"/>
  <c r="GN226" i="12"/>
  <c r="GV226" i="12" s="1"/>
  <c r="GN225" i="12"/>
  <c r="GN224" i="12"/>
  <c r="GV224" i="12" s="1"/>
  <c r="GN223" i="12"/>
  <c r="GN222" i="12"/>
  <c r="GV222" i="12" s="1"/>
  <c r="GN221" i="12"/>
  <c r="GN220" i="12"/>
  <c r="GV220" i="12" s="1"/>
  <c r="GN219" i="12"/>
  <c r="GN218" i="12"/>
  <c r="GV218" i="12" s="1"/>
  <c r="GN217" i="12"/>
  <c r="GM212" i="12"/>
  <c r="GM230" i="12" s="1"/>
  <c r="GM243" i="12" s="1"/>
  <c r="GL212" i="12"/>
  <c r="GL230" i="12" s="1"/>
  <c r="GL243" i="12" s="1"/>
  <c r="GK212" i="12"/>
  <c r="GK230" i="12" s="1"/>
  <c r="GK243" i="12" s="1"/>
  <c r="GN211" i="12"/>
  <c r="GN210" i="12"/>
  <c r="GN209" i="12"/>
  <c r="GV209" i="12" s="1"/>
  <c r="GN208" i="12"/>
  <c r="GN207" i="12"/>
  <c r="GN206" i="12"/>
  <c r="GV206" i="12" s="1"/>
  <c r="GM201" i="12"/>
  <c r="GL201" i="12"/>
  <c r="GK201" i="12"/>
  <c r="GN200" i="12"/>
  <c r="GV200" i="12" s="1"/>
  <c r="GN199" i="12"/>
  <c r="GV199" i="12" s="1"/>
  <c r="GM194" i="12"/>
  <c r="GL194" i="12"/>
  <c r="GK194" i="12"/>
  <c r="GN193" i="12"/>
  <c r="GV193" i="12" s="1"/>
  <c r="GN192" i="12"/>
  <c r="GN191" i="12"/>
  <c r="GV191" i="12" s="1"/>
  <c r="GN190" i="12"/>
  <c r="GN189" i="12"/>
  <c r="GV189" i="12" s="1"/>
  <c r="GN188" i="12"/>
  <c r="GN187" i="12"/>
  <c r="GV187" i="12" s="1"/>
  <c r="GN186" i="12"/>
  <c r="GV186" i="12" s="1"/>
  <c r="GM181" i="12"/>
  <c r="GL181" i="12"/>
  <c r="GK181" i="12"/>
  <c r="GN180" i="12"/>
  <c r="GV180" i="12" s="1"/>
  <c r="GN179" i="12"/>
  <c r="GN178" i="12"/>
  <c r="GV178" i="12" s="1"/>
  <c r="GN177" i="12"/>
  <c r="GN176" i="12"/>
  <c r="GV176" i="12" s="1"/>
  <c r="GN175" i="12"/>
  <c r="GN174" i="12"/>
  <c r="GV174" i="12" s="1"/>
  <c r="GN173" i="12"/>
  <c r="GN172" i="12"/>
  <c r="GV172" i="12" s="1"/>
  <c r="GN171" i="12"/>
  <c r="GV171" i="12" s="1"/>
  <c r="GM166" i="12"/>
  <c r="GL166" i="12"/>
  <c r="GK166" i="12"/>
  <c r="GN165" i="12"/>
  <c r="GV165" i="12" s="1"/>
  <c r="GN164" i="12"/>
  <c r="GN163" i="12"/>
  <c r="GV163" i="12" s="1"/>
  <c r="GN162" i="12"/>
  <c r="GN161" i="12"/>
  <c r="GV161" i="12" s="1"/>
  <c r="GN160" i="12"/>
  <c r="GN159" i="12"/>
  <c r="GV159" i="12" s="1"/>
  <c r="GM154" i="12"/>
  <c r="GL154" i="12"/>
  <c r="GK154" i="12"/>
  <c r="GN153" i="12"/>
  <c r="GN152" i="12"/>
  <c r="GV152" i="12" s="1"/>
  <c r="GN151" i="12"/>
  <c r="GN150" i="12"/>
  <c r="GV150" i="12" s="1"/>
  <c r="GN149" i="12"/>
  <c r="GN148" i="12"/>
  <c r="GN147" i="12"/>
  <c r="GM142" i="12"/>
  <c r="GL142" i="12"/>
  <c r="GK142" i="12"/>
  <c r="GN141" i="12"/>
  <c r="GV141" i="12" s="1"/>
  <c r="GN140" i="12"/>
  <c r="GN139" i="12"/>
  <c r="GV139" i="12" s="1"/>
  <c r="GN138" i="12"/>
  <c r="GN137" i="12"/>
  <c r="GV137" i="12" s="1"/>
  <c r="GN136" i="12"/>
  <c r="GN135" i="12"/>
  <c r="GV135" i="12" s="1"/>
  <c r="GN134" i="12"/>
  <c r="GN133" i="12"/>
  <c r="GM128" i="12"/>
  <c r="GL128" i="12"/>
  <c r="GK128" i="12"/>
  <c r="GN127" i="12"/>
  <c r="GN126" i="12"/>
  <c r="GV126" i="12" s="1"/>
  <c r="GN125" i="12"/>
  <c r="GN124" i="12"/>
  <c r="GV124" i="12" s="1"/>
  <c r="GN123" i="12"/>
  <c r="GN122" i="12"/>
  <c r="GV122" i="12" s="1"/>
  <c r="GN121" i="12"/>
  <c r="GM116" i="12"/>
  <c r="GL116" i="12"/>
  <c r="GK116" i="12"/>
  <c r="GN115" i="12"/>
  <c r="GV115" i="12" s="1"/>
  <c r="GN114" i="12"/>
  <c r="GV114" i="12" s="1"/>
  <c r="GM109" i="12"/>
  <c r="GL109" i="12"/>
  <c r="GK109" i="12"/>
  <c r="GN107" i="12"/>
  <c r="GV107" i="12" s="1"/>
  <c r="GN106" i="12"/>
  <c r="GN105" i="12"/>
  <c r="GM101" i="12"/>
  <c r="GL101" i="12"/>
  <c r="GK101" i="12"/>
  <c r="GN99" i="12"/>
  <c r="GN98" i="12"/>
  <c r="GV98" i="12" s="1"/>
  <c r="GN97" i="12"/>
  <c r="GM92" i="12"/>
  <c r="GL92" i="12"/>
  <c r="GK92" i="12"/>
  <c r="GN91" i="12"/>
  <c r="GV91" i="12" s="1"/>
  <c r="GN90" i="12"/>
  <c r="GN89" i="12"/>
  <c r="GV89" i="12" s="1"/>
  <c r="GN88" i="12"/>
  <c r="GV88" i="12" s="1"/>
  <c r="GM83" i="12"/>
  <c r="GL83" i="12"/>
  <c r="GK83" i="12"/>
  <c r="GN82" i="12"/>
  <c r="GV82" i="12" s="1"/>
  <c r="GN81" i="12"/>
  <c r="GN80" i="12"/>
  <c r="GV80" i="12" s="1"/>
  <c r="GN79" i="12"/>
  <c r="GN78" i="12"/>
  <c r="GV78" i="12" s="1"/>
  <c r="GN77" i="12"/>
  <c r="GN76" i="12"/>
  <c r="GN75" i="12"/>
  <c r="GN74" i="12"/>
  <c r="GV74" i="12" s="1"/>
  <c r="GN73" i="12"/>
  <c r="GN72" i="12"/>
  <c r="GV72" i="12" s="1"/>
  <c r="GN71" i="12"/>
  <c r="GN70" i="12"/>
  <c r="GV70" i="12" s="1"/>
  <c r="GN69" i="12"/>
  <c r="GN68" i="12"/>
  <c r="GN67" i="12"/>
  <c r="GN66" i="12"/>
  <c r="GV66" i="12" s="1"/>
  <c r="GN65" i="12"/>
  <c r="GN64" i="12"/>
  <c r="GV64" i="12" s="1"/>
  <c r="GN63" i="12"/>
  <c r="GN62" i="12"/>
  <c r="GV62" i="12" s="1"/>
  <c r="GN61" i="12"/>
  <c r="GN60" i="12"/>
  <c r="GN59" i="12"/>
  <c r="GN58" i="12"/>
  <c r="GV58" i="12" s="1"/>
  <c r="GN57" i="12"/>
  <c r="GN56" i="12"/>
  <c r="GN55" i="12"/>
  <c r="GV55" i="12" s="1"/>
  <c r="GM51" i="12"/>
  <c r="GL51" i="12"/>
  <c r="GK51" i="12"/>
  <c r="GN49" i="12"/>
  <c r="GV49" i="12" s="1"/>
  <c r="GN48" i="12"/>
  <c r="GN47" i="12"/>
  <c r="GV47" i="12" s="1"/>
  <c r="GM42" i="12"/>
  <c r="GL42" i="12"/>
  <c r="GK42" i="12"/>
  <c r="GN41" i="12"/>
  <c r="GN40" i="12"/>
  <c r="GM30" i="12"/>
  <c r="GL30" i="12"/>
  <c r="GK30" i="12"/>
  <c r="GN29" i="12"/>
  <c r="GN28" i="12"/>
  <c r="GV28" i="12" s="1"/>
  <c r="GM24" i="12"/>
  <c r="GL24" i="12"/>
  <c r="GK24" i="12"/>
  <c r="GN23" i="12"/>
  <c r="GN22" i="12"/>
  <c r="GV22" i="12" s="1"/>
  <c r="GN21" i="12"/>
  <c r="GN20" i="12"/>
  <c r="GV20" i="12" s="1"/>
  <c r="GM15" i="12"/>
  <c r="GL15" i="12"/>
  <c r="GK15" i="12"/>
  <c r="GN14" i="12"/>
  <c r="GN13" i="12"/>
  <c r="GV13" i="12" s="1"/>
  <c r="GN12" i="12"/>
  <c r="GN11" i="12"/>
  <c r="GV11" i="12" s="1"/>
  <c r="GN10" i="12"/>
  <c r="GN9" i="12"/>
  <c r="GV9" i="12" s="1"/>
  <c r="GN8" i="12"/>
  <c r="GN7" i="12"/>
  <c r="GV7" i="12" s="1"/>
  <c r="GN6" i="12"/>
  <c r="GN5" i="12"/>
  <c r="GV5" i="12" s="1"/>
  <c r="GN4" i="12"/>
  <c r="HG174" i="12" l="1"/>
  <c r="HP174" i="12" s="1"/>
  <c r="HG22" i="12"/>
  <c r="HG265" i="12"/>
  <c r="HG172" i="12"/>
  <c r="HG179" i="12"/>
  <c r="HH179" i="12" s="1"/>
  <c r="HG91" i="12"/>
  <c r="HP91" i="12" s="1"/>
  <c r="HG74" i="12"/>
  <c r="HG274" i="12"/>
  <c r="HI274" i="12" s="1"/>
  <c r="HJ274" i="12" s="1"/>
  <c r="HG29" i="12"/>
  <c r="HP29" i="12" s="1"/>
  <c r="HG242" i="12"/>
  <c r="HH242" i="12" s="1"/>
  <c r="HG227" i="12"/>
  <c r="HP227" i="12" s="1"/>
  <c r="HG121" i="12"/>
  <c r="HI121" i="12" s="1"/>
  <c r="HJ121" i="12" s="1"/>
  <c r="HG224" i="12"/>
  <c r="HI224" i="12" s="1"/>
  <c r="HJ224" i="12" s="1"/>
  <c r="HG97" i="12"/>
  <c r="HH97" i="12" s="1"/>
  <c r="HG284" i="12"/>
  <c r="HG48" i="12"/>
  <c r="HH48" i="12" s="1"/>
  <c r="HG99" i="12"/>
  <c r="HI99" i="12" s="1"/>
  <c r="HJ99" i="12" s="1"/>
  <c r="HG57" i="12"/>
  <c r="HI57" i="12" s="1"/>
  <c r="HJ57" i="12" s="1"/>
  <c r="HG64" i="12"/>
  <c r="HH64" i="12" s="1"/>
  <c r="HG82" i="12"/>
  <c r="HH82" i="12" s="1"/>
  <c r="HG65" i="12"/>
  <c r="HH65" i="12" s="1"/>
  <c r="HG257" i="12"/>
  <c r="HI257" i="12" s="1"/>
  <c r="HJ257" i="12" s="1"/>
  <c r="HG149" i="12"/>
  <c r="HG55" i="12"/>
  <c r="HP55" i="12" s="1"/>
  <c r="HG177" i="12"/>
  <c r="HP177" i="12" s="1"/>
  <c r="HG264" i="12"/>
  <c r="HI264" i="12" s="1"/>
  <c r="HJ264" i="12" s="1"/>
  <c r="HG141" i="12"/>
  <c r="HI141" i="12" s="1"/>
  <c r="HJ141" i="12" s="1"/>
  <c r="HG220" i="12"/>
  <c r="HG248" i="12"/>
  <c r="HH248" i="12" s="1"/>
  <c r="HG151" i="12"/>
  <c r="HP151" i="12" s="1"/>
  <c r="HG206" i="12"/>
  <c r="HG253" i="12"/>
  <c r="HP253" i="12" s="1"/>
  <c r="HG191" i="12"/>
  <c r="HH191" i="12" s="1"/>
  <c r="HG70" i="12"/>
  <c r="HP70" i="12" s="1"/>
  <c r="HG76" i="12"/>
  <c r="HI76" i="12" s="1"/>
  <c r="HJ76" i="12" s="1"/>
  <c r="HG75" i="12"/>
  <c r="HH75" i="12" s="1"/>
  <c r="HG14" i="12"/>
  <c r="HP14" i="12" s="1"/>
  <c r="HN162" i="12"/>
  <c r="HO162" i="12" s="1"/>
  <c r="HD162" i="12" s="1"/>
  <c r="HG171" i="12"/>
  <c r="HG127" i="12"/>
  <c r="HP127" i="12" s="1"/>
  <c r="HG153" i="12"/>
  <c r="HI153" i="12" s="1"/>
  <c r="HJ153" i="12" s="1"/>
  <c r="HD12" i="12"/>
  <c r="HQ12" i="12"/>
  <c r="HQ11" i="12"/>
  <c r="HG160" i="12"/>
  <c r="HH160" i="12" s="1"/>
  <c r="HG123" i="12"/>
  <c r="HP123" i="12" s="1"/>
  <c r="HG147" i="12"/>
  <c r="HG240" i="12"/>
  <c r="HI240" i="12" s="1"/>
  <c r="HJ240" i="12" s="1"/>
  <c r="HG217" i="12"/>
  <c r="HI217" i="12" s="1"/>
  <c r="HJ217" i="12" s="1"/>
  <c r="HG58" i="12"/>
  <c r="HH58" i="12" s="1"/>
  <c r="HG59" i="12"/>
  <c r="HI59" i="12" s="1"/>
  <c r="HJ59" i="12" s="1"/>
  <c r="HG218" i="12"/>
  <c r="HG107" i="12"/>
  <c r="HI107" i="12" s="1"/>
  <c r="HJ107" i="12" s="1"/>
  <c r="HG189" i="12"/>
  <c r="HH189" i="12" s="1"/>
  <c r="HG229" i="12"/>
  <c r="HG81" i="12"/>
  <c r="HI81" i="12" s="1"/>
  <c r="HJ81" i="12" s="1"/>
  <c r="HG251" i="12"/>
  <c r="HP251" i="12" s="1"/>
  <c r="HG114" i="12"/>
  <c r="HI114" i="12" s="1"/>
  <c r="HJ114" i="12" s="1"/>
  <c r="HG148" i="12"/>
  <c r="HP148" i="12" s="1"/>
  <c r="HG63" i="12"/>
  <c r="HP63" i="12" s="1"/>
  <c r="HG150" i="12"/>
  <c r="HH150" i="12" s="1"/>
  <c r="HG178" i="12"/>
  <c r="HP178" i="12" s="1"/>
  <c r="HD13" i="12"/>
  <c r="HQ13" i="12"/>
  <c r="HG5" i="12"/>
  <c r="HP5" i="12" s="1"/>
  <c r="HN69" i="12"/>
  <c r="HO69" i="12" s="1"/>
  <c r="HP69" i="12" s="1"/>
  <c r="HN140" i="12"/>
  <c r="HO140" i="12" s="1"/>
  <c r="HD140" i="12" s="1"/>
  <c r="HG209" i="12"/>
  <c r="HH209" i="12" s="1"/>
  <c r="HG13" i="12"/>
  <c r="HP13" i="12" s="1"/>
  <c r="HQ7" i="12"/>
  <c r="HG175" i="12"/>
  <c r="HP175" i="12" s="1"/>
  <c r="HG236" i="12"/>
  <c r="HH236" i="12" s="1"/>
  <c r="HG78" i="12"/>
  <c r="HI78" i="12" s="1"/>
  <c r="HJ78" i="12" s="1"/>
  <c r="HG192" i="12"/>
  <c r="HH192" i="12" s="1"/>
  <c r="HG239" i="12"/>
  <c r="HH239" i="12" s="1"/>
  <c r="HG176" i="12"/>
  <c r="HP176" i="12" s="1"/>
  <c r="HG241" i="12"/>
  <c r="HI241" i="12" s="1"/>
  <c r="HJ241" i="12" s="1"/>
  <c r="HD78" i="12"/>
  <c r="HG122" i="12"/>
  <c r="HP122" i="12" s="1"/>
  <c r="HG61" i="12"/>
  <c r="HH61" i="12" s="1"/>
  <c r="HG12" i="12"/>
  <c r="HG137" i="12"/>
  <c r="HP137" i="12" s="1"/>
  <c r="HG165" i="12"/>
  <c r="HI165" i="12" s="1"/>
  <c r="HJ165" i="12" s="1"/>
  <c r="HG199" i="12"/>
  <c r="HI199" i="12" s="1"/>
  <c r="HJ199" i="12" s="1"/>
  <c r="HG207" i="12"/>
  <c r="HP207" i="12" s="1"/>
  <c r="HG7" i="12"/>
  <c r="HG221" i="12"/>
  <c r="HP221" i="12" s="1"/>
  <c r="HG28" i="12"/>
  <c r="HI28" i="12" s="1"/>
  <c r="HJ28" i="12" s="1"/>
  <c r="HG235" i="12"/>
  <c r="HH235" i="12" s="1"/>
  <c r="HG223" i="12"/>
  <c r="HH223" i="12" s="1"/>
  <c r="HG134" i="12"/>
  <c r="HN173" i="12"/>
  <c r="HO173" i="12" s="1"/>
  <c r="HQ173" i="12" s="1"/>
  <c r="HQ257" i="12"/>
  <c r="HD257" i="12"/>
  <c r="HQ71" i="12"/>
  <c r="HG68" i="12"/>
  <c r="HN68" i="12"/>
  <c r="HO68" i="12" s="1"/>
  <c r="HQ207" i="12"/>
  <c r="HD207" i="12"/>
  <c r="HQ114" i="12"/>
  <c r="HD114" i="12"/>
  <c r="HN249" i="12"/>
  <c r="HO249" i="12" s="1"/>
  <c r="HG249" i="12"/>
  <c r="HQ77" i="12"/>
  <c r="HH162" i="12"/>
  <c r="HI162" i="12"/>
  <c r="HJ162" i="12" s="1"/>
  <c r="HQ99" i="12"/>
  <c r="HD99" i="12"/>
  <c r="HH218" i="12"/>
  <c r="HI218" i="12"/>
  <c r="HJ218" i="12" s="1"/>
  <c r="HN9" i="12"/>
  <c r="HO9" i="12" s="1"/>
  <c r="HG9" i="12"/>
  <c r="HH22" i="12"/>
  <c r="HI22" i="12"/>
  <c r="HJ22" i="12" s="1"/>
  <c r="HQ133" i="12"/>
  <c r="HD133" i="12"/>
  <c r="HI177" i="12"/>
  <c r="HJ177" i="12" s="1"/>
  <c r="HQ151" i="12"/>
  <c r="HN267" i="12"/>
  <c r="HO267" i="12" s="1"/>
  <c r="HG267" i="12"/>
  <c r="HQ139" i="12"/>
  <c r="HD139" i="12"/>
  <c r="HN8" i="12"/>
  <c r="HO8" i="12" s="1"/>
  <c r="HG8" i="12"/>
  <c r="HN62" i="12"/>
  <c r="HO62" i="12" s="1"/>
  <c r="HG62" i="12"/>
  <c r="HN222" i="12"/>
  <c r="HO222" i="12" s="1"/>
  <c r="HG222" i="12"/>
  <c r="HI140" i="12"/>
  <c r="HJ140" i="12" s="1"/>
  <c r="HH140" i="12"/>
  <c r="HN41" i="12"/>
  <c r="HO41" i="12" s="1"/>
  <c r="HG41" i="12"/>
  <c r="HN163" i="12"/>
  <c r="HO163" i="12" s="1"/>
  <c r="HG163" i="12"/>
  <c r="HN105" i="12"/>
  <c r="HO105" i="12" s="1"/>
  <c r="HG105" i="12"/>
  <c r="HN180" i="12"/>
  <c r="HO180" i="12" s="1"/>
  <c r="HG180" i="12"/>
  <c r="HN56" i="12"/>
  <c r="HO56" i="12" s="1"/>
  <c r="HG56" i="12"/>
  <c r="HQ73" i="12"/>
  <c r="HD73" i="12"/>
  <c r="HI175" i="12"/>
  <c r="HJ175" i="12" s="1"/>
  <c r="HG23" i="12"/>
  <c r="HN23" i="12"/>
  <c r="HO23" i="12" s="1"/>
  <c r="HQ174" i="12"/>
  <c r="HD174" i="12"/>
  <c r="HD71" i="12"/>
  <c r="HQ59" i="12"/>
  <c r="HP59" i="12"/>
  <c r="HQ21" i="12"/>
  <c r="HD21" i="12"/>
  <c r="HQ147" i="12"/>
  <c r="HP147" i="12"/>
  <c r="HD147" i="12"/>
  <c r="HQ81" i="12"/>
  <c r="HD81" i="12"/>
  <c r="HQ65" i="12"/>
  <c r="HD65" i="12"/>
  <c r="HQ177" i="12"/>
  <c r="HD177" i="12"/>
  <c r="HQ29" i="12"/>
  <c r="HD29" i="12"/>
  <c r="HD59" i="12"/>
  <c r="HD107" i="12"/>
  <c r="HQ107" i="12"/>
  <c r="HG210" i="12"/>
  <c r="HN210" i="12"/>
  <c r="HO210" i="12" s="1"/>
  <c r="HQ253" i="12"/>
  <c r="HD14" i="12"/>
  <c r="HQ14" i="12"/>
  <c r="HN80" i="12"/>
  <c r="HO80" i="12" s="1"/>
  <c r="HG80" i="12"/>
  <c r="HN263" i="12"/>
  <c r="HO263" i="12" s="1"/>
  <c r="HG263" i="12"/>
  <c r="HN187" i="12"/>
  <c r="HO187" i="12" s="1"/>
  <c r="HG187" i="12"/>
  <c r="HQ140" i="12"/>
  <c r="HP140" i="12"/>
  <c r="HI69" i="12"/>
  <c r="HJ69" i="12" s="1"/>
  <c r="HH69" i="12"/>
  <c r="HQ91" i="12"/>
  <c r="HD91" i="12"/>
  <c r="HN40" i="12"/>
  <c r="HO40" i="12" s="1"/>
  <c r="HG40" i="12"/>
  <c r="HN138" i="12"/>
  <c r="HO138" i="12" s="1"/>
  <c r="HG138" i="12"/>
  <c r="HN135" i="12"/>
  <c r="HO135" i="12" s="1"/>
  <c r="HG135" i="12"/>
  <c r="HN254" i="12"/>
  <c r="HO254" i="12" s="1"/>
  <c r="HG254" i="12"/>
  <c r="HG266" i="12"/>
  <c r="HN266" i="12"/>
  <c r="HO266" i="12" s="1"/>
  <c r="HD64" i="12"/>
  <c r="HQ64" i="12"/>
  <c r="HG193" i="12"/>
  <c r="HN193" i="12"/>
  <c r="HO193" i="12" s="1"/>
  <c r="HG238" i="12"/>
  <c r="HN238" i="12"/>
  <c r="HO238" i="12" s="1"/>
  <c r="HN208" i="12"/>
  <c r="HO208" i="12" s="1"/>
  <c r="HG208" i="12"/>
  <c r="HQ255" i="12"/>
  <c r="HD77" i="12"/>
  <c r="HQ250" i="12"/>
  <c r="HD250" i="12"/>
  <c r="HN226" i="12"/>
  <c r="HO226" i="12" s="1"/>
  <c r="HG226" i="12"/>
  <c r="HD69" i="12"/>
  <c r="HN124" i="12"/>
  <c r="HO124" i="12" s="1"/>
  <c r="HG124" i="12"/>
  <c r="HQ264" i="12"/>
  <c r="HD264" i="12"/>
  <c r="HH59" i="12"/>
  <c r="HQ61" i="12"/>
  <c r="HI148" i="12"/>
  <c r="HJ148" i="12" s="1"/>
  <c r="HD5" i="12"/>
  <c r="HQ5" i="12"/>
  <c r="HQ251" i="12"/>
  <c r="HD251" i="12"/>
  <c r="HD255" i="12"/>
  <c r="HN268" i="12"/>
  <c r="HO268" i="12" s="1"/>
  <c r="HG268" i="12"/>
  <c r="HN98" i="12"/>
  <c r="HO98" i="12" s="1"/>
  <c r="HG98" i="12"/>
  <c r="HN89" i="12"/>
  <c r="HO89" i="12" s="1"/>
  <c r="HG89" i="12"/>
  <c r="HG188" i="12"/>
  <c r="HN188" i="12"/>
  <c r="HO188" i="12" s="1"/>
  <c r="HP173" i="12"/>
  <c r="HP74" i="12"/>
  <c r="HI74" i="12"/>
  <c r="HJ74" i="12" s="1"/>
  <c r="HH74" i="12"/>
  <c r="HQ160" i="12"/>
  <c r="HH251" i="12"/>
  <c r="HQ137" i="12"/>
  <c r="HD137" i="12"/>
  <c r="HQ175" i="12"/>
  <c r="HD175" i="12"/>
  <c r="HQ227" i="12"/>
  <c r="HQ240" i="12"/>
  <c r="HD121" i="12"/>
  <c r="HQ121" i="12"/>
  <c r="HH241" i="12"/>
  <c r="HQ274" i="12"/>
  <c r="HD274" i="12"/>
  <c r="HQ211" i="12"/>
  <c r="HD219" i="12"/>
  <c r="HQ219" i="12"/>
  <c r="HH264" i="12"/>
  <c r="HH149" i="12"/>
  <c r="HI149" i="12"/>
  <c r="HJ149" i="12" s="1"/>
  <c r="HQ191" i="12"/>
  <c r="HI29" i="12"/>
  <c r="HJ29" i="12" s="1"/>
  <c r="HQ127" i="12"/>
  <c r="HQ218" i="12"/>
  <c r="HP218" i="12"/>
  <c r="HQ148" i="12"/>
  <c r="HD148" i="12"/>
  <c r="HQ224" i="12"/>
  <c r="HQ189" i="12"/>
  <c r="HN225" i="12"/>
  <c r="HO225" i="12" s="1"/>
  <c r="HG225" i="12"/>
  <c r="HN161" i="12"/>
  <c r="HO161" i="12" s="1"/>
  <c r="HG161" i="12"/>
  <c r="HQ74" i="12"/>
  <c r="HD74" i="12"/>
  <c r="HG159" i="12"/>
  <c r="HP159" i="12" s="1"/>
  <c r="HG71" i="12"/>
  <c r="HP71" i="12" s="1"/>
  <c r="HQ20" i="12"/>
  <c r="HP20" i="12"/>
  <c r="HQ60" i="12"/>
  <c r="HP60" i="12"/>
  <c r="HQ72" i="12"/>
  <c r="HH147" i="12"/>
  <c r="HI147" i="12"/>
  <c r="HJ147" i="12" s="1"/>
  <c r="HI171" i="12"/>
  <c r="HJ171" i="12" s="1"/>
  <c r="HH171" i="12"/>
  <c r="HQ199" i="12"/>
  <c r="HQ252" i="12"/>
  <c r="HD252" i="12"/>
  <c r="HQ4" i="12"/>
  <c r="HD4" i="12"/>
  <c r="HQ88" i="12"/>
  <c r="HD88" i="12"/>
  <c r="HQ217" i="12"/>
  <c r="HP217" i="12"/>
  <c r="HD217" i="12"/>
  <c r="HQ49" i="12"/>
  <c r="HD49" i="12"/>
  <c r="HQ75" i="12"/>
  <c r="HQ192" i="12"/>
  <c r="HI239" i="12"/>
  <c r="HJ239" i="12" s="1"/>
  <c r="HD47" i="12"/>
  <c r="HQ47" i="12"/>
  <c r="HI176" i="12"/>
  <c r="HJ176" i="12" s="1"/>
  <c r="HP220" i="12"/>
  <c r="HQ220" i="12"/>
  <c r="HQ241" i="12"/>
  <c r="HI284" i="12"/>
  <c r="HJ284" i="12" s="1"/>
  <c r="HH284" i="12"/>
  <c r="HD150" i="12"/>
  <c r="HD60" i="12"/>
  <c r="HG219" i="12"/>
  <c r="HG66" i="12"/>
  <c r="HG250" i="12"/>
  <c r="HD192" i="12"/>
  <c r="HG21" i="12"/>
  <c r="HG77" i="12"/>
  <c r="HP77" i="12" s="1"/>
  <c r="HQ228" i="12"/>
  <c r="HG6" i="12"/>
  <c r="HQ82" i="12"/>
  <c r="HQ149" i="12"/>
  <c r="HP149" i="12"/>
  <c r="HH141" i="12"/>
  <c r="HQ58" i="12"/>
  <c r="HQ122" i="12"/>
  <c r="HI220" i="12"/>
  <c r="HJ220" i="12" s="1"/>
  <c r="HH220" i="12"/>
  <c r="HF275" i="12"/>
  <c r="HN275" i="12" s="1"/>
  <c r="HO275" i="12" s="1"/>
  <c r="HD275" i="12" s="1"/>
  <c r="HN115" i="12"/>
  <c r="HO115" i="12" s="1"/>
  <c r="HG115" i="12"/>
  <c r="HQ126" i="12"/>
  <c r="HD160" i="12"/>
  <c r="HN90" i="12"/>
  <c r="HO90" i="12" s="1"/>
  <c r="HG90" i="12"/>
  <c r="HN67" i="12"/>
  <c r="HO67" i="12" s="1"/>
  <c r="HG67" i="12"/>
  <c r="HN200" i="12"/>
  <c r="HO200" i="12" s="1"/>
  <c r="HG200" i="12"/>
  <c r="HQ237" i="12"/>
  <c r="HD199" i="12"/>
  <c r="HQ186" i="12"/>
  <c r="HP186" i="12"/>
  <c r="HQ152" i="12"/>
  <c r="HQ22" i="12"/>
  <c r="HR22" i="12" s="1"/>
  <c r="HP22" i="12"/>
  <c r="HD22" i="12"/>
  <c r="HQ159" i="12"/>
  <c r="HQ79" i="12"/>
  <c r="HD79" i="12"/>
  <c r="HI20" i="12"/>
  <c r="HJ20" i="12" s="1"/>
  <c r="HH20" i="12"/>
  <c r="HH60" i="12"/>
  <c r="HI60" i="12"/>
  <c r="HJ60" i="12" s="1"/>
  <c r="HG72" i="12"/>
  <c r="HP72" i="12" s="1"/>
  <c r="HQ123" i="12"/>
  <c r="HD123" i="12"/>
  <c r="HP171" i="12"/>
  <c r="HQ171" i="12"/>
  <c r="HR171" i="12" s="1"/>
  <c r="HD171" i="12"/>
  <c r="HQ209" i="12"/>
  <c r="HD209" i="12"/>
  <c r="HQ236" i="12"/>
  <c r="HG88" i="12"/>
  <c r="HP88" i="12" s="1"/>
  <c r="HG139" i="12"/>
  <c r="HP139" i="12" s="1"/>
  <c r="HG49" i="12"/>
  <c r="HP49" i="12" s="1"/>
  <c r="HP239" i="12"/>
  <c r="HQ239" i="12"/>
  <c r="HD239" i="12"/>
  <c r="HQ57" i="12"/>
  <c r="HD57" i="12"/>
  <c r="HQ97" i="12"/>
  <c r="HD97" i="12"/>
  <c r="HQ176" i="12"/>
  <c r="HQ284" i="12"/>
  <c r="HP284" i="12"/>
  <c r="HG11" i="12"/>
  <c r="HQ63" i="12"/>
  <c r="HP165" i="12"/>
  <c r="HQ165" i="12"/>
  <c r="HD227" i="12"/>
  <c r="HQ66" i="12"/>
  <c r="HD66" i="12"/>
  <c r="HD241" i="12"/>
  <c r="HD284" i="12"/>
  <c r="HQ48" i="12"/>
  <c r="HD48" i="12"/>
  <c r="HG211" i="12"/>
  <c r="HQ76" i="12"/>
  <c r="HP141" i="12"/>
  <c r="HQ141" i="12"/>
  <c r="HD141" i="12"/>
  <c r="HG252" i="12"/>
  <c r="HN125" i="12"/>
  <c r="HO125" i="12" s="1"/>
  <c r="HG125" i="12"/>
  <c r="HN136" i="12"/>
  <c r="HO136" i="12" s="1"/>
  <c r="HG136" i="12"/>
  <c r="HN106" i="12"/>
  <c r="HO106" i="12" s="1"/>
  <c r="HG106" i="12"/>
  <c r="HN164" i="12"/>
  <c r="HO164" i="12" s="1"/>
  <c r="HG164" i="12"/>
  <c r="HQ178" i="12"/>
  <c r="HI134" i="12"/>
  <c r="HJ134" i="12" s="1"/>
  <c r="HH134" i="12"/>
  <c r="HN256" i="12"/>
  <c r="HO256" i="12" s="1"/>
  <c r="HG256" i="12"/>
  <c r="HI173" i="12"/>
  <c r="HJ173" i="12" s="1"/>
  <c r="HH173" i="12"/>
  <c r="HQ70" i="12"/>
  <c r="HQ242" i="12"/>
  <c r="HQ248" i="12"/>
  <c r="HG47" i="12"/>
  <c r="HP47" i="12" s="1"/>
  <c r="HP190" i="12"/>
  <c r="HQ190" i="12"/>
  <c r="HQ206" i="12"/>
  <c r="HP206" i="12"/>
  <c r="HG237" i="12"/>
  <c r="HP237" i="12" s="1"/>
  <c r="HQ221" i="12"/>
  <c r="HQ28" i="12"/>
  <c r="HG133" i="12"/>
  <c r="HG73" i="12"/>
  <c r="HP134" i="12"/>
  <c r="HQ134" i="12"/>
  <c r="HH186" i="12"/>
  <c r="HI186" i="12"/>
  <c r="HJ186" i="12" s="1"/>
  <c r="HQ179" i="12"/>
  <c r="HQ153" i="12"/>
  <c r="HH265" i="12"/>
  <c r="HI265" i="12"/>
  <c r="HJ265" i="12" s="1"/>
  <c r="HI172" i="12"/>
  <c r="HJ172" i="12" s="1"/>
  <c r="HH172" i="12"/>
  <c r="HI190" i="12"/>
  <c r="HJ190" i="12" s="1"/>
  <c r="HH190" i="12"/>
  <c r="HI206" i="12"/>
  <c r="HJ206" i="12" s="1"/>
  <c r="HH206" i="12"/>
  <c r="HH229" i="12"/>
  <c r="HI229" i="12"/>
  <c r="HJ229" i="12" s="1"/>
  <c r="HQ55" i="12"/>
  <c r="HG126" i="12"/>
  <c r="HP126" i="12" s="1"/>
  <c r="HG285" i="12"/>
  <c r="HG79" i="12"/>
  <c r="HG4" i="12"/>
  <c r="HP4" i="12" s="1"/>
  <c r="HG255" i="12"/>
  <c r="HG228" i="12"/>
  <c r="HQ235" i="12"/>
  <c r="HQ265" i="12"/>
  <c r="HP265" i="12"/>
  <c r="HQ172" i="12"/>
  <c r="HP172" i="12"/>
  <c r="HG10" i="12"/>
  <c r="HP229" i="12"/>
  <c r="HQ229" i="12"/>
  <c r="HQ223" i="12"/>
  <c r="HG152" i="12"/>
  <c r="HP152" i="12" s="1"/>
  <c r="HQ285" i="12"/>
  <c r="HD134" i="12"/>
  <c r="GO189" i="12"/>
  <c r="GV201" i="12"/>
  <c r="GO226" i="12"/>
  <c r="GV116" i="12"/>
  <c r="GO161" i="12"/>
  <c r="GV286" i="12"/>
  <c r="GO6" i="12"/>
  <c r="GV6" i="12"/>
  <c r="GO10" i="12"/>
  <c r="GV10" i="12"/>
  <c r="GO14" i="12"/>
  <c r="GV14" i="12"/>
  <c r="GO29" i="12"/>
  <c r="GV29" i="12"/>
  <c r="GV30" i="12" s="1"/>
  <c r="GO40" i="12"/>
  <c r="GV40" i="12"/>
  <c r="GO56" i="12"/>
  <c r="GV56" i="12"/>
  <c r="GO60" i="12"/>
  <c r="GV60" i="12"/>
  <c r="GO68" i="12"/>
  <c r="GV68" i="12"/>
  <c r="GO76" i="12"/>
  <c r="GV76" i="12"/>
  <c r="GO90" i="12"/>
  <c r="GV90" i="12"/>
  <c r="GV92" i="12" s="1"/>
  <c r="GO106" i="12"/>
  <c r="GV106" i="12"/>
  <c r="GO123" i="12"/>
  <c r="GV123" i="12"/>
  <c r="GO127" i="12"/>
  <c r="GV127" i="12"/>
  <c r="GO133" i="12"/>
  <c r="GV133" i="12"/>
  <c r="GO147" i="12"/>
  <c r="GV147" i="12"/>
  <c r="GO151" i="12"/>
  <c r="GV151" i="12"/>
  <c r="GO163" i="12"/>
  <c r="GO179" i="12"/>
  <c r="GV179" i="12"/>
  <c r="GO192" i="12"/>
  <c r="GV192" i="12"/>
  <c r="GO207" i="12"/>
  <c r="GV207" i="12"/>
  <c r="GO211" i="12"/>
  <c r="GV211" i="12"/>
  <c r="GO217" i="12"/>
  <c r="GV217" i="12"/>
  <c r="GO221" i="12"/>
  <c r="GV221" i="12"/>
  <c r="GO225" i="12"/>
  <c r="GV225" i="12"/>
  <c r="GO236" i="12"/>
  <c r="GV236" i="12"/>
  <c r="GO240" i="12"/>
  <c r="GV240" i="12"/>
  <c r="GO249" i="12"/>
  <c r="GV249" i="12"/>
  <c r="GO253" i="12"/>
  <c r="GV253" i="12"/>
  <c r="GO266" i="12"/>
  <c r="GV266" i="12"/>
  <c r="GO21" i="12"/>
  <c r="GV21" i="12"/>
  <c r="GO41" i="12"/>
  <c r="GV41" i="12"/>
  <c r="GO57" i="12"/>
  <c r="GV57" i="12"/>
  <c r="GO61" i="12"/>
  <c r="GV61" i="12"/>
  <c r="GO65" i="12"/>
  <c r="GV65" i="12"/>
  <c r="GO69" i="12"/>
  <c r="GV69" i="12"/>
  <c r="GO73" i="12"/>
  <c r="GV73" i="12"/>
  <c r="GO77" i="12"/>
  <c r="GV77" i="12"/>
  <c r="GO81" i="12"/>
  <c r="GV81" i="12"/>
  <c r="GO97" i="12"/>
  <c r="GV97" i="12"/>
  <c r="GO134" i="12"/>
  <c r="GV134" i="12"/>
  <c r="GO138" i="12"/>
  <c r="GV138" i="12"/>
  <c r="GO148" i="12"/>
  <c r="GV148" i="12"/>
  <c r="GO164" i="12"/>
  <c r="GV164" i="12"/>
  <c r="GO173" i="12"/>
  <c r="GV173" i="12"/>
  <c r="GO177" i="12"/>
  <c r="GV177" i="12"/>
  <c r="GO208" i="12"/>
  <c r="GV208" i="12"/>
  <c r="GO228" i="12"/>
  <c r="GO4" i="12"/>
  <c r="GV4" i="12"/>
  <c r="GO8" i="12"/>
  <c r="GV8" i="12"/>
  <c r="GO12" i="12"/>
  <c r="GV12" i="12"/>
  <c r="GO48" i="12"/>
  <c r="GV48" i="12"/>
  <c r="GV51" i="12" s="1"/>
  <c r="GO121" i="12"/>
  <c r="GV121" i="12"/>
  <c r="GO125" i="12"/>
  <c r="GV125" i="12"/>
  <c r="GO149" i="12"/>
  <c r="GV149" i="12"/>
  <c r="GO153" i="12"/>
  <c r="GV153" i="12"/>
  <c r="GO162" i="12"/>
  <c r="GV162" i="12"/>
  <c r="GO190" i="12"/>
  <c r="GV190" i="12"/>
  <c r="GO219" i="12"/>
  <c r="GV219" i="12"/>
  <c r="GO223" i="12"/>
  <c r="GV223" i="12"/>
  <c r="GO229" i="12"/>
  <c r="GV229" i="12"/>
  <c r="GO238" i="12"/>
  <c r="GV238" i="12"/>
  <c r="GO242" i="12"/>
  <c r="GV242" i="12"/>
  <c r="GO251" i="12"/>
  <c r="GV251" i="12"/>
  <c r="GO257" i="12"/>
  <c r="GV257" i="12"/>
  <c r="GO264" i="12"/>
  <c r="GV264" i="12"/>
  <c r="GO268" i="12"/>
  <c r="GV268" i="12"/>
  <c r="GN275" i="12"/>
  <c r="GV274" i="12"/>
  <c r="GV275" i="12" s="1"/>
  <c r="GO23" i="12"/>
  <c r="GV23" i="12"/>
  <c r="GO59" i="12"/>
  <c r="GV59" i="12"/>
  <c r="GO63" i="12"/>
  <c r="GV63" i="12"/>
  <c r="GO67" i="12"/>
  <c r="GV67" i="12"/>
  <c r="GO71" i="12"/>
  <c r="GV71" i="12"/>
  <c r="GO75" i="12"/>
  <c r="GV75" i="12"/>
  <c r="GO79" i="12"/>
  <c r="GV79" i="12"/>
  <c r="GO99" i="12"/>
  <c r="GV99" i="12"/>
  <c r="GO105" i="12"/>
  <c r="GV105" i="12"/>
  <c r="GO136" i="12"/>
  <c r="GV136" i="12"/>
  <c r="GO140" i="12"/>
  <c r="GV140" i="12"/>
  <c r="GO160" i="12"/>
  <c r="GV160" i="12"/>
  <c r="GO165" i="12"/>
  <c r="GO175" i="12"/>
  <c r="GV175" i="12"/>
  <c r="GO178" i="12"/>
  <c r="GO188" i="12"/>
  <c r="GV188" i="12"/>
  <c r="GO200" i="12"/>
  <c r="GO210" i="12"/>
  <c r="GV210" i="12"/>
  <c r="GO227" i="12"/>
  <c r="GV227" i="12"/>
  <c r="GO248" i="12"/>
  <c r="GV248" i="12"/>
  <c r="GO137" i="12"/>
  <c r="GO187" i="12"/>
  <c r="GN51" i="12"/>
  <c r="GO64" i="12"/>
  <c r="GO193" i="12"/>
  <c r="GO218" i="12"/>
  <c r="GO222" i="12"/>
  <c r="GO250" i="12"/>
  <c r="GO252" i="12"/>
  <c r="GO122" i="12"/>
  <c r="GO141" i="12"/>
  <c r="GO180" i="12"/>
  <c r="GO191" i="12"/>
  <c r="GO107" i="12"/>
  <c r="GO49" i="12"/>
  <c r="GO135" i="12"/>
  <c r="GO139" i="12"/>
  <c r="GO159" i="12"/>
  <c r="GO235" i="12"/>
  <c r="GO239" i="12"/>
  <c r="GO254" i="12"/>
  <c r="GO265" i="12"/>
  <c r="GO274" i="12"/>
  <c r="GO275" i="12" s="1"/>
  <c r="GO285" i="12"/>
  <c r="GO263" i="12"/>
  <c r="GO267" i="12"/>
  <c r="GO237" i="12"/>
  <c r="GO241" i="12"/>
  <c r="GO224" i="12"/>
  <c r="GO220" i="12"/>
  <c r="GO209" i="12"/>
  <c r="GO172" i="12"/>
  <c r="GO174" i="12"/>
  <c r="GO176" i="12"/>
  <c r="GN166" i="12"/>
  <c r="GO152" i="12"/>
  <c r="GO150" i="12"/>
  <c r="GN142" i="12"/>
  <c r="GO126" i="12"/>
  <c r="GO124" i="12"/>
  <c r="GO115" i="12"/>
  <c r="GO98" i="12"/>
  <c r="GO89" i="12"/>
  <c r="GO91" i="12"/>
  <c r="GO80" i="12"/>
  <c r="GO74" i="12"/>
  <c r="GO78" i="12"/>
  <c r="GO82" i="12"/>
  <c r="GO72" i="12"/>
  <c r="GO70" i="12"/>
  <c r="GN83" i="12"/>
  <c r="GO47" i="12"/>
  <c r="GO28" i="12"/>
  <c r="GO20" i="12"/>
  <c r="GO22" i="12"/>
  <c r="GO9" i="12"/>
  <c r="GO13" i="12"/>
  <c r="GO5" i="12"/>
  <c r="GO7" i="12"/>
  <c r="GO11" i="12"/>
  <c r="GN15" i="12"/>
  <c r="GN24" i="12"/>
  <c r="GN30" i="12"/>
  <c r="GN42" i="12"/>
  <c r="GN116" i="12"/>
  <c r="GO114" i="12"/>
  <c r="GN154" i="12"/>
  <c r="GO186" i="12"/>
  <c r="GN194" i="12"/>
  <c r="GN201" i="12"/>
  <c r="GO199" i="12"/>
  <c r="GN212" i="12"/>
  <c r="GN230" i="12" s="1"/>
  <c r="GN243" i="12" s="1"/>
  <c r="GO206" i="12"/>
  <c r="GN269" i="12"/>
  <c r="GN286" i="12"/>
  <c r="GO284" i="12"/>
  <c r="GO62" i="12"/>
  <c r="GN92" i="12"/>
  <c r="GO88" i="12"/>
  <c r="GN109" i="12"/>
  <c r="GN128" i="12"/>
  <c r="GM258" i="12"/>
  <c r="GO256" i="12"/>
  <c r="GN181" i="12"/>
  <c r="GO171" i="12"/>
  <c r="GN258" i="12"/>
  <c r="GO55" i="12"/>
  <c r="GO58" i="12"/>
  <c r="GO66" i="12"/>
  <c r="GN101" i="12"/>
  <c r="GO255" i="12"/>
  <c r="HH63" i="12" l="1"/>
  <c r="HH199" i="12"/>
  <c r="HH121" i="12"/>
  <c r="HP153" i="12"/>
  <c r="HH153" i="12"/>
  <c r="HP241" i="12"/>
  <c r="HI91" i="12"/>
  <c r="HJ91" i="12" s="1"/>
  <c r="HH55" i="12"/>
  <c r="HP28" i="12"/>
  <c r="HI189" i="12"/>
  <c r="HJ189" i="12" s="1"/>
  <c r="HI151" i="12"/>
  <c r="HJ151" i="12" s="1"/>
  <c r="HR218" i="12"/>
  <c r="HQ162" i="12"/>
  <c r="HR162" i="12" s="1"/>
  <c r="HI123" i="12"/>
  <c r="HJ123" i="12" s="1"/>
  <c r="HH91" i="12"/>
  <c r="HP189" i="12"/>
  <c r="HI97" i="12"/>
  <c r="HJ97" i="12" s="1"/>
  <c r="HP97" i="12"/>
  <c r="HH178" i="12"/>
  <c r="HH257" i="12"/>
  <c r="HI150" i="12"/>
  <c r="HJ150" i="12" s="1"/>
  <c r="HI235" i="12"/>
  <c r="HJ235" i="12" s="1"/>
  <c r="HP179" i="12"/>
  <c r="HH174" i="12"/>
  <c r="HI179" i="12"/>
  <c r="HJ179" i="12" s="1"/>
  <c r="HH217" i="12"/>
  <c r="HP150" i="12"/>
  <c r="HH177" i="12"/>
  <c r="HP235" i="12"/>
  <c r="HP248" i="12"/>
  <c r="HI207" i="12"/>
  <c r="HJ207" i="12" s="1"/>
  <c r="HI174" i="12"/>
  <c r="HJ174" i="12" s="1"/>
  <c r="HP224" i="12"/>
  <c r="HP107" i="12"/>
  <c r="HI248" i="12"/>
  <c r="HJ248" i="12" s="1"/>
  <c r="HH207" i="12"/>
  <c r="HH29" i="12"/>
  <c r="HI251" i="12"/>
  <c r="HJ251" i="12" s="1"/>
  <c r="HP191" i="12"/>
  <c r="HP65" i="12"/>
  <c r="HH224" i="12"/>
  <c r="HI65" i="12"/>
  <c r="HJ65" i="12" s="1"/>
  <c r="HH99" i="12"/>
  <c r="HH107" i="12"/>
  <c r="HP160" i="12"/>
  <c r="HH14" i="12"/>
  <c r="HI191" i="12"/>
  <c r="HJ191" i="12" s="1"/>
  <c r="HP99" i="12"/>
  <c r="HI14" i="12"/>
  <c r="HJ14" i="12" s="1"/>
  <c r="HI160" i="12"/>
  <c r="HJ160" i="12" s="1"/>
  <c r="HI55" i="12"/>
  <c r="HJ55" i="12" s="1"/>
  <c r="HH240" i="12"/>
  <c r="HI236" i="12"/>
  <c r="HJ236" i="12" s="1"/>
  <c r="HP48" i="12"/>
  <c r="HP236" i="12"/>
  <c r="HI48" i="12"/>
  <c r="HJ48" i="12" s="1"/>
  <c r="HH28" i="12"/>
  <c r="HP61" i="12"/>
  <c r="HP274" i="12"/>
  <c r="HI61" i="12"/>
  <c r="HJ61" i="12" s="1"/>
  <c r="HH274" i="12"/>
  <c r="HI253" i="12"/>
  <c r="HJ253" i="12" s="1"/>
  <c r="HR140" i="12"/>
  <c r="HR74" i="12"/>
  <c r="HR274" i="12"/>
  <c r="HR284" i="12"/>
  <c r="HH78" i="12"/>
  <c r="HP78" i="12"/>
  <c r="HP58" i="12"/>
  <c r="HQ69" i="12"/>
  <c r="HR69" i="12" s="1"/>
  <c r="HP114" i="12"/>
  <c r="HH70" i="12"/>
  <c r="HH114" i="12"/>
  <c r="HI137" i="12"/>
  <c r="HJ137" i="12" s="1"/>
  <c r="HI192" i="12"/>
  <c r="HJ192" i="12" s="1"/>
  <c r="HI70" i="12"/>
  <c r="HJ70" i="12" s="1"/>
  <c r="HI223" i="12"/>
  <c r="HJ223" i="12" s="1"/>
  <c r="HP242" i="12"/>
  <c r="HH137" i="12"/>
  <c r="HP264" i="12"/>
  <c r="HP223" i="12"/>
  <c r="HH57" i="12"/>
  <c r="HI242" i="12"/>
  <c r="HJ242" i="12" s="1"/>
  <c r="HP57" i="12"/>
  <c r="HI58" i="12"/>
  <c r="HJ58" i="12" s="1"/>
  <c r="HP192" i="12"/>
  <c r="HH151" i="12"/>
  <c r="HI63" i="12"/>
  <c r="HJ63" i="12" s="1"/>
  <c r="HI178" i="12"/>
  <c r="HJ178" i="12" s="1"/>
  <c r="HH176" i="12"/>
  <c r="HP121" i="12"/>
  <c r="HI209" i="12"/>
  <c r="HJ209" i="12" s="1"/>
  <c r="HP257" i="12"/>
  <c r="HP162" i="12"/>
  <c r="HR121" i="12"/>
  <c r="HH76" i="12"/>
  <c r="HP76" i="12"/>
  <c r="HR150" i="12"/>
  <c r="HR149" i="12"/>
  <c r="HR217" i="12"/>
  <c r="HH123" i="12"/>
  <c r="HH148" i="12"/>
  <c r="HP64" i="12"/>
  <c r="HH227" i="12"/>
  <c r="HH165" i="12"/>
  <c r="HR248" i="12"/>
  <c r="HP82" i="12"/>
  <c r="HR241" i="12"/>
  <c r="HI82" i="12"/>
  <c r="HJ82" i="12" s="1"/>
  <c r="HI75" i="12"/>
  <c r="HJ75" i="12" s="1"/>
  <c r="HI227" i="12"/>
  <c r="HJ227" i="12" s="1"/>
  <c r="HR177" i="12"/>
  <c r="HP75" i="12"/>
  <c r="HP199" i="12"/>
  <c r="HR91" i="12"/>
  <c r="HI64" i="12"/>
  <c r="HJ64" i="12" s="1"/>
  <c r="HR176" i="12"/>
  <c r="HR239" i="12"/>
  <c r="HP209" i="12"/>
  <c r="HR148" i="12"/>
  <c r="HR265" i="12"/>
  <c r="GO30" i="12"/>
  <c r="HI122" i="12"/>
  <c r="HJ122" i="12" s="1"/>
  <c r="HH175" i="12"/>
  <c r="HR141" i="12"/>
  <c r="HH221" i="12"/>
  <c r="HH122" i="12"/>
  <c r="HP81" i="12"/>
  <c r="GO101" i="12"/>
  <c r="HR229" i="12"/>
  <c r="HI221" i="12"/>
  <c r="HJ221" i="12" s="1"/>
  <c r="HR175" i="12"/>
  <c r="HI127" i="12"/>
  <c r="HJ127" i="12" s="1"/>
  <c r="HH127" i="12"/>
  <c r="HH81" i="12"/>
  <c r="HP240" i="12"/>
  <c r="HR240" i="12"/>
  <c r="HH253" i="12"/>
  <c r="HR173" i="12"/>
  <c r="HR172" i="12"/>
  <c r="HR153" i="12"/>
  <c r="HR206" i="12"/>
  <c r="HR165" i="12"/>
  <c r="HR57" i="12"/>
  <c r="HR192" i="12"/>
  <c r="HD173" i="12"/>
  <c r="HR147" i="12"/>
  <c r="HI12" i="12"/>
  <c r="HP12" i="12"/>
  <c r="HH12" i="12"/>
  <c r="HI13" i="12"/>
  <c r="HH13" i="12"/>
  <c r="HI5" i="12"/>
  <c r="HH5" i="12"/>
  <c r="HR190" i="12"/>
  <c r="HR220" i="12"/>
  <c r="GO51" i="12"/>
  <c r="GO109" i="12"/>
  <c r="HR134" i="12"/>
  <c r="HR123" i="12"/>
  <c r="HG275" i="12"/>
  <c r="HI275" i="12" s="1"/>
  <c r="HJ275" i="12" s="1"/>
  <c r="HR20" i="12"/>
  <c r="HR224" i="12"/>
  <c r="HR29" i="12"/>
  <c r="HR99" i="12"/>
  <c r="HR28" i="12"/>
  <c r="HI7" i="12"/>
  <c r="HP7" i="12"/>
  <c r="HH7" i="12"/>
  <c r="HH79" i="12"/>
  <c r="HI79" i="12"/>
  <c r="HJ79" i="12" s="1"/>
  <c r="HI73" i="12"/>
  <c r="HJ73" i="12" s="1"/>
  <c r="HH73" i="12"/>
  <c r="HH21" i="12"/>
  <c r="HI21" i="12"/>
  <c r="HJ21" i="12" s="1"/>
  <c r="HI161" i="12"/>
  <c r="HJ161" i="12" s="1"/>
  <c r="HH161" i="12"/>
  <c r="HP89" i="12"/>
  <c r="HQ89" i="12"/>
  <c r="HD89" i="12"/>
  <c r="HP208" i="12"/>
  <c r="HQ208" i="12"/>
  <c r="HD208" i="12"/>
  <c r="HI187" i="12"/>
  <c r="HJ187" i="12" s="1"/>
  <c r="HH187" i="12"/>
  <c r="HP23" i="12"/>
  <c r="HH23" i="12"/>
  <c r="HI23" i="12"/>
  <c r="HJ23" i="12" s="1"/>
  <c r="HH8" i="12"/>
  <c r="HI8" i="12"/>
  <c r="HJ8" i="12" s="1"/>
  <c r="HP249" i="12"/>
  <c r="HQ249" i="12"/>
  <c r="HD249" i="12"/>
  <c r="HI152" i="12"/>
  <c r="HJ152" i="12" s="1"/>
  <c r="HH152" i="12"/>
  <c r="HI228" i="12"/>
  <c r="HJ228" i="12" s="1"/>
  <c r="HH228" i="12"/>
  <c r="HH285" i="12"/>
  <c r="HI285" i="12"/>
  <c r="HJ285" i="12" s="1"/>
  <c r="HP133" i="12"/>
  <c r="HH133" i="12"/>
  <c r="HI133" i="12"/>
  <c r="HJ133" i="12" s="1"/>
  <c r="HQ256" i="12"/>
  <c r="HP256" i="12"/>
  <c r="HD256" i="12"/>
  <c r="HR178" i="12"/>
  <c r="HQ106" i="12"/>
  <c r="HP106" i="12"/>
  <c r="HD106" i="12"/>
  <c r="HQ125" i="12"/>
  <c r="HP125" i="12"/>
  <c r="HD125" i="12"/>
  <c r="HH211" i="12"/>
  <c r="HI211" i="12"/>
  <c r="HJ211" i="12" s="1"/>
  <c r="HR97" i="12"/>
  <c r="HI49" i="12"/>
  <c r="HJ49" i="12" s="1"/>
  <c r="HH49" i="12"/>
  <c r="HR152" i="12"/>
  <c r="HR186" i="12"/>
  <c r="HI200" i="12"/>
  <c r="HJ200" i="12" s="1"/>
  <c r="HH200" i="12"/>
  <c r="HI90" i="12"/>
  <c r="HJ90" i="12" s="1"/>
  <c r="HH90" i="12"/>
  <c r="HQ275" i="12"/>
  <c r="HP228" i="12"/>
  <c r="HI71" i="12"/>
  <c r="HJ71" i="12" s="1"/>
  <c r="HH71" i="12"/>
  <c r="HP161" i="12"/>
  <c r="HQ161" i="12"/>
  <c r="HD161" i="12"/>
  <c r="HQ188" i="12"/>
  <c r="HP188" i="12"/>
  <c r="HD188" i="12"/>
  <c r="HI98" i="12"/>
  <c r="HJ98" i="12" s="1"/>
  <c r="HH98" i="12"/>
  <c r="HH268" i="12"/>
  <c r="HI268" i="12"/>
  <c r="HJ268" i="12" s="1"/>
  <c r="HH124" i="12"/>
  <c r="HI124" i="12"/>
  <c r="HJ124" i="12" s="1"/>
  <c r="HQ238" i="12"/>
  <c r="HP238" i="12"/>
  <c r="HD238" i="12"/>
  <c r="HQ193" i="12"/>
  <c r="HP193" i="12"/>
  <c r="HD193" i="12"/>
  <c r="HP254" i="12"/>
  <c r="HQ254" i="12"/>
  <c r="HD254" i="12"/>
  <c r="HP138" i="12"/>
  <c r="HQ138" i="12"/>
  <c r="HD138" i="12"/>
  <c r="HD40" i="12"/>
  <c r="HP40" i="12"/>
  <c r="HQ40" i="12"/>
  <c r="HQ187" i="12"/>
  <c r="HP187" i="12"/>
  <c r="HD187" i="12"/>
  <c r="HQ80" i="12"/>
  <c r="HP80" i="12"/>
  <c r="HD80" i="12"/>
  <c r="HR253" i="12"/>
  <c r="HR107" i="12"/>
  <c r="HR81" i="12"/>
  <c r="HR59" i="12"/>
  <c r="HP73" i="12"/>
  <c r="HQ105" i="12"/>
  <c r="HP105" i="12"/>
  <c r="HD105" i="12"/>
  <c r="HP62" i="12"/>
  <c r="HH62" i="12"/>
  <c r="HI62" i="12"/>
  <c r="HJ62" i="12" s="1"/>
  <c r="HD8" i="12"/>
  <c r="HP8" i="12"/>
  <c r="HQ8" i="12"/>
  <c r="HI9" i="12"/>
  <c r="HJ9" i="12" s="1"/>
  <c r="HH9" i="12"/>
  <c r="HI40" i="12"/>
  <c r="HJ40" i="12" s="1"/>
  <c r="HH40" i="12"/>
  <c r="HH80" i="12"/>
  <c r="HI80" i="12"/>
  <c r="HJ80" i="12" s="1"/>
  <c r="HP222" i="12"/>
  <c r="HQ222" i="12"/>
  <c r="HD222" i="12"/>
  <c r="HP267" i="12"/>
  <c r="HQ267" i="12"/>
  <c r="HD267" i="12"/>
  <c r="HH255" i="12"/>
  <c r="HI255" i="12"/>
  <c r="HJ255" i="12" s="1"/>
  <c r="HI237" i="12"/>
  <c r="HJ237" i="12" s="1"/>
  <c r="HH237" i="12"/>
  <c r="HI164" i="12"/>
  <c r="HJ164" i="12" s="1"/>
  <c r="HH164" i="12"/>
  <c r="HH136" i="12"/>
  <c r="HI136" i="12"/>
  <c r="HJ136" i="12" s="1"/>
  <c r="HH139" i="12"/>
  <c r="HI139" i="12"/>
  <c r="HJ139" i="12" s="1"/>
  <c r="HR79" i="12"/>
  <c r="HQ200" i="12"/>
  <c r="HP200" i="12"/>
  <c r="HD200" i="12"/>
  <c r="HQ90" i="12"/>
  <c r="HP90" i="12"/>
  <c r="HD90" i="12"/>
  <c r="HH115" i="12"/>
  <c r="HI115" i="12"/>
  <c r="HJ115" i="12" s="1"/>
  <c r="HH250" i="12"/>
  <c r="HI250" i="12"/>
  <c r="HJ250" i="12" s="1"/>
  <c r="HR60" i="12"/>
  <c r="HI159" i="12"/>
  <c r="HJ159" i="12" s="1"/>
  <c r="HH159" i="12"/>
  <c r="HH225" i="12"/>
  <c r="HI225" i="12"/>
  <c r="HJ225" i="12" s="1"/>
  <c r="HP211" i="12"/>
  <c r="HR78" i="12"/>
  <c r="HH188" i="12"/>
  <c r="HI188" i="12"/>
  <c r="HJ188" i="12" s="1"/>
  <c r="HQ98" i="12"/>
  <c r="HP98" i="12"/>
  <c r="HD98" i="12"/>
  <c r="HP268" i="12"/>
  <c r="HQ268" i="12"/>
  <c r="HD268" i="12"/>
  <c r="HQ124" i="12"/>
  <c r="HP124" i="12"/>
  <c r="HD124" i="12"/>
  <c r="HH226" i="12"/>
  <c r="HI226" i="12"/>
  <c r="HJ226" i="12" s="1"/>
  <c r="HP250" i="12"/>
  <c r="HP255" i="12"/>
  <c r="HH238" i="12"/>
  <c r="HI238" i="12"/>
  <c r="HJ238" i="12" s="1"/>
  <c r="HI193" i="12"/>
  <c r="HJ193" i="12" s="1"/>
  <c r="HH193" i="12"/>
  <c r="HQ266" i="12"/>
  <c r="HP266" i="12"/>
  <c r="HD266" i="12"/>
  <c r="HH135" i="12"/>
  <c r="HI135" i="12"/>
  <c r="HJ135" i="12" s="1"/>
  <c r="HH263" i="12"/>
  <c r="HI263" i="12"/>
  <c r="HJ263" i="12" s="1"/>
  <c r="HP210" i="12"/>
  <c r="HQ210" i="12"/>
  <c r="HD210" i="12"/>
  <c r="HR174" i="12"/>
  <c r="HH56" i="12"/>
  <c r="HI56" i="12"/>
  <c r="HJ56" i="12" s="1"/>
  <c r="HI180" i="12"/>
  <c r="HJ180" i="12" s="1"/>
  <c r="HH180" i="12"/>
  <c r="HI163" i="12"/>
  <c r="HJ163" i="12" s="1"/>
  <c r="HH163" i="12"/>
  <c r="HQ62" i="12"/>
  <c r="HD62" i="12"/>
  <c r="HR151" i="12"/>
  <c r="HD9" i="12"/>
  <c r="HQ9" i="12"/>
  <c r="HP9" i="12"/>
  <c r="HR207" i="12"/>
  <c r="HQ68" i="12"/>
  <c r="HD68" i="12"/>
  <c r="HI256" i="12"/>
  <c r="HJ256" i="12" s="1"/>
  <c r="HH256" i="12"/>
  <c r="HI106" i="12"/>
  <c r="HJ106" i="12" s="1"/>
  <c r="HH106" i="12"/>
  <c r="HH125" i="12"/>
  <c r="HI125" i="12"/>
  <c r="HJ125" i="12" s="1"/>
  <c r="HR76" i="12"/>
  <c r="HP67" i="12"/>
  <c r="HQ67" i="12"/>
  <c r="HD67" i="12"/>
  <c r="HI6" i="12"/>
  <c r="HH6" i="12"/>
  <c r="HP6" i="12"/>
  <c r="HI219" i="12"/>
  <c r="HJ219" i="12" s="1"/>
  <c r="HH219" i="12"/>
  <c r="HH254" i="12"/>
  <c r="HI254" i="12"/>
  <c r="HJ254" i="12" s="1"/>
  <c r="HI138" i="12"/>
  <c r="HJ138" i="12" s="1"/>
  <c r="HH138" i="12"/>
  <c r="HR73" i="12"/>
  <c r="HI105" i="12"/>
  <c r="HJ105" i="12" s="1"/>
  <c r="HH105" i="12"/>
  <c r="HQ41" i="12"/>
  <c r="HP41" i="12"/>
  <c r="HD41" i="12"/>
  <c r="HP285" i="12"/>
  <c r="HI10" i="12"/>
  <c r="HH10" i="12"/>
  <c r="HP10" i="12"/>
  <c r="HI4" i="12"/>
  <c r="HJ4" i="12" s="1"/>
  <c r="HH4" i="12"/>
  <c r="HI126" i="12"/>
  <c r="HJ126" i="12" s="1"/>
  <c r="HH126" i="12"/>
  <c r="HH47" i="12"/>
  <c r="HI47" i="12"/>
  <c r="HJ47" i="12" s="1"/>
  <c r="HP164" i="12"/>
  <c r="HQ164" i="12"/>
  <c r="HD164" i="12"/>
  <c r="HP136" i="12"/>
  <c r="HQ136" i="12"/>
  <c r="HD136" i="12"/>
  <c r="HI252" i="12"/>
  <c r="HJ252" i="12" s="1"/>
  <c r="HH252" i="12"/>
  <c r="HI11" i="12"/>
  <c r="HP11" i="12"/>
  <c r="HH11" i="12"/>
  <c r="HI88" i="12"/>
  <c r="HJ88" i="12" s="1"/>
  <c r="HH88" i="12"/>
  <c r="HH72" i="12"/>
  <c r="HI72" i="12"/>
  <c r="HJ72" i="12" s="1"/>
  <c r="HP79" i="12"/>
  <c r="HH67" i="12"/>
  <c r="HI67" i="12"/>
  <c r="HJ67" i="12" s="1"/>
  <c r="HQ115" i="12"/>
  <c r="HP115" i="12"/>
  <c r="HD115" i="12"/>
  <c r="HI77" i="12"/>
  <c r="HJ77" i="12" s="1"/>
  <c r="HH77" i="12"/>
  <c r="HP66" i="12"/>
  <c r="HH66" i="12"/>
  <c r="HI66" i="12"/>
  <c r="HJ66" i="12" s="1"/>
  <c r="HR49" i="12"/>
  <c r="HP252" i="12"/>
  <c r="HR199" i="12"/>
  <c r="HP225" i="12"/>
  <c r="HQ225" i="12"/>
  <c r="HD225" i="12"/>
  <c r="HP219" i="12"/>
  <c r="HH89" i="12"/>
  <c r="HI89" i="12"/>
  <c r="HJ89" i="12" s="1"/>
  <c r="HR264" i="12"/>
  <c r="HP226" i="12"/>
  <c r="HQ226" i="12"/>
  <c r="HD226" i="12"/>
  <c r="HI208" i="12"/>
  <c r="HJ208" i="12" s="1"/>
  <c r="HH208" i="12"/>
  <c r="HH266" i="12"/>
  <c r="HI266" i="12"/>
  <c r="HJ266" i="12" s="1"/>
  <c r="HP135" i="12"/>
  <c r="HQ135" i="12"/>
  <c r="HD135" i="12"/>
  <c r="HQ263" i="12"/>
  <c r="HR263" i="12" s="1"/>
  <c r="HP263" i="12"/>
  <c r="HD263" i="12"/>
  <c r="HI210" i="12"/>
  <c r="HJ210" i="12" s="1"/>
  <c r="HH210" i="12"/>
  <c r="HR65" i="12"/>
  <c r="HP21" i="12"/>
  <c r="HQ23" i="12"/>
  <c r="HD23" i="12"/>
  <c r="HQ56" i="12"/>
  <c r="HP56" i="12"/>
  <c r="HD56" i="12"/>
  <c r="HP180" i="12"/>
  <c r="HQ180" i="12"/>
  <c r="HD180" i="12"/>
  <c r="HP163" i="12"/>
  <c r="HQ163" i="12"/>
  <c r="HR163" i="12" s="1"/>
  <c r="HD163" i="12"/>
  <c r="HH41" i="12"/>
  <c r="HI41" i="12"/>
  <c r="HJ41" i="12" s="1"/>
  <c r="HI222" i="12"/>
  <c r="HJ222" i="12" s="1"/>
  <c r="HH222" i="12"/>
  <c r="HH267" i="12"/>
  <c r="HI267" i="12"/>
  <c r="HJ267" i="12" s="1"/>
  <c r="HI249" i="12"/>
  <c r="HJ249" i="12" s="1"/>
  <c r="HH249" i="12"/>
  <c r="HR114" i="12"/>
  <c r="HP68" i="12"/>
  <c r="HH68" i="12"/>
  <c r="HI68" i="12"/>
  <c r="HJ68" i="12" s="1"/>
  <c r="HR257" i="12"/>
  <c r="GV42" i="12"/>
  <c r="GO42" i="12"/>
  <c r="GO166" i="12"/>
  <c r="GV181" i="12"/>
  <c r="GV83" i="12"/>
  <c r="GV258" i="12"/>
  <c r="GV166" i="12"/>
  <c r="GV128" i="12"/>
  <c r="GV24" i="12"/>
  <c r="GV212" i="12"/>
  <c r="GO201" i="12"/>
  <c r="GO142" i="12"/>
  <c r="GV269" i="12"/>
  <c r="GV194" i="12"/>
  <c r="GV15" i="12"/>
  <c r="GV142" i="12"/>
  <c r="GO24" i="12"/>
  <c r="GV243" i="12"/>
  <c r="GV230" i="12"/>
  <c r="GO128" i="12"/>
  <c r="GV101" i="12"/>
  <c r="GV154" i="12"/>
  <c r="GV109" i="12"/>
  <c r="GO194" i="12"/>
  <c r="GO92" i="12"/>
  <c r="GO83" i="12"/>
  <c r="GO15" i="12"/>
  <c r="GO154" i="12"/>
  <c r="GO181" i="12"/>
  <c r="GO269" i="12"/>
  <c r="GO286" i="12"/>
  <c r="GO258" i="12"/>
  <c r="GO116" i="12"/>
  <c r="GO212" i="12"/>
  <c r="GO230" i="12" s="1"/>
  <c r="GO243" i="12" s="1"/>
  <c r="HR189" i="12" l="1"/>
  <c r="HR242" i="12"/>
  <c r="HR251" i="12"/>
  <c r="HR23" i="12"/>
  <c r="HR236" i="12"/>
  <c r="HR61" i="12"/>
  <c r="HR70" i="12"/>
  <c r="HR223" i="12"/>
  <c r="HR235" i="12"/>
  <c r="HR55" i="12"/>
  <c r="HR191" i="12"/>
  <c r="HR75" i="12"/>
  <c r="HR179" i="12"/>
  <c r="HR137" i="12"/>
  <c r="HR160" i="12"/>
  <c r="HR14" i="12"/>
  <c r="HR58" i="12"/>
  <c r="HR82" i="12"/>
  <c r="HR48" i="12"/>
  <c r="HR225" i="12"/>
  <c r="HR209" i="12"/>
  <c r="HR98" i="12"/>
  <c r="HR115" i="12"/>
  <c r="HR268" i="12"/>
  <c r="HR56" i="12"/>
  <c r="HR237" i="12"/>
  <c r="HR63" i="12"/>
  <c r="HR221" i="12"/>
  <c r="HR64" i="12"/>
  <c r="HR227" i="12"/>
  <c r="HR71" i="12"/>
  <c r="HR228" i="12"/>
  <c r="HR200" i="12"/>
  <c r="HR122" i="12"/>
  <c r="HR8" i="12"/>
  <c r="HR164" i="12"/>
  <c r="HR127" i="12"/>
  <c r="HR80" i="12"/>
  <c r="HH275" i="12"/>
  <c r="HR67" i="12"/>
  <c r="HR249" i="12"/>
  <c r="HR135" i="12"/>
  <c r="HR136" i="12"/>
  <c r="HR133" i="12"/>
  <c r="HR139" i="12"/>
  <c r="HR161" i="12"/>
  <c r="HP275" i="12"/>
  <c r="HR252" i="12"/>
  <c r="HJ5" i="12"/>
  <c r="HR5" i="12"/>
  <c r="HR77" i="12"/>
  <c r="HR138" i="12"/>
  <c r="HJ12" i="12"/>
  <c r="HR12" i="12"/>
  <c r="HR211" i="12"/>
  <c r="HR9" i="12"/>
  <c r="HR62" i="12"/>
  <c r="HR210" i="12"/>
  <c r="HR124" i="12"/>
  <c r="HR159" i="12"/>
  <c r="HR125" i="12"/>
  <c r="HJ13" i="12"/>
  <c r="HR13" i="12"/>
  <c r="HR4" i="12"/>
  <c r="HR275" i="12"/>
  <c r="HJ7" i="12"/>
  <c r="HR7" i="12"/>
  <c r="HR105" i="12"/>
  <c r="HR238" i="12"/>
  <c r="HR226" i="12"/>
  <c r="HR72" i="12"/>
  <c r="HR47" i="12"/>
  <c r="HJ11" i="12"/>
  <c r="HR11" i="12"/>
  <c r="HJ6" i="12"/>
  <c r="HR6" i="12"/>
  <c r="HR68" i="12"/>
  <c r="HR266" i="12"/>
  <c r="HR187" i="12"/>
  <c r="HR40" i="12"/>
  <c r="HR254" i="12"/>
  <c r="HR193" i="12"/>
  <c r="HR255" i="12"/>
  <c r="HR88" i="12"/>
  <c r="HR256" i="12"/>
  <c r="HR89" i="12"/>
  <c r="HR285" i="12"/>
  <c r="HR188" i="12"/>
  <c r="HR180" i="12"/>
  <c r="HR41" i="12"/>
  <c r="HR126" i="12"/>
  <c r="HR66" i="12"/>
  <c r="HR222" i="12"/>
  <c r="HR250" i="12"/>
  <c r="HR208" i="12"/>
  <c r="HJ10" i="12"/>
  <c r="HR10" i="12"/>
  <c r="HR21" i="12"/>
  <c r="HR90" i="12"/>
  <c r="HR267" i="12"/>
  <c r="HR106" i="12"/>
  <c r="HR219" i="12"/>
  <c r="GG256" i="12"/>
  <c r="GG255" i="12"/>
  <c r="GG249" i="12"/>
  <c r="GG248" i="12"/>
  <c r="AQ8" i="11"/>
  <c r="AQ7" i="11"/>
  <c r="GG22" i="13" l="1"/>
  <c r="AQ10" i="11" s="1"/>
  <c r="GI14" i="13"/>
  <c r="AQ9" i="11" s="1"/>
  <c r="GI6" i="13"/>
  <c r="AQ6" i="11" s="1"/>
  <c r="GH284" i="12"/>
  <c r="GP284" i="12" s="1"/>
  <c r="GH285" i="12"/>
  <c r="GH274" i="12"/>
  <c r="GI274" i="12" s="1"/>
  <c r="GI275" i="12" s="1"/>
  <c r="GG286" i="12"/>
  <c r="GF286" i="12"/>
  <c r="GE286" i="12"/>
  <c r="GG275" i="12"/>
  <c r="GF275" i="12"/>
  <c r="GE275" i="12"/>
  <c r="GG269" i="12"/>
  <c r="GF269" i="12"/>
  <c r="GE269" i="12"/>
  <c r="GH268" i="12"/>
  <c r="GP268" i="12" s="1"/>
  <c r="GH267" i="12"/>
  <c r="GP267" i="12" s="1"/>
  <c r="GH266" i="12"/>
  <c r="GP266" i="12" s="1"/>
  <c r="GH265" i="12"/>
  <c r="GP265" i="12" s="1"/>
  <c r="GH264" i="12"/>
  <c r="GH263" i="12"/>
  <c r="GP263" i="12" s="1"/>
  <c r="GF258" i="12"/>
  <c r="GE258" i="12"/>
  <c r="GH257" i="12"/>
  <c r="GH256" i="12"/>
  <c r="GP256" i="12" s="1"/>
  <c r="GH255" i="12"/>
  <c r="GP255" i="12" s="1"/>
  <c r="GH254" i="12"/>
  <c r="GP254" i="12" s="1"/>
  <c r="GH253" i="12"/>
  <c r="GP253" i="12" s="1"/>
  <c r="GH252" i="12"/>
  <c r="GP252" i="12" s="1"/>
  <c r="GH251" i="12"/>
  <c r="GH250" i="12"/>
  <c r="GP250" i="12" s="1"/>
  <c r="GH249" i="12"/>
  <c r="GP249" i="12" s="1"/>
  <c r="GH248" i="12"/>
  <c r="GP248" i="12" s="1"/>
  <c r="GG258" i="12"/>
  <c r="GH242" i="12"/>
  <c r="GH241" i="12"/>
  <c r="GP241" i="12" s="1"/>
  <c r="GH240" i="12"/>
  <c r="GP240" i="12" s="1"/>
  <c r="GH239" i="12"/>
  <c r="GP239" i="12" s="1"/>
  <c r="GH238" i="12"/>
  <c r="GP238" i="12" s="1"/>
  <c r="GH237" i="12"/>
  <c r="GP237" i="12" s="1"/>
  <c r="GH236" i="12"/>
  <c r="GP236" i="12" s="1"/>
  <c r="GH235" i="12"/>
  <c r="GH229" i="12"/>
  <c r="GP229" i="12" s="1"/>
  <c r="GH228" i="12"/>
  <c r="GH227" i="12"/>
  <c r="GP227" i="12" s="1"/>
  <c r="GH226" i="12"/>
  <c r="GP226" i="12" s="1"/>
  <c r="GH225" i="12"/>
  <c r="GP225" i="12" s="1"/>
  <c r="GH224" i="12"/>
  <c r="GH223" i="12"/>
  <c r="GP223" i="12" s="1"/>
  <c r="GH222" i="12"/>
  <c r="GP222" i="12" s="1"/>
  <c r="GH221" i="12"/>
  <c r="GP221" i="12" s="1"/>
  <c r="GH220" i="12"/>
  <c r="GH219" i="12"/>
  <c r="GP219" i="12" s="1"/>
  <c r="GH218" i="12"/>
  <c r="GP218" i="12" s="1"/>
  <c r="GH217" i="12"/>
  <c r="GP217" i="12" s="1"/>
  <c r="GG212" i="12"/>
  <c r="GG230" i="12" s="1"/>
  <c r="GG243" i="12" s="1"/>
  <c r="GF212" i="12"/>
  <c r="GF230" i="12" s="1"/>
  <c r="GF243" i="12" s="1"/>
  <c r="GE212" i="12"/>
  <c r="GE230" i="12" s="1"/>
  <c r="GE243" i="12" s="1"/>
  <c r="GH211" i="12"/>
  <c r="GP211" i="12" s="1"/>
  <c r="GH210" i="12"/>
  <c r="GP210" i="12" s="1"/>
  <c r="GH209" i="12"/>
  <c r="GH208" i="12"/>
  <c r="GH207" i="12"/>
  <c r="GP207" i="12" s="1"/>
  <c r="GH206" i="12"/>
  <c r="GP206" i="12" s="1"/>
  <c r="GG201" i="12"/>
  <c r="GF201" i="12"/>
  <c r="GE201" i="12"/>
  <c r="GH200" i="12"/>
  <c r="GP200" i="12" s="1"/>
  <c r="GH199" i="12"/>
  <c r="GP199" i="12" s="1"/>
  <c r="GG194" i="12"/>
  <c r="GF194" i="12"/>
  <c r="GE194" i="12"/>
  <c r="GH193" i="12"/>
  <c r="GP193" i="12" s="1"/>
  <c r="GH192" i="12"/>
  <c r="GP192" i="12" s="1"/>
  <c r="GH191" i="12"/>
  <c r="GH190" i="12"/>
  <c r="GP190" i="12" s="1"/>
  <c r="GH189" i="12"/>
  <c r="GP189" i="12" s="1"/>
  <c r="GH188" i="12"/>
  <c r="GP188" i="12" s="1"/>
  <c r="GH187" i="12"/>
  <c r="GH186" i="12"/>
  <c r="GP186" i="12" s="1"/>
  <c r="GG181" i="12"/>
  <c r="GF181" i="12"/>
  <c r="GE181" i="12"/>
  <c r="GH180" i="12"/>
  <c r="GH179" i="12"/>
  <c r="GP179" i="12" s="1"/>
  <c r="GH178" i="12"/>
  <c r="GP178" i="12" s="1"/>
  <c r="GH177" i="12"/>
  <c r="GP177" i="12" s="1"/>
  <c r="GH176" i="12"/>
  <c r="GH175" i="12"/>
  <c r="GH174" i="12"/>
  <c r="GP174" i="12" s="1"/>
  <c r="GH173" i="12"/>
  <c r="GP173" i="12" s="1"/>
  <c r="GH172" i="12"/>
  <c r="GH171" i="12"/>
  <c r="GP171" i="12" s="1"/>
  <c r="GG166" i="12"/>
  <c r="GF166" i="12"/>
  <c r="GE166" i="12"/>
  <c r="GH165" i="12"/>
  <c r="GH164" i="12"/>
  <c r="GP164" i="12" s="1"/>
  <c r="GH163" i="12"/>
  <c r="GP163" i="12" s="1"/>
  <c r="GH162" i="12"/>
  <c r="GP162" i="12" s="1"/>
  <c r="GH161" i="12"/>
  <c r="GH160" i="12"/>
  <c r="GP160" i="12" s="1"/>
  <c r="GH159" i="12"/>
  <c r="GP159" i="12" s="1"/>
  <c r="GG154" i="12"/>
  <c r="GF154" i="12"/>
  <c r="GE154" i="12"/>
  <c r="GH153" i="12"/>
  <c r="GH152" i="12"/>
  <c r="GP152" i="12" s="1"/>
  <c r="GH151" i="12"/>
  <c r="GP151" i="12" s="1"/>
  <c r="GH150" i="12"/>
  <c r="GH149" i="12"/>
  <c r="GH148" i="12"/>
  <c r="GP148" i="12" s="1"/>
  <c r="GH147" i="12"/>
  <c r="GP147" i="12" s="1"/>
  <c r="GG142" i="12"/>
  <c r="GF142" i="12"/>
  <c r="GE142" i="12"/>
  <c r="GH141" i="12"/>
  <c r="GP141" i="12" s="1"/>
  <c r="GH140" i="12"/>
  <c r="GP140" i="12" s="1"/>
  <c r="GH139" i="12"/>
  <c r="GH138" i="12"/>
  <c r="GP138" i="12" s="1"/>
  <c r="GH137" i="12"/>
  <c r="GP137" i="12" s="1"/>
  <c r="GH136" i="12"/>
  <c r="GP136" i="12" s="1"/>
  <c r="GH135" i="12"/>
  <c r="GH134" i="12"/>
  <c r="GP134" i="12" s="1"/>
  <c r="GH133" i="12"/>
  <c r="GG128" i="12"/>
  <c r="GF128" i="12"/>
  <c r="GE128" i="12"/>
  <c r="GH127" i="12"/>
  <c r="GH126" i="12"/>
  <c r="GP126" i="12" s="1"/>
  <c r="GH125" i="12"/>
  <c r="GP125" i="12" s="1"/>
  <c r="GH124" i="12"/>
  <c r="GH123" i="12"/>
  <c r="GH122" i="12"/>
  <c r="GP122" i="12" s="1"/>
  <c r="GH121" i="12"/>
  <c r="GP121" i="12" s="1"/>
  <c r="GG116" i="12"/>
  <c r="GF116" i="12"/>
  <c r="GE116" i="12"/>
  <c r="GH115" i="12"/>
  <c r="GP115" i="12" s="1"/>
  <c r="GH114" i="12"/>
  <c r="GP114" i="12" s="1"/>
  <c r="GG109" i="12"/>
  <c r="GF109" i="12"/>
  <c r="GE109" i="12"/>
  <c r="GH107" i="12"/>
  <c r="GP107" i="12" s="1"/>
  <c r="GH106" i="12"/>
  <c r="GP106" i="12" s="1"/>
  <c r="GH105" i="12"/>
  <c r="GG101" i="12"/>
  <c r="GF101" i="12"/>
  <c r="GE101" i="12"/>
  <c r="GH99" i="12"/>
  <c r="GP99" i="12" s="1"/>
  <c r="GH98" i="12"/>
  <c r="GH97" i="12"/>
  <c r="GP97" i="12" s="1"/>
  <c r="GG92" i="12"/>
  <c r="GF92" i="12"/>
  <c r="GE92" i="12"/>
  <c r="GH91" i="12"/>
  <c r="GH90" i="12"/>
  <c r="GP90" i="12" s="1"/>
  <c r="GH89" i="12"/>
  <c r="GP89" i="12" s="1"/>
  <c r="GH88" i="12"/>
  <c r="GP88" i="12" s="1"/>
  <c r="GG83" i="12"/>
  <c r="GF83" i="12"/>
  <c r="GE83" i="12"/>
  <c r="GH82" i="12"/>
  <c r="GP82" i="12" s="1"/>
  <c r="GH81" i="12"/>
  <c r="GP81" i="12" s="1"/>
  <c r="GH80" i="12"/>
  <c r="GH79" i="12"/>
  <c r="GH78" i="12"/>
  <c r="GP78" i="12" s="1"/>
  <c r="GH77" i="12"/>
  <c r="GP77" i="12" s="1"/>
  <c r="GH76" i="12"/>
  <c r="GH75" i="12"/>
  <c r="GP75" i="12" s="1"/>
  <c r="GH74" i="12"/>
  <c r="GP74" i="12" s="1"/>
  <c r="GH73" i="12"/>
  <c r="GH72" i="12"/>
  <c r="GP72" i="12" s="1"/>
  <c r="GH71" i="12"/>
  <c r="GP71" i="12" s="1"/>
  <c r="GH70" i="12"/>
  <c r="GP70" i="12" s="1"/>
  <c r="GH69" i="12"/>
  <c r="GH68" i="12"/>
  <c r="GP68" i="12" s="1"/>
  <c r="GH67" i="12"/>
  <c r="GP67" i="12" s="1"/>
  <c r="GH66" i="12"/>
  <c r="GP66" i="12" s="1"/>
  <c r="GH65" i="12"/>
  <c r="GH64" i="12"/>
  <c r="GP64" i="12" s="1"/>
  <c r="GH63" i="12"/>
  <c r="GP63" i="12" s="1"/>
  <c r="GH62" i="12"/>
  <c r="GP62" i="12" s="1"/>
  <c r="GH61" i="12"/>
  <c r="GH60" i="12"/>
  <c r="GP60" i="12" s="1"/>
  <c r="GH59" i="12"/>
  <c r="GP59" i="12" s="1"/>
  <c r="GH58" i="12"/>
  <c r="GP58" i="12" s="1"/>
  <c r="GH57" i="12"/>
  <c r="GH56" i="12"/>
  <c r="GP56" i="12" s="1"/>
  <c r="GH55" i="12"/>
  <c r="GP55" i="12" s="1"/>
  <c r="GG51" i="12"/>
  <c r="GF51" i="12"/>
  <c r="GE51" i="12"/>
  <c r="GH49" i="12"/>
  <c r="GP49" i="12" s="1"/>
  <c r="GH48" i="12"/>
  <c r="GP48" i="12" s="1"/>
  <c r="GH47" i="12"/>
  <c r="GP47" i="12" s="1"/>
  <c r="GG42" i="12"/>
  <c r="GF42" i="12"/>
  <c r="GE42" i="12"/>
  <c r="GH41" i="12"/>
  <c r="GP41" i="12" s="1"/>
  <c r="GH40" i="12"/>
  <c r="GP40" i="12" s="1"/>
  <c r="GG30" i="12"/>
  <c r="GF30" i="12"/>
  <c r="GE30" i="12"/>
  <c r="GH29" i="12"/>
  <c r="GP29" i="12" s="1"/>
  <c r="GH28" i="12"/>
  <c r="GP28" i="12" s="1"/>
  <c r="GG24" i="12"/>
  <c r="GF24" i="12"/>
  <c r="GE24" i="12"/>
  <c r="GH23" i="12"/>
  <c r="GP23" i="12" s="1"/>
  <c r="GH22" i="12"/>
  <c r="GP22" i="12" s="1"/>
  <c r="GH21" i="12"/>
  <c r="GH20" i="12"/>
  <c r="GP20" i="12" s="1"/>
  <c r="GG15" i="12"/>
  <c r="GF15" i="12"/>
  <c r="GE15" i="12"/>
  <c r="GH14" i="12"/>
  <c r="GH13" i="12"/>
  <c r="GP13" i="12" s="1"/>
  <c r="GH12" i="12"/>
  <c r="GP12" i="12" s="1"/>
  <c r="GH11" i="12"/>
  <c r="GP11" i="12" s="1"/>
  <c r="GH10" i="12"/>
  <c r="GH9" i="12"/>
  <c r="GP9" i="12" s="1"/>
  <c r="GH8" i="12"/>
  <c r="GP8" i="12" s="1"/>
  <c r="GH7" i="12"/>
  <c r="GP7" i="12" s="1"/>
  <c r="GH6" i="12"/>
  <c r="GH5" i="12"/>
  <c r="GP5" i="12" s="1"/>
  <c r="GH4" i="12"/>
  <c r="GP201" i="12" l="1"/>
  <c r="GP42" i="12"/>
  <c r="AQ11" i="11"/>
  <c r="GI41" i="12"/>
  <c r="GP51" i="12"/>
  <c r="GI179" i="12"/>
  <c r="GI250" i="12"/>
  <c r="GP30" i="12"/>
  <c r="GI200" i="12"/>
  <c r="GI4" i="12"/>
  <c r="GP4" i="12"/>
  <c r="GI56" i="12"/>
  <c r="GI76" i="12"/>
  <c r="GP76" i="12"/>
  <c r="GI80" i="12"/>
  <c r="GP80" i="12"/>
  <c r="GI105" i="12"/>
  <c r="GP105" i="12"/>
  <c r="GP109" i="12" s="1"/>
  <c r="GI139" i="12"/>
  <c r="GP139" i="12"/>
  <c r="GI149" i="12"/>
  <c r="GP149" i="12"/>
  <c r="GI153" i="12"/>
  <c r="GP153" i="12"/>
  <c r="GI180" i="12"/>
  <c r="GP180" i="12"/>
  <c r="GI220" i="12"/>
  <c r="GP220" i="12"/>
  <c r="GI224" i="12"/>
  <c r="GP224" i="12"/>
  <c r="GI228" i="12"/>
  <c r="GP228" i="12"/>
  <c r="GI57" i="12"/>
  <c r="GP57" i="12"/>
  <c r="GI61" i="12"/>
  <c r="GP61" i="12"/>
  <c r="GI65" i="12"/>
  <c r="GP65" i="12"/>
  <c r="GI69" i="12"/>
  <c r="GP69" i="12"/>
  <c r="GI73" i="12"/>
  <c r="GP73" i="12"/>
  <c r="GI91" i="12"/>
  <c r="GP91" i="12"/>
  <c r="GP92" i="12" s="1"/>
  <c r="GI123" i="12"/>
  <c r="GP123" i="12"/>
  <c r="GI127" i="12"/>
  <c r="GP127" i="12"/>
  <c r="GI133" i="12"/>
  <c r="GP133" i="12"/>
  <c r="GI150" i="12"/>
  <c r="GP150" i="12"/>
  <c r="GI186" i="12"/>
  <c r="GI208" i="12"/>
  <c r="GP208" i="12"/>
  <c r="GI242" i="12"/>
  <c r="GP242" i="12"/>
  <c r="GI252" i="12"/>
  <c r="GI6" i="12"/>
  <c r="GP6" i="12"/>
  <c r="GI10" i="12"/>
  <c r="GP10" i="12"/>
  <c r="GI14" i="12"/>
  <c r="GP14" i="12"/>
  <c r="GI97" i="12"/>
  <c r="GP116" i="12"/>
  <c r="GI124" i="12"/>
  <c r="GP124" i="12"/>
  <c r="GI137" i="12"/>
  <c r="GI161" i="12"/>
  <c r="GP161" i="12"/>
  <c r="GI165" i="12"/>
  <c r="GP165" i="12"/>
  <c r="GI175" i="12"/>
  <c r="GP175" i="12"/>
  <c r="GI187" i="12"/>
  <c r="GP187" i="12"/>
  <c r="GI190" i="12"/>
  <c r="GI209" i="12"/>
  <c r="GP209" i="12"/>
  <c r="GI218" i="12"/>
  <c r="GI235" i="12"/>
  <c r="GP235" i="12"/>
  <c r="GI257" i="12"/>
  <c r="GP257" i="12"/>
  <c r="GI264" i="12"/>
  <c r="GP264" i="12"/>
  <c r="GP269" i="12" s="1"/>
  <c r="GH275" i="12"/>
  <c r="GP274" i="12"/>
  <c r="GP275" i="12" s="1"/>
  <c r="GI21" i="12"/>
  <c r="GP21" i="12"/>
  <c r="GP24" i="12" s="1"/>
  <c r="GI79" i="12"/>
  <c r="GP79" i="12"/>
  <c r="GI98" i="12"/>
  <c r="GP98" i="12"/>
  <c r="GP101" i="12" s="1"/>
  <c r="GI135" i="12"/>
  <c r="GP135" i="12"/>
  <c r="GI172" i="12"/>
  <c r="GP172" i="12"/>
  <c r="GI176" i="12"/>
  <c r="GP176" i="12"/>
  <c r="GI191" i="12"/>
  <c r="GP191" i="12"/>
  <c r="GI251" i="12"/>
  <c r="GP251" i="12"/>
  <c r="GI268" i="12"/>
  <c r="GI285" i="12"/>
  <c r="GP285" i="12"/>
  <c r="GP286" i="12" s="1"/>
  <c r="GI5" i="12"/>
  <c r="GI64" i="12"/>
  <c r="GI138" i="12"/>
  <c r="GH166" i="12"/>
  <c r="GI164" i="12"/>
  <c r="GI171" i="12"/>
  <c r="GI227" i="12"/>
  <c r="GI68" i="12"/>
  <c r="GI178" i="12"/>
  <c r="GI189" i="12"/>
  <c r="GI193" i="12"/>
  <c r="GI211" i="12"/>
  <c r="GI219" i="12"/>
  <c r="GI115" i="12"/>
  <c r="GI134" i="12"/>
  <c r="GI163" i="12"/>
  <c r="GH194" i="12"/>
  <c r="GI222" i="12"/>
  <c r="GI241" i="12"/>
  <c r="GI239" i="12"/>
  <c r="GI237" i="12"/>
  <c r="GI160" i="12"/>
  <c r="GI90" i="12"/>
  <c r="GI89" i="12"/>
  <c r="GH92" i="12"/>
  <c r="GI75" i="12"/>
  <c r="GI60" i="12"/>
  <c r="GH24" i="12"/>
  <c r="GI20" i="12"/>
  <c r="GI12" i="12"/>
  <c r="GI8" i="12"/>
  <c r="GI22" i="13"/>
  <c r="GI23" i="13" s="1"/>
  <c r="GI9" i="12"/>
  <c r="GI13" i="12"/>
  <c r="GH15" i="12"/>
  <c r="GI23" i="12"/>
  <c r="GI29" i="12"/>
  <c r="GI49" i="12"/>
  <c r="GI48" i="12"/>
  <c r="GI55" i="12"/>
  <c r="GI59" i="12"/>
  <c r="GI63" i="12"/>
  <c r="GI67" i="12"/>
  <c r="GI72" i="12"/>
  <c r="GI71" i="12"/>
  <c r="GI107" i="12"/>
  <c r="GI122" i="12"/>
  <c r="GI126" i="12"/>
  <c r="GH128" i="12"/>
  <c r="GI141" i="12"/>
  <c r="GI148" i="12"/>
  <c r="GI152" i="12"/>
  <c r="GI159" i="12"/>
  <c r="GI174" i="12"/>
  <c r="GI207" i="12"/>
  <c r="GI223" i="12"/>
  <c r="GI226" i="12"/>
  <c r="GI238" i="12"/>
  <c r="GI254" i="12"/>
  <c r="GI255" i="12"/>
  <c r="GI263" i="12"/>
  <c r="GH269" i="12"/>
  <c r="GI265" i="12"/>
  <c r="GI267" i="12"/>
  <c r="GH51" i="12"/>
  <c r="GI177" i="12"/>
  <c r="GI7" i="12"/>
  <c r="GI11" i="12"/>
  <c r="GI22" i="12"/>
  <c r="GI28" i="12"/>
  <c r="GH30" i="12"/>
  <c r="GI40" i="12"/>
  <c r="GH42" i="12"/>
  <c r="GI47" i="12"/>
  <c r="GI58" i="12"/>
  <c r="GI62" i="12"/>
  <c r="GI66" i="12"/>
  <c r="GI70" i="12"/>
  <c r="GI74" i="12"/>
  <c r="GI78" i="12"/>
  <c r="GI82" i="12"/>
  <c r="GH116" i="12"/>
  <c r="GI114" i="12"/>
  <c r="GH142" i="12"/>
  <c r="GI188" i="12"/>
  <c r="GI192" i="12"/>
  <c r="GH212" i="12"/>
  <c r="GH230" i="12" s="1"/>
  <c r="GH243" i="12" s="1"/>
  <c r="GI206" i="12"/>
  <c r="GI210" i="12"/>
  <c r="GI236" i="12"/>
  <c r="GI248" i="12"/>
  <c r="GI256" i="12"/>
  <c r="GI140" i="12"/>
  <c r="GI88" i="12"/>
  <c r="GI147" i="12"/>
  <c r="GI151" i="12"/>
  <c r="GI240" i="12"/>
  <c r="GH258" i="12"/>
  <c r="GH286" i="12"/>
  <c r="GI284" i="12"/>
  <c r="GI99" i="12"/>
  <c r="GI136" i="12"/>
  <c r="GH181" i="12"/>
  <c r="GI173" i="12"/>
  <c r="GH83" i="12"/>
  <c r="GI77" i="12"/>
  <c r="GI81" i="12"/>
  <c r="GH101" i="12"/>
  <c r="GI106" i="12"/>
  <c r="GI121" i="12"/>
  <c r="GI125" i="12"/>
  <c r="GH154" i="12"/>
  <c r="GI162" i="12"/>
  <c r="GH201" i="12"/>
  <c r="GI199" i="12"/>
  <c r="GI217" i="12"/>
  <c r="GI221" i="12"/>
  <c r="GI225" i="12"/>
  <c r="GI229" i="12"/>
  <c r="GI249" i="12"/>
  <c r="GI253" i="12"/>
  <c r="GI266" i="12"/>
  <c r="GH109" i="12"/>
  <c r="GP243" i="12" l="1"/>
  <c r="GI101" i="12"/>
  <c r="GP212" i="12"/>
  <c r="GI42" i="12"/>
  <c r="GI116" i="12"/>
  <c r="GP83" i="12"/>
  <c r="GP128" i="12"/>
  <c r="GI286" i="12"/>
  <c r="GI30" i="12"/>
  <c r="GI201" i="12"/>
  <c r="GP258" i="12"/>
  <c r="GI194" i="12"/>
  <c r="GP166" i="12"/>
  <c r="GP181" i="12"/>
  <c r="GP194" i="12"/>
  <c r="GP230" i="12"/>
  <c r="GI181" i="12"/>
  <c r="GP142" i="12"/>
  <c r="GP154" i="12"/>
  <c r="GP15" i="12"/>
  <c r="GI109" i="12"/>
  <c r="GI142" i="12"/>
  <c r="GI166" i="12"/>
  <c r="GI92" i="12"/>
  <c r="GI154" i="12"/>
  <c r="GI128" i="12"/>
  <c r="GI51" i="12"/>
  <c r="GI24" i="12"/>
  <c r="GI15" i="12"/>
  <c r="GI83" i="12"/>
  <c r="GI269" i="12"/>
  <c r="GI258" i="12"/>
  <c r="GI212" i="12"/>
  <c r="GI230" i="12" s="1"/>
  <c r="GI243" i="12" s="1"/>
  <c r="AP8" i="11"/>
  <c r="AP7" i="11"/>
  <c r="GA256" i="12"/>
  <c r="GA255" i="12"/>
  <c r="GA249" i="12"/>
  <c r="GA248" i="12"/>
  <c r="GB105" i="12"/>
  <c r="FV105" i="12"/>
  <c r="FW105" i="12" s="1"/>
  <c r="GC105" i="12" l="1"/>
  <c r="GJ105" i="12"/>
  <c r="GD105" i="12"/>
  <c r="GB22" i="13"/>
  <c r="AP10" i="11" s="1"/>
  <c r="GD14" i="13"/>
  <c r="AP9" i="11" s="1"/>
  <c r="GD6" i="13"/>
  <c r="GA286" i="12"/>
  <c r="FZ286" i="12"/>
  <c r="FY286" i="12"/>
  <c r="GB285" i="12"/>
  <c r="GJ285" i="12" s="1"/>
  <c r="GB284" i="12"/>
  <c r="GJ284" i="12" s="1"/>
  <c r="GA275" i="12"/>
  <c r="FZ275" i="12"/>
  <c r="FY275" i="12"/>
  <c r="GB274" i="12"/>
  <c r="GA269" i="12"/>
  <c r="FZ269" i="12"/>
  <c r="FY269" i="12"/>
  <c r="GB268" i="12"/>
  <c r="GB267" i="12"/>
  <c r="GJ267" i="12" s="1"/>
  <c r="GB266" i="12"/>
  <c r="GJ266" i="12" s="1"/>
  <c r="GB265" i="12"/>
  <c r="GJ265" i="12" s="1"/>
  <c r="GB264" i="12"/>
  <c r="GB263" i="12"/>
  <c r="FZ258" i="12"/>
  <c r="FY258" i="12"/>
  <c r="GB257" i="12"/>
  <c r="GB256" i="12"/>
  <c r="GJ256" i="12" s="1"/>
  <c r="GB255" i="12"/>
  <c r="GJ255" i="12" s="1"/>
  <c r="GB254" i="12"/>
  <c r="GJ254" i="12" s="1"/>
  <c r="GB253" i="12"/>
  <c r="GJ253" i="12" s="1"/>
  <c r="GB252" i="12"/>
  <c r="GB251" i="12"/>
  <c r="GB250" i="12"/>
  <c r="GJ250" i="12" s="1"/>
  <c r="GB249" i="12"/>
  <c r="GJ249" i="12" s="1"/>
  <c r="GB248" i="12"/>
  <c r="GJ248" i="12" s="1"/>
  <c r="GA258" i="12"/>
  <c r="GB242" i="12"/>
  <c r="GB241" i="12"/>
  <c r="GJ241" i="12" s="1"/>
  <c r="GB240" i="12"/>
  <c r="GJ240" i="12" s="1"/>
  <c r="GB239" i="12"/>
  <c r="GB238" i="12"/>
  <c r="GB237" i="12"/>
  <c r="GJ237" i="12" s="1"/>
  <c r="GB236" i="12"/>
  <c r="GJ236" i="12" s="1"/>
  <c r="GB235" i="12"/>
  <c r="GB229" i="12"/>
  <c r="GJ229" i="12" s="1"/>
  <c r="GB228" i="12"/>
  <c r="GB227" i="12"/>
  <c r="GJ227" i="12" s="1"/>
  <c r="GB226" i="12"/>
  <c r="GJ226" i="12" s="1"/>
  <c r="GB225" i="12"/>
  <c r="GJ225" i="12" s="1"/>
  <c r="GB224" i="12"/>
  <c r="GB223" i="12"/>
  <c r="GJ223" i="12" s="1"/>
  <c r="GB222" i="12"/>
  <c r="GB221" i="12"/>
  <c r="GJ221" i="12" s="1"/>
  <c r="GB220" i="12"/>
  <c r="GB219" i="12"/>
  <c r="GJ219" i="12" s="1"/>
  <c r="GB218" i="12"/>
  <c r="GB217" i="12"/>
  <c r="GJ217" i="12" s="1"/>
  <c r="GA212" i="12"/>
  <c r="GA230" i="12" s="1"/>
  <c r="GA243" i="12" s="1"/>
  <c r="FZ212" i="12"/>
  <c r="FZ230" i="12" s="1"/>
  <c r="FZ243" i="12" s="1"/>
  <c r="FY212" i="12"/>
  <c r="FY230" i="12" s="1"/>
  <c r="FY243" i="12" s="1"/>
  <c r="GB211" i="12"/>
  <c r="GB210" i="12"/>
  <c r="GJ210" i="12" s="1"/>
  <c r="GB209" i="12"/>
  <c r="GB208" i="12"/>
  <c r="GJ208" i="12" s="1"/>
  <c r="GB207" i="12"/>
  <c r="GJ207" i="12" s="1"/>
  <c r="GB206" i="12"/>
  <c r="GJ206" i="12" s="1"/>
  <c r="GA201" i="12"/>
  <c r="FZ201" i="12"/>
  <c r="FY201" i="12"/>
  <c r="GB200" i="12"/>
  <c r="GB199" i="12"/>
  <c r="GJ199" i="12" s="1"/>
  <c r="GA194" i="12"/>
  <c r="FZ194" i="12"/>
  <c r="FY194" i="12"/>
  <c r="GB193" i="12"/>
  <c r="GB192" i="12"/>
  <c r="GJ192" i="12" s="1"/>
  <c r="GB191" i="12"/>
  <c r="GB190" i="12"/>
  <c r="GB189" i="12"/>
  <c r="GJ189" i="12" s="1"/>
  <c r="GB188" i="12"/>
  <c r="GJ188" i="12" s="1"/>
  <c r="GB187" i="12"/>
  <c r="GB186" i="12"/>
  <c r="GA181" i="12"/>
  <c r="FZ181" i="12"/>
  <c r="FY181" i="12"/>
  <c r="GB180" i="12"/>
  <c r="GB179" i="12"/>
  <c r="GB178" i="12"/>
  <c r="GB177" i="12"/>
  <c r="GJ177" i="12" s="1"/>
  <c r="GB176" i="12"/>
  <c r="GB175" i="12"/>
  <c r="GJ175" i="12" s="1"/>
  <c r="GB174" i="12"/>
  <c r="GJ174" i="12" s="1"/>
  <c r="GB173" i="12"/>
  <c r="GJ173" i="12" s="1"/>
  <c r="GB172" i="12"/>
  <c r="GB171" i="12"/>
  <c r="GJ171" i="12" s="1"/>
  <c r="GA166" i="12"/>
  <c r="FZ166" i="12"/>
  <c r="FY166" i="12"/>
  <c r="GB165" i="12"/>
  <c r="GB164" i="12"/>
  <c r="GB163" i="12"/>
  <c r="GB162" i="12"/>
  <c r="GJ162" i="12" s="1"/>
  <c r="GB161" i="12"/>
  <c r="GB160" i="12"/>
  <c r="GJ160" i="12" s="1"/>
  <c r="GB159" i="12"/>
  <c r="GJ159" i="12" s="1"/>
  <c r="GA154" i="12"/>
  <c r="FZ154" i="12"/>
  <c r="FY154" i="12"/>
  <c r="GB153" i="12"/>
  <c r="GJ153" i="12" s="1"/>
  <c r="GB152" i="12"/>
  <c r="GJ152" i="12" s="1"/>
  <c r="GB151" i="12"/>
  <c r="GJ151" i="12" s="1"/>
  <c r="GB141" i="12"/>
  <c r="GB150" i="12"/>
  <c r="GJ150" i="12" s="1"/>
  <c r="GB149" i="12"/>
  <c r="GB148" i="12"/>
  <c r="GJ148" i="12" s="1"/>
  <c r="GB147" i="12"/>
  <c r="GJ147" i="12" s="1"/>
  <c r="GA142" i="12"/>
  <c r="FZ142" i="12"/>
  <c r="FY142" i="12"/>
  <c r="GB140" i="12"/>
  <c r="GJ140" i="12" s="1"/>
  <c r="GB139" i="12"/>
  <c r="GB138" i="12"/>
  <c r="GJ138" i="12" s="1"/>
  <c r="GB137" i="12"/>
  <c r="GJ137" i="12" s="1"/>
  <c r="GB136" i="12"/>
  <c r="GJ136" i="12" s="1"/>
  <c r="GB135" i="12"/>
  <c r="GB134" i="12"/>
  <c r="GB133" i="12"/>
  <c r="GJ133" i="12" s="1"/>
  <c r="GA128" i="12"/>
  <c r="FZ128" i="12"/>
  <c r="FY128" i="12"/>
  <c r="GB127" i="12"/>
  <c r="GB126" i="12"/>
  <c r="GJ126" i="12" s="1"/>
  <c r="GB125" i="12"/>
  <c r="GJ125" i="12" s="1"/>
  <c r="GB124" i="12"/>
  <c r="GB123" i="12"/>
  <c r="GB122" i="12"/>
  <c r="GJ122" i="12" s="1"/>
  <c r="GB121" i="12"/>
  <c r="GJ121" i="12" s="1"/>
  <c r="GA116" i="12"/>
  <c r="FZ116" i="12"/>
  <c r="FY116" i="12"/>
  <c r="GB115" i="12"/>
  <c r="GJ115" i="12" s="1"/>
  <c r="GB114" i="12"/>
  <c r="GJ114" i="12" s="1"/>
  <c r="GA109" i="12"/>
  <c r="FZ109" i="12"/>
  <c r="FY109" i="12"/>
  <c r="GB107" i="12"/>
  <c r="GJ107" i="12" s="1"/>
  <c r="GB106" i="12"/>
  <c r="GJ106" i="12" s="1"/>
  <c r="GA101" i="12"/>
  <c r="FZ101" i="12"/>
  <c r="FY101" i="12"/>
  <c r="GB99" i="12"/>
  <c r="GJ99" i="12" s="1"/>
  <c r="GB98" i="12"/>
  <c r="GJ98" i="12" s="1"/>
  <c r="GB97" i="12"/>
  <c r="GA92" i="12"/>
  <c r="FZ92" i="12"/>
  <c r="FY92" i="12"/>
  <c r="GB91" i="12"/>
  <c r="GJ91" i="12" s="1"/>
  <c r="GB90" i="12"/>
  <c r="GB89" i="12"/>
  <c r="GJ89" i="12" s="1"/>
  <c r="GB88" i="12"/>
  <c r="GA83" i="12"/>
  <c r="FZ83" i="12"/>
  <c r="FY83" i="12"/>
  <c r="GB82" i="12"/>
  <c r="GJ82" i="12" s="1"/>
  <c r="GB81" i="12"/>
  <c r="GJ81" i="12" s="1"/>
  <c r="GB80" i="12"/>
  <c r="GJ80" i="12" s="1"/>
  <c r="GB79" i="12"/>
  <c r="GB78" i="12"/>
  <c r="GJ78" i="12" s="1"/>
  <c r="GB77" i="12"/>
  <c r="GJ77" i="12" s="1"/>
  <c r="GB76" i="12"/>
  <c r="GJ76" i="12" s="1"/>
  <c r="GB75" i="12"/>
  <c r="GB74" i="12"/>
  <c r="GJ74" i="12" s="1"/>
  <c r="GB73" i="12"/>
  <c r="GJ73" i="12" s="1"/>
  <c r="GB72" i="12"/>
  <c r="GB71" i="12"/>
  <c r="GJ71" i="12" s="1"/>
  <c r="GB70" i="12"/>
  <c r="GJ70" i="12" s="1"/>
  <c r="GB69" i="12"/>
  <c r="GJ69" i="12" s="1"/>
  <c r="GB68" i="12"/>
  <c r="GB67" i="12"/>
  <c r="GJ67" i="12" s="1"/>
  <c r="GB66" i="12"/>
  <c r="GJ66" i="12" s="1"/>
  <c r="GB65" i="12"/>
  <c r="GJ65" i="12" s="1"/>
  <c r="GB64" i="12"/>
  <c r="GJ64" i="12" s="1"/>
  <c r="GB63" i="12"/>
  <c r="GB62" i="12"/>
  <c r="GJ62" i="12" s="1"/>
  <c r="GB61" i="12"/>
  <c r="GJ61" i="12" s="1"/>
  <c r="GB60" i="12"/>
  <c r="GJ60" i="12" s="1"/>
  <c r="GB59" i="12"/>
  <c r="GJ59" i="12" s="1"/>
  <c r="GB58" i="12"/>
  <c r="GJ58" i="12" s="1"/>
  <c r="GB57" i="12"/>
  <c r="GJ57" i="12" s="1"/>
  <c r="GB56" i="12"/>
  <c r="GJ56" i="12" s="1"/>
  <c r="GB55" i="12"/>
  <c r="GJ55" i="12" s="1"/>
  <c r="GA51" i="12"/>
  <c r="FZ51" i="12"/>
  <c r="FY51" i="12"/>
  <c r="GB49" i="12"/>
  <c r="GB48" i="12"/>
  <c r="GJ48" i="12" s="1"/>
  <c r="GB47" i="12"/>
  <c r="GJ47" i="12" s="1"/>
  <c r="GA42" i="12"/>
  <c r="FZ42" i="12"/>
  <c r="FY42" i="12"/>
  <c r="GB41" i="12"/>
  <c r="GB40" i="12"/>
  <c r="GJ40" i="12" s="1"/>
  <c r="GA30" i="12"/>
  <c r="FZ30" i="12"/>
  <c r="FY30" i="12"/>
  <c r="GB29" i="12"/>
  <c r="GJ29" i="12" s="1"/>
  <c r="GB28" i="12"/>
  <c r="GJ28" i="12" s="1"/>
  <c r="GA24" i="12"/>
  <c r="FZ24" i="12"/>
  <c r="FY24" i="12"/>
  <c r="GB23" i="12"/>
  <c r="GJ23" i="12" s="1"/>
  <c r="GB22" i="12"/>
  <c r="GB21" i="12"/>
  <c r="GJ21" i="12" s="1"/>
  <c r="GB20" i="12"/>
  <c r="GA15" i="12"/>
  <c r="FZ15" i="12"/>
  <c r="FY15" i="12"/>
  <c r="GB14" i="12"/>
  <c r="GJ14" i="12" s="1"/>
  <c r="GB13" i="12"/>
  <c r="GB12" i="12"/>
  <c r="GB11" i="12"/>
  <c r="GJ11" i="12" s="1"/>
  <c r="GB10" i="12"/>
  <c r="GJ10" i="12" s="1"/>
  <c r="GB9" i="12"/>
  <c r="GB8" i="12"/>
  <c r="GJ8" i="12" s="1"/>
  <c r="GB7" i="12"/>
  <c r="GJ7" i="12" s="1"/>
  <c r="GB6" i="12"/>
  <c r="GJ6" i="12" s="1"/>
  <c r="GB5" i="12"/>
  <c r="GB4" i="12"/>
  <c r="GJ4" i="12" s="1"/>
  <c r="GJ286" i="12" l="1"/>
  <c r="GJ116" i="12"/>
  <c r="GC68" i="12"/>
  <c r="GJ68" i="12"/>
  <c r="GC172" i="12"/>
  <c r="GJ172" i="12"/>
  <c r="GC180" i="12"/>
  <c r="GJ180" i="12"/>
  <c r="GC190" i="12"/>
  <c r="GJ190" i="12"/>
  <c r="GC200" i="12"/>
  <c r="GJ200" i="12"/>
  <c r="GJ201" i="12" s="1"/>
  <c r="GC220" i="12"/>
  <c r="GJ220" i="12"/>
  <c r="GC224" i="12"/>
  <c r="GJ224" i="12"/>
  <c r="GC264" i="12"/>
  <c r="GJ264" i="12"/>
  <c r="GC268" i="12"/>
  <c r="GJ268" i="12"/>
  <c r="GB275" i="12"/>
  <c r="GJ274" i="12"/>
  <c r="GJ275" i="12" s="1"/>
  <c r="GC41" i="12"/>
  <c r="GJ41" i="12"/>
  <c r="GJ42" i="12" s="1"/>
  <c r="GC97" i="12"/>
  <c r="GJ97" i="12"/>
  <c r="GC135" i="12"/>
  <c r="GJ135" i="12"/>
  <c r="GC139" i="12"/>
  <c r="GJ139" i="12"/>
  <c r="GC163" i="12"/>
  <c r="GJ163" i="12"/>
  <c r="GC187" i="12"/>
  <c r="GJ187" i="12"/>
  <c r="GC191" i="12"/>
  <c r="GJ191" i="12"/>
  <c r="GC211" i="12"/>
  <c r="GJ211" i="12"/>
  <c r="GC238" i="12"/>
  <c r="GJ238" i="12"/>
  <c r="GC242" i="12"/>
  <c r="GJ242" i="12"/>
  <c r="GC20" i="12"/>
  <c r="GJ20" i="12"/>
  <c r="GC72" i="12"/>
  <c r="GJ72" i="12"/>
  <c r="GC90" i="12"/>
  <c r="GJ90" i="12"/>
  <c r="GC124" i="12"/>
  <c r="GJ124" i="12"/>
  <c r="GC134" i="12"/>
  <c r="GJ134" i="12"/>
  <c r="GC149" i="12"/>
  <c r="GJ149" i="12"/>
  <c r="GJ154" i="12" s="1"/>
  <c r="GC176" i="12"/>
  <c r="GJ176" i="12"/>
  <c r="GC186" i="12"/>
  <c r="GJ186" i="12"/>
  <c r="GC228" i="12"/>
  <c r="GJ228" i="12"/>
  <c r="GC257" i="12"/>
  <c r="GJ257" i="12"/>
  <c r="GC12" i="12"/>
  <c r="GJ12" i="12"/>
  <c r="GC22" i="12"/>
  <c r="GJ22" i="12"/>
  <c r="GC88" i="12"/>
  <c r="GJ88" i="12"/>
  <c r="GC141" i="12"/>
  <c r="GJ141" i="12"/>
  <c r="GC164" i="12"/>
  <c r="GJ164" i="12"/>
  <c r="GC178" i="12"/>
  <c r="GJ178" i="12"/>
  <c r="GC218" i="12"/>
  <c r="GJ218" i="12"/>
  <c r="GC222" i="12"/>
  <c r="GJ222" i="12"/>
  <c r="GC235" i="12"/>
  <c r="GJ235" i="12"/>
  <c r="GC239" i="12"/>
  <c r="GJ239" i="12"/>
  <c r="GC251" i="12"/>
  <c r="GJ251" i="12"/>
  <c r="GD22" i="13"/>
  <c r="GD23" i="13" s="1"/>
  <c r="AP6" i="11"/>
  <c r="AP11" i="11" s="1"/>
  <c r="GC5" i="12"/>
  <c r="GJ5" i="12"/>
  <c r="GC9" i="12"/>
  <c r="GJ9" i="12"/>
  <c r="GC13" i="12"/>
  <c r="GJ13" i="12"/>
  <c r="GJ30" i="12"/>
  <c r="GC49" i="12"/>
  <c r="GJ49" i="12"/>
  <c r="GJ51" i="12" s="1"/>
  <c r="GC63" i="12"/>
  <c r="GJ63" i="12"/>
  <c r="GC75" i="12"/>
  <c r="GJ75" i="12"/>
  <c r="GC79" i="12"/>
  <c r="GJ79" i="12"/>
  <c r="GJ101" i="12"/>
  <c r="GJ109" i="12"/>
  <c r="GC123" i="12"/>
  <c r="GJ123" i="12"/>
  <c r="GC127" i="12"/>
  <c r="GJ127" i="12"/>
  <c r="GC161" i="12"/>
  <c r="GJ161" i="12"/>
  <c r="GC165" i="12"/>
  <c r="GJ165" i="12"/>
  <c r="GC179" i="12"/>
  <c r="GJ179" i="12"/>
  <c r="GC193" i="12"/>
  <c r="GJ193" i="12"/>
  <c r="GC209" i="12"/>
  <c r="GJ209" i="12"/>
  <c r="GJ212" i="12" s="1"/>
  <c r="GC252" i="12"/>
  <c r="GJ252" i="12"/>
  <c r="GJ258" i="12" s="1"/>
  <c r="GC263" i="12"/>
  <c r="GJ263" i="12"/>
  <c r="GC227" i="12"/>
  <c r="GC189" i="12"/>
  <c r="GC219" i="12"/>
  <c r="GC40" i="12"/>
  <c r="GC4" i="12"/>
  <c r="GB166" i="12"/>
  <c r="GB194" i="12"/>
  <c r="GC250" i="12"/>
  <c r="GC254" i="12"/>
  <c r="GC138" i="12"/>
  <c r="GC137" i="12"/>
  <c r="GC285" i="12"/>
  <c r="GC265" i="12"/>
  <c r="GC223" i="12"/>
  <c r="GC207" i="12"/>
  <c r="GC160" i="12"/>
  <c r="GC152" i="12"/>
  <c r="GC150" i="12"/>
  <c r="GC58" i="12"/>
  <c r="GC78" i="12"/>
  <c r="GC73" i="12"/>
  <c r="GC89" i="12"/>
  <c r="GC82" i="12"/>
  <c r="GC74" i="12"/>
  <c r="GC67" i="12"/>
  <c r="GC66" i="12"/>
  <c r="GC64" i="12"/>
  <c r="GC59" i="12"/>
  <c r="GC48" i="12"/>
  <c r="GB51" i="12"/>
  <c r="GB42" i="12"/>
  <c r="GC28" i="12"/>
  <c r="GC8" i="12"/>
  <c r="GC274" i="12"/>
  <c r="GC275" i="12" s="1"/>
  <c r="GC267" i="12"/>
  <c r="GC256" i="12"/>
  <c r="GB258" i="12"/>
  <c r="GC237" i="12"/>
  <c r="GC241" i="12"/>
  <c r="GC226" i="12"/>
  <c r="GC208" i="12"/>
  <c r="GC175" i="12"/>
  <c r="GC174" i="12"/>
  <c r="GC171" i="12"/>
  <c r="GC159" i="12"/>
  <c r="GC153" i="12"/>
  <c r="GC147" i="12"/>
  <c r="GB142" i="12"/>
  <c r="GC133" i="12"/>
  <c r="GC122" i="12"/>
  <c r="GC126" i="12"/>
  <c r="GC115" i="12"/>
  <c r="GC107" i="12"/>
  <c r="GC99" i="12"/>
  <c r="GC77" i="12"/>
  <c r="GC81" i="12"/>
  <c r="GC71" i="12"/>
  <c r="GC70" i="12"/>
  <c r="GB83" i="12"/>
  <c r="GC56" i="12"/>
  <c r="GC55" i="12"/>
  <c r="GC60" i="12"/>
  <c r="GC62" i="12"/>
  <c r="GC47" i="12"/>
  <c r="GC29" i="12"/>
  <c r="GB30" i="12"/>
  <c r="GC23" i="12"/>
  <c r="GC7" i="12"/>
  <c r="GC11" i="12"/>
  <c r="GB15" i="12"/>
  <c r="GB24" i="12"/>
  <c r="GC6" i="12"/>
  <c r="GC10" i="12"/>
  <c r="GC14" i="12"/>
  <c r="GC21" i="12"/>
  <c r="GC57" i="12"/>
  <c r="GC61" i="12"/>
  <c r="GC65" i="12"/>
  <c r="GC69" i="12"/>
  <c r="GB109" i="12"/>
  <c r="GC106" i="12"/>
  <c r="GC121" i="12"/>
  <c r="GC125" i="12"/>
  <c r="GC188" i="12"/>
  <c r="GC192" i="12"/>
  <c r="GB212" i="12"/>
  <c r="GB230" i="12" s="1"/>
  <c r="GB243" i="12" s="1"/>
  <c r="GC206" i="12"/>
  <c r="GC210" i="12"/>
  <c r="GC236" i="12"/>
  <c r="GC240" i="12"/>
  <c r="GC177" i="12"/>
  <c r="GC248" i="12"/>
  <c r="GC266" i="12"/>
  <c r="GB269" i="12"/>
  <c r="GC76" i="12"/>
  <c r="GC80" i="12"/>
  <c r="GB128" i="12"/>
  <c r="GC136" i="12"/>
  <c r="GC140" i="12"/>
  <c r="GC148" i="12"/>
  <c r="GC151" i="12"/>
  <c r="GC249" i="12"/>
  <c r="GC253" i="12"/>
  <c r="GC255" i="12"/>
  <c r="GB286" i="12"/>
  <c r="GC284" i="12"/>
  <c r="GB92" i="12"/>
  <c r="GB181" i="12"/>
  <c r="GC173" i="12"/>
  <c r="GC91" i="12"/>
  <c r="GC98" i="12"/>
  <c r="GB116" i="12"/>
  <c r="GC114" i="12"/>
  <c r="GB154" i="12"/>
  <c r="GC162" i="12"/>
  <c r="GB201" i="12"/>
  <c r="GC199" i="12"/>
  <c r="GC217" i="12"/>
  <c r="GC221" i="12"/>
  <c r="GC225" i="12"/>
  <c r="GC229" i="12"/>
  <c r="GB101" i="12"/>
  <c r="AO8" i="11"/>
  <c r="AO7" i="11"/>
  <c r="FU256" i="12"/>
  <c r="FU255" i="12"/>
  <c r="FU249" i="12"/>
  <c r="FU248" i="12"/>
  <c r="GC42" i="12" l="1"/>
  <c r="GJ92" i="12"/>
  <c r="GJ269" i="12"/>
  <c r="GC24" i="12"/>
  <c r="GC92" i="12"/>
  <c r="GJ142" i="12"/>
  <c r="GC51" i="12"/>
  <c r="GJ166" i="12"/>
  <c r="GJ181" i="12"/>
  <c r="GC201" i="12"/>
  <c r="GJ15" i="12"/>
  <c r="GJ243" i="12"/>
  <c r="GJ230" i="12"/>
  <c r="GJ24" i="12"/>
  <c r="GJ128" i="12"/>
  <c r="GJ83" i="12"/>
  <c r="GC30" i="12"/>
  <c r="GJ194" i="12"/>
  <c r="GC194" i="12"/>
  <c r="GC286" i="12"/>
  <c r="GC109" i="12"/>
  <c r="GC269" i="12"/>
  <c r="GC181" i="12"/>
  <c r="GC166" i="12"/>
  <c r="GC154" i="12"/>
  <c r="GC142" i="12"/>
  <c r="GC116" i="12"/>
  <c r="GC101" i="12"/>
  <c r="GC15" i="12"/>
  <c r="GC83" i="12"/>
  <c r="GC212" i="12"/>
  <c r="GC230" i="12" s="1"/>
  <c r="GC243" i="12" s="1"/>
  <c r="GC258" i="12"/>
  <c r="GC128" i="12"/>
  <c r="FU286" i="12"/>
  <c r="FT286" i="12"/>
  <c r="FS286" i="12"/>
  <c r="FV285" i="12"/>
  <c r="GD285" i="12" s="1"/>
  <c r="FV284" i="12"/>
  <c r="GD284" i="12" s="1"/>
  <c r="FU275" i="12"/>
  <c r="FT275" i="12"/>
  <c r="FS275" i="12"/>
  <c r="FV274" i="12"/>
  <c r="FU269" i="12"/>
  <c r="FT269" i="12"/>
  <c r="FS269" i="12"/>
  <c r="FV268" i="12"/>
  <c r="FV267" i="12"/>
  <c r="FV266" i="12"/>
  <c r="GD266" i="12" s="1"/>
  <c r="FV265" i="12"/>
  <c r="GD265" i="12" s="1"/>
  <c r="FV264" i="12"/>
  <c r="GD264" i="12" s="1"/>
  <c r="FV263" i="12"/>
  <c r="GD263" i="12" s="1"/>
  <c r="FT258" i="12"/>
  <c r="FS258" i="12"/>
  <c r="FV257" i="12"/>
  <c r="FV256" i="12"/>
  <c r="GD256" i="12" s="1"/>
  <c r="FV255" i="12"/>
  <c r="GD255" i="12" s="1"/>
  <c r="FV254" i="12"/>
  <c r="GD254" i="12" s="1"/>
  <c r="FV253" i="12"/>
  <c r="GD253" i="12" s="1"/>
  <c r="FV252" i="12"/>
  <c r="GD252" i="12" s="1"/>
  <c r="FV251" i="12"/>
  <c r="FV250" i="12"/>
  <c r="FV249" i="12"/>
  <c r="GD249" i="12" s="1"/>
  <c r="FV248" i="12"/>
  <c r="GD248" i="12" s="1"/>
  <c r="FU258" i="12"/>
  <c r="FV242" i="12"/>
  <c r="FV241" i="12"/>
  <c r="GD241" i="12" s="1"/>
  <c r="FV240" i="12"/>
  <c r="GD240" i="12" s="1"/>
  <c r="FV239" i="12"/>
  <c r="GD239" i="12" s="1"/>
  <c r="FV238" i="12"/>
  <c r="FV237" i="12"/>
  <c r="GD237" i="12" s="1"/>
  <c r="FV236" i="12"/>
  <c r="GD236" i="12" s="1"/>
  <c r="FV235" i="12"/>
  <c r="GD235" i="12" s="1"/>
  <c r="FV229" i="12"/>
  <c r="GD229" i="12" s="1"/>
  <c r="FV228" i="12"/>
  <c r="FV227" i="12"/>
  <c r="FV226" i="12"/>
  <c r="GD226" i="12" s="1"/>
  <c r="FV225" i="12"/>
  <c r="GD225" i="12" s="1"/>
  <c r="FV224" i="12"/>
  <c r="GD224" i="12" s="1"/>
  <c r="FV223" i="12"/>
  <c r="FV222" i="12"/>
  <c r="GD222" i="12" s="1"/>
  <c r="FV221" i="12"/>
  <c r="GD221" i="12" s="1"/>
  <c r="FV220" i="12"/>
  <c r="GD220" i="12" s="1"/>
  <c r="FV219" i="12"/>
  <c r="FV218" i="12"/>
  <c r="GD218" i="12" s="1"/>
  <c r="FV217" i="12"/>
  <c r="GD217" i="12" s="1"/>
  <c r="FU212" i="12"/>
  <c r="FU230" i="12" s="1"/>
  <c r="FU243" i="12" s="1"/>
  <c r="FT212" i="12"/>
  <c r="FT230" i="12" s="1"/>
  <c r="FT243" i="12" s="1"/>
  <c r="FS212" i="12"/>
  <c r="FS230" i="12" s="1"/>
  <c r="FS243" i="12" s="1"/>
  <c r="FV211" i="12"/>
  <c r="GD211" i="12" s="1"/>
  <c r="FV210" i="12"/>
  <c r="GD210" i="12" s="1"/>
  <c r="FV209" i="12"/>
  <c r="GD209" i="12" s="1"/>
  <c r="FV208" i="12"/>
  <c r="FV207" i="12"/>
  <c r="GD207" i="12" s="1"/>
  <c r="FV206" i="12"/>
  <c r="GD206" i="12" s="1"/>
  <c r="FU201" i="12"/>
  <c r="FT201" i="12"/>
  <c r="FS201" i="12"/>
  <c r="FV200" i="12"/>
  <c r="GD200" i="12" s="1"/>
  <c r="FV199" i="12"/>
  <c r="GD199" i="12" s="1"/>
  <c r="FU194" i="12"/>
  <c r="FT194" i="12"/>
  <c r="FS194" i="12"/>
  <c r="FV193" i="12"/>
  <c r="GD193" i="12" s="1"/>
  <c r="FV192" i="12"/>
  <c r="GD192" i="12" s="1"/>
  <c r="FV191" i="12"/>
  <c r="FV190" i="12"/>
  <c r="FV189" i="12"/>
  <c r="FV188" i="12"/>
  <c r="GD188" i="12" s="1"/>
  <c r="FV187" i="12"/>
  <c r="GD187" i="12" s="1"/>
  <c r="FV186" i="12"/>
  <c r="FU181" i="12"/>
  <c r="FT181" i="12"/>
  <c r="FS181" i="12"/>
  <c r="FV180" i="12"/>
  <c r="GD180" i="12" s="1"/>
  <c r="FV179" i="12"/>
  <c r="FV178" i="12"/>
  <c r="FV177" i="12"/>
  <c r="GD177" i="12" s="1"/>
  <c r="FV176" i="12"/>
  <c r="GD176" i="12" s="1"/>
  <c r="FV175" i="12"/>
  <c r="FV174" i="12"/>
  <c r="GD174" i="12" s="1"/>
  <c r="FV173" i="12"/>
  <c r="GD173" i="12" s="1"/>
  <c r="FV172" i="12"/>
  <c r="FV171" i="12"/>
  <c r="GD171" i="12" s="1"/>
  <c r="FU166" i="12"/>
  <c r="FT166" i="12"/>
  <c r="FS166" i="12"/>
  <c r="FV165" i="12"/>
  <c r="GD165" i="12" s="1"/>
  <c r="FV164" i="12"/>
  <c r="GD164" i="12" s="1"/>
  <c r="FV163" i="12"/>
  <c r="GD163" i="12" s="1"/>
  <c r="FV162" i="12"/>
  <c r="GD162" i="12" s="1"/>
  <c r="FV161" i="12"/>
  <c r="GD161" i="12" s="1"/>
  <c r="FV160" i="12"/>
  <c r="GD160" i="12" s="1"/>
  <c r="FV159" i="12"/>
  <c r="FU154" i="12"/>
  <c r="FT154" i="12"/>
  <c r="FS154" i="12"/>
  <c r="FV153" i="12"/>
  <c r="GD153" i="12" s="1"/>
  <c r="FV152" i="12"/>
  <c r="GD152" i="12" s="1"/>
  <c r="FV151" i="12"/>
  <c r="GD151" i="12" s="1"/>
  <c r="FV141" i="12"/>
  <c r="GD141" i="12" s="1"/>
  <c r="FV150" i="12"/>
  <c r="GD150" i="12" s="1"/>
  <c r="FV149" i="12"/>
  <c r="GD149" i="12" s="1"/>
  <c r="FV148" i="12"/>
  <c r="FV147" i="12"/>
  <c r="GD147" i="12" s="1"/>
  <c r="FU142" i="12"/>
  <c r="FT142" i="12"/>
  <c r="FS142" i="12"/>
  <c r="FV140" i="12"/>
  <c r="FV139" i="12"/>
  <c r="GD139" i="12" s="1"/>
  <c r="FV138" i="12"/>
  <c r="GD138" i="12" s="1"/>
  <c r="FV137" i="12"/>
  <c r="GD137" i="12" s="1"/>
  <c r="FV136" i="12"/>
  <c r="FV135" i="12"/>
  <c r="GD135" i="12" s="1"/>
  <c r="FV134" i="12"/>
  <c r="FV133" i="12"/>
  <c r="GD133" i="12" s="1"/>
  <c r="FU128" i="12"/>
  <c r="FT128" i="12"/>
  <c r="FS128" i="12"/>
  <c r="FV127" i="12"/>
  <c r="GD127" i="12" s="1"/>
  <c r="FV126" i="12"/>
  <c r="GD126" i="12" s="1"/>
  <c r="FV125" i="12"/>
  <c r="FV124" i="12"/>
  <c r="GD124" i="12" s="1"/>
  <c r="FV123" i="12"/>
  <c r="FV122" i="12"/>
  <c r="GD122" i="12" s="1"/>
  <c r="FV121" i="12"/>
  <c r="FU116" i="12"/>
  <c r="FT116" i="12"/>
  <c r="FS116" i="12"/>
  <c r="FV115" i="12"/>
  <c r="GD115" i="12" s="1"/>
  <c r="FV114" i="12"/>
  <c r="GD114" i="12" s="1"/>
  <c r="FU109" i="12"/>
  <c r="FT109" i="12"/>
  <c r="FS109" i="12"/>
  <c r="FV107" i="12"/>
  <c r="GD107" i="12" s="1"/>
  <c r="FV106" i="12"/>
  <c r="FU101" i="12"/>
  <c r="FT101" i="12"/>
  <c r="FS101" i="12"/>
  <c r="FV99" i="12"/>
  <c r="FV98" i="12"/>
  <c r="GD98" i="12" s="1"/>
  <c r="FV97" i="12"/>
  <c r="FU92" i="12"/>
  <c r="FT92" i="12"/>
  <c r="FS92" i="12"/>
  <c r="FV91" i="12"/>
  <c r="GD91" i="12" s="1"/>
  <c r="FV90" i="12"/>
  <c r="GD90" i="12" s="1"/>
  <c r="FV89" i="12"/>
  <c r="GD89" i="12" s="1"/>
  <c r="FV88" i="12"/>
  <c r="FU83" i="12"/>
  <c r="FT83" i="12"/>
  <c r="FS83" i="12"/>
  <c r="FV82" i="12"/>
  <c r="GD82" i="12" s="1"/>
  <c r="FV81" i="12"/>
  <c r="FV80" i="12"/>
  <c r="FV79" i="12"/>
  <c r="GD79" i="12" s="1"/>
  <c r="FV78" i="12"/>
  <c r="GD78" i="12" s="1"/>
  <c r="FV77" i="12"/>
  <c r="FV76" i="12"/>
  <c r="GD76" i="12" s="1"/>
  <c r="FV75" i="12"/>
  <c r="GD75" i="12" s="1"/>
  <c r="FV74" i="12"/>
  <c r="GD74" i="12" s="1"/>
  <c r="FV73" i="12"/>
  <c r="FV72" i="12"/>
  <c r="FV71" i="12"/>
  <c r="GD71" i="12" s="1"/>
  <c r="FV70" i="12"/>
  <c r="GD70" i="12" s="1"/>
  <c r="FV69" i="12"/>
  <c r="GD69" i="12" s="1"/>
  <c r="FV68" i="12"/>
  <c r="GD68" i="12" s="1"/>
  <c r="FV67" i="12"/>
  <c r="GD67" i="12" s="1"/>
  <c r="FV66" i="12"/>
  <c r="FV65" i="12"/>
  <c r="GD65" i="12" s="1"/>
  <c r="FV64" i="12"/>
  <c r="GD64" i="12" s="1"/>
  <c r="FV63" i="12"/>
  <c r="GD63" i="12" s="1"/>
  <c r="FV62" i="12"/>
  <c r="GD62" i="12" s="1"/>
  <c r="FV61" i="12"/>
  <c r="GD61" i="12" s="1"/>
  <c r="FV60" i="12"/>
  <c r="GD60" i="12" s="1"/>
  <c r="FV59" i="12"/>
  <c r="GD59" i="12" s="1"/>
  <c r="FV58" i="12"/>
  <c r="GD58" i="12" s="1"/>
  <c r="FV57" i="12"/>
  <c r="GD57" i="12" s="1"/>
  <c r="FV56" i="12"/>
  <c r="GD56" i="12" s="1"/>
  <c r="FV55" i="12"/>
  <c r="GD55" i="12" s="1"/>
  <c r="FU51" i="12"/>
  <c r="FT51" i="12"/>
  <c r="FS51" i="12"/>
  <c r="FV49" i="12"/>
  <c r="GD49" i="12" s="1"/>
  <c r="FV48" i="12"/>
  <c r="FV47" i="12"/>
  <c r="GD47" i="12" s="1"/>
  <c r="FU42" i="12"/>
  <c r="FT42" i="12"/>
  <c r="FS42" i="12"/>
  <c r="FV41" i="12"/>
  <c r="FV40" i="12"/>
  <c r="FU30" i="12"/>
  <c r="FT30" i="12"/>
  <c r="FS30" i="12"/>
  <c r="FV29" i="12"/>
  <c r="FV28" i="12"/>
  <c r="GD28" i="12" s="1"/>
  <c r="FU24" i="12"/>
  <c r="FT24" i="12"/>
  <c r="FS24" i="12"/>
  <c r="FV23" i="12"/>
  <c r="FV22" i="12"/>
  <c r="FV21" i="12"/>
  <c r="GD21" i="12" s="1"/>
  <c r="FV20" i="12"/>
  <c r="GD20" i="12" s="1"/>
  <c r="FU15" i="12"/>
  <c r="FT15" i="12"/>
  <c r="FS15" i="12"/>
  <c r="FV14" i="12"/>
  <c r="GD14" i="12" s="1"/>
  <c r="FV13" i="12"/>
  <c r="GD13" i="12" s="1"/>
  <c r="FV12" i="12"/>
  <c r="FV11" i="12"/>
  <c r="GD11" i="12" s="1"/>
  <c r="FV10" i="12"/>
  <c r="GD10" i="12" s="1"/>
  <c r="FV9" i="12"/>
  <c r="GD9" i="12" s="1"/>
  <c r="FV8" i="12"/>
  <c r="FV7" i="12"/>
  <c r="GD7" i="12" s="1"/>
  <c r="FV6" i="12"/>
  <c r="GD6" i="12" s="1"/>
  <c r="FV5" i="12"/>
  <c r="GD5" i="12" s="1"/>
  <c r="FV4" i="12"/>
  <c r="FW22" i="13"/>
  <c r="AO10" i="11" s="1"/>
  <c r="FY14" i="13"/>
  <c r="AO9" i="11" s="1"/>
  <c r="FY6" i="13"/>
  <c r="AO6" i="11" s="1"/>
  <c r="GD116" i="12" l="1"/>
  <c r="FW252" i="12"/>
  <c r="FW164" i="12"/>
  <c r="FW187" i="12"/>
  <c r="GD286" i="12"/>
  <c r="FW40" i="12"/>
  <c r="GD40" i="12"/>
  <c r="FW178" i="12"/>
  <c r="GD178" i="12"/>
  <c r="FW228" i="12"/>
  <c r="GD228" i="12"/>
  <c r="FW267" i="12"/>
  <c r="GD267" i="12"/>
  <c r="FW97" i="12"/>
  <c r="GD97" i="12"/>
  <c r="FW179" i="12"/>
  <c r="GD179" i="12"/>
  <c r="FW242" i="12"/>
  <c r="GD242" i="12"/>
  <c r="FV275" i="12"/>
  <c r="GD274" i="12"/>
  <c r="GD275" i="12" s="1"/>
  <c r="FW4" i="12"/>
  <c r="GD4" i="12"/>
  <c r="FW22" i="12"/>
  <c r="GD22" i="12"/>
  <c r="FW48" i="12"/>
  <c r="GD48" i="12"/>
  <c r="GD51" i="12" s="1"/>
  <c r="FW88" i="12"/>
  <c r="GD88" i="12"/>
  <c r="GD92" i="12" s="1"/>
  <c r="FW150" i="12"/>
  <c r="FW159" i="12"/>
  <c r="GD159" i="12"/>
  <c r="GD166" i="12" s="1"/>
  <c r="FW172" i="12"/>
  <c r="GD172" i="12"/>
  <c r="FW186" i="12"/>
  <c r="GD186" i="12"/>
  <c r="FW189" i="12"/>
  <c r="GD189" i="12"/>
  <c r="GD201" i="12"/>
  <c r="FW219" i="12"/>
  <c r="GD219" i="12"/>
  <c r="FW222" i="12"/>
  <c r="FW251" i="12"/>
  <c r="GD251" i="12"/>
  <c r="FW29" i="12"/>
  <c r="GD29" i="12"/>
  <c r="GD30" i="12" s="1"/>
  <c r="FW191" i="12"/>
  <c r="GD191" i="12"/>
  <c r="FW41" i="12"/>
  <c r="GD41" i="12"/>
  <c r="FW121" i="12"/>
  <c r="GD121" i="12"/>
  <c r="FW175" i="12"/>
  <c r="GD175" i="12"/>
  <c r="FW208" i="12"/>
  <c r="GD208" i="12"/>
  <c r="GD212" i="12" s="1"/>
  <c r="FW238" i="12"/>
  <c r="GD238" i="12"/>
  <c r="FW250" i="12"/>
  <c r="GD250" i="12"/>
  <c r="FW257" i="12"/>
  <c r="GD257" i="12"/>
  <c r="FW268" i="12"/>
  <c r="GD268" i="12"/>
  <c r="FW23" i="12"/>
  <c r="GD23" i="12"/>
  <c r="FW99" i="12"/>
  <c r="GD99" i="12"/>
  <c r="FW106" i="12"/>
  <c r="GD106" i="12"/>
  <c r="GD109" i="12" s="1"/>
  <c r="FW148" i="12"/>
  <c r="GD148" i="12"/>
  <c r="GD154" i="12" s="1"/>
  <c r="FW190" i="12"/>
  <c r="GD190" i="12"/>
  <c r="FW223" i="12"/>
  <c r="GD223" i="12"/>
  <c r="FW227" i="12"/>
  <c r="GD227" i="12"/>
  <c r="FW285" i="12"/>
  <c r="FW125" i="12"/>
  <c r="GD125" i="12"/>
  <c r="FW136" i="12"/>
  <c r="GD136" i="12"/>
  <c r="FW140" i="12"/>
  <c r="GD140" i="12"/>
  <c r="FW123" i="12"/>
  <c r="GD123" i="12"/>
  <c r="FW134" i="12"/>
  <c r="GD134" i="12"/>
  <c r="FW8" i="12"/>
  <c r="GD8" i="12"/>
  <c r="FW12" i="12"/>
  <c r="GD12" i="12"/>
  <c r="FW57" i="12"/>
  <c r="FW73" i="12"/>
  <c r="GD73" i="12"/>
  <c r="FW77" i="12"/>
  <c r="GD77" i="12"/>
  <c r="FW81" i="12"/>
  <c r="GD81" i="12"/>
  <c r="FW72" i="12"/>
  <c r="GD72" i="12"/>
  <c r="FW80" i="12"/>
  <c r="GD80" i="12"/>
  <c r="FW66" i="12"/>
  <c r="GD66" i="12"/>
  <c r="AO11" i="11"/>
  <c r="FW7" i="12"/>
  <c r="FW161" i="12"/>
  <c r="FW165" i="12"/>
  <c r="FW176" i="12"/>
  <c r="FW180" i="12"/>
  <c r="FW200" i="12"/>
  <c r="FW218" i="12"/>
  <c r="FW255" i="12"/>
  <c r="FV42" i="12"/>
  <c r="FY22" i="13"/>
  <c r="FY23" i="13" s="1"/>
  <c r="FW78" i="12"/>
  <c r="FW171" i="12"/>
  <c r="FW193" i="12"/>
  <c r="FW211" i="12"/>
  <c r="FW138" i="12"/>
  <c r="FW124" i="12"/>
  <c r="FW122" i="12"/>
  <c r="FW153" i="12"/>
  <c r="FW265" i="12"/>
  <c r="FW241" i="12"/>
  <c r="FW239" i="12"/>
  <c r="FW237" i="12"/>
  <c r="FW235" i="12"/>
  <c r="FW220" i="12"/>
  <c r="FW76" i="12"/>
  <c r="FW70" i="12"/>
  <c r="FW61" i="12"/>
  <c r="FW59" i="12"/>
  <c r="FW55" i="12"/>
  <c r="FW47" i="12"/>
  <c r="FV30" i="12"/>
  <c r="FW28" i="12"/>
  <c r="FW11" i="12"/>
  <c r="FW6" i="12"/>
  <c r="FW10" i="12"/>
  <c r="FW14" i="12"/>
  <c r="FW21" i="12"/>
  <c r="FV24" i="12"/>
  <c r="FV51" i="12"/>
  <c r="FW58" i="12"/>
  <c r="FW62" i="12"/>
  <c r="FW63" i="12"/>
  <c r="FW65" i="12"/>
  <c r="FW67" i="12"/>
  <c r="FW69" i="12"/>
  <c r="FW75" i="12"/>
  <c r="FW91" i="12"/>
  <c r="FV92" i="12"/>
  <c r="FW90" i="12"/>
  <c r="FW98" i="12"/>
  <c r="FV109" i="12"/>
  <c r="FW115" i="12"/>
  <c r="FW127" i="12"/>
  <c r="FW133" i="12"/>
  <c r="FW135" i="12"/>
  <c r="FW139" i="12"/>
  <c r="FW147" i="12"/>
  <c r="FW149" i="12"/>
  <c r="FW141" i="12"/>
  <c r="FW152" i="12"/>
  <c r="FW160" i="12"/>
  <c r="FW174" i="12"/>
  <c r="FW207" i="12"/>
  <c r="FW209" i="12"/>
  <c r="FW224" i="12"/>
  <c r="FW226" i="12"/>
  <c r="FW254" i="12"/>
  <c r="FW264" i="12"/>
  <c r="FW263" i="12"/>
  <c r="FW274" i="12"/>
  <c r="FW275" i="12" s="1"/>
  <c r="FW162" i="12"/>
  <c r="FW177" i="12"/>
  <c r="FW253" i="12"/>
  <c r="FW5" i="12"/>
  <c r="FW9" i="12"/>
  <c r="FW13" i="12"/>
  <c r="FV15" i="12"/>
  <c r="FW20" i="12"/>
  <c r="FW49" i="12"/>
  <c r="FV83" i="12"/>
  <c r="FW56" i="12"/>
  <c r="FW60" i="12"/>
  <c r="FW64" i="12"/>
  <c r="FW68" i="12"/>
  <c r="FW71" i="12"/>
  <c r="FW74" i="12"/>
  <c r="FW79" i="12"/>
  <c r="FW82" i="12"/>
  <c r="FV101" i="12"/>
  <c r="FV128" i="12"/>
  <c r="FV181" i="12"/>
  <c r="FV194" i="12"/>
  <c r="FW210" i="12"/>
  <c r="FW225" i="12"/>
  <c r="FW229" i="12"/>
  <c r="FV116" i="12"/>
  <c r="FW114" i="12"/>
  <c r="FW192" i="12"/>
  <c r="FW221" i="12"/>
  <c r="FW89" i="12"/>
  <c r="FW107" i="12"/>
  <c r="FW126" i="12"/>
  <c r="FW137" i="12"/>
  <c r="FV142" i="12"/>
  <c r="FW151" i="12"/>
  <c r="FW163" i="12"/>
  <c r="FV201" i="12"/>
  <c r="FW199" i="12"/>
  <c r="FW248" i="12"/>
  <c r="FW256" i="12"/>
  <c r="FV286" i="12"/>
  <c r="FW284" i="12"/>
  <c r="FV166" i="12"/>
  <c r="FV212" i="12"/>
  <c r="FV230" i="12" s="1"/>
  <c r="FV243" i="12" s="1"/>
  <c r="FW206" i="12"/>
  <c r="FW249" i="12"/>
  <c r="FW266" i="12"/>
  <c r="FV269" i="12"/>
  <c r="FV154" i="12"/>
  <c r="FW173" i="12"/>
  <c r="FW188" i="12"/>
  <c r="FW217" i="12"/>
  <c r="FW236" i="12"/>
  <c r="FW240" i="12"/>
  <c r="FV258" i="12"/>
  <c r="FW109" i="12" l="1"/>
  <c r="GD243" i="12"/>
  <c r="FW286" i="12"/>
  <c r="FW201" i="12"/>
  <c r="GD24" i="12"/>
  <c r="GD101" i="12"/>
  <c r="GD258" i="12"/>
  <c r="GD230" i="12"/>
  <c r="GD42" i="12"/>
  <c r="GD83" i="12"/>
  <c r="GD181" i="12"/>
  <c r="FW42" i="12"/>
  <c r="FW30" i="12"/>
  <c r="GD142" i="12"/>
  <c r="GD269" i="12"/>
  <c r="GD194" i="12"/>
  <c r="FW101" i="12"/>
  <c r="FW51" i="12"/>
  <c r="FW194" i="12"/>
  <c r="GD128" i="12"/>
  <c r="GD15" i="12"/>
  <c r="FW92" i="12"/>
  <c r="FW128" i="12"/>
  <c r="FW116" i="12"/>
  <c r="FW142" i="12"/>
  <c r="FW154" i="12"/>
  <c r="FW166" i="12"/>
  <c r="FW269" i="12"/>
  <c r="FW24" i="12"/>
  <c r="FW15" i="12"/>
  <c r="FW83" i="12"/>
  <c r="FW181" i="12"/>
  <c r="FW258" i="12"/>
  <c r="FW212" i="12"/>
  <c r="FW230" i="12" s="1"/>
  <c r="FW243" i="12" s="1"/>
  <c r="FT14" i="13"/>
  <c r="AN9" i="11" s="1"/>
  <c r="FO256" i="12" l="1"/>
  <c r="FP256" i="12" s="1"/>
  <c r="FX256" i="12" s="1"/>
  <c r="FO255" i="12"/>
  <c r="FP255" i="12" s="1"/>
  <c r="FX255" i="12" s="1"/>
  <c r="FO249" i="12"/>
  <c r="FP249" i="12" s="1"/>
  <c r="FX249" i="12" s="1"/>
  <c r="FO248" i="12"/>
  <c r="FP248" i="12" s="1"/>
  <c r="FX248" i="12" s="1"/>
  <c r="AN8" i="11"/>
  <c r="AN7" i="11"/>
  <c r="FR22" i="13"/>
  <c r="AN10" i="11" s="1"/>
  <c r="FT6" i="13"/>
  <c r="FT22" i="13" s="1"/>
  <c r="FO286" i="12"/>
  <c r="FN286" i="12"/>
  <c r="FM286" i="12"/>
  <c r="FP285" i="12"/>
  <c r="FX285" i="12" s="1"/>
  <c r="FP284" i="12"/>
  <c r="FX284" i="12" s="1"/>
  <c r="FO275" i="12"/>
  <c r="FN275" i="12"/>
  <c r="FM275" i="12"/>
  <c r="FP274" i="12"/>
  <c r="FO269" i="12"/>
  <c r="FN269" i="12"/>
  <c r="FM269" i="12"/>
  <c r="FP268" i="12"/>
  <c r="FP267" i="12"/>
  <c r="FX267" i="12" s="1"/>
  <c r="FP266" i="12"/>
  <c r="FX266" i="12" s="1"/>
  <c r="FP265" i="12"/>
  <c r="FP264" i="12"/>
  <c r="FP263" i="12"/>
  <c r="FX263" i="12" s="1"/>
  <c r="FN258" i="12"/>
  <c r="FM258" i="12"/>
  <c r="FP257" i="12"/>
  <c r="FP254" i="12"/>
  <c r="FX254" i="12" s="1"/>
  <c r="FP253" i="12"/>
  <c r="FX253" i="12" s="1"/>
  <c r="FP252" i="12"/>
  <c r="FX252" i="12" s="1"/>
  <c r="FP251" i="12"/>
  <c r="FP250" i="12"/>
  <c r="FX250" i="12" s="1"/>
  <c r="FP242" i="12"/>
  <c r="FP241" i="12"/>
  <c r="FX241" i="12" s="1"/>
  <c r="FP240" i="12"/>
  <c r="FX240" i="12" s="1"/>
  <c r="FP239" i="12"/>
  <c r="FX239" i="12" s="1"/>
  <c r="FP238" i="12"/>
  <c r="FP237" i="12"/>
  <c r="FP236" i="12"/>
  <c r="FX236" i="12" s="1"/>
  <c r="FP235" i="12"/>
  <c r="FX235" i="12" s="1"/>
  <c r="FP229" i="12"/>
  <c r="FX229" i="12" s="1"/>
  <c r="FP228" i="12"/>
  <c r="FX228" i="12" s="1"/>
  <c r="FP227" i="12"/>
  <c r="FP226" i="12"/>
  <c r="FX226" i="12" s="1"/>
  <c r="FP225" i="12"/>
  <c r="FX225" i="12" s="1"/>
  <c r="FP224" i="12"/>
  <c r="FX224" i="12" s="1"/>
  <c r="FP223" i="12"/>
  <c r="FP222" i="12"/>
  <c r="FX222" i="12" s="1"/>
  <c r="FP221" i="12"/>
  <c r="FX221" i="12" s="1"/>
  <c r="FP220" i="12"/>
  <c r="FX220" i="12" s="1"/>
  <c r="FP219" i="12"/>
  <c r="FP218" i="12"/>
  <c r="FX218" i="12" s="1"/>
  <c r="FP217" i="12"/>
  <c r="FX217" i="12" s="1"/>
  <c r="FO212" i="12"/>
  <c r="FO230" i="12" s="1"/>
  <c r="FO243" i="12" s="1"/>
  <c r="FN212" i="12"/>
  <c r="FN230" i="12" s="1"/>
  <c r="FN243" i="12" s="1"/>
  <c r="FM212" i="12"/>
  <c r="FM230" i="12" s="1"/>
  <c r="FM243" i="12" s="1"/>
  <c r="FP211" i="12"/>
  <c r="FX211" i="12" s="1"/>
  <c r="FP210" i="12"/>
  <c r="FX210" i="12" s="1"/>
  <c r="FP209" i="12"/>
  <c r="FP208" i="12"/>
  <c r="FP207" i="12"/>
  <c r="FX207" i="12" s="1"/>
  <c r="FP206" i="12"/>
  <c r="FX206" i="12" s="1"/>
  <c r="FO201" i="12"/>
  <c r="FN201" i="12"/>
  <c r="FM201" i="12"/>
  <c r="FP200" i="12"/>
  <c r="FP199" i="12"/>
  <c r="FX199" i="12" s="1"/>
  <c r="FO194" i="12"/>
  <c r="FN194" i="12"/>
  <c r="FM194" i="12"/>
  <c r="FP193" i="12"/>
  <c r="FX193" i="12" s="1"/>
  <c r="FP192" i="12"/>
  <c r="FX192" i="12" s="1"/>
  <c r="FP191" i="12"/>
  <c r="FP190" i="12"/>
  <c r="FP189" i="12"/>
  <c r="FX189" i="12" s="1"/>
  <c r="FP188" i="12"/>
  <c r="FX188" i="12" s="1"/>
  <c r="FP187" i="12"/>
  <c r="FP186" i="12"/>
  <c r="FX186" i="12" s="1"/>
  <c r="FO181" i="12"/>
  <c r="FN181" i="12"/>
  <c r="FM181" i="12"/>
  <c r="FP180" i="12"/>
  <c r="FX180" i="12" s="1"/>
  <c r="FP179" i="12"/>
  <c r="FP178" i="12"/>
  <c r="FP177" i="12"/>
  <c r="FX177" i="12" s="1"/>
  <c r="FP176" i="12"/>
  <c r="FX176" i="12" s="1"/>
  <c r="FP175" i="12"/>
  <c r="FP174" i="12"/>
  <c r="FX174" i="12" s="1"/>
  <c r="FP173" i="12"/>
  <c r="FX173" i="12" s="1"/>
  <c r="FP172" i="12"/>
  <c r="FX172" i="12" s="1"/>
  <c r="FP171" i="12"/>
  <c r="FX171" i="12" s="1"/>
  <c r="FO166" i="12"/>
  <c r="FN166" i="12"/>
  <c r="FM166" i="12"/>
  <c r="FP165" i="12"/>
  <c r="FX165" i="12" s="1"/>
  <c r="FP164" i="12"/>
  <c r="FP163" i="12"/>
  <c r="FX163" i="12" s="1"/>
  <c r="FP162" i="12"/>
  <c r="FX162" i="12" s="1"/>
  <c r="FP161" i="12"/>
  <c r="FX161" i="12" s="1"/>
  <c r="FP160" i="12"/>
  <c r="FP159" i="12"/>
  <c r="FO154" i="12"/>
  <c r="FN154" i="12"/>
  <c r="FM154" i="12"/>
  <c r="FP153" i="12"/>
  <c r="FP152" i="12"/>
  <c r="FX152" i="12" s="1"/>
  <c r="FP151" i="12"/>
  <c r="FX151" i="12" s="1"/>
  <c r="FP141" i="12"/>
  <c r="FX141" i="12" s="1"/>
  <c r="FP150" i="12"/>
  <c r="FP149" i="12"/>
  <c r="FX149" i="12" s="1"/>
  <c r="FP148" i="12"/>
  <c r="FX148" i="12" s="1"/>
  <c r="FP147" i="12"/>
  <c r="FO142" i="12"/>
  <c r="FN142" i="12"/>
  <c r="FM142" i="12"/>
  <c r="FP140" i="12"/>
  <c r="FX140" i="12" s="1"/>
  <c r="FP139" i="12"/>
  <c r="FX139" i="12" s="1"/>
  <c r="FP138" i="12"/>
  <c r="FP137" i="12"/>
  <c r="FX137" i="12" s="1"/>
  <c r="FP136" i="12"/>
  <c r="FX136" i="12" s="1"/>
  <c r="FP135" i="12"/>
  <c r="FX135" i="12" s="1"/>
  <c r="FP134" i="12"/>
  <c r="FP133" i="12"/>
  <c r="FO128" i="12"/>
  <c r="FN128" i="12"/>
  <c r="FM128" i="12"/>
  <c r="FP127" i="12"/>
  <c r="FP126" i="12"/>
  <c r="FX126" i="12" s="1"/>
  <c r="FP125" i="12"/>
  <c r="FX125" i="12" s="1"/>
  <c r="FP124" i="12"/>
  <c r="FX124" i="12" s="1"/>
  <c r="FP123" i="12"/>
  <c r="FP122" i="12"/>
  <c r="FX122" i="12" s="1"/>
  <c r="FP121" i="12"/>
  <c r="FX121" i="12" s="1"/>
  <c r="FO116" i="12"/>
  <c r="FN116" i="12"/>
  <c r="FM116" i="12"/>
  <c r="FP115" i="12"/>
  <c r="FP114" i="12"/>
  <c r="FX114" i="12" s="1"/>
  <c r="FO109" i="12"/>
  <c r="FN109" i="12"/>
  <c r="FM109" i="12"/>
  <c r="FP107" i="12"/>
  <c r="FX107" i="12" s="1"/>
  <c r="FP106" i="12"/>
  <c r="FX106" i="12" s="1"/>
  <c r="FP105" i="12"/>
  <c r="FO101" i="12"/>
  <c r="FN101" i="12"/>
  <c r="FM101" i="12"/>
  <c r="FP99" i="12"/>
  <c r="FX99" i="12" s="1"/>
  <c r="FP98" i="12"/>
  <c r="FX98" i="12" s="1"/>
  <c r="FP97" i="12"/>
  <c r="FO92" i="12"/>
  <c r="FN92" i="12"/>
  <c r="FM92" i="12"/>
  <c r="FP91" i="12"/>
  <c r="FX91" i="12" s="1"/>
  <c r="FP90" i="12"/>
  <c r="FP89" i="12"/>
  <c r="FP88" i="12"/>
  <c r="FX88" i="12" s="1"/>
  <c r="FO83" i="12"/>
  <c r="FN83" i="12"/>
  <c r="FM83" i="12"/>
  <c r="FP82" i="12"/>
  <c r="FX82" i="12" s="1"/>
  <c r="FP81" i="12"/>
  <c r="FX81" i="12" s="1"/>
  <c r="FP80" i="12"/>
  <c r="FP79" i="12"/>
  <c r="FP78" i="12"/>
  <c r="FX78" i="12" s="1"/>
  <c r="FP77" i="12"/>
  <c r="FX77" i="12" s="1"/>
  <c r="FP76" i="12"/>
  <c r="FP75" i="12"/>
  <c r="FX75" i="12" s="1"/>
  <c r="FP74" i="12"/>
  <c r="FX74" i="12" s="1"/>
  <c r="FP73" i="12"/>
  <c r="FX73" i="12" s="1"/>
  <c r="FP72" i="12"/>
  <c r="FP71" i="12"/>
  <c r="FP70" i="12"/>
  <c r="FP69" i="12"/>
  <c r="FX69" i="12" s="1"/>
  <c r="FP68" i="12"/>
  <c r="FX68" i="12" s="1"/>
  <c r="FP67" i="12"/>
  <c r="FP66" i="12"/>
  <c r="FX66" i="12" s="1"/>
  <c r="FP65" i="12"/>
  <c r="FP64" i="12"/>
  <c r="FP63" i="12"/>
  <c r="FP62" i="12"/>
  <c r="FX62" i="12" s="1"/>
  <c r="FP61" i="12"/>
  <c r="FP60" i="12"/>
  <c r="FP59" i="12"/>
  <c r="FP58" i="12"/>
  <c r="FX58" i="12" s="1"/>
  <c r="FP57" i="12"/>
  <c r="FP56" i="12"/>
  <c r="FP55" i="12"/>
  <c r="FO51" i="12"/>
  <c r="FN51" i="12"/>
  <c r="FM51" i="12"/>
  <c r="FP49" i="12"/>
  <c r="FX49" i="12" s="1"/>
  <c r="FP48" i="12"/>
  <c r="FP47" i="12"/>
  <c r="FX47" i="12" s="1"/>
  <c r="FO42" i="12"/>
  <c r="FN42" i="12"/>
  <c r="FM42" i="12"/>
  <c r="FP41" i="12"/>
  <c r="FX41" i="12" s="1"/>
  <c r="FP40" i="12"/>
  <c r="FX40" i="12" s="1"/>
  <c r="FO30" i="12"/>
  <c r="FN30" i="12"/>
  <c r="FM30" i="12"/>
  <c r="FP29" i="12"/>
  <c r="FX29" i="12" s="1"/>
  <c r="FP28" i="12"/>
  <c r="FX28" i="12" s="1"/>
  <c r="FO24" i="12"/>
  <c r="FN24" i="12"/>
  <c r="FM24" i="12"/>
  <c r="FP23" i="12"/>
  <c r="FX23" i="12" s="1"/>
  <c r="FP22" i="12"/>
  <c r="FX22" i="12" s="1"/>
  <c r="FP21" i="12"/>
  <c r="FP20" i="12"/>
  <c r="FX20" i="12" s="1"/>
  <c r="FO15" i="12"/>
  <c r="FN15" i="12"/>
  <c r="FM15" i="12"/>
  <c r="FP14" i="12"/>
  <c r="FP13" i="12"/>
  <c r="FP12" i="12"/>
  <c r="FX12" i="12" s="1"/>
  <c r="FP11" i="12"/>
  <c r="FX11" i="12" s="1"/>
  <c r="FP10" i="12"/>
  <c r="FP9" i="12"/>
  <c r="FX9" i="12" s="1"/>
  <c r="FP8" i="12"/>
  <c r="FX8" i="12" s="1"/>
  <c r="FP7" i="12"/>
  <c r="FX7" i="12" s="1"/>
  <c r="FP6" i="12"/>
  <c r="FP5" i="12"/>
  <c r="FX5" i="12" s="1"/>
  <c r="FP4" i="12"/>
  <c r="FQ105" i="12" l="1"/>
  <c r="FX105" i="12"/>
  <c r="FX109" i="12" s="1"/>
  <c r="FX30" i="12"/>
  <c r="FQ13" i="12"/>
  <c r="FX13" i="12"/>
  <c r="FQ55" i="12"/>
  <c r="FX55" i="12"/>
  <c r="FQ59" i="12"/>
  <c r="FX59" i="12"/>
  <c r="FQ63" i="12"/>
  <c r="FX63" i="12"/>
  <c r="FQ67" i="12"/>
  <c r="FX67" i="12"/>
  <c r="FQ71" i="12"/>
  <c r="FX71" i="12"/>
  <c r="FQ79" i="12"/>
  <c r="FX79" i="12"/>
  <c r="FQ89" i="12"/>
  <c r="FX89" i="12"/>
  <c r="FQ147" i="12"/>
  <c r="FX147" i="12"/>
  <c r="FQ160" i="12"/>
  <c r="FX160" i="12"/>
  <c r="FQ164" i="12"/>
  <c r="FX164" i="12"/>
  <c r="FQ178" i="12"/>
  <c r="FX178" i="12"/>
  <c r="FQ208" i="12"/>
  <c r="FX208" i="12"/>
  <c r="FO258" i="12"/>
  <c r="FQ251" i="12"/>
  <c r="FX251" i="12"/>
  <c r="FQ4" i="12"/>
  <c r="FX4" i="12"/>
  <c r="FQ48" i="12"/>
  <c r="FX48" i="12"/>
  <c r="FX51" i="12" s="1"/>
  <c r="FQ70" i="12"/>
  <c r="FX70" i="12"/>
  <c r="FQ153" i="12"/>
  <c r="FX153" i="12"/>
  <c r="FQ191" i="12"/>
  <c r="FX191" i="12"/>
  <c r="FQ242" i="12"/>
  <c r="FX242" i="12"/>
  <c r="FQ265" i="12"/>
  <c r="FX265" i="12"/>
  <c r="FQ6" i="12"/>
  <c r="FX6" i="12"/>
  <c r="FQ10" i="12"/>
  <c r="FX10" i="12"/>
  <c r="FQ14" i="12"/>
  <c r="FX14" i="12"/>
  <c r="FX42" i="12"/>
  <c r="FQ56" i="12"/>
  <c r="FX56" i="12"/>
  <c r="FQ60" i="12"/>
  <c r="FX60" i="12"/>
  <c r="FQ64" i="12"/>
  <c r="FX64" i="12"/>
  <c r="FQ72" i="12"/>
  <c r="FX72" i="12"/>
  <c r="FQ76" i="12"/>
  <c r="FX76" i="12"/>
  <c r="FQ80" i="12"/>
  <c r="FX80" i="12"/>
  <c r="FQ90" i="12"/>
  <c r="FX90" i="12"/>
  <c r="FX92" i="12" s="1"/>
  <c r="FQ123" i="12"/>
  <c r="FX123" i="12"/>
  <c r="FQ127" i="12"/>
  <c r="FX127" i="12"/>
  <c r="FQ133" i="12"/>
  <c r="FX133" i="12"/>
  <c r="FQ175" i="12"/>
  <c r="FX175" i="12"/>
  <c r="FQ179" i="12"/>
  <c r="FX179" i="12"/>
  <c r="FQ209" i="12"/>
  <c r="FX209" i="12"/>
  <c r="FQ219" i="12"/>
  <c r="FX219" i="12"/>
  <c r="FQ223" i="12"/>
  <c r="FX223" i="12"/>
  <c r="FQ227" i="12"/>
  <c r="FX227" i="12"/>
  <c r="FQ115" i="12"/>
  <c r="FX115" i="12"/>
  <c r="FX116" i="12" s="1"/>
  <c r="FQ150" i="12"/>
  <c r="FX150" i="12"/>
  <c r="FQ159" i="12"/>
  <c r="FX159" i="12"/>
  <c r="FQ187" i="12"/>
  <c r="FX187" i="12"/>
  <c r="FQ238" i="12"/>
  <c r="FX238" i="12"/>
  <c r="FQ21" i="12"/>
  <c r="FX21" i="12"/>
  <c r="FX24" i="12" s="1"/>
  <c r="FQ57" i="12"/>
  <c r="FX57" i="12"/>
  <c r="FQ61" i="12"/>
  <c r="FX61" i="12"/>
  <c r="FQ65" i="12"/>
  <c r="FX65" i="12"/>
  <c r="FQ97" i="12"/>
  <c r="FX97" i="12"/>
  <c r="FX101" i="12" s="1"/>
  <c r="FQ134" i="12"/>
  <c r="FX134" i="12"/>
  <c r="FQ138" i="12"/>
  <c r="FX138" i="12"/>
  <c r="FQ190" i="12"/>
  <c r="FX190" i="12"/>
  <c r="FQ200" i="12"/>
  <c r="FX200" i="12"/>
  <c r="FX201" i="12" s="1"/>
  <c r="FQ237" i="12"/>
  <c r="FX237" i="12"/>
  <c r="FQ257" i="12"/>
  <c r="FX257" i="12"/>
  <c r="FQ264" i="12"/>
  <c r="FX264" i="12"/>
  <c r="FQ268" i="12"/>
  <c r="FX268" i="12"/>
  <c r="FP275" i="12"/>
  <c r="FX274" i="12"/>
  <c r="FX275" i="12" s="1"/>
  <c r="FX286" i="12"/>
  <c r="AN6" i="11"/>
  <c r="FP24" i="12"/>
  <c r="FT23" i="13"/>
  <c r="FQ12" i="12"/>
  <c r="FQ29" i="12"/>
  <c r="FQ75" i="12"/>
  <c r="FQ126" i="12"/>
  <c r="FQ186" i="12"/>
  <c r="FQ68" i="12"/>
  <c r="FQ82" i="12"/>
  <c r="FP128" i="12"/>
  <c r="FQ8" i="12"/>
  <c r="FQ23" i="12"/>
  <c r="FP30" i="12"/>
  <c r="FQ41" i="12"/>
  <c r="FQ74" i="12"/>
  <c r="FQ78" i="12"/>
  <c r="FQ207" i="12"/>
  <c r="FQ274" i="12"/>
  <c r="FQ275" i="12" s="1"/>
  <c r="FQ285" i="12"/>
  <c r="FQ263" i="12"/>
  <c r="FQ267" i="12"/>
  <c r="FQ254" i="12"/>
  <c r="FQ256" i="12"/>
  <c r="FQ250" i="12"/>
  <c r="FQ255" i="12"/>
  <c r="FQ241" i="12"/>
  <c r="FQ222" i="12"/>
  <c r="FQ218" i="12"/>
  <c r="FQ226" i="12"/>
  <c r="FQ211" i="12"/>
  <c r="FQ189" i="12"/>
  <c r="FQ193" i="12"/>
  <c r="FP194" i="12"/>
  <c r="FQ174" i="12"/>
  <c r="FQ163" i="12"/>
  <c r="FQ149" i="12"/>
  <c r="FQ152" i="12"/>
  <c r="FQ137" i="12"/>
  <c r="FQ122" i="12"/>
  <c r="FQ107" i="12"/>
  <c r="FQ5" i="12"/>
  <c r="FQ9" i="12"/>
  <c r="FP15" i="12"/>
  <c r="FQ20" i="12"/>
  <c r="FQ49" i="12"/>
  <c r="FP83" i="12"/>
  <c r="FQ99" i="12"/>
  <c r="FQ148" i="12"/>
  <c r="FP181" i="12"/>
  <c r="FQ188" i="12"/>
  <c r="FQ192" i="12"/>
  <c r="FP212" i="12"/>
  <c r="FP230" i="12" s="1"/>
  <c r="FP243" i="12" s="1"/>
  <c r="FQ206" i="12"/>
  <c r="FQ248" i="12"/>
  <c r="FP258" i="12"/>
  <c r="FQ266" i="12"/>
  <c r="FP269" i="12"/>
  <c r="FP51" i="12"/>
  <c r="FQ69" i="12"/>
  <c r="FQ81" i="12"/>
  <c r="FP116" i="12"/>
  <c r="FQ114" i="12"/>
  <c r="FQ125" i="12"/>
  <c r="FQ140" i="12"/>
  <c r="FQ162" i="12"/>
  <c r="FQ177" i="12"/>
  <c r="FQ217" i="12"/>
  <c r="FQ225" i="12"/>
  <c r="FQ240" i="12"/>
  <c r="FQ253" i="12"/>
  <c r="FQ7" i="12"/>
  <c r="FQ11" i="12"/>
  <c r="FQ22" i="12"/>
  <c r="FQ28" i="12"/>
  <c r="FQ40" i="12"/>
  <c r="FP42" i="12"/>
  <c r="FQ47" i="12"/>
  <c r="FQ58" i="12"/>
  <c r="FQ62" i="12"/>
  <c r="FQ66" i="12"/>
  <c r="FQ73" i="12"/>
  <c r="FQ77" i="12"/>
  <c r="FP142" i="12"/>
  <c r="FQ151" i="12"/>
  <c r="FP154" i="12"/>
  <c r="FP201" i="12"/>
  <c r="FQ199" i="12"/>
  <c r="FQ249" i="12"/>
  <c r="FP286" i="12"/>
  <c r="FQ284" i="12"/>
  <c r="FP92" i="12"/>
  <c r="FQ88" i="12"/>
  <c r="FQ106" i="12"/>
  <c r="FQ121" i="12"/>
  <c r="FQ136" i="12"/>
  <c r="FP166" i="12"/>
  <c r="FQ173" i="12"/>
  <c r="FQ210" i="12"/>
  <c r="FQ221" i="12"/>
  <c r="FQ229" i="12"/>
  <c r="FQ236" i="12"/>
  <c r="FP109" i="12"/>
  <c r="FQ91" i="12"/>
  <c r="FQ98" i="12"/>
  <c r="FP101" i="12"/>
  <c r="FQ124" i="12"/>
  <c r="FQ135" i="12"/>
  <c r="FQ139" i="12"/>
  <c r="FQ141" i="12"/>
  <c r="FQ161" i="12"/>
  <c r="FQ165" i="12"/>
  <c r="FQ172" i="12"/>
  <c r="FQ176" i="12"/>
  <c r="FQ180" i="12"/>
  <c r="FQ220" i="12"/>
  <c r="FQ224" i="12"/>
  <c r="FQ228" i="12"/>
  <c r="FQ235" i="12"/>
  <c r="FQ239" i="12"/>
  <c r="FQ252" i="12"/>
  <c r="FQ171" i="12"/>
  <c r="FQ30" i="12" l="1"/>
  <c r="FQ201" i="12"/>
  <c r="FQ109" i="12"/>
  <c r="FX166" i="12"/>
  <c r="FX212" i="12"/>
  <c r="FX181" i="12"/>
  <c r="FX194" i="12"/>
  <c r="FX154" i="12"/>
  <c r="FX230" i="12"/>
  <c r="FQ116" i="12"/>
  <c r="FX142" i="12"/>
  <c r="FX269" i="12"/>
  <c r="FX128" i="12"/>
  <c r="FX258" i="12"/>
  <c r="FX243" i="12"/>
  <c r="FQ166" i="12"/>
  <c r="FX15" i="12"/>
  <c r="FX83" i="12"/>
  <c r="FQ269" i="12"/>
  <c r="FQ286" i="12"/>
  <c r="FQ92" i="12"/>
  <c r="FQ83" i="12"/>
  <c r="FQ51" i="12"/>
  <c r="FQ142" i="12"/>
  <c r="FQ42" i="12"/>
  <c r="FQ15" i="12"/>
  <c r="FQ154" i="12"/>
  <c r="FQ194" i="12"/>
  <c r="FQ101" i="12"/>
  <c r="FQ128" i="12"/>
  <c r="FQ212" i="12"/>
  <c r="FQ230" i="12" s="1"/>
  <c r="FQ243" i="12" s="1"/>
  <c r="FQ24" i="12"/>
  <c r="FQ258" i="12"/>
  <c r="FQ181" i="12"/>
  <c r="AM8" i="11" l="1"/>
  <c r="AM7" i="11"/>
  <c r="FM22" i="13"/>
  <c r="AM10" i="11" s="1"/>
  <c r="FO14" i="13"/>
  <c r="AM9" i="11" s="1"/>
  <c r="FO6" i="13"/>
  <c r="E101" i="12"/>
  <c r="F101" i="12"/>
  <c r="G101" i="12"/>
  <c r="H101" i="12"/>
  <c r="I101" i="12"/>
  <c r="J101" i="12"/>
  <c r="K101" i="12"/>
  <c r="L101" i="12"/>
  <c r="M101" i="12"/>
  <c r="N101" i="12"/>
  <c r="O101" i="12"/>
  <c r="P101" i="12"/>
  <c r="Q101" i="12"/>
  <c r="R101" i="12"/>
  <c r="S101" i="12"/>
  <c r="T101" i="12"/>
  <c r="W101" i="12"/>
  <c r="X101" i="12"/>
  <c r="Y101" i="12"/>
  <c r="Z101" i="12"/>
  <c r="AA101" i="12"/>
  <c r="AB101" i="12"/>
  <c r="AC101" i="12"/>
  <c r="AD101" i="12"/>
  <c r="AF101" i="12"/>
  <c r="AG101" i="12"/>
  <c r="AH101" i="12"/>
  <c r="AJ101" i="12"/>
  <c r="AK101" i="12"/>
  <c r="AL101" i="12"/>
  <c r="AN101" i="12"/>
  <c r="AO101" i="12"/>
  <c r="AP101" i="12"/>
  <c r="AR101" i="12"/>
  <c r="AS101" i="12"/>
  <c r="AT101" i="12"/>
  <c r="AV101" i="12"/>
  <c r="AW101" i="12"/>
  <c r="AX101" i="12"/>
  <c r="BA101" i="12"/>
  <c r="BD101" i="12"/>
  <c r="BH101" i="12"/>
  <c r="BI101" i="12"/>
  <c r="BJ101" i="12"/>
  <c r="BL101" i="12"/>
  <c r="BM101" i="12"/>
  <c r="BN101" i="12"/>
  <c r="BQ101" i="12"/>
  <c r="BR101" i="12"/>
  <c r="BS101" i="12"/>
  <c r="BV101" i="12"/>
  <c r="BW101" i="12"/>
  <c r="BX101" i="12"/>
  <c r="CA101" i="12"/>
  <c r="CB101" i="12"/>
  <c r="CC101" i="12"/>
  <c r="CF101" i="12"/>
  <c r="CG101" i="12"/>
  <c r="CH101" i="12"/>
  <c r="CK101" i="12"/>
  <c r="CL101" i="12"/>
  <c r="CM101" i="12"/>
  <c r="CP101" i="12"/>
  <c r="CQ101" i="12"/>
  <c r="CR101" i="12"/>
  <c r="CU101" i="12"/>
  <c r="CV101" i="12"/>
  <c r="CW101" i="12"/>
  <c r="CZ101" i="12"/>
  <c r="DA101" i="12"/>
  <c r="DB101" i="12"/>
  <c r="DD101" i="12"/>
  <c r="DQ101" i="12"/>
  <c r="DR101" i="12"/>
  <c r="DS101" i="12"/>
  <c r="DW101" i="12"/>
  <c r="DX101" i="12"/>
  <c r="DY101" i="12"/>
  <c r="EC101" i="12"/>
  <c r="ED101" i="12"/>
  <c r="EE101" i="12"/>
  <c r="EI101" i="12"/>
  <c r="EJ101" i="12"/>
  <c r="EK101" i="12"/>
  <c r="EO101" i="12"/>
  <c r="EP101" i="12"/>
  <c r="EQ101" i="12"/>
  <c r="EU101" i="12"/>
  <c r="EV101" i="12"/>
  <c r="EW101" i="12"/>
  <c r="FA101" i="12"/>
  <c r="FB101" i="12"/>
  <c r="FC101" i="12"/>
  <c r="FG101" i="12"/>
  <c r="FH101" i="12"/>
  <c r="FI101" i="12"/>
  <c r="E212" i="12"/>
  <c r="F212" i="12"/>
  <c r="G212" i="12"/>
  <c r="H212" i="12"/>
  <c r="I212" i="12"/>
  <c r="J212" i="12"/>
  <c r="K212" i="12"/>
  <c r="L212" i="12"/>
  <c r="M212" i="12"/>
  <c r="N212" i="12"/>
  <c r="O212" i="12"/>
  <c r="P212" i="12"/>
  <c r="Q212" i="12"/>
  <c r="R212" i="12"/>
  <c r="S212" i="12"/>
  <c r="T212" i="12"/>
  <c r="W212" i="12"/>
  <c r="X212" i="12"/>
  <c r="Y212" i="12"/>
  <c r="Z212" i="12"/>
  <c r="AA212" i="12"/>
  <c r="AB212" i="12"/>
  <c r="AC212" i="12"/>
  <c r="AD212" i="12"/>
  <c r="AF212" i="12"/>
  <c r="AG212" i="12"/>
  <c r="AH212" i="12"/>
  <c r="AJ212" i="12"/>
  <c r="AK212" i="12"/>
  <c r="AL212" i="12"/>
  <c r="AN212" i="12"/>
  <c r="AO212" i="12"/>
  <c r="AP212" i="12"/>
  <c r="AR212" i="12"/>
  <c r="AS212" i="12"/>
  <c r="AT212" i="12"/>
  <c r="AV212" i="12"/>
  <c r="AW212" i="12"/>
  <c r="AX212" i="12"/>
  <c r="BA212" i="12"/>
  <c r="BH212" i="12"/>
  <c r="BI212" i="12"/>
  <c r="BJ212" i="12"/>
  <c r="BL212" i="12"/>
  <c r="BM212" i="12"/>
  <c r="BN212" i="12"/>
  <c r="BQ212" i="12"/>
  <c r="BR212" i="12"/>
  <c r="BS212" i="12"/>
  <c r="BV212" i="12"/>
  <c r="BW212" i="12"/>
  <c r="BX212" i="12"/>
  <c r="CA212" i="12"/>
  <c r="CB212" i="12"/>
  <c r="CC212" i="12"/>
  <c r="CF212" i="12"/>
  <c r="CG212" i="12"/>
  <c r="CH212" i="12"/>
  <c r="CK212" i="12"/>
  <c r="CL212" i="12"/>
  <c r="CM212" i="12"/>
  <c r="CP212" i="12"/>
  <c r="CQ212" i="12"/>
  <c r="CR212" i="12"/>
  <c r="CU212" i="12"/>
  <c r="CV212" i="12"/>
  <c r="CW212" i="12"/>
  <c r="CZ212" i="12"/>
  <c r="DA212" i="12"/>
  <c r="DB212" i="12"/>
  <c r="DD212" i="12"/>
  <c r="DQ212" i="12"/>
  <c r="DR212" i="12"/>
  <c r="DS212" i="12"/>
  <c r="DW212" i="12"/>
  <c r="DX212" i="12"/>
  <c r="DY212" i="12"/>
  <c r="EC212" i="12"/>
  <c r="ED212" i="12"/>
  <c r="EE212" i="12"/>
  <c r="EI212" i="12"/>
  <c r="EJ212" i="12"/>
  <c r="EK212" i="12"/>
  <c r="EO212" i="12"/>
  <c r="EP212" i="12"/>
  <c r="EQ212" i="12"/>
  <c r="EU212" i="12"/>
  <c r="EV212" i="12"/>
  <c r="EW212" i="12"/>
  <c r="FA212" i="12"/>
  <c r="FB212" i="12"/>
  <c r="FC212" i="12"/>
  <c r="FG212" i="12"/>
  <c r="FH212" i="12"/>
  <c r="FI212" i="12"/>
  <c r="E201" i="12"/>
  <c r="F201" i="12"/>
  <c r="G201" i="12"/>
  <c r="H201" i="12"/>
  <c r="I201" i="12"/>
  <c r="J201" i="12"/>
  <c r="K201" i="12"/>
  <c r="L201" i="12"/>
  <c r="M201" i="12"/>
  <c r="N201" i="12"/>
  <c r="O201" i="12"/>
  <c r="P201" i="12"/>
  <c r="Q201" i="12"/>
  <c r="R201" i="12"/>
  <c r="S201" i="12"/>
  <c r="T201" i="12"/>
  <c r="W201" i="12"/>
  <c r="X201" i="12"/>
  <c r="Y201" i="12"/>
  <c r="Z201" i="12"/>
  <c r="AA201" i="12"/>
  <c r="AB201" i="12"/>
  <c r="AC201" i="12"/>
  <c r="AD201" i="12"/>
  <c r="AF201" i="12"/>
  <c r="AG201" i="12"/>
  <c r="AH201" i="12"/>
  <c r="AJ201" i="12"/>
  <c r="AK201" i="12"/>
  <c r="AL201" i="12"/>
  <c r="AN201" i="12"/>
  <c r="AO201" i="12"/>
  <c r="AP201" i="12"/>
  <c r="AR201" i="12"/>
  <c r="AS201" i="12"/>
  <c r="AT201" i="12"/>
  <c r="AV201" i="12"/>
  <c r="AW201" i="12"/>
  <c r="AX201" i="12"/>
  <c r="BA201" i="12"/>
  <c r="BD201" i="12"/>
  <c r="BH201" i="12"/>
  <c r="BI201" i="12"/>
  <c r="BJ201" i="12"/>
  <c r="BL201" i="12"/>
  <c r="BM201" i="12"/>
  <c r="BN201" i="12"/>
  <c r="BQ201" i="12"/>
  <c r="BR201" i="12"/>
  <c r="BS201" i="12"/>
  <c r="BV201" i="12"/>
  <c r="BW201" i="12"/>
  <c r="BX201" i="12"/>
  <c r="CA201" i="12"/>
  <c r="CB201" i="12"/>
  <c r="CC201" i="12"/>
  <c r="CF201" i="12"/>
  <c r="CG201" i="12"/>
  <c r="CH201" i="12"/>
  <c r="CK201" i="12"/>
  <c r="CL201" i="12"/>
  <c r="CM201" i="12"/>
  <c r="CP201" i="12"/>
  <c r="CQ201" i="12"/>
  <c r="CR201" i="12"/>
  <c r="CU201" i="12"/>
  <c r="CV201" i="12"/>
  <c r="CW201" i="12"/>
  <c r="CZ201" i="12"/>
  <c r="DA201" i="12"/>
  <c r="DB201" i="12"/>
  <c r="DD201" i="12"/>
  <c r="DQ201" i="12"/>
  <c r="DR201" i="12"/>
  <c r="DS201" i="12"/>
  <c r="DW201" i="12"/>
  <c r="DX201" i="12"/>
  <c r="DY201" i="12"/>
  <c r="EC201" i="12"/>
  <c r="ED201" i="12"/>
  <c r="EE201" i="12"/>
  <c r="EI201" i="12"/>
  <c r="EJ201" i="12"/>
  <c r="EK201" i="12"/>
  <c r="EO201" i="12"/>
  <c r="EP201" i="12"/>
  <c r="EQ201" i="12"/>
  <c r="EU201" i="12"/>
  <c r="EV201" i="12"/>
  <c r="EW201" i="12"/>
  <c r="FA201" i="12"/>
  <c r="FB201" i="12"/>
  <c r="FC201" i="12"/>
  <c r="FG201" i="12"/>
  <c r="FH201" i="12"/>
  <c r="FI201" i="12"/>
  <c r="E275" i="12"/>
  <c r="F275" i="12"/>
  <c r="G275" i="12"/>
  <c r="H275" i="12"/>
  <c r="I275" i="12"/>
  <c r="J275" i="12"/>
  <c r="K275" i="12"/>
  <c r="L275" i="12"/>
  <c r="M275" i="12"/>
  <c r="N275" i="12"/>
  <c r="O275" i="12"/>
  <c r="P275" i="12"/>
  <c r="Q275" i="12"/>
  <c r="R275" i="12"/>
  <c r="S275" i="12"/>
  <c r="T275" i="12"/>
  <c r="U275" i="12"/>
  <c r="V275" i="12"/>
  <c r="W275" i="12"/>
  <c r="X275" i="12"/>
  <c r="Y275" i="12"/>
  <c r="Z275" i="12"/>
  <c r="AA275" i="12"/>
  <c r="AB275" i="12"/>
  <c r="AC275" i="12"/>
  <c r="AD275" i="12"/>
  <c r="AE275" i="12"/>
  <c r="AF275" i="12"/>
  <c r="AG275" i="12"/>
  <c r="AH275" i="12"/>
  <c r="AI275" i="12"/>
  <c r="AJ275" i="12"/>
  <c r="AK275" i="12"/>
  <c r="AL275" i="12"/>
  <c r="AM275" i="12"/>
  <c r="AN275" i="12"/>
  <c r="AO275" i="12"/>
  <c r="AP275" i="12"/>
  <c r="AQ275" i="12"/>
  <c r="AR275" i="12"/>
  <c r="AS275" i="12"/>
  <c r="AT275" i="12"/>
  <c r="AU275" i="12"/>
  <c r="AV275" i="12"/>
  <c r="AW275" i="12"/>
  <c r="AX275" i="12"/>
  <c r="AY275" i="12"/>
  <c r="AZ275" i="12"/>
  <c r="BA275" i="12"/>
  <c r="BB275" i="12"/>
  <c r="BC275" i="12"/>
  <c r="BD275" i="12"/>
  <c r="BE275" i="12"/>
  <c r="BF275" i="12"/>
  <c r="BG275" i="12"/>
  <c r="BH275" i="12"/>
  <c r="BI275" i="12"/>
  <c r="BJ275" i="12"/>
  <c r="BL275" i="12"/>
  <c r="BM275" i="12"/>
  <c r="BN275" i="12"/>
  <c r="BQ275" i="12"/>
  <c r="BR275" i="12"/>
  <c r="BS275" i="12"/>
  <c r="BV275" i="12"/>
  <c r="BW275" i="12"/>
  <c r="BX275" i="12"/>
  <c r="CA275" i="12"/>
  <c r="CB275" i="12"/>
  <c r="CC275" i="12"/>
  <c r="CF275" i="12"/>
  <c r="CG275" i="12"/>
  <c r="CH275" i="12"/>
  <c r="CK275" i="12"/>
  <c r="CL275" i="12"/>
  <c r="CM275" i="12"/>
  <c r="CP275" i="12"/>
  <c r="CQ275" i="12"/>
  <c r="CR275" i="12"/>
  <c r="CU275" i="12"/>
  <c r="CV275" i="12"/>
  <c r="CW275" i="12"/>
  <c r="CZ275" i="12"/>
  <c r="DA275" i="12"/>
  <c r="DB275" i="12"/>
  <c r="DD275" i="12"/>
  <c r="DQ275" i="12"/>
  <c r="DR275" i="12"/>
  <c r="DS275" i="12"/>
  <c r="DW275" i="12"/>
  <c r="DX275" i="12"/>
  <c r="DY275" i="12"/>
  <c r="EC275" i="12"/>
  <c r="ED275" i="12"/>
  <c r="EE275" i="12"/>
  <c r="EI275" i="12"/>
  <c r="EJ275" i="12"/>
  <c r="EK275" i="12"/>
  <c r="EO275" i="12"/>
  <c r="EP275" i="12"/>
  <c r="EQ275" i="12"/>
  <c r="EU275" i="12"/>
  <c r="EV275" i="12"/>
  <c r="EW275" i="12"/>
  <c r="FA275" i="12"/>
  <c r="FB275" i="12"/>
  <c r="FC275" i="12"/>
  <c r="FG275" i="12"/>
  <c r="FH275" i="12"/>
  <c r="FI275" i="12"/>
  <c r="E286" i="12"/>
  <c r="F286" i="12"/>
  <c r="G286" i="12"/>
  <c r="H286" i="12"/>
  <c r="I286" i="12"/>
  <c r="J286" i="12"/>
  <c r="K286" i="12"/>
  <c r="L286" i="12"/>
  <c r="M286" i="12"/>
  <c r="N286" i="12"/>
  <c r="O286" i="12"/>
  <c r="P286" i="12"/>
  <c r="Q286" i="12"/>
  <c r="R286" i="12"/>
  <c r="S286" i="12"/>
  <c r="T286" i="12"/>
  <c r="U286" i="12"/>
  <c r="V286" i="12"/>
  <c r="W286" i="12"/>
  <c r="X286" i="12"/>
  <c r="Y286" i="12"/>
  <c r="Z286" i="12"/>
  <c r="AA286" i="12"/>
  <c r="AB286" i="12"/>
  <c r="AC286" i="12"/>
  <c r="AD286" i="12"/>
  <c r="AE286" i="12"/>
  <c r="AF286" i="12"/>
  <c r="AG286" i="12"/>
  <c r="AH286" i="12"/>
  <c r="AI286" i="12"/>
  <c r="AJ286" i="12"/>
  <c r="AK286" i="12"/>
  <c r="AL286" i="12"/>
  <c r="AM286" i="12"/>
  <c r="AN286" i="12"/>
  <c r="AO286" i="12"/>
  <c r="AP286" i="12"/>
  <c r="AQ286" i="12"/>
  <c r="AR286" i="12"/>
  <c r="AS286" i="12"/>
  <c r="AT286" i="12"/>
  <c r="AW286" i="12"/>
  <c r="AX286" i="12"/>
  <c r="BA286" i="12"/>
  <c r="BD286" i="12"/>
  <c r="BH286" i="12"/>
  <c r="BI286" i="12"/>
  <c r="BJ286" i="12"/>
  <c r="BL286" i="12"/>
  <c r="BM286" i="12"/>
  <c r="BN286" i="12"/>
  <c r="BQ286" i="12"/>
  <c r="BR286" i="12"/>
  <c r="BS286" i="12"/>
  <c r="BV286" i="12"/>
  <c r="BW286" i="12"/>
  <c r="BX286" i="12"/>
  <c r="CA286" i="12"/>
  <c r="CB286" i="12"/>
  <c r="CC286" i="12"/>
  <c r="CF286" i="12"/>
  <c r="CG286" i="12"/>
  <c r="CH286" i="12"/>
  <c r="CK286" i="12"/>
  <c r="CL286" i="12"/>
  <c r="CM286" i="12"/>
  <c r="CP286" i="12"/>
  <c r="CQ286" i="12"/>
  <c r="CR286" i="12"/>
  <c r="CU286" i="12"/>
  <c r="CV286" i="12"/>
  <c r="CW286" i="12"/>
  <c r="CZ286" i="12"/>
  <c r="DA286" i="12"/>
  <c r="DB286" i="12"/>
  <c r="DD286" i="12"/>
  <c r="DQ286" i="12"/>
  <c r="DR286" i="12"/>
  <c r="DS286" i="12"/>
  <c r="DW286" i="12"/>
  <c r="DX286" i="12"/>
  <c r="DY286" i="12"/>
  <c r="EC286" i="12"/>
  <c r="ED286" i="12"/>
  <c r="EE286" i="12"/>
  <c r="EI286" i="12"/>
  <c r="EJ286" i="12"/>
  <c r="EK286" i="12"/>
  <c r="EO286" i="12"/>
  <c r="EP286" i="12"/>
  <c r="EQ286" i="12"/>
  <c r="EU286" i="12"/>
  <c r="EV286" i="12"/>
  <c r="EW286" i="12"/>
  <c r="FA286" i="12"/>
  <c r="FB286" i="12"/>
  <c r="FC286" i="12"/>
  <c r="FG286" i="12"/>
  <c r="FH286" i="12"/>
  <c r="FI286" i="12"/>
  <c r="F269" i="12"/>
  <c r="G269" i="12"/>
  <c r="H269" i="12"/>
  <c r="I269" i="12"/>
  <c r="J269" i="12"/>
  <c r="K269" i="12"/>
  <c r="L269" i="12"/>
  <c r="M269" i="12"/>
  <c r="N269" i="12"/>
  <c r="O269" i="12"/>
  <c r="P269" i="12"/>
  <c r="Q269" i="12"/>
  <c r="R269" i="12"/>
  <c r="S269" i="12"/>
  <c r="T269" i="12"/>
  <c r="W269" i="12"/>
  <c r="X269" i="12"/>
  <c r="Y269" i="12"/>
  <c r="Z269" i="12"/>
  <c r="AA269" i="12"/>
  <c r="AB269" i="12"/>
  <c r="AC269" i="12"/>
  <c r="AD269" i="12"/>
  <c r="AF269" i="12"/>
  <c r="AG269" i="12"/>
  <c r="AH269" i="12"/>
  <c r="AJ269" i="12"/>
  <c r="AK269" i="12"/>
  <c r="AL269" i="12"/>
  <c r="AN269" i="12"/>
  <c r="AO269" i="12"/>
  <c r="AP269" i="12"/>
  <c r="AR269" i="12"/>
  <c r="AS269" i="12"/>
  <c r="AT269" i="12"/>
  <c r="AV269" i="12"/>
  <c r="AW269" i="12"/>
  <c r="AX269" i="12"/>
  <c r="BA269" i="12"/>
  <c r="BD269" i="12"/>
  <c r="BH269" i="12"/>
  <c r="BI269" i="12"/>
  <c r="BJ269" i="12"/>
  <c r="BL269" i="12"/>
  <c r="BM269" i="12"/>
  <c r="BN269" i="12"/>
  <c r="BQ269" i="12"/>
  <c r="BR269" i="12"/>
  <c r="BS269" i="12"/>
  <c r="BV269" i="12"/>
  <c r="BW269" i="12"/>
  <c r="BX269" i="12"/>
  <c r="CA269" i="12"/>
  <c r="CB269" i="12"/>
  <c r="CC269" i="12"/>
  <c r="CF269" i="12"/>
  <c r="CG269" i="12"/>
  <c r="CH269" i="12"/>
  <c r="CK269" i="12"/>
  <c r="CL269" i="12"/>
  <c r="CM269" i="12"/>
  <c r="CP269" i="12"/>
  <c r="CQ269" i="12"/>
  <c r="CR269" i="12"/>
  <c r="CU269" i="12"/>
  <c r="CV269" i="12"/>
  <c r="CW269" i="12"/>
  <c r="CZ269" i="12"/>
  <c r="DA269" i="12"/>
  <c r="DB269" i="12"/>
  <c r="DD269" i="12"/>
  <c r="DQ269" i="12"/>
  <c r="DR269" i="12"/>
  <c r="DS269" i="12"/>
  <c r="DW269" i="12"/>
  <c r="DX269" i="12"/>
  <c r="DY269" i="12"/>
  <c r="EC269" i="12"/>
  <c r="ED269" i="12"/>
  <c r="EE269" i="12"/>
  <c r="EI269" i="12"/>
  <c r="EJ269" i="12"/>
  <c r="EK269" i="12"/>
  <c r="EO269" i="12"/>
  <c r="EP269" i="12"/>
  <c r="EQ269" i="12"/>
  <c r="EU269" i="12"/>
  <c r="EV269" i="12"/>
  <c r="EW269" i="12"/>
  <c r="FA269" i="12"/>
  <c r="FB269" i="12"/>
  <c r="FC269" i="12"/>
  <c r="FG269" i="12"/>
  <c r="FH269" i="12"/>
  <c r="FI269" i="12"/>
  <c r="E258" i="12"/>
  <c r="F258" i="12"/>
  <c r="G258" i="12"/>
  <c r="H258" i="12"/>
  <c r="I258" i="12"/>
  <c r="J258" i="12"/>
  <c r="K258" i="12"/>
  <c r="L258" i="12"/>
  <c r="M258" i="12"/>
  <c r="N258" i="12"/>
  <c r="O258" i="12"/>
  <c r="P258" i="12"/>
  <c r="Q258" i="12"/>
  <c r="R258" i="12"/>
  <c r="S258" i="12"/>
  <c r="T258" i="12"/>
  <c r="W258" i="12"/>
  <c r="X258" i="12"/>
  <c r="Y258" i="12"/>
  <c r="Z258" i="12"/>
  <c r="AB258" i="12"/>
  <c r="AC258" i="12"/>
  <c r="AF258" i="12"/>
  <c r="AG258" i="12"/>
  <c r="AJ258" i="12"/>
  <c r="AK258" i="12"/>
  <c r="AN258" i="12"/>
  <c r="AO258" i="12"/>
  <c r="AR258" i="12"/>
  <c r="AS258" i="12"/>
  <c r="AV258" i="12"/>
  <c r="AW258" i="12"/>
  <c r="BA258" i="12"/>
  <c r="BH258" i="12"/>
  <c r="BI258" i="12"/>
  <c r="BL258" i="12"/>
  <c r="BM258" i="12"/>
  <c r="BQ258" i="12"/>
  <c r="BR258" i="12"/>
  <c r="BV258" i="12"/>
  <c r="BW258" i="12"/>
  <c r="CA258" i="12"/>
  <c r="CB258" i="12"/>
  <c r="CF258" i="12"/>
  <c r="CG258" i="12"/>
  <c r="CK258" i="12"/>
  <c r="CL258" i="12"/>
  <c r="CP258" i="12"/>
  <c r="CQ258" i="12"/>
  <c r="CU258" i="12"/>
  <c r="CV258" i="12"/>
  <c r="DD258" i="12"/>
  <c r="DQ258" i="12"/>
  <c r="DR258" i="12"/>
  <c r="DW258" i="12"/>
  <c r="DX258" i="12"/>
  <c r="EC258" i="12"/>
  <c r="ED258" i="12"/>
  <c r="EI258" i="12"/>
  <c r="EJ258" i="12"/>
  <c r="EO258" i="12"/>
  <c r="EP258" i="12"/>
  <c r="EU258" i="12"/>
  <c r="EV258" i="12"/>
  <c r="FA258" i="12"/>
  <c r="FB258" i="12"/>
  <c r="FG258" i="12"/>
  <c r="FH258" i="12"/>
  <c r="FI256" i="12"/>
  <c r="FI255" i="12"/>
  <c r="FJ255" i="12" s="1"/>
  <c r="FR255" i="12" s="1"/>
  <c r="FI249" i="12"/>
  <c r="FI248" i="12"/>
  <c r="FJ248" i="12" s="1"/>
  <c r="FR248" i="12" s="1"/>
  <c r="E194" i="12"/>
  <c r="F194" i="12"/>
  <c r="G194" i="12"/>
  <c r="H194" i="12"/>
  <c r="I194" i="12"/>
  <c r="J194" i="12"/>
  <c r="K194" i="12"/>
  <c r="L194" i="12"/>
  <c r="M194" i="12"/>
  <c r="N194" i="12"/>
  <c r="O194" i="12"/>
  <c r="P194" i="12"/>
  <c r="Q194" i="12"/>
  <c r="R194" i="12"/>
  <c r="S194" i="12"/>
  <c r="T194" i="12"/>
  <c r="W194" i="12"/>
  <c r="X194" i="12"/>
  <c r="Y194" i="12"/>
  <c r="Z194" i="12"/>
  <c r="AA194" i="12"/>
  <c r="AB194" i="12"/>
  <c r="AC194" i="12"/>
  <c r="AD194" i="12"/>
  <c r="AF194" i="12"/>
  <c r="AG194" i="12"/>
  <c r="AH194" i="12"/>
  <c r="AJ194" i="12"/>
  <c r="AK194" i="12"/>
  <c r="AL194" i="12"/>
  <c r="AN194" i="12"/>
  <c r="AO194" i="12"/>
  <c r="AP194" i="12"/>
  <c r="AR194" i="12"/>
  <c r="AS194" i="12"/>
  <c r="AT194" i="12"/>
  <c r="AV194" i="12"/>
  <c r="AW194" i="12"/>
  <c r="AX194" i="12"/>
  <c r="BA194" i="12"/>
  <c r="BD194" i="12"/>
  <c r="BH194" i="12"/>
  <c r="BI194" i="12"/>
  <c r="BJ194" i="12"/>
  <c r="BL194" i="12"/>
  <c r="BM194" i="12"/>
  <c r="BN194" i="12"/>
  <c r="BQ194" i="12"/>
  <c r="BR194" i="12"/>
  <c r="BS194" i="12"/>
  <c r="BV194" i="12"/>
  <c r="BW194" i="12"/>
  <c r="BX194" i="12"/>
  <c r="CA194" i="12"/>
  <c r="CB194" i="12"/>
  <c r="CC194" i="12"/>
  <c r="CF194" i="12"/>
  <c r="CG194" i="12"/>
  <c r="CH194" i="12"/>
  <c r="CK194" i="12"/>
  <c r="CL194" i="12"/>
  <c r="CM194" i="12"/>
  <c r="CP194" i="12"/>
  <c r="CQ194" i="12"/>
  <c r="CR194" i="12"/>
  <c r="CU194" i="12"/>
  <c r="CV194" i="12"/>
  <c r="CW194" i="12"/>
  <c r="CZ194" i="12"/>
  <c r="DA194" i="12"/>
  <c r="DB194" i="12"/>
  <c r="DD194" i="12"/>
  <c r="DQ194" i="12"/>
  <c r="DR194" i="12"/>
  <c r="DS194" i="12"/>
  <c r="DW194" i="12"/>
  <c r="DX194" i="12"/>
  <c r="DY194" i="12"/>
  <c r="EC194" i="12"/>
  <c r="ED194" i="12"/>
  <c r="EE194" i="12"/>
  <c r="EI194" i="12"/>
  <c r="EJ194" i="12"/>
  <c r="EK194" i="12"/>
  <c r="EO194" i="12"/>
  <c r="EP194" i="12"/>
  <c r="EQ194" i="12"/>
  <c r="EU194" i="12"/>
  <c r="EV194" i="12"/>
  <c r="EW194" i="12"/>
  <c r="FA194" i="12"/>
  <c r="FB194" i="12"/>
  <c r="FC194" i="12"/>
  <c r="FG194" i="12"/>
  <c r="FH194" i="12"/>
  <c r="FI194" i="12"/>
  <c r="E181" i="12"/>
  <c r="F181" i="12"/>
  <c r="G181" i="12"/>
  <c r="H181" i="12"/>
  <c r="I181" i="12"/>
  <c r="J181" i="12"/>
  <c r="K181" i="12"/>
  <c r="L181" i="12"/>
  <c r="M181" i="12"/>
  <c r="N181" i="12"/>
  <c r="O181" i="12"/>
  <c r="P181" i="12"/>
  <c r="Q181" i="12"/>
  <c r="R181" i="12"/>
  <c r="S181" i="12"/>
  <c r="T181" i="12"/>
  <c r="W181" i="12"/>
  <c r="X181" i="12"/>
  <c r="Y181" i="12"/>
  <c r="Z181" i="12"/>
  <c r="AA181" i="12"/>
  <c r="AB181" i="12"/>
  <c r="AC181" i="12"/>
  <c r="AD181" i="12"/>
  <c r="AF181" i="12"/>
  <c r="AG181" i="12"/>
  <c r="AH181" i="12"/>
  <c r="AJ181" i="12"/>
  <c r="AK181" i="12"/>
  <c r="AL181" i="12"/>
  <c r="AN181" i="12"/>
  <c r="AO181" i="12"/>
  <c r="AP181" i="12"/>
  <c r="AR181" i="12"/>
  <c r="AS181" i="12"/>
  <c r="AT181" i="12"/>
  <c r="AV181" i="12"/>
  <c r="AW181" i="12"/>
  <c r="AX181" i="12"/>
  <c r="BA181" i="12"/>
  <c r="BD181" i="12"/>
  <c r="BH181" i="12"/>
  <c r="BI181" i="12"/>
  <c r="BJ181" i="12"/>
  <c r="BL181" i="12"/>
  <c r="BM181" i="12"/>
  <c r="BN181" i="12"/>
  <c r="BQ181" i="12"/>
  <c r="BR181" i="12"/>
  <c r="BS181" i="12"/>
  <c r="BV181" i="12"/>
  <c r="BW181" i="12"/>
  <c r="BX181" i="12"/>
  <c r="CA181" i="12"/>
  <c r="CB181" i="12"/>
  <c r="CC181" i="12"/>
  <c r="CF181" i="12"/>
  <c r="CG181" i="12"/>
  <c r="CH181" i="12"/>
  <c r="CK181" i="12"/>
  <c r="CL181" i="12"/>
  <c r="CM181" i="12"/>
  <c r="CP181" i="12"/>
  <c r="CQ181" i="12"/>
  <c r="CR181" i="12"/>
  <c r="CU181" i="12"/>
  <c r="CV181" i="12"/>
  <c r="CW181" i="12"/>
  <c r="CZ181" i="12"/>
  <c r="DA181" i="12"/>
  <c r="DB181" i="12"/>
  <c r="DD181" i="12"/>
  <c r="DQ181" i="12"/>
  <c r="DR181" i="12"/>
  <c r="DS181" i="12"/>
  <c r="DW181" i="12"/>
  <c r="DX181" i="12"/>
  <c r="DY181" i="12"/>
  <c r="EC181" i="12"/>
  <c r="ED181" i="12"/>
  <c r="EE181" i="12"/>
  <c r="EI181" i="12"/>
  <c r="EJ181" i="12"/>
  <c r="EK181" i="12"/>
  <c r="EO181" i="12"/>
  <c r="EP181" i="12"/>
  <c r="EQ181" i="12"/>
  <c r="EU181" i="12"/>
  <c r="EV181" i="12"/>
  <c r="EW181" i="12"/>
  <c r="FA181" i="12"/>
  <c r="FB181" i="12"/>
  <c r="FC181" i="12"/>
  <c r="FG181" i="12"/>
  <c r="FH181" i="12"/>
  <c r="FI181" i="12"/>
  <c r="E166" i="12"/>
  <c r="F166" i="12"/>
  <c r="G166" i="12"/>
  <c r="H166" i="12"/>
  <c r="I166" i="12"/>
  <c r="J166" i="12"/>
  <c r="K166" i="12"/>
  <c r="L166" i="12"/>
  <c r="M166" i="12"/>
  <c r="N166" i="12"/>
  <c r="O166" i="12"/>
  <c r="P166" i="12"/>
  <c r="Q166" i="12"/>
  <c r="R166" i="12"/>
  <c r="S166" i="12"/>
  <c r="T166" i="12"/>
  <c r="W166" i="12"/>
  <c r="X166" i="12"/>
  <c r="Y166" i="12"/>
  <c r="Z166" i="12"/>
  <c r="AA166" i="12"/>
  <c r="AB166" i="12"/>
  <c r="AC166" i="12"/>
  <c r="AD166" i="12"/>
  <c r="AF166" i="12"/>
  <c r="AG166" i="12"/>
  <c r="AH166" i="12"/>
  <c r="AJ166" i="12"/>
  <c r="AK166" i="12"/>
  <c r="AL166" i="12"/>
  <c r="AN166" i="12"/>
  <c r="AO166" i="12"/>
  <c r="AP166" i="12"/>
  <c r="AR166" i="12"/>
  <c r="AS166" i="12"/>
  <c r="AT166" i="12"/>
  <c r="AV166" i="12"/>
  <c r="AW166" i="12"/>
  <c r="AX166" i="12"/>
  <c r="BA166" i="12"/>
  <c r="BD166" i="12"/>
  <c r="BH166" i="12"/>
  <c r="BI166" i="12"/>
  <c r="BJ166" i="12"/>
  <c r="BL166" i="12"/>
  <c r="BM166" i="12"/>
  <c r="BN166" i="12"/>
  <c r="BQ166" i="12"/>
  <c r="BR166" i="12"/>
  <c r="BS166" i="12"/>
  <c r="BV166" i="12"/>
  <c r="BW166" i="12"/>
  <c r="BX166" i="12"/>
  <c r="CA166" i="12"/>
  <c r="CB166" i="12"/>
  <c r="CC166" i="12"/>
  <c r="CF166" i="12"/>
  <c r="CG166" i="12"/>
  <c r="CH166" i="12"/>
  <c r="CK166" i="12"/>
  <c r="CL166" i="12"/>
  <c r="CM166" i="12"/>
  <c r="CP166" i="12"/>
  <c r="CQ166" i="12"/>
  <c r="CR166" i="12"/>
  <c r="CU166" i="12"/>
  <c r="CV166" i="12"/>
  <c r="CW166" i="12"/>
  <c r="CZ166" i="12"/>
  <c r="DA166" i="12"/>
  <c r="DB166" i="12"/>
  <c r="DD166" i="12"/>
  <c r="DQ166" i="12"/>
  <c r="DR166" i="12"/>
  <c r="DS166" i="12"/>
  <c r="DW166" i="12"/>
  <c r="DX166" i="12"/>
  <c r="DY166" i="12"/>
  <c r="EC166" i="12"/>
  <c r="ED166" i="12"/>
  <c r="EE166" i="12"/>
  <c r="EI166" i="12"/>
  <c r="EJ166" i="12"/>
  <c r="EK166" i="12"/>
  <c r="EO166" i="12"/>
  <c r="EP166" i="12"/>
  <c r="EQ166" i="12"/>
  <c r="EU166" i="12"/>
  <c r="EV166" i="12"/>
  <c r="EW166" i="12"/>
  <c r="FA166" i="12"/>
  <c r="FB166" i="12"/>
  <c r="FC166" i="12"/>
  <c r="FG166" i="12"/>
  <c r="FH166" i="12"/>
  <c r="FI166" i="12"/>
  <c r="E154" i="12"/>
  <c r="F154" i="12"/>
  <c r="G154" i="12"/>
  <c r="H154" i="12"/>
  <c r="I154" i="12"/>
  <c r="K154" i="12"/>
  <c r="M154" i="12"/>
  <c r="N154" i="12"/>
  <c r="O154" i="12"/>
  <c r="P154" i="12"/>
  <c r="Q154" i="12"/>
  <c r="R154" i="12"/>
  <c r="S154" i="12"/>
  <c r="T154" i="12"/>
  <c r="W154" i="12"/>
  <c r="X154" i="12"/>
  <c r="Y154" i="12"/>
  <c r="Z154" i="12"/>
  <c r="AB154" i="12"/>
  <c r="AC154" i="12"/>
  <c r="AD154" i="12"/>
  <c r="AF154" i="12"/>
  <c r="AG154" i="12"/>
  <c r="AH154" i="12"/>
  <c r="AJ154" i="12"/>
  <c r="AK154" i="12"/>
  <c r="AL154" i="12"/>
  <c r="AN154" i="12"/>
  <c r="AO154" i="12"/>
  <c r="AP154" i="12"/>
  <c r="AR154" i="12"/>
  <c r="AS154" i="12"/>
  <c r="AT154" i="12"/>
  <c r="AW154" i="12"/>
  <c r="AX154" i="12"/>
  <c r="BA154" i="12"/>
  <c r="BD154" i="12"/>
  <c r="BH154" i="12"/>
  <c r="BI154" i="12"/>
  <c r="BL154" i="12"/>
  <c r="BM154" i="12"/>
  <c r="BN154" i="12"/>
  <c r="BQ154" i="12"/>
  <c r="BR154" i="12"/>
  <c r="BS154" i="12"/>
  <c r="BV154" i="12"/>
  <c r="BW154" i="12"/>
  <c r="BX154" i="12"/>
  <c r="CA154" i="12"/>
  <c r="CB154" i="12"/>
  <c r="CC154" i="12"/>
  <c r="CF154" i="12"/>
  <c r="CG154" i="12"/>
  <c r="CH154" i="12"/>
  <c r="CK154" i="12"/>
  <c r="CL154" i="12"/>
  <c r="CM154" i="12"/>
  <c r="CP154" i="12"/>
  <c r="CQ154" i="12"/>
  <c r="CR154" i="12"/>
  <c r="CU154" i="12"/>
  <c r="CV154" i="12"/>
  <c r="CW154" i="12"/>
  <c r="DD154" i="12"/>
  <c r="DQ154" i="12"/>
  <c r="DR154" i="12"/>
  <c r="DW154" i="12"/>
  <c r="DX154" i="12"/>
  <c r="DY154" i="12"/>
  <c r="EC154" i="12"/>
  <c r="ED154" i="12"/>
  <c r="EE154" i="12"/>
  <c r="EI154" i="12"/>
  <c r="EJ154" i="12"/>
  <c r="EK154" i="12"/>
  <c r="EO154" i="12"/>
  <c r="EP154" i="12"/>
  <c r="EQ154" i="12"/>
  <c r="EU154" i="12"/>
  <c r="EV154" i="12"/>
  <c r="EW154" i="12"/>
  <c r="FA154" i="12"/>
  <c r="FB154" i="12"/>
  <c r="FC154" i="12"/>
  <c r="FG154" i="12"/>
  <c r="FH154" i="12"/>
  <c r="FI154" i="12"/>
  <c r="E142" i="12"/>
  <c r="F142" i="12"/>
  <c r="G142" i="12"/>
  <c r="H142" i="12"/>
  <c r="I142" i="12"/>
  <c r="J142" i="12"/>
  <c r="K142" i="12"/>
  <c r="L142" i="12"/>
  <c r="M142" i="12"/>
  <c r="N142" i="12"/>
  <c r="O142" i="12"/>
  <c r="P142" i="12"/>
  <c r="Q142" i="12"/>
  <c r="R142" i="12"/>
  <c r="S142" i="12"/>
  <c r="T142" i="12"/>
  <c r="W142" i="12"/>
  <c r="X142" i="12"/>
  <c r="Y142" i="12"/>
  <c r="Z142" i="12"/>
  <c r="AA142" i="12"/>
  <c r="AB142" i="12"/>
  <c r="AC142" i="12"/>
  <c r="AD142" i="12"/>
  <c r="AF142" i="12"/>
  <c r="AG142" i="12"/>
  <c r="AH142" i="12"/>
  <c r="AJ142" i="12"/>
  <c r="AK142" i="12"/>
  <c r="AL142" i="12"/>
  <c r="AN142" i="12"/>
  <c r="AO142" i="12"/>
  <c r="AP142" i="12"/>
  <c r="AR142" i="12"/>
  <c r="AS142" i="12"/>
  <c r="AT142" i="12"/>
  <c r="AW142" i="12"/>
  <c r="AX142" i="12"/>
  <c r="BA142" i="12"/>
  <c r="BH142" i="12"/>
  <c r="BI142" i="12"/>
  <c r="BJ142" i="12"/>
  <c r="BL142" i="12"/>
  <c r="BM142" i="12"/>
  <c r="BN142" i="12"/>
  <c r="BQ142" i="12"/>
  <c r="BR142" i="12"/>
  <c r="BS142" i="12"/>
  <c r="BV142" i="12"/>
  <c r="BW142" i="12"/>
  <c r="BX142" i="12"/>
  <c r="CA142" i="12"/>
  <c r="CB142" i="12"/>
  <c r="CC142" i="12"/>
  <c r="CF142" i="12"/>
  <c r="CG142" i="12"/>
  <c r="CH142" i="12"/>
  <c r="CK142" i="12"/>
  <c r="CL142" i="12"/>
  <c r="CM142" i="12"/>
  <c r="CP142" i="12"/>
  <c r="CQ142" i="12"/>
  <c r="CR142" i="12"/>
  <c r="CU142" i="12"/>
  <c r="CV142" i="12"/>
  <c r="CW142" i="12"/>
  <c r="CZ142" i="12"/>
  <c r="DA142" i="12"/>
  <c r="DB142" i="12"/>
  <c r="DD142" i="12"/>
  <c r="DQ142" i="12"/>
  <c r="DR142" i="12"/>
  <c r="DS142" i="12"/>
  <c r="DW142" i="12"/>
  <c r="DX142" i="12"/>
  <c r="DY142" i="12"/>
  <c r="EC142" i="12"/>
  <c r="ED142" i="12"/>
  <c r="EE142" i="12"/>
  <c r="EI142" i="12"/>
  <c r="EJ142" i="12"/>
  <c r="EK142" i="12"/>
  <c r="EO142" i="12"/>
  <c r="EP142" i="12"/>
  <c r="EQ142" i="12"/>
  <c r="EU142" i="12"/>
  <c r="EV142" i="12"/>
  <c r="EW142" i="12"/>
  <c r="FA142" i="12"/>
  <c r="FB142" i="12"/>
  <c r="FC142" i="12"/>
  <c r="FG142" i="12"/>
  <c r="FH142" i="12"/>
  <c r="FI142" i="12"/>
  <c r="E128" i="12"/>
  <c r="F128" i="12"/>
  <c r="G128" i="12"/>
  <c r="H128" i="12"/>
  <c r="I128" i="12"/>
  <c r="J128" i="12"/>
  <c r="K128" i="12"/>
  <c r="L128" i="12"/>
  <c r="M128" i="12"/>
  <c r="N128" i="12"/>
  <c r="O128" i="12"/>
  <c r="P128" i="12"/>
  <c r="Q128" i="12"/>
  <c r="R128" i="12"/>
  <c r="S128" i="12"/>
  <c r="T128" i="12"/>
  <c r="W128" i="12"/>
  <c r="X128" i="12"/>
  <c r="Y128" i="12"/>
  <c r="Z128" i="12"/>
  <c r="AA128" i="12"/>
  <c r="AB128" i="12"/>
  <c r="AC128" i="12"/>
  <c r="AD128" i="12"/>
  <c r="AF128" i="12"/>
  <c r="AG128" i="12"/>
  <c r="AH128" i="12"/>
  <c r="AJ128" i="12"/>
  <c r="AK128" i="12"/>
  <c r="AL128" i="12"/>
  <c r="AN128" i="12"/>
  <c r="AO128" i="12"/>
  <c r="AP128" i="12"/>
  <c r="AR128" i="12"/>
  <c r="AS128" i="12"/>
  <c r="AT128" i="12"/>
  <c r="AV128" i="12"/>
  <c r="AW128" i="12"/>
  <c r="AX128" i="12"/>
  <c r="BA128" i="12"/>
  <c r="BD128" i="12"/>
  <c r="BH128" i="12"/>
  <c r="BI128" i="12"/>
  <c r="BJ128" i="12"/>
  <c r="BL128" i="12"/>
  <c r="BM128" i="12"/>
  <c r="BN128" i="12"/>
  <c r="BQ128" i="12"/>
  <c r="BR128" i="12"/>
  <c r="BS128" i="12"/>
  <c r="BV128" i="12"/>
  <c r="BW128" i="12"/>
  <c r="BX128" i="12"/>
  <c r="CA128" i="12"/>
  <c r="CB128" i="12"/>
  <c r="CC128" i="12"/>
  <c r="CF128" i="12"/>
  <c r="CG128" i="12"/>
  <c r="CH128" i="12"/>
  <c r="CK128" i="12"/>
  <c r="CL128" i="12"/>
  <c r="CM128" i="12"/>
  <c r="CP128" i="12"/>
  <c r="CQ128" i="12"/>
  <c r="CR128" i="12"/>
  <c r="CU128" i="12"/>
  <c r="CV128" i="12"/>
  <c r="CW128" i="12"/>
  <c r="CZ128" i="12"/>
  <c r="DA128" i="12"/>
  <c r="DB128" i="12"/>
  <c r="DD128" i="12"/>
  <c r="DQ128" i="12"/>
  <c r="DR128" i="12"/>
  <c r="DS128" i="12"/>
  <c r="DW128" i="12"/>
  <c r="DX128" i="12"/>
  <c r="DY128" i="12"/>
  <c r="EC128" i="12"/>
  <c r="ED128" i="12"/>
  <c r="EE128" i="12"/>
  <c r="EI128" i="12"/>
  <c r="EJ128" i="12"/>
  <c r="EK128" i="12"/>
  <c r="EO128" i="12"/>
  <c r="EP128" i="12"/>
  <c r="EQ128" i="12"/>
  <c r="EU128" i="12"/>
  <c r="EV128" i="12"/>
  <c r="EW128" i="12"/>
  <c r="FA128" i="12"/>
  <c r="FB128" i="12"/>
  <c r="FC128" i="12"/>
  <c r="FG128" i="12"/>
  <c r="FH128" i="12"/>
  <c r="FI128" i="12"/>
  <c r="E116" i="12"/>
  <c r="F116" i="12"/>
  <c r="G116" i="12"/>
  <c r="H116" i="12"/>
  <c r="I116" i="12"/>
  <c r="J116" i="12"/>
  <c r="K116" i="12"/>
  <c r="L116" i="12"/>
  <c r="M116" i="12"/>
  <c r="N116" i="12"/>
  <c r="O116" i="12"/>
  <c r="P116" i="12"/>
  <c r="Q116" i="12"/>
  <c r="R116" i="12"/>
  <c r="S116" i="12"/>
  <c r="T116" i="12"/>
  <c r="W116" i="12"/>
  <c r="X116" i="12"/>
  <c r="Y116" i="12"/>
  <c r="Z116" i="12"/>
  <c r="AA116" i="12"/>
  <c r="AB116" i="12"/>
  <c r="AC116" i="12"/>
  <c r="AD116" i="12"/>
  <c r="AF116" i="12"/>
  <c r="AG116" i="12"/>
  <c r="AH116" i="12"/>
  <c r="AJ116" i="12"/>
  <c r="AK116" i="12"/>
  <c r="AL116" i="12"/>
  <c r="AN116" i="12"/>
  <c r="AO116" i="12"/>
  <c r="AP116" i="12"/>
  <c r="AR116" i="12"/>
  <c r="AS116" i="12"/>
  <c r="AT116" i="12"/>
  <c r="AV116" i="12"/>
  <c r="AW116" i="12"/>
  <c r="AX116" i="12"/>
  <c r="BA116" i="12"/>
  <c r="BD116" i="12"/>
  <c r="BH116" i="12"/>
  <c r="BI116" i="12"/>
  <c r="BJ116" i="12"/>
  <c r="BL116" i="12"/>
  <c r="BM116" i="12"/>
  <c r="BN116" i="12"/>
  <c r="BQ116" i="12"/>
  <c r="BR116" i="12"/>
  <c r="BS116" i="12"/>
  <c r="BV116" i="12"/>
  <c r="BW116" i="12"/>
  <c r="BX116" i="12"/>
  <c r="CA116" i="12"/>
  <c r="CB116" i="12"/>
  <c r="CC116" i="12"/>
  <c r="CF116" i="12"/>
  <c r="CG116" i="12"/>
  <c r="CH116" i="12"/>
  <c r="CK116" i="12"/>
  <c r="CL116" i="12"/>
  <c r="CM116" i="12"/>
  <c r="CP116" i="12"/>
  <c r="CQ116" i="12"/>
  <c r="CR116" i="12"/>
  <c r="CU116" i="12"/>
  <c r="CV116" i="12"/>
  <c r="CW116" i="12"/>
  <c r="CZ116" i="12"/>
  <c r="DA116" i="12"/>
  <c r="DB116" i="12"/>
  <c r="DD116" i="12"/>
  <c r="DQ116" i="12"/>
  <c r="DR116" i="12"/>
  <c r="DS116" i="12"/>
  <c r="DW116" i="12"/>
  <c r="DX116" i="12"/>
  <c r="DY116" i="12"/>
  <c r="EC116" i="12"/>
  <c r="ED116" i="12"/>
  <c r="EE116" i="12"/>
  <c r="EI116" i="12"/>
  <c r="EJ116" i="12"/>
  <c r="EK116" i="12"/>
  <c r="EO116" i="12"/>
  <c r="EP116" i="12"/>
  <c r="EQ116" i="12"/>
  <c r="EU116" i="12"/>
  <c r="EV116" i="12"/>
  <c r="EW116" i="12"/>
  <c r="FA116" i="12"/>
  <c r="FB116" i="12"/>
  <c r="FC116" i="12"/>
  <c r="FG116" i="12"/>
  <c r="FH116" i="12"/>
  <c r="FI116" i="12"/>
  <c r="E109" i="12"/>
  <c r="F109" i="12"/>
  <c r="G109" i="12"/>
  <c r="H109" i="12"/>
  <c r="I109" i="12"/>
  <c r="J109" i="12"/>
  <c r="K109" i="12"/>
  <c r="L109" i="12"/>
  <c r="M109" i="12"/>
  <c r="N109" i="12"/>
  <c r="O109" i="12"/>
  <c r="P109" i="12"/>
  <c r="Q109" i="12"/>
  <c r="R109" i="12"/>
  <c r="S109" i="12"/>
  <c r="T109" i="12"/>
  <c r="W109" i="12"/>
  <c r="X109" i="12"/>
  <c r="Y109" i="12"/>
  <c r="Z109" i="12"/>
  <c r="AB109" i="12"/>
  <c r="AC109" i="12"/>
  <c r="AD109" i="12"/>
  <c r="AF109" i="12"/>
  <c r="AG109" i="12"/>
  <c r="AH109" i="12"/>
  <c r="AJ109" i="12"/>
  <c r="AK109" i="12"/>
  <c r="AL109" i="12"/>
  <c r="AN109" i="12"/>
  <c r="AO109" i="12"/>
  <c r="AP109" i="12"/>
  <c r="AR109" i="12"/>
  <c r="AS109" i="12"/>
  <c r="AT109" i="12"/>
  <c r="AV109" i="12"/>
  <c r="AW109" i="12"/>
  <c r="AX109" i="12"/>
  <c r="BA109" i="12"/>
  <c r="BD109" i="12"/>
  <c r="BH109" i="12"/>
  <c r="BI109" i="12"/>
  <c r="BL109" i="12"/>
  <c r="BM109" i="12"/>
  <c r="BN109" i="12"/>
  <c r="BQ109" i="12"/>
  <c r="BR109" i="12"/>
  <c r="BS109" i="12"/>
  <c r="BV109" i="12"/>
  <c r="BW109" i="12"/>
  <c r="BX109" i="12"/>
  <c r="CA109" i="12"/>
  <c r="CB109" i="12"/>
  <c r="CC109" i="12"/>
  <c r="CF109" i="12"/>
  <c r="CG109" i="12"/>
  <c r="CH109" i="12"/>
  <c r="CK109" i="12"/>
  <c r="CL109" i="12"/>
  <c r="CM109" i="12"/>
  <c r="CP109" i="12"/>
  <c r="CQ109" i="12"/>
  <c r="CR109" i="12"/>
  <c r="CU109" i="12"/>
  <c r="CV109" i="12"/>
  <c r="CW109" i="12"/>
  <c r="DD109" i="12"/>
  <c r="DQ109" i="12"/>
  <c r="DR109" i="12"/>
  <c r="DW109" i="12"/>
  <c r="DX109" i="12"/>
  <c r="DY109" i="12"/>
  <c r="EC109" i="12"/>
  <c r="ED109" i="12"/>
  <c r="EE109" i="12"/>
  <c r="EI109" i="12"/>
  <c r="EJ109" i="12"/>
  <c r="EK109" i="12"/>
  <c r="EO109" i="12"/>
  <c r="EP109" i="12"/>
  <c r="EQ109" i="12"/>
  <c r="EU109" i="12"/>
  <c r="EV109" i="12"/>
  <c r="EW109" i="12"/>
  <c r="FA109" i="12"/>
  <c r="FB109" i="12"/>
  <c r="FC109" i="12"/>
  <c r="FG109" i="12"/>
  <c r="FH109" i="12"/>
  <c r="FI109" i="12"/>
  <c r="E92" i="12"/>
  <c r="F92" i="12"/>
  <c r="G92" i="12"/>
  <c r="H92" i="12"/>
  <c r="I92" i="12"/>
  <c r="J92" i="12"/>
  <c r="K92" i="12"/>
  <c r="L92" i="12"/>
  <c r="M92" i="12"/>
  <c r="N92" i="12"/>
  <c r="O92" i="12"/>
  <c r="P92" i="12"/>
  <c r="Q92" i="12"/>
  <c r="R92" i="12"/>
  <c r="S92" i="12"/>
  <c r="T92" i="12"/>
  <c r="W92" i="12"/>
  <c r="X92" i="12"/>
  <c r="Y92" i="12"/>
  <c r="Z92" i="12"/>
  <c r="AA92" i="12"/>
  <c r="AB92" i="12"/>
  <c r="AC92" i="12"/>
  <c r="AD92" i="12"/>
  <c r="AF92" i="12"/>
  <c r="AG92" i="12"/>
  <c r="AH92" i="12"/>
  <c r="AJ92" i="12"/>
  <c r="AK92" i="12"/>
  <c r="AL92" i="12"/>
  <c r="AN92" i="12"/>
  <c r="AO92" i="12"/>
  <c r="AP92" i="12"/>
  <c r="AR92" i="12"/>
  <c r="AS92" i="12"/>
  <c r="AT92" i="12"/>
  <c r="AV92" i="12"/>
  <c r="AW92" i="12"/>
  <c r="AX92" i="12"/>
  <c r="BA92" i="12"/>
  <c r="BD92" i="12"/>
  <c r="BH92" i="12"/>
  <c r="BI92" i="12"/>
  <c r="BJ92" i="12"/>
  <c r="BL92" i="12"/>
  <c r="BM92" i="12"/>
  <c r="BN92" i="12"/>
  <c r="BQ92" i="12"/>
  <c r="BR92" i="12"/>
  <c r="BS92" i="12"/>
  <c r="BV92" i="12"/>
  <c r="BW92" i="12"/>
  <c r="BX92" i="12"/>
  <c r="CA92" i="12"/>
  <c r="CB92" i="12"/>
  <c r="CC92" i="12"/>
  <c r="CF92" i="12"/>
  <c r="CG92" i="12"/>
  <c r="CH92" i="12"/>
  <c r="CK92" i="12"/>
  <c r="CL92" i="12"/>
  <c r="CM92" i="12"/>
  <c r="CP92" i="12"/>
  <c r="CQ92" i="12"/>
  <c r="CR92" i="12"/>
  <c r="CU92" i="12"/>
  <c r="CV92" i="12"/>
  <c r="CW92" i="12"/>
  <c r="CZ92" i="12"/>
  <c r="DA92" i="12"/>
  <c r="DB92" i="12"/>
  <c r="DD92" i="12"/>
  <c r="DQ92" i="12"/>
  <c r="DR92" i="12"/>
  <c r="DS92" i="12"/>
  <c r="DW92" i="12"/>
  <c r="DX92" i="12"/>
  <c r="DY92" i="12"/>
  <c r="EC92" i="12"/>
  <c r="ED92" i="12"/>
  <c r="EE92" i="12"/>
  <c r="EI92" i="12"/>
  <c r="EJ92" i="12"/>
  <c r="EK92" i="12"/>
  <c r="EO92" i="12"/>
  <c r="EP92" i="12"/>
  <c r="EQ92" i="12"/>
  <c r="EU92" i="12"/>
  <c r="EV92" i="12"/>
  <c r="EW92" i="12"/>
  <c r="FA92" i="12"/>
  <c r="FB92" i="12"/>
  <c r="FC92" i="12"/>
  <c r="FG92" i="12"/>
  <c r="FH92" i="12"/>
  <c r="FI92" i="12"/>
  <c r="F83" i="12"/>
  <c r="G83" i="12"/>
  <c r="H83" i="12"/>
  <c r="I83" i="12"/>
  <c r="J83" i="12"/>
  <c r="K83" i="12"/>
  <c r="L83" i="12"/>
  <c r="M83" i="12"/>
  <c r="N83" i="12"/>
  <c r="O83" i="12"/>
  <c r="P83" i="12"/>
  <c r="Q83" i="12"/>
  <c r="R83" i="12"/>
  <c r="S83" i="12"/>
  <c r="T83" i="12"/>
  <c r="W83" i="12"/>
  <c r="X83" i="12"/>
  <c r="Y83" i="12"/>
  <c r="Z83" i="12"/>
  <c r="AA83" i="12"/>
  <c r="AB83" i="12"/>
  <c r="AC83" i="12"/>
  <c r="AD83" i="12"/>
  <c r="AF83" i="12"/>
  <c r="AG83" i="12"/>
  <c r="AH83" i="12"/>
  <c r="AJ83" i="12"/>
  <c r="AK83" i="12"/>
  <c r="AL83" i="12"/>
  <c r="AN83" i="12"/>
  <c r="AO83" i="12"/>
  <c r="AP83" i="12"/>
  <c r="AR83" i="12"/>
  <c r="AS83" i="12"/>
  <c r="AT83" i="12"/>
  <c r="AV83" i="12"/>
  <c r="AW83" i="12"/>
  <c r="AX83" i="12"/>
  <c r="BA83" i="12"/>
  <c r="BD83" i="12"/>
  <c r="BH83" i="12"/>
  <c r="BI83" i="12"/>
  <c r="BJ83" i="12"/>
  <c r="BL83" i="12"/>
  <c r="BM83" i="12"/>
  <c r="BN83" i="12"/>
  <c r="BQ83" i="12"/>
  <c r="BR83" i="12"/>
  <c r="BS83" i="12"/>
  <c r="BV83" i="12"/>
  <c r="BW83" i="12"/>
  <c r="BX83" i="12"/>
  <c r="CA83" i="12"/>
  <c r="CB83" i="12"/>
  <c r="CC83" i="12"/>
  <c r="CF83" i="12"/>
  <c r="CG83" i="12"/>
  <c r="CH83" i="12"/>
  <c r="CK83" i="12"/>
  <c r="CL83" i="12"/>
  <c r="CM83" i="12"/>
  <c r="CP83" i="12"/>
  <c r="CQ83" i="12"/>
  <c r="CR83" i="12"/>
  <c r="CU83" i="12"/>
  <c r="CV83" i="12"/>
  <c r="CW83" i="12"/>
  <c r="CZ83" i="12"/>
  <c r="DA83" i="12"/>
  <c r="DB83" i="12"/>
  <c r="DD83" i="12"/>
  <c r="DQ83" i="12"/>
  <c r="DR83" i="12"/>
  <c r="DS83" i="12"/>
  <c r="DW83" i="12"/>
  <c r="DX83" i="12"/>
  <c r="DY83" i="12"/>
  <c r="EC83" i="12"/>
  <c r="ED83" i="12"/>
  <c r="EE83" i="12"/>
  <c r="EI83" i="12"/>
  <c r="EJ83" i="12"/>
  <c r="EK83" i="12"/>
  <c r="EO83" i="12"/>
  <c r="EP83" i="12"/>
  <c r="EQ83" i="12"/>
  <c r="EU83" i="12"/>
  <c r="EV83" i="12"/>
  <c r="EW83" i="12"/>
  <c r="FA83" i="12"/>
  <c r="FB83" i="12"/>
  <c r="FC83" i="12"/>
  <c r="FG83" i="12"/>
  <c r="FH83" i="12"/>
  <c r="FI83" i="12"/>
  <c r="E51" i="12"/>
  <c r="F51" i="12"/>
  <c r="G51" i="12"/>
  <c r="H51" i="12"/>
  <c r="I51" i="12"/>
  <c r="J51" i="12"/>
  <c r="K51" i="12"/>
  <c r="L51" i="12"/>
  <c r="M51" i="12"/>
  <c r="N51" i="12"/>
  <c r="O51" i="12"/>
  <c r="P51" i="12"/>
  <c r="Q51" i="12"/>
  <c r="R51" i="12"/>
  <c r="S51" i="12"/>
  <c r="T51" i="12"/>
  <c r="W51" i="12"/>
  <c r="X51" i="12"/>
  <c r="Y51" i="12"/>
  <c r="Z51" i="12"/>
  <c r="AA51" i="12"/>
  <c r="AB51" i="12"/>
  <c r="AC51" i="12"/>
  <c r="AD51" i="12"/>
  <c r="AF51" i="12"/>
  <c r="AG51" i="12"/>
  <c r="AH51" i="12"/>
  <c r="AJ51" i="12"/>
  <c r="AK51" i="12"/>
  <c r="AL51" i="12"/>
  <c r="AN51" i="12"/>
  <c r="AO51" i="12"/>
  <c r="AP51" i="12"/>
  <c r="AR51" i="12"/>
  <c r="AS51" i="12"/>
  <c r="AT51" i="12"/>
  <c r="AV51" i="12"/>
  <c r="AW51" i="12"/>
  <c r="AX51" i="12"/>
  <c r="BA51" i="12"/>
  <c r="BD51" i="12"/>
  <c r="BH51" i="12"/>
  <c r="BI51" i="12"/>
  <c r="BJ51" i="12"/>
  <c r="BL51" i="12"/>
  <c r="BM51" i="12"/>
  <c r="BN51" i="12"/>
  <c r="BQ51" i="12"/>
  <c r="BR51" i="12"/>
  <c r="BS51" i="12"/>
  <c r="BV51" i="12"/>
  <c r="BW51" i="12"/>
  <c r="BX51" i="12"/>
  <c r="CA51" i="12"/>
  <c r="CB51" i="12"/>
  <c r="CC51" i="12"/>
  <c r="CF51" i="12"/>
  <c r="CG51" i="12"/>
  <c r="CH51" i="12"/>
  <c r="CK51" i="12"/>
  <c r="CL51" i="12"/>
  <c r="CM51" i="12"/>
  <c r="CP51" i="12"/>
  <c r="CQ51" i="12"/>
  <c r="CR51" i="12"/>
  <c r="CU51" i="12"/>
  <c r="CV51" i="12"/>
  <c r="CW51" i="12"/>
  <c r="CZ51" i="12"/>
  <c r="DA51" i="12"/>
  <c r="DB51" i="12"/>
  <c r="DD51" i="12"/>
  <c r="DQ51" i="12"/>
  <c r="DR51" i="12"/>
  <c r="DS51" i="12"/>
  <c r="DW51" i="12"/>
  <c r="DX51" i="12"/>
  <c r="DY51" i="12"/>
  <c r="EC51" i="12"/>
  <c r="ED51" i="12"/>
  <c r="EE51" i="12"/>
  <c r="EI51" i="12"/>
  <c r="EJ51" i="12"/>
  <c r="EK51" i="12"/>
  <c r="EO51" i="12"/>
  <c r="EP51" i="12"/>
  <c r="EQ51" i="12"/>
  <c r="EU51" i="12"/>
  <c r="EV51" i="12"/>
  <c r="EW51" i="12"/>
  <c r="FA51" i="12"/>
  <c r="FB51" i="12"/>
  <c r="FC51" i="12"/>
  <c r="FG51" i="12"/>
  <c r="FH51" i="12"/>
  <c r="FI51" i="12"/>
  <c r="E42" i="12"/>
  <c r="F42" i="12"/>
  <c r="G42" i="12"/>
  <c r="H42" i="12"/>
  <c r="I42" i="12"/>
  <c r="J42" i="12"/>
  <c r="K42" i="12"/>
  <c r="L42" i="12"/>
  <c r="M42" i="12"/>
  <c r="N42" i="12"/>
  <c r="O42" i="12"/>
  <c r="P42" i="12"/>
  <c r="Q42" i="12"/>
  <c r="R42" i="12"/>
  <c r="S42" i="12"/>
  <c r="T42" i="12"/>
  <c r="W42" i="12"/>
  <c r="X42" i="12"/>
  <c r="Y42" i="12"/>
  <c r="Z42" i="12"/>
  <c r="AA42" i="12"/>
  <c r="AB42" i="12"/>
  <c r="AC42" i="12"/>
  <c r="AD42" i="12"/>
  <c r="AF42" i="12"/>
  <c r="AG42" i="12"/>
  <c r="AH42" i="12"/>
  <c r="AJ42" i="12"/>
  <c r="AK42" i="12"/>
  <c r="AL42" i="12"/>
  <c r="AN42" i="12"/>
  <c r="AO42" i="12"/>
  <c r="AP42" i="12"/>
  <c r="AR42" i="12"/>
  <c r="AS42" i="12"/>
  <c r="AT42" i="12"/>
  <c r="AV42" i="12"/>
  <c r="AW42" i="12"/>
  <c r="AX42" i="12"/>
  <c r="BA42" i="12"/>
  <c r="BD42" i="12"/>
  <c r="BH42" i="12"/>
  <c r="BI42" i="12"/>
  <c r="BJ42" i="12"/>
  <c r="BL42" i="12"/>
  <c r="BM42" i="12"/>
  <c r="BN42" i="12"/>
  <c r="BQ42" i="12"/>
  <c r="BR42" i="12"/>
  <c r="BS42" i="12"/>
  <c r="BV42" i="12"/>
  <c r="BW42" i="12"/>
  <c r="BX42" i="12"/>
  <c r="CA42" i="12"/>
  <c r="CB42" i="12"/>
  <c r="CC42" i="12"/>
  <c r="CF42" i="12"/>
  <c r="CG42" i="12"/>
  <c r="CH42" i="12"/>
  <c r="CK42" i="12"/>
  <c r="CL42" i="12"/>
  <c r="CM42" i="12"/>
  <c r="CP42" i="12"/>
  <c r="CQ42" i="12"/>
  <c r="CR42" i="12"/>
  <c r="CU42" i="12"/>
  <c r="CV42" i="12"/>
  <c r="CW42" i="12"/>
  <c r="CZ42" i="12"/>
  <c r="DA42" i="12"/>
  <c r="DB42" i="12"/>
  <c r="DD42" i="12"/>
  <c r="DQ42" i="12"/>
  <c r="DR42" i="12"/>
  <c r="DS42" i="12"/>
  <c r="DW42" i="12"/>
  <c r="DX42" i="12"/>
  <c r="DY42" i="12"/>
  <c r="EC42" i="12"/>
  <c r="ED42" i="12"/>
  <c r="EE42" i="12"/>
  <c r="EI42" i="12"/>
  <c r="EJ42" i="12"/>
  <c r="EK42" i="12"/>
  <c r="EO42" i="12"/>
  <c r="EP42" i="12"/>
  <c r="EQ42" i="12"/>
  <c r="EU42" i="12"/>
  <c r="EV42" i="12"/>
  <c r="EW42" i="12"/>
  <c r="FA42" i="12"/>
  <c r="FB42" i="12"/>
  <c r="FC42" i="12"/>
  <c r="FG42" i="12"/>
  <c r="FH42" i="12"/>
  <c r="FI42" i="12"/>
  <c r="E30" i="12"/>
  <c r="F30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W30" i="12"/>
  <c r="X30" i="12"/>
  <c r="Y30" i="12"/>
  <c r="Z30" i="12"/>
  <c r="AA30" i="12"/>
  <c r="AB30" i="12"/>
  <c r="AC30" i="12"/>
  <c r="AD30" i="12"/>
  <c r="AF30" i="12"/>
  <c r="AG30" i="12"/>
  <c r="AH30" i="12"/>
  <c r="AJ30" i="12"/>
  <c r="AK30" i="12"/>
  <c r="AL30" i="12"/>
  <c r="AN30" i="12"/>
  <c r="AO30" i="12"/>
  <c r="AP30" i="12"/>
  <c r="AR30" i="12"/>
  <c r="AS30" i="12"/>
  <c r="AT30" i="12"/>
  <c r="AV30" i="12"/>
  <c r="AW30" i="12"/>
  <c r="AX30" i="12"/>
  <c r="BA30" i="12"/>
  <c r="BD30" i="12"/>
  <c r="BH30" i="12"/>
  <c r="BI30" i="12"/>
  <c r="BJ30" i="12"/>
  <c r="BL30" i="12"/>
  <c r="BM30" i="12"/>
  <c r="BN30" i="12"/>
  <c r="BQ30" i="12"/>
  <c r="BR30" i="12"/>
  <c r="BS30" i="12"/>
  <c r="BV30" i="12"/>
  <c r="BW30" i="12"/>
  <c r="BX30" i="12"/>
  <c r="CA30" i="12"/>
  <c r="CB30" i="12"/>
  <c r="CC30" i="12"/>
  <c r="CF30" i="12"/>
  <c r="CG30" i="12"/>
  <c r="CH30" i="12"/>
  <c r="CK30" i="12"/>
  <c r="CL30" i="12"/>
  <c r="CM30" i="12"/>
  <c r="CP30" i="12"/>
  <c r="CQ30" i="12"/>
  <c r="CR30" i="12"/>
  <c r="CU30" i="12"/>
  <c r="CV30" i="12"/>
  <c r="CW30" i="12"/>
  <c r="CZ30" i="12"/>
  <c r="DA30" i="12"/>
  <c r="DB30" i="12"/>
  <c r="DD30" i="12"/>
  <c r="DQ30" i="12"/>
  <c r="DR30" i="12"/>
  <c r="DS30" i="12"/>
  <c r="DW30" i="12"/>
  <c r="DX30" i="12"/>
  <c r="DY30" i="12"/>
  <c r="EC30" i="12"/>
  <c r="ED30" i="12"/>
  <c r="EE30" i="12"/>
  <c r="EI30" i="12"/>
  <c r="EJ30" i="12"/>
  <c r="EK30" i="12"/>
  <c r="EO30" i="12"/>
  <c r="EP30" i="12"/>
  <c r="EQ30" i="12"/>
  <c r="EU30" i="12"/>
  <c r="EV30" i="12"/>
  <c r="EW30" i="12"/>
  <c r="FA30" i="12"/>
  <c r="FB30" i="12"/>
  <c r="FC30" i="12"/>
  <c r="FG30" i="12"/>
  <c r="FH30" i="12"/>
  <c r="FI30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W24" i="12"/>
  <c r="X24" i="12"/>
  <c r="Y24" i="12"/>
  <c r="AA24" i="12"/>
  <c r="AB24" i="12"/>
  <c r="AC24" i="12"/>
  <c r="AD24" i="12"/>
  <c r="AF24" i="12"/>
  <c r="AG24" i="12"/>
  <c r="AH24" i="12"/>
  <c r="AJ24" i="12"/>
  <c r="AK24" i="12"/>
  <c r="AL24" i="12"/>
  <c r="AN24" i="12"/>
  <c r="AO24" i="12"/>
  <c r="AP24" i="12"/>
  <c r="AR24" i="12"/>
  <c r="AS24" i="12"/>
  <c r="AT24" i="12"/>
  <c r="AV24" i="12"/>
  <c r="AW24" i="12"/>
  <c r="AX24" i="12"/>
  <c r="BA24" i="12"/>
  <c r="BD24" i="12"/>
  <c r="BH24" i="12"/>
  <c r="BI24" i="12"/>
  <c r="BJ24" i="12"/>
  <c r="BL24" i="12"/>
  <c r="BM24" i="12"/>
  <c r="BN24" i="12"/>
  <c r="BQ24" i="12"/>
  <c r="BR24" i="12"/>
  <c r="BS24" i="12"/>
  <c r="BV24" i="12"/>
  <c r="BW24" i="12"/>
  <c r="BX24" i="12"/>
  <c r="CA24" i="12"/>
  <c r="CB24" i="12"/>
  <c r="CC24" i="12"/>
  <c r="CF24" i="12"/>
  <c r="CG24" i="12"/>
  <c r="CH24" i="12"/>
  <c r="CK24" i="12"/>
  <c r="CL24" i="12"/>
  <c r="CM24" i="12"/>
  <c r="CP24" i="12"/>
  <c r="CQ24" i="12"/>
  <c r="CR24" i="12"/>
  <c r="CU24" i="12"/>
  <c r="CV24" i="12"/>
  <c r="CW24" i="12"/>
  <c r="CZ24" i="12"/>
  <c r="DA24" i="12"/>
  <c r="DB24" i="12"/>
  <c r="DD24" i="12"/>
  <c r="DQ24" i="12"/>
  <c r="DR24" i="12"/>
  <c r="DS24" i="12"/>
  <c r="DW24" i="12"/>
  <c r="DX24" i="12"/>
  <c r="DY24" i="12"/>
  <c r="EC24" i="12"/>
  <c r="ED24" i="12"/>
  <c r="EE24" i="12"/>
  <c r="EI24" i="12"/>
  <c r="EJ24" i="12"/>
  <c r="EK24" i="12"/>
  <c r="EO24" i="12"/>
  <c r="EP24" i="12"/>
  <c r="EQ24" i="12"/>
  <c r="EU24" i="12"/>
  <c r="EV24" i="12"/>
  <c r="EW24" i="12"/>
  <c r="FA24" i="12"/>
  <c r="FB24" i="12"/>
  <c r="FC24" i="12"/>
  <c r="FG24" i="12"/>
  <c r="FH24" i="12"/>
  <c r="FI24" i="12"/>
  <c r="E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W15" i="12"/>
  <c r="X15" i="12"/>
  <c r="Y15" i="12"/>
  <c r="Z15" i="12"/>
  <c r="AA15" i="12"/>
  <c r="AB15" i="12"/>
  <c r="AC15" i="12"/>
  <c r="AD15" i="12"/>
  <c r="AF15" i="12"/>
  <c r="AG15" i="12"/>
  <c r="AH15" i="12"/>
  <c r="AJ15" i="12"/>
  <c r="AK15" i="12"/>
  <c r="AL15" i="12"/>
  <c r="AN15" i="12"/>
  <c r="AO15" i="12"/>
  <c r="AP15" i="12"/>
  <c r="AR15" i="12"/>
  <c r="AS15" i="12"/>
  <c r="AT15" i="12"/>
  <c r="AV15" i="12"/>
  <c r="AW15" i="12"/>
  <c r="AX15" i="12"/>
  <c r="BA15" i="12"/>
  <c r="BD15" i="12"/>
  <c r="BH15" i="12"/>
  <c r="BI15" i="12"/>
  <c r="BJ15" i="12"/>
  <c r="BL15" i="12"/>
  <c r="BM15" i="12"/>
  <c r="BN15" i="12"/>
  <c r="BQ15" i="12"/>
  <c r="BR15" i="12"/>
  <c r="BS15" i="12"/>
  <c r="BV15" i="12"/>
  <c r="BW15" i="12"/>
  <c r="BX15" i="12"/>
  <c r="CA15" i="12"/>
  <c r="CB15" i="12"/>
  <c r="CC15" i="12"/>
  <c r="CF15" i="12"/>
  <c r="CG15" i="12"/>
  <c r="CH15" i="12"/>
  <c r="CK15" i="12"/>
  <c r="CL15" i="12"/>
  <c r="CM15" i="12"/>
  <c r="CP15" i="12"/>
  <c r="CQ15" i="12"/>
  <c r="CR15" i="12"/>
  <c r="CU15" i="12"/>
  <c r="CV15" i="12"/>
  <c r="CW15" i="12"/>
  <c r="CZ15" i="12"/>
  <c r="DA15" i="12"/>
  <c r="DB15" i="12"/>
  <c r="DD15" i="12"/>
  <c r="DQ15" i="12"/>
  <c r="DR15" i="12"/>
  <c r="DS15" i="12"/>
  <c r="DW15" i="12"/>
  <c r="DX15" i="12"/>
  <c r="DY15" i="12"/>
  <c r="EC15" i="12"/>
  <c r="ED15" i="12"/>
  <c r="EE15" i="12"/>
  <c r="EI15" i="12"/>
  <c r="EJ15" i="12"/>
  <c r="EK15" i="12"/>
  <c r="EO15" i="12"/>
  <c r="EP15" i="12"/>
  <c r="EQ15" i="12"/>
  <c r="EU15" i="12"/>
  <c r="EV15" i="12"/>
  <c r="EW15" i="12"/>
  <c r="FA15" i="12"/>
  <c r="FB15" i="12"/>
  <c r="FC15" i="12"/>
  <c r="FG15" i="12"/>
  <c r="FH15" i="12"/>
  <c r="FI15" i="12"/>
  <c r="FJ249" i="12"/>
  <c r="FR249" i="12" s="1"/>
  <c r="FJ250" i="12"/>
  <c r="FR250" i="12" s="1"/>
  <c r="FJ251" i="12"/>
  <c r="FJ252" i="12"/>
  <c r="FR252" i="12" s="1"/>
  <c r="FJ253" i="12"/>
  <c r="FR253" i="12" s="1"/>
  <c r="FJ254" i="12"/>
  <c r="FJ256" i="12"/>
  <c r="FR256" i="12" s="1"/>
  <c r="FJ257" i="12"/>
  <c r="FJ284" i="12"/>
  <c r="FJ285" i="12"/>
  <c r="FJ274" i="12"/>
  <c r="FJ268" i="12"/>
  <c r="FR268" i="12" s="1"/>
  <c r="FJ267" i="12"/>
  <c r="FR267" i="12" s="1"/>
  <c r="FJ266" i="12"/>
  <c r="FJ265" i="12"/>
  <c r="FR265" i="12" s="1"/>
  <c r="FJ264" i="12"/>
  <c r="FR264" i="12" s="1"/>
  <c r="FJ263" i="12"/>
  <c r="FR263" i="12" s="1"/>
  <c r="FJ242" i="12"/>
  <c r="FR242" i="12" s="1"/>
  <c r="FJ241" i="12"/>
  <c r="FR241" i="12" s="1"/>
  <c r="FJ240" i="12"/>
  <c r="FJ239" i="12"/>
  <c r="FJ238" i="12"/>
  <c r="FR238" i="12" s="1"/>
  <c r="FJ237" i="12"/>
  <c r="FJ236" i="12"/>
  <c r="FJ235" i="12"/>
  <c r="FR235" i="12" s="1"/>
  <c r="FJ229" i="12"/>
  <c r="FR229" i="12" s="1"/>
  <c r="FJ228" i="12"/>
  <c r="FJ227" i="12"/>
  <c r="FJ226" i="12"/>
  <c r="FJ225" i="12"/>
  <c r="FR225" i="12" s="1"/>
  <c r="FJ224" i="12"/>
  <c r="FJ223" i="12"/>
  <c r="FR223" i="12" s="1"/>
  <c r="FJ222" i="12"/>
  <c r="FR222" i="12" s="1"/>
  <c r="FJ221" i="12"/>
  <c r="FR221" i="12" s="1"/>
  <c r="FJ220" i="12"/>
  <c r="FJ219" i="12"/>
  <c r="FJ218" i="12"/>
  <c r="FJ217" i="12"/>
  <c r="FR217" i="12" s="1"/>
  <c r="FJ211" i="12"/>
  <c r="FR211" i="12" s="1"/>
  <c r="FJ210" i="12"/>
  <c r="FJ209" i="12"/>
  <c r="FR209" i="12" s="1"/>
  <c r="FJ208" i="12"/>
  <c r="FR208" i="12" s="1"/>
  <c r="FJ207" i="12"/>
  <c r="FR207" i="12" s="1"/>
  <c r="FJ206" i="12"/>
  <c r="FJ200" i="12"/>
  <c r="FJ199" i="12"/>
  <c r="FR199" i="12" s="1"/>
  <c r="FJ193" i="12"/>
  <c r="FJ192" i="12"/>
  <c r="FR192" i="12" s="1"/>
  <c r="FJ191" i="12"/>
  <c r="FJ190" i="12"/>
  <c r="FR190" i="12" s="1"/>
  <c r="FJ189" i="12"/>
  <c r="FJ188" i="12"/>
  <c r="FJ187" i="12"/>
  <c r="FR187" i="12" s="1"/>
  <c r="FJ186" i="12"/>
  <c r="FR186" i="12" s="1"/>
  <c r="FJ180" i="12"/>
  <c r="FR180" i="12" s="1"/>
  <c r="FJ179" i="12"/>
  <c r="FJ178" i="12"/>
  <c r="FR178" i="12" s="1"/>
  <c r="FJ177" i="12"/>
  <c r="FR177" i="12" s="1"/>
  <c r="FJ176" i="12"/>
  <c r="FR176" i="12" s="1"/>
  <c r="FJ175" i="12"/>
  <c r="FR175" i="12" s="1"/>
  <c r="FJ174" i="12"/>
  <c r="FJ173" i="12"/>
  <c r="FR173" i="12" s="1"/>
  <c r="FJ172" i="12"/>
  <c r="FJ171" i="12"/>
  <c r="FR171" i="12" s="1"/>
  <c r="FJ165" i="12"/>
  <c r="FR165" i="12" s="1"/>
  <c r="FJ164" i="12"/>
  <c r="FR164" i="12" s="1"/>
  <c r="FJ163" i="12"/>
  <c r="FJ162" i="12"/>
  <c r="FJ161" i="12"/>
  <c r="FJ160" i="12"/>
  <c r="FR160" i="12" s="1"/>
  <c r="FJ159" i="12"/>
  <c r="FJ153" i="12"/>
  <c r="FR153" i="12" s="1"/>
  <c r="FJ152" i="12"/>
  <c r="FJ151" i="12"/>
  <c r="FR151" i="12" s="1"/>
  <c r="FJ141" i="12"/>
  <c r="FR141" i="12" s="1"/>
  <c r="FJ150" i="12"/>
  <c r="FJ149" i="12"/>
  <c r="FJ148" i="12"/>
  <c r="FR148" i="12" s="1"/>
  <c r="FJ147" i="12"/>
  <c r="FJ140" i="12"/>
  <c r="FR140" i="12" s="1"/>
  <c r="FJ139" i="12"/>
  <c r="FR139" i="12" s="1"/>
  <c r="FJ138" i="12"/>
  <c r="FR138" i="12" s="1"/>
  <c r="FJ137" i="12"/>
  <c r="FJ136" i="12"/>
  <c r="FJ135" i="12"/>
  <c r="FJ134" i="12"/>
  <c r="FR134" i="12" s="1"/>
  <c r="FJ133" i="12"/>
  <c r="FJ127" i="12"/>
  <c r="FR127" i="12" s="1"/>
  <c r="FJ126" i="12"/>
  <c r="FR126" i="12" s="1"/>
  <c r="FJ125" i="12"/>
  <c r="FJ124" i="12"/>
  <c r="FR124" i="12" s="1"/>
  <c r="FJ123" i="12"/>
  <c r="FR123" i="12" s="1"/>
  <c r="FJ122" i="12"/>
  <c r="FR122" i="12" s="1"/>
  <c r="FJ121" i="12"/>
  <c r="FJ115" i="12"/>
  <c r="FJ114" i="12"/>
  <c r="FR114" i="12" s="1"/>
  <c r="FJ107" i="12"/>
  <c r="FR107" i="12" s="1"/>
  <c r="FJ106" i="12"/>
  <c r="FR106" i="12" s="1"/>
  <c r="FJ105" i="12"/>
  <c r="FJ99" i="12"/>
  <c r="FR99" i="12" s="1"/>
  <c r="FJ98" i="12"/>
  <c r="FJ97" i="12"/>
  <c r="FJ91" i="12"/>
  <c r="FJ90" i="12"/>
  <c r="FJ89" i="12"/>
  <c r="FR89" i="12" s="1"/>
  <c r="FJ88" i="12"/>
  <c r="FR88" i="12" s="1"/>
  <c r="FJ82" i="12"/>
  <c r="FJ81" i="12"/>
  <c r="FJ80" i="12"/>
  <c r="FJ79" i="12"/>
  <c r="FR79" i="12" s="1"/>
  <c r="FJ78" i="12"/>
  <c r="FR78" i="12" s="1"/>
  <c r="FJ77" i="12"/>
  <c r="FR77" i="12" s="1"/>
  <c r="FJ76" i="12"/>
  <c r="FJ75" i="12"/>
  <c r="FJ74" i="12"/>
  <c r="FJ73" i="12"/>
  <c r="FR73" i="12" s="1"/>
  <c r="FJ72" i="12"/>
  <c r="FJ71" i="12"/>
  <c r="FJ70" i="12"/>
  <c r="FR70" i="12" s="1"/>
  <c r="FJ69" i="12"/>
  <c r="FR69" i="12" s="1"/>
  <c r="FJ68" i="12"/>
  <c r="FR68" i="12" s="1"/>
  <c r="FJ67" i="12"/>
  <c r="FJ66" i="12"/>
  <c r="FJ65" i="12"/>
  <c r="FR65" i="12" s="1"/>
  <c r="FJ64" i="12"/>
  <c r="FJ63" i="12"/>
  <c r="FR63" i="12" s="1"/>
  <c r="FJ62" i="12"/>
  <c r="FR62" i="12" s="1"/>
  <c r="FJ61" i="12"/>
  <c r="FR61" i="12" s="1"/>
  <c r="FJ60" i="12"/>
  <c r="FJ59" i="12"/>
  <c r="FJ58" i="12"/>
  <c r="FJ57" i="12"/>
  <c r="FR57" i="12" s="1"/>
  <c r="FJ56" i="12"/>
  <c r="FJ55" i="12"/>
  <c r="FJ49" i="12"/>
  <c r="FJ48" i="12"/>
  <c r="FR48" i="12" s="1"/>
  <c r="FJ47" i="12"/>
  <c r="FJ41" i="12"/>
  <c r="FJ40" i="12"/>
  <c r="FR40" i="12" s="1"/>
  <c r="FJ29" i="12"/>
  <c r="FR29" i="12" s="1"/>
  <c r="FJ28" i="12"/>
  <c r="FJ23" i="12"/>
  <c r="FJ22" i="12"/>
  <c r="FJ21" i="12"/>
  <c r="FR21" i="12" s="1"/>
  <c r="FJ20" i="12"/>
  <c r="FJ14" i="12"/>
  <c r="FJ13" i="12"/>
  <c r="FJ12" i="12"/>
  <c r="FR12" i="12" s="1"/>
  <c r="FJ11" i="12"/>
  <c r="FJ10" i="12"/>
  <c r="FJ9" i="12"/>
  <c r="FJ8" i="12"/>
  <c r="FR8" i="12" s="1"/>
  <c r="FJ7" i="12"/>
  <c r="FR7" i="12" s="1"/>
  <c r="FJ6" i="12"/>
  <c r="FJ5" i="12"/>
  <c r="FJ4" i="12"/>
  <c r="FO22" i="13" l="1"/>
  <c r="FO23" i="13" s="1"/>
  <c r="FK252" i="12"/>
  <c r="AM6" i="11"/>
  <c r="FK220" i="12"/>
  <c r="FR220" i="12"/>
  <c r="FK14" i="12"/>
  <c r="FR14" i="12"/>
  <c r="FK55" i="12"/>
  <c r="FR55" i="12"/>
  <c r="FK67" i="12"/>
  <c r="FR67" i="12"/>
  <c r="FK125" i="12"/>
  <c r="FR125" i="12"/>
  <c r="FK237" i="12"/>
  <c r="FR237" i="12"/>
  <c r="FK11" i="12"/>
  <c r="FR11" i="12"/>
  <c r="FJ24" i="12"/>
  <c r="FR20" i="12"/>
  <c r="FK28" i="12"/>
  <c r="FR28" i="12"/>
  <c r="FR30" i="12" s="1"/>
  <c r="FK47" i="12"/>
  <c r="FR47" i="12"/>
  <c r="FK56" i="12"/>
  <c r="FR56" i="12"/>
  <c r="FK60" i="12"/>
  <c r="FR60" i="12"/>
  <c r="FK64" i="12"/>
  <c r="FR64" i="12"/>
  <c r="FK72" i="12"/>
  <c r="FR72" i="12"/>
  <c r="FK76" i="12"/>
  <c r="FR76" i="12"/>
  <c r="FK80" i="12"/>
  <c r="FR80" i="12"/>
  <c r="FK98" i="12"/>
  <c r="FR98" i="12"/>
  <c r="FK135" i="12"/>
  <c r="FR135" i="12"/>
  <c r="FK149" i="12"/>
  <c r="FR149" i="12"/>
  <c r="FK152" i="12"/>
  <c r="FR152" i="12"/>
  <c r="FK161" i="12"/>
  <c r="FR161" i="12"/>
  <c r="FK174" i="12"/>
  <c r="FR174" i="12"/>
  <c r="FK191" i="12"/>
  <c r="FR191" i="12"/>
  <c r="FJ201" i="12"/>
  <c r="FR200" i="12"/>
  <c r="FR201" i="12" s="1"/>
  <c r="FJ275" i="12"/>
  <c r="FR274" i="12"/>
  <c r="FR275" i="12" s="1"/>
  <c r="FK10" i="12"/>
  <c r="FR10" i="12"/>
  <c r="FK41" i="12"/>
  <c r="HC41" i="12" s="1"/>
  <c r="FR41" i="12"/>
  <c r="FR42" i="12" s="1"/>
  <c r="FK121" i="12"/>
  <c r="FR121" i="12"/>
  <c r="FK228" i="12"/>
  <c r="FR228" i="12"/>
  <c r="FK257" i="12"/>
  <c r="FR257" i="12"/>
  <c r="FJ15" i="12"/>
  <c r="FR4" i="12"/>
  <c r="FR81" i="12"/>
  <c r="FK90" i="12"/>
  <c r="FR90" i="12"/>
  <c r="FK99" i="12"/>
  <c r="FK136" i="12"/>
  <c r="FR136" i="12"/>
  <c r="FK150" i="12"/>
  <c r="FR150" i="12"/>
  <c r="FK162" i="12"/>
  <c r="FR162" i="12"/>
  <c r="FK179" i="12"/>
  <c r="FR179" i="12"/>
  <c r="FK188" i="12"/>
  <c r="FR188" i="12"/>
  <c r="FJ212" i="12"/>
  <c r="FR206" i="12"/>
  <c r="FK218" i="12"/>
  <c r="FR218" i="12"/>
  <c r="FK226" i="12"/>
  <c r="FR226" i="12"/>
  <c r="FK239" i="12"/>
  <c r="FR239" i="12"/>
  <c r="FK266" i="12"/>
  <c r="FR266" i="12"/>
  <c r="FR269" i="12" s="1"/>
  <c r="FK285" i="12"/>
  <c r="FR285" i="12"/>
  <c r="FK251" i="12"/>
  <c r="FR251" i="12"/>
  <c r="FK6" i="12"/>
  <c r="FR6" i="12"/>
  <c r="FK23" i="12"/>
  <c r="FR23" i="12"/>
  <c r="FK59" i="12"/>
  <c r="FR59" i="12"/>
  <c r="FK71" i="12"/>
  <c r="FR71" i="12"/>
  <c r="FK75" i="12"/>
  <c r="FR75" i="12"/>
  <c r="FJ101" i="12"/>
  <c r="FR97" i="12"/>
  <c r="FK224" i="12"/>
  <c r="FR224" i="12"/>
  <c r="FK5" i="12"/>
  <c r="FR5" i="12"/>
  <c r="FK9" i="12"/>
  <c r="FR9" i="12"/>
  <c r="FK13" i="12"/>
  <c r="FR13" i="12"/>
  <c r="FK22" i="12"/>
  <c r="FR22" i="12"/>
  <c r="FK49" i="12"/>
  <c r="FR49" i="12"/>
  <c r="FK58" i="12"/>
  <c r="FR58" i="12"/>
  <c r="FK66" i="12"/>
  <c r="FR66" i="12"/>
  <c r="FK74" i="12"/>
  <c r="FR74" i="12"/>
  <c r="FK82" i="12"/>
  <c r="FR82" i="12"/>
  <c r="FK91" i="12"/>
  <c r="FR91" i="12"/>
  <c r="FK105" i="12"/>
  <c r="FR105" i="12"/>
  <c r="FR109" i="12" s="1"/>
  <c r="FK115" i="12"/>
  <c r="FR115" i="12"/>
  <c r="FR116" i="12" s="1"/>
  <c r="FK133" i="12"/>
  <c r="FR133" i="12"/>
  <c r="FK137" i="12"/>
  <c r="FR137" i="12"/>
  <c r="FK147" i="12"/>
  <c r="FR147" i="12"/>
  <c r="FK159" i="12"/>
  <c r="FR159" i="12"/>
  <c r="FK163" i="12"/>
  <c r="FR163" i="12"/>
  <c r="FK172" i="12"/>
  <c r="FR172" i="12"/>
  <c r="FK189" i="12"/>
  <c r="FR189" i="12"/>
  <c r="FK193" i="12"/>
  <c r="FR193" i="12"/>
  <c r="FK206" i="12"/>
  <c r="FK210" i="12"/>
  <c r="FR210" i="12"/>
  <c r="FK219" i="12"/>
  <c r="FR219" i="12"/>
  <c r="FK227" i="12"/>
  <c r="FR227" i="12"/>
  <c r="FK236" i="12"/>
  <c r="FR236" i="12"/>
  <c r="FK240" i="12"/>
  <c r="FR240" i="12"/>
  <c r="FK284" i="12"/>
  <c r="HC286" i="12" s="1"/>
  <c r="FR284" i="12"/>
  <c r="FK254" i="12"/>
  <c r="FR254" i="12"/>
  <c r="FI258" i="12"/>
  <c r="FJ286" i="12"/>
  <c r="FJ258" i="12"/>
  <c r="FK250" i="12"/>
  <c r="FJ194" i="12"/>
  <c r="FJ269" i="12"/>
  <c r="FJ181" i="12"/>
  <c r="FK171" i="12"/>
  <c r="FJ166" i="12"/>
  <c r="FJ154" i="12"/>
  <c r="FJ142" i="12"/>
  <c r="FJ128" i="12"/>
  <c r="FJ116" i="12"/>
  <c r="FJ109" i="12"/>
  <c r="FJ92" i="12"/>
  <c r="FJ83" i="12"/>
  <c r="FJ51" i="12"/>
  <c r="FJ42" i="12"/>
  <c r="FJ30" i="12"/>
  <c r="FK126" i="12"/>
  <c r="FK241" i="12"/>
  <c r="FK114" i="12"/>
  <c r="FK153" i="12"/>
  <c r="FK20" i="12"/>
  <c r="FK107" i="12"/>
  <c r="FK40" i="12"/>
  <c r="HC40" i="12" s="1"/>
  <c r="FK89" i="12"/>
  <c r="FK200" i="12"/>
  <c r="FK235" i="12"/>
  <c r="FK274" i="12"/>
  <c r="FK7" i="12"/>
  <c r="FK63" i="12"/>
  <c r="FK68" i="12"/>
  <c r="FK70" i="12"/>
  <c r="FK79" i="12"/>
  <c r="FK140" i="12"/>
  <c r="FK141" i="12"/>
  <c r="FK176" i="12"/>
  <c r="FK178" i="12"/>
  <c r="FK192" i="12"/>
  <c r="FK207" i="12"/>
  <c r="FK209" i="12"/>
  <c r="FK223" i="12"/>
  <c r="FK122" i="12"/>
  <c r="FK124" i="12"/>
  <c r="FK175" i="12"/>
  <c r="FK180" i="12"/>
  <c r="FK187" i="12"/>
  <c r="FK211" i="12"/>
  <c r="FK263" i="12"/>
  <c r="FK265" i="12"/>
  <c r="FK267" i="12"/>
  <c r="FK62" i="12"/>
  <c r="FK78" i="12"/>
  <c r="FK139" i="12"/>
  <c r="FK165" i="12"/>
  <c r="FK222" i="12"/>
  <c r="FK255" i="12"/>
  <c r="FK256" i="12"/>
  <c r="FK4" i="12"/>
  <c r="FK8" i="12"/>
  <c r="FK12" i="12"/>
  <c r="FK21" i="12"/>
  <c r="FK29" i="12"/>
  <c r="FK48" i="12"/>
  <c r="FK57" i="12"/>
  <c r="FK61" i="12"/>
  <c r="FK65" i="12"/>
  <c r="FK69" i="12"/>
  <c r="FK73" i="12"/>
  <c r="FK77" i="12"/>
  <c r="FK81" i="12"/>
  <c r="FK88" i="12"/>
  <c r="FK97" i="12"/>
  <c r="FK106" i="12"/>
  <c r="FK123" i="12"/>
  <c r="FK127" i="12"/>
  <c r="FK134" i="12"/>
  <c r="FK138" i="12"/>
  <c r="FK148" i="12"/>
  <c r="FK151" i="12"/>
  <c r="FK160" i="12"/>
  <c r="FK164" i="12"/>
  <c r="FK173" i="12"/>
  <c r="FK177" i="12"/>
  <c r="FK186" i="12"/>
  <c r="FK190" i="12"/>
  <c r="FK199" i="12"/>
  <c r="FK208" i="12"/>
  <c r="FK217" i="12"/>
  <c r="FK221" i="12"/>
  <c r="FK225" i="12"/>
  <c r="FK229" i="12"/>
  <c r="FK238" i="12"/>
  <c r="FK242" i="12"/>
  <c r="FK248" i="12"/>
  <c r="FK249" i="12"/>
  <c r="FK253" i="12"/>
  <c r="FK264" i="12"/>
  <c r="FK268" i="12"/>
  <c r="FD99" i="12"/>
  <c r="FL99" i="12" s="1"/>
  <c r="FR181" i="12" l="1"/>
  <c r="FK286" i="12"/>
  <c r="HC51" i="12"/>
  <c r="HC109" i="12"/>
  <c r="HC42" i="12"/>
  <c r="HC30" i="12"/>
  <c r="FR194" i="12"/>
  <c r="FR258" i="12"/>
  <c r="FR230" i="12"/>
  <c r="FR166" i="12"/>
  <c r="FR154" i="12"/>
  <c r="FR286" i="12"/>
  <c r="FR92" i="12"/>
  <c r="FR83" i="12"/>
  <c r="FR51" i="12"/>
  <c r="FR212" i="12"/>
  <c r="FR15" i="12"/>
  <c r="FR24" i="12"/>
  <c r="FK101" i="12"/>
  <c r="FR142" i="12"/>
  <c r="FR101" i="12"/>
  <c r="FR128" i="12"/>
  <c r="FR243" i="12"/>
  <c r="FE99" i="12"/>
  <c r="FF99" i="12"/>
  <c r="FK116" i="12"/>
  <c r="HC275" i="12"/>
  <c r="FK275" i="12"/>
  <c r="FK258" i="12"/>
  <c r="HC212" i="12"/>
  <c r="FK212" i="12"/>
  <c r="HC201" i="12"/>
  <c r="FK201" i="12"/>
  <c r="FK194" i="12"/>
  <c r="HC116" i="12"/>
  <c r="FK42" i="12"/>
  <c r="FK24" i="12"/>
  <c r="FK15" i="12"/>
  <c r="HC269" i="12"/>
  <c r="FK269" i="12"/>
  <c r="FK181" i="12"/>
  <c r="FK166" i="12"/>
  <c r="HC166" i="12"/>
  <c r="FK154" i="12"/>
  <c r="FK142" i="12"/>
  <c r="FK128" i="12"/>
  <c r="FK109" i="12"/>
  <c r="HC101" i="12"/>
  <c r="HC92" i="12"/>
  <c r="FK92" i="12"/>
  <c r="HC83" i="12"/>
  <c r="FK83" i="12"/>
  <c r="FK51" i="12"/>
  <c r="FK30" i="12"/>
  <c r="HC128" i="12"/>
  <c r="HC258" i="12"/>
  <c r="HC194" i="12"/>
  <c r="HC15" i="12"/>
  <c r="HC154" i="12"/>
  <c r="HC142" i="12"/>
  <c r="HC24" i="12"/>
  <c r="HC181" i="12" l="1"/>
  <c r="FG230" i="12"/>
  <c r="FG243" i="12" l="1"/>
  <c r="FH230" i="12"/>
  <c r="G43" i="11"/>
  <c r="G33" i="11"/>
  <c r="L31" i="11"/>
  <c r="AL8" i="11"/>
  <c r="AL7" i="11"/>
  <c r="FC256" i="12"/>
  <c r="FC255" i="12"/>
  <c r="FC249" i="12"/>
  <c r="FC248" i="12"/>
  <c r="FC258" i="12" l="1"/>
  <c r="FH243" i="12"/>
  <c r="FJ230" i="12"/>
  <c r="FK230" i="12"/>
  <c r="FI230" i="12"/>
  <c r="FH22" i="13"/>
  <c r="AL10" i="11" s="1"/>
  <c r="FJ14" i="13"/>
  <c r="AL9" i="11" s="1"/>
  <c r="FJ6" i="13"/>
  <c r="AL6" i="11" s="1"/>
  <c r="FD285" i="12"/>
  <c r="FL285" i="12" s="1"/>
  <c r="FD284" i="12"/>
  <c r="FD274" i="12"/>
  <c r="FD268" i="12"/>
  <c r="FL268" i="12" s="1"/>
  <c r="FD267" i="12"/>
  <c r="FL267" i="12" s="1"/>
  <c r="FD266" i="12"/>
  <c r="FD265" i="12"/>
  <c r="FD264" i="12"/>
  <c r="FL264" i="12" s="1"/>
  <c r="FD263" i="12"/>
  <c r="FD257" i="12"/>
  <c r="FL257" i="12" s="1"/>
  <c r="FD256" i="12"/>
  <c r="FL256" i="12" s="1"/>
  <c r="FD255" i="12"/>
  <c r="FL255" i="12" s="1"/>
  <c r="FD254" i="12"/>
  <c r="FL254" i="12" s="1"/>
  <c r="FD253" i="12"/>
  <c r="FL253" i="12" s="1"/>
  <c r="FD252" i="12"/>
  <c r="FL252" i="12" s="1"/>
  <c r="FD251" i="12"/>
  <c r="FD250" i="12"/>
  <c r="FL250" i="12" s="1"/>
  <c r="FD249" i="12"/>
  <c r="FL249" i="12" s="1"/>
  <c r="FD248" i="12"/>
  <c r="FD242" i="12"/>
  <c r="FL242" i="12" s="1"/>
  <c r="FD241" i="12"/>
  <c r="FD240" i="12"/>
  <c r="FD239" i="12"/>
  <c r="FL239" i="12" s="1"/>
  <c r="FD238" i="12"/>
  <c r="FL238" i="12" s="1"/>
  <c r="FD237" i="12"/>
  <c r="FL237" i="12" s="1"/>
  <c r="FD236" i="12"/>
  <c r="FD235" i="12"/>
  <c r="FL235" i="12" s="1"/>
  <c r="FD229" i="12"/>
  <c r="FL229" i="12" s="1"/>
  <c r="FD228" i="12"/>
  <c r="FL228" i="12" s="1"/>
  <c r="FD227" i="12"/>
  <c r="FL227" i="12" s="1"/>
  <c r="FD226" i="12"/>
  <c r="FL226" i="12" s="1"/>
  <c r="FD225" i="12"/>
  <c r="FL225" i="12" s="1"/>
  <c r="FD224" i="12"/>
  <c r="FL224" i="12" s="1"/>
  <c r="FD223" i="12"/>
  <c r="FD222" i="12"/>
  <c r="FL222" i="12" s="1"/>
  <c r="FD221" i="12"/>
  <c r="FL221" i="12" s="1"/>
  <c r="FD220" i="12"/>
  <c r="FL220" i="12" s="1"/>
  <c r="FD219" i="12"/>
  <c r="FL219" i="12" s="1"/>
  <c r="FD218" i="12"/>
  <c r="FL218" i="12" s="1"/>
  <c r="FD217" i="12"/>
  <c r="FD211" i="12"/>
  <c r="FL211" i="12" s="1"/>
  <c r="FD210" i="12"/>
  <c r="FD209" i="12"/>
  <c r="FL209" i="12" s="1"/>
  <c r="FD208" i="12"/>
  <c r="FL208" i="12" s="1"/>
  <c r="FD207" i="12"/>
  <c r="FL207" i="12" s="1"/>
  <c r="FD206" i="12"/>
  <c r="FD200" i="12"/>
  <c r="FL200" i="12" s="1"/>
  <c r="FD199" i="12"/>
  <c r="FD193" i="12"/>
  <c r="FL193" i="12" s="1"/>
  <c r="FD192" i="12"/>
  <c r="FL192" i="12" s="1"/>
  <c r="FD191" i="12"/>
  <c r="FL191" i="12" s="1"/>
  <c r="FD190" i="12"/>
  <c r="FL190" i="12" s="1"/>
  <c r="FD189" i="12"/>
  <c r="FL189" i="12" s="1"/>
  <c r="FD188" i="12"/>
  <c r="FD187" i="12"/>
  <c r="FL187" i="12" s="1"/>
  <c r="FD186" i="12"/>
  <c r="FD180" i="12"/>
  <c r="FL180" i="12" s="1"/>
  <c r="FD179" i="12"/>
  <c r="FD178" i="12"/>
  <c r="FL178" i="12" s="1"/>
  <c r="FD177" i="12"/>
  <c r="FL177" i="12" s="1"/>
  <c r="FD176" i="12"/>
  <c r="FL176" i="12" s="1"/>
  <c r="FD175" i="12"/>
  <c r="FD174" i="12"/>
  <c r="FL174" i="12" s="1"/>
  <c r="FD173" i="12"/>
  <c r="FD172" i="12"/>
  <c r="FL172" i="12" s="1"/>
  <c r="FD171" i="12"/>
  <c r="FD165" i="12"/>
  <c r="FL165" i="12" s="1"/>
  <c r="FD164" i="12"/>
  <c r="FL164" i="12" s="1"/>
  <c r="FD163" i="12"/>
  <c r="FL163" i="12" s="1"/>
  <c r="FD162" i="12"/>
  <c r="FL162" i="12" s="1"/>
  <c r="FD161" i="12"/>
  <c r="FL161" i="12" s="1"/>
  <c r="FD160" i="12"/>
  <c r="FL160" i="12" s="1"/>
  <c r="FD159" i="12"/>
  <c r="FD153" i="12"/>
  <c r="FD152" i="12"/>
  <c r="FL152" i="12" s="1"/>
  <c r="FD151" i="12"/>
  <c r="FL151" i="12" s="1"/>
  <c r="FD141" i="12"/>
  <c r="FL141" i="12" s="1"/>
  <c r="FD150" i="12"/>
  <c r="FD149" i="12"/>
  <c r="FL149" i="12" s="1"/>
  <c r="FD148" i="12"/>
  <c r="FL148" i="12" s="1"/>
  <c r="FD147" i="12"/>
  <c r="FD140" i="12"/>
  <c r="FD139" i="12"/>
  <c r="FL139" i="12" s="1"/>
  <c r="FD138" i="12"/>
  <c r="FD137" i="12"/>
  <c r="FL137" i="12" s="1"/>
  <c r="FD136" i="12"/>
  <c r="FD135" i="12"/>
  <c r="FL135" i="12" s="1"/>
  <c r="FD134" i="12"/>
  <c r="FL134" i="12" s="1"/>
  <c r="FD133" i="12"/>
  <c r="FD127" i="12"/>
  <c r="FL127" i="12" s="1"/>
  <c r="FD126" i="12"/>
  <c r="FD125" i="12"/>
  <c r="FD124" i="12"/>
  <c r="FL124" i="12" s="1"/>
  <c r="FD123" i="12"/>
  <c r="FL123" i="12" s="1"/>
  <c r="FD122" i="12"/>
  <c r="FL122" i="12" s="1"/>
  <c r="FD121" i="12"/>
  <c r="FD115" i="12"/>
  <c r="FL115" i="12" s="1"/>
  <c r="FD114" i="12"/>
  <c r="FD107" i="12"/>
  <c r="FL107" i="12" s="1"/>
  <c r="FD106" i="12"/>
  <c r="FL106" i="12" s="1"/>
  <c r="FD105" i="12"/>
  <c r="FD98" i="12"/>
  <c r="FD97" i="12"/>
  <c r="FD91" i="12"/>
  <c r="FL91" i="12" s="1"/>
  <c r="FD90" i="12"/>
  <c r="FL90" i="12" s="1"/>
  <c r="FD89" i="12"/>
  <c r="FD88" i="12"/>
  <c r="FD82" i="12"/>
  <c r="FD81" i="12"/>
  <c r="FL81" i="12" s="1"/>
  <c r="FD80" i="12"/>
  <c r="FD79" i="12"/>
  <c r="FL79" i="12" s="1"/>
  <c r="FD78" i="12"/>
  <c r="FD77" i="12"/>
  <c r="FL77" i="12" s="1"/>
  <c r="FD76" i="12"/>
  <c r="FL76" i="12" s="1"/>
  <c r="FD75" i="12"/>
  <c r="FL75" i="12" s="1"/>
  <c r="FD74" i="12"/>
  <c r="FD73" i="12"/>
  <c r="FL73" i="12" s="1"/>
  <c r="FD72" i="12"/>
  <c r="FL72" i="12" s="1"/>
  <c r="FD71" i="12"/>
  <c r="FL71" i="12" s="1"/>
  <c r="FD70" i="12"/>
  <c r="FD69" i="12"/>
  <c r="FD68" i="12"/>
  <c r="FL68" i="12" s="1"/>
  <c r="FD67" i="12"/>
  <c r="FL67" i="12" s="1"/>
  <c r="FD66" i="12"/>
  <c r="FD65" i="12"/>
  <c r="FL65" i="12" s="1"/>
  <c r="FD64" i="12"/>
  <c r="FD63" i="12"/>
  <c r="FL63" i="12" s="1"/>
  <c r="FD62" i="12"/>
  <c r="FD61" i="12"/>
  <c r="FL61" i="12" s="1"/>
  <c r="FD60" i="12"/>
  <c r="FL60" i="12" s="1"/>
  <c r="FD59" i="12"/>
  <c r="FL59" i="12" s="1"/>
  <c r="FD58" i="12"/>
  <c r="FD57" i="12"/>
  <c r="FL57" i="12" s="1"/>
  <c r="FD56" i="12"/>
  <c r="FL56" i="12" s="1"/>
  <c r="FD55" i="12"/>
  <c r="FD49" i="12"/>
  <c r="FD48" i="12"/>
  <c r="FL48" i="12" s="1"/>
  <c r="FD47" i="12"/>
  <c r="FD41" i="12"/>
  <c r="FL41" i="12" s="1"/>
  <c r="FD40" i="12"/>
  <c r="FD29" i="12"/>
  <c r="FL29" i="12" s="1"/>
  <c r="FD28" i="12"/>
  <c r="FD23" i="12"/>
  <c r="FL23" i="12" s="1"/>
  <c r="FD22" i="12"/>
  <c r="FD21" i="12"/>
  <c r="FL21" i="12" s="1"/>
  <c r="FD20" i="12"/>
  <c r="FD14" i="12"/>
  <c r="FL14" i="12" s="1"/>
  <c r="FD13" i="12"/>
  <c r="FD12" i="12"/>
  <c r="FL12" i="12" s="1"/>
  <c r="FD11" i="12"/>
  <c r="FL11" i="12" s="1"/>
  <c r="FD10" i="12"/>
  <c r="FD9" i="12"/>
  <c r="FD8" i="12"/>
  <c r="FL8" i="12" s="1"/>
  <c r="FD7" i="12"/>
  <c r="FL7" i="12" s="1"/>
  <c r="FD6" i="12"/>
  <c r="FL6" i="12" s="1"/>
  <c r="FD5" i="12"/>
  <c r="FD4" i="12"/>
  <c r="FD116" i="12" l="1"/>
  <c r="FD286" i="12"/>
  <c r="FD128" i="12"/>
  <c r="FD194" i="12"/>
  <c r="FD24" i="12"/>
  <c r="FD181" i="12"/>
  <c r="FD212" i="12"/>
  <c r="FL40" i="12"/>
  <c r="FL42" i="12" s="1"/>
  <c r="FD42" i="12"/>
  <c r="FL55" i="12"/>
  <c r="FD83" i="12"/>
  <c r="FL88" i="12"/>
  <c r="FD92" i="12"/>
  <c r="FD101" i="12"/>
  <c r="FL97" i="12"/>
  <c r="FD258" i="12"/>
  <c r="FL274" i="12"/>
  <c r="FL275" i="12" s="1"/>
  <c r="FD275" i="12"/>
  <c r="FL28" i="12"/>
  <c r="FL30" i="12" s="1"/>
  <c r="FD30" i="12"/>
  <c r="FE98" i="12"/>
  <c r="FL98" i="12"/>
  <c r="FL47" i="12"/>
  <c r="FD51" i="12"/>
  <c r="FD15" i="12"/>
  <c r="FL105" i="12"/>
  <c r="FL109" i="12" s="1"/>
  <c r="FD109" i="12"/>
  <c r="FL133" i="12"/>
  <c r="FD142" i="12"/>
  <c r="FL147" i="12"/>
  <c r="FD154" i="12"/>
  <c r="FL159" i="12"/>
  <c r="FL166" i="12" s="1"/>
  <c r="FD166" i="12"/>
  <c r="FL263" i="12"/>
  <c r="FD269" i="12"/>
  <c r="FL199" i="12"/>
  <c r="FL201" i="12" s="1"/>
  <c r="FD201" i="12"/>
  <c r="FI243" i="12"/>
  <c r="FK243" i="12"/>
  <c r="FL64" i="12"/>
  <c r="FJ243" i="12"/>
  <c r="FL4" i="12"/>
  <c r="FL126" i="12"/>
  <c r="FL20" i="12"/>
  <c r="FL248" i="12"/>
  <c r="FL241" i="12"/>
  <c r="FL80" i="12"/>
  <c r="FL10" i="12"/>
  <c r="FL114" i="12"/>
  <c r="FL116" i="12" s="1"/>
  <c r="FL138" i="12"/>
  <c r="FL173" i="12"/>
  <c r="FL186" i="12"/>
  <c r="FL217" i="12"/>
  <c r="FE89" i="12"/>
  <c r="FL89" i="12"/>
  <c r="FE163" i="12"/>
  <c r="FE200" i="12"/>
  <c r="FE121" i="12"/>
  <c r="FL121" i="12"/>
  <c r="FE124" i="12"/>
  <c r="FE137" i="12"/>
  <c r="FE171" i="12"/>
  <c r="FL171" i="12"/>
  <c r="FE187" i="12"/>
  <c r="FE22" i="12"/>
  <c r="FL22" i="12"/>
  <c r="FE49" i="12"/>
  <c r="FL49" i="12"/>
  <c r="FE284" i="12"/>
  <c r="FL284" i="12"/>
  <c r="FL286" i="12" s="1"/>
  <c r="FE251" i="12"/>
  <c r="FL251" i="12"/>
  <c r="FE69" i="12"/>
  <c r="FL69" i="12"/>
  <c r="FE125" i="12"/>
  <c r="FL125" i="12"/>
  <c r="FE175" i="12"/>
  <c r="FL175" i="12"/>
  <c r="FE178" i="12"/>
  <c r="FE193" i="12"/>
  <c r="FE206" i="12"/>
  <c r="FL206" i="12"/>
  <c r="FE210" i="12"/>
  <c r="FL210" i="12"/>
  <c r="FE218" i="12"/>
  <c r="FE265" i="12"/>
  <c r="FL265" i="12"/>
  <c r="FE9" i="12"/>
  <c r="FL9" i="12"/>
  <c r="FE58" i="12"/>
  <c r="FL58" i="12"/>
  <c r="FE66" i="12"/>
  <c r="FL66" i="12"/>
  <c r="FE70" i="12"/>
  <c r="FL70" i="12"/>
  <c r="FE74" i="12"/>
  <c r="FL74" i="12"/>
  <c r="FE78" i="12"/>
  <c r="FL78" i="12"/>
  <c r="FE82" i="12"/>
  <c r="FL82" i="12"/>
  <c r="FE136" i="12"/>
  <c r="FL136" i="12"/>
  <c r="FE179" i="12"/>
  <c r="FL179" i="12"/>
  <c r="FE219" i="12"/>
  <c r="FE223" i="12"/>
  <c r="FL223" i="12"/>
  <c r="FE236" i="12"/>
  <c r="FL236" i="12"/>
  <c r="FE240" i="12"/>
  <c r="FL240" i="12"/>
  <c r="FE257" i="12"/>
  <c r="FE266" i="12"/>
  <c r="FL266" i="12"/>
  <c r="FE5" i="12"/>
  <c r="FL5" i="12"/>
  <c r="FE13" i="12"/>
  <c r="FL13" i="12"/>
  <c r="FE62" i="12"/>
  <c r="FL62" i="12"/>
  <c r="FE140" i="12"/>
  <c r="FL140" i="12"/>
  <c r="FE150" i="12"/>
  <c r="FL150" i="12"/>
  <c r="FE153" i="12"/>
  <c r="FL153" i="12"/>
  <c r="FE161" i="12"/>
  <c r="FE188" i="12"/>
  <c r="FL188" i="12"/>
  <c r="FE211" i="12"/>
  <c r="FE227" i="12"/>
  <c r="FE59" i="12"/>
  <c r="FE97" i="12"/>
  <c r="FE189" i="12"/>
  <c r="FE162" i="12"/>
  <c r="FE222" i="12"/>
  <c r="FE40" i="12"/>
  <c r="FE73" i="12"/>
  <c r="FE191" i="12"/>
  <c r="FE23" i="12"/>
  <c r="FE192" i="12"/>
  <c r="FE165" i="12"/>
  <c r="FE274" i="12"/>
  <c r="FE275" i="12" s="1"/>
  <c r="FE254" i="12"/>
  <c r="FE239" i="12"/>
  <c r="FE226" i="12"/>
  <c r="FE209" i="12"/>
  <c r="FE159" i="12"/>
  <c r="FE152" i="12"/>
  <c r="FE135" i="12"/>
  <c r="FE79" i="12"/>
  <c r="FE77" i="12"/>
  <c r="FE75" i="12"/>
  <c r="FE67" i="12"/>
  <c r="FE65" i="12"/>
  <c r="FE63" i="12"/>
  <c r="FE61" i="12"/>
  <c r="FE57" i="12"/>
  <c r="FE55" i="12"/>
  <c r="FE29" i="12"/>
  <c r="FE21" i="12"/>
  <c r="FJ22" i="13"/>
  <c r="FJ23" i="13" s="1"/>
  <c r="FE41" i="12"/>
  <c r="FE48" i="12"/>
  <c r="FE71" i="12"/>
  <c r="FE81" i="12"/>
  <c r="FE88" i="12"/>
  <c r="FE90" i="12"/>
  <c r="FE107" i="12"/>
  <c r="FE105" i="12"/>
  <c r="FE139" i="12"/>
  <c r="FE147" i="12"/>
  <c r="FE149" i="12"/>
  <c r="FE141" i="12"/>
  <c r="FE174" i="12"/>
  <c r="FE207" i="12"/>
  <c r="FE250" i="12"/>
  <c r="FE235" i="12"/>
  <c r="FE4" i="12"/>
  <c r="FE6" i="12"/>
  <c r="FE8" i="12"/>
  <c r="FE10" i="12"/>
  <c r="FE12" i="12"/>
  <c r="FE14" i="12"/>
  <c r="FE255" i="12"/>
  <c r="FE256" i="12"/>
  <c r="FE7" i="12"/>
  <c r="FE11" i="12"/>
  <c r="FE20" i="12"/>
  <c r="FE28" i="12"/>
  <c r="FE47" i="12"/>
  <c r="FE56" i="12"/>
  <c r="FE60" i="12"/>
  <c r="FE64" i="12"/>
  <c r="FE68" i="12"/>
  <c r="FE72" i="12"/>
  <c r="FE76" i="12"/>
  <c r="FE80" i="12"/>
  <c r="FE91" i="12"/>
  <c r="FE106" i="12"/>
  <c r="FE123" i="12"/>
  <c r="FE127" i="12"/>
  <c r="FE134" i="12"/>
  <c r="FE138" i="12"/>
  <c r="FE148" i="12"/>
  <c r="FE151" i="12"/>
  <c r="FE160" i="12"/>
  <c r="FE164" i="12"/>
  <c r="FE173" i="12"/>
  <c r="FE177" i="12"/>
  <c r="FE186" i="12"/>
  <c r="FE190" i="12"/>
  <c r="FE199" i="12"/>
  <c r="FE208" i="12"/>
  <c r="FE217" i="12"/>
  <c r="FE221" i="12"/>
  <c r="FE225" i="12"/>
  <c r="FE229" i="12"/>
  <c r="FE238" i="12"/>
  <c r="FE242" i="12"/>
  <c r="FE248" i="12"/>
  <c r="FE249" i="12"/>
  <c r="FE253" i="12"/>
  <c r="FE264" i="12"/>
  <c r="FE268" i="12"/>
  <c r="FE115" i="12"/>
  <c r="FE122" i="12"/>
  <c r="FE126" i="12"/>
  <c r="FE133" i="12"/>
  <c r="FE172" i="12"/>
  <c r="FE176" i="12"/>
  <c r="FE180" i="12"/>
  <c r="FE220" i="12"/>
  <c r="FE224" i="12"/>
  <c r="FE228" i="12"/>
  <c r="FE237" i="12"/>
  <c r="FE241" i="12"/>
  <c r="FE252" i="12"/>
  <c r="FE263" i="12"/>
  <c r="FE267" i="12"/>
  <c r="FE285" i="12"/>
  <c r="FE114" i="12"/>
  <c r="AK8" i="11"/>
  <c r="AK7" i="11"/>
  <c r="FC22" i="13"/>
  <c r="AK10" i="11" s="1"/>
  <c r="FE14" i="13"/>
  <c r="AK9" i="11" s="1"/>
  <c r="FE6" i="13"/>
  <c r="AK6" i="11" s="1"/>
  <c r="AN11" i="11"/>
  <c r="AM11" i="11"/>
  <c r="AL11" i="11"/>
  <c r="EW249" i="12"/>
  <c r="EX249" i="12" s="1"/>
  <c r="EW248" i="12"/>
  <c r="EX248" i="12" s="1"/>
  <c r="EW256" i="12"/>
  <c r="EX256" i="12" s="1"/>
  <c r="EW255" i="12"/>
  <c r="EX255" i="12" s="1"/>
  <c r="FF255" i="12" s="1"/>
  <c r="EX285" i="12"/>
  <c r="EX284" i="12"/>
  <c r="EX274" i="12"/>
  <c r="EX268" i="12"/>
  <c r="FF268" i="12" s="1"/>
  <c r="EX267" i="12"/>
  <c r="EX266" i="12"/>
  <c r="EY266" i="12" s="1"/>
  <c r="EX265" i="12"/>
  <c r="EX264" i="12"/>
  <c r="FF264" i="12" s="1"/>
  <c r="EX263" i="12"/>
  <c r="EX257" i="12"/>
  <c r="EY257" i="12" s="1"/>
  <c r="EX254" i="12"/>
  <c r="EX253" i="12"/>
  <c r="EX252" i="12"/>
  <c r="EX251" i="12"/>
  <c r="EX250" i="12"/>
  <c r="EY250" i="12" s="1"/>
  <c r="EX242" i="12"/>
  <c r="EX241" i="12"/>
  <c r="EX240" i="12"/>
  <c r="EY240" i="12" s="1"/>
  <c r="EX239" i="12"/>
  <c r="EX238" i="12"/>
  <c r="EX237" i="12"/>
  <c r="EX236" i="12"/>
  <c r="EY236" i="12" s="1"/>
  <c r="EX235" i="12"/>
  <c r="EX229" i="12"/>
  <c r="FF229" i="12" s="1"/>
  <c r="EX228" i="12"/>
  <c r="EX227" i="12"/>
  <c r="EX226" i="12"/>
  <c r="EY226" i="12" s="1"/>
  <c r="EX225" i="12"/>
  <c r="FF225" i="12" s="1"/>
  <c r="EX224" i="12"/>
  <c r="EX223" i="12"/>
  <c r="EY223" i="12" s="1"/>
  <c r="EX222" i="12"/>
  <c r="EX221" i="12"/>
  <c r="EX220" i="12"/>
  <c r="EX219" i="12"/>
  <c r="EX218" i="12"/>
  <c r="EX217" i="12"/>
  <c r="EX211" i="12"/>
  <c r="EX210" i="12"/>
  <c r="EY210" i="12" s="1"/>
  <c r="EX209" i="12"/>
  <c r="EX208" i="12"/>
  <c r="EX207" i="12"/>
  <c r="EX206" i="12"/>
  <c r="EX200" i="12"/>
  <c r="FF200" i="12" s="1"/>
  <c r="EX199" i="12"/>
  <c r="EX193" i="12"/>
  <c r="EX192" i="12"/>
  <c r="EX191" i="12"/>
  <c r="EY191" i="12" s="1"/>
  <c r="EX190" i="12"/>
  <c r="EX189" i="12"/>
  <c r="EX188" i="12"/>
  <c r="EX187" i="12"/>
  <c r="EY187" i="12" s="1"/>
  <c r="EX186" i="12"/>
  <c r="EX180" i="12"/>
  <c r="EX179" i="12"/>
  <c r="EY179" i="12" s="1"/>
  <c r="EX178" i="12"/>
  <c r="EY178" i="12" s="1"/>
  <c r="EX177" i="12"/>
  <c r="EX176" i="12"/>
  <c r="EX175" i="12"/>
  <c r="EY175" i="12" s="1"/>
  <c r="EX174" i="12"/>
  <c r="EY174" i="12" s="1"/>
  <c r="EX173" i="12"/>
  <c r="EX172" i="12"/>
  <c r="EX171" i="12"/>
  <c r="EX165" i="12"/>
  <c r="EY165" i="12" s="1"/>
  <c r="EX164" i="12"/>
  <c r="EX163" i="12"/>
  <c r="EY163" i="12" s="1"/>
  <c r="EX162" i="12"/>
  <c r="EX161" i="12"/>
  <c r="EY161" i="12" s="1"/>
  <c r="EX160" i="12"/>
  <c r="EX159" i="12"/>
  <c r="EX153" i="12"/>
  <c r="EX152" i="12"/>
  <c r="EX151" i="12"/>
  <c r="EX141" i="12"/>
  <c r="EY141" i="12" s="1"/>
  <c r="EX150" i="12"/>
  <c r="EY150" i="12" s="1"/>
  <c r="EX149" i="12"/>
  <c r="EX148" i="12"/>
  <c r="EX147" i="12"/>
  <c r="EX140" i="12"/>
  <c r="EY140" i="12" s="1"/>
  <c r="EX139" i="12"/>
  <c r="EX138" i="12"/>
  <c r="EX137" i="12"/>
  <c r="EX136" i="12"/>
  <c r="EY136" i="12" s="1"/>
  <c r="EX135" i="12"/>
  <c r="EX134" i="12"/>
  <c r="EX133" i="12"/>
  <c r="EX127" i="12"/>
  <c r="EX126" i="12"/>
  <c r="EX125" i="12"/>
  <c r="EY125" i="12" s="1"/>
  <c r="EX124" i="12"/>
  <c r="EX123" i="12"/>
  <c r="EX122" i="12"/>
  <c r="EX121" i="12"/>
  <c r="EX115" i="12"/>
  <c r="EX114" i="12"/>
  <c r="EX107" i="12"/>
  <c r="EX106" i="12"/>
  <c r="FF106" i="12" s="1"/>
  <c r="EX105" i="12"/>
  <c r="EX98" i="12"/>
  <c r="FF98" i="12" s="1"/>
  <c r="EX97" i="12"/>
  <c r="FF97" i="12" s="1"/>
  <c r="EX91" i="12"/>
  <c r="EX90" i="12"/>
  <c r="EX89" i="12"/>
  <c r="EY89" i="12" s="1"/>
  <c r="EX88" i="12"/>
  <c r="EX82" i="12"/>
  <c r="EY82" i="12" s="1"/>
  <c r="EX81" i="12"/>
  <c r="EY81" i="12" s="1"/>
  <c r="EX80" i="12"/>
  <c r="EX79" i="12"/>
  <c r="EX78" i="12"/>
  <c r="EY78" i="12" s="1"/>
  <c r="EX77" i="12"/>
  <c r="EX76" i="12"/>
  <c r="EX75" i="12"/>
  <c r="EX74" i="12"/>
  <c r="EY74" i="12" s="1"/>
  <c r="EX73" i="12"/>
  <c r="EX72" i="12"/>
  <c r="EX71" i="12"/>
  <c r="EX70" i="12"/>
  <c r="EY70" i="12" s="1"/>
  <c r="EX69" i="12"/>
  <c r="EY69" i="12" s="1"/>
  <c r="EX68" i="12"/>
  <c r="EX67" i="12"/>
  <c r="EX66" i="12"/>
  <c r="EY66" i="12" s="1"/>
  <c r="EX65" i="12"/>
  <c r="EX64" i="12"/>
  <c r="EX63" i="12"/>
  <c r="EX62" i="12"/>
  <c r="EY62" i="12" s="1"/>
  <c r="EX61" i="12"/>
  <c r="EX60" i="12"/>
  <c r="EX59" i="12"/>
  <c r="EX58" i="12"/>
  <c r="EY58" i="12" s="1"/>
  <c r="EX57" i="12"/>
  <c r="EX56" i="12"/>
  <c r="EX55" i="12"/>
  <c r="EX49" i="12"/>
  <c r="EY49" i="12" s="1"/>
  <c r="EX48" i="12"/>
  <c r="EX47" i="12"/>
  <c r="EX41" i="12"/>
  <c r="EX40" i="12"/>
  <c r="EX29" i="12"/>
  <c r="EX28" i="12"/>
  <c r="EX23" i="12"/>
  <c r="EX22" i="12"/>
  <c r="EY22" i="12" s="1"/>
  <c r="EX21" i="12"/>
  <c r="EX20" i="12"/>
  <c r="EX14" i="12"/>
  <c r="EX13" i="12"/>
  <c r="EY13" i="12" s="1"/>
  <c r="EX12" i="12"/>
  <c r="EX11" i="12"/>
  <c r="EX10" i="12"/>
  <c r="EX9" i="12"/>
  <c r="EY9" i="12" s="1"/>
  <c r="EX8" i="12"/>
  <c r="EX7" i="12"/>
  <c r="EX6" i="12"/>
  <c r="EX5" i="12"/>
  <c r="EY5" i="12" s="1"/>
  <c r="EX4" i="12"/>
  <c r="FL92" i="12" l="1"/>
  <c r="FE116" i="12"/>
  <c r="FE101" i="12"/>
  <c r="EX30" i="12"/>
  <c r="EX116" i="12"/>
  <c r="FE201" i="12"/>
  <c r="EX194" i="12"/>
  <c r="FE142" i="12"/>
  <c r="FE24" i="12"/>
  <c r="FL258" i="12"/>
  <c r="FL51" i="12"/>
  <c r="EX24" i="12"/>
  <c r="EX51" i="12"/>
  <c r="EX212" i="12"/>
  <c r="FE51" i="12"/>
  <c r="EX83" i="12"/>
  <c r="EX258" i="12"/>
  <c r="EX15" i="12"/>
  <c r="EX109" i="12"/>
  <c r="EX154" i="12"/>
  <c r="FE30" i="12"/>
  <c r="FF101" i="12"/>
  <c r="EY40" i="12"/>
  <c r="EX42" i="12"/>
  <c r="EY121" i="12"/>
  <c r="EX128" i="12"/>
  <c r="FF199" i="12"/>
  <c r="FF201" i="12" s="1"/>
  <c r="EX201" i="12"/>
  <c r="EY274" i="12"/>
  <c r="EY275" i="12" s="1"/>
  <c r="EX275" i="12"/>
  <c r="FE258" i="12"/>
  <c r="FE42" i="12"/>
  <c r="EY88" i="12"/>
  <c r="EX92" i="12"/>
  <c r="EX101" i="12"/>
  <c r="EY284" i="12"/>
  <c r="EX286" i="12"/>
  <c r="EW258" i="12"/>
  <c r="FE154" i="12"/>
  <c r="FE286" i="12"/>
  <c r="EY171" i="12"/>
  <c r="EX181" i="12"/>
  <c r="EX269" i="12"/>
  <c r="FE269" i="12"/>
  <c r="FE194" i="12"/>
  <c r="FE15" i="12"/>
  <c r="FE92" i="12"/>
  <c r="FE83" i="12"/>
  <c r="FE166" i="12"/>
  <c r="FE181" i="12"/>
  <c r="FE128" i="12"/>
  <c r="FL101" i="12"/>
  <c r="EY133" i="12"/>
  <c r="EX142" i="12"/>
  <c r="FF159" i="12"/>
  <c r="EX166" i="12"/>
  <c r="FE109" i="12"/>
  <c r="FF121" i="12"/>
  <c r="FE212" i="12"/>
  <c r="FL194" i="12"/>
  <c r="FL24" i="12"/>
  <c r="FL212" i="12"/>
  <c r="FL15" i="12"/>
  <c r="FL269" i="12"/>
  <c r="FL243" i="12"/>
  <c r="FL181" i="12"/>
  <c r="FL154" i="12"/>
  <c r="FL142" i="12"/>
  <c r="FL128" i="12"/>
  <c r="FL83" i="12"/>
  <c r="FL230" i="12"/>
  <c r="FF217" i="12"/>
  <c r="FE22" i="13"/>
  <c r="FE23" i="13" s="1"/>
  <c r="EY126" i="12"/>
  <c r="EY153" i="12"/>
  <c r="EY206" i="12"/>
  <c r="FF41" i="12"/>
  <c r="FF174" i="12"/>
  <c r="FF20" i="12"/>
  <c r="FF164" i="12"/>
  <c r="FF186" i="12"/>
  <c r="FF248" i="12"/>
  <c r="FF115" i="12"/>
  <c r="FF265" i="12"/>
  <c r="FF22" i="12"/>
  <c r="FF238" i="12"/>
  <c r="FF105" i="12"/>
  <c r="FF88" i="12"/>
  <c r="FF256" i="12"/>
  <c r="FF208" i="12"/>
  <c r="FF152" i="12"/>
  <c r="FF241" i="12"/>
  <c r="FF165" i="12"/>
  <c r="FF127" i="12"/>
  <c r="FF222" i="12"/>
  <c r="FF176" i="12"/>
  <c r="FF224" i="12"/>
  <c r="FF149" i="12"/>
  <c r="FF221" i="12"/>
  <c r="FF148" i="12"/>
  <c r="FF124" i="12"/>
  <c r="FF191" i="12"/>
  <c r="FF78" i="12"/>
  <c r="FF58" i="12"/>
  <c r="FF257" i="12"/>
  <c r="FF242" i="12"/>
  <c r="FF178" i="12"/>
  <c r="FF123" i="12"/>
  <c r="FF218" i="12"/>
  <c r="FF138" i="12"/>
  <c r="FF173" i="12"/>
  <c r="FF239" i="12"/>
  <c r="FF67" i="12"/>
  <c r="FF10" i="12"/>
  <c r="FF13" i="12"/>
  <c r="FF63" i="12"/>
  <c r="FF64" i="12"/>
  <c r="FF6" i="12"/>
  <c r="FF56" i="12"/>
  <c r="FF11" i="12"/>
  <c r="FF14" i="12"/>
  <c r="FF70" i="12"/>
  <c r="FF72" i="12"/>
  <c r="FF60" i="12"/>
  <c r="EY188" i="12"/>
  <c r="FF188" i="12"/>
  <c r="FF240" i="12"/>
  <c r="FF206" i="12"/>
  <c r="FF136" i="12"/>
  <c r="FF267" i="12"/>
  <c r="FF57" i="12"/>
  <c r="FF21" i="12"/>
  <c r="FF171" i="12"/>
  <c r="FF74" i="12"/>
  <c r="FF69" i="12"/>
  <c r="FF237" i="12"/>
  <c r="FF141" i="12"/>
  <c r="FF172" i="12"/>
  <c r="FF12" i="12"/>
  <c r="FF150" i="12"/>
  <c r="FF125" i="12"/>
  <c r="FF89" i="12"/>
  <c r="FF66" i="12"/>
  <c r="FF49" i="12"/>
  <c r="FF5" i="12"/>
  <c r="FF223" i="12"/>
  <c r="FF251" i="12"/>
  <c r="FF190" i="12"/>
  <c r="FF163" i="12"/>
  <c r="FF139" i="12"/>
  <c r="FF79" i="12"/>
  <c r="FF65" i="12"/>
  <c r="FF7" i="12"/>
  <c r="FF254" i="12"/>
  <c r="FF228" i="12"/>
  <c r="FF209" i="12"/>
  <c r="FF160" i="12"/>
  <c r="FF135" i="12"/>
  <c r="FF81" i="12"/>
  <c r="FF47" i="12"/>
  <c r="FF253" i="12"/>
  <c r="FF179" i="12"/>
  <c r="FF137" i="12"/>
  <c r="FF71" i="12"/>
  <c r="FF73" i="12"/>
  <c r="FF274" i="12"/>
  <c r="FF275" i="12" s="1"/>
  <c r="FF235" i="12"/>
  <c r="FF162" i="12"/>
  <c r="FF147" i="12"/>
  <c r="FF90" i="12"/>
  <c r="FF8" i="12"/>
  <c r="FF189" i="12"/>
  <c r="FF59" i="12"/>
  <c r="FF227" i="12"/>
  <c r="FF76" i="12"/>
  <c r="FF4" i="12"/>
  <c r="FF236" i="12"/>
  <c r="FF210" i="12"/>
  <c r="FF140" i="12"/>
  <c r="FF219" i="12"/>
  <c r="FF107" i="12"/>
  <c r="FF263" i="12"/>
  <c r="FF91" i="12"/>
  <c r="FF220" i="12"/>
  <c r="FF207" i="12"/>
  <c r="FF29" i="12"/>
  <c r="FF211" i="12"/>
  <c r="FF266" i="12"/>
  <c r="FF175" i="12"/>
  <c r="FF153" i="12"/>
  <c r="FF114" i="12"/>
  <c r="FF82" i="12"/>
  <c r="FF62" i="12"/>
  <c r="FF9" i="12"/>
  <c r="FF284" i="12"/>
  <c r="FF226" i="12"/>
  <c r="FF180" i="12"/>
  <c r="FF161" i="12"/>
  <c r="FF126" i="12"/>
  <c r="FF75" i="12"/>
  <c r="FF61" i="12"/>
  <c r="FF285" i="12"/>
  <c r="FF250" i="12"/>
  <c r="FF193" i="12"/>
  <c r="FF151" i="12"/>
  <c r="FF122" i="12"/>
  <c r="FF77" i="12"/>
  <c r="FF28" i="12"/>
  <c r="FF249" i="12"/>
  <c r="FF192" i="12"/>
  <c r="FF177" i="12"/>
  <c r="FF133" i="12"/>
  <c r="FF68" i="12"/>
  <c r="FF23" i="12"/>
  <c r="FF40" i="12"/>
  <c r="FF252" i="12"/>
  <c r="FF134" i="12"/>
  <c r="FF80" i="12"/>
  <c r="FF187" i="12"/>
  <c r="FF55" i="12"/>
  <c r="FF48" i="12"/>
  <c r="AK11" i="11"/>
  <c r="EY192" i="12"/>
  <c r="EY227" i="12"/>
  <c r="EY251" i="12"/>
  <c r="EY29" i="12"/>
  <c r="EY222" i="12"/>
  <c r="EY98" i="12"/>
  <c r="EY124" i="12"/>
  <c r="EY162" i="12"/>
  <c r="EY207" i="12"/>
  <c r="EY219" i="12"/>
  <c r="EY152" i="12"/>
  <c r="EY200" i="12"/>
  <c r="EY235" i="12"/>
  <c r="EY254" i="12"/>
  <c r="EY265" i="12"/>
  <c r="EY239" i="12"/>
  <c r="EY218" i="12"/>
  <c r="EY209" i="12"/>
  <c r="EY211" i="12"/>
  <c r="EY159" i="12"/>
  <c r="EY147" i="12"/>
  <c r="EY149" i="12"/>
  <c r="EY139" i="12"/>
  <c r="EY135" i="12"/>
  <c r="EY137" i="12"/>
  <c r="EY122" i="12"/>
  <c r="EY115" i="12"/>
  <c r="EY97" i="12"/>
  <c r="EY107" i="12"/>
  <c r="EY105" i="12"/>
  <c r="EY77" i="12"/>
  <c r="EY73" i="12"/>
  <c r="EY61" i="12"/>
  <c r="EY57" i="12"/>
  <c r="EY65" i="12"/>
  <c r="EY48" i="12"/>
  <c r="EY21" i="12"/>
  <c r="EY8" i="12"/>
  <c r="EY4" i="12"/>
  <c r="EY12" i="12"/>
  <c r="EY255" i="12"/>
  <c r="EY256" i="12"/>
  <c r="EY7" i="12"/>
  <c r="EY11" i="12"/>
  <c r="EY20" i="12"/>
  <c r="EY28" i="12"/>
  <c r="EY47" i="12"/>
  <c r="EY56" i="12"/>
  <c r="EY60" i="12"/>
  <c r="EY64" i="12"/>
  <c r="EY68" i="12"/>
  <c r="EY72" i="12"/>
  <c r="EY76" i="12"/>
  <c r="EY80" i="12"/>
  <c r="EY91" i="12"/>
  <c r="EY106" i="12"/>
  <c r="EY123" i="12"/>
  <c r="EY127" i="12"/>
  <c r="EY134" i="12"/>
  <c r="EY138" i="12"/>
  <c r="EY148" i="12"/>
  <c r="EY151" i="12"/>
  <c r="EY160" i="12"/>
  <c r="EY164" i="12"/>
  <c r="EY173" i="12"/>
  <c r="EY177" i="12"/>
  <c r="EY186" i="12"/>
  <c r="EY190" i="12"/>
  <c r="EY199" i="12"/>
  <c r="EY208" i="12"/>
  <c r="EY217" i="12"/>
  <c r="EY221" i="12"/>
  <c r="EY225" i="12"/>
  <c r="EY229" i="12"/>
  <c r="EY238" i="12"/>
  <c r="EY242" i="12"/>
  <c r="EY248" i="12"/>
  <c r="EY249" i="12"/>
  <c r="EY253" i="12"/>
  <c r="EY264" i="12"/>
  <c r="EY268" i="12"/>
  <c r="EY6" i="12"/>
  <c r="EY10" i="12"/>
  <c r="EY14" i="12"/>
  <c r="EY23" i="12"/>
  <c r="EY41" i="12"/>
  <c r="EY55" i="12"/>
  <c r="EY59" i="12"/>
  <c r="EY63" i="12"/>
  <c r="EY67" i="12"/>
  <c r="EY71" i="12"/>
  <c r="EY75" i="12"/>
  <c r="EY79" i="12"/>
  <c r="EY90" i="12"/>
  <c r="EY172" i="12"/>
  <c r="EY176" i="12"/>
  <c r="EY180" i="12"/>
  <c r="EY189" i="12"/>
  <c r="EY193" i="12"/>
  <c r="EY220" i="12"/>
  <c r="EY224" i="12"/>
  <c r="EY228" i="12"/>
  <c r="EY237" i="12"/>
  <c r="EY241" i="12"/>
  <c r="EY252" i="12"/>
  <c r="EY263" i="12"/>
  <c r="EY267" i="12"/>
  <c r="EY285" i="12"/>
  <c r="EY114" i="12"/>
  <c r="FF42" i="12" l="1"/>
  <c r="EY116" i="12"/>
  <c r="EY101" i="12"/>
  <c r="FF83" i="12"/>
  <c r="FF116" i="12"/>
  <c r="EY269" i="12"/>
  <c r="EY30" i="12"/>
  <c r="FF15" i="12"/>
  <c r="FF212" i="12"/>
  <c r="EY166" i="12"/>
  <c r="FF258" i="12"/>
  <c r="FF128" i="12"/>
  <c r="EY83" i="12"/>
  <c r="EY194" i="12"/>
  <c r="EY51" i="12"/>
  <c r="EY15" i="12"/>
  <c r="FF142" i="12"/>
  <c r="FF30" i="12"/>
  <c r="FF154" i="12"/>
  <c r="FF181" i="12"/>
  <c r="FF92" i="12"/>
  <c r="FF194" i="12"/>
  <c r="EY142" i="12"/>
  <c r="EY181" i="12"/>
  <c r="EY92" i="12"/>
  <c r="EY128" i="12"/>
  <c r="EY109" i="12"/>
  <c r="FF109" i="12"/>
  <c r="EY212" i="12"/>
  <c r="EY286" i="12"/>
  <c r="EY258" i="12"/>
  <c r="EY201" i="12"/>
  <c r="EY24" i="12"/>
  <c r="EY154" i="12"/>
  <c r="FF286" i="12"/>
  <c r="FF269" i="12"/>
  <c r="FF51" i="12"/>
  <c r="FF24" i="12"/>
  <c r="FF166" i="12"/>
  <c r="EY42" i="12"/>
  <c r="FA230" i="12" l="1"/>
  <c r="FC230" i="12"/>
  <c r="AJ8" i="11"/>
  <c r="AJ7" i="11"/>
  <c r="EQ256" i="12"/>
  <c r="ER256" i="12" s="1"/>
  <c r="EQ255" i="12"/>
  <c r="ER255" i="12" s="1"/>
  <c r="EQ249" i="12"/>
  <c r="ER249" i="12" s="1"/>
  <c r="EQ248" i="12"/>
  <c r="EX22" i="13"/>
  <c r="AJ10" i="11" s="1"/>
  <c r="EZ14" i="13"/>
  <c r="AJ9" i="11" s="1"/>
  <c r="EZ6" i="13"/>
  <c r="AJ6" i="11" s="1"/>
  <c r="ER274" i="12"/>
  <c r="ER275" i="12" s="1"/>
  <c r="ER268" i="12"/>
  <c r="ER267" i="12"/>
  <c r="ER266" i="12"/>
  <c r="ER265" i="12"/>
  <c r="ER264" i="12"/>
  <c r="ER263" i="12"/>
  <c r="ER257" i="12"/>
  <c r="ER254" i="12"/>
  <c r="ER253" i="12"/>
  <c r="ER252" i="12"/>
  <c r="ER251" i="12"/>
  <c r="ER250" i="12"/>
  <c r="ER242" i="12"/>
  <c r="ER241" i="12"/>
  <c r="ER240" i="12"/>
  <c r="ER239" i="12"/>
  <c r="ER238" i="12"/>
  <c r="ER237" i="12"/>
  <c r="ER236" i="12"/>
  <c r="ER235" i="12"/>
  <c r="ER229" i="12"/>
  <c r="ER228" i="12"/>
  <c r="ER227" i="12"/>
  <c r="ER226" i="12"/>
  <c r="ER225" i="12"/>
  <c r="ER224" i="12"/>
  <c r="ER223" i="12"/>
  <c r="ER222" i="12"/>
  <c r="ER221" i="12"/>
  <c r="ER220" i="12"/>
  <c r="EZ220" i="12" s="1"/>
  <c r="ER219" i="12"/>
  <c r="ER218" i="12"/>
  <c r="ER217" i="12"/>
  <c r="ER211" i="12"/>
  <c r="ER210" i="12"/>
  <c r="EZ210" i="12" s="1"/>
  <c r="ER209" i="12"/>
  <c r="ER208" i="12"/>
  <c r="ER207" i="12"/>
  <c r="ER206" i="12"/>
  <c r="ER200" i="12"/>
  <c r="ER199" i="12"/>
  <c r="ER193" i="12"/>
  <c r="ER192" i="12"/>
  <c r="ER191" i="12"/>
  <c r="ER190" i="12"/>
  <c r="ER189" i="12"/>
  <c r="ER188" i="12"/>
  <c r="ER187" i="12"/>
  <c r="ER186" i="12"/>
  <c r="ER180" i="12"/>
  <c r="ER179" i="12"/>
  <c r="ER178" i="12"/>
  <c r="ER177" i="12"/>
  <c r="ER176" i="12"/>
  <c r="ER175" i="12"/>
  <c r="ER174" i="12"/>
  <c r="ER173" i="12"/>
  <c r="ER172" i="12"/>
  <c r="ER171" i="12"/>
  <c r="ER165" i="12"/>
  <c r="ER164" i="12"/>
  <c r="ER163" i="12"/>
  <c r="ER162" i="12"/>
  <c r="ER161" i="12"/>
  <c r="ER160" i="12"/>
  <c r="ER159" i="12"/>
  <c r="ER153" i="12"/>
  <c r="ER152" i="12"/>
  <c r="ER151" i="12"/>
  <c r="ER141" i="12"/>
  <c r="ER150" i="12"/>
  <c r="ER149" i="12"/>
  <c r="ER148" i="12"/>
  <c r="ER147" i="12"/>
  <c r="ER140" i="12"/>
  <c r="ER139" i="12"/>
  <c r="ER138" i="12"/>
  <c r="ER137" i="12"/>
  <c r="ER136" i="12"/>
  <c r="ER135" i="12"/>
  <c r="ER134" i="12"/>
  <c r="ER133" i="12"/>
  <c r="ER127" i="12"/>
  <c r="ER126" i="12"/>
  <c r="ER125" i="12"/>
  <c r="ER124" i="12"/>
  <c r="ER123" i="12"/>
  <c r="ER122" i="12"/>
  <c r="ER121" i="12"/>
  <c r="ER115" i="12"/>
  <c r="ER114" i="12"/>
  <c r="ER285" i="12"/>
  <c r="ER284" i="12"/>
  <c r="ER107" i="12"/>
  <c r="ER106" i="12"/>
  <c r="EZ106" i="12" s="1"/>
  <c r="ER105" i="12"/>
  <c r="ER98" i="12"/>
  <c r="ER97" i="12"/>
  <c r="ER91" i="12"/>
  <c r="ER90" i="12"/>
  <c r="ER89" i="12"/>
  <c r="ER88" i="12"/>
  <c r="ER82" i="12"/>
  <c r="ER81" i="12"/>
  <c r="ER80" i="12"/>
  <c r="ER79" i="12"/>
  <c r="ER78" i="12"/>
  <c r="ER77" i="12"/>
  <c r="ER76" i="12"/>
  <c r="ER75" i="12"/>
  <c r="ER74" i="12"/>
  <c r="ER73" i="12"/>
  <c r="ER72" i="12"/>
  <c r="ER71" i="12"/>
  <c r="EZ71" i="12" s="1"/>
  <c r="ER70" i="12"/>
  <c r="ER69" i="12"/>
  <c r="ER68" i="12"/>
  <c r="ER67" i="12"/>
  <c r="ER66" i="12"/>
  <c r="ER65" i="12"/>
  <c r="ER64" i="12"/>
  <c r="ER63" i="12"/>
  <c r="ER62" i="12"/>
  <c r="ER61" i="12"/>
  <c r="ER60" i="12"/>
  <c r="ER59" i="12"/>
  <c r="ER58" i="12"/>
  <c r="ER57" i="12"/>
  <c r="ER56" i="12"/>
  <c r="ER55" i="12"/>
  <c r="ER49" i="12"/>
  <c r="ER48" i="12"/>
  <c r="ER47" i="12"/>
  <c r="ER41" i="12"/>
  <c r="ER40" i="12"/>
  <c r="ER29" i="12"/>
  <c r="ER28" i="12"/>
  <c r="ER23" i="12"/>
  <c r="ER22" i="12"/>
  <c r="ER21" i="12"/>
  <c r="ER20" i="12"/>
  <c r="ER14" i="12"/>
  <c r="ER13" i="12"/>
  <c r="ER12" i="12"/>
  <c r="ER11" i="12"/>
  <c r="ER10" i="12"/>
  <c r="ER9" i="12"/>
  <c r="ER8" i="12"/>
  <c r="ER7" i="12"/>
  <c r="ER6" i="12"/>
  <c r="ER5" i="12"/>
  <c r="ER4" i="12"/>
  <c r="ER116" i="12" l="1"/>
  <c r="ER42" i="12"/>
  <c r="ER181" i="12"/>
  <c r="ER212" i="12"/>
  <c r="ER24" i="12"/>
  <c r="ER30" i="12"/>
  <c r="ER51" i="12"/>
  <c r="ER286" i="12"/>
  <c r="ER128" i="12"/>
  <c r="ER194" i="12"/>
  <c r="ER201" i="12"/>
  <c r="ER15" i="12"/>
  <c r="ER109" i="12"/>
  <c r="EQ258" i="12"/>
  <c r="ER83" i="12"/>
  <c r="ER92" i="12"/>
  <c r="ER101" i="12"/>
  <c r="ER142" i="12"/>
  <c r="ER154" i="12"/>
  <c r="EZ159" i="12"/>
  <c r="ER166" i="12"/>
  <c r="ER269" i="12"/>
  <c r="FC243" i="12"/>
  <c r="FA243" i="12"/>
  <c r="FE230" i="12"/>
  <c r="FB230" i="12"/>
  <c r="EW230" i="12"/>
  <c r="ER248" i="12"/>
  <c r="ER258" i="12" s="1"/>
  <c r="EV230" i="12"/>
  <c r="FD230" i="12"/>
  <c r="ES148" i="12"/>
  <c r="EZ148" i="12"/>
  <c r="ES151" i="12"/>
  <c r="EZ151" i="12"/>
  <c r="ES160" i="12"/>
  <c r="EZ160" i="12"/>
  <c r="ES164" i="12"/>
  <c r="EZ164" i="12"/>
  <c r="EZ173" i="12"/>
  <c r="ES177" i="12"/>
  <c r="EZ177" i="12"/>
  <c r="ES186" i="12"/>
  <c r="EZ186" i="12"/>
  <c r="ES190" i="12"/>
  <c r="EZ190" i="12"/>
  <c r="ES199" i="12"/>
  <c r="EZ199" i="12"/>
  <c r="ES208" i="12"/>
  <c r="EZ208" i="12"/>
  <c r="ES217" i="12"/>
  <c r="EZ217" i="12"/>
  <c r="ES221" i="12"/>
  <c r="EZ221" i="12"/>
  <c r="ES225" i="12"/>
  <c r="EZ225" i="12"/>
  <c r="ES229" i="12"/>
  <c r="EZ229" i="12"/>
  <c r="ES238" i="12"/>
  <c r="EZ238" i="12"/>
  <c r="ES242" i="12"/>
  <c r="EZ242" i="12"/>
  <c r="EZ253" i="12"/>
  <c r="ES263" i="12"/>
  <c r="EZ263" i="12"/>
  <c r="EZ267" i="12"/>
  <c r="EZ255" i="12"/>
  <c r="EZ6" i="12"/>
  <c r="EZ10" i="12"/>
  <c r="EZ14" i="12"/>
  <c r="ES23" i="12"/>
  <c r="EZ23" i="12"/>
  <c r="EZ41" i="12"/>
  <c r="EZ55" i="12"/>
  <c r="EZ59" i="12"/>
  <c r="EZ63" i="12"/>
  <c r="EZ67" i="12"/>
  <c r="EZ75" i="12"/>
  <c r="EZ79" i="12"/>
  <c r="EZ88" i="12"/>
  <c r="ES97" i="12"/>
  <c r="EZ97" i="12"/>
  <c r="EZ107" i="12"/>
  <c r="EZ115" i="12"/>
  <c r="EZ124" i="12"/>
  <c r="EZ133" i="12"/>
  <c r="EZ137" i="12"/>
  <c r="EZ147" i="12"/>
  <c r="EZ141" i="12"/>
  <c r="EZ163" i="12"/>
  <c r="EZ172" i="12"/>
  <c r="EZ176" i="12"/>
  <c r="EZ180" i="12"/>
  <c r="EZ189" i="12"/>
  <c r="EZ193" i="12"/>
  <c r="ES207" i="12"/>
  <c r="EZ207" i="12"/>
  <c r="EZ211" i="12"/>
  <c r="EZ224" i="12"/>
  <c r="EZ228" i="12"/>
  <c r="EZ237" i="12"/>
  <c r="ES241" i="12"/>
  <c r="EZ241" i="12"/>
  <c r="ES252" i="12"/>
  <c r="EZ252" i="12"/>
  <c r="EZ257" i="12"/>
  <c r="EZ266" i="12"/>
  <c r="EZ249" i="12"/>
  <c r="ES7" i="12"/>
  <c r="EZ7" i="12"/>
  <c r="EZ11" i="12"/>
  <c r="ES20" i="12"/>
  <c r="EZ20" i="12"/>
  <c r="EZ28" i="12"/>
  <c r="ES47" i="12"/>
  <c r="EZ47" i="12"/>
  <c r="ES56" i="12"/>
  <c r="EZ56" i="12"/>
  <c r="ES60" i="12"/>
  <c r="EZ60" i="12"/>
  <c r="ES64" i="12"/>
  <c r="EZ64" i="12"/>
  <c r="ES68" i="12"/>
  <c r="EZ68" i="12"/>
  <c r="ES72" i="12"/>
  <c r="EZ72" i="12"/>
  <c r="ES76" i="12"/>
  <c r="EZ76" i="12"/>
  <c r="ES80" i="12"/>
  <c r="EZ80" i="12"/>
  <c r="ES89" i="12"/>
  <c r="EZ89" i="12"/>
  <c r="ES98" i="12"/>
  <c r="EZ98" i="12"/>
  <c r="EZ284" i="12"/>
  <c r="ES121" i="12"/>
  <c r="EZ121" i="12"/>
  <c r="ES125" i="12"/>
  <c r="EZ125" i="12"/>
  <c r="ES134" i="12"/>
  <c r="EZ134" i="12"/>
  <c r="EZ138" i="12"/>
  <c r="EZ4" i="12"/>
  <c r="EZ8" i="12"/>
  <c r="EZ12" i="12"/>
  <c r="EZ21" i="12"/>
  <c r="EZ29" i="12"/>
  <c r="EZ48" i="12"/>
  <c r="EZ57" i="12"/>
  <c r="EZ61" i="12"/>
  <c r="EZ65" i="12"/>
  <c r="EZ69" i="12"/>
  <c r="EZ73" i="12"/>
  <c r="EZ77" i="12"/>
  <c r="EZ81" i="12"/>
  <c r="EZ90" i="12"/>
  <c r="EZ105" i="12"/>
  <c r="EZ285" i="12"/>
  <c r="EZ122" i="12"/>
  <c r="EZ126" i="12"/>
  <c r="EZ135" i="12"/>
  <c r="EZ139" i="12"/>
  <c r="EZ149" i="12"/>
  <c r="EZ152" i="12"/>
  <c r="ES161" i="12"/>
  <c r="EZ161" i="12"/>
  <c r="ES165" i="12"/>
  <c r="EZ165" i="12"/>
  <c r="ES174" i="12"/>
  <c r="EZ174" i="12"/>
  <c r="ES178" i="12"/>
  <c r="EZ178" i="12"/>
  <c r="EZ187" i="12"/>
  <c r="EZ191" i="12"/>
  <c r="EZ200" i="12"/>
  <c r="EZ209" i="12"/>
  <c r="EZ218" i="12"/>
  <c r="EZ222" i="12"/>
  <c r="EZ226" i="12"/>
  <c r="EZ235" i="12"/>
  <c r="EZ239" i="12"/>
  <c r="EZ250" i="12"/>
  <c r="EZ254" i="12"/>
  <c r="ES264" i="12"/>
  <c r="EZ264" i="12"/>
  <c r="ES268" i="12"/>
  <c r="EZ268" i="12"/>
  <c r="EZ5" i="12"/>
  <c r="EZ9" i="12"/>
  <c r="EZ13" i="12"/>
  <c r="EZ22" i="12"/>
  <c r="EZ40" i="12"/>
  <c r="EZ49" i="12"/>
  <c r="EZ58" i="12"/>
  <c r="EZ62" i="12"/>
  <c r="EZ66" i="12"/>
  <c r="EZ70" i="12"/>
  <c r="EZ74" i="12"/>
  <c r="EZ78" i="12"/>
  <c r="EZ82" i="12"/>
  <c r="EZ91" i="12"/>
  <c r="EZ114" i="12"/>
  <c r="EZ116" i="12" s="1"/>
  <c r="EZ123" i="12"/>
  <c r="EZ127" i="12"/>
  <c r="EZ136" i="12"/>
  <c r="EZ140" i="12"/>
  <c r="EZ150" i="12"/>
  <c r="EZ153" i="12"/>
  <c r="EZ162" i="12"/>
  <c r="EZ171" i="12"/>
  <c r="EZ175" i="12"/>
  <c r="EZ179" i="12"/>
  <c r="EZ188" i="12"/>
  <c r="EZ192" i="12"/>
  <c r="EZ206" i="12"/>
  <c r="EZ219" i="12"/>
  <c r="EZ223" i="12"/>
  <c r="EZ227" i="12"/>
  <c r="EZ236" i="12"/>
  <c r="EZ240" i="12"/>
  <c r="EZ251" i="12"/>
  <c r="EZ256" i="12"/>
  <c r="EZ265" i="12"/>
  <c r="EZ274" i="12"/>
  <c r="EZ275" i="12" s="1"/>
  <c r="ES115" i="12"/>
  <c r="ES267" i="12"/>
  <c r="ES14" i="12"/>
  <c r="ES284" i="12"/>
  <c r="ES173" i="12"/>
  <c r="ES253" i="12"/>
  <c r="ES28" i="12"/>
  <c r="ES11" i="12"/>
  <c r="ES138" i="12"/>
  <c r="ES163" i="12"/>
  <c r="ES41" i="12"/>
  <c r="ES224" i="12"/>
  <c r="ES88" i="12"/>
  <c r="ES133" i="12"/>
  <c r="ES141" i="12"/>
  <c r="EZ22" i="13"/>
  <c r="EZ23" i="13" s="1"/>
  <c r="AJ11" i="11"/>
  <c r="ES6" i="12"/>
  <c r="ES10" i="12"/>
  <c r="ES55" i="12"/>
  <c r="ES63" i="12"/>
  <c r="ES59" i="12"/>
  <c r="ES67" i="12"/>
  <c r="ES75" i="12"/>
  <c r="ES71" i="12"/>
  <c r="ES79" i="12"/>
  <c r="ES107" i="12"/>
  <c r="ES124" i="12"/>
  <c r="ES137" i="12"/>
  <c r="ES147" i="12"/>
  <c r="ES159" i="12"/>
  <c r="ES172" i="12"/>
  <c r="ES176" i="12"/>
  <c r="ES180" i="12"/>
  <c r="ES193" i="12"/>
  <c r="ES189" i="12"/>
  <c r="ES211" i="12"/>
  <c r="ES220" i="12"/>
  <c r="ES228" i="12"/>
  <c r="ES237" i="12"/>
  <c r="ES256" i="12"/>
  <c r="ES255" i="12"/>
  <c r="ES249" i="12"/>
  <c r="ES5" i="12"/>
  <c r="ES9" i="12"/>
  <c r="ES13" i="12"/>
  <c r="ES22" i="12"/>
  <c r="ES40" i="12"/>
  <c r="ES49" i="12"/>
  <c r="ES58" i="12"/>
  <c r="ES62" i="12"/>
  <c r="ES66" i="12"/>
  <c r="ES70" i="12"/>
  <c r="ES74" i="12"/>
  <c r="ES78" i="12"/>
  <c r="ES82" i="12"/>
  <c r="ES91" i="12"/>
  <c r="ES106" i="12"/>
  <c r="ES114" i="12"/>
  <c r="ES123" i="12"/>
  <c r="ES127" i="12"/>
  <c r="ES136" i="12"/>
  <c r="ES140" i="12"/>
  <c r="ES150" i="12"/>
  <c r="ES153" i="12"/>
  <c r="ES162" i="12"/>
  <c r="ES171" i="12"/>
  <c r="ES175" i="12"/>
  <c r="ES179" i="12"/>
  <c r="ES188" i="12"/>
  <c r="ES192" i="12"/>
  <c r="ES206" i="12"/>
  <c r="ES210" i="12"/>
  <c r="ES219" i="12"/>
  <c r="ES223" i="12"/>
  <c r="ES227" i="12"/>
  <c r="ES236" i="12"/>
  <c r="ES240" i="12"/>
  <c r="ES251" i="12"/>
  <c r="ES257" i="12"/>
  <c r="ES266" i="12"/>
  <c r="ES4" i="12"/>
  <c r="ES8" i="12"/>
  <c r="ES12" i="12"/>
  <c r="ES21" i="12"/>
  <c r="ES29" i="12"/>
  <c r="ES48" i="12"/>
  <c r="ES57" i="12"/>
  <c r="ES61" i="12"/>
  <c r="ES65" i="12"/>
  <c r="ES69" i="12"/>
  <c r="ES73" i="12"/>
  <c r="ES77" i="12"/>
  <c r="ES81" i="12"/>
  <c r="ES90" i="12"/>
  <c r="ES105" i="12"/>
  <c r="ES285" i="12"/>
  <c r="ES122" i="12"/>
  <c r="ES126" i="12"/>
  <c r="ES135" i="12"/>
  <c r="ES139" i="12"/>
  <c r="ES149" i="12"/>
  <c r="ES152" i="12"/>
  <c r="ES187" i="12"/>
  <c r="ES191" i="12"/>
  <c r="ES200" i="12"/>
  <c r="ES209" i="12"/>
  <c r="ES218" i="12"/>
  <c r="ES222" i="12"/>
  <c r="ES226" i="12"/>
  <c r="ES235" i="12"/>
  <c r="ES239" i="12"/>
  <c r="ES250" i="12"/>
  <c r="ES254" i="12"/>
  <c r="ES265" i="12"/>
  <c r="ES274" i="12"/>
  <c r="ES275" i="12" s="1"/>
  <c r="EZ42" i="12" l="1"/>
  <c r="ES116" i="12"/>
  <c r="ES181" i="12"/>
  <c r="ES201" i="12"/>
  <c r="EZ30" i="12"/>
  <c r="ES101" i="12"/>
  <c r="EZ269" i="12"/>
  <c r="ES109" i="12"/>
  <c r="ES30" i="12"/>
  <c r="ES83" i="12"/>
  <c r="EZ154" i="12"/>
  <c r="EZ166" i="12"/>
  <c r="ES15" i="12"/>
  <c r="ES248" i="12"/>
  <c r="ES258" i="12" s="1"/>
  <c r="ES166" i="12"/>
  <c r="ES142" i="12"/>
  <c r="EZ212" i="12"/>
  <c r="EZ15" i="12"/>
  <c r="EZ128" i="12"/>
  <c r="EZ24" i="12"/>
  <c r="EZ92" i="12"/>
  <c r="ES269" i="12"/>
  <c r="EZ201" i="12"/>
  <c r="EZ194" i="12"/>
  <c r="ES154" i="12"/>
  <c r="ES92" i="12"/>
  <c r="EZ181" i="12"/>
  <c r="ES128" i="12"/>
  <c r="EZ51" i="12"/>
  <c r="ES24" i="12"/>
  <c r="EZ142" i="12"/>
  <c r="ES194" i="12"/>
  <c r="ES212" i="12"/>
  <c r="ES42" i="12"/>
  <c r="ES286" i="12"/>
  <c r="EZ248" i="12"/>
  <c r="EZ258" i="12" s="1"/>
  <c r="EZ109" i="12"/>
  <c r="EZ286" i="12"/>
  <c r="ES51" i="12"/>
  <c r="EZ101" i="12"/>
  <c r="EZ83" i="12"/>
  <c r="EW243" i="12"/>
  <c r="FE243" i="12"/>
  <c r="EV243" i="12"/>
  <c r="FB243" i="12"/>
  <c r="BA230" i="12"/>
  <c r="BR230" i="12"/>
  <c r="FD243" i="12"/>
  <c r="CW230" i="12"/>
  <c r="BV230" i="12"/>
  <c r="P230" i="12"/>
  <c r="DQ230" i="12"/>
  <c r="AD230" i="12"/>
  <c r="CH230" i="12"/>
  <c r="FF230" i="12"/>
  <c r="BW230" i="12"/>
  <c r="EU230" i="12"/>
  <c r="EK230" i="12"/>
  <c r="T230" i="12"/>
  <c r="AS230" i="12"/>
  <c r="DX230" i="12"/>
  <c r="BX230" i="12"/>
  <c r="DW230" i="12"/>
  <c r="BI230" i="12"/>
  <c r="W230" i="12"/>
  <c r="AT230" i="12"/>
  <c r="CQ230" i="12"/>
  <c r="EP230" i="12"/>
  <c r="Y230" i="12"/>
  <c r="CF230" i="12"/>
  <c r="CK230" i="12"/>
  <c r="I230" i="12"/>
  <c r="CC230" i="12"/>
  <c r="AI8" i="11"/>
  <c r="AI7" i="11"/>
  <c r="EK256" i="12"/>
  <c r="EK255" i="12"/>
  <c r="EK249" i="12"/>
  <c r="EK248" i="12"/>
  <c r="EK258" i="12" l="1"/>
  <c r="CC243" i="12"/>
  <c r="CQ243" i="12"/>
  <c r="AT243" i="12"/>
  <c r="BX243" i="12"/>
  <c r="T243" i="12"/>
  <c r="AD243" i="12"/>
  <c r="BR243" i="12"/>
  <c r="EK243" i="12"/>
  <c r="BV243" i="12"/>
  <c r="CW243" i="12"/>
  <c r="CF243" i="12"/>
  <c r="BI243" i="12"/>
  <c r="AS243" i="12"/>
  <c r="EU243" i="12"/>
  <c r="DX243" i="12"/>
  <c r="CH243" i="12"/>
  <c r="DW243" i="12"/>
  <c r="BW243" i="12"/>
  <c r="CK243" i="12"/>
  <c r="W243" i="12"/>
  <c r="G230" i="12"/>
  <c r="AH230" i="12"/>
  <c r="AL230" i="12"/>
  <c r="K230" i="12"/>
  <c r="CL230" i="12"/>
  <c r="BM230" i="12"/>
  <c r="EJ230" i="12"/>
  <c r="EE230" i="12"/>
  <c r="EX230" i="12"/>
  <c r="X230" i="12"/>
  <c r="CR230" i="12"/>
  <c r="BL230" i="12"/>
  <c r="F230" i="12"/>
  <c r="BQ230" i="12"/>
  <c r="DQ243" i="12"/>
  <c r="I243" i="12"/>
  <c r="N230" i="12"/>
  <c r="EP243" i="12"/>
  <c r="M230" i="12"/>
  <c r="EQ230" i="12"/>
  <c r="EC230" i="12"/>
  <c r="FF243" i="12"/>
  <c r="BS230" i="12"/>
  <c r="AP230" i="12"/>
  <c r="AO230" i="12"/>
  <c r="EI230" i="12"/>
  <c r="AC230" i="12"/>
  <c r="CU230" i="12"/>
  <c r="EY230" i="12"/>
  <c r="AW230" i="12"/>
  <c r="CM230" i="12"/>
  <c r="H230" i="12"/>
  <c r="Z230" i="12"/>
  <c r="Q230" i="12"/>
  <c r="CB230" i="12"/>
  <c r="AR230" i="12"/>
  <c r="AJ230" i="12"/>
  <c r="CV230" i="12"/>
  <c r="DR230" i="12"/>
  <c r="S230" i="12"/>
  <c r="O230" i="12"/>
  <c r="AN230" i="12"/>
  <c r="AB230" i="12"/>
  <c r="BA243" i="12"/>
  <c r="AX230" i="12"/>
  <c r="EO230" i="12"/>
  <c r="ED230" i="12"/>
  <c r="DY230" i="12"/>
  <c r="AF230" i="12"/>
  <c r="CA230" i="12"/>
  <c r="AK230" i="12"/>
  <c r="Y243" i="12"/>
  <c r="P243" i="12"/>
  <c r="O243" i="12" l="1"/>
  <c r="EX243" i="12"/>
  <c r="AH243" i="12"/>
  <c r="EO243" i="12"/>
  <c r="S243" i="12"/>
  <c r="Q243" i="12"/>
  <c r="CM243" i="12"/>
  <c r="AC243" i="12"/>
  <c r="BS243" i="12"/>
  <c r="X243" i="12"/>
  <c r="ED243" i="12"/>
  <c r="EC243" i="12"/>
  <c r="AN243" i="12"/>
  <c r="DR243" i="12"/>
  <c r="EI243" i="12"/>
  <c r="DY243" i="12"/>
  <c r="CV243" i="12"/>
  <c r="EY243" i="12"/>
  <c r="M243" i="12"/>
  <c r="N243" i="12"/>
  <c r="AK243" i="12"/>
  <c r="AB243" i="12"/>
  <c r="CB243" i="12"/>
  <c r="EQ243" i="12"/>
  <c r="BL243" i="12"/>
  <c r="CL243" i="12"/>
  <c r="AF243" i="12"/>
  <c r="AX243" i="12"/>
  <c r="CU243" i="12"/>
  <c r="AO243" i="12"/>
  <c r="CR243" i="12"/>
  <c r="CP230" i="12"/>
  <c r="ER230" i="12"/>
  <c r="AP243" i="12"/>
  <c r="CG230" i="12"/>
  <c r="BQ243" i="12"/>
  <c r="EJ243" i="12"/>
  <c r="K243" i="12"/>
  <c r="BN230" i="12"/>
  <c r="AR243" i="12"/>
  <c r="Z243" i="12"/>
  <c r="AW243" i="12"/>
  <c r="BH230" i="12"/>
  <c r="F243" i="12"/>
  <c r="AG230" i="12"/>
  <c r="EE243" i="12"/>
  <c r="BM243" i="12"/>
  <c r="AL243" i="12"/>
  <c r="G243" i="12"/>
  <c r="R230" i="12"/>
  <c r="CA243" i="12"/>
  <c r="H243" i="12"/>
  <c r="AJ243" i="12"/>
  <c r="ES22" i="13"/>
  <c r="AI10" i="11" s="1"/>
  <c r="EU14" i="13"/>
  <c r="AI9" i="11" s="1"/>
  <c r="EU6" i="13"/>
  <c r="AI6" i="11" s="1"/>
  <c r="EL274" i="12"/>
  <c r="EL275" i="12" s="1"/>
  <c r="EL268" i="12"/>
  <c r="EL267" i="12"/>
  <c r="EL266" i="12"/>
  <c r="EL265" i="12"/>
  <c r="EL264" i="12"/>
  <c r="EL263" i="12"/>
  <c r="EL257" i="12"/>
  <c r="ET257" i="12" s="1"/>
  <c r="EL256" i="12"/>
  <c r="EL255" i="12"/>
  <c r="EL254" i="12"/>
  <c r="EL253" i="12"/>
  <c r="EL252" i="12"/>
  <c r="EL251" i="12"/>
  <c r="EL250" i="12"/>
  <c r="EL249" i="12"/>
  <c r="EL248" i="12"/>
  <c r="EL242" i="12"/>
  <c r="EL241" i="12"/>
  <c r="EL240" i="12"/>
  <c r="EL239" i="12"/>
  <c r="EL238" i="12"/>
  <c r="EL237" i="12"/>
  <c r="EL236" i="12"/>
  <c r="EL235" i="12"/>
  <c r="EL229" i="12"/>
  <c r="EL228" i="12"/>
  <c r="EL227" i="12"/>
  <c r="EL226" i="12"/>
  <c r="EL225" i="12"/>
  <c r="EL224" i="12"/>
  <c r="EL223" i="12"/>
  <c r="EL222" i="12"/>
  <c r="EL221" i="12"/>
  <c r="EL220" i="12"/>
  <c r="EL219" i="12"/>
  <c r="EL218" i="12"/>
  <c r="EL217" i="12"/>
  <c r="EL211" i="12"/>
  <c r="EL210" i="12"/>
  <c r="ET210" i="12" s="1"/>
  <c r="EL209" i="12"/>
  <c r="EL208" i="12"/>
  <c r="EL207" i="12"/>
  <c r="EL206" i="12"/>
  <c r="EL200" i="12"/>
  <c r="EL199" i="12"/>
  <c r="EL193" i="12"/>
  <c r="EL192" i="12"/>
  <c r="EL191" i="12"/>
  <c r="EL190" i="12"/>
  <c r="EL189" i="12"/>
  <c r="EL188" i="12"/>
  <c r="EL187" i="12"/>
  <c r="EL186" i="12"/>
  <c r="EL180" i="12"/>
  <c r="EL179" i="12"/>
  <c r="EL178" i="12"/>
  <c r="EL177" i="12"/>
  <c r="EL176" i="12"/>
  <c r="EL175" i="12"/>
  <c r="EL174" i="12"/>
  <c r="EL173" i="12"/>
  <c r="EL172" i="12"/>
  <c r="ET172" i="12" s="1"/>
  <c r="EL171" i="12"/>
  <c r="EL165" i="12"/>
  <c r="EL164" i="12"/>
  <c r="EL163" i="12"/>
  <c r="EL162" i="12"/>
  <c r="EL161" i="12"/>
  <c r="EL160" i="12"/>
  <c r="EL159" i="12"/>
  <c r="EL153" i="12"/>
  <c r="EL152" i="12"/>
  <c r="EL151" i="12"/>
  <c r="EL141" i="12"/>
  <c r="EL150" i="12"/>
  <c r="EL149" i="12"/>
  <c r="EL148" i="12"/>
  <c r="EL147" i="12"/>
  <c r="EL140" i="12"/>
  <c r="EL139" i="12"/>
  <c r="EL138" i="12"/>
  <c r="EL137" i="12"/>
  <c r="EL136" i="12"/>
  <c r="EL135" i="12"/>
  <c r="EL134" i="12"/>
  <c r="EL133" i="12"/>
  <c r="EL127" i="12"/>
  <c r="EL126" i="12"/>
  <c r="EL125" i="12"/>
  <c r="EL124" i="12"/>
  <c r="EL123" i="12"/>
  <c r="EL122" i="12"/>
  <c r="EL121" i="12"/>
  <c r="EL115" i="12"/>
  <c r="EL114" i="12"/>
  <c r="EL285" i="12"/>
  <c r="EL284" i="12"/>
  <c r="EL107" i="12"/>
  <c r="EL106" i="12"/>
  <c r="EL105" i="12"/>
  <c r="EL98" i="12"/>
  <c r="EL97" i="12"/>
  <c r="EL91" i="12"/>
  <c r="EL90" i="12"/>
  <c r="EL89" i="12"/>
  <c r="EL88" i="12"/>
  <c r="EL82" i="12"/>
  <c r="EL81" i="12"/>
  <c r="EL80" i="12"/>
  <c r="EL79" i="12"/>
  <c r="EL78" i="12"/>
  <c r="EL77" i="12"/>
  <c r="EL76" i="12"/>
  <c r="EL75" i="12"/>
  <c r="EL74" i="12"/>
  <c r="EL73" i="12"/>
  <c r="EL72" i="12"/>
  <c r="EL71" i="12"/>
  <c r="ET71" i="12" s="1"/>
  <c r="EL70" i="12"/>
  <c r="EL69" i="12"/>
  <c r="EL68" i="12"/>
  <c r="EL67" i="12"/>
  <c r="EL66" i="12"/>
  <c r="EL65" i="12"/>
  <c r="EL64" i="12"/>
  <c r="EL63" i="12"/>
  <c r="EL62" i="12"/>
  <c r="EL61" i="12"/>
  <c r="EL60" i="12"/>
  <c r="EL59" i="12"/>
  <c r="EL58" i="12"/>
  <c r="EL57" i="12"/>
  <c r="EL56" i="12"/>
  <c r="EL55" i="12"/>
  <c r="EL49" i="12"/>
  <c r="EL48" i="12"/>
  <c r="EL47" i="12"/>
  <c r="EL41" i="12"/>
  <c r="EL40" i="12"/>
  <c r="EL29" i="12"/>
  <c r="EL28" i="12"/>
  <c r="EL23" i="12"/>
  <c r="EL22" i="12"/>
  <c r="EL21" i="12"/>
  <c r="EL20" i="12"/>
  <c r="EL14" i="12"/>
  <c r="EL13" i="12"/>
  <c r="EL12" i="12"/>
  <c r="EL11" i="12"/>
  <c r="EL10" i="12"/>
  <c r="EL9" i="12"/>
  <c r="EL8" i="12"/>
  <c r="EL7" i="12"/>
  <c r="EL6" i="12"/>
  <c r="EL5" i="12"/>
  <c r="EL4" i="12"/>
  <c r="EL101" i="12" l="1"/>
  <c r="EL83" i="12"/>
  <c r="EL92" i="12"/>
  <c r="EL142" i="12"/>
  <c r="EL154" i="12"/>
  <c r="EL166" i="12"/>
  <c r="EL269" i="12"/>
  <c r="EL15" i="12"/>
  <c r="EL258" i="12"/>
  <c r="EL42" i="12"/>
  <c r="EL116" i="12"/>
  <c r="ET171" i="12"/>
  <c r="EL181" i="12"/>
  <c r="EL212" i="12"/>
  <c r="EL24" i="12"/>
  <c r="EL30" i="12"/>
  <c r="EL51" i="12"/>
  <c r="EL286" i="12"/>
  <c r="EL128" i="12"/>
  <c r="EL194" i="12"/>
  <c r="EL201" i="12"/>
  <c r="EL109" i="12"/>
  <c r="BH243" i="12"/>
  <c r="ER243" i="12"/>
  <c r="CP243" i="12"/>
  <c r="AG243" i="12"/>
  <c r="R243" i="12"/>
  <c r="BN243" i="12"/>
  <c r="HC230" i="12"/>
  <c r="EZ230" i="12"/>
  <c r="ES230" i="12"/>
  <c r="CG243" i="12"/>
  <c r="EM4" i="12"/>
  <c r="ET4" i="12"/>
  <c r="EM12" i="12"/>
  <c r="ET12" i="12"/>
  <c r="EM29" i="12"/>
  <c r="ET29" i="12"/>
  <c r="EM57" i="12"/>
  <c r="ET57" i="12"/>
  <c r="EM65" i="12"/>
  <c r="ET65" i="12"/>
  <c r="EM73" i="12"/>
  <c r="ET73" i="12"/>
  <c r="EM77" i="12"/>
  <c r="ET77" i="12"/>
  <c r="EM90" i="12"/>
  <c r="ET90" i="12"/>
  <c r="EM285" i="12"/>
  <c r="ET285" i="12"/>
  <c r="EM126" i="12"/>
  <c r="ET126" i="12"/>
  <c r="EM139" i="12"/>
  <c r="ET139" i="12"/>
  <c r="EM152" i="12"/>
  <c r="ET152" i="12"/>
  <c r="EM165" i="12"/>
  <c r="ET165" i="12"/>
  <c r="EM178" i="12"/>
  <c r="ET178" i="12"/>
  <c r="EM191" i="12"/>
  <c r="ET191" i="12"/>
  <c r="EM209" i="12"/>
  <c r="ET209" i="12"/>
  <c r="EM218" i="12"/>
  <c r="ET218" i="12"/>
  <c r="EM226" i="12"/>
  <c r="ET226" i="12"/>
  <c r="EM239" i="12"/>
  <c r="ET239" i="12"/>
  <c r="EM252" i="12"/>
  <c r="ET252" i="12"/>
  <c r="EM274" i="12"/>
  <c r="EM275" i="12" s="1"/>
  <c r="ET274" i="12"/>
  <c r="ET275" i="12" s="1"/>
  <c r="EM5" i="12"/>
  <c r="ET5" i="12"/>
  <c r="EM9" i="12"/>
  <c r="ET9" i="12"/>
  <c r="EM22" i="12"/>
  <c r="ET22" i="12"/>
  <c r="EM49" i="12"/>
  <c r="ET49" i="12"/>
  <c r="EM62" i="12"/>
  <c r="ET62" i="12"/>
  <c r="EM70" i="12"/>
  <c r="ET70" i="12"/>
  <c r="EM78" i="12"/>
  <c r="ET78" i="12"/>
  <c r="EM82" i="12"/>
  <c r="ET82" i="12"/>
  <c r="EM114" i="12"/>
  <c r="ET114" i="12"/>
  <c r="EM127" i="12"/>
  <c r="ET127" i="12"/>
  <c r="EM140" i="12"/>
  <c r="ET140" i="12"/>
  <c r="EM153" i="12"/>
  <c r="ET153" i="12"/>
  <c r="EM179" i="12"/>
  <c r="ET179" i="12"/>
  <c r="EM192" i="12"/>
  <c r="ET192" i="12"/>
  <c r="EM219" i="12"/>
  <c r="ET219" i="12"/>
  <c r="EM227" i="12"/>
  <c r="ET227" i="12"/>
  <c r="EM236" i="12"/>
  <c r="ET236" i="12"/>
  <c r="EM240" i="12"/>
  <c r="ET240" i="12"/>
  <c r="EM249" i="12"/>
  <c r="ET249" i="12"/>
  <c r="EM253" i="12"/>
  <c r="ET253" i="12"/>
  <c r="EM266" i="12"/>
  <c r="ET266" i="12"/>
  <c r="EM6" i="12"/>
  <c r="ET6" i="12"/>
  <c r="EM10" i="12"/>
  <c r="ET10" i="12"/>
  <c r="EM14" i="12"/>
  <c r="ET14" i="12"/>
  <c r="EM23" i="12"/>
  <c r="ET23" i="12"/>
  <c r="EM41" i="12"/>
  <c r="ET41" i="12"/>
  <c r="EM55" i="12"/>
  <c r="ET55" i="12"/>
  <c r="EM59" i="12"/>
  <c r="ET59" i="12"/>
  <c r="EM63" i="12"/>
  <c r="ET63" i="12"/>
  <c r="EM67" i="12"/>
  <c r="ET67" i="12"/>
  <c r="EM71" i="12"/>
  <c r="EM75" i="12"/>
  <c r="ET75" i="12"/>
  <c r="EM79" i="12"/>
  <c r="ET79" i="12"/>
  <c r="EM88" i="12"/>
  <c r="ET88" i="12"/>
  <c r="EM97" i="12"/>
  <c r="ET97" i="12"/>
  <c r="EM107" i="12"/>
  <c r="ET107" i="12"/>
  <c r="EM115" i="12"/>
  <c r="ET115" i="12"/>
  <c r="EM124" i="12"/>
  <c r="ET124" i="12"/>
  <c r="EM133" i="12"/>
  <c r="ET133" i="12"/>
  <c r="EM137" i="12"/>
  <c r="ET137" i="12"/>
  <c r="EM147" i="12"/>
  <c r="ET147" i="12"/>
  <c r="EM141" i="12"/>
  <c r="ET141" i="12"/>
  <c r="EM159" i="12"/>
  <c r="ET159" i="12"/>
  <c r="EM163" i="12"/>
  <c r="ET163" i="12"/>
  <c r="EM176" i="12"/>
  <c r="ET176" i="12"/>
  <c r="EM180" i="12"/>
  <c r="ET180" i="12"/>
  <c r="EM189" i="12"/>
  <c r="ET189" i="12"/>
  <c r="EM193" i="12"/>
  <c r="ET193" i="12"/>
  <c r="EM207" i="12"/>
  <c r="ET207" i="12"/>
  <c r="EM211" i="12"/>
  <c r="ET211" i="12"/>
  <c r="EM220" i="12"/>
  <c r="ET220" i="12"/>
  <c r="EM224" i="12"/>
  <c r="ET224" i="12"/>
  <c r="EM228" i="12"/>
  <c r="ET228" i="12"/>
  <c r="EM237" i="12"/>
  <c r="ET237" i="12"/>
  <c r="EM241" i="12"/>
  <c r="ET241" i="12"/>
  <c r="EM250" i="12"/>
  <c r="ET250" i="12"/>
  <c r="EM254" i="12"/>
  <c r="ET254" i="12"/>
  <c r="EM263" i="12"/>
  <c r="ET263" i="12"/>
  <c r="EM267" i="12"/>
  <c r="ET267" i="12"/>
  <c r="EM8" i="12"/>
  <c r="ET8" i="12"/>
  <c r="EM21" i="12"/>
  <c r="ET21" i="12"/>
  <c r="EM48" i="12"/>
  <c r="ET48" i="12"/>
  <c r="EM61" i="12"/>
  <c r="ET61" i="12"/>
  <c r="EM69" i="12"/>
  <c r="ET69" i="12"/>
  <c r="EM81" i="12"/>
  <c r="ET81" i="12"/>
  <c r="EM105" i="12"/>
  <c r="ET105" i="12"/>
  <c r="EM122" i="12"/>
  <c r="ET122" i="12"/>
  <c r="EM135" i="12"/>
  <c r="ET135" i="12"/>
  <c r="EM149" i="12"/>
  <c r="ET149" i="12"/>
  <c r="EM161" i="12"/>
  <c r="ET161" i="12"/>
  <c r="EM174" i="12"/>
  <c r="ET174" i="12"/>
  <c r="EM187" i="12"/>
  <c r="ET187" i="12"/>
  <c r="EM200" i="12"/>
  <c r="ET200" i="12"/>
  <c r="EM222" i="12"/>
  <c r="ET222" i="12"/>
  <c r="EM235" i="12"/>
  <c r="ET235" i="12"/>
  <c r="EM248" i="12"/>
  <c r="ET248" i="12"/>
  <c r="EM256" i="12"/>
  <c r="ET256" i="12"/>
  <c r="EM265" i="12"/>
  <c r="ET265" i="12"/>
  <c r="EM13" i="12"/>
  <c r="ET13" i="12"/>
  <c r="EM40" i="12"/>
  <c r="ET40" i="12"/>
  <c r="EM58" i="12"/>
  <c r="ET58" i="12"/>
  <c r="EM66" i="12"/>
  <c r="ET66" i="12"/>
  <c r="EM74" i="12"/>
  <c r="ET74" i="12"/>
  <c r="EM91" i="12"/>
  <c r="ET91" i="12"/>
  <c r="EM106" i="12"/>
  <c r="ET106" i="12"/>
  <c r="EM123" i="12"/>
  <c r="ET123" i="12"/>
  <c r="EM136" i="12"/>
  <c r="ET136" i="12"/>
  <c r="EM150" i="12"/>
  <c r="ET150" i="12"/>
  <c r="EM162" i="12"/>
  <c r="ET162" i="12"/>
  <c r="EM175" i="12"/>
  <c r="ET175" i="12"/>
  <c r="EM188" i="12"/>
  <c r="ET188" i="12"/>
  <c r="EM206" i="12"/>
  <c r="ET206" i="12"/>
  <c r="EM223" i="12"/>
  <c r="ET223" i="12"/>
  <c r="EM7" i="12"/>
  <c r="ET7" i="12"/>
  <c r="EM11" i="12"/>
  <c r="ET11" i="12"/>
  <c r="EM20" i="12"/>
  <c r="ET20" i="12"/>
  <c r="EM28" i="12"/>
  <c r="EM30" i="12" s="1"/>
  <c r="ET28" i="12"/>
  <c r="EM47" i="12"/>
  <c r="ET47" i="12"/>
  <c r="EM56" i="12"/>
  <c r="ET56" i="12"/>
  <c r="EM60" i="12"/>
  <c r="ET60" i="12"/>
  <c r="EM64" i="12"/>
  <c r="ET64" i="12"/>
  <c r="EM68" i="12"/>
  <c r="ET68" i="12"/>
  <c r="EM72" i="12"/>
  <c r="ET72" i="12"/>
  <c r="EM76" i="12"/>
  <c r="ET76" i="12"/>
  <c r="EM80" i="12"/>
  <c r="ET80" i="12"/>
  <c r="EM89" i="12"/>
  <c r="ET89" i="12"/>
  <c r="EM98" i="12"/>
  <c r="ET98" i="12"/>
  <c r="EM284" i="12"/>
  <c r="ET284" i="12"/>
  <c r="EM121" i="12"/>
  <c r="ET121" i="12"/>
  <c r="EM125" i="12"/>
  <c r="ET125" i="12"/>
  <c r="EM134" i="12"/>
  <c r="ET134" i="12"/>
  <c r="EM138" i="12"/>
  <c r="ET138" i="12"/>
  <c r="EM148" i="12"/>
  <c r="ET148" i="12"/>
  <c r="EM151" i="12"/>
  <c r="ET151" i="12"/>
  <c r="EM160" i="12"/>
  <c r="ET160" i="12"/>
  <c r="EM164" i="12"/>
  <c r="ET164" i="12"/>
  <c r="EM173" i="12"/>
  <c r="ET173" i="12"/>
  <c r="EM177" i="12"/>
  <c r="ET177" i="12"/>
  <c r="EM186" i="12"/>
  <c r="ET186" i="12"/>
  <c r="EM190" i="12"/>
  <c r="ET190" i="12"/>
  <c r="EM199" i="12"/>
  <c r="EM201" i="12" s="1"/>
  <c r="ET199" i="12"/>
  <c r="ET201" i="12" s="1"/>
  <c r="EM208" i="12"/>
  <c r="ET208" i="12"/>
  <c r="EM217" i="12"/>
  <c r="ET217" i="12"/>
  <c r="EM221" i="12"/>
  <c r="ET221" i="12"/>
  <c r="EM225" i="12"/>
  <c r="ET225" i="12"/>
  <c r="EM229" i="12"/>
  <c r="ET229" i="12"/>
  <c r="EM238" i="12"/>
  <c r="ET238" i="12"/>
  <c r="EM242" i="12"/>
  <c r="ET242" i="12"/>
  <c r="EM251" i="12"/>
  <c r="ET251" i="12"/>
  <c r="EM255" i="12"/>
  <c r="ET255" i="12"/>
  <c r="EM264" i="12"/>
  <c r="ET264" i="12"/>
  <c r="EM268" i="12"/>
  <c r="ET268" i="12"/>
  <c r="EM171" i="12"/>
  <c r="EM210" i="12"/>
  <c r="EM257" i="12"/>
  <c r="EM172" i="12"/>
  <c r="EU22" i="13"/>
  <c r="EU23" i="13" s="1"/>
  <c r="AI11" i="11"/>
  <c r="EM286" i="12" l="1"/>
  <c r="EM42" i="12"/>
  <c r="EM128" i="12"/>
  <c r="EM181" i="12"/>
  <c r="EM51" i="12"/>
  <c r="EM24" i="12"/>
  <c r="ET116" i="12"/>
  <c r="EM212" i="12"/>
  <c r="EM92" i="12"/>
  <c r="ET83" i="12"/>
  <c r="ET194" i="12"/>
  <c r="ET128" i="12"/>
  <c r="ET30" i="12"/>
  <c r="ET258" i="12"/>
  <c r="ET109" i="12"/>
  <c r="ET166" i="12"/>
  <c r="ET154" i="12"/>
  <c r="ET142" i="12"/>
  <c r="ET101" i="12"/>
  <c r="EM83" i="12"/>
  <c r="EM116" i="12"/>
  <c r="EM101" i="12"/>
  <c r="EM194" i="12"/>
  <c r="EM258" i="12"/>
  <c r="EM109" i="12"/>
  <c r="EM166" i="12"/>
  <c r="EM154" i="12"/>
  <c r="EM142" i="12"/>
  <c r="ET15" i="12"/>
  <c r="ET181" i="12"/>
  <c r="ET286" i="12"/>
  <c r="ET51" i="12"/>
  <c r="ET24" i="12"/>
  <c r="ET212" i="12"/>
  <c r="ET42" i="12"/>
  <c r="ET269" i="12"/>
  <c r="ET92" i="12"/>
  <c r="EM15" i="12"/>
  <c r="EM269" i="12"/>
  <c r="EZ243" i="12"/>
  <c r="ES243" i="12"/>
  <c r="HC243" i="12"/>
  <c r="EE249" i="12" l="1"/>
  <c r="EE248" i="12"/>
  <c r="EE256" i="12"/>
  <c r="EE255" i="12"/>
  <c r="AH8" i="11"/>
  <c r="AH7" i="11"/>
  <c r="EN19" i="13"/>
  <c r="EE258" i="12" l="1"/>
  <c r="EN22" i="13"/>
  <c r="AH10" i="11" s="1"/>
  <c r="EP14" i="13"/>
  <c r="AH9" i="11" s="1"/>
  <c r="EP6" i="13"/>
  <c r="EF274" i="12"/>
  <c r="EF268" i="12"/>
  <c r="EF267" i="12"/>
  <c r="EF266" i="12"/>
  <c r="EN266" i="12" s="1"/>
  <c r="EF265" i="12"/>
  <c r="EN265" i="12" s="1"/>
  <c r="EF264" i="12"/>
  <c r="EF263" i="12"/>
  <c r="EF257" i="12"/>
  <c r="EN257" i="12" s="1"/>
  <c r="EF256" i="12"/>
  <c r="EN256" i="12" s="1"/>
  <c r="EF255" i="12"/>
  <c r="EN255" i="12" s="1"/>
  <c r="EF254" i="12"/>
  <c r="EN254" i="12" s="1"/>
  <c r="EF253" i="12"/>
  <c r="EF252" i="12"/>
  <c r="EF251" i="12"/>
  <c r="EN251" i="12" s="1"/>
  <c r="EF250" i="12"/>
  <c r="EN250" i="12" s="1"/>
  <c r="EF249" i="12"/>
  <c r="EN249" i="12" s="1"/>
  <c r="EF248" i="12"/>
  <c r="EF242" i="12"/>
  <c r="EF241" i="12"/>
  <c r="EF240" i="12"/>
  <c r="EN240" i="12" s="1"/>
  <c r="EF239" i="12"/>
  <c r="EN239" i="12" s="1"/>
  <c r="EF238" i="12"/>
  <c r="EF237" i="12"/>
  <c r="EN237" i="12" s="1"/>
  <c r="EF236" i="12"/>
  <c r="EN236" i="12" s="1"/>
  <c r="EF235" i="12"/>
  <c r="EN235" i="12" s="1"/>
  <c r="EF229" i="12"/>
  <c r="EF228" i="12"/>
  <c r="EF227" i="12"/>
  <c r="EN227" i="12" s="1"/>
  <c r="EF226" i="12"/>
  <c r="EN226" i="12" s="1"/>
  <c r="EF225" i="12"/>
  <c r="EF224" i="12"/>
  <c r="EF223" i="12"/>
  <c r="EN223" i="12" s="1"/>
  <c r="EF222" i="12"/>
  <c r="EN222" i="12" s="1"/>
  <c r="EF221" i="12"/>
  <c r="EF220" i="12"/>
  <c r="EF219" i="12"/>
  <c r="EN219" i="12" s="1"/>
  <c r="EF218" i="12"/>
  <c r="EN218" i="12" s="1"/>
  <c r="EF217" i="12"/>
  <c r="EF211" i="12"/>
  <c r="EF210" i="12"/>
  <c r="EN210" i="12" s="1"/>
  <c r="EF209" i="12"/>
  <c r="EN209" i="12" s="1"/>
  <c r="EF208" i="12"/>
  <c r="EF207" i="12"/>
  <c r="EF206" i="12"/>
  <c r="EF200" i="12"/>
  <c r="EN200" i="12" s="1"/>
  <c r="EF199" i="12"/>
  <c r="EF193" i="12"/>
  <c r="EN193" i="12" s="1"/>
  <c r="EF192" i="12"/>
  <c r="EN192" i="12" s="1"/>
  <c r="EF191" i="12"/>
  <c r="EN191" i="12" s="1"/>
  <c r="EF190" i="12"/>
  <c r="EF189" i="12"/>
  <c r="EF188" i="12"/>
  <c r="EN188" i="12" s="1"/>
  <c r="EF187" i="12"/>
  <c r="EN187" i="12" s="1"/>
  <c r="EF186" i="12"/>
  <c r="EF180" i="12"/>
  <c r="EN180" i="12" s="1"/>
  <c r="EF179" i="12"/>
  <c r="EN179" i="12" s="1"/>
  <c r="EF178" i="12"/>
  <c r="EN178" i="12" s="1"/>
  <c r="EF177" i="12"/>
  <c r="EF176" i="12"/>
  <c r="EN176" i="12" s="1"/>
  <c r="EF175" i="12"/>
  <c r="EN175" i="12" s="1"/>
  <c r="EF174" i="12"/>
  <c r="EN174" i="12" s="1"/>
  <c r="EF173" i="12"/>
  <c r="EF172" i="12"/>
  <c r="EN172" i="12" s="1"/>
  <c r="EF171" i="12"/>
  <c r="EF165" i="12"/>
  <c r="EN165" i="12" s="1"/>
  <c r="EF164" i="12"/>
  <c r="EF163" i="12"/>
  <c r="EN163" i="12" s="1"/>
  <c r="EF162" i="12"/>
  <c r="EN162" i="12" s="1"/>
  <c r="EF161" i="12"/>
  <c r="EN161" i="12" s="1"/>
  <c r="EF160" i="12"/>
  <c r="EF159" i="12"/>
  <c r="EF153" i="12"/>
  <c r="EF152" i="12"/>
  <c r="EN152" i="12" s="1"/>
  <c r="EF151" i="12"/>
  <c r="EF141" i="12"/>
  <c r="EN141" i="12" s="1"/>
  <c r="EF150" i="12"/>
  <c r="EN150" i="12" s="1"/>
  <c r="EF149" i="12"/>
  <c r="EN149" i="12" s="1"/>
  <c r="EF148" i="12"/>
  <c r="EF147" i="12"/>
  <c r="EF140" i="12"/>
  <c r="EN140" i="12" s="1"/>
  <c r="EF139" i="12"/>
  <c r="EF138" i="12"/>
  <c r="EF137" i="12"/>
  <c r="EN137" i="12" s="1"/>
  <c r="EF136" i="12"/>
  <c r="EN136" i="12" s="1"/>
  <c r="EF135" i="12"/>
  <c r="EF134" i="12"/>
  <c r="EF133" i="12"/>
  <c r="EF127" i="12"/>
  <c r="EN127" i="12" s="1"/>
  <c r="EF126" i="12"/>
  <c r="EF125" i="12"/>
  <c r="EF124" i="12"/>
  <c r="EF123" i="12"/>
  <c r="EN123" i="12" s="1"/>
  <c r="EF122" i="12"/>
  <c r="EF121" i="12"/>
  <c r="EF115" i="12"/>
  <c r="EN115" i="12" s="1"/>
  <c r="EF114" i="12"/>
  <c r="EF285" i="12"/>
  <c r="EF284" i="12"/>
  <c r="EF107" i="12"/>
  <c r="EN107" i="12" s="1"/>
  <c r="EF106" i="12"/>
  <c r="EN106" i="12" s="1"/>
  <c r="EF105" i="12"/>
  <c r="EF98" i="12"/>
  <c r="EN98" i="12" s="1"/>
  <c r="EF97" i="12"/>
  <c r="EF101" i="12" s="1"/>
  <c r="EF91" i="12"/>
  <c r="EN91" i="12" s="1"/>
  <c r="EF90" i="12"/>
  <c r="EF89" i="12"/>
  <c r="EF88" i="12"/>
  <c r="EF82" i="12"/>
  <c r="EN82" i="12" s="1"/>
  <c r="EF81" i="12"/>
  <c r="EF80" i="12"/>
  <c r="EF79" i="12"/>
  <c r="EN79" i="12" s="1"/>
  <c r="EF78" i="12"/>
  <c r="EN78" i="12" s="1"/>
  <c r="EF77" i="12"/>
  <c r="EF76" i="12"/>
  <c r="EF75" i="12"/>
  <c r="EN75" i="12" s="1"/>
  <c r="EF74" i="12"/>
  <c r="EN74" i="12" s="1"/>
  <c r="EF73" i="12"/>
  <c r="EF72" i="12"/>
  <c r="EF71" i="12"/>
  <c r="EN71" i="12" s="1"/>
  <c r="EF70" i="12"/>
  <c r="EN70" i="12" s="1"/>
  <c r="EF69" i="12"/>
  <c r="EF68" i="12"/>
  <c r="EF67" i="12"/>
  <c r="EN67" i="12" s="1"/>
  <c r="EF66" i="12"/>
  <c r="EN66" i="12" s="1"/>
  <c r="EF65" i="12"/>
  <c r="EF64" i="12"/>
  <c r="EF63" i="12"/>
  <c r="EN63" i="12" s="1"/>
  <c r="EF62" i="12"/>
  <c r="EN62" i="12" s="1"/>
  <c r="EF61" i="12"/>
  <c r="EF60" i="12"/>
  <c r="EN60" i="12" s="1"/>
  <c r="EF59" i="12"/>
  <c r="EN59" i="12" s="1"/>
  <c r="EF58" i="12"/>
  <c r="EN58" i="12" s="1"/>
  <c r="EF57" i="12"/>
  <c r="EF56" i="12"/>
  <c r="EN56" i="12" s="1"/>
  <c r="EF55" i="12"/>
  <c r="EF49" i="12"/>
  <c r="EN49" i="12" s="1"/>
  <c r="EF48" i="12"/>
  <c r="EF47" i="12"/>
  <c r="EF41" i="12"/>
  <c r="EN41" i="12" s="1"/>
  <c r="EF40" i="12"/>
  <c r="EF29" i="12"/>
  <c r="EF28" i="12"/>
  <c r="EF23" i="12"/>
  <c r="EN23" i="12" s="1"/>
  <c r="EF22" i="12"/>
  <c r="EN22" i="12" s="1"/>
  <c r="EF21" i="12"/>
  <c r="EF20" i="12"/>
  <c r="EF14" i="12"/>
  <c r="EN14" i="12" s="1"/>
  <c r="EF13" i="12"/>
  <c r="EN13" i="12" s="1"/>
  <c r="EF12" i="12"/>
  <c r="EF11" i="12"/>
  <c r="EN11" i="12" s="1"/>
  <c r="EF10" i="12"/>
  <c r="EF9" i="12"/>
  <c r="EN9" i="12" s="1"/>
  <c r="EF8" i="12"/>
  <c r="EF7" i="12"/>
  <c r="EN7" i="12" s="1"/>
  <c r="EF6" i="12"/>
  <c r="EN6" i="12" s="1"/>
  <c r="EF5" i="12"/>
  <c r="EN5" i="12" s="1"/>
  <c r="EF4" i="12"/>
  <c r="EF83" i="12" l="1"/>
  <c r="EF269" i="12"/>
  <c r="EF109" i="12"/>
  <c r="EF258" i="12"/>
  <c r="EN40" i="12"/>
  <c r="EN42" i="12" s="1"/>
  <c r="EF42" i="12"/>
  <c r="EF116" i="12"/>
  <c r="EN171" i="12"/>
  <c r="EF181" i="12"/>
  <c r="EF212" i="12"/>
  <c r="EN88" i="12"/>
  <c r="EF92" i="12"/>
  <c r="EN133" i="12"/>
  <c r="EF142" i="12"/>
  <c r="EN147" i="12"/>
  <c r="EF154" i="12"/>
  <c r="EN159" i="12"/>
  <c r="EF166" i="12"/>
  <c r="EF24" i="12"/>
  <c r="EF30" i="12"/>
  <c r="EF51" i="12"/>
  <c r="EF286" i="12"/>
  <c r="EF128" i="12"/>
  <c r="EF194" i="12"/>
  <c r="EF201" i="12"/>
  <c r="EF15" i="12"/>
  <c r="EN274" i="12"/>
  <c r="EN275" i="12" s="1"/>
  <c r="EF275" i="12"/>
  <c r="EN153" i="12"/>
  <c r="EN10" i="12"/>
  <c r="ET230" i="12"/>
  <c r="EN64" i="12"/>
  <c r="EN248" i="12"/>
  <c r="EM230" i="12"/>
  <c r="EN206" i="12"/>
  <c r="EL230" i="12"/>
  <c r="EN97" i="12"/>
  <c r="EN101" i="12" s="1"/>
  <c r="EN55" i="12"/>
  <c r="EN114" i="12"/>
  <c r="EN116" i="12" s="1"/>
  <c r="EN121" i="12"/>
  <c r="EN124" i="12"/>
  <c r="EN189" i="12"/>
  <c r="EG253" i="12"/>
  <c r="EN253" i="12"/>
  <c r="EN20" i="12"/>
  <c r="EG28" i="12"/>
  <c r="EN28" i="12"/>
  <c r="EN47" i="12"/>
  <c r="EN68" i="12"/>
  <c r="EN80" i="12"/>
  <c r="EG284" i="12"/>
  <c r="EN284" i="12"/>
  <c r="EG125" i="12"/>
  <c r="EN125" i="12"/>
  <c r="EN138" i="12"/>
  <c r="EG148" i="12"/>
  <c r="EN148" i="12"/>
  <c r="EG151" i="12"/>
  <c r="EN151" i="12"/>
  <c r="EG160" i="12"/>
  <c r="EN160" i="12"/>
  <c r="EG164" i="12"/>
  <c r="EN164" i="12"/>
  <c r="EG173" i="12"/>
  <c r="EN173" i="12"/>
  <c r="EG177" i="12"/>
  <c r="EN177" i="12"/>
  <c r="EG186" i="12"/>
  <c r="EN186" i="12"/>
  <c r="EG189" i="12"/>
  <c r="EN207" i="12"/>
  <c r="EN211" i="12"/>
  <c r="EN224" i="12"/>
  <c r="EG228" i="12"/>
  <c r="EN228" i="12"/>
  <c r="EN241" i="12"/>
  <c r="EN263" i="12"/>
  <c r="EG267" i="12"/>
  <c r="EN267" i="12"/>
  <c r="EG4" i="12"/>
  <c r="EN4" i="12"/>
  <c r="EG8" i="12"/>
  <c r="EN8" i="12"/>
  <c r="EG12" i="12"/>
  <c r="EN12" i="12"/>
  <c r="EG21" i="12"/>
  <c r="EN21" i="12"/>
  <c r="EG29" i="12"/>
  <c r="EN29" i="12"/>
  <c r="EG48" i="12"/>
  <c r="EN48" i="12"/>
  <c r="EG57" i="12"/>
  <c r="EN57" i="12"/>
  <c r="EG61" i="12"/>
  <c r="EN61" i="12"/>
  <c r="EG65" i="12"/>
  <c r="EN65" i="12"/>
  <c r="EG69" i="12"/>
  <c r="EN69" i="12"/>
  <c r="EG73" i="12"/>
  <c r="EN73" i="12"/>
  <c r="EG77" i="12"/>
  <c r="EN77" i="12"/>
  <c r="EG81" i="12"/>
  <c r="EN81" i="12"/>
  <c r="EG90" i="12"/>
  <c r="EN90" i="12"/>
  <c r="EG105" i="12"/>
  <c r="EN105" i="12"/>
  <c r="EN109" i="12" s="1"/>
  <c r="EG285" i="12"/>
  <c r="EN285" i="12"/>
  <c r="EG122" i="12"/>
  <c r="EN122" i="12"/>
  <c r="EG126" i="12"/>
  <c r="EN126" i="12"/>
  <c r="EG135" i="12"/>
  <c r="EN135" i="12"/>
  <c r="EG139" i="12"/>
  <c r="EN139" i="12"/>
  <c r="EG190" i="12"/>
  <c r="EN190" i="12"/>
  <c r="EG199" i="12"/>
  <c r="EN199" i="12"/>
  <c r="EN201" i="12" s="1"/>
  <c r="EG208" i="12"/>
  <c r="EN208" i="12"/>
  <c r="EG217" i="12"/>
  <c r="EN217" i="12"/>
  <c r="EG221" i="12"/>
  <c r="EN221" i="12"/>
  <c r="EG225" i="12"/>
  <c r="EN225" i="12"/>
  <c r="EG229" i="12"/>
  <c r="EN229" i="12"/>
  <c r="EG238" i="12"/>
  <c r="EN238" i="12"/>
  <c r="EG242" i="12"/>
  <c r="EN242" i="12"/>
  <c r="EG264" i="12"/>
  <c r="EN264" i="12"/>
  <c r="EG268" i="12"/>
  <c r="EN268" i="12"/>
  <c r="EN72" i="12"/>
  <c r="EN76" i="12"/>
  <c r="EN89" i="12"/>
  <c r="EN134" i="12"/>
  <c r="EN220" i="12"/>
  <c r="EG252" i="12"/>
  <c r="EN252" i="12"/>
  <c r="EG76" i="12"/>
  <c r="EP22" i="13"/>
  <c r="EP23" i="13" s="1"/>
  <c r="AH6" i="11"/>
  <c r="EG138" i="12"/>
  <c r="EG137" i="12"/>
  <c r="EG134" i="12"/>
  <c r="EG124" i="12"/>
  <c r="EG121" i="12"/>
  <c r="EG89" i="12"/>
  <c r="EG68" i="12"/>
  <c r="EG80" i="12"/>
  <c r="EG72" i="12"/>
  <c r="EG79" i="12"/>
  <c r="EG10" i="12"/>
  <c r="EG163" i="12"/>
  <c r="EG180" i="12"/>
  <c r="EG176" i="12"/>
  <c r="EG193" i="12"/>
  <c r="EG211" i="12"/>
  <c r="EG207" i="12"/>
  <c r="EG241" i="12"/>
  <c r="EG263" i="12"/>
  <c r="EG98" i="12"/>
  <c r="EG20" i="12"/>
  <c r="EG14" i="12"/>
  <c r="EG11" i="12"/>
  <c r="EG7" i="12"/>
  <c r="EG6" i="12"/>
  <c r="EG23" i="12"/>
  <c r="EG41" i="12"/>
  <c r="EG47" i="12"/>
  <c r="EG55" i="12"/>
  <c r="EG56" i="12"/>
  <c r="EG60" i="12"/>
  <c r="EG64" i="12"/>
  <c r="EG59" i="12"/>
  <c r="EG63" i="12"/>
  <c r="EG67" i="12"/>
  <c r="EG71" i="12"/>
  <c r="EG75" i="12"/>
  <c r="EG88" i="12"/>
  <c r="EG97" i="12"/>
  <c r="EG107" i="12"/>
  <c r="EG115" i="12"/>
  <c r="EG133" i="12"/>
  <c r="EG141" i="12"/>
  <c r="EG147" i="12"/>
  <c r="EG159" i="12"/>
  <c r="EG172" i="12"/>
  <c r="EG224" i="12"/>
  <c r="EG220" i="12"/>
  <c r="EG237" i="12"/>
  <c r="EG255" i="12"/>
  <c r="EG256" i="12"/>
  <c r="EG248" i="12"/>
  <c r="EG249" i="12"/>
  <c r="EG5" i="12"/>
  <c r="EG9" i="12"/>
  <c r="EG13" i="12"/>
  <c r="EG22" i="12"/>
  <c r="EG40" i="12"/>
  <c r="EG49" i="12"/>
  <c r="EG58" i="12"/>
  <c r="EG62" i="12"/>
  <c r="EG66" i="12"/>
  <c r="EG70" i="12"/>
  <c r="EG74" i="12"/>
  <c r="EG78" i="12"/>
  <c r="EG82" i="12"/>
  <c r="EG91" i="12"/>
  <c r="EG106" i="12"/>
  <c r="EG114" i="12"/>
  <c r="EG123" i="12"/>
  <c r="EG127" i="12"/>
  <c r="EG136" i="12"/>
  <c r="EG140" i="12"/>
  <c r="EG150" i="12"/>
  <c r="EG153" i="12"/>
  <c r="EG162" i="12"/>
  <c r="EG171" i="12"/>
  <c r="EG175" i="12"/>
  <c r="EG179" i="12"/>
  <c r="EG188" i="12"/>
  <c r="EG192" i="12"/>
  <c r="EG206" i="12"/>
  <c r="EG210" i="12"/>
  <c r="EG219" i="12"/>
  <c r="EG223" i="12"/>
  <c r="EG227" i="12"/>
  <c r="EG236" i="12"/>
  <c r="EG240" i="12"/>
  <c r="EG251" i="12"/>
  <c r="EG257" i="12"/>
  <c r="EG266" i="12"/>
  <c r="EG149" i="12"/>
  <c r="EG152" i="12"/>
  <c r="EG161" i="12"/>
  <c r="EG165" i="12"/>
  <c r="EG174" i="12"/>
  <c r="EG178" i="12"/>
  <c r="EG187" i="12"/>
  <c r="EG191" i="12"/>
  <c r="EG200" i="12"/>
  <c r="EG209" i="12"/>
  <c r="EG218" i="12"/>
  <c r="EG222" i="12"/>
  <c r="EG226" i="12"/>
  <c r="EG235" i="12"/>
  <c r="EG239" i="12"/>
  <c r="EG250" i="12"/>
  <c r="EG254" i="12"/>
  <c r="EG265" i="12"/>
  <c r="EG274" i="12"/>
  <c r="EG275" i="12" s="1"/>
  <c r="DY256" i="12"/>
  <c r="DY255" i="12"/>
  <c r="DY249" i="12"/>
  <c r="DY248" i="12"/>
  <c r="AG8" i="11"/>
  <c r="AG7" i="11"/>
  <c r="EI22" i="13"/>
  <c r="AG10" i="11" s="1"/>
  <c r="EK14" i="13"/>
  <c r="AG9" i="11" s="1"/>
  <c r="EK6" i="13"/>
  <c r="AG6" i="11" s="1"/>
  <c r="EG116" i="12" l="1"/>
  <c r="EG42" i="12"/>
  <c r="EG51" i="12"/>
  <c r="EG286" i="12"/>
  <c r="EG212" i="12"/>
  <c r="EG92" i="12"/>
  <c r="EN258" i="12"/>
  <c r="EN15" i="12"/>
  <c r="EN194" i="12"/>
  <c r="EN142" i="12"/>
  <c r="EG181" i="12"/>
  <c r="EG166" i="12"/>
  <c r="EG83" i="12"/>
  <c r="EG24" i="12"/>
  <c r="EG128" i="12"/>
  <c r="EG109" i="12"/>
  <c r="EG15" i="12"/>
  <c r="EG194" i="12"/>
  <c r="EN286" i="12"/>
  <c r="EN51" i="12"/>
  <c r="EN128" i="12"/>
  <c r="EN181" i="12"/>
  <c r="EG154" i="12"/>
  <c r="DY258" i="12"/>
  <c r="EG258" i="12"/>
  <c r="EN30" i="12"/>
  <c r="EN212" i="12"/>
  <c r="EN154" i="12"/>
  <c r="EN92" i="12"/>
  <c r="EG101" i="12"/>
  <c r="EG269" i="12"/>
  <c r="EG201" i="12"/>
  <c r="EG30" i="12"/>
  <c r="EN83" i="12"/>
  <c r="EG142" i="12"/>
  <c r="EN269" i="12"/>
  <c r="EN24" i="12"/>
  <c r="EN166" i="12"/>
  <c r="EM243" i="12"/>
  <c r="ET243" i="12"/>
  <c r="EL243" i="12"/>
  <c r="EK22" i="13"/>
  <c r="EK23" i="13" s="1"/>
  <c r="AH11" i="11"/>
  <c r="AG11" i="11"/>
  <c r="DZ88" i="12"/>
  <c r="DZ89" i="12"/>
  <c r="EH89" i="12" s="1"/>
  <c r="DZ90" i="12"/>
  <c r="EH90" i="12" s="1"/>
  <c r="DZ91" i="12"/>
  <c r="EH91" i="12" s="1"/>
  <c r="DZ274" i="12"/>
  <c r="DZ275" i="12" s="1"/>
  <c r="DZ268" i="12"/>
  <c r="EH268" i="12" s="1"/>
  <c r="DZ267" i="12"/>
  <c r="EH267" i="12" s="1"/>
  <c r="DZ266" i="12"/>
  <c r="EH266" i="12" s="1"/>
  <c r="DZ265" i="12"/>
  <c r="DZ264" i="12"/>
  <c r="EH264" i="12" s="1"/>
  <c r="DZ263" i="12"/>
  <c r="DZ257" i="12"/>
  <c r="EH257" i="12" s="1"/>
  <c r="DZ256" i="12"/>
  <c r="EH256" i="12" s="1"/>
  <c r="DZ255" i="12"/>
  <c r="EH255" i="12" s="1"/>
  <c r="DZ254" i="12"/>
  <c r="EH254" i="12" s="1"/>
  <c r="DZ253" i="12"/>
  <c r="EH253" i="12" s="1"/>
  <c r="DZ252" i="12"/>
  <c r="EH252" i="12" s="1"/>
  <c r="DZ251" i="12"/>
  <c r="EH251" i="12" s="1"/>
  <c r="DZ250" i="12"/>
  <c r="EH250" i="12" s="1"/>
  <c r="DZ249" i="12"/>
  <c r="EH249" i="12" s="1"/>
  <c r="DZ248" i="12"/>
  <c r="DZ242" i="12"/>
  <c r="DZ241" i="12"/>
  <c r="DZ240" i="12"/>
  <c r="EH240" i="12" s="1"/>
  <c r="DZ239" i="12"/>
  <c r="DZ238" i="12"/>
  <c r="DZ237" i="12"/>
  <c r="EH237" i="12" s="1"/>
  <c r="DZ236" i="12"/>
  <c r="EH236" i="12" s="1"/>
  <c r="DZ235" i="12"/>
  <c r="EH235" i="12" s="1"/>
  <c r="DZ229" i="12"/>
  <c r="DZ228" i="12"/>
  <c r="EH228" i="12" s="1"/>
  <c r="DZ227" i="12"/>
  <c r="EH227" i="12" s="1"/>
  <c r="DZ226" i="12"/>
  <c r="EH226" i="12" s="1"/>
  <c r="DZ225" i="12"/>
  <c r="DZ224" i="12"/>
  <c r="EH224" i="12" s="1"/>
  <c r="DZ223" i="12"/>
  <c r="EH223" i="12" s="1"/>
  <c r="DZ222" i="12"/>
  <c r="EH222" i="12" s="1"/>
  <c r="DZ221" i="12"/>
  <c r="DZ220" i="12"/>
  <c r="EH220" i="12" s="1"/>
  <c r="DZ219" i="12"/>
  <c r="EH219" i="12" s="1"/>
  <c r="DZ218" i="12"/>
  <c r="EH218" i="12" s="1"/>
  <c r="DZ217" i="12"/>
  <c r="DZ211" i="12"/>
  <c r="EH211" i="12" s="1"/>
  <c r="DZ210" i="12"/>
  <c r="EH210" i="12" s="1"/>
  <c r="DZ209" i="12"/>
  <c r="DZ208" i="12"/>
  <c r="EH208" i="12" s="1"/>
  <c r="DZ207" i="12"/>
  <c r="EH207" i="12" s="1"/>
  <c r="DZ206" i="12"/>
  <c r="DZ200" i="12"/>
  <c r="EH200" i="12" s="1"/>
  <c r="DZ199" i="12"/>
  <c r="DZ193" i="12"/>
  <c r="EH193" i="12" s="1"/>
  <c r="DZ192" i="12"/>
  <c r="EH192" i="12" s="1"/>
  <c r="DZ191" i="12"/>
  <c r="EH191" i="12" s="1"/>
  <c r="DZ190" i="12"/>
  <c r="EH190" i="12" s="1"/>
  <c r="DZ189" i="12"/>
  <c r="EH189" i="12" s="1"/>
  <c r="DZ188" i="12"/>
  <c r="EH188" i="12" s="1"/>
  <c r="DZ187" i="12"/>
  <c r="EH187" i="12" s="1"/>
  <c r="DZ186" i="12"/>
  <c r="DZ180" i="12"/>
  <c r="EH180" i="12" s="1"/>
  <c r="DZ179" i="12"/>
  <c r="EH179" i="12" s="1"/>
  <c r="DZ178" i="12"/>
  <c r="EH178" i="12" s="1"/>
  <c r="DZ177" i="12"/>
  <c r="EH177" i="12" s="1"/>
  <c r="DZ176" i="12"/>
  <c r="EH176" i="12" s="1"/>
  <c r="DZ175" i="12"/>
  <c r="EH175" i="12" s="1"/>
  <c r="DZ174" i="12"/>
  <c r="EH174" i="12" s="1"/>
  <c r="DZ173" i="12"/>
  <c r="DZ172" i="12"/>
  <c r="EH172" i="12" s="1"/>
  <c r="DZ171" i="12"/>
  <c r="DZ165" i="12"/>
  <c r="EH165" i="12" s="1"/>
  <c r="DZ164" i="12"/>
  <c r="EH164" i="12" s="1"/>
  <c r="DZ163" i="12"/>
  <c r="EH163" i="12" s="1"/>
  <c r="DZ162" i="12"/>
  <c r="EH162" i="12" s="1"/>
  <c r="DZ161" i="12"/>
  <c r="EH161" i="12" s="1"/>
  <c r="DZ160" i="12"/>
  <c r="EH160" i="12" s="1"/>
  <c r="DZ159" i="12"/>
  <c r="DZ153" i="12"/>
  <c r="DZ152" i="12"/>
  <c r="DZ151" i="12"/>
  <c r="EH151" i="12" s="1"/>
  <c r="DZ141" i="12"/>
  <c r="EH141" i="12" s="1"/>
  <c r="DZ150" i="12"/>
  <c r="EH150" i="12" s="1"/>
  <c r="DZ149" i="12"/>
  <c r="EH149" i="12" s="1"/>
  <c r="DZ148" i="12"/>
  <c r="DZ147" i="12"/>
  <c r="DZ140" i="12"/>
  <c r="EH140" i="12" s="1"/>
  <c r="DZ139" i="12"/>
  <c r="EH139" i="12" s="1"/>
  <c r="DZ138" i="12"/>
  <c r="DZ137" i="12"/>
  <c r="DZ136" i="12"/>
  <c r="EH136" i="12" s="1"/>
  <c r="DZ135" i="12"/>
  <c r="EH135" i="12" s="1"/>
  <c r="DZ134" i="12"/>
  <c r="EH134" i="12" s="1"/>
  <c r="DZ133" i="12"/>
  <c r="DZ127" i="12"/>
  <c r="DZ126" i="12"/>
  <c r="DZ125" i="12"/>
  <c r="EH125" i="12" s="1"/>
  <c r="DZ124" i="12"/>
  <c r="EH124" i="12" s="1"/>
  <c r="DZ123" i="12"/>
  <c r="EH123" i="12" s="1"/>
  <c r="DZ122" i="12"/>
  <c r="EH122" i="12" s="1"/>
  <c r="DZ121" i="12"/>
  <c r="DZ115" i="12"/>
  <c r="EH115" i="12" s="1"/>
  <c r="DZ114" i="12"/>
  <c r="DZ285" i="12"/>
  <c r="EH285" i="12" s="1"/>
  <c r="DZ284" i="12"/>
  <c r="DZ107" i="12"/>
  <c r="EH107" i="12" s="1"/>
  <c r="DZ106" i="12"/>
  <c r="EH106" i="12" s="1"/>
  <c r="DZ105" i="12"/>
  <c r="DZ98" i="12"/>
  <c r="EH98" i="12" s="1"/>
  <c r="DZ97" i="12"/>
  <c r="DZ82" i="12"/>
  <c r="EH82" i="12" s="1"/>
  <c r="DZ81" i="12"/>
  <c r="EH81" i="12" s="1"/>
  <c r="DZ80" i="12"/>
  <c r="DZ79" i="12"/>
  <c r="EH79" i="12" s="1"/>
  <c r="DZ78" i="12"/>
  <c r="EH78" i="12" s="1"/>
  <c r="DZ77" i="12"/>
  <c r="EH77" i="12" s="1"/>
  <c r="DZ76" i="12"/>
  <c r="EH76" i="12" s="1"/>
  <c r="DZ75" i="12"/>
  <c r="EH75" i="12" s="1"/>
  <c r="DZ74" i="12"/>
  <c r="EH74" i="12" s="1"/>
  <c r="DZ73" i="12"/>
  <c r="EH73" i="12" s="1"/>
  <c r="DZ72" i="12"/>
  <c r="EH72" i="12" s="1"/>
  <c r="DZ71" i="12"/>
  <c r="EH71" i="12" s="1"/>
  <c r="DZ70" i="12"/>
  <c r="EH70" i="12" s="1"/>
  <c r="DZ69" i="12"/>
  <c r="EH69" i="12" s="1"/>
  <c r="DZ68" i="12"/>
  <c r="EH68" i="12" s="1"/>
  <c r="DZ67" i="12"/>
  <c r="EH67" i="12" s="1"/>
  <c r="DZ66" i="12"/>
  <c r="EH66" i="12" s="1"/>
  <c r="DZ65" i="12"/>
  <c r="EH65" i="12" s="1"/>
  <c r="DZ64" i="12"/>
  <c r="DZ63" i="12"/>
  <c r="DZ62" i="12"/>
  <c r="EH62" i="12" s="1"/>
  <c r="DZ61" i="12"/>
  <c r="DZ60" i="12"/>
  <c r="EH60" i="12" s="1"/>
  <c r="DZ59" i="12"/>
  <c r="EH59" i="12" s="1"/>
  <c r="DZ58" i="12"/>
  <c r="EH58" i="12" s="1"/>
  <c r="DZ57" i="12"/>
  <c r="EH57" i="12" s="1"/>
  <c r="DZ56" i="12"/>
  <c r="EH56" i="12" s="1"/>
  <c r="DZ55" i="12"/>
  <c r="DZ49" i="12"/>
  <c r="EH49" i="12" s="1"/>
  <c r="DZ48" i="12"/>
  <c r="EH48" i="12" s="1"/>
  <c r="DZ47" i="12"/>
  <c r="DZ41" i="12"/>
  <c r="EH41" i="12" s="1"/>
  <c r="DZ40" i="12"/>
  <c r="DZ29" i="12"/>
  <c r="EH29" i="12" s="1"/>
  <c r="DZ28" i="12"/>
  <c r="DZ23" i="12"/>
  <c r="EH23" i="12" s="1"/>
  <c r="DZ22" i="12"/>
  <c r="EH22" i="12" s="1"/>
  <c r="DZ21" i="12"/>
  <c r="EH21" i="12" s="1"/>
  <c r="DZ20" i="12"/>
  <c r="DZ14" i="12"/>
  <c r="EH14" i="12" s="1"/>
  <c r="DZ13" i="12"/>
  <c r="DZ12" i="12"/>
  <c r="EH12" i="12" s="1"/>
  <c r="DZ11" i="12"/>
  <c r="EH11" i="12" s="1"/>
  <c r="DZ10" i="12"/>
  <c r="DZ9" i="12"/>
  <c r="EH9" i="12" s="1"/>
  <c r="DZ8" i="12"/>
  <c r="EH8" i="12" s="1"/>
  <c r="DZ7" i="12"/>
  <c r="EH7" i="12" s="1"/>
  <c r="DZ6" i="12"/>
  <c r="EH6" i="12" s="1"/>
  <c r="DZ5" i="12"/>
  <c r="EH5" i="12" s="1"/>
  <c r="DZ4" i="12"/>
  <c r="DZ101" i="12" l="1"/>
  <c r="DZ83" i="12"/>
  <c r="DZ15" i="12"/>
  <c r="DZ258" i="12"/>
  <c r="DZ24" i="12"/>
  <c r="EH28" i="12"/>
  <c r="EH30" i="12" s="1"/>
  <c r="DZ30" i="12"/>
  <c r="EH47" i="12"/>
  <c r="EH51" i="12" s="1"/>
  <c r="DZ51" i="12"/>
  <c r="EH284" i="12"/>
  <c r="EH286" i="12" s="1"/>
  <c r="DZ286" i="12"/>
  <c r="DZ128" i="12"/>
  <c r="DZ194" i="12"/>
  <c r="DZ201" i="12"/>
  <c r="EH105" i="12"/>
  <c r="EH109" i="12" s="1"/>
  <c r="DZ109" i="12"/>
  <c r="EH88" i="12"/>
  <c r="EH92" i="12" s="1"/>
  <c r="DZ92" i="12"/>
  <c r="EH40" i="12"/>
  <c r="EH42" i="12" s="1"/>
  <c r="DZ42" i="12"/>
  <c r="DZ116" i="12"/>
  <c r="EH171" i="12"/>
  <c r="DZ181" i="12"/>
  <c r="DZ212" i="12"/>
  <c r="EH133" i="12"/>
  <c r="DZ142" i="12"/>
  <c r="EH147" i="12"/>
  <c r="DZ154" i="12"/>
  <c r="EH159" i="12"/>
  <c r="EH166" i="12" s="1"/>
  <c r="DZ166" i="12"/>
  <c r="EH263" i="12"/>
  <c r="DZ269" i="12"/>
  <c r="EH10" i="12"/>
  <c r="EH241" i="12"/>
  <c r="EH80" i="12"/>
  <c r="EH138" i="12"/>
  <c r="EH173" i="12"/>
  <c r="EH186" i="12"/>
  <c r="EH194" i="12" s="1"/>
  <c r="EH20" i="12"/>
  <c r="EH24" i="12" s="1"/>
  <c r="EH64" i="12"/>
  <c r="EH4" i="12"/>
  <c r="EH126" i="12"/>
  <c r="EH153" i="12"/>
  <c r="EH206" i="12"/>
  <c r="EH114" i="12"/>
  <c r="EH116" i="12" s="1"/>
  <c r="EH55" i="12"/>
  <c r="EA199" i="12"/>
  <c r="EH199" i="12"/>
  <c r="EH201" i="12" s="1"/>
  <c r="EA217" i="12"/>
  <c r="EH217" i="12"/>
  <c r="EA221" i="12"/>
  <c r="EH221" i="12"/>
  <c r="EA225" i="12"/>
  <c r="EH225" i="12"/>
  <c r="EA229" i="12"/>
  <c r="EH229" i="12"/>
  <c r="EA238" i="12"/>
  <c r="EH238" i="12"/>
  <c r="EA242" i="12"/>
  <c r="EH242" i="12"/>
  <c r="EA63" i="12"/>
  <c r="EH63" i="12"/>
  <c r="EA121" i="12"/>
  <c r="EH121" i="12"/>
  <c r="EA148" i="12"/>
  <c r="EH148" i="12"/>
  <c r="EA61" i="12"/>
  <c r="EH61" i="12"/>
  <c r="EA152" i="12"/>
  <c r="EH152" i="12"/>
  <c r="EA209" i="12"/>
  <c r="EH209" i="12"/>
  <c r="EA239" i="12"/>
  <c r="EH239" i="12"/>
  <c r="EA248" i="12"/>
  <c r="EH248" i="12"/>
  <c r="EH258" i="12" s="1"/>
  <c r="EA265" i="12"/>
  <c r="EH265" i="12"/>
  <c r="EA274" i="12"/>
  <c r="EA275" i="12" s="1"/>
  <c r="EH274" i="12"/>
  <c r="EH275" i="12" s="1"/>
  <c r="EA97" i="12"/>
  <c r="EH97" i="12"/>
  <c r="EH101" i="12" s="1"/>
  <c r="EA137" i="12"/>
  <c r="EH137" i="12"/>
  <c r="EA13" i="12"/>
  <c r="EH13" i="12"/>
  <c r="EA127" i="12"/>
  <c r="EH127" i="12"/>
  <c r="EA90" i="12"/>
  <c r="EA8" i="12"/>
  <c r="EA189" i="12"/>
  <c r="EA48" i="12"/>
  <c r="EA187" i="12"/>
  <c r="EA163" i="12"/>
  <c r="EA41" i="12"/>
  <c r="EA58" i="12"/>
  <c r="EA161" i="12"/>
  <c r="EA173" i="12"/>
  <c r="EA249" i="12"/>
  <c r="EA253" i="12"/>
  <c r="EA91" i="12"/>
  <c r="EA23" i="12"/>
  <c r="EA208" i="12"/>
  <c r="EA73" i="12"/>
  <c r="EA6" i="12"/>
  <c r="EA9" i="12"/>
  <c r="EA79" i="12"/>
  <c r="EA88" i="12"/>
  <c r="EA125" i="12"/>
  <c r="EA178" i="12"/>
  <c r="EA66" i="12"/>
  <c r="EA107" i="12"/>
  <c r="EA264" i="12"/>
  <c r="EA268" i="12"/>
  <c r="EA22" i="12"/>
  <c r="EA74" i="12"/>
  <c r="EA78" i="12"/>
  <c r="EA115" i="12"/>
  <c r="EA151" i="12"/>
  <c r="EA174" i="12"/>
  <c r="EA177" i="12"/>
  <c r="EA218" i="12"/>
  <c r="EA222" i="12"/>
  <c r="EA226" i="12"/>
  <c r="EA235" i="12"/>
  <c r="EA263" i="12"/>
  <c r="EA267" i="12"/>
  <c r="EA250" i="12"/>
  <c r="EA252" i="12"/>
  <c r="EA254" i="12"/>
  <c r="EA237" i="12"/>
  <c r="EA241" i="12"/>
  <c r="EA220" i="12"/>
  <c r="EA224" i="12"/>
  <c r="EA228" i="12"/>
  <c r="EA207" i="12"/>
  <c r="EA211" i="12"/>
  <c r="EA200" i="12"/>
  <c r="EA186" i="12"/>
  <c r="EA191" i="12"/>
  <c r="EA190" i="12"/>
  <c r="EA193" i="12"/>
  <c r="EA172" i="12"/>
  <c r="EA176" i="12"/>
  <c r="EA180" i="12"/>
  <c r="EA160" i="12"/>
  <c r="EA165" i="12"/>
  <c r="EA164" i="12"/>
  <c r="EA159" i="12"/>
  <c r="EA147" i="12"/>
  <c r="EA149" i="12"/>
  <c r="EA141" i="12"/>
  <c r="EA134" i="12"/>
  <c r="EA136" i="12"/>
  <c r="EA133" i="12"/>
  <c r="EA138" i="12"/>
  <c r="EA140" i="12"/>
  <c r="EA124" i="12"/>
  <c r="EA123" i="12"/>
  <c r="EA114" i="12"/>
  <c r="EA106" i="12"/>
  <c r="EA284" i="12"/>
  <c r="EA105" i="12"/>
  <c r="EA62" i="12"/>
  <c r="EA67" i="12"/>
  <c r="EA69" i="12"/>
  <c r="EA55" i="12"/>
  <c r="EA57" i="12"/>
  <c r="EA71" i="12"/>
  <c r="EA82" i="12"/>
  <c r="EA59" i="12"/>
  <c r="EA70" i="12"/>
  <c r="EA75" i="12"/>
  <c r="EA77" i="12"/>
  <c r="EA65" i="12"/>
  <c r="EA81" i="12"/>
  <c r="EA49" i="12"/>
  <c r="EA40" i="12"/>
  <c r="EA29" i="12"/>
  <c r="EA21" i="12"/>
  <c r="EA14" i="12"/>
  <c r="EA5" i="12"/>
  <c r="EA10" i="12"/>
  <c r="EA12" i="12"/>
  <c r="EA4" i="12"/>
  <c r="EA255" i="12"/>
  <c r="EA256" i="12"/>
  <c r="EA7" i="12"/>
  <c r="EA11" i="12"/>
  <c r="EA20" i="12"/>
  <c r="EA28" i="12"/>
  <c r="EA30" i="12" s="1"/>
  <c r="EA47" i="12"/>
  <c r="EA56" i="12"/>
  <c r="EA60" i="12"/>
  <c r="EA64" i="12"/>
  <c r="EA68" i="12"/>
  <c r="EA72" i="12"/>
  <c r="EA76" i="12"/>
  <c r="EA80" i="12"/>
  <c r="EA89" i="12"/>
  <c r="EA98" i="12"/>
  <c r="EA285" i="12"/>
  <c r="EA122" i="12"/>
  <c r="EA126" i="12"/>
  <c r="EA135" i="12"/>
  <c r="EA139" i="12"/>
  <c r="EA150" i="12"/>
  <c r="EA153" i="12"/>
  <c r="EA162" i="12"/>
  <c r="EA171" i="12"/>
  <c r="EA175" i="12"/>
  <c r="EA179" i="12"/>
  <c r="EA188" i="12"/>
  <c r="EA192" i="12"/>
  <c r="EA206" i="12"/>
  <c r="EA210" i="12"/>
  <c r="EA219" i="12"/>
  <c r="EA223" i="12"/>
  <c r="EA227" i="12"/>
  <c r="EA236" i="12"/>
  <c r="EA240" i="12"/>
  <c r="EA251" i="12"/>
  <c r="EA257" i="12"/>
  <c r="EA266" i="12"/>
  <c r="EA116" i="12" l="1"/>
  <c r="EH15" i="12"/>
  <c r="EA51" i="12"/>
  <c r="EH128" i="12"/>
  <c r="EA109" i="12"/>
  <c r="EA42" i="12"/>
  <c r="EA92" i="12"/>
  <c r="EH142" i="12"/>
  <c r="EA212" i="12"/>
  <c r="EA83" i="12"/>
  <c r="EA142" i="12"/>
  <c r="EA194" i="12"/>
  <c r="EA258" i="12"/>
  <c r="EA128" i="12"/>
  <c r="EA201" i="12"/>
  <c r="EH212" i="12"/>
  <c r="EA181" i="12"/>
  <c r="EA24" i="12"/>
  <c r="EA286" i="12"/>
  <c r="EA154" i="12"/>
  <c r="EA269" i="12"/>
  <c r="EH269" i="12"/>
  <c r="EH154" i="12"/>
  <c r="EA15" i="12"/>
  <c r="EA166" i="12"/>
  <c r="EA101" i="12"/>
  <c r="EH83" i="12"/>
  <c r="EH181" i="12"/>
  <c r="EF230" i="12"/>
  <c r="EF243" i="12" l="1"/>
  <c r="EG230" i="12"/>
  <c r="EG243" i="12" l="1"/>
  <c r="EN230" i="12"/>
  <c r="DS106" i="12"/>
  <c r="DS109" i="12" s="1"/>
  <c r="DS147" i="12"/>
  <c r="DS154" i="12" s="1"/>
  <c r="DT200" i="12"/>
  <c r="DS256" i="12"/>
  <c r="DT256" i="12" s="1"/>
  <c r="DS255" i="12"/>
  <c r="DT255" i="12" s="1"/>
  <c r="EB255" i="12" s="1"/>
  <c r="DS249" i="12"/>
  <c r="DT249" i="12" s="1"/>
  <c r="DS248" i="12"/>
  <c r="DT236" i="12"/>
  <c r="DT237" i="12"/>
  <c r="DT238" i="12"/>
  <c r="EB238" i="12" s="1"/>
  <c r="DT239" i="12"/>
  <c r="DT240" i="12"/>
  <c r="DT241" i="12"/>
  <c r="DT242" i="12"/>
  <c r="DT218" i="12"/>
  <c r="DT219" i="12"/>
  <c r="DT220" i="12"/>
  <c r="DT221" i="12"/>
  <c r="DT222" i="12"/>
  <c r="DT223" i="12"/>
  <c r="DT224" i="12"/>
  <c r="DT225" i="12"/>
  <c r="DT226" i="12"/>
  <c r="DT227" i="12"/>
  <c r="DT228" i="12"/>
  <c r="DT229" i="12"/>
  <c r="DT207" i="12"/>
  <c r="DT208" i="12"/>
  <c r="DT209" i="12"/>
  <c r="DT210" i="12"/>
  <c r="DT211" i="12"/>
  <c r="EB211" i="12" s="1"/>
  <c r="DT187" i="12"/>
  <c r="DT188" i="12"/>
  <c r="DT189" i="12"/>
  <c r="DT190" i="12"/>
  <c r="EB190" i="12" s="1"/>
  <c r="DT191" i="12"/>
  <c r="DT192" i="12"/>
  <c r="DT193" i="12"/>
  <c r="DT172" i="12"/>
  <c r="DT173" i="12"/>
  <c r="DT174" i="12"/>
  <c r="DT175" i="12"/>
  <c r="DT176" i="12"/>
  <c r="DT177" i="12"/>
  <c r="DT178" i="12"/>
  <c r="DT179" i="12"/>
  <c r="DT180" i="12"/>
  <c r="DT160" i="12"/>
  <c r="DT161" i="12"/>
  <c r="DT162" i="12"/>
  <c r="DT163" i="12"/>
  <c r="DT164" i="12"/>
  <c r="DT165" i="12"/>
  <c r="DT148" i="12"/>
  <c r="DT149" i="12"/>
  <c r="DT150" i="12"/>
  <c r="DT141" i="12"/>
  <c r="DT151" i="12"/>
  <c r="DT152" i="12"/>
  <c r="DT153" i="12"/>
  <c r="DT134" i="12"/>
  <c r="DT135" i="12"/>
  <c r="DT136" i="12"/>
  <c r="DT137" i="12"/>
  <c r="DT138" i="12"/>
  <c r="DT139" i="12"/>
  <c r="DT140" i="12"/>
  <c r="DT122" i="12"/>
  <c r="DT123" i="12"/>
  <c r="DT124" i="12"/>
  <c r="DT125" i="12"/>
  <c r="DT126" i="12"/>
  <c r="DT127" i="12"/>
  <c r="DT115" i="12"/>
  <c r="DT98" i="12"/>
  <c r="DT105" i="12"/>
  <c r="DT107" i="12"/>
  <c r="DT284" i="12"/>
  <c r="DT285" i="12"/>
  <c r="DT89" i="12"/>
  <c r="DT90" i="12"/>
  <c r="DT91" i="12"/>
  <c r="DT56" i="12"/>
  <c r="DT57" i="12"/>
  <c r="DT58" i="12"/>
  <c r="EB58" i="12" s="1"/>
  <c r="DT59" i="12"/>
  <c r="DT60" i="12"/>
  <c r="DT61" i="12"/>
  <c r="DT62" i="12"/>
  <c r="DT63" i="12"/>
  <c r="DT64" i="12"/>
  <c r="DT65" i="12"/>
  <c r="DT66" i="12"/>
  <c r="DT67" i="12"/>
  <c r="DT68" i="12"/>
  <c r="DT69" i="12"/>
  <c r="DT70" i="12"/>
  <c r="DT71" i="12"/>
  <c r="DT72" i="12"/>
  <c r="DT73" i="12"/>
  <c r="DT74" i="12"/>
  <c r="DT75" i="12"/>
  <c r="DT76" i="12"/>
  <c r="DT77" i="12"/>
  <c r="DT78" i="12"/>
  <c r="DT79" i="12"/>
  <c r="DT80" i="12"/>
  <c r="DT81" i="12"/>
  <c r="DT82" i="12"/>
  <c r="DT48" i="12"/>
  <c r="DT49" i="12"/>
  <c r="DT41" i="12"/>
  <c r="DT29" i="12"/>
  <c r="DT21" i="12"/>
  <c r="DT22" i="12"/>
  <c r="DT23" i="12"/>
  <c r="EB23" i="12" s="1"/>
  <c r="DT250" i="12"/>
  <c r="DT251" i="12"/>
  <c r="DT252" i="12"/>
  <c r="DT253" i="12"/>
  <c r="DT254" i="12"/>
  <c r="DT257" i="12"/>
  <c r="DT264" i="12"/>
  <c r="DT265" i="12"/>
  <c r="DT266" i="12"/>
  <c r="EB266" i="12" s="1"/>
  <c r="DT267" i="12"/>
  <c r="DT268" i="12"/>
  <c r="DT274" i="12"/>
  <c r="DT263" i="12"/>
  <c r="DT235" i="12"/>
  <c r="EB235" i="12" s="1"/>
  <c r="DT217" i="12"/>
  <c r="DT206" i="12"/>
  <c r="DT199" i="12"/>
  <c r="DT186" i="12"/>
  <c r="DT171" i="12"/>
  <c r="DT159" i="12"/>
  <c r="DT133" i="12"/>
  <c r="DT121" i="12"/>
  <c r="DT114" i="12"/>
  <c r="DT97" i="12"/>
  <c r="DT88" i="12"/>
  <c r="DT55" i="12"/>
  <c r="DT47" i="12"/>
  <c r="DT40" i="12"/>
  <c r="DT28" i="12"/>
  <c r="DT20" i="12"/>
  <c r="DT5" i="12"/>
  <c r="DT6" i="12"/>
  <c r="DT7" i="12"/>
  <c r="DT8" i="12"/>
  <c r="EB8" i="12" s="1"/>
  <c r="DT9" i="12"/>
  <c r="DT10" i="12"/>
  <c r="DT11" i="12"/>
  <c r="EB11" i="12" s="1"/>
  <c r="DT12" i="12"/>
  <c r="DT13" i="12"/>
  <c r="DT14" i="12"/>
  <c r="DT4" i="12"/>
  <c r="DT15" i="12" l="1"/>
  <c r="DT116" i="12"/>
  <c r="DS258" i="12"/>
  <c r="EB47" i="12"/>
  <c r="DT51" i="12"/>
  <c r="EB171" i="12"/>
  <c r="DT181" i="12"/>
  <c r="DT24" i="12"/>
  <c r="DT83" i="12"/>
  <c r="DT128" i="12"/>
  <c r="DT194" i="12"/>
  <c r="DT286" i="12"/>
  <c r="EB28" i="12"/>
  <c r="DT30" i="12"/>
  <c r="EB199" i="12"/>
  <c r="DT201" i="12"/>
  <c r="EB88" i="12"/>
  <c r="DT92" i="12"/>
  <c r="EB133" i="12"/>
  <c r="DT142" i="12"/>
  <c r="EB263" i="12"/>
  <c r="DT269" i="12"/>
  <c r="EB40" i="12"/>
  <c r="DT42" i="12"/>
  <c r="DT101" i="12"/>
  <c r="DT166" i="12"/>
  <c r="DT212" i="12"/>
  <c r="EB274" i="12"/>
  <c r="EB275" i="12" s="1"/>
  <c r="DT275" i="12"/>
  <c r="EB206" i="12"/>
  <c r="EN243" i="12"/>
  <c r="EB217" i="12"/>
  <c r="DT248" i="12"/>
  <c r="DT258" i="12" s="1"/>
  <c r="EB20" i="12"/>
  <c r="EB186" i="12"/>
  <c r="DT147" i="12"/>
  <c r="DU147" i="12" s="1"/>
  <c r="DZ230" i="12"/>
  <c r="EA230" i="12"/>
  <c r="EB4" i="12"/>
  <c r="DT106" i="12"/>
  <c r="DT109" i="12" s="1"/>
  <c r="EB97" i="12"/>
  <c r="EB121" i="12"/>
  <c r="EB114" i="12"/>
  <c r="EB55" i="12"/>
  <c r="EB159" i="12"/>
  <c r="DU23" i="12"/>
  <c r="DU211" i="12"/>
  <c r="DU11" i="12"/>
  <c r="DU8" i="12"/>
  <c r="DU249" i="12"/>
  <c r="EB249" i="12"/>
  <c r="DU13" i="12"/>
  <c r="EB13" i="12"/>
  <c r="DU7" i="12"/>
  <c r="EB7" i="12"/>
  <c r="DU268" i="12"/>
  <c r="EB268" i="12"/>
  <c r="DU254" i="12"/>
  <c r="EB254" i="12"/>
  <c r="DU22" i="12"/>
  <c r="EB22" i="12"/>
  <c r="DU80" i="12"/>
  <c r="EB80" i="12"/>
  <c r="DU72" i="12"/>
  <c r="EB72" i="12"/>
  <c r="DU64" i="12"/>
  <c r="EB64" i="12"/>
  <c r="DU56" i="12"/>
  <c r="EB56" i="12"/>
  <c r="DU126" i="12"/>
  <c r="EB126" i="12"/>
  <c r="DU137" i="12"/>
  <c r="EB137" i="12"/>
  <c r="DU150" i="12"/>
  <c r="EB150" i="12"/>
  <c r="DU164" i="12"/>
  <c r="EB164" i="12"/>
  <c r="DU177" i="12"/>
  <c r="EB177" i="12"/>
  <c r="DU191" i="12"/>
  <c r="EB191" i="12"/>
  <c r="DU209" i="12"/>
  <c r="EB209" i="12"/>
  <c r="DU224" i="12"/>
  <c r="EB224" i="12"/>
  <c r="DU12" i="12"/>
  <c r="EB12" i="12"/>
  <c r="DU6" i="12"/>
  <c r="EB6" i="12"/>
  <c r="DU267" i="12"/>
  <c r="EB267" i="12"/>
  <c r="DU253" i="12"/>
  <c r="EB253" i="12"/>
  <c r="DU79" i="12"/>
  <c r="EB79" i="12"/>
  <c r="DU71" i="12"/>
  <c r="EB71" i="12"/>
  <c r="DU63" i="12"/>
  <c r="EB63" i="12"/>
  <c r="DU91" i="12"/>
  <c r="EB91" i="12"/>
  <c r="DU98" i="12"/>
  <c r="EB98" i="12"/>
  <c r="DU140" i="12"/>
  <c r="EB140" i="12"/>
  <c r="DU152" i="12"/>
  <c r="EB152" i="12"/>
  <c r="DU163" i="12"/>
  <c r="EB163" i="12"/>
  <c r="DU176" i="12"/>
  <c r="EB176" i="12"/>
  <c r="DU172" i="12"/>
  <c r="EB172" i="12"/>
  <c r="DU227" i="12"/>
  <c r="EB227" i="12"/>
  <c r="DU219" i="12"/>
  <c r="EB219" i="12"/>
  <c r="DU237" i="12"/>
  <c r="EB237" i="12"/>
  <c r="DU5" i="12"/>
  <c r="EB5" i="12"/>
  <c r="DU256" i="12"/>
  <c r="EB256" i="12"/>
  <c r="DU252" i="12"/>
  <c r="EB252" i="12"/>
  <c r="DU29" i="12"/>
  <c r="EB29" i="12"/>
  <c r="DU82" i="12"/>
  <c r="EB82" i="12"/>
  <c r="DU78" i="12"/>
  <c r="EB78" i="12"/>
  <c r="DU74" i="12"/>
  <c r="EB74" i="12"/>
  <c r="DU70" i="12"/>
  <c r="EB70" i="12"/>
  <c r="DU66" i="12"/>
  <c r="EB66" i="12"/>
  <c r="DU62" i="12"/>
  <c r="EB62" i="12"/>
  <c r="DU90" i="12"/>
  <c r="EB90" i="12"/>
  <c r="DU107" i="12"/>
  <c r="EB107" i="12"/>
  <c r="DU115" i="12"/>
  <c r="EB115" i="12"/>
  <c r="DU124" i="12"/>
  <c r="EB124" i="12"/>
  <c r="DU139" i="12"/>
  <c r="EB139" i="12"/>
  <c r="DU135" i="12"/>
  <c r="EB135" i="12"/>
  <c r="DU151" i="12"/>
  <c r="EB151" i="12"/>
  <c r="DU148" i="12"/>
  <c r="EB148" i="12"/>
  <c r="DU162" i="12"/>
  <c r="EB162" i="12"/>
  <c r="DU179" i="12"/>
  <c r="EB179" i="12"/>
  <c r="DU175" i="12"/>
  <c r="EB175" i="12"/>
  <c r="DU193" i="12"/>
  <c r="EB193" i="12"/>
  <c r="DU189" i="12"/>
  <c r="EB189" i="12"/>
  <c r="DU207" i="12"/>
  <c r="EB207" i="12"/>
  <c r="DU226" i="12"/>
  <c r="EB226" i="12"/>
  <c r="DU222" i="12"/>
  <c r="EB222" i="12"/>
  <c r="DU218" i="12"/>
  <c r="EB218" i="12"/>
  <c r="DU239" i="12"/>
  <c r="EB239" i="12"/>
  <c r="DU236" i="12"/>
  <c r="EB236" i="12"/>
  <c r="DU10" i="12"/>
  <c r="EB10" i="12"/>
  <c r="DU264" i="12"/>
  <c r="EB264" i="12"/>
  <c r="DU250" i="12"/>
  <c r="EB250" i="12"/>
  <c r="DU49" i="12"/>
  <c r="EB49" i="12"/>
  <c r="DU76" i="12"/>
  <c r="EB76" i="12"/>
  <c r="DU68" i="12"/>
  <c r="EB68" i="12"/>
  <c r="DU60" i="12"/>
  <c r="EB60" i="12"/>
  <c r="DU285" i="12"/>
  <c r="EB285" i="12"/>
  <c r="DU105" i="12"/>
  <c r="EB105" i="12"/>
  <c r="DU122" i="12"/>
  <c r="EB122" i="12"/>
  <c r="DU153" i="12"/>
  <c r="EB153" i="12"/>
  <c r="DU160" i="12"/>
  <c r="EB160" i="12"/>
  <c r="DU173" i="12"/>
  <c r="EB173" i="12"/>
  <c r="DU187" i="12"/>
  <c r="EB187" i="12"/>
  <c r="DU228" i="12"/>
  <c r="EB228" i="12"/>
  <c r="DU220" i="12"/>
  <c r="EB220" i="12"/>
  <c r="DU241" i="12"/>
  <c r="EB241" i="12"/>
  <c r="DU9" i="12"/>
  <c r="EB9" i="12"/>
  <c r="DU257" i="12"/>
  <c r="EB257" i="12"/>
  <c r="DU21" i="12"/>
  <c r="EB21" i="12"/>
  <c r="DU48" i="12"/>
  <c r="EB48" i="12"/>
  <c r="DU75" i="12"/>
  <c r="EB75" i="12"/>
  <c r="DU67" i="12"/>
  <c r="EB67" i="12"/>
  <c r="DU59" i="12"/>
  <c r="EB59" i="12"/>
  <c r="DU284" i="12"/>
  <c r="EB284" i="12"/>
  <c r="DU125" i="12"/>
  <c r="EB125" i="12"/>
  <c r="DU136" i="12"/>
  <c r="EB136" i="12"/>
  <c r="DU149" i="12"/>
  <c r="EB149" i="12"/>
  <c r="DU180" i="12"/>
  <c r="EB180" i="12"/>
  <c r="DU208" i="12"/>
  <c r="EB208" i="12"/>
  <c r="DU223" i="12"/>
  <c r="EB223" i="12"/>
  <c r="DU240" i="12"/>
  <c r="EB240" i="12"/>
  <c r="DU14" i="12"/>
  <c r="EB14" i="12"/>
  <c r="DU265" i="12"/>
  <c r="EB265" i="12"/>
  <c r="DU251" i="12"/>
  <c r="EB251" i="12"/>
  <c r="DU41" i="12"/>
  <c r="EB41" i="12"/>
  <c r="DU81" i="12"/>
  <c r="EB81" i="12"/>
  <c r="DU77" i="12"/>
  <c r="EB77" i="12"/>
  <c r="DU73" i="12"/>
  <c r="EB73" i="12"/>
  <c r="DU69" i="12"/>
  <c r="EB69" i="12"/>
  <c r="DU65" i="12"/>
  <c r="EB65" i="12"/>
  <c r="DU61" i="12"/>
  <c r="EB61" i="12"/>
  <c r="DU57" i="12"/>
  <c r="EB57" i="12"/>
  <c r="DU89" i="12"/>
  <c r="EB89" i="12"/>
  <c r="DU127" i="12"/>
  <c r="EB127" i="12"/>
  <c r="DU123" i="12"/>
  <c r="EB123" i="12"/>
  <c r="DU138" i="12"/>
  <c r="EB138" i="12"/>
  <c r="DU134" i="12"/>
  <c r="EB134" i="12"/>
  <c r="DU141" i="12"/>
  <c r="EB141" i="12"/>
  <c r="DU165" i="12"/>
  <c r="EB165" i="12"/>
  <c r="DU161" i="12"/>
  <c r="EB161" i="12"/>
  <c r="DU178" i="12"/>
  <c r="EB178" i="12"/>
  <c r="DU174" i="12"/>
  <c r="EB174" i="12"/>
  <c r="DU192" i="12"/>
  <c r="EB192" i="12"/>
  <c r="DU188" i="12"/>
  <c r="EB188" i="12"/>
  <c r="DU210" i="12"/>
  <c r="EB210" i="12"/>
  <c r="DU229" i="12"/>
  <c r="EB229" i="12"/>
  <c r="DU225" i="12"/>
  <c r="EB225" i="12"/>
  <c r="DU221" i="12"/>
  <c r="EB221" i="12"/>
  <c r="DU242" i="12"/>
  <c r="EB242" i="12"/>
  <c r="DU238" i="12"/>
  <c r="DU200" i="12"/>
  <c r="EB200" i="12"/>
  <c r="DU266" i="12"/>
  <c r="DU58" i="12"/>
  <c r="DU190" i="12"/>
  <c r="DU255" i="12"/>
  <c r="DU274" i="12"/>
  <c r="DU275" i="12" s="1"/>
  <c r="DU263" i="12"/>
  <c r="DU235" i="12"/>
  <c r="DU217" i="12"/>
  <c r="DU206" i="12"/>
  <c r="DU199" i="12"/>
  <c r="DU186" i="12"/>
  <c r="DU171" i="12"/>
  <c r="DU159" i="12"/>
  <c r="DU133" i="12"/>
  <c r="DU121" i="12"/>
  <c r="DU114" i="12"/>
  <c r="DU97" i="12"/>
  <c r="DU88" i="12"/>
  <c r="DU55" i="12"/>
  <c r="DU47" i="12"/>
  <c r="DU40" i="12"/>
  <c r="DU28" i="12"/>
  <c r="DU20" i="12"/>
  <c r="DU4" i="12"/>
  <c r="DA106" i="12"/>
  <c r="DA109" i="12" s="1"/>
  <c r="DB106" i="12"/>
  <c r="DB109" i="12" s="1"/>
  <c r="CZ106" i="12"/>
  <c r="CZ109" i="12" s="1"/>
  <c r="DA256" i="12"/>
  <c r="CZ256" i="12"/>
  <c r="DA249" i="12"/>
  <c r="CZ249" i="12"/>
  <c r="DA248" i="12"/>
  <c r="CZ248" i="12"/>
  <c r="DA147" i="12"/>
  <c r="DA154" i="12" s="1"/>
  <c r="DB147" i="12"/>
  <c r="DB154" i="12" s="1"/>
  <c r="CZ147" i="12"/>
  <c r="CZ154" i="12" s="1"/>
  <c r="CZ255" i="12"/>
  <c r="DA255" i="12"/>
  <c r="DL29" i="12"/>
  <c r="DL41" i="12"/>
  <c r="DL48" i="12"/>
  <c r="DL49" i="12"/>
  <c r="DL56" i="12"/>
  <c r="DL57" i="12"/>
  <c r="DL58" i="12"/>
  <c r="DL59" i="12"/>
  <c r="DL60" i="12"/>
  <c r="DL61" i="12"/>
  <c r="DL62" i="12"/>
  <c r="DL63" i="12"/>
  <c r="DL64" i="12"/>
  <c r="DL65" i="12"/>
  <c r="DL66" i="12"/>
  <c r="DL67" i="12"/>
  <c r="DL68" i="12"/>
  <c r="DL69" i="12"/>
  <c r="DL70" i="12"/>
  <c r="DL71" i="12"/>
  <c r="DL72" i="12"/>
  <c r="DL73" i="12"/>
  <c r="DL74" i="12"/>
  <c r="DL75" i="12"/>
  <c r="DL76" i="12"/>
  <c r="DL77" i="12"/>
  <c r="DL78" i="12"/>
  <c r="DL79" i="12"/>
  <c r="DL80" i="12"/>
  <c r="DL81" i="12"/>
  <c r="DL82" i="12"/>
  <c r="DL89" i="12"/>
  <c r="DL90" i="12"/>
  <c r="DL91" i="12"/>
  <c r="DL98" i="12"/>
  <c r="DL105" i="12"/>
  <c r="DL106" i="12"/>
  <c r="DL107" i="12"/>
  <c r="DL284" i="12"/>
  <c r="DL285" i="12"/>
  <c r="DL115" i="12"/>
  <c r="DL122" i="12"/>
  <c r="DL123" i="12"/>
  <c r="DL124" i="12"/>
  <c r="DL125" i="12"/>
  <c r="DL126" i="12"/>
  <c r="DL127" i="12"/>
  <c r="DL134" i="12"/>
  <c r="DL135" i="12"/>
  <c r="DL136" i="12"/>
  <c r="DL137" i="12"/>
  <c r="DL138" i="12"/>
  <c r="DL139" i="12"/>
  <c r="DL140" i="12"/>
  <c r="DL148" i="12"/>
  <c r="DL149" i="12"/>
  <c r="DL150" i="12"/>
  <c r="DL141" i="12"/>
  <c r="DL151" i="12"/>
  <c r="DL152" i="12"/>
  <c r="DL153" i="12"/>
  <c r="DL160" i="12"/>
  <c r="DL161" i="12"/>
  <c r="DL162" i="12"/>
  <c r="DL163" i="12"/>
  <c r="DL164" i="12"/>
  <c r="DL165" i="12"/>
  <c r="DL172" i="12"/>
  <c r="DL173" i="12"/>
  <c r="DL174" i="12"/>
  <c r="DL175" i="12"/>
  <c r="DL176" i="12"/>
  <c r="DL177" i="12"/>
  <c r="DL178" i="12"/>
  <c r="DL179" i="12"/>
  <c r="DL180" i="12"/>
  <c r="DL187" i="12"/>
  <c r="DL188" i="12"/>
  <c r="DL189" i="12"/>
  <c r="DL190" i="12"/>
  <c r="DL191" i="12"/>
  <c r="DL192" i="12"/>
  <c r="DL193" i="12"/>
  <c r="DL200" i="12"/>
  <c r="DL207" i="12"/>
  <c r="DL208" i="12"/>
  <c r="DL209" i="12"/>
  <c r="DL210" i="12"/>
  <c r="DL211" i="12"/>
  <c r="DL218" i="12"/>
  <c r="DL219" i="12"/>
  <c r="DL220" i="12"/>
  <c r="DL221" i="12"/>
  <c r="DL222" i="12"/>
  <c r="DL223" i="12"/>
  <c r="DL224" i="12"/>
  <c r="DL225" i="12"/>
  <c r="DL226" i="12"/>
  <c r="DL227" i="12"/>
  <c r="DL228" i="12"/>
  <c r="DL229" i="12"/>
  <c r="DL236" i="12"/>
  <c r="DL237" i="12"/>
  <c r="DL238" i="12"/>
  <c r="DL239" i="12"/>
  <c r="DL240" i="12"/>
  <c r="DL241" i="12"/>
  <c r="DL242" i="12"/>
  <c r="DL249" i="12"/>
  <c r="DL250" i="12"/>
  <c r="DL251" i="12"/>
  <c r="DL252" i="12"/>
  <c r="DL253" i="12"/>
  <c r="DL254" i="12"/>
  <c r="DL255" i="12"/>
  <c r="DL256" i="12"/>
  <c r="DL257" i="12"/>
  <c r="DL264" i="12"/>
  <c r="DL265" i="12"/>
  <c r="DL266" i="12"/>
  <c r="DL267" i="12"/>
  <c r="DL268" i="12"/>
  <c r="DL274" i="12"/>
  <c r="DL275" i="12" s="1"/>
  <c r="DL263" i="12"/>
  <c r="DL248" i="12"/>
  <c r="DL235" i="12"/>
  <c r="DL217" i="12"/>
  <c r="DL206" i="12"/>
  <c r="DL199" i="12"/>
  <c r="DL186" i="12"/>
  <c r="DL171" i="12"/>
  <c r="DL159" i="12"/>
  <c r="DL147" i="12"/>
  <c r="DL133" i="12"/>
  <c r="DL121" i="12"/>
  <c r="DL114" i="12"/>
  <c r="DL97" i="12"/>
  <c r="DL88" i="12"/>
  <c r="DL55" i="12"/>
  <c r="DL47" i="12"/>
  <c r="DL40" i="12"/>
  <c r="DL28" i="12"/>
  <c r="DL21" i="12"/>
  <c r="DL22" i="12"/>
  <c r="DL23" i="12"/>
  <c r="DL20" i="12"/>
  <c r="DL5" i="12"/>
  <c r="DL6" i="12"/>
  <c r="DL7" i="12"/>
  <c r="DL8" i="12"/>
  <c r="DL9" i="12"/>
  <c r="DL10" i="12"/>
  <c r="DL11" i="12"/>
  <c r="DL12" i="12"/>
  <c r="DL13" i="12"/>
  <c r="DL14" i="12"/>
  <c r="DL4" i="12"/>
  <c r="DL201" i="12" l="1"/>
  <c r="DU116" i="12"/>
  <c r="DU42" i="12"/>
  <c r="DU286" i="12"/>
  <c r="DU106" i="12"/>
  <c r="DU109" i="12" s="1"/>
  <c r="DU166" i="12"/>
  <c r="DU212" i="12"/>
  <c r="DL286" i="12"/>
  <c r="DL30" i="12"/>
  <c r="DL92" i="12"/>
  <c r="DU201" i="12"/>
  <c r="DU15" i="12"/>
  <c r="DU51" i="12"/>
  <c r="DL101" i="12"/>
  <c r="DU24" i="12"/>
  <c r="DU92" i="12"/>
  <c r="DU248" i="12"/>
  <c r="DU258" i="12" s="1"/>
  <c r="DU154" i="12"/>
  <c r="DL42" i="12"/>
  <c r="DL154" i="12"/>
  <c r="DL258" i="12"/>
  <c r="DU83" i="12"/>
  <c r="DL51" i="12"/>
  <c r="DL116" i="12"/>
  <c r="DU30" i="12"/>
  <c r="DU142" i="12"/>
  <c r="DL15" i="12"/>
  <c r="DU128" i="12"/>
  <c r="DU181" i="12"/>
  <c r="DL83" i="12"/>
  <c r="DL128" i="12"/>
  <c r="DL181" i="12"/>
  <c r="DU101" i="12"/>
  <c r="EB286" i="12"/>
  <c r="EB106" i="12"/>
  <c r="EB109" i="12" s="1"/>
  <c r="DL166" i="12"/>
  <c r="DL212" i="12"/>
  <c r="DL269" i="12"/>
  <c r="DL109" i="12"/>
  <c r="DU194" i="12"/>
  <c r="EB128" i="12"/>
  <c r="EB24" i="12"/>
  <c r="EB212" i="12"/>
  <c r="EB42" i="12"/>
  <c r="EB142" i="12"/>
  <c r="EB201" i="12"/>
  <c r="CZ258" i="12"/>
  <c r="EB166" i="12"/>
  <c r="EB101" i="12"/>
  <c r="EB181" i="12"/>
  <c r="DL24" i="12"/>
  <c r="DL142" i="12"/>
  <c r="DL194" i="12"/>
  <c r="DA258" i="12"/>
  <c r="DU269" i="12"/>
  <c r="EB83" i="12"/>
  <c r="EB147" i="12"/>
  <c r="EB154" i="12" s="1"/>
  <c r="DT154" i="12"/>
  <c r="EB269" i="12"/>
  <c r="EB92" i="12"/>
  <c r="EB30" i="12"/>
  <c r="EB116" i="12"/>
  <c r="EB15" i="12"/>
  <c r="EB194" i="12"/>
  <c r="EB51" i="12"/>
  <c r="DZ243" i="12"/>
  <c r="EA243" i="12"/>
  <c r="EH230" i="12"/>
  <c r="EB248" i="12"/>
  <c r="EB258" i="12" s="1"/>
  <c r="DC147" i="12"/>
  <c r="DC106" i="12"/>
  <c r="DE106" i="12" s="1"/>
  <c r="C40" i="11"/>
  <c r="C39" i="11" l="1"/>
  <c r="F49" i="11"/>
  <c r="C50" i="11" s="1"/>
  <c r="DE147" i="12"/>
  <c r="EH243" i="12"/>
  <c r="C41" i="11"/>
  <c r="DF106" i="12"/>
  <c r="P24" i="11"/>
  <c r="O25" i="11"/>
  <c r="DF147" i="12" l="1"/>
  <c r="DS230" i="12"/>
  <c r="DT230" i="12"/>
  <c r="AF8" i="11"/>
  <c r="AF7" i="11"/>
  <c r="ED22" i="13"/>
  <c r="AF10" i="11" s="1"/>
  <c r="DT243" i="12" l="1"/>
  <c r="DS243" i="12"/>
  <c r="EB230" i="12"/>
  <c r="DY47" i="13"/>
  <c r="DZ47" i="13" s="1"/>
  <c r="EB47" i="13" s="1"/>
  <c r="CW256" i="12"/>
  <c r="DB256" i="12" s="1"/>
  <c r="DC256" i="12" s="1"/>
  <c r="DE256" i="12" s="1"/>
  <c r="CW255" i="12"/>
  <c r="DB255" i="12" s="1"/>
  <c r="DC255" i="12" s="1"/>
  <c r="DE255" i="12" s="1"/>
  <c r="CW248" i="12"/>
  <c r="CW249" i="12"/>
  <c r="DB249" i="12" s="1"/>
  <c r="DC249" i="12" s="1"/>
  <c r="DE249" i="12" s="1"/>
  <c r="CW258" i="12" l="1"/>
  <c r="EB243" i="12"/>
  <c r="DB248" i="12"/>
  <c r="DF255" i="12"/>
  <c r="DF256" i="12"/>
  <c r="DF249" i="12"/>
  <c r="DC248" i="12" l="1"/>
  <c r="DB258" i="12"/>
  <c r="DL230" i="12"/>
  <c r="DU230" i="12"/>
  <c r="EF14" i="13"/>
  <c r="AF9" i="11" s="1"/>
  <c r="EF6" i="13"/>
  <c r="CX274" i="12"/>
  <c r="CX275" i="12" s="1"/>
  <c r="CX268" i="12"/>
  <c r="CX267" i="12"/>
  <c r="CX266" i="12"/>
  <c r="CX265" i="12"/>
  <c r="CX264" i="12"/>
  <c r="CX263" i="12"/>
  <c r="CX257" i="12"/>
  <c r="CX256" i="12"/>
  <c r="CX255" i="12"/>
  <c r="CX254" i="12"/>
  <c r="CX253" i="12"/>
  <c r="CX252" i="12"/>
  <c r="CX251" i="12"/>
  <c r="CX250" i="12"/>
  <c r="CX249" i="12"/>
  <c r="CX248" i="12"/>
  <c r="CX242" i="12"/>
  <c r="CX241" i="12"/>
  <c r="CX240" i="12"/>
  <c r="CX239" i="12"/>
  <c r="CX238" i="12"/>
  <c r="CX237" i="12"/>
  <c r="CX236" i="12"/>
  <c r="CX235" i="12"/>
  <c r="CX229" i="12"/>
  <c r="CX228" i="12"/>
  <c r="CX227" i="12"/>
  <c r="CX226" i="12"/>
  <c r="CX225" i="12"/>
  <c r="CX224" i="12"/>
  <c r="CX223" i="12"/>
  <c r="CX222" i="12"/>
  <c r="CX221" i="12"/>
  <c r="CX220" i="12"/>
  <c r="CX219" i="12"/>
  <c r="CX218" i="12"/>
  <c r="CX217" i="12"/>
  <c r="CX211" i="12"/>
  <c r="CX210" i="12"/>
  <c r="CX209" i="12"/>
  <c r="CX208" i="12"/>
  <c r="CX207" i="12"/>
  <c r="CX206" i="12"/>
  <c r="CX200" i="12"/>
  <c r="CX199" i="12"/>
  <c r="CX193" i="12"/>
  <c r="CX192" i="12"/>
  <c r="CX191" i="12"/>
  <c r="CX190" i="12"/>
  <c r="CX189" i="12"/>
  <c r="CX188" i="12"/>
  <c r="CX187" i="12"/>
  <c r="CX186" i="12"/>
  <c r="CX180" i="12"/>
  <c r="CX179" i="12"/>
  <c r="CX178" i="12"/>
  <c r="CX177" i="12"/>
  <c r="CX176" i="12"/>
  <c r="CX175" i="12"/>
  <c r="CX174" i="12"/>
  <c r="CX173" i="12"/>
  <c r="CX172" i="12"/>
  <c r="CX171" i="12"/>
  <c r="CX165" i="12"/>
  <c r="CX164" i="12"/>
  <c r="CX163" i="12"/>
  <c r="CX162" i="12"/>
  <c r="CX161" i="12"/>
  <c r="CX160" i="12"/>
  <c r="CX159" i="12"/>
  <c r="CX153" i="12"/>
  <c r="CX152" i="12"/>
  <c r="CX151" i="12"/>
  <c r="CX141" i="12"/>
  <c r="CX150" i="12"/>
  <c r="CX149" i="12"/>
  <c r="CX148" i="12"/>
  <c r="CX147" i="12"/>
  <c r="CX140" i="12"/>
  <c r="CX139" i="12"/>
  <c r="CX138" i="12"/>
  <c r="CX137" i="12"/>
  <c r="CX136" i="12"/>
  <c r="CX135" i="12"/>
  <c r="CX134" i="12"/>
  <c r="CX133" i="12"/>
  <c r="CX127" i="12"/>
  <c r="CX126" i="12"/>
  <c r="CX125" i="12"/>
  <c r="CX124" i="12"/>
  <c r="CX123" i="12"/>
  <c r="CX122" i="12"/>
  <c r="CX121" i="12"/>
  <c r="CX115" i="12"/>
  <c r="CX114" i="12"/>
  <c r="CX285" i="12"/>
  <c r="CX284" i="12"/>
  <c r="CX107" i="12"/>
  <c r="CX106" i="12"/>
  <c r="CX105" i="12"/>
  <c r="CX98" i="12"/>
  <c r="CX97" i="12"/>
  <c r="CX91" i="12"/>
  <c r="CX90" i="12"/>
  <c r="CX89" i="12"/>
  <c r="CX88" i="12"/>
  <c r="CX82" i="12"/>
  <c r="CX81" i="12"/>
  <c r="CX80" i="12"/>
  <c r="CX79" i="12"/>
  <c r="CX78" i="12"/>
  <c r="CX77" i="12"/>
  <c r="CX76" i="12"/>
  <c r="CX75" i="12"/>
  <c r="CX74" i="12"/>
  <c r="CX73" i="12"/>
  <c r="CX72" i="12"/>
  <c r="CX71" i="12"/>
  <c r="CX70" i="12"/>
  <c r="CX69" i="12"/>
  <c r="CX68" i="12"/>
  <c r="CX67" i="12"/>
  <c r="CX66" i="12"/>
  <c r="CX65" i="12"/>
  <c r="CX64" i="12"/>
  <c r="CX63" i="12"/>
  <c r="CX62" i="12"/>
  <c r="CX61" i="12"/>
  <c r="CX60" i="12"/>
  <c r="CX59" i="12"/>
  <c r="CX58" i="12"/>
  <c r="CX57" i="12"/>
  <c r="CX56" i="12"/>
  <c r="CX55" i="12"/>
  <c r="CX49" i="12"/>
  <c r="CX48" i="12"/>
  <c r="CX47" i="12"/>
  <c r="CX41" i="12"/>
  <c r="CX40" i="12"/>
  <c r="CX29" i="12"/>
  <c r="CX28" i="12"/>
  <c r="CX23" i="12"/>
  <c r="CX22" i="12"/>
  <c r="CX21" i="12"/>
  <c r="CX20" i="12"/>
  <c r="CX14" i="12"/>
  <c r="CX13" i="12"/>
  <c r="CX12" i="12"/>
  <c r="CX11" i="12"/>
  <c r="CX10" i="12"/>
  <c r="CX9" i="12"/>
  <c r="CX8" i="12"/>
  <c r="CX7" i="12"/>
  <c r="CX6" i="12"/>
  <c r="CX5" i="12"/>
  <c r="CX4" i="12"/>
  <c r="CX24" i="12" l="1"/>
  <c r="CX30" i="12"/>
  <c r="CX51" i="12"/>
  <c r="CX286" i="12"/>
  <c r="CX109" i="12"/>
  <c r="CX15" i="12"/>
  <c r="CX258" i="12"/>
  <c r="CX83" i="12"/>
  <c r="CX92" i="12"/>
  <c r="CX101" i="12"/>
  <c r="CX142" i="12"/>
  <c r="CX166" i="12"/>
  <c r="CX128" i="12"/>
  <c r="CX194" i="12"/>
  <c r="CX201" i="12"/>
  <c r="CX42" i="12"/>
  <c r="CX116" i="12"/>
  <c r="CX181" i="12"/>
  <c r="CX212" i="12"/>
  <c r="CX154" i="12"/>
  <c r="CX269" i="12"/>
  <c r="DE248" i="12"/>
  <c r="DG248" i="12" s="1"/>
  <c r="DL243" i="12"/>
  <c r="DU243" i="12"/>
  <c r="DI10" i="12"/>
  <c r="DC10" i="12"/>
  <c r="DE10" i="12" s="1"/>
  <c r="DI14" i="12"/>
  <c r="DJ14" i="12" s="1"/>
  <c r="DK14" i="12" s="1"/>
  <c r="DM14" i="12" s="1"/>
  <c r="DC14" i="12"/>
  <c r="DE14" i="12" s="1"/>
  <c r="DC29" i="12"/>
  <c r="DE29" i="12" s="1"/>
  <c r="DI29" i="12"/>
  <c r="DJ29" i="12" s="1"/>
  <c r="DK29" i="12" s="1"/>
  <c r="DM29" i="12" s="1"/>
  <c r="DC60" i="12"/>
  <c r="DE60" i="12" s="1"/>
  <c r="DI60" i="12"/>
  <c r="DJ60" i="12" s="1"/>
  <c r="DK60" i="12" s="1"/>
  <c r="DM60" i="12" s="1"/>
  <c r="DC64" i="12"/>
  <c r="DE64" i="12" s="1"/>
  <c r="DI64" i="12"/>
  <c r="DC72" i="12"/>
  <c r="DE72" i="12" s="1"/>
  <c r="DI72" i="12"/>
  <c r="DJ72" i="12" s="1"/>
  <c r="DK72" i="12" s="1"/>
  <c r="DM72" i="12" s="1"/>
  <c r="DC76" i="12"/>
  <c r="DE76" i="12" s="1"/>
  <c r="DI76" i="12"/>
  <c r="DJ76" i="12" s="1"/>
  <c r="DK76" i="12" s="1"/>
  <c r="DM76" i="12" s="1"/>
  <c r="DC80" i="12"/>
  <c r="DE80" i="12" s="1"/>
  <c r="DI80" i="12"/>
  <c r="DI90" i="12"/>
  <c r="DJ90" i="12" s="1"/>
  <c r="DK90" i="12" s="1"/>
  <c r="DM90" i="12" s="1"/>
  <c r="DC90" i="12"/>
  <c r="DE90" i="12" s="1"/>
  <c r="DH121" i="12"/>
  <c r="DI121" i="12"/>
  <c r="DC121" i="12"/>
  <c r="DC135" i="12"/>
  <c r="DE135" i="12" s="1"/>
  <c r="DI135" i="12"/>
  <c r="DJ135" i="12" s="1"/>
  <c r="DK135" i="12" s="1"/>
  <c r="DM135" i="12" s="1"/>
  <c r="DI150" i="12"/>
  <c r="DJ150" i="12" s="1"/>
  <c r="DK150" i="12" s="1"/>
  <c r="DM150" i="12" s="1"/>
  <c r="DC150" i="12"/>
  <c r="DE150" i="12" s="1"/>
  <c r="DC159" i="12"/>
  <c r="DI159" i="12"/>
  <c r="DH173" i="12"/>
  <c r="DC173" i="12"/>
  <c r="DE173" i="12" s="1"/>
  <c r="DI173" i="12"/>
  <c r="DH177" i="12"/>
  <c r="DC177" i="12"/>
  <c r="DE177" i="12" s="1"/>
  <c r="DI177" i="12"/>
  <c r="DJ177" i="12" s="1"/>
  <c r="DK177" i="12" s="1"/>
  <c r="DM177" i="12" s="1"/>
  <c r="DH187" i="12"/>
  <c r="DC187" i="12"/>
  <c r="DE187" i="12" s="1"/>
  <c r="DI187" i="12"/>
  <c r="DJ187" i="12" s="1"/>
  <c r="DK187" i="12" s="1"/>
  <c r="DM187" i="12" s="1"/>
  <c r="DH191" i="12"/>
  <c r="DC191" i="12"/>
  <c r="DE191" i="12" s="1"/>
  <c r="DI191" i="12"/>
  <c r="DJ191" i="12" s="1"/>
  <c r="DK191" i="12" s="1"/>
  <c r="DM191" i="12" s="1"/>
  <c r="DI211" i="12"/>
  <c r="DJ211" i="12" s="1"/>
  <c r="DK211" i="12" s="1"/>
  <c r="DM211" i="12" s="1"/>
  <c r="DC211" i="12"/>
  <c r="DE211" i="12" s="1"/>
  <c r="DI217" i="12"/>
  <c r="DC217" i="12"/>
  <c r="DE217" i="12" s="1"/>
  <c r="DH225" i="12"/>
  <c r="DC225" i="12"/>
  <c r="DE225" i="12" s="1"/>
  <c r="DI225" i="12"/>
  <c r="DJ225" i="12" s="1"/>
  <c r="DK225" i="12" s="1"/>
  <c r="DM225" i="12" s="1"/>
  <c r="DH229" i="12"/>
  <c r="DC229" i="12"/>
  <c r="DE229" i="12" s="1"/>
  <c r="DI229" i="12"/>
  <c r="DJ229" i="12" s="1"/>
  <c r="DK229" i="12" s="1"/>
  <c r="DM229" i="12" s="1"/>
  <c r="DC239" i="12"/>
  <c r="DE239" i="12" s="1"/>
  <c r="DI239" i="12"/>
  <c r="DJ239" i="12" s="1"/>
  <c r="DK239" i="12" s="1"/>
  <c r="DM239" i="12" s="1"/>
  <c r="DC253" i="12"/>
  <c r="DE253" i="12" s="1"/>
  <c r="DI253" i="12"/>
  <c r="DJ253" i="12" s="1"/>
  <c r="DK253" i="12" s="1"/>
  <c r="DM253" i="12" s="1"/>
  <c r="DC257" i="12"/>
  <c r="DE257" i="12" s="1"/>
  <c r="DI257" i="12"/>
  <c r="DJ257" i="12" s="1"/>
  <c r="DK257" i="12" s="1"/>
  <c r="DM257" i="12" s="1"/>
  <c r="DC263" i="12"/>
  <c r="DI263" i="12"/>
  <c r="DC267" i="12"/>
  <c r="DE267" i="12" s="1"/>
  <c r="DI267" i="12"/>
  <c r="DJ267" i="12" s="1"/>
  <c r="DK267" i="12" s="1"/>
  <c r="DM267" i="12" s="1"/>
  <c r="DI7" i="12"/>
  <c r="DJ7" i="12" s="1"/>
  <c r="DK7" i="12" s="1"/>
  <c r="DM7" i="12" s="1"/>
  <c r="DC7" i="12"/>
  <c r="DE7" i="12" s="1"/>
  <c r="DH47" i="12"/>
  <c r="DC47" i="12"/>
  <c r="DI47" i="12"/>
  <c r="DC57" i="12"/>
  <c r="DE57" i="12" s="1"/>
  <c r="DI57" i="12"/>
  <c r="DJ57" i="12" s="1"/>
  <c r="DK57" i="12" s="1"/>
  <c r="DM57" i="12" s="1"/>
  <c r="DC65" i="12"/>
  <c r="DE65" i="12" s="1"/>
  <c r="DI65" i="12"/>
  <c r="DJ65" i="12" s="1"/>
  <c r="DK65" i="12" s="1"/>
  <c r="DM65" i="12" s="1"/>
  <c r="DC73" i="12"/>
  <c r="DE73" i="12" s="1"/>
  <c r="DI73" i="12"/>
  <c r="DJ73" i="12" s="1"/>
  <c r="DK73" i="12" s="1"/>
  <c r="DM73" i="12" s="1"/>
  <c r="DC77" i="12"/>
  <c r="DE77" i="12" s="1"/>
  <c r="DI77" i="12"/>
  <c r="DJ77" i="12" s="1"/>
  <c r="DK77" i="12" s="1"/>
  <c r="DM77" i="12" s="1"/>
  <c r="DC81" i="12"/>
  <c r="DE81" i="12" s="1"/>
  <c r="DI81" i="12"/>
  <c r="DJ81" i="12" s="1"/>
  <c r="DK81" i="12" s="1"/>
  <c r="DM81" i="12" s="1"/>
  <c r="DI91" i="12"/>
  <c r="DJ91" i="12" s="1"/>
  <c r="DK91" i="12" s="1"/>
  <c r="DM91" i="12" s="1"/>
  <c r="DC91" i="12"/>
  <c r="DE91" i="12" s="1"/>
  <c r="DC107" i="12"/>
  <c r="DE107" i="12" s="1"/>
  <c r="DI107" i="12"/>
  <c r="DJ107" i="12" s="1"/>
  <c r="DK107" i="12" s="1"/>
  <c r="DM107" i="12" s="1"/>
  <c r="DC126" i="12"/>
  <c r="DE126" i="12" s="1"/>
  <c r="DI126" i="12"/>
  <c r="DI136" i="12"/>
  <c r="DJ136" i="12" s="1"/>
  <c r="DK136" i="12" s="1"/>
  <c r="DM136" i="12" s="1"/>
  <c r="DC136" i="12"/>
  <c r="DE136" i="12" s="1"/>
  <c r="DH147" i="12"/>
  <c r="DI147" i="12"/>
  <c r="DG147" i="12"/>
  <c r="DC164" i="12"/>
  <c r="DE164" i="12" s="1"/>
  <c r="DI164" i="12"/>
  <c r="DJ164" i="12" s="1"/>
  <c r="DK164" i="12" s="1"/>
  <c r="DM164" i="12" s="1"/>
  <c r="DC174" i="12"/>
  <c r="DE174" i="12" s="1"/>
  <c r="DI174" i="12"/>
  <c r="DJ174" i="12" s="1"/>
  <c r="DK174" i="12" s="1"/>
  <c r="DM174" i="12" s="1"/>
  <c r="DH192" i="12"/>
  <c r="DC192" i="12"/>
  <c r="DE192" i="12" s="1"/>
  <c r="DI192" i="12"/>
  <c r="DJ192" i="12" s="1"/>
  <c r="DK192" i="12" s="1"/>
  <c r="DM192" i="12" s="1"/>
  <c r="DC222" i="12"/>
  <c r="DE222" i="12" s="1"/>
  <c r="DI222" i="12"/>
  <c r="DJ222" i="12" s="1"/>
  <c r="DK222" i="12" s="1"/>
  <c r="DM222" i="12" s="1"/>
  <c r="DC226" i="12"/>
  <c r="DE226" i="12" s="1"/>
  <c r="DI226" i="12"/>
  <c r="DJ226" i="12" s="1"/>
  <c r="DK226" i="12" s="1"/>
  <c r="DM226" i="12" s="1"/>
  <c r="DH236" i="12"/>
  <c r="DC236" i="12"/>
  <c r="DE236" i="12" s="1"/>
  <c r="DI236" i="12"/>
  <c r="DJ236" i="12" s="1"/>
  <c r="DK236" i="12" s="1"/>
  <c r="DM236" i="12" s="1"/>
  <c r="DC240" i="12"/>
  <c r="DE240" i="12" s="1"/>
  <c r="DI240" i="12"/>
  <c r="DJ240" i="12" s="1"/>
  <c r="DK240" i="12" s="1"/>
  <c r="DM240" i="12" s="1"/>
  <c r="DC250" i="12"/>
  <c r="DE250" i="12" s="1"/>
  <c r="DI250" i="12"/>
  <c r="DJ250" i="12" s="1"/>
  <c r="DK250" i="12" s="1"/>
  <c r="DM250" i="12" s="1"/>
  <c r="DC274" i="12"/>
  <c r="DI274" i="12"/>
  <c r="DH4" i="12"/>
  <c r="DI4" i="12"/>
  <c r="DC4" i="12"/>
  <c r="DC8" i="12"/>
  <c r="DE8" i="12" s="1"/>
  <c r="DI8" i="12"/>
  <c r="DJ8" i="12" s="1"/>
  <c r="DK8" i="12" s="1"/>
  <c r="DM8" i="12" s="1"/>
  <c r="DC12" i="12"/>
  <c r="DE12" i="12" s="1"/>
  <c r="DI12" i="12"/>
  <c r="DJ12" i="12" s="1"/>
  <c r="DK12" i="12" s="1"/>
  <c r="DM12" i="12" s="1"/>
  <c r="DH22" i="12"/>
  <c r="DI22" i="12"/>
  <c r="DJ22" i="12" s="1"/>
  <c r="DK22" i="12" s="1"/>
  <c r="DM22" i="12" s="1"/>
  <c r="DC22" i="12"/>
  <c r="DE22" i="12" s="1"/>
  <c r="DC48" i="12"/>
  <c r="DE48" i="12" s="1"/>
  <c r="DI48" i="12"/>
  <c r="DJ48" i="12" s="1"/>
  <c r="DK48" i="12" s="1"/>
  <c r="DM48" i="12" s="1"/>
  <c r="DH58" i="12"/>
  <c r="DC58" i="12"/>
  <c r="DE58" i="12" s="1"/>
  <c r="DI58" i="12"/>
  <c r="DJ58" i="12" s="1"/>
  <c r="DK58" i="12" s="1"/>
  <c r="DM58" i="12" s="1"/>
  <c r="DH62" i="12"/>
  <c r="DC62" i="12"/>
  <c r="DE62" i="12" s="1"/>
  <c r="DI62" i="12"/>
  <c r="DJ62" i="12" s="1"/>
  <c r="DK62" i="12" s="1"/>
  <c r="DM62" i="12" s="1"/>
  <c r="DH66" i="12"/>
  <c r="DC66" i="12"/>
  <c r="DE66" i="12" s="1"/>
  <c r="DI66" i="12"/>
  <c r="DJ66" i="12" s="1"/>
  <c r="DK66" i="12" s="1"/>
  <c r="DM66" i="12" s="1"/>
  <c r="DH70" i="12"/>
  <c r="DC70" i="12"/>
  <c r="DE70" i="12" s="1"/>
  <c r="DI70" i="12"/>
  <c r="DJ70" i="12" s="1"/>
  <c r="DK70" i="12" s="1"/>
  <c r="DM70" i="12" s="1"/>
  <c r="DC74" i="12"/>
  <c r="DE74" i="12" s="1"/>
  <c r="DI74" i="12"/>
  <c r="DJ74" i="12" s="1"/>
  <c r="DK74" i="12" s="1"/>
  <c r="DM74" i="12" s="1"/>
  <c r="DH78" i="12"/>
  <c r="DC78" i="12"/>
  <c r="DE78" i="12" s="1"/>
  <c r="DI78" i="12"/>
  <c r="DJ78" i="12" s="1"/>
  <c r="DK78" i="12" s="1"/>
  <c r="DM78" i="12" s="1"/>
  <c r="DH82" i="12"/>
  <c r="DI82" i="12"/>
  <c r="DJ82" i="12" s="1"/>
  <c r="DK82" i="12" s="1"/>
  <c r="DM82" i="12" s="1"/>
  <c r="DC82" i="12"/>
  <c r="DE82" i="12" s="1"/>
  <c r="DH88" i="12"/>
  <c r="DI88" i="12"/>
  <c r="DC88" i="12"/>
  <c r="DI98" i="12"/>
  <c r="DJ98" i="12" s="1"/>
  <c r="DK98" i="12" s="1"/>
  <c r="DM98" i="12" s="1"/>
  <c r="DC98" i="12"/>
  <c r="DE98" i="12" s="1"/>
  <c r="DI284" i="12"/>
  <c r="DC284" i="12"/>
  <c r="DH123" i="12"/>
  <c r="DC123" i="12"/>
  <c r="DE123" i="12" s="1"/>
  <c r="DI123" i="12"/>
  <c r="DJ123" i="12" s="1"/>
  <c r="DK123" i="12" s="1"/>
  <c r="DM123" i="12" s="1"/>
  <c r="DH127" i="12"/>
  <c r="DC127" i="12"/>
  <c r="DE127" i="12" s="1"/>
  <c r="DI127" i="12"/>
  <c r="DJ127" i="12" s="1"/>
  <c r="DK127" i="12" s="1"/>
  <c r="DM127" i="12" s="1"/>
  <c r="DC133" i="12"/>
  <c r="DI133" i="12"/>
  <c r="DH137" i="12"/>
  <c r="DC137" i="12"/>
  <c r="DE137" i="12" s="1"/>
  <c r="DI137" i="12"/>
  <c r="DJ137" i="12" s="1"/>
  <c r="DK137" i="12" s="1"/>
  <c r="DM137" i="12" s="1"/>
  <c r="DC148" i="12"/>
  <c r="DI148" i="12"/>
  <c r="DJ148" i="12" s="1"/>
  <c r="DK148" i="12" s="1"/>
  <c r="DM148" i="12" s="1"/>
  <c r="DC151" i="12"/>
  <c r="DE151" i="12" s="1"/>
  <c r="DI151" i="12"/>
  <c r="DJ151" i="12" s="1"/>
  <c r="DK151" i="12" s="1"/>
  <c r="DM151" i="12" s="1"/>
  <c r="DC161" i="12"/>
  <c r="DE161" i="12" s="1"/>
  <c r="DI161" i="12"/>
  <c r="DJ161" i="12" s="1"/>
  <c r="DK161" i="12" s="1"/>
  <c r="DM161" i="12" s="1"/>
  <c r="DI165" i="12"/>
  <c r="DJ165" i="12" s="1"/>
  <c r="DK165" i="12" s="1"/>
  <c r="DM165" i="12" s="1"/>
  <c r="DC165" i="12"/>
  <c r="DE165" i="12" s="1"/>
  <c r="DH171" i="12"/>
  <c r="DC171" i="12"/>
  <c r="DI171" i="12"/>
  <c r="DH175" i="12"/>
  <c r="DC175" i="12"/>
  <c r="DE175" i="12" s="1"/>
  <c r="DI175" i="12"/>
  <c r="DJ175" i="12" s="1"/>
  <c r="DK175" i="12" s="1"/>
  <c r="DM175" i="12" s="1"/>
  <c r="DH179" i="12"/>
  <c r="DI179" i="12"/>
  <c r="DJ179" i="12" s="1"/>
  <c r="DK179" i="12" s="1"/>
  <c r="DM179" i="12" s="1"/>
  <c r="DC179" i="12"/>
  <c r="DE179" i="12" s="1"/>
  <c r="DH189" i="12"/>
  <c r="DC189" i="12"/>
  <c r="DE189" i="12" s="1"/>
  <c r="DI189" i="12"/>
  <c r="DJ189" i="12" s="1"/>
  <c r="DK189" i="12" s="1"/>
  <c r="DM189" i="12" s="1"/>
  <c r="DH193" i="12"/>
  <c r="DI193" i="12"/>
  <c r="DJ193" i="12" s="1"/>
  <c r="DK193" i="12" s="1"/>
  <c r="DM193" i="12" s="1"/>
  <c r="DC193" i="12"/>
  <c r="DE193" i="12" s="1"/>
  <c r="DC199" i="12"/>
  <c r="DI199" i="12"/>
  <c r="DC209" i="12"/>
  <c r="DE209" i="12" s="1"/>
  <c r="DI209" i="12"/>
  <c r="DJ209" i="12" s="1"/>
  <c r="DK209" i="12" s="1"/>
  <c r="DM209" i="12" s="1"/>
  <c r="DC219" i="12"/>
  <c r="DE219" i="12" s="1"/>
  <c r="DI219" i="12"/>
  <c r="DJ219" i="12" s="1"/>
  <c r="DK219" i="12" s="1"/>
  <c r="DM219" i="12" s="1"/>
  <c r="DH223" i="12"/>
  <c r="DC223" i="12"/>
  <c r="DE223" i="12" s="1"/>
  <c r="DI223" i="12"/>
  <c r="DJ223" i="12" s="1"/>
  <c r="DK223" i="12" s="1"/>
  <c r="DM223" i="12" s="1"/>
  <c r="DH227" i="12"/>
  <c r="DC227" i="12"/>
  <c r="DE227" i="12" s="1"/>
  <c r="DI227" i="12"/>
  <c r="DJ227" i="12" s="1"/>
  <c r="DK227" i="12" s="1"/>
  <c r="DM227" i="12" s="1"/>
  <c r="DI237" i="12"/>
  <c r="DJ237" i="12" s="1"/>
  <c r="DK237" i="12" s="1"/>
  <c r="DM237" i="12" s="1"/>
  <c r="DC237" i="12"/>
  <c r="DE237" i="12" s="1"/>
  <c r="DI241" i="12"/>
  <c r="DC241" i="12"/>
  <c r="DE241" i="12" s="1"/>
  <c r="DH251" i="12"/>
  <c r="DC251" i="12"/>
  <c r="DE251" i="12" s="1"/>
  <c r="DI251" i="12"/>
  <c r="DJ251" i="12" s="1"/>
  <c r="DK251" i="12" s="1"/>
  <c r="DM251" i="12" s="1"/>
  <c r="DI255" i="12"/>
  <c r="DJ255" i="12" s="1"/>
  <c r="DK255" i="12" s="1"/>
  <c r="DM255" i="12" s="1"/>
  <c r="DG255" i="12"/>
  <c r="DV255" i="12" s="1"/>
  <c r="DC265" i="12"/>
  <c r="DE265" i="12" s="1"/>
  <c r="DI265" i="12"/>
  <c r="DJ265" i="12" s="1"/>
  <c r="DK265" i="12" s="1"/>
  <c r="DM265" i="12" s="1"/>
  <c r="DI6" i="12"/>
  <c r="DJ6" i="12" s="1"/>
  <c r="DK6" i="12" s="1"/>
  <c r="DM6" i="12" s="1"/>
  <c r="DC6" i="12"/>
  <c r="DE6" i="12" s="1"/>
  <c r="DH20" i="12"/>
  <c r="DI20" i="12"/>
  <c r="DC20" i="12"/>
  <c r="DC40" i="12"/>
  <c r="DI40" i="12"/>
  <c r="DC56" i="12"/>
  <c r="DE56" i="12" s="1"/>
  <c r="DI56" i="12"/>
  <c r="DJ56" i="12" s="1"/>
  <c r="DK56" i="12" s="1"/>
  <c r="DM56" i="12" s="1"/>
  <c r="DC68" i="12"/>
  <c r="DE68" i="12" s="1"/>
  <c r="DI68" i="12"/>
  <c r="DJ68" i="12" s="1"/>
  <c r="DK68" i="12" s="1"/>
  <c r="DM68" i="12" s="1"/>
  <c r="DI106" i="12"/>
  <c r="DJ106" i="12" s="1"/>
  <c r="DK106" i="12" s="1"/>
  <c r="DM106" i="12" s="1"/>
  <c r="DG106" i="12"/>
  <c r="DV106" i="12" s="1"/>
  <c r="DH115" i="12"/>
  <c r="DI115" i="12"/>
  <c r="DJ115" i="12" s="1"/>
  <c r="DK115" i="12" s="1"/>
  <c r="DM115" i="12" s="1"/>
  <c r="DC115" i="12"/>
  <c r="DE115" i="12" s="1"/>
  <c r="DI125" i="12"/>
  <c r="DJ125" i="12" s="1"/>
  <c r="DK125" i="12" s="1"/>
  <c r="DM125" i="12" s="1"/>
  <c r="DC125" i="12"/>
  <c r="DE125" i="12" s="1"/>
  <c r="DC139" i="12"/>
  <c r="DE139" i="12" s="1"/>
  <c r="DI139" i="12"/>
  <c r="DJ139" i="12" s="1"/>
  <c r="DK139" i="12" s="1"/>
  <c r="DM139" i="12" s="1"/>
  <c r="DH153" i="12"/>
  <c r="DI153" i="12"/>
  <c r="DC153" i="12"/>
  <c r="DE153" i="12" s="1"/>
  <c r="DC163" i="12"/>
  <c r="DE163" i="12" s="1"/>
  <c r="DI163" i="12"/>
  <c r="DJ163" i="12" s="1"/>
  <c r="DK163" i="12" s="1"/>
  <c r="DM163" i="12" s="1"/>
  <c r="DC207" i="12"/>
  <c r="DE207" i="12" s="1"/>
  <c r="DI207" i="12"/>
  <c r="DJ207" i="12" s="1"/>
  <c r="DK207" i="12" s="1"/>
  <c r="DM207" i="12" s="1"/>
  <c r="DH221" i="12"/>
  <c r="DC221" i="12"/>
  <c r="DE221" i="12" s="1"/>
  <c r="DI221" i="12"/>
  <c r="DJ221" i="12" s="1"/>
  <c r="DK221" i="12" s="1"/>
  <c r="DM221" i="12" s="1"/>
  <c r="DC235" i="12"/>
  <c r="DE235" i="12" s="1"/>
  <c r="DI235" i="12"/>
  <c r="DJ235" i="12" s="1"/>
  <c r="DK235" i="12" s="1"/>
  <c r="DM235" i="12" s="1"/>
  <c r="DI249" i="12"/>
  <c r="DJ249" i="12" s="1"/>
  <c r="DK249" i="12" s="1"/>
  <c r="DM249" i="12" s="1"/>
  <c r="DG249" i="12"/>
  <c r="DV249" i="12" s="1"/>
  <c r="DI11" i="12"/>
  <c r="DJ11" i="12" s="1"/>
  <c r="DK11" i="12" s="1"/>
  <c r="DM11" i="12" s="1"/>
  <c r="DC11" i="12"/>
  <c r="DE11" i="12" s="1"/>
  <c r="DC21" i="12"/>
  <c r="DE21" i="12" s="1"/>
  <c r="DI21" i="12"/>
  <c r="DJ21" i="12" s="1"/>
  <c r="DK21" i="12" s="1"/>
  <c r="DM21" i="12" s="1"/>
  <c r="DH41" i="12"/>
  <c r="DC41" i="12"/>
  <c r="DE41" i="12" s="1"/>
  <c r="DI41" i="12"/>
  <c r="DJ41" i="12" s="1"/>
  <c r="DK41" i="12" s="1"/>
  <c r="DM41" i="12" s="1"/>
  <c r="DC61" i="12"/>
  <c r="DE61" i="12" s="1"/>
  <c r="DI61" i="12"/>
  <c r="DJ61" i="12" s="1"/>
  <c r="DK61" i="12" s="1"/>
  <c r="DM61" i="12" s="1"/>
  <c r="DC69" i="12"/>
  <c r="DE69" i="12" s="1"/>
  <c r="DI69" i="12"/>
  <c r="DJ69" i="12" s="1"/>
  <c r="DK69" i="12" s="1"/>
  <c r="DM69" i="12" s="1"/>
  <c r="DC97" i="12"/>
  <c r="DI97" i="12"/>
  <c r="DC122" i="12"/>
  <c r="DE122" i="12" s="1"/>
  <c r="DI122" i="12"/>
  <c r="DJ122" i="12" s="1"/>
  <c r="DK122" i="12" s="1"/>
  <c r="DM122" i="12" s="1"/>
  <c r="DI140" i="12"/>
  <c r="DJ140" i="12" s="1"/>
  <c r="DK140" i="12" s="1"/>
  <c r="DM140" i="12" s="1"/>
  <c r="DC140" i="12"/>
  <c r="DE140" i="12" s="1"/>
  <c r="DH141" i="12"/>
  <c r="DC141" i="12"/>
  <c r="DE141" i="12" s="1"/>
  <c r="DI141" i="12"/>
  <c r="DJ141" i="12" s="1"/>
  <c r="DK141" i="12" s="1"/>
  <c r="DM141" i="12" s="1"/>
  <c r="DC160" i="12"/>
  <c r="DE160" i="12" s="1"/>
  <c r="DI160" i="12"/>
  <c r="DJ160" i="12" s="1"/>
  <c r="DK160" i="12" s="1"/>
  <c r="DM160" i="12" s="1"/>
  <c r="DC178" i="12"/>
  <c r="DE178" i="12" s="1"/>
  <c r="DI178" i="12"/>
  <c r="DJ178" i="12" s="1"/>
  <c r="DK178" i="12" s="1"/>
  <c r="DM178" i="12" s="1"/>
  <c r="DH188" i="12"/>
  <c r="DC188" i="12"/>
  <c r="DE188" i="12" s="1"/>
  <c r="DI188" i="12"/>
  <c r="DJ188" i="12" s="1"/>
  <c r="DK188" i="12" s="1"/>
  <c r="DM188" i="12" s="1"/>
  <c r="DH208" i="12"/>
  <c r="DC208" i="12"/>
  <c r="DE208" i="12" s="1"/>
  <c r="DI208" i="12"/>
  <c r="DJ208" i="12" s="1"/>
  <c r="DK208" i="12" s="1"/>
  <c r="DM208" i="12" s="1"/>
  <c r="DC218" i="12"/>
  <c r="DE218" i="12" s="1"/>
  <c r="DI218" i="12"/>
  <c r="DJ218" i="12" s="1"/>
  <c r="DK218" i="12" s="1"/>
  <c r="DM218" i="12" s="1"/>
  <c r="DC254" i="12"/>
  <c r="DE254" i="12" s="1"/>
  <c r="DI254" i="12"/>
  <c r="DJ254" i="12" s="1"/>
  <c r="DK254" i="12" s="1"/>
  <c r="DM254" i="12" s="1"/>
  <c r="DC264" i="12"/>
  <c r="DE264" i="12" s="1"/>
  <c r="DI264" i="12"/>
  <c r="DJ264" i="12" s="1"/>
  <c r="DK264" i="12" s="1"/>
  <c r="DM264" i="12" s="1"/>
  <c r="DC268" i="12"/>
  <c r="DE268" i="12" s="1"/>
  <c r="DI268" i="12"/>
  <c r="DJ268" i="12" s="1"/>
  <c r="DK268" i="12" s="1"/>
  <c r="DM268" i="12" s="1"/>
  <c r="DI5" i="12"/>
  <c r="DJ5" i="12" s="1"/>
  <c r="DK5" i="12" s="1"/>
  <c r="DM5" i="12" s="1"/>
  <c r="DC5" i="12"/>
  <c r="DE5" i="12" s="1"/>
  <c r="DI9" i="12"/>
  <c r="DJ9" i="12" s="1"/>
  <c r="DK9" i="12" s="1"/>
  <c r="DM9" i="12" s="1"/>
  <c r="DC9" i="12"/>
  <c r="DE9" i="12" s="1"/>
  <c r="DI13" i="12"/>
  <c r="DJ13" i="12" s="1"/>
  <c r="DK13" i="12" s="1"/>
  <c r="DM13" i="12" s="1"/>
  <c r="DC13" i="12"/>
  <c r="DE13" i="12" s="1"/>
  <c r="DC23" i="12"/>
  <c r="DE23" i="12" s="1"/>
  <c r="DI23" i="12"/>
  <c r="DJ23" i="12" s="1"/>
  <c r="DK23" i="12" s="1"/>
  <c r="DM23" i="12" s="1"/>
  <c r="DC28" i="12"/>
  <c r="DI28" i="12"/>
  <c r="DC49" i="12"/>
  <c r="DE49" i="12" s="1"/>
  <c r="DI49" i="12"/>
  <c r="DJ49" i="12" s="1"/>
  <c r="DK49" i="12" s="1"/>
  <c r="DM49" i="12" s="1"/>
  <c r="DC55" i="12"/>
  <c r="DI55" i="12"/>
  <c r="DI59" i="12"/>
  <c r="DJ59" i="12" s="1"/>
  <c r="DK59" i="12" s="1"/>
  <c r="DM59" i="12" s="1"/>
  <c r="DC59" i="12"/>
  <c r="DE59" i="12" s="1"/>
  <c r="DI63" i="12"/>
  <c r="DJ63" i="12" s="1"/>
  <c r="DK63" i="12" s="1"/>
  <c r="DM63" i="12" s="1"/>
  <c r="DC63" i="12"/>
  <c r="DE63" i="12" s="1"/>
  <c r="DI67" i="12"/>
  <c r="DJ67" i="12" s="1"/>
  <c r="DK67" i="12" s="1"/>
  <c r="DM67" i="12" s="1"/>
  <c r="DC67" i="12"/>
  <c r="DE67" i="12" s="1"/>
  <c r="DI71" i="12"/>
  <c r="DJ71" i="12" s="1"/>
  <c r="DK71" i="12" s="1"/>
  <c r="DM71" i="12" s="1"/>
  <c r="DC71" i="12"/>
  <c r="DE71" i="12" s="1"/>
  <c r="DI75" i="12"/>
  <c r="DJ75" i="12" s="1"/>
  <c r="DK75" i="12" s="1"/>
  <c r="DM75" i="12" s="1"/>
  <c r="DC75" i="12"/>
  <c r="DE75" i="12" s="1"/>
  <c r="DI79" i="12"/>
  <c r="DJ79" i="12" s="1"/>
  <c r="DK79" i="12" s="1"/>
  <c r="DM79" i="12" s="1"/>
  <c r="DC79" i="12"/>
  <c r="DE79" i="12" s="1"/>
  <c r="DI89" i="12"/>
  <c r="DJ89" i="12" s="1"/>
  <c r="DK89" i="12" s="1"/>
  <c r="DM89" i="12" s="1"/>
  <c r="DC89" i="12"/>
  <c r="DE89" i="12" s="1"/>
  <c r="DH105" i="12"/>
  <c r="DC105" i="12"/>
  <c r="DI105" i="12"/>
  <c r="DH285" i="12"/>
  <c r="DC285" i="12"/>
  <c r="DE285" i="12" s="1"/>
  <c r="DI285" i="12"/>
  <c r="DJ285" i="12" s="1"/>
  <c r="DK285" i="12" s="1"/>
  <c r="DM285" i="12" s="1"/>
  <c r="DC114" i="12"/>
  <c r="DI114" i="12"/>
  <c r="DI124" i="12"/>
  <c r="DJ124" i="12" s="1"/>
  <c r="DK124" i="12" s="1"/>
  <c r="DM124" i="12" s="1"/>
  <c r="DC124" i="12"/>
  <c r="DE124" i="12" s="1"/>
  <c r="DI134" i="12"/>
  <c r="DJ134" i="12" s="1"/>
  <c r="DK134" i="12" s="1"/>
  <c r="DM134" i="12" s="1"/>
  <c r="DC134" i="12"/>
  <c r="DE134" i="12" s="1"/>
  <c r="DI138" i="12"/>
  <c r="DC138" i="12"/>
  <c r="DE138" i="12" s="1"/>
  <c r="DH149" i="12"/>
  <c r="DC149" i="12"/>
  <c r="DE149" i="12" s="1"/>
  <c r="DI149" i="12"/>
  <c r="DJ149" i="12" s="1"/>
  <c r="DK149" i="12" s="1"/>
  <c r="DM149" i="12" s="1"/>
  <c r="DH152" i="12"/>
  <c r="DC152" i="12"/>
  <c r="DE152" i="12" s="1"/>
  <c r="DI152" i="12"/>
  <c r="DJ152" i="12" s="1"/>
  <c r="DK152" i="12" s="1"/>
  <c r="DM152" i="12" s="1"/>
  <c r="DC162" i="12"/>
  <c r="DE162" i="12" s="1"/>
  <c r="DI162" i="12"/>
  <c r="DJ162" i="12" s="1"/>
  <c r="DK162" i="12" s="1"/>
  <c r="DM162" i="12" s="1"/>
  <c r="DC172" i="12"/>
  <c r="DE172" i="12" s="1"/>
  <c r="DI172" i="12"/>
  <c r="DJ172" i="12" s="1"/>
  <c r="DK172" i="12" s="1"/>
  <c r="DM172" i="12" s="1"/>
  <c r="DC176" i="12"/>
  <c r="DE176" i="12" s="1"/>
  <c r="DI176" i="12"/>
  <c r="DJ176" i="12" s="1"/>
  <c r="DK176" i="12" s="1"/>
  <c r="DM176" i="12" s="1"/>
  <c r="DC180" i="12"/>
  <c r="DE180" i="12" s="1"/>
  <c r="DI180" i="12"/>
  <c r="DJ180" i="12" s="1"/>
  <c r="DK180" i="12" s="1"/>
  <c r="DM180" i="12" s="1"/>
  <c r="DI186" i="12"/>
  <c r="DC186" i="12"/>
  <c r="DH190" i="12"/>
  <c r="DC190" i="12"/>
  <c r="DE190" i="12" s="1"/>
  <c r="DI190" i="12"/>
  <c r="DJ190" i="12" s="1"/>
  <c r="DK190" i="12" s="1"/>
  <c r="DM190" i="12" s="1"/>
  <c r="DH200" i="12"/>
  <c r="DC200" i="12"/>
  <c r="DE200" i="12" s="1"/>
  <c r="DI200" i="12"/>
  <c r="DJ200" i="12" s="1"/>
  <c r="DK200" i="12" s="1"/>
  <c r="DM200" i="12" s="1"/>
  <c r="DH206" i="12"/>
  <c r="DC206" i="12"/>
  <c r="DI206" i="12"/>
  <c r="DC210" i="12"/>
  <c r="DE210" i="12" s="1"/>
  <c r="DI210" i="12"/>
  <c r="DJ210" i="12" s="1"/>
  <c r="DK210" i="12" s="1"/>
  <c r="DM210" i="12" s="1"/>
  <c r="DI220" i="12"/>
  <c r="DJ220" i="12" s="1"/>
  <c r="DK220" i="12" s="1"/>
  <c r="DM220" i="12" s="1"/>
  <c r="DC220" i="12"/>
  <c r="DE220" i="12" s="1"/>
  <c r="DC224" i="12"/>
  <c r="DE224" i="12" s="1"/>
  <c r="DI224" i="12"/>
  <c r="DJ224" i="12" s="1"/>
  <c r="DK224" i="12" s="1"/>
  <c r="DM224" i="12" s="1"/>
  <c r="DH228" i="12"/>
  <c r="DC228" i="12"/>
  <c r="DE228" i="12" s="1"/>
  <c r="DI228" i="12"/>
  <c r="DJ228" i="12" s="1"/>
  <c r="DK228" i="12" s="1"/>
  <c r="DM228" i="12" s="1"/>
  <c r="DC238" i="12"/>
  <c r="DE238" i="12" s="1"/>
  <c r="DI238" i="12"/>
  <c r="DJ238" i="12" s="1"/>
  <c r="DK238" i="12" s="1"/>
  <c r="DM238" i="12" s="1"/>
  <c r="DC242" i="12"/>
  <c r="DE242" i="12" s="1"/>
  <c r="DI242" i="12"/>
  <c r="DJ242" i="12" s="1"/>
  <c r="DK242" i="12" s="1"/>
  <c r="DM242" i="12" s="1"/>
  <c r="DI248" i="12"/>
  <c r="DI252" i="12"/>
  <c r="DJ252" i="12" s="1"/>
  <c r="DK252" i="12" s="1"/>
  <c r="DM252" i="12" s="1"/>
  <c r="DC252" i="12"/>
  <c r="DE252" i="12" s="1"/>
  <c r="DI256" i="12"/>
  <c r="DJ256" i="12" s="1"/>
  <c r="DK256" i="12" s="1"/>
  <c r="DM256" i="12" s="1"/>
  <c r="DG256" i="12"/>
  <c r="DV256" i="12" s="1"/>
  <c r="DI266" i="12"/>
  <c r="DJ266" i="12" s="1"/>
  <c r="DK266" i="12" s="1"/>
  <c r="DM266" i="12" s="1"/>
  <c r="DC266" i="12"/>
  <c r="DE266" i="12" s="1"/>
  <c r="EF22" i="13"/>
  <c r="EF23" i="13" s="1"/>
  <c r="AF6" i="11"/>
  <c r="AF11" i="11" s="1"/>
  <c r="DH180" i="12"/>
  <c r="DH186" i="12"/>
  <c r="DH55" i="12"/>
  <c r="DH178" i="12"/>
  <c r="DH211" i="12"/>
  <c r="DH268" i="12"/>
  <c r="DH80" i="12"/>
  <c r="DH79" i="12"/>
  <c r="DH74" i="12"/>
  <c r="DH72" i="12"/>
  <c r="DH71" i="12"/>
  <c r="DH64" i="12"/>
  <c r="DH63" i="12"/>
  <c r="DH107" i="12"/>
  <c r="DH133" i="12"/>
  <c r="DH210" i="12"/>
  <c r="DH219" i="12"/>
  <c r="DH253" i="12"/>
  <c r="DH56" i="12"/>
  <c r="DH28" i="12"/>
  <c r="DH274" i="12"/>
  <c r="DH275" i="12" s="1"/>
  <c r="DH266" i="12"/>
  <c r="DH263" i="12"/>
  <c r="DH267" i="12"/>
  <c r="DH264" i="12"/>
  <c r="DH265" i="12"/>
  <c r="DH249" i="12"/>
  <c r="DH250" i="12"/>
  <c r="DH254" i="12"/>
  <c r="DH257" i="12"/>
  <c r="DH255" i="12"/>
  <c r="DH248" i="12"/>
  <c r="DH252" i="12"/>
  <c r="DH256" i="12"/>
  <c r="DH240" i="12"/>
  <c r="DH237" i="12"/>
  <c r="DH241" i="12"/>
  <c r="DH238" i="12"/>
  <c r="DH242" i="12"/>
  <c r="DH235" i="12"/>
  <c r="DH239" i="12"/>
  <c r="DH220" i="12"/>
  <c r="DH224" i="12"/>
  <c r="DH217" i="12"/>
  <c r="DH218" i="12"/>
  <c r="DH222" i="12"/>
  <c r="DH226" i="12"/>
  <c r="DH207" i="12"/>
  <c r="DH209" i="12"/>
  <c r="DH199" i="12"/>
  <c r="DH172" i="12"/>
  <c r="DH176" i="12"/>
  <c r="DH174" i="12"/>
  <c r="DH159" i="12"/>
  <c r="DH163" i="12"/>
  <c r="DH160" i="12"/>
  <c r="DH164" i="12"/>
  <c r="DH162" i="12"/>
  <c r="DH161" i="12"/>
  <c r="DH165" i="12"/>
  <c r="DH148" i="12"/>
  <c r="DH151" i="12"/>
  <c r="DH150" i="12"/>
  <c r="DH134" i="12"/>
  <c r="DH138" i="12"/>
  <c r="DH135" i="12"/>
  <c r="DH139" i="12"/>
  <c r="DH136" i="12"/>
  <c r="DH140" i="12"/>
  <c r="DH124" i="12"/>
  <c r="DH125" i="12"/>
  <c r="DH122" i="12"/>
  <c r="DH126" i="12"/>
  <c r="DH114" i="12"/>
  <c r="DH97" i="12"/>
  <c r="DH98" i="12"/>
  <c r="DH284" i="12"/>
  <c r="DH106" i="12"/>
  <c r="DH89" i="12"/>
  <c r="DH90" i="12"/>
  <c r="DH91" i="12"/>
  <c r="DH60" i="12"/>
  <c r="DH68" i="12"/>
  <c r="DH76" i="12"/>
  <c r="DH57" i="12"/>
  <c r="DH61" i="12"/>
  <c r="DH65" i="12"/>
  <c r="DH69" i="12"/>
  <c r="DH73" i="12"/>
  <c r="DH77" i="12"/>
  <c r="DH81" i="12"/>
  <c r="DH59" i="12"/>
  <c r="DH67" i="12"/>
  <c r="DH75" i="12"/>
  <c r="DH48" i="12"/>
  <c r="DH49" i="12"/>
  <c r="DH40" i="12"/>
  <c r="DH29" i="12"/>
  <c r="DH21" i="12"/>
  <c r="DH23" i="12"/>
  <c r="DH7" i="12"/>
  <c r="DH14" i="12"/>
  <c r="DH10" i="12"/>
  <c r="DH6" i="12"/>
  <c r="DH13" i="12"/>
  <c r="DH9" i="12"/>
  <c r="DH5" i="12"/>
  <c r="DH11" i="12"/>
  <c r="DH12" i="12"/>
  <c r="DH8" i="12"/>
  <c r="AE8" i="11"/>
  <c r="AE7" i="11"/>
  <c r="CR256" i="12"/>
  <c r="CR255" i="12"/>
  <c r="CR249" i="12"/>
  <c r="CR248" i="12"/>
  <c r="DH42" i="12" l="1"/>
  <c r="DH201" i="12"/>
  <c r="DI116" i="12"/>
  <c r="DC116" i="12"/>
  <c r="DI101" i="12"/>
  <c r="CR258" i="12"/>
  <c r="DH116" i="12"/>
  <c r="DI83" i="12"/>
  <c r="DH166" i="12"/>
  <c r="DH286" i="12"/>
  <c r="DH194" i="12"/>
  <c r="DI212" i="12"/>
  <c r="DJ105" i="12"/>
  <c r="DI109" i="12"/>
  <c r="DI24" i="12"/>
  <c r="DE171" i="12"/>
  <c r="DE181" i="12" s="1"/>
  <c r="DC181" i="12"/>
  <c r="DJ274" i="12"/>
  <c r="DI275" i="12"/>
  <c r="DV147" i="12"/>
  <c r="DJ263" i="12"/>
  <c r="DI269" i="12"/>
  <c r="DC128" i="12"/>
  <c r="DV248" i="12"/>
  <c r="DE186" i="12"/>
  <c r="DE194" i="12" s="1"/>
  <c r="DC194" i="12"/>
  <c r="DJ28" i="12"/>
  <c r="DI30" i="12"/>
  <c r="DJ40" i="12"/>
  <c r="DI42" i="12"/>
  <c r="DH24" i="12"/>
  <c r="DJ199" i="12"/>
  <c r="DI201" i="12"/>
  <c r="DH181" i="12"/>
  <c r="DE148" i="12"/>
  <c r="DE154" i="12" s="1"/>
  <c r="DC154" i="12"/>
  <c r="DJ133" i="12"/>
  <c r="DI142" i="12"/>
  <c r="DE284" i="12"/>
  <c r="DE286" i="12" s="1"/>
  <c r="DC286" i="12"/>
  <c r="DE88" i="12"/>
  <c r="DE92" i="12" s="1"/>
  <c r="DC92" i="12"/>
  <c r="DE4" i="12"/>
  <c r="DE15" i="12" s="1"/>
  <c r="DC15" i="12"/>
  <c r="DE274" i="12"/>
  <c r="DE275" i="12" s="1"/>
  <c r="DC275" i="12"/>
  <c r="DJ147" i="12"/>
  <c r="DI154" i="12"/>
  <c r="DJ47" i="12"/>
  <c r="DI51" i="12"/>
  <c r="DE263" i="12"/>
  <c r="DE269" i="12" s="1"/>
  <c r="DC269" i="12"/>
  <c r="DI128" i="12"/>
  <c r="DC258" i="12"/>
  <c r="DH258" i="12"/>
  <c r="DE206" i="12"/>
  <c r="DE212" i="12" s="1"/>
  <c r="DC212" i="12"/>
  <c r="DE105" i="12"/>
  <c r="DE109" i="12" s="1"/>
  <c r="DC109" i="12"/>
  <c r="DH101" i="12"/>
  <c r="DH269" i="12"/>
  <c r="DH30" i="12"/>
  <c r="DI258" i="12"/>
  <c r="DH212" i="12"/>
  <c r="DI194" i="12"/>
  <c r="DH109" i="12"/>
  <c r="DE55" i="12"/>
  <c r="DE83" i="12" s="1"/>
  <c r="DC83" i="12"/>
  <c r="DE28" i="12"/>
  <c r="DE30" i="12" s="1"/>
  <c r="DC30" i="12"/>
  <c r="DE97" i="12"/>
  <c r="DE101" i="12" s="1"/>
  <c r="DC101" i="12"/>
  <c r="DE40" i="12"/>
  <c r="DE42" i="12" s="1"/>
  <c r="DC42" i="12"/>
  <c r="DE199" i="12"/>
  <c r="DE201" i="12" s="1"/>
  <c r="DC201" i="12"/>
  <c r="DE133" i="12"/>
  <c r="DE142" i="12" s="1"/>
  <c r="DC142" i="12"/>
  <c r="DJ284" i="12"/>
  <c r="DI286" i="12"/>
  <c r="DJ88" i="12"/>
  <c r="DI92" i="12"/>
  <c r="DI15" i="12"/>
  <c r="DH154" i="12"/>
  <c r="DE47" i="12"/>
  <c r="DE51" i="12" s="1"/>
  <c r="DC51" i="12"/>
  <c r="DJ159" i="12"/>
  <c r="DI166" i="12"/>
  <c r="DH128" i="12"/>
  <c r="DE258" i="12"/>
  <c r="DF248" i="12"/>
  <c r="DH142" i="12"/>
  <c r="DH83" i="12"/>
  <c r="DE20" i="12"/>
  <c r="DE24" i="12" s="1"/>
  <c r="DC24" i="12"/>
  <c r="DJ171" i="12"/>
  <c r="DI181" i="12"/>
  <c r="DH92" i="12"/>
  <c r="DH15" i="12"/>
  <c r="DH51" i="12"/>
  <c r="DE159" i="12"/>
  <c r="DE166" i="12" s="1"/>
  <c r="DC166" i="12"/>
  <c r="DJ206" i="12"/>
  <c r="DJ212" i="12" s="1"/>
  <c r="DJ20" i="12"/>
  <c r="DJ24" i="12" s="1"/>
  <c r="DJ241" i="12"/>
  <c r="DJ10" i="12"/>
  <c r="DJ126" i="12"/>
  <c r="DJ80" i="12"/>
  <c r="DJ248" i="12"/>
  <c r="DJ258" i="12" s="1"/>
  <c r="DJ186" i="12"/>
  <c r="DJ194" i="12" s="1"/>
  <c r="DJ138" i="12"/>
  <c r="DJ153" i="12"/>
  <c r="DJ4" i="12"/>
  <c r="DJ217" i="12"/>
  <c r="DJ173" i="12"/>
  <c r="DJ64" i="12"/>
  <c r="DJ97" i="12"/>
  <c r="DJ101" i="12" s="1"/>
  <c r="DJ55" i="12"/>
  <c r="DE121" i="12"/>
  <c r="DE128" i="12" s="1"/>
  <c r="DE114" i="12"/>
  <c r="DE116" i="12" s="1"/>
  <c r="DJ121" i="12"/>
  <c r="DJ114" i="12"/>
  <c r="DJ116" i="12" s="1"/>
  <c r="DO266" i="12"/>
  <c r="DN266" i="12"/>
  <c r="DF242" i="12"/>
  <c r="DG242" i="12"/>
  <c r="DV242" i="12" s="1"/>
  <c r="DG152" i="12"/>
  <c r="DV152" i="12" s="1"/>
  <c r="DF152" i="12"/>
  <c r="DO75" i="12"/>
  <c r="DN75" i="12"/>
  <c r="DG49" i="12"/>
  <c r="DV49" i="12" s="1"/>
  <c r="DF49" i="12"/>
  <c r="DG23" i="12"/>
  <c r="DV23" i="12" s="1"/>
  <c r="DF23" i="12"/>
  <c r="DO264" i="12"/>
  <c r="DN264" i="12"/>
  <c r="DN141" i="12"/>
  <c r="DO141" i="12"/>
  <c r="DN21" i="12"/>
  <c r="DO21" i="12"/>
  <c r="DG207" i="12"/>
  <c r="DV207" i="12" s="1"/>
  <c r="DF207" i="12"/>
  <c r="DG125" i="12"/>
  <c r="DV125" i="12" s="1"/>
  <c r="DF125" i="12"/>
  <c r="DF219" i="12"/>
  <c r="DG219" i="12"/>
  <c r="DV219" i="12" s="1"/>
  <c r="DO189" i="12"/>
  <c r="DN189" i="12"/>
  <c r="DN151" i="12"/>
  <c r="DO151" i="12"/>
  <c r="DO74" i="12"/>
  <c r="DN74" i="12"/>
  <c r="DG22" i="12"/>
  <c r="DV22" i="12" s="1"/>
  <c r="DF22" i="12"/>
  <c r="DG12" i="12"/>
  <c r="DV12" i="12" s="1"/>
  <c r="DF12" i="12"/>
  <c r="DF240" i="12"/>
  <c r="DG240" i="12"/>
  <c r="DV240" i="12" s="1"/>
  <c r="DG91" i="12"/>
  <c r="DV91" i="12" s="1"/>
  <c r="DF91" i="12"/>
  <c r="DN65" i="12"/>
  <c r="DO65" i="12"/>
  <c r="DO7" i="12"/>
  <c r="DN7" i="12"/>
  <c r="DG253" i="12"/>
  <c r="DV253" i="12" s="1"/>
  <c r="DF253" i="12"/>
  <c r="DO211" i="12"/>
  <c r="DN211" i="12"/>
  <c r="DG177" i="12"/>
  <c r="DV177" i="12" s="1"/>
  <c r="DF177" i="12"/>
  <c r="DN60" i="12"/>
  <c r="DO60" i="12"/>
  <c r="DN252" i="12"/>
  <c r="DO252" i="12"/>
  <c r="DF220" i="12"/>
  <c r="DG220" i="12"/>
  <c r="DV220" i="12" s="1"/>
  <c r="DG200" i="12"/>
  <c r="DV200" i="12" s="1"/>
  <c r="DF200" i="12"/>
  <c r="DG172" i="12"/>
  <c r="DV172" i="12" s="1"/>
  <c r="DF172" i="12"/>
  <c r="DN134" i="12"/>
  <c r="DO134" i="12"/>
  <c r="DO89" i="12"/>
  <c r="DN89" i="12"/>
  <c r="DO59" i="12"/>
  <c r="DN59" i="12"/>
  <c r="DO9" i="12"/>
  <c r="DN9" i="12"/>
  <c r="DO218" i="12"/>
  <c r="DN218" i="12"/>
  <c r="DN140" i="12"/>
  <c r="DO140" i="12"/>
  <c r="DG61" i="12"/>
  <c r="DV61" i="12" s="1"/>
  <c r="DF61" i="12"/>
  <c r="DG68" i="12"/>
  <c r="DV68" i="12" s="1"/>
  <c r="DF68" i="12"/>
  <c r="DG6" i="12"/>
  <c r="DV6" i="12" s="1"/>
  <c r="DF6" i="12"/>
  <c r="DN223" i="12"/>
  <c r="DO223" i="12"/>
  <c r="DN179" i="12"/>
  <c r="DO179" i="12"/>
  <c r="DG165" i="12"/>
  <c r="DV165" i="12" s="1"/>
  <c r="DF165" i="12"/>
  <c r="DN123" i="12"/>
  <c r="DO123" i="12"/>
  <c r="DO62" i="12"/>
  <c r="DN62" i="12"/>
  <c r="DG58" i="12"/>
  <c r="DV58" i="12" s="1"/>
  <c r="DF58" i="12"/>
  <c r="DO226" i="12"/>
  <c r="DN226" i="12"/>
  <c r="DO192" i="12"/>
  <c r="DN192" i="12"/>
  <c r="DG174" i="12"/>
  <c r="DV174" i="12" s="1"/>
  <c r="DF174" i="12"/>
  <c r="DN77" i="12"/>
  <c r="DO77" i="12"/>
  <c r="DF229" i="12"/>
  <c r="DG229" i="12"/>
  <c r="DV229" i="12" s="1"/>
  <c r="DN187" i="12"/>
  <c r="DO187" i="12"/>
  <c r="DN150" i="12"/>
  <c r="DO150" i="12"/>
  <c r="DG14" i="12"/>
  <c r="DV14" i="12" s="1"/>
  <c r="DF14" i="12"/>
  <c r="DN238" i="12"/>
  <c r="DO238" i="12"/>
  <c r="DO220" i="12"/>
  <c r="DN220" i="12"/>
  <c r="DO176" i="12"/>
  <c r="DN176" i="12"/>
  <c r="DF138" i="12"/>
  <c r="DG138" i="12"/>
  <c r="DV138" i="12" s="1"/>
  <c r="DG124" i="12"/>
  <c r="DV124" i="12" s="1"/>
  <c r="DF124" i="12"/>
  <c r="DG71" i="12"/>
  <c r="DV71" i="12" s="1"/>
  <c r="DF71" i="12"/>
  <c r="DG13" i="12"/>
  <c r="DV13" i="12" s="1"/>
  <c r="DF13" i="12"/>
  <c r="DG5" i="12"/>
  <c r="DV5" i="12" s="1"/>
  <c r="DF5" i="12"/>
  <c r="DF264" i="12"/>
  <c r="DG264" i="12"/>
  <c r="DV264" i="12" s="1"/>
  <c r="DN188" i="12"/>
  <c r="DO188" i="12"/>
  <c r="DG141" i="12"/>
  <c r="DV141" i="12" s="1"/>
  <c r="DF141" i="12"/>
  <c r="DN122" i="12"/>
  <c r="DO122" i="12"/>
  <c r="DN41" i="12"/>
  <c r="DO41" i="12"/>
  <c r="DO249" i="12"/>
  <c r="DP249" i="12" s="1"/>
  <c r="DN249" i="12"/>
  <c r="DN163" i="12"/>
  <c r="DO163" i="12"/>
  <c r="DO125" i="12"/>
  <c r="DN125" i="12"/>
  <c r="DN255" i="12"/>
  <c r="DO255" i="12"/>
  <c r="DP255" i="12" s="1"/>
  <c r="DO227" i="12"/>
  <c r="DN227" i="12"/>
  <c r="DN209" i="12"/>
  <c r="DO209" i="12"/>
  <c r="DG189" i="12"/>
  <c r="DV189" i="12" s="1"/>
  <c r="DF189" i="12"/>
  <c r="DG151" i="12"/>
  <c r="DV151" i="12" s="1"/>
  <c r="DF151" i="12"/>
  <c r="DN127" i="12"/>
  <c r="DO127" i="12"/>
  <c r="DG98" i="12"/>
  <c r="DV98" i="12" s="1"/>
  <c r="DF98" i="12"/>
  <c r="DN78" i="12"/>
  <c r="DO78" i="12"/>
  <c r="DO66" i="12"/>
  <c r="DN66" i="12"/>
  <c r="DN22" i="12"/>
  <c r="DO22" i="12"/>
  <c r="DN250" i="12"/>
  <c r="DO250" i="12"/>
  <c r="DN236" i="12"/>
  <c r="DO236" i="12"/>
  <c r="DF226" i="12"/>
  <c r="DG226" i="12"/>
  <c r="DV226" i="12" s="1"/>
  <c r="DN164" i="12"/>
  <c r="DO164" i="12"/>
  <c r="DG126" i="12"/>
  <c r="DV126" i="12" s="1"/>
  <c r="DF126" i="12"/>
  <c r="DN91" i="12"/>
  <c r="DO91" i="12"/>
  <c r="DG77" i="12"/>
  <c r="DV77" i="12" s="1"/>
  <c r="DF77" i="12"/>
  <c r="DG65" i="12"/>
  <c r="DV65" i="12" s="1"/>
  <c r="DF65" i="12"/>
  <c r="DN267" i="12"/>
  <c r="DO267" i="12"/>
  <c r="DO257" i="12"/>
  <c r="DN257" i="12"/>
  <c r="DO239" i="12"/>
  <c r="DN239" i="12"/>
  <c r="DG217" i="12"/>
  <c r="DV217" i="12" s="1"/>
  <c r="DF217" i="12"/>
  <c r="DO191" i="12"/>
  <c r="DN191" i="12"/>
  <c r="DG187" i="12"/>
  <c r="DV187" i="12" s="1"/>
  <c r="DF187" i="12"/>
  <c r="DN135" i="12"/>
  <c r="DO135" i="12"/>
  <c r="DG72" i="12"/>
  <c r="DV72" i="12" s="1"/>
  <c r="DF72" i="12"/>
  <c r="DG60" i="12"/>
  <c r="DV60" i="12" s="1"/>
  <c r="DF60" i="12"/>
  <c r="DO14" i="12"/>
  <c r="DN14" i="12"/>
  <c r="DN256" i="12"/>
  <c r="DO256" i="12"/>
  <c r="DP256" i="12" s="1"/>
  <c r="DF238" i="12"/>
  <c r="DG238" i="12"/>
  <c r="DV238" i="12" s="1"/>
  <c r="DN224" i="12"/>
  <c r="DO224" i="12"/>
  <c r="DO210" i="12"/>
  <c r="DN210" i="12"/>
  <c r="DN190" i="12"/>
  <c r="DO190" i="12"/>
  <c r="DG176" i="12"/>
  <c r="DV176" i="12" s="1"/>
  <c r="DF176" i="12"/>
  <c r="DG162" i="12"/>
  <c r="DV162" i="12" s="1"/>
  <c r="DF162" i="12"/>
  <c r="DN149" i="12"/>
  <c r="DO149" i="12"/>
  <c r="DN124" i="12"/>
  <c r="DO124" i="12"/>
  <c r="DG285" i="12"/>
  <c r="DV285" i="12" s="1"/>
  <c r="DF285" i="12"/>
  <c r="DN79" i="12"/>
  <c r="DO79" i="12"/>
  <c r="DN71" i="12"/>
  <c r="DO71" i="12"/>
  <c r="DO63" i="12"/>
  <c r="DN63" i="12"/>
  <c r="DO13" i="12"/>
  <c r="DN13" i="12"/>
  <c r="DO5" i="12"/>
  <c r="DP5" i="12" s="1"/>
  <c r="DN5" i="12"/>
  <c r="DN268" i="12"/>
  <c r="DO268" i="12"/>
  <c r="DN254" i="12"/>
  <c r="DO254" i="12"/>
  <c r="DO208" i="12"/>
  <c r="DN208" i="12"/>
  <c r="DG188" i="12"/>
  <c r="DV188" i="12" s="1"/>
  <c r="DF188" i="12"/>
  <c r="DN160" i="12"/>
  <c r="DO160" i="12"/>
  <c r="DG122" i="12"/>
  <c r="DV122" i="12" s="1"/>
  <c r="DF122" i="12"/>
  <c r="DG69" i="12"/>
  <c r="DV69" i="12" s="1"/>
  <c r="DF69" i="12"/>
  <c r="DG41" i="12"/>
  <c r="DV41" i="12" s="1"/>
  <c r="DF41" i="12"/>
  <c r="DG11" i="12"/>
  <c r="DV11" i="12" s="1"/>
  <c r="DF11" i="12"/>
  <c r="DN235" i="12"/>
  <c r="DO235" i="12"/>
  <c r="DG163" i="12"/>
  <c r="DV163" i="12" s="1"/>
  <c r="DF163" i="12"/>
  <c r="DN139" i="12"/>
  <c r="DO139" i="12"/>
  <c r="DG115" i="12"/>
  <c r="DV115" i="12" s="1"/>
  <c r="DF115" i="12"/>
  <c r="DO106" i="12"/>
  <c r="DP106" i="12" s="1"/>
  <c r="DN106" i="12"/>
  <c r="DG56" i="12"/>
  <c r="DV56" i="12" s="1"/>
  <c r="DF56" i="12"/>
  <c r="DO265" i="12"/>
  <c r="DN265" i="12"/>
  <c r="DN251" i="12"/>
  <c r="DO251" i="12"/>
  <c r="DF227" i="12"/>
  <c r="DG227" i="12"/>
  <c r="DV227" i="12" s="1"/>
  <c r="DG209" i="12"/>
  <c r="DV209" i="12" s="1"/>
  <c r="DF209" i="12"/>
  <c r="DO193" i="12"/>
  <c r="DN193" i="12"/>
  <c r="DO175" i="12"/>
  <c r="DN175" i="12"/>
  <c r="DN161" i="12"/>
  <c r="DO161" i="12"/>
  <c r="DO148" i="12"/>
  <c r="DG127" i="12"/>
  <c r="DV127" i="12" s="1"/>
  <c r="DF127" i="12"/>
  <c r="DN98" i="12"/>
  <c r="DO98" i="12"/>
  <c r="DG82" i="12"/>
  <c r="DV82" i="12" s="1"/>
  <c r="DF82" i="12"/>
  <c r="DG78" i="12"/>
  <c r="DV78" i="12" s="1"/>
  <c r="DF78" i="12"/>
  <c r="DO70" i="12"/>
  <c r="DN70" i="12"/>
  <c r="DG66" i="12"/>
  <c r="DV66" i="12" s="1"/>
  <c r="DF66" i="12"/>
  <c r="DN48" i="12"/>
  <c r="DO48" i="12"/>
  <c r="DG8" i="12"/>
  <c r="DV8" i="12" s="1"/>
  <c r="DF8" i="12"/>
  <c r="DG250" i="12"/>
  <c r="DV250" i="12" s="1"/>
  <c r="DF250" i="12"/>
  <c r="DF236" i="12"/>
  <c r="DG236" i="12"/>
  <c r="DV236" i="12" s="1"/>
  <c r="DO222" i="12"/>
  <c r="DN222" i="12"/>
  <c r="DG164" i="12"/>
  <c r="DV164" i="12" s="1"/>
  <c r="DF164" i="12"/>
  <c r="DF136" i="12"/>
  <c r="DG136" i="12"/>
  <c r="DV136" i="12" s="1"/>
  <c r="DO107" i="12"/>
  <c r="DN107" i="12"/>
  <c r="DN81" i="12"/>
  <c r="DO81" i="12"/>
  <c r="DN73" i="12"/>
  <c r="DO73" i="12"/>
  <c r="DO57" i="12"/>
  <c r="DN57" i="12"/>
  <c r="DF267" i="12"/>
  <c r="DG267" i="12"/>
  <c r="DV267" i="12" s="1"/>
  <c r="DG257" i="12"/>
  <c r="DV257" i="12" s="1"/>
  <c r="DF257" i="12"/>
  <c r="DF239" i="12"/>
  <c r="DG239" i="12"/>
  <c r="DV239" i="12" s="1"/>
  <c r="DO225" i="12"/>
  <c r="DN225" i="12"/>
  <c r="DG191" i="12"/>
  <c r="DV191" i="12" s="1"/>
  <c r="DF191" i="12"/>
  <c r="DF135" i="12"/>
  <c r="DG135" i="12"/>
  <c r="DV135" i="12" s="1"/>
  <c r="DG90" i="12"/>
  <c r="DV90" i="12" s="1"/>
  <c r="DF90" i="12"/>
  <c r="DN76" i="12"/>
  <c r="DO76" i="12"/>
  <c r="DN29" i="12"/>
  <c r="DO29" i="12"/>
  <c r="DG10" i="12"/>
  <c r="DV10" i="12" s="1"/>
  <c r="DF10" i="12"/>
  <c r="DF228" i="12"/>
  <c r="DG228" i="12"/>
  <c r="DV228" i="12" s="1"/>
  <c r="DG180" i="12"/>
  <c r="DV180" i="12" s="1"/>
  <c r="DF180" i="12"/>
  <c r="DO67" i="12"/>
  <c r="DN67" i="12"/>
  <c r="DN178" i="12"/>
  <c r="DO178" i="12"/>
  <c r="DO221" i="12"/>
  <c r="DN221" i="12"/>
  <c r="DO237" i="12"/>
  <c r="DN237" i="12"/>
  <c r="DN137" i="12"/>
  <c r="DO137" i="12"/>
  <c r="DN72" i="12"/>
  <c r="DO72" i="12"/>
  <c r="DO162" i="12"/>
  <c r="DN162" i="12"/>
  <c r="DN285" i="12"/>
  <c r="DO285" i="12"/>
  <c r="DG79" i="12"/>
  <c r="DV79" i="12" s="1"/>
  <c r="DF79" i="12"/>
  <c r="DG63" i="12"/>
  <c r="DV63" i="12" s="1"/>
  <c r="DF63" i="12"/>
  <c r="DF218" i="12"/>
  <c r="DG218" i="12"/>
  <c r="DV218" i="12" s="1"/>
  <c r="DG178" i="12"/>
  <c r="DV178" i="12" s="1"/>
  <c r="DF178" i="12"/>
  <c r="DN69" i="12"/>
  <c r="DO69" i="12"/>
  <c r="DG21" i="12"/>
  <c r="DV21" i="12" s="1"/>
  <c r="DF21" i="12"/>
  <c r="DF221" i="12"/>
  <c r="DG221" i="12"/>
  <c r="DV221" i="12" s="1"/>
  <c r="DN56" i="12"/>
  <c r="DO56" i="12"/>
  <c r="DO6" i="12"/>
  <c r="DN6" i="12"/>
  <c r="DF241" i="12"/>
  <c r="DG241" i="12"/>
  <c r="DV241" i="12" s="1"/>
  <c r="DF223" i="12"/>
  <c r="DG223" i="12"/>
  <c r="DV223" i="12" s="1"/>
  <c r="DG193" i="12"/>
  <c r="DV193" i="12" s="1"/>
  <c r="DF193" i="12"/>
  <c r="DN165" i="12"/>
  <c r="DO165" i="12"/>
  <c r="DF137" i="12"/>
  <c r="DG137" i="12"/>
  <c r="DV137" i="12" s="1"/>
  <c r="DG123" i="12"/>
  <c r="DV123" i="12" s="1"/>
  <c r="DF123" i="12"/>
  <c r="DG74" i="12"/>
  <c r="DV74" i="12" s="1"/>
  <c r="DF74" i="12"/>
  <c r="DG62" i="12"/>
  <c r="DV62" i="12" s="1"/>
  <c r="DF62" i="12"/>
  <c r="DO8" i="12"/>
  <c r="DN8" i="12"/>
  <c r="DG192" i="12"/>
  <c r="DV192" i="12" s="1"/>
  <c r="DF192" i="12"/>
  <c r="DG80" i="12"/>
  <c r="DV80" i="12" s="1"/>
  <c r="DF80" i="12"/>
  <c r="DF266" i="12"/>
  <c r="DG266" i="12"/>
  <c r="DV266" i="12" s="1"/>
  <c r="DG252" i="12"/>
  <c r="DV252" i="12" s="1"/>
  <c r="DF252" i="12"/>
  <c r="DO242" i="12"/>
  <c r="DN242" i="12"/>
  <c r="DO228" i="12"/>
  <c r="DN228" i="12"/>
  <c r="DF224" i="12"/>
  <c r="DG224" i="12"/>
  <c r="DV224" i="12" s="1"/>
  <c r="DG210" i="12"/>
  <c r="DV210" i="12" s="1"/>
  <c r="DF210" i="12"/>
  <c r="DO200" i="12"/>
  <c r="DN200" i="12"/>
  <c r="DG190" i="12"/>
  <c r="DV190" i="12" s="1"/>
  <c r="DF190" i="12"/>
  <c r="DO180" i="12"/>
  <c r="DN180" i="12"/>
  <c r="DO172" i="12"/>
  <c r="DN172" i="12"/>
  <c r="DN152" i="12"/>
  <c r="DO152" i="12"/>
  <c r="DG149" i="12"/>
  <c r="DV149" i="12" s="1"/>
  <c r="DF149" i="12"/>
  <c r="DF134" i="12"/>
  <c r="DG134" i="12"/>
  <c r="DV134" i="12" s="1"/>
  <c r="DG89" i="12"/>
  <c r="DV89" i="12" s="1"/>
  <c r="DF89" i="12"/>
  <c r="DG75" i="12"/>
  <c r="DV75" i="12" s="1"/>
  <c r="DF75" i="12"/>
  <c r="DG67" i="12"/>
  <c r="DV67" i="12" s="1"/>
  <c r="DF67" i="12"/>
  <c r="DG59" i="12"/>
  <c r="DV59" i="12" s="1"/>
  <c r="DF59" i="12"/>
  <c r="DN49" i="12"/>
  <c r="DO49" i="12"/>
  <c r="DN23" i="12"/>
  <c r="DO23" i="12"/>
  <c r="DG9" i="12"/>
  <c r="DV9" i="12" s="1"/>
  <c r="DF9" i="12"/>
  <c r="DF268" i="12"/>
  <c r="DG268" i="12"/>
  <c r="DV268" i="12" s="1"/>
  <c r="DG254" i="12"/>
  <c r="DV254" i="12" s="1"/>
  <c r="DF254" i="12"/>
  <c r="DG208" i="12"/>
  <c r="DV208" i="12" s="1"/>
  <c r="DF208" i="12"/>
  <c r="DG160" i="12"/>
  <c r="DV160" i="12" s="1"/>
  <c r="DF160" i="12"/>
  <c r="DF140" i="12"/>
  <c r="DG140" i="12"/>
  <c r="DV140" i="12" s="1"/>
  <c r="DN61" i="12"/>
  <c r="DO61" i="12"/>
  <c r="DO11" i="12"/>
  <c r="DN11" i="12"/>
  <c r="DG235" i="12"/>
  <c r="DV235" i="12" s="1"/>
  <c r="DF235" i="12"/>
  <c r="DO207" i="12"/>
  <c r="DN207" i="12"/>
  <c r="DG153" i="12"/>
  <c r="DV153" i="12" s="1"/>
  <c r="DF153" i="12"/>
  <c r="DF139" i="12"/>
  <c r="DG139" i="12"/>
  <c r="DV139" i="12" s="1"/>
  <c r="DO115" i="12"/>
  <c r="DN115" i="12"/>
  <c r="DN68" i="12"/>
  <c r="DO68" i="12"/>
  <c r="DF265" i="12"/>
  <c r="DG265" i="12"/>
  <c r="DV265" i="12" s="1"/>
  <c r="DG251" i="12"/>
  <c r="DV251" i="12" s="1"/>
  <c r="DF251" i="12"/>
  <c r="DF237" i="12"/>
  <c r="DG237" i="12"/>
  <c r="DV237" i="12" s="1"/>
  <c r="DO219" i="12"/>
  <c r="DN219" i="12"/>
  <c r="DG179" i="12"/>
  <c r="DV179" i="12" s="1"/>
  <c r="DF179" i="12"/>
  <c r="DG175" i="12"/>
  <c r="DV175" i="12" s="1"/>
  <c r="DF175" i="12"/>
  <c r="DG161" i="12"/>
  <c r="DV161" i="12" s="1"/>
  <c r="DF161" i="12"/>
  <c r="DG88" i="12"/>
  <c r="DN82" i="12"/>
  <c r="DO82" i="12"/>
  <c r="DG70" i="12"/>
  <c r="DV70" i="12" s="1"/>
  <c r="DF70" i="12"/>
  <c r="DN58" i="12"/>
  <c r="DO58" i="12"/>
  <c r="DG48" i="12"/>
  <c r="DV48" i="12" s="1"/>
  <c r="DF48" i="12"/>
  <c r="DO12" i="12"/>
  <c r="DN12" i="12"/>
  <c r="DO240" i="12"/>
  <c r="DN240" i="12"/>
  <c r="DF222" i="12"/>
  <c r="DG222" i="12"/>
  <c r="DV222" i="12" s="1"/>
  <c r="DO174" i="12"/>
  <c r="DN174" i="12"/>
  <c r="DO136" i="12"/>
  <c r="DN136" i="12"/>
  <c r="DG107" i="12"/>
  <c r="DV107" i="12" s="1"/>
  <c r="DF107" i="12"/>
  <c r="DG81" i="12"/>
  <c r="DV81" i="12" s="1"/>
  <c r="DF81" i="12"/>
  <c r="DG73" i="12"/>
  <c r="DV73" i="12" s="1"/>
  <c r="DF73" i="12"/>
  <c r="DG57" i="12"/>
  <c r="DV57" i="12" s="1"/>
  <c r="DF57" i="12"/>
  <c r="DG7" i="12"/>
  <c r="DV7" i="12" s="1"/>
  <c r="DF7" i="12"/>
  <c r="DO253" i="12"/>
  <c r="DN253" i="12"/>
  <c r="DO229" i="12"/>
  <c r="DN229" i="12"/>
  <c r="DF225" i="12"/>
  <c r="DG225" i="12"/>
  <c r="DV225" i="12" s="1"/>
  <c r="DG211" i="12"/>
  <c r="DV211" i="12" s="1"/>
  <c r="DF211" i="12"/>
  <c r="DO177" i="12"/>
  <c r="DN177" i="12"/>
  <c r="DG173" i="12"/>
  <c r="DV173" i="12" s="1"/>
  <c r="DF173" i="12"/>
  <c r="DG150" i="12"/>
  <c r="DV150" i="12" s="1"/>
  <c r="DF150" i="12"/>
  <c r="DN90" i="12"/>
  <c r="DO90" i="12"/>
  <c r="DG76" i="12"/>
  <c r="DV76" i="12" s="1"/>
  <c r="DF76" i="12"/>
  <c r="DG64" i="12"/>
  <c r="DV64" i="12" s="1"/>
  <c r="DF64" i="12"/>
  <c r="DG29" i="12"/>
  <c r="DV29" i="12" s="1"/>
  <c r="DF29" i="12"/>
  <c r="DG159" i="12" l="1"/>
  <c r="DG171" i="12"/>
  <c r="DG114" i="12"/>
  <c r="DG116" i="12" s="1"/>
  <c r="DG105" i="12"/>
  <c r="DG20" i="12"/>
  <c r="DV20" i="12" s="1"/>
  <c r="DV24" i="12" s="1"/>
  <c r="DG206" i="12"/>
  <c r="DV206" i="12" s="1"/>
  <c r="DV212" i="12" s="1"/>
  <c r="DF171" i="12"/>
  <c r="DF181" i="12" s="1"/>
  <c r="DP13" i="12"/>
  <c r="DF20" i="12"/>
  <c r="DF24" i="12" s="1"/>
  <c r="DF105" i="12"/>
  <c r="DF109" i="12" s="1"/>
  <c r="DF114" i="12"/>
  <c r="DF116" i="12" s="1"/>
  <c r="DF206" i="12"/>
  <c r="DF212" i="12" s="1"/>
  <c r="DJ15" i="12"/>
  <c r="DF148" i="12"/>
  <c r="DN148" i="12"/>
  <c r="DF4" i="12"/>
  <c r="DF15" i="12" s="1"/>
  <c r="DG148" i="12"/>
  <c r="DV148" i="12" s="1"/>
  <c r="DV154" i="12" s="1"/>
  <c r="DF199" i="12"/>
  <c r="DF201" i="12" s="1"/>
  <c r="DG4" i="12"/>
  <c r="DV4" i="12" s="1"/>
  <c r="DV15" i="12" s="1"/>
  <c r="DF284" i="12"/>
  <c r="DF286" i="12" s="1"/>
  <c r="DF97" i="12"/>
  <c r="DF101" i="12" s="1"/>
  <c r="DF263" i="12"/>
  <c r="DF269" i="12" s="1"/>
  <c r="DJ128" i="12"/>
  <c r="DG284" i="12"/>
  <c r="DV284" i="12" s="1"/>
  <c r="DV286" i="12" s="1"/>
  <c r="DG97" i="12"/>
  <c r="DG101" i="12" s="1"/>
  <c r="DF55" i="12"/>
  <c r="DF83" i="12" s="1"/>
  <c r="DF274" i="12"/>
  <c r="DF275" i="12" s="1"/>
  <c r="DF186" i="12"/>
  <c r="DF194" i="12" s="1"/>
  <c r="DF28" i="12"/>
  <c r="DF30" i="12" s="1"/>
  <c r="DF47" i="12"/>
  <c r="DF51" i="12" s="1"/>
  <c r="DF40" i="12"/>
  <c r="DF42" i="12" s="1"/>
  <c r="DG274" i="12"/>
  <c r="DV274" i="12" s="1"/>
  <c r="DV275" i="12" s="1"/>
  <c r="DG186" i="12"/>
  <c r="DV186" i="12" s="1"/>
  <c r="DV194" i="12" s="1"/>
  <c r="DF133" i="12"/>
  <c r="DF142" i="12" s="1"/>
  <c r="DF88" i="12"/>
  <c r="DF92" i="12" s="1"/>
  <c r="DF159" i="12"/>
  <c r="DF166" i="12" s="1"/>
  <c r="DJ83" i="12"/>
  <c r="DF154" i="12"/>
  <c r="DV159" i="12"/>
  <c r="DV166" i="12" s="1"/>
  <c r="DG166" i="12"/>
  <c r="DV171" i="12"/>
  <c r="DV181" i="12" s="1"/>
  <c r="DG181" i="12"/>
  <c r="DG28" i="12"/>
  <c r="DG47" i="12"/>
  <c r="DV105" i="12"/>
  <c r="DV109" i="12" s="1"/>
  <c r="DG109" i="12"/>
  <c r="DG263" i="12"/>
  <c r="DG199" i="12"/>
  <c r="DK88" i="12"/>
  <c r="DJ92" i="12"/>
  <c r="DK47" i="12"/>
  <c r="DJ51" i="12"/>
  <c r="DK133" i="12"/>
  <c r="DJ142" i="12"/>
  <c r="DK40" i="12"/>
  <c r="DJ42" i="12"/>
  <c r="DV88" i="12"/>
  <c r="DV92" i="12" s="1"/>
  <c r="DG92" i="12"/>
  <c r="DG55" i="12"/>
  <c r="DG133" i="12"/>
  <c r="DG40" i="12"/>
  <c r="DK171" i="12"/>
  <c r="DJ181" i="12"/>
  <c r="DK199" i="12"/>
  <c r="DJ201" i="12"/>
  <c r="DG258" i="12"/>
  <c r="DK263" i="12"/>
  <c r="DJ269" i="12"/>
  <c r="DK274" i="12"/>
  <c r="DJ275" i="12"/>
  <c r="DF258" i="12"/>
  <c r="DK159" i="12"/>
  <c r="DJ166" i="12"/>
  <c r="DK284" i="12"/>
  <c r="DJ286" i="12"/>
  <c r="DK147" i="12"/>
  <c r="DJ154" i="12"/>
  <c r="DK28" i="12"/>
  <c r="DJ30" i="12"/>
  <c r="DV258" i="12"/>
  <c r="DK105" i="12"/>
  <c r="DJ109" i="12"/>
  <c r="DK4" i="12"/>
  <c r="DK138" i="12"/>
  <c r="DK10" i="12"/>
  <c r="DK20" i="12"/>
  <c r="DK24" i="12" s="1"/>
  <c r="DK64" i="12"/>
  <c r="DK217" i="12"/>
  <c r="DK248" i="12"/>
  <c r="DK258" i="12" s="1"/>
  <c r="DK126" i="12"/>
  <c r="DK153" i="12"/>
  <c r="DK186" i="12"/>
  <c r="DK194" i="12" s="1"/>
  <c r="DK80" i="12"/>
  <c r="DK241" i="12"/>
  <c r="DK206" i="12"/>
  <c r="DK212" i="12" s="1"/>
  <c r="DK173" i="12"/>
  <c r="DK97" i="12"/>
  <c r="DK101" i="12" s="1"/>
  <c r="DP14" i="12"/>
  <c r="DF121" i="12"/>
  <c r="DF128" i="12" s="1"/>
  <c r="DG121" i="12"/>
  <c r="DG128" i="12" s="1"/>
  <c r="DK121" i="12"/>
  <c r="DV114" i="12"/>
  <c r="DV116" i="12" s="1"/>
  <c r="DK114" i="12"/>
  <c r="DK116" i="12" s="1"/>
  <c r="DK55" i="12"/>
  <c r="DP12" i="12"/>
  <c r="DP207" i="12"/>
  <c r="DP200" i="12"/>
  <c r="DP172" i="12"/>
  <c r="DP6" i="12"/>
  <c r="DP174" i="12"/>
  <c r="DP180" i="12"/>
  <c r="DP8" i="12"/>
  <c r="DP115" i="12"/>
  <c r="DP162" i="12"/>
  <c r="DP90" i="12"/>
  <c r="DP61" i="12"/>
  <c r="DP23" i="12"/>
  <c r="DP177" i="12"/>
  <c r="DP253" i="12"/>
  <c r="DP68" i="12"/>
  <c r="DP152" i="12"/>
  <c r="DP72" i="12"/>
  <c r="DP81" i="12"/>
  <c r="DP82" i="12"/>
  <c r="DP49" i="12"/>
  <c r="DP285" i="12"/>
  <c r="DP79" i="12"/>
  <c r="DP91" i="12"/>
  <c r="DP22" i="12"/>
  <c r="DP11" i="12"/>
  <c r="DP125" i="12"/>
  <c r="DP58" i="12"/>
  <c r="DP56" i="12"/>
  <c r="DP98" i="12"/>
  <c r="DP124" i="12"/>
  <c r="DP164" i="12"/>
  <c r="DP165" i="12"/>
  <c r="DP69" i="12"/>
  <c r="DP178" i="12"/>
  <c r="DP71" i="12"/>
  <c r="DP240" i="12"/>
  <c r="DP219" i="12"/>
  <c r="DP251" i="12"/>
  <c r="DP235" i="12"/>
  <c r="DP254" i="12"/>
  <c r="DP149" i="12"/>
  <c r="DP190" i="12"/>
  <c r="DP267" i="12"/>
  <c r="DP236" i="12"/>
  <c r="DP78" i="12"/>
  <c r="DP127" i="12"/>
  <c r="DP209" i="12"/>
  <c r="DP122" i="12"/>
  <c r="DP188" i="12"/>
  <c r="DP150" i="12"/>
  <c r="DP123" i="12"/>
  <c r="DP179" i="12"/>
  <c r="DP223" i="12"/>
  <c r="DP252" i="12"/>
  <c r="DP60" i="12"/>
  <c r="DP65" i="12"/>
  <c r="DP141" i="12"/>
  <c r="DP220" i="12"/>
  <c r="DP224" i="12"/>
  <c r="DP134" i="12"/>
  <c r="DP229" i="12"/>
  <c r="DP136" i="12"/>
  <c r="DP242" i="12"/>
  <c r="DP237" i="12"/>
  <c r="DP67" i="12"/>
  <c r="DP225" i="12"/>
  <c r="DP57" i="12"/>
  <c r="DP222" i="12"/>
  <c r="DP193" i="12"/>
  <c r="DP63" i="12"/>
  <c r="DP191" i="12"/>
  <c r="DP239" i="12"/>
  <c r="DP192" i="12"/>
  <c r="DP62" i="12"/>
  <c r="DP218" i="12"/>
  <c r="DP59" i="12"/>
  <c r="DP74" i="12"/>
  <c r="DP189" i="12"/>
  <c r="DP75" i="12"/>
  <c r="DP137" i="12"/>
  <c r="DP29" i="12"/>
  <c r="DP76" i="12"/>
  <c r="DP73" i="12"/>
  <c r="DP48" i="12"/>
  <c r="DP161" i="12"/>
  <c r="DP160" i="12"/>
  <c r="DP268" i="12"/>
  <c r="DP135" i="12"/>
  <c r="DP250" i="12"/>
  <c r="DP163" i="12"/>
  <c r="DP41" i="12"/>
  <c r="DP238" i="12"/>
  <c r="DP187" i="12"/>
  <c r="DP77" i="12"/>
  <c r="DP140" i="12"/>
  <c r="DP151" i="12"/>
  <c r="DP21" i="12"/>
  <c r="DP139" i="12"/>
  <c r="DP228" i="12"/>
  <c r="DP221" i="12"/>
  <c r="DP107" i="12"/>
  <c r="DP70" i="12"/>
  <c r="DP175" i="12"/>
  <c r="DP265" i="12"/>
  <c r="DP208" i="12"/>
  <c r="DP210" i="12"/>
  <c r="DP257" i="12"/>
  <c r="DP66" i="12"/>
  <c r="DP227" i="12"/>
  <c r="DP176" i="12"/>
  <c r="DP226" i="12"/>
  <c r="DP9" i="12"/>
  <c r="DP89" i="12"/>
  <c r="DP211" i="12"/>
  <c r="DP7" i="12"/>
  <c r="DP264" i="12"/>
  <c r="DP266" i="12"/>
  <c r="DY22" i="13"/>
  <c r="AE10" i="11" s="1"/>
  <c r="EA14" i="13"/>
  <c r="AE9" i="11" s="1"/>
  <c r="EA6" i="13"/>
  <c r="CS274" i="12"/>
  <c r="CS275" i="12" s="1"/>
  <c r="CS268" i="12"/>
  <c r="CY268" i="12" s="1"/>
  <c r="CS267" i="12"/>
  <c r="CY267" i="12" s="1"/>
  <c r="CS266" i="12"/>
  <c r="CY266" i="12" s="1"/>
  <c r="CS265" i="12"/>
  <c r="CY265" i="12" s="1"/>
  <c r="CS264" i="12"/>
  <c r="CY264" i="12" s="1"/>
  <c r="CS263" i="12"/>
  <c r="CS257" i="12"/>
  <c r="CY257" i="12" s="1"/>
  <c r="CS256" i="12"/>
  <c r="CY256" i="12" s="1"/>
  <c r="CS255" i="12"/>
  <c r="CY255" i="12" s="1"/>
  <c r="CS254" i="12"/>
  <c r="CY254" i="12" s="1"/>
  <c r="CS253" i="12"/>
  <c r="CY253" i="12" s="1"/>
  <c r="CS252" i="12"/>
  <c r="CY252" i="12" s="1"/>
  <c r="CS251" i="12"/>
  <c r="CY251" i="12" s="1"/>
  <c r="CS250" i="12"/>
  <c r="CY250" i="12" s="1"/>
  <c r="CS249" i="12"/>
  <c r="CY249" i="12" s="1"/>
  <c r="CS248" i="12"/>
  <c r="CS242" i="12"/>
  <c r="CY242" i="12" s="1"/>
  <c r="CS241" i="12"/>
  <c r="CS240" i="12"/>
  <c r="CY240" i="12" s="1"/>
  <c r="CS239" i="12"/>
  <c r="CY239" i="12" s="1"/>
  <c r="CS238" i="12"/>
  <c r="CY238" i="12" s="1"/>
  <c r="CS237" i="12"/>
  <c r="CY237" i="12" s="1"/>
  <c r="CS236" i="12"/>
  <c r="CY236" i="12" s="1"/>
  <c r="CS235" i="12"/>
  <c r="CY235" i="12" s="1"/>
  <c r="CS229" i="12"/>
  <c r="CY229" i="12" s="1"/>
  <c r="CS228" i="12"/>
  <c r="CY228" i="12" s="1"/>
  <c r="CS227" i="12"/>
  <c r="CY227" i="12" s="1"/>
  <c r="CS226" i="12"/>
  <c r="CY226" i="12" s="1"/>
  <c r="CS225" i="12"/>
  <c r="CY225" i="12" s="1"/>
  <c r="CS224" i="12"/>
  <c r="CY224" i="12" s="1"/>
  <c r="CS223" i="12"/>
  <c r="CY223" i="12" s="1"/>
  <c r="CS222" i="12"/>
  <c r="CY222" i="12" s="1"/>
  <c r="CS221" i="12"/>
  <c r="CY221" i="12" s="1"/>
  <c r="CS220" i="12"/>
  <c r="CY220" i="12" s="1"/>
  <c r="CS219" i="12"/>
  <c r="CY219" i="12" s="1"/>
  <c r="CS218" i="12"/>
  <c r="CY218" i="12" s="1"/>
  <c r="CS217" i="12"/>
  <c r="CS211" i="12"/>
  <c r="CY211" i="12" s="1"/>
  <c r="CS210" i="12"/>
  <c r="CY210" i="12" s="1"/>
  <c r="CS209" i="12"/>
  <c r="CY209" i="12" s="1"/>
  <c r="CS208" i="12"/>
  <c r="CY208" i="12" s="1"/>
  <c r="CS207" i="12"/>
  <c r="CY207" i="12" s="1"/>
  <c r="CS206" i="12"/>
  <c r="CS200" i="12"/>
  <c r="CY200" i="12" s="1"/>
  <c r="CS199" i="12"/>
  <c r="CS193" i="12"/>
  <c r="CY193" i="12" s="1"/>
  <c r="CS192" i="12"/>
  <c r="CY192" i="12" s="1"/>
  <c r="CS191" i="12"/>
  <c r="CY191" i="12" s="1"/>
  <c r="CS190" i="12"/>
  <c r="CY190" i="12" s="1"/>
  <c r="CS189" i="12"/>
  <c r="CY189" i="12" s="1"/>
  <c r="CS188" i="12"/>
  <c r="CY188" i="12" s="1"/>
  <c r="CS187" i="12"/>
  <c r="CY187" i="12" s="1"/>
  <c r="CS186" i="12"/>
  <c r="CS180" i="12"/>
  <c r="CY180" i="12" s="1"/>
  <c r="CS179" i="12"/>
  <c r="CY179" i="12" s="1"/>
  <c r="CS178" i="12"/>
  <c r="CY178" i="12" s="1"/>
  <c r="CS177" i="12"/>
  <c r="CY177" i="12" s="1"/>
  <c r="CS176" i="12"/>
  <c r="CY176" i="12" s="1"/>
  <c r="CS175" i="12"/>
  <c r="CY175" i="12" s="1"/>
  <c r="CS174" i="12"/>
  <c r="CY174" i="12" s="1"/>
  <c r="CS173" i="12"/>
  <c r="CS172" i="12"/>
  <c r="CY172" i="12" s="1"/>
  <c r="CS171" i="12"/>
  <c r="CS165" i="12"/>
  <c r="CY165" i="12" s="1"/>
  <c r="CS164" i="12"/>
  <c r="CY164" i="12" s="1"/>
  <c r="CS163" i="12"/>
  <c r="CY163" i="12" s="1"/>
  <c r="CS162" i="12"/>
  <c r="CY162" i="12" s="1"/>
  <c r="CS161" i="12"/>
  <c r="CY161" i="12" s="1"/>
  <c r="CS160" i="12"/>
  <c r="CY160" i="12" s="1"/>
  <c r="CS159" i="12"/>
  <c r="CS153" i="12"/>
  <c r="CS152" i="12"/>
  <c r="CY152" i="12" s="1"/>
  <c r="CS151" i="12"/>
  <c r="CY151" i="12" s="1"/>
  <c r="CS141" i="12"/>
  <c r="CY141" i="12" s="1"/>
  <c r="CS150" i="12"/>
  <c r="CY150" i="12" s="1"/>
  <c r="CS149" i="12"/>
  <c r="CY149" i="12" s="1"/>
  <c r="CS148" i="12"/>
  <c r="CY148" i="12" s="1"/>
  <c r="CS147" i="12"/>
  <c r="CS140" i="12"/>
  <c r="CY140" i="12" s="1"/>
  <c r="CS139" i="12"/>
  <c r="CY139" i="12" s="1"/>
  <c r="CS138" i="12"/>
  <c r="CS137" i="12"/>
  <c r="CY137" i="12" s="1"/>
  <c r="CS136" i="12"/>
  <c r="CY136" i="12" s="1"/>
  <c r="CS135" i="12"/>
  <c r="CY135" i="12" s="1"/>
  <c r="CS134" i="12"/>
  <c r="CY134" i="12" s="1"/>
  <c r="CS133" i="12"/>
  <c r="CS127" i="12"/>
  <c r="CY127" i="12" s="1"/>
  <c r="CS126" i="12"/>
  <c r="CS125" i="12"/>
  <c r="CY125" i="12" s="1"/>
  <c r="CS124" i="12"/>
  <c r="CY124" i="12" s="1"/>
  <c r="CS123" i="12"/>
  <c r="CY123" i="12" s="1"/>
  <c r="CS122" i="12"/>
  <c r="CY122" i="12" s="1"/>
  <c r="CS121" i="12"/>
  <c r="CS115" i="12"/>
  <c r="CY115" i="12" s="1"/>
  <c r="CS114" i="12"/>
  <c r="CS285" i="12"/>
  <c r="CS284" i="12"/>
  <c r="CS107" i="12"/>
  <c r="CY107" i="12" s="1"/>
  <c r="CS106" i="12"/>
  <c r="CY106" i="12" s="1"/>
  <c r="CS105" i="12"/>
  <c r="CS98" i="12"/>
  <c r="CY98" i="12" s="1"/>
  <c r="CS97" i="12"/>
  <c r="CS91" i="12"/>
  <c r="CY91" i="12" s="1"/>
  <c r="CS90" i="12"/>
  <c r="CY90" i="12" s="1"/>
  <c r="CS89" i="12"/>
  <c r="CY89" i="12" s="1"/>
  <c r="CS88" i="12"/>
  <c r="CS82" i="12"/>
  <c r="CY82" i="12" s="1"/>
  <c r="CS81" i="12"/>
  <c r="CY81" i="12" s="1"/>
  <c r="CS80" i="12"/>
  <c r="CS79" i="12"/>
  <c r="CY79" i="12" s="1"/>
  <c r="CS78" i="12"/>
  <c r="CY78" i="12" s="1"/>
  <c r="CS77" i="12"/>
  <c r="CY77" i="12" s="1"/>
  <c r="CS76" i="12"/>
  <c r="CY76" i="12" s="1"/>
  <c r="CS75" i="12"/>
  <c r="CY75" i="12" s="1"/>
  <c r="CS74" i="12"/>
  <c r="CY74" i="12" s="1"/>
  <c r="CS73" i="12"/>
  <c r="CY73" i="12" s="1"/>
  <c r="CS72" i="12"/>
  <c r="CY72" i="12" s="1"/>
  <c r="CS71" i="12"/>
  <c r="CY71" i="12" s="1"/>
  <c r="CS70" i="12"/>
  <c r="CY70" i="12" s="1"/>
  <c r="CS69" i="12"/>
  <c r="CY69" i="12" s="1"/>
  <c r="CS68" i="12"/>
  <c r="CY68" i="12" s="1"/>
  <c r="CS67" i="12"/>
  <c r="CY67" i="12" s="1"/>
  <c r="CS66" i="12"/>
  <c r="CY66" i="12" s="1"/>
  <c r="CS65" i="12"/>
  <c r="CY65" i="12" s="1"/>
  <c r="CS64" i="12"/>
  <c r="CS63" i="12"/>
  <c r="CY63" i="12" s="1"/>
  <c r="CS62" i="12"/>
  <c r="CY62" i="12" s="1"/>
  <c r="CS61" i="12"/>
  <c r="CY61" i="12" s="1"/>
  <c r="CS60" i="12"/>
  <c r="CY60" i="12" s="1"/>
  <c r="CS59" i="12"/>
  <c r="CY59" i="12" s="1"/>
  <c r="CS58" i="12"/>
  <c r="CY58" i="12" s="1"/>
  <c r="CS57" i="12"/>
  <c r="CY57" i="12" s="1"/>
  <c r="CS56" i="12"/>
  <c r="CY56" i="12" s="1"/>
  <c r="CS55" i="12"/>
  <c r="CS49" i="12"/>
  <c r="CY49" i="12" s="1"/>
  <c r="CS48" i="12"/>
  <c r="CY48" i="12" s="1"/>
  <c r="CS47" i="12"/>
  <c r="CS41" i="12"/>
  <c r="CY41" i="12" s="1"/>
  <c r="CS40" i="12"/>
  <c r="CS29" i="12"/>
  <c r="CY29" i="12" s="1"/>
  <c r="CS28" i="12"/>
  <c r="CS23" i="12"/>
  <c r="CY23" i="12" s="1"/>
  <c r="CS22" i="12"/>
  <c r="CY22" i="12" s="1"/>
  <c r="CS21" i="12"/>
  <c r="CY21" i="12" s="1"/>
  <c r="CS20" i="12"/>
  <c r="CS14" i="12"/>
  <c r="CY14" i="12" s="1"/>
  <c r="CS13" i="12"/>
  <c r="CY13" i="12" s="1"/>
  <c r="CS12" i="12"/>
  <c r="CY12" i="12" s="1"/>
  <c r="CS11" i="12"/>
  <c r="CY11" i="12" s="1"/>
  <c r="CS10" i="12"/>
  <c r="CS9" i="12"/>
  <c r="CY9" i="12" s="1"/>
  <c r="CS8" i="12"/>
  <c r="CY8" i="12" s="1"/>
  <c r="CS7" i="12"/>
  <c r="CY7" i="12" s="1"/>
  <c r="CS6" i="12"/>
  <c r="CY6" i="12" s="1"/>
  <c r="CS5" i="12"/>
  <c r="CY5" i="12" s="1"/>
  <c r="CS4" i="12"/>
  <c r="DG212" i="12" l="1"/>
  <c r="DG24" i="12"/>
  <c r="DP148" i="12"/>
  <c r="DV97" i="12"/>
  <c r="DV101" i="12" s="1"/>
  <c r="DK128" i="12"/>
  <c r="DG15" i="12"/>
  <c r="DG275" i="12"/>
  <c r="CS116" i="12"/>
  <c r="DG286" i="12"/>
  <c r="DG194" i="12"/>
  <c r="CS212" i="12"/>
  <c r="DK83" i="12"/>
  <c r="CS101" i="12"/>
  <c r="DG154" i="12"/>
  <c r="CS83" i="12"/>
  <c r="CS128" i="12"/>
  <c r="CS194" i="12"/>
  <c r="CS15" i="12"/>
  <c r="CY105" i="12"/>
  <c r="CY109" i="12" s="1"/>
  <c r="CS109" i="12"/>
  <c r="CS258" i="12"/>
  <c r="DM199" i="12"/>
  <c r="DK201" i="12"/>
  <c r="DV133" i="12"/>
  <c r="DV142" i="12" s="1"/>
  <c r="DG142" i="12"/>
  <c r="DM40" i="12"/>
  <c r="DK42" i="12"/>
  <c r="DM47" i="12"/>
  <c r="DK51" i="12"/>
  <c r="DV28" i="12"/>
  <c r="DV30" i="12" s="1"/>
  <c r="DG30" i="12"/>
  <c r="CY40" i="12"/>
  <c r="CY42" i="12" s="1"/>
  <c r="CS42" i="12"/>
  <c r="CY171" i="12"/>
  <c r="CS181" i="12"/>
  <c r="DM105" i="12"/>
  <c r="DK109" i="12"/>
  <c r="DM28" i="12"/>
  <c r="DK30" i="12"/>
  <c r="DM284" i="12"/>
  <c r="DK286" i="12"/>
  <c r="DM263" i="12"/>
  <c r="DK269" i="12"/>
  <c r="DV199" i="12"/>
  <c r="DV201" i="12" s="1"/>
  <c r="DG201" i="12"/>
  <c r="CY88" i="12"/>
  <c r="CY92" i="12" s="1"/>
  <c r="CS92" i="12"/>
  <c r="CY133" i="12"/>
  <c r="CS142" i="12"/>
  <c r="CY147" i="12"/>
  <c r="CS154" i="12"/>
  <c r="CY159" i="12"/>
  <c r="CY166" i="12" s="1"/>
  <c r="CS166" i="12"/>
  <c r="CY263" i="12"/>
  <c r="CY269" i="12" s="1"/>
  <c r="CS269" i="12"/>
  <c r="DM171" i="12"/>
  <c r="DK181" i="12"/>
  <c r="DM133" i="12"/>
  <c r="DK142" i="12"/>
  <c r="DM88" i="12"/>
  <c r="DK92" i="12"/>
  <c r="DV263" i="12"/>
  <c r="DV269" i="12" s="1"/>
  <c r="DG269" i="12"/>
  <c r="CS24" i="12"/>
  <c r="CY28" i="12"/>
  <c r="CY30" i="12" s="1"/>
  <c r="CS30" i="12"/>
  <c r="CY47" i="12"/>
  <c r="CY51" i="12" s="1"/>
  <c r="CS51" i="12"/>
  <c r="CY284" i="12"/>
  <c r="CS286" i="12"/>
  <c r="CY199" i="12"/>
  <c r="CY201" i="12" s="1"/>
  <c r="CS201" i="12"/>
  <c r="DK15" i="12"/>
  <c r="DM147" i="12"/>
  <c r="DK154" i="12"/>
  <c r="DM159" i="12"/>
  <c r="DK166" i="12"/>
  <c r="DM274" i="12"/>
  <c r="DK275" i="12"/>
  <c r="DV40" i="12"/>
  <c r="DV42" i="12" s="1"/>
  <c r="DG42" i="12"/>
  <c r="DV55" i="12"/>
  <c r="DV83" i="12" s="1"/>
  <c r="DG83" i="12"/>
  <c r="DV47" i="12"/>
  <c r="DV51" i="12" s="1"/>
  <c r="DG51" i="12"/>
  <c r="CY10" i="12"/>
  <c r="CY241" i="12"/>
  <c r="DM173" i="12"/>
  <c r="DM206" i="12"/>
  <c r="DM212" i="12" s="1"/>
  <c r="DM80" i="12"/>
  <c r="DM153" i="12"/>
  <c r="DM64" i="12"/>
  <c r="DM138" i="12"/>
  <c r="CY64" i="12"/>
  <c r="CY138" i="12"/>
  <c r="CY173" i="12"/>
  <c r="CY186" i="12"/>
  <c r="CY194" i="12" s="1"/>
  <c r="CY217" i="12"/>
  <c r="CX230" i="12"/>
  <c r="DM126" i="12"/>
  <c r="DM10" i="12"/>
  <c r="CY20" i="12"/>
  <c r="CY24" i="12" s="1"/>
  <c r="CY80" i="12"/>
  <c r="CY4" i="12"/>
  <c r="CY126" i="12"/>
  <c r="CY248" i="12"/>
  <c r="CY258" i="12" s="1"/>
  <c r="DM241" i="12"/>
  <c r="DM186" i="12"/>
  <c r="DM194" i="12" s="1"/>
  <c r="DM217" i="12"/>
  <c r="DM4" i="12"/>
  <c r="CY153" i="12"/>
  <c r="CY206" i="12"/>
  <c r="CY212" i="12" s="1"/>
  <c r="DM248" i="12"/>
  <c r="DM258" i="12" s="1"/>
  <c r="DM20" i="12"/>
  <c r="DM24" i="12" s="1"/>
  <c r="CY97" i="12"/>
  <c r="CY101" i="12" s="1"/>
  <c r="DM97" i="12"/>
  <c r="DM101" i="12" s="1"/>
  <c r="DM121" i="12"/>
  <c r="CY121" i="12"/>
  <c r="DM55" i="12"/>
  <c r="CY114" i="12"/>
  <c r="CY116" i="12" s="1"/>
  <c r="DM114" i="12"/>
  <c r="DM116" i="12" s="1"/>
  <c r="DV121" i="12"/>
  <c r="DV128" i="12" s="1"/>
  <c r="CY285" i="12"/>
  <c r="CY55" i="12"/>
  <c r="EA22" i="13"/>
  <c r="EA23" i="13" s="1"/>
  <c r="AE6" i="11"/>
  <c r="AE11" i="11" s="1"/>
  <c r="CY274" i="12"/>
  <c r="CY275" i="12" s="1"/>
  <c r="DM128" i="12" l="1"/>
  <c r="CY83" i="12"/>
  <c r="CY15" i="12"/>
  <c r="DM83" i="12"/>
  <c r="CY128" i="12"/>
  <c r="DM15" i="12"/>
  <c r="DM275" i="12"/>
  <c r="DN274" i="12"/>
  <c r="DN275" i="12" s="1"/>
  <c r="DO274" i="12"/>
  <c r="DM154" i="12"/>
  <c r="DO147" i="12"/>
  <c r="DN147" i="12"/>
  <c r="DM142" i="12"/>
  <c r="DN133" i="12"/>
  <c r="DO133" i="12"/>
  <c r="CY154" i="12"/>
  <c r="DM269" i="12"/>
  <c r="DO263" i="12"/>
  <c r="DN263" i="12"/>
  <c r="DN269" i="12" s="1"/>
  <c r="DM30" i="12"/>
  <c r="DO28" i="12"/>
  <c r="DN28" i="12"/>
  <c r="DN30" i="12" s="1"/>
  <c r="CY181" i="12"/>
  <c r="DM42" i="12"/>
  <c r="DN40" i="12"/>
  <c r="DN42" i="12" s="1"/>
  <c r="DO40" i="12"/>
  <c r="DM201" i="12"/>
  <c r="DO199" i="12"/>
  <c r="DN199" i="12"/>
  <c r="DN201" i="12" s="1"/>
  <c r="CY286" i="12"/>
  <c r="DM166" i="12"/>
  <c r="DO159" i="12"/>
  <c r="DN159" i="12"/>
  <c r="DN166" i="12" s="1"/>
  <c r="DM92" i="12"/>
  <c r="DN88" i="12"/>
  <c r="DN92" i="12" s="1"/>
  <c r="DO88" i="12"/>
  <c r="DM181" i="12"/>
  <c r="DO171" i="12"/>
  <c r="DN171" i="12"/>
  <c r="CY142" i="12"/>
  <c r="DM286" i="12"/>
  <c r="DO284" i="12"/>
  <c r="DN284" i="12"/>
  <c r="DN286" i="12" s="1"/>
  <c r="DM109" i="12"/>
  <c r="DO105" i="12"/>
  <c r="DN105" i="12"/>
  <c r="DN109" i="12" s="1"/>
  <c r="DM51" i="12"/>
  <c r="DN47" i="12"/>
  <c r="DN51" i="12" s="1"/>
  <c r="DO47" i="12"/>
  <c r="DN10" i="12"/>
  <c r="DO10" i="12"/>
  <c r="DH230" i="12"/>
  <c r="DN64" i="12"/>
  <c r="DO64" i="12"/>
  <c r="DN80" i="12"/>
  <c r="DO80" i="12"/>
  <c r="DN173" i="12"/>
  <c r="DO173" i="12"/>
  <c r="DO248" i="12"/>
  <c r="DO258" i="12" s="1"/>
  <c r="DN248" i="12"/>
  <c r="DN258" i="12" s="1"/>
  <c r="DN4" i="12"/>
  <c r="DO4" i="12"/>
  <c r="DN186" i="12"/>
  <c r="DN194" i="12" s="1"/>
  <c r="DO186" i="12"/>
  <c r="DO194" i="12" s="1"/>
  <c r="DN126" i="12"/>
  <c r="DO126" i="12"/>
  <c r="DO138" i="12"/>
  <c r="DN138" i="12"/>
  <c r="DO153" i="12"/>
  <c r="DN153" i="12"/>
  <c r="DN206" i="12"/>
  <c r="DN212" i="12" s="1"/>
  <c r="DO206" i="12"/>
  <c r="DO212" i="12" s="1"/>
  <c r="DO20" i="12"/>
  <c r="DO24" i="12" s="1"/>
  <c r="DN20" i="12"/>
  <c r="DN24" i="12" s="1"/>
  <c r="DO217" i="12"/>
  <c r="DN217" i="12"/>
  <c r="DO241" i="12"/>
  <c r="DN241" i="12"/>
  <c r="CX243" i="12"/>
  <c r="DO97" i="12"/>
  <c r="DO101" i="12" s="1"/>
  <c r="DN97" i="12"/>
  <c r="DN101" i="12" s="1"/>
  <c r="DN114" i="12"/>
  <c r="DN116" i="12" s="1"/>
  <c r="DO114" i="12"/>
  <c r="DO116" i="12" s="1"/>
  <c r="DO55" i="12"/>
  <c r="DN55" i="12"/>
  <c r="DO121" i="12"/>
  <c r="DN121" i="12"/>
  <c r="DO128" i="12" l="1"/>
  <c r="DO83" i="12"/>
  <c r="DN83" i="12"/>
  <c r="DN15" i="12"/>
  <c r="DN128" i="12"/>
  <c r="DO92" i="12"/>
  <c r="DP88" i="12"/>
  <c r="DP92" i="12" s="1"/>
  <c r="DO166" i="12"/>
  <c r="DP159" i="12"/>
  <c r="DP166" i="12" s="1"/>
  <c r="DO201" i="12"/>
  <c r="DP199" i="12"/>
  <c r="DP201" i="12" s="1"/>
  <c r="DN154" i="12"/>
  <c r="DN181" i="12"/>
  <c r="DO142" i="12"/>
  <c r="DP133" i="12"/>
  <c r="DP147" i="12"/>
  <c r="DO154" i="12"/>
  <c r="DO15" i="12"/>
  <c r="DO286" i="12"/>
  <c r="DP284" i="12"/>
  <c r="DP286" i="12" s="1"/>
  <c r="DO181" i="12"/>
  <c r="DP171" i="12"/>
  <c r="DO42" i="12"/>
  <c r="DP40" i="12"/>
  <c r="DP42" i="12" s="1"/>
  <c r="DO269" i="12"/>
  <c r="DP263" i="12"/>
  <c r="DP269" i="12" s="1"/>
  <c r="DN142" i="12"/>
  <c r="DO51" i="12"/>
  <c r="DP47" i="12"/>
  <c r="DP51" i="12" s="1"/>
  <c r="DO109" i="12"/>
  <c r="DP105" i="12"/>
  <c r="DP109" i="12" s="1"/>
  <c r="DO30" i="12"/>
  <c r="DP28" i="12"/>
  <c r="DP30" i="12" s="1"/>
  <c r="DO275" i="12"/>
  <c r="DP274" i="12"/>
  <c r="DP275" i="12" s="1"/>
  <c r="DP217" i="12"/>
  <c r="DP206" i="12"/>
  <c r="DP212" i="12" s="1"/>
  <c r="DP153" i="12"/>
  <c r="DP173" i="12"/>
  <c r="DP241" i="12"/>
  <c r="DP126" i="12"/>
  <c r="DH243" i="12"/>
  <c r="DI230" i="12"/>
  <c r="DP4" i="12"/>
  <c r="DP248" i="12"/>
  <c r="DP258" i="12" s="1"/>
  <c r="DP64" i="12"/>
  <c r="DP10" i="12"/>
  <c r="DP20" i="12"/>
  <c r="DP24" i="12" s="1"/>
  <c r="DP138" i="12"/>
  <c r="DP186" i="12"/>
  <c r="DP194" i="12" s="1"/>
  <c r="DP80" i="12"/>
  <c r="CS230" i="12"/>
  <c r="DP97" i="12"/>
  <c r="DP101" i="12" s="1"/>
  <c r="DP121" i="12"/>
  <c r="DP114" i="12"/>
  <c r="DP116" i="12" s="1"/>
  <c r="DP55" i="12"/>
  <c r="DT22" i="13"/>
  <c r="DP83" i="12" l="1"/>
  <c r="DP15" i="12"/>
  <c r="DP154" i="12"/>
  <c r="DP142" i="12"/>
  <c r="DP128" i="12"/>
  <c r="DP181" i="12"/>
  <c r="CY230" i="12"/>
  <c r="CS243" i="12"/>
  <c r="DI243" i="12"/>
  <c r="DK230" i="12"/>
  <c r="DJ230" i="12"/>
  <c r="DV230" i="12"/>
  <c r="AD10" i="11"/>
  <c r="AD8" i="11"/>
  <c r="AD7" i="11"/>
  <c r="DO22" i="13"/>
  <c r="CM255" i="12"/>
  <c r="CM256" i="12"/>
  <c r="CM249" i="12"/>
  <c r="CM248" i="12"/>
  <c r="CM258" i="12" l="1"/>
  <c r="DV243" i="12"/>
  <c r="DJ243" i="12"/>
  <c r="DM230" i="12"/>
  <c r="CY243" i="12"/>
  <c r="DK243" i="12"/>
  <c r="M23" i="11"/>
  <c r="CN274" i="12"/>
  <c r="CN275" i="12" s="1"/>
  <c r="CN268" i="12"/>
  <c r="CT268" i="12" s="1"/>
  <c r="CN267" i="12"/>
  <c r="CT267" i="12" s="1"/>
  <c r="CN266" i="12"/>
  <c r="CT266" i="12" s="1"/>
  <c r="CN265" i="12"/>
  <c r="CN264" i="12"/>
  <c r="CT264" i="12" s="1"/>
  <c r="CN263" i="12"/>
  <c r="CN257" i="12"/>
  <c r="CN256" i="12"/>
  <c r="CT256" i="12" s="1"/>
  <c r="CN255" i="12"/>
  <c r="CT255" i="12" s="1"/>
  <c r="CN254" i="12"/>
  <c r="CT254" i="12" s="1"/>
  <c r="CN253" i="12"/>
  <c r="CT253" i="12" s="1"/>
  <c r="CN252" i="12"/>
  <c r="CN251" i="12"/>
  <c r="CN250" i="12"/>
  <c r="CN249" i="12"/>
  <c r="CT249" i="12" s="1"/>
  <c r="CN248" i="12"/>
  <c r="CN242" i="12"/>
  <c r="CT242" i="12" s="1"/>
  <c r="CN241" i="12"/>
  <c r="CN240" i="12"/>
  <c r="CT240" i="12" s="1"/>
  <c r="CN239" i="12"/>
  <c r="CT239" i="12" s="1"/>
  <c r="CN238" i="12"/>
  <c r="CT238" i="12" s="1"/>
  <c r="CN237" i="12"/>
  <c r="CT237" i="12" s="1"/>
  <c r="CN236" i="12"/>
  <c r="CT236" i="12" s="1"/>
  <c r="CN235" i="12"/>
  <c r="CT235" i="12" s="1"/>
  <c r="CN229" i="12"/>
  <c r="CT229" i="12" s="1"/>
  <c r="CN226" i="12"/>
  <c r="CT226" i="12" s="1"/>
  <c r="CN225" i="12"/>
  <c r="CT225" i="12" s="1"/>
  <c r="CN224" i="12"/>
  <c r="CT224" i="12" s="1"/>
  <c r="CN223" i="12"/>
  <c r="CT223" i="12" s="1"/>
  <c r="CN228" i="12"/>
  <c r="CT228" i="12" s="1"/>
  <c r="CN227" i="12"/>
  <c r="CT227" i="12" s="1"/>
  <c r="CN220" i="12"/>
  <c r="CT220" i="12" s="1"/>
  <c r="CN219" i="12"/>
  <c r="CT219" i="12" s="1"/>
  <c r="CN222" i="12"/>
  <c r="CT222" i="12" s="1"/>
  <c r="CN221" i="12"/>
  <c r="CT221" i="12" s="1"/>
  <c r="CN218" i="12"/>
  <c r="CT218" i="12" s="1"/>
  <c r="CN217" i="12"/>
  <c r="CN211" i="12"/>
  <c r="CT211" i="12" s="1"/>
  <c r="CN210" i="12"/>
  <c r="CT210" i="12" s="1"/>
  <c r="CN209" i="12"/>
  <c r="CT209" i="12" s="1"/>
  <c r="CN208" i="12"/>
  <c r="CT208" i="12" s="1"/>
  <c r="CN207" i="12"/>
  <c r="CT207" i="12" s="1"/>
  <c r="CN206" i="12"/>
  <c r="CN200" i="12"/>
  <c r="CT200" i="12" s="1"/>
  <c r="CN199" i="12"/>
  <c r="CN193" i="12"/>
  <c r="CT193" i="12" s="1"/>
  <c r="CN192" i="12"/>
  <c r="CT192" i="12" s="1"/>
  <c r="CN191" i="12"/>
  <c r="CT191" i="12" s="1"/>
  <c r="CN190" i="12"/>
  <c r="CT190" i="12" s="1"/>
  <c r="CN189" i="12"/>
  <c r="CT189" i="12" s="1"/>
  <c r="CN188" i="12"/>
  <c r="CT188" i="12" s="1"/>
  <c r="CN187" i="12"/>
  <c r="CT187" i="12" s="1"/>
  <c r="CN186" i="12"/>
  <c r="CN180" i="12"/>
  <c r="CT180" i="12" s="1"/>
  <c r="CN179" i="12"/>
  <c r="CT179" i="12" s="1"/>
  <c r="CN178" i="12"/>
  <c r="CT178" i="12" s="1"/>
  <c r="CN177" i="12"/>
  <c r="CT177" i="12" s="1"/>
  <c r="CN176" i="12"/>
  <c r="CT176" i="12" s="1"/>
  <c r="CN175" i="12"/>
  <c r="CT175" i="12" s="1"/>
  <c r="CN174" i="12"/>
  <c r="CT174" i="12" s="1"/>
  <c r="CN173" i="12"/>
  <c r="CN172" i="12"/>
  <c r="CT172" i="12" s="1"/>
  <c r="CN171" i="12"/>
  <c r="CN165" i="12"/>
  <c r="CT165" i="12" s="1"/>
  <c r="CN164" i="12"/>
  <c r="CT164" i="12" s="1"/>
  <c r="CN163" i="12"/>
  <c r="CT163" i="12" s="1"/>
  <c r="CN162" i="12"/>
  <c r="CT162" i="12" s="1"/>
  <c r="CN161" i="12"/>
  <c r="CT161" i="12" s="1"/>
  <c r="CN160" i="12"/>
  <c r="CT160" i="12" s="1"/>
  <c r="CN159" i="12"/>
  <c r="CN153" i="12"/>
  <c r="CN152" i="12"/>
  <c r="CT152" i="12" s="1"/>
  <c r="CN151" i="12"/>
  <c r="CT151" i="12" s="1"/>
  <c r="CN141" i="12"/>
  <c r="CT141" i="12" s="1"/>
  <c r="CN150" i="12"/>
  <c r="CT150" i="12" s="1"/>
  <c r="CN149" i="12"/>
  <c r="CT149" i="12" s="1"/>
  <c r="CN148" i="12"/>
  <c r="CT148" i="12" s="1"/>
  <c r="CN147" i="12"/>
  <c r="CN140" i="12"/>
  <c r="CT140" i="12" s="1"/>
  <c r="CN139" i="12"/>
  <c r="CT139" i="12" s="1"/>
  <c r="CN138" i="12"/>
  <c r="CN137" i="12"/>
  <c r="CT137" i="12" s="1"/>
  <c r="CN136" i="12"/>
  <c r="CT136" i="12" s="1"/>
  <c r="CN135" i="12"/>
  <c r="CT135" i="12" s="1"/>
  <c r="CN134" i="12"/>
  <c r="CT134" i="12" s="1"/>
  <c r="CN133" i="12"/>
  <c r="CN127" i="12"/>
  <c r="CT127" i="12" s="1"/>
  <c r="CN126" i="12"/>
  <c r="CN125" i="12"/>
  <c r="CT125" i="12" s="1"/>
  <c r="CN124" i="12"/>
  <c r="CT124" i="12" s="1"/>
  <c r="CN123" i="12"/>
  <c r="CT123" i="12" s="1"/>
  <c r="CN122" i="12"/>
  <c r="CT122" i="12" s="1"/>
  <c r="CN121" i="12"/>
  <c r="CN115" i="12"/>
  <c r="CT115" i="12" s="1"/>
  <c r="CN114" i="12"/>
  <c r="CN285" i="12"/>
  <c r="CN284" i="12"/>
  <c r="CN107" i="12"/>
  <c r="CT107" i="12" s="1"/>
  <c r="CN106" i="12"/>
  <c r="CT106" i="12" s="1"/>
  <c r="CN105" i="12"/>
  <c r="CN98" i="12"/>
  <c r="CT98" i="12" s="1"/>
  <c r="CN97" i="12"/>
  <c r="CN91" i="12"/>
  <c r="CT91" i="12" s="1"/>
  <c r="CN90" i="12"/>
  <c r="CT90" i="12" s="1"/>
  <c r="CN89" i="12"/>
  <c r="CT89" i="12" s="1"/>
  <c r="CN88" i="12"/>
  <c r="CN82" i="12"/>
  <c r="CT82" i="12" s="1"/>
  <c r="CN81" i="12"/>
  <c r="CT81" i="12" s="1"/>
  <c r="CN80" i="12"/>
  <c r="CN79" i="12"/>
  <c r="CT79" i="12" s="1"/>
  <c r="CN78" i="12"/>
  <c r="CT78" i="12" s="1"/>
  <c r="CN77" i="12"/>
  <c r="CT77" i="12" s="1"/>
  <c r="CN76" i="12"/>
  <c r="CT76" i="12" s="1"/>
  <c r="CN75" i="12"/>
  <c r="CT75" i="12" s="1"/>
  <c r="CN74" i="12"/>
  <c r="CT74" i="12" s="1"/>
  <c r="CN73" i="12"/>
  <c r="CT73" i="12" s="1"/>
  <c r="CN72" i="12"/>
  <c r="CT72" i="12" s="1"/>
  <c r="CN71" i="12"/>
  <c r="CT71" i="12" s="1"/>
  <c r="CN70" i="12"/>
  <c r="CT70" i="12" s="1"/>
  <c r="CN69" i="12"/>
  <c r="CT69" i="12" s="1"/>
  <c r="CN68" i="12"/>
  <c r="CT68" i="12" s="1"/>
  <c r="CN67" i="12"/>
  <c r="CT67" i="12" s="1"/>
  <c r="CN66" i="12"/>
  <c r="CT66" i="12" s="1"/>
  <c r="CN65" i="12"/>
  <c r="CT65" i="12" s="1"/>
  <c r="CN64" i="12"/>
  <c r="CN63" i="12"/>
  <c r="CT63" i="12" s="1"/>
  <c r="CN62" i="12"/>
  <c r="CT62" i="12" s="1"/>
  <c r="CN61" i="12"/>
  <c r="CT61" i="12" s="1"/>
  <c r="CN60" i="12"/>
  <c r="CT60" i="12" s="1"/>
  <c r="CN59" i="12"/>
  <c r="CT59" i="12" s="1"/>
  <c r="CN58" i="12"/>
  <c r="CT58" i="12" s="1"/>
  <c r="CN57" i="12"/>
  <c r="CT57" i="12" s="1"/>
  <c r="CN56" i="12"/>
  <c r="CT56" i="12" s="1"/>
  <c r="CN55" i="12"/>
  <c r="CN49" i="12"/>
  <c r="CT49" i="12" s="1"/>
  <c r="CN48" i="12"/>
  <c r="CT48" i="12" s="1"/>
  <c r="CN47" i="12"/>
  <c r="CN41" i="12"/>
  <c r="CT41" i="12" s="1"/>
  <c r="CN40" i="12"/>
  <c r="CN29" i="12"/>
  <c r="CT29" i="12" s="1"/>
  <c r="CN28" i="12"/>
  <c r="CN23" i="12"/>
  <c r="CT23" i="12" s="1"/>
  <c r="CN22" i="12"/>
  <c r="CT22" i="12" s="1"/>
  <c r="CN21" i="12"/>
  <c r="CT21" i="12" s="1"/>
  <c r="CN20" i="12"/>
  <c r="CN14" i="12"/>
  <c r="CT14" i="12" s="1"/>
  <c r="CN13" i="12"/>
  <c r="CT13" i="12" s="1"/>
  <c r="CN12" i="12"/>
  <c r="CT12" i="12" s="1"/>
  <c r="CN11" i="12"/>
  <c r="CT11" i="12" s="1"/>
  <c r="CN10" i="12"/>
  <c r="CN9" i="12"/>
  <c r="CT9" i="12" s="1"/>
  <c r="CN8" i="12"/>
  <c r="CT8" i="12" s="1"/>
  <c r="CN7" i="12"/>
  <c r="CT7" i="12" s="1"/>
  <c r="CN6" i="12"/>
  <c r="CT6" i="12" s="1"/>
  <c r="CN5" i="12"/>
  <c r="CT5" i="12" s="1"/>
  <c r="CN4" i="12"/>
  <c r="DV14" i="13"/>
  <c r="AD9" i="11" s="1"/>
  <c r="DV6" i="13"/>
  <c r="CN258" i="12" l="1"/>
  <c r="CN15" i="12"/>
  <c r="CN101" i="12"/>
  <c r="CN154" i="12"/>
  <c r="CN269" i="12"/>
  <c r="CN83" i="12"/>
  <c r="CN24" i="12"/>
  <c r="CT28" i="12"/>
  <c r="CT30" i="12" s="1"/>
  <c r="CN30" i="12"/>
  <c r="CT47" i="12"/>
  <c r="CT51" i="12" s="1"/>
  <c r="CN51" i="12"/>
  <c r="CT284" i="12"/>
  <c r="CN286" i="12"/>
  <c r="CN128" i="12"/>
  <c r="CN194" i="12"/>
  <c r="CT199" i="12"/>
  <c r="CT201" i="12" s="1"/>
  <c r="CN201" i="12"/>
  <c r="CT105" i="12"/>
  <c r="CT109" i="12" s="1"/>
  <c r="CN109" i="12"/>
  <c r="CT40" i="12"/>
  <c r="CT42" i="12" s="1"/>
  <c r="CN42" i="12"/>
  <c r="CN116" i="12"/>
  <c r="CT171" i="12"/>
  <c r="CN181" i="12"/>
  <c r="CN212" i="12"/>
  <c r="CT88" i="12"/>
  <c r="CT92" i="12" s="1"/>
  <c r="CN92" i="12"/>
  <c r="CT133" i="12"/>
  <c r="CN142" i="12"/>
  <c r="CT159" i="12"/>
  <c r="CT166" i="12" s="1"/>
  <c r="CN166" i="12"/>
  <c r="CT153" i="12"/>
  <c r="CT206" i="12"/>
  <c r="CT212" i="12" s="1"/>
  <c r="DO230" i="12"/>
  <c r="CT10" i="12"/>
  <c r="CT241" i="12"/>
  <c r="CT20" i="12"/>
  <c r="CT24" i="12" s="1"/>
  <c r="CT64" i="12"/>
  <c r="CT80" i="12"/>
  <c r="CT138" i="12"/>
  <c r="CT173" i="12"/>
  <c r="CT186" i="12"/>
  <c r="CT194" i="12" s="1"/>
  <c r="CT217" i="12"/>
  <c r="DN230" i="12"/>
  <c r="CT4" i="12"/>
  <c r="CT126" i="12"/>
  <c r="DM243" i="12"/>
  <c r="CT97" i="12"/>
  <c r="CT101" i="12" s="1"/>
  <c r="CT121" i="12"/>
  <c r="CT114" i="12"/>
  <c r="CT116" i="12" s="1"/>
  <c r="CT285" i="12"/>
  <c r="CT55" i="12"/>
  <c r="P23" i="11"/>
  <c r="N25" i="11"/>
  <c r="CT147" i="12"/>
  <c r="CT257" i="12"/>
  <c r="CT274" i="12"/>
  <c r="CT275" i="12" s="1"/>
  <c r="CT250" i="12"/>
  <c r="CT265" i="12"/>
  <c r="CT251" i="12"/>
  <c r="CT248" i="12"/>
  <c r="CT252" i="12"/>
  <c r="CT263" i="12"/>
  <c r="DV22" i="13"/>
  <c r="DV23" i="13" s="1"/>
  <c r="AD6" i="11"/>
  <c r="AD11" i="11" s="1"/>
  <c r="CT269" i="12" l="1"/>
  <c r="CT83" i="12"/>
  <c r="CT15" i="12"/>
  <c r="CT258" i="12"/>
  <c r="CT154" i="12"/>
  <c r="CT128" i="12"/>
  <c r="CT142" i="12"/>
  <c r="CT286" i="12"/>
  <c r="CT181" i="12"/>
  <c r="DN243" i="12"/>
  <c r="DO243" i="12"/>
  <c r="P25" i="11"/>
  <c r="N26" i="11"/>
  <c r="AC10" i="11"/>
  <c r="AC8" i="11"/>
  <c r="AC7" i="11"/>
  <c r="DP230" i="12" l="1"/>
  <c r="CH256" i="12"/>
  <c r="CH255" i="12"/>
  <c r="CH249" i="12"/>
  <c r="CH248" i="12"/>
  <c r="CH258" i="12" l="1"/>
  <c r="DP243" i="12"/>
  <c r="CI274" i="12"/>
  <c r="CI268" i="12"/>
  <c r="CO268" i="12" s="1"/>
  <c r="CI267" i="12"/>
  <c r="CO267" i="12" s="1"/>
  <c r="CI266" i="12"/>
  <c r="CO266" i="12" s="1"/>
  <c r="CI265" i="12"/>
  <c r="CO265" i="12" s="1"/>
  <c r="CI264" i="12"/>
  <c r="CO264" i="12" s="1"/>
  <c r="CI263" i="12"/>
  <c r="CI257" i="12"/>
  <c r="CO257" i="12" s="1"/>
  <c r="CI256" i="12"/>
  <c r="CO256" i="12" s="1"/>
  <c r="CI255" i="12"/>
  <c r="CO255" i="12" s="1"/>
  <c r="CI254" i="12"/>
  <c r="CO254" i="12" s="1"/>
  <c r="CI253" i="12"/>
  <c r="CO253" i="12" s="1"/>
  <c r="CI252" i="12"/>
  <c r="CO252" i="12" s="1"/>
  <c r="CI251" i="12"/>
  <c r="CO251" i="12" s="1"/>
  <c r="CI250" i="12"/>
  <c r="CO250" i="12" s="1"/>
  <c r="CI249" i="12"/>
  <c r="CO249" i="12" s="1"/>
  <c r="CI248" i="12"/>
  <c r="CI242" i="12"/>
  <c r="CO242" i="12" s="1"/>
  <c r="CI241" i="12"/>
  <c r="CI240" i="12"/>
  <c r="CO240" i="12" s="1"/>
  <c r="CI239" i="12"/>
  <c r="CO239" i="12" s="1"/>
  <c r="CI238" i="12"/>
  <c r="CO238" i="12" s="1"/>
  <c r="CI237" i="12"/>
  <c r="CO237" i="12" s="1"/>
  <c r="CI236" i="12"/>
  <c r="CO236" i="12" s="1"/>
  <c r="CI235" i="12"/>
  <c r="CO235" i="12" s="1"/>
  <c r="CI229" i="12"/>
  <c r="CO229" i="12" s="1"/>
  <c r="CI218" i="12"/>
  <c r="CO218" i="12" s="1"/>
  <c r="CI226" i="12"/>
  <c r="CO226" i="12" s="1"/>
  <c r="CI225" i="12"/>
  <c r="CO225" i="12" s="1"/>
  <c r="CI224" i="12"/>
  <c r="CO224" i="12" s="1"/>
  <c r="CI223" i="12"/>
  <c r="CO223" i="12" s="1"/>
  <c r="CI228" i="12"/>
  <c r="CO228" i="12" s="1"/>
  <c r="CI227" i="12"/>
  <c r="CO227" i="12" s="1"/>
  <c r="CI220" i="12"/>
  <c r="CO220" i="12" s="1"/>
  <c r="CI219" i="12"/>
  <c r="CO219" i="12" s="1"/>
  <c r="CI222" i="12"/>
  <c r="CO222" i="12" s="1"/>
  <c r="CI221" i="12"/>
  <c r="CO221" i="12" s="1"/>
  <c r="CI217" i="12"/>
  <c r="CI211" i="12"/>
  <c r="CO211" i="12" s="1"/>
  <c r="CI210" i="12"/>
  <c r="CO210" i="12" s="1"/>
  <c r="CI209" i="12"/>
  <c r="CO209" i="12" s="1"/>
  <c r="CI208" i="12"/>
  <c r="CO208" i="12" s="1"/>
  <c r="CI207" i="12"/>
  <c r="CO207" i="12" s="1"/>
  <c r="CI206" i="12"/>
  <c r="CI200" i="12"/>
  <c r="CO200" i="12" s="1"/>
  <c r="CI199" i="12"/>
  <c r="CI193" i="12"/>
  <c r="CO193" i="12" s="1"/>
  <c r="CI187" i="12"/>
  <c r="CO187" i="12" s="1"/>
  <c r="CI191" i="12"/>
  <c r="CO191" i="12" s="1"/>
  <c r="CI190" i="12"/>
  <c r="CO190" i="12" s="1"/>
  <c r="CI189" i="12"/>
  <c r="CO189" i="12" s="1"/>
  <c r="CI188" i="12"/>
  <c r="CO188" i="12" s="1"/>
  <c r="CI192" i="12"/>
  <c r="CO192" i="12" s="1"/>
  <c r="CI186" i="12"/>
  <c r="CI180" i="12"/>
  <c r="CO180" i="12" s="1"/>
  <c r="CI179" i="12"/>
  <c r="CO179" i="12" s="1"/>
  <c r="CI178" i="12"/>
  <c r="CO178" i="12" s="1"/>
  <c r="CI177" i="12"/>
  <c r="CO177" i="12" s="1"/>
  <c r="CI176" i="12"/>
  <c r="CO176" i="12" s="1"/>
  <c r="CI175" i="12"/>
  <c r="CO175" i="12" s="1"/>
  <c r="CI174" i="12"/>
  <c r="CO174" i="12" s="1"/>
  <c r="CI173" i="12"/>
  <c r="CI172" i="12"/>
  <c r="CO172" i="12" s="1"/>
  <c r="CI171" i="12"/>
  <c r="CI165" i="12"/>
  <c r="CO165" i="12" s="1"/>
  <c r="CI164" i="12"/>
  <c r="CO164" i="12" s="1"/>
  <c r="CI163" i="12"/>
  <c r="CO163" i="12" s="1"/>
  <c r="CI161" i="12"/>
  <c r="CO161" i="12" s="1"/>
  <c r="CI162" i="12"/>
  <c r="CO162" i="12" s="1"/>
  <c r="CI160" i="12"/>
  <c r="CO160" i="12" s="1"/>
  <c r="CI159" i="12"/>
  <c r="CI153" i="12"/>
  <c r="CI152" i="12"/>
  <c r="CO152" i="12" s="1"/>
  <c r="CI151" i="12"/>
  <c r="CO151" i="12" s="1"/>
  <c r="CI141" i="12"/>
  <c r="CO141" i="12" s="1"/>
  <c r="CI150" i="12"/>
  <c r="CO150" i="12" s="1"/>
  <c r="CI149" i="12"/>
  <c r="CO149" i="12" s="1"/>
  <c r="CI148" i="12"/>
  <c r="CO148" i="12" s="1"/>
  <c r="CI147" i="12"/>
  <c r="CI140" i="12"/>
  <c r="CO140" i="12" s="1"/>
  <c r="CI139" i="12"/>
  <c r="CO139" i="12" s="1"/>
  <c r="CI138" i="12"/>
  <c r="CI137" i="12"/>
  <c r="CO137" i="12" s="1"/>
  <c r="CI136" i="12"/>
  <c r="CO136" i="12" s="1"/>
  <c r="CI135" i="12"/>
  <c r="CO135" i="12" s="1"/>
  <c r="CI134" i="12"/>
  <c r="CO134" i="12" s="1"/>
  <c r="CI133" i="12"/>
  <c r="CI127" i="12"/>
  <c r="CO127" i="12" s="1"/>
  <c r="CI126" i="12"/>
  <c r="CI125" i="12"/>
  <c r="CO125" i="12" s="1"/>
  <c r="CI124" i="12"/>
  <c r="CO124" i="12" s="1"/>
  <c r="CI123" i="12"/>
  <c r="CO123" i="12" s="1"/>
  <c r="CI122" i="12"/>
  <c r="CO122" i="12" s="1"/>
  <c r="CI121" i="12"/>
  <c r="CI115" i="12"/>
  <c r="CO115" i="12" s="1"/>
  <c r="CI114" i="12"/>
  <c r="CI285" i="12"/>
  <c r="CI284" i="12"/>
  <c r="CI107" i="12"/>
  <c r="CO107" i="12" s="1"/>
  <c r="CI106" i="12"/>
  <c r="CO106" i="12" s="1"/>
  <c r="CI105" i="12"/>
  <c r="CI98" i="12"/>
  <c r="CO98" i="12" s="1"/>
  <c r="CI97" i="12"/>
  <c r="CI90" i="12"/>
  <c r="CO90" i="12" s="1"/>
  <c r="CI91" i="12"/>
  <c r="CO91" i="12" s="1"/>
  <c r="CI89" i="12"/>
  <c r="CO89" i="12" s="1"/>
  <c r="CI88" i="12"/>
  <c r="CI82" i="12"/>
  <c r="CO82" i="12" s="1"/>
  <c r="CI81" i="12"/>
  <c r="CO81" i="12" s="1"/>
  <c r="CI80" i="12"/>
  <c r="CI79" i="12"/>
  <c r="CO79" i="12" s="1"/>
  <c r="CI77" i="12"/>
  <c r="CO77" i="12" s="1"/>
  <c r="CI78" i="12"/>
  <c r="CO78" i="12" s="1"/>
  <c r="CI76" i="12"/>
  <c r="CO76" i="12" s="1"/>
  <c r="CI75" i="12"/>
  <c r="CO75" i="12" s="1"/>
  <c r="CI74" i="12"/>
  <c r="CO74" i="12" s="1"/>
  <c r="CI68" i="12"/>
  <c r="CO68" i="12" s="1"/>
  <c r="CI73" i="12"/>
  <c r="CO73" i="12" s="1"/>
  <c r="CI72" i="12"/>
  <c r="CO72" i="12" s="1"/>
  <c r="CI71" i="12"/>
  <c r="CO71" i="12" s="1"/>
  <c r="CI70" i="12"/>
  <c r="CO70" i="12" s="1"/>
  <c r="CI69" i="12"/>
  <c r="CO69" i="12" s="1"/>
  <c r="CI67" i="12"/>
  <c r="CO67" i="12" s="1"/>
  <c r="CI66" i="12"/>
  <c r="CO66" i="12" s="1"/>
  <c r="CI65" i="12"/>
  <c r="CO65" i="12" s="1"/>
  <c r="CI64" i="12"/>
  <c r="CI63" i="12"/>
  <c r="CO63" i="12" s="1"/>
  <c r="CI62" i="12"/>
  <c r="CO62" i="12" s="1"/>
  <c r="CI59" i="12"/>
  <c r="CO59" i="12" s="1"/>
  <c r="CI58" i="12"/>
  <c r="CO58" i="12" s="1"/>
  <c r="CI61" i="12"/>
  <c r="CO61" i="12" s="1"/>
  <c r="CI57" i="12"/>
  <c r="CO57" i="12" s="1"/>
  <c r="CI60" i="12"/>
  <c r="CO60" i="12" s="1"/>
  <c r="CI56" i="12"/>
  <c r="CO56" i="12" s="1"/>
  <c r="CI55" i="12"/>
  <c r="CI49" i="12"/>
  <c r="CO49" i="12" s="1"/>
  <c r="CI48" i="12"/>
  <c r="CO48" i="12" s="1"/>
  <c r="CI47" i="12"/>
  <c r="CI41" i="12"/>
  <c r="CO41" i="12" s="1"/>
  <c r="CI40" i="12"/>
  <c r="CI29" i="12"/>
  <c r="CO29" i="12" s="1"/>
  <c r="CI28" i="12"/>
  <c r="CI23" i="12"/>
  <c r="CO23" i="12" s="1"/>
  <c r="CI22" i="12"/>
  <c r="CO22" i="12" s="1"/>
  <c r="CI21" i="12"/>
  <c r="CO21" i="12" s="1"/>
  <c r="CI20" i="12"/>
  <c r="CI5" i="12"/>
  <c r="CO5" i="12" s="1"/>
  <c r="CI6" i="12"/>
  <c r="CO6" i="12" s="1"/>
  <c r="CI7" i="12"/>
  <c r="CO7" i="12" s="1"/>
  <c r="CI8" i="12"/>
  <c r="CO8" i="12" s="1"/>
  <c r="CI9" i="12"/>
  <c r="CO9" i="12" s="1"/>
  <c r="CI10" i="12"/>
  <c r="CI11" i="12"/>
  <c r="CO11" i="12" s="1"/>
  <c r="CI12" i="12"/>
  <c r="CO12" i="12" s="1"/>
  <c r="CI13" i="12"/>
  <c r="CO13" i="12" s="1"/>
  <c r="CI14" i="12"/>
  <c r="CO14" i="12" s="1"/>
  <c r="CI4" i="12"/>
  <c r="CI116" i="12" l="1"/>
  <c r="CI212" i="12"/>
  <c r="CI24" i="12"/>
  <c r="CI128" i="12"/>
  <c r="CI194" i="12"/>
  <c r="CI15" i="12"/>
  <c r="CO105" i="12"/>
  <c r="CO109" i="12" s="1"/>
  <c r="CI109" i="12"/>
  <c r="CI258" i="12"/>
  <c r="CO274" i="12"/>
  <c r="CO275" i="12" s="1"/>
  <c r="CI275" i="12"/>
  <c r="CO40" i="12"/>
  <c r="CO42" i="12" s="1"/>
  <c r="CI42" i="12"/>
  <c r="CO171" i="12"/>
  <c r="CI181" i="12"/>
  <c r="CI83" i="12"/>
  <c r="CO88" i="12"/>
  <c r="CO92" i="12" s="1"/>
  <c r="CI92" i="12"/>
  <c r="CI101" i="12"/>
  <c r="CO133" i="12"/>
  <c r="CI142" i="12"/>
  <c r="CO147" i="12"/>
  <c r="CI154" i="12"/>
  <c r="CO159" i="12"/>
  <c r="CO166" i="12" s="1"/>
  <c r="CI166" i="12"/>
  <c r="CO263" i="12"/>
  <c r="CO269" i="12" s="1"/>
  <c r="CI269" i="12"/>
  <c r="CO28" i="12"/>
  <c r="CO30" i="12" s="1"/>
  <c r="CI30" i="12"/>
  <c r="CO47" i="12"/>
  <c r="CO51" i="12" s="1"/>
  <c r="CI51" i="12"/>
  <c r="CO284" i="12"/>
  <c r="CI286" i="12"/>
  <c r="CO199" i="12"/>
  <c r="CO201" i="12" s="1"/>
  <c r="CI201" i="12"/>
  <c r="CO10" i="12"/>
  <c r="CO241" i="12"/>
  <c r="CO20" i="12"/>
  <c r="CO24" i="12" s="1"/>
  <c r="CO64" i="12"/>
  <c r="CO80" i="12"/>
  <c r="CO138" i="12"/>
  <c r="CO173" i="12"/>
  <c r="CO186" i="12"/>
  <c r="CO194" i="12" s="1"/>
  <c r="CO217" i="12"/>
  <c r="CO4" i="12"/>
  <c r="CO126" i="12"/>
  <c r="CO248" i="12"/>
  <c r="CO258" i="12" s="1"/>
  <c r="CO153" i="12"/>
  <c r="CO206" i="12"/>
  <c r="CO212" i="12" s="1"/>
  <c r="CN230" i="12"/>
  <c r="CO97" i="12"/>
  <c r="CO101" i="12" s="1"/>
  <c r="CO114" i="12"/>
  <c r="CO116" i="12" s="1"/>
  <c r="CO121" i="12"/>
  <c r="CO285" i="12"/>
  <c r="CO55" i="12"/>
  <c r="CD274" i="12"/>
  <c r="CD275" i="12" s="1"/>
  <c r="CD268" i="12"/>
  <c r="CJ268" i="12" s="1"/>
  <c r="CD267" i="12"/>
  <c r="CD266" i="12"/>
  <c r="CJ266" i="12" s="1"/>
  <c r="CD265" i="12"/>
  <c r="CD264" i="12"/>
  <c r="CJ264" i="12" s="1"/>
  <c r="CD263" i="12"/>
  <c r="CD257" i="12"/>
  <c r="CC256" i="12"/>
  <c r="CD256" i="12" s="1"/>
  <c r="CC255" i="12"/>
  <c r="CD255" i="12" s="1"/>
  <c r="CD254" i="12"/>
  <c r="CD253" i="12"/>
  <c r="CJ253" i="12" s="1"/>
  <c r="CD252" i="12"/>
  <c r="CD251" i="12"/>
  <c r="CD250" i="12"/>
  <c r="CC249" i="12"/>
  <c r="CD249" i="12" s="1"/>
  <c r="CC248" i="12"/>
  <c r="CD242" i="12"/>
  <c r="CD241" i="12"/>
  <c r="CD240" i="12"/>
  <c r="CD239" i="12"/>
  <c r="CJ239" i="12" s="1"/>
  <c r="CD238" i="12"/>
  <c r="CD237" i="12"/>
  <c r="CJ237" i="12" s="1"/>
  <c r="CD236" i="12"/>
  <c r="CD235" i="12"/>
  <c r="CJ235" i="12" s="1"/>
  <c r="CD229" i="12"/>
  <c r="CD218" i="12"/>
  <c r="CD226" i="12"/>
  <c r="CD225" i="12"/>
  <c r="CJ225" i="12" s="1"/>
  <c r="CD224" i="12"/>
  <c r="CD223" i="12"/>
  <c r="CD228" i="12"/>
  <c r="CD227" i="12"/>
  <c r="CJ227" i="12" s="1"/>
  <c r="CD220" i="12"/>
  <c r="CD219" i="12"/>
  <c r="CD222" i="12"/>
  <c r="CD221" i="12"/>
  <c r="CD217" i="12"/>
  <c r="CD211" i="12"/>
  <c r="CD210" i="12"/>
  <c r="CJ210" i="12" s="1"/>
  <c r="CD209" i="12"/>
  <c r="CJ209" i="12" s="1"/>
  <c r="CD208" i="12"/>
  <c r="CJ208" i="12" s="1"/>
  <c r="CD207" i="12"/>
  <c r="CD206" i="12"/>
  <c r="CD200" i="12"/>
  <c r="CJ200" i="12" s="1"/>
  <c r="CD199" i="12"/>
  <c r="CD193" i="12"/>
  <c r="CJ193" i="12" s="1"/>
  <c r="CD187" i="12"/>
  <c r="CD191" i="12"/>
  <c r="CJ191" i="12" s="1"/>
  <c r="CD190" i="12"/>
  <c r="CD189" i="12"/>
  <c r="CJ189" i="12" s="1"/>
  <c r="CD188" i="12"/>
  <c r="CD192" i="12"/>
  <c r="CJ192" i="12" s="1"/>
  <c r="CD186" i="12"/>
  <c r="CD180" i="12"/>
  <c r="CJ180" i="12" s="1"/>
  <c r="CD179" i="12"/>
  <c r="CD178" i="12"/>
  <c r="CJ178" i="12" s="1"/>
  <c r="CD177" i="12"/>
  <c r="CJ177" i="12" s="1"/>
  <c r="CD176" i="12"/>
  <c r="CJ176" i="12" s="1"/>
  <c r="CD175" i="12"/>
  <c r="CD174" i="12"/>
  <c r="CJ174" i="12" s="1"/>
  <c r="CD173" i="12"/>
  <c r="CD172" i="12"/>
  <c r="CJ172" i="12" s="1"/>
  <c r="CD171" i="12"/>
  <c r="CD165" i="12"/>
  <c r="CJ165" i="12" s="1"/>
  <c r="CD164" i="12"/>
  <c r="CJ164" i="12" s="1"/>
  <c r="CD163" i="12"/>
  <c r="CD161" i="12"/>
  <c r="CJ161" i="12" s="1"/>
  <c r="CD162" i="12"/>
  <c r="CD160" i="12"/>
  <c r="CJ160" i="12" s="1"/>
  <c r="CD159" i="12"/>
  <c r="CD153" i="12"/>
  <c r="CD152" i="12"/>
  <c r="CJ152" i="12" s="1"/>
  <c r="CD151" i="12"/>
  <c r="CJ151" i="12" s="1"/>
  <c r="CD141" i="12"/>
  <c r="CD150" i="12"/>
  <c r="CJ150" i="12" s="1"/>
  <c r="CD149" i="12"/>
  <c r="CJ149" i="12" s="1"/>
  <c r="CD148" i="12"/>
  <c r="CJ148" i="12" s="1"/>
  <c r="CD147" i="12"/>
  <c r="CD140" i="12"/>
  <c r="CD139" i="12"/>
  <c r="CJ139" i="12" s="1"/>
  <c r="CD138" i="12"/>
  <c r="CD137" i="12"/>
  <c r="CJ137" i="12" s="1"/>
  <c r="CD136" i="12"/>
  <c r="CD135" i="12"/>
  <c r="CJ135" i="12" s="1"/>
  <c r="CD134" i="12"/>
  <c r="CD133" i="12"/>
  <c r="CD127" i="12"/>
  <c r="CD126" i="12"/>
  <c r="CD125" i="12"/>
  <c r="CD124" i="12"/>
  <c r="CJ124" i="12" s="1"/>
  <c r="CD123" i="12"/>
  <c r="CD122" i="12"/>
  <c r="CJ122" i="12" s="1"/>
  <c r="CD121" i="12"/>
  <c r="CD115" i="12"/>
  <c r="CD114" i="12"/>
  <c r="CD285" i="12"/>
  <c r="CD284" i="12"/>
  <c r="CD107" i="12"/>
  <c r="CD106" i="12"/>
  <c r="CJ106" i="12" s="1"/>
  <c r="CD105" i="12"/>
  <c r="CD98" i="12"/>
  <c r="CJ98" i="12" s="1"/>
  <c r="CD97" i="12"/>
  <c r="CD90" i="12"/>
  <c r="CD91" i="12"/>
  <c r="CJ91" i="12" s="1"/>
  <c r="CD89" i="12"/>
  <c r="CD88" i="12"/>
  <c r="CD82" i="12"/>
  <c r="CD81" i="12"/>
  <c r="CJ81" i="12" s="1"/>
  <c r="CD80" i="12"/>
  <c r="CD79" i="12"/>
  <c r="CJ79" i="12" s="1"/>
  <c r="CD77" i="12"/>
  <c r="CD78" i="12"/>
  <c r="CJ78" i="12" s="1"/>
  <c r="CD76" i="12"/>
  <c r="CD75" i="12"/>
  <c r="CJ75" i="12" s="1"/>
  <c r="CD74" i="12"/>
  <c r="CD68" i="12"/>
  <c r="CJ68" i="12" s="1"/>
  <c r="CD73" i="12"/>
  <c r="CD72" i="12"/>
  <c r="CJ72" i="12" s="1"/>
  <c r="CD71" i="12"/>
  <c r="CD70" i="12"/>
  <c r="CJ70" i="12" s="1"/>
  <c r="CD69" i="12"/>
  <c r="CD67" i="12"/>
  <c r="CJ67" i="12" s="1"/>
  <c r="CD66" i="12"/>
  <c r="CD65" i="12"/>
  <c r="CJ65" i="12" s="1"/>
  <c r="CD64" i="12"/>
  <c r="CD63" i="12"/>
  <c r="CJ63" i="12" s="1"/>
  <c r="CD62" i="12"/>
  <c r="CD59" i="12"/>
  <c r="CJ59" i="12" s="1"/>
  <c r="CD58" i="12"/>
  <c r="CD61" i="12"/>
  <c r="CJ61" i="12" s="1"/>
  <c r="CD57" i="12"/>
  <c r="CD60" i="12"/>
  <c r="CJ60" i="12" s="1"/>
  <c r="CD56" i="12"/>
  <c r="CJ56" i="12" s="1"/>
  <c r="CD55" i="12"/>
  <c r="CD49" i="12"/>
  <c r="CJ49" i="12" s="1"/>
  <c r="CD48" i="12"/>
  <c r="CJ48" i="12" s="1"/>
  <c r="CD47" i="12"/>
  <c r="CD41" i="12"/>
  <c r="CJ41" i="12" s="1"/>
  <c r="CD40" i="12"/>
  <c r="CD29" i="12"/>
  <c r="CJ29" i="12" s="1"/>
  <c r="CD28" i="12"/>
  <c r="CD23" i="12"/>
  <c r="CJ23" i="12" s="1"/>
  <c r="CD22" i="12"/>
  <c r="CD21" i="12"/>
  <c r="CJ21" i="12" s="1"/>
  <c r="CD20" i="12"/>
  <c r="CD14" i="12"/>
  <c r="CD13" i="12"/>
  <c r="CJ13" i="12" s="1"/>
  <c r="CD12" i="12"/>
  <c r="CJ12" i="12" s="1"/>
  <c r="CD11" i="12"/>
  <c r="CJ11" i="12" s="1"/>
  <c r="CD10" i="12"/>
  <c r="CD9" i="12"/>
  <c r="CJ9" i="12" s="1"/>
  <c r="CD8" i="12"/>
  <c r="CD7" i="12"/>
  <c r="CJ7" i="12" s="1"/>
  <c r="CD6" i="12"/>
  <c r="CD5" i="12"/>
  <c r="CJ5" i="12" s="1"/>
  <c r="CD4" i="12"/>
  <c r="CO83" i="12" l="1"/>
  <c r="CO15" i="12"/>
  <c r="CD15" i="12"/>
  <c r="CC258" i="12"/>
  <c r="CO128" i="12"/>
  <c r="CD83" i="12"/>
  <c r="CD92" i="12"/>
  <c r="CD101" i="12"/>
  <c r="CD142" i="12"/>
  <c r="CD166" i="12"/>
  <c r="CD269" i="12"/>
  <c r="CD154" i="12"/>
  <c r="CD24" i="12"/>
  <c r="CD30" i="12"/>
  <c r="CD51" i="12"/>
  <c r="CJ284" i="12"/>
  <c r="CD286" i="12"/>
  <c r="CD128" i="12"/>
  <c r="CD194" i="12"/>
  <c r="CJ199" i="12"/>
  <c r="CJ201" i="12" s="1"/>
  <c r="CD201" i="12"/>
  <c r="CO154" i="12"/>
  <c r="CO181" i="12"/>
  <c r="CJ105" i="12"/>
  <c r="CD109" i="12"/>
  <c r="CJ40" i="12"/>
  <c r="CJ42" i="12" s="1"/>
  <c r="CD42" i="12"/>
  <c r="CD116" i="12"/>
  <c r="CJ171" i="12"/>
  <c r="CD181" i="12"/>
  <c r="CD212" i="12"/>
  <c r="CO286" i="12"/>
  <c r="CO142" i="12"/>
  <c r="CJ153" i="12"/>
  <c r="CJ126" i="12"/>
  <c r="CJ241" i="12"/>
  <c r="CJ20" i="12"/>
  <c r="CN243" i="12"/>
  <c r="CT230" i="12"/>
  <c r="CJ97" i="12"/>
  <c r="CJ101" i="12" s="1"/>
  <c r="CJ121" i="12"/>
  <c r="CJ55" i="12"/>
  <c r="CJ47" i="12"/>
  <c r="CJ51" i="12" s="1"/>
  <c r="CJ147" i="12"/>
  <c r="CJ274" i="12"/>
  <c r="CJ275" i="12" s="1"/>
  <c r="CJ249" i="12"/>
  <c r="CJ256" i="12"/>
  <c r="CJ14" i="12"/>
  <c r="CJ74" i="12"/>
  <c r="CJ90" i="12"/>
  <c r="CJ133" i="12"/>
  <c r="CJ162" i="12"/>
  <c r="CJ207" i="12"/>
  <c r="CJ228" i="12"/>
  <c r="CJ64" i="12"/>
  <c r="CJ73" i="12"/>
  <c r="CJ80" i="12"/>
  <c r="CJ89" i="12"/>
  <c r="CJ114" i="12"/>
  <c r="CJ125" i="12"/>
  <c r="CJ136" i="12"/>
  <c r="CJ141" i="12"/>
  <c r="CJ159" i="12"/>
  <c r="CJ187" i="12"/>
  <c r="CJ219" i="12"/>
  <c r="CJ223" i="12"/>
  <c r="CJ218" i="12"/>
  <c r="CJ242" i="12"/>
  <c r="CJ251" i="12"/>
  <c r="CJ255" i="12"/>
  <c r="CJ267" i="12"/>
  <c r="CJ173" i="12"/>
  <c r="CJ57" i="12"/>
  <c r="CJ127" i="12"/>
  <c r="CJ226" i="12"/>
  <c r="CJ236" i="12"/>
  <c r="CJ250" i="12"/>
  <c r="CJ254" i="12"/>
  <c r="CJ257" i="12"/>
  <c r="CJ28" i="12"/>
  <c r="CJ30" i="12" s="1"/>
  <c r="CJ10" i="12"/>
  <c r="CJ62" i="12"/>
  <c r="CJ71" i="12"/>
  <c r="CJ77" i="12"/>
  <c r="CJ107" i="12"/>
  <c r="CJ123" i="12"/>
  <c r="CJ134" i="12"/>
  <c r="CJ179" i="12"/>
  <c r="CJ206" i="12"/>
  <c r="CJ211" i="12"/>
  <c r="CJ217" i="12"/>
  <c r="CJ220" i="12"/>
  <c r="CJ224" i="12"/>
  <c r="CJ229" i="12"/>
  <c r="CJ240" i="12"/>
  <c r="CJ190" i="12"/>
  <c r="CJ265" i="12"/>
  <c r="CJ285" i="12"/>
  <c r="CJ6" i="12"/>
  <c r="CJ66" i="12"/>
  <c r="CJ138" i="12"/>
  <c r="CJ175" i="12"/>
  <c r="CJ222" i="12"/>
  <c r="CJ22" i="12"/>
  <c r="CJ58" i="12"/>
  <c r="CJ69" i="12"/>
  <c r="CJ76" i="12"/>
  <c r="CJ82" i="12"/>
  <c r="CJ88" i="12"/>
  <c r="CJ115" i="12"/>
  <c r="CJ140" i="12"/>
  <c r="CJ163" i="12"/>
  <c r="CJ188" i="12"/>
  <c r="CJ238" i="12"/>
  <c r="CJ263" i="12"/>
  <c r="CJ186" i="12"/>
  <c r="CJ221" i="12"/>
  <c r="CJ8" i="12"/>
  <c r="CJ252" i="12"/>
  <c r="CJ4" i="12"/>
  <c r="CD248" i="12"/>
  <c r="CD258" i="12" s="1"/>
  <c r="DQ14" i="13"/>
  <c r="AC9" i="11" s="1"/>
  <c r="DQ6" i="13"/>
  <c r="AC6" i="11" s="1"/>
  <c r="CJ15" i="12" l="1"/>
  <c r="CJ194" i="12"/>
  <c r="CJ109" i="12"/>
  <c r="CJ269" i="12"/>
  <c r="CJ154" i="12"/>
  <c r="CJ286" i="12"/>
  <c r="CJ166" i="12"/>
  <c r="CJ116" i="12"/>
  <c r="CJ142" i="12"/>
  <c r="CJ83" i="12"/>
  <c r="CJ92" i="12"/>
  <c r="CJ212" i="12"/>
  <c r="CJ128" i="12"/>
  <c r="CJ24" i="12"/>
  <c r="CJ181" i="12"/>
  <c r="CT243" i="12"/>
  <c r="CJ248" i="12"/>
  <c r="CJ258" i="12" s="1"/>
  <c r="DQ22" i="13"/>
  <c r="DQ23" i="13" s="1"/>
  <c r="AC11" i="11"/>
  <c r="AB8" i="11"/>
  <c r="AB7" i="11"/>
  <c r="DJ22" i="13"/>
  <c r="AB10" i="11" s="1"/>
  <c r="DL14" i="13"/>
  <c r="AB9" i="11" s="1"/>
  <c r="DL6" i="13"/>
  <c r="AB6" i="11" s="1"/>
  <c r="DL22" i="13" l="1"/>
  <c r="DL23" i="13" s="1"/>
  <c r="AB11" i="11"/>
  <c r="CI230" i="12" l="1"/>
  <c r="CD230" i="12"/>
  <c r="CO230" i="12"/>
  <c r="CD243" i="12" l="1"/>
  <c r="CI243" i="12"/>
  <c r="CJ230" i="12"/>
  <c r="CO243" i="12"/>
  <c r="CJ243" i="12" l="1"/>
  <c r="AA8" i="11" l="1"/>
  <c r="AA7" i="11"/>
  <c r="DE22" i="13"/>
  <c r="AA10" i="11" s="1"/>
  <c r="DG14" i="13"/>
  <c r="AA9" i="11" s="1"/>
  <c r="DG6" i="13"/>
  <c r="AA6" i="11" s="1"/>
  <c r="AA11" i="11" l="1"/>
  <c r="DG22" i="13"/>
  <c r="DG23" i="13" s="1"/>
  <c r="BY174" i="12" l="1"/>
  <c r="CE174" i="12" s="1"/>
  <c r="BX249" i="12"/>
  <c r="BY249" i="12" s="1"/>
  <c r="CE249" i="12" s="1"/>
  <c r="BX248" i="12"/>
  <c r="BS256" i="12"/>
  <c r="BX256" i="12"/>
  <c r="BY256" i="12" s="1"/>
  <c r="CE256" i="12" s="1"/>
  <c r="BX255" i="12"/>
  <c r="BY255" i="12" s="1"/>
  <c r="CE255" i="12" s="1"/>
  <c r="BY274" i="12"/>
  <c r="BY275" i="12" s="1"/>
  <c r="BY268" i="12"/>
  <c r="CE268" i="12" s="1"/>
  <c r="BY267" i="12"/>
  <c r="CE267" i="12" s="1"/>
  <c r="BY266" i="12"/>
  <c r="CE266" i="12" s="1"/>
  <c r="BY265" i="12"/>
  <c r="CE265" i="12" s="1"/>
  <c r="BY264" i="12"/>
  <c r="CE264" i="12" s="1"/>
  <c r="BY263" i="12"/>
  <c r="BY257" i="12"/>
  <c r="CE257" i="12" s="1"/>
  <c r="BY254" i="12"/>
  <c r="CE254" i="12" s="1"/>
  <c r="BY253" i="12"/>
  <c r="CE253" i="12" s="1"/>
  <c r="BY252" i="12"/>
  <c r="CE252" i="12" s="1"/>
  <c r="BY251" i="12"/>
  <c r="CE251" i="12" s="1"/>
  <c r="BY250" i="12"/>
  <c r="CE250" i="12" s="1"/>
  <c r="BY242" i="12"/>
  <c r="CE242" i="12" s="1"/>
  <c r="BY241" i="12"/>
  <c r="BY240" i="12"/>
  <c r="CE240" i="12" s="1"/>
  <c r="BY239" i="12"/>
  <c r="CE239" i="12" s="1"/>
  <c r="BY238" i="12"/>
  <c r="CE238" i="12" s="1"/>
  <c r="BY237" i="12"/>
  <c r="CE237" i="12" s="1"/>
  <c r="BY236" i="12"/>
  <c r="CE236" i="12" s="1"/>
  <c r="BY235" i="12"/>
  <c r="CE235" i="12" s="1"/>
  <c r="BY229" i="12"/>
  <c r="CE229" i="12" s="1"/>
  <c r="BY218" i="12"/>
  <c r="CE218" i="12" s="1"/>
  <c r="BY226" i="12"/>
  <c r="CE226" i="12" s="1"/>
  <c r="BY225" i="12"/>
  <c r="CE225" i="12" s="1"/>
  <c r="BY224" i="12"/>
  <c r="CE224" i="12" s="1"/>
  <c r="BY223" i="12"/>
  <c r="CE223" i="12" s="1"/>
  <c r="BY228" i="12"/>
  <c r="CE228" i="12" s="1"/>
  <c r="BY227" i="12"/>
  <c r="CE227" i="12" s="1"/>
  <c r="BY220" i="12"/>
  <c r="CE220" i="12" s="1"/>
  <c r="BY219" i="12"/>
  <c r="CE219" i="12" s="1"/>
  <c r="BY222" i="12"/>
  <c r="CE222" i="12" s="1"/>
  <c r="BY221" i="12"/>
  <c r="CE221" i="12" s="1"/>
  <c r="BY217" i="12"/>
  <c r="BY211" i="12"/>
  <c r="CE211" i="12" s="1"/>
  <c r="BY210" i="12"/>
  <c r="CE210" i="12" s="1"/>
  <c r="BY209" i="12"/>
  <c r="CE209" i="12" s="1"/>
  <c r="BY208" i="12"/>
  <c r="CE208" i="12" s="1"/>
  <c r="BY207" i="12"/>
  <c r="CE207" i="12" s="1"/>
  <c r="BY206" i="12"/>
  <c r="BY200" i="12"/>
  <c r="CE200" i="12" s="1"/>
  <c r="BY199" i="12"/>
  <c r="BY193" i="12"/>
  <c r="CE193" i="12" s="1"/>
  <c r="BY187" i="12"/>
  <c r="CE187" i="12" s="1"/>
  <c r="BY191" i="12"/>
  <c r="CE191" i="12" s="1"/>
  <c r="BY190" i="12"/>
  <c r="CE190" i="12" s="1"/>
  <c r="BY189" i="12"/>
  <c r="CE189" i="12" s="1"/>
  <c r="BY188" i="12"/>
  <c r="CE188" i="12" s="1"/>
  <c r="BY192" i="12"/>
  <c r="CE192" i="12" s="1"/>
  <c r="BY186" i="12"/>
  <c r="BY180" i="12"/>
  <c r="CE180" i="12" s="1"/>
  <c r="BY179" i="12"/>
  <c r="CE179" i="12" s="1"/>
  <c r="BY178" i="12"/>
  <c r="CE178" i="12" s="1"/>
  <c r="BY177" i="12"/>
  <c r="CE177" i="12" s="1"/>
  <c r="BY176" i="12"/>
  <c r="CE176" i="12" s="1"/>
  <c r="BY175" i="12"/>
  <c r="CE175" i="12" s="1"/>
  <c r="BY173" i="12"/>
  <c r="BY172" i="12"/>
  <c r="CE172" i="12" s="1"/>
  <c r="BY171" i="12"/>
  <c r="BY165" i="12"/>
  <c r="CE165" i="12" s="1"/>
  <c r="BY164" i="12"/>
  <c r="CE164" i="12" s="1"/>
  <c r="BY163" i="12"/>
  <c r="CE163" i="12" s="1"/>
  <c r="BY161" i="12"/>
  <c r="CE161" i="12" s="1"/>
  <c r="BY162" i="12"/>
  <c r="CE162" i="12" s="1"/>
  <c r="BY160" i="12"/>
  <c r="CE160" i="12" s="1"/>
  <c r="BY159" i="12"/>
  <c r="BY153" i="12"/>
  <c r="BY152" i="12"/>
  <c r="CE152" i="12" s="1"/>
  <c r="BY151" i="12"/>
  <c r="CE151" i="12" s="1"/>
  <c r="BY141" i="12"/>
  <c r="CE141" i="12" s="1"/>
  <c r="BY150" i="12"/>
  <c r="CE150" i="12" s="1"/>
  <c r="BY149" i="12"/>
  <c r="CE149" i="12" s="1"/>
  <c r="BY148" i="12"/>
  <c r="CE148" i="12" s="1"/>
  <c r="BY147" i="12"/>
  <c r="BY140" i="12"/>
  <c r="CE140" i="12" s="1"/>
  <c r="BY139" i="12"/>
  <c r="CE139" i="12" s="1"/>
  <c r="BY138" i="12"/>
  <c r="BY137" i="12"/>
  <c r="CE137" i="12" s="1"/>
  <c r="BY136" i="12"/>
  <c r="CE136" i="12" s="1"/>
  <c r="BY135" i="12"/>
  <c r="CE135" i="12" s="1"/>
  <c r="BY134" i="12"/>
  <c r="CE134" i="12" s="1"/>
  <c r="BY133" i="12"/>
  <c r="BY127" i="12"/>
  <c r="CE127" i="12" s="1"/>
  <c r="BY126" i="12"/>
  <c r="BY125" i="12"/>
  <c r="CE125" i="12" s="1"/>
  <c r="BY124" i="12"/>
  <c r="CE124" i="12" s="1"/>
  <c r="BY123" i="12"/>
  <c r="CE123" i="12" s="1"/>
  <c r="BY122" i="12"/>
  <c r="CE122" i="12" s="1"/>
  <c r="BY121" i="12"/>
  <c r="BY115" i="12"/>
  <c r="CE115" i="12" s="1"/>
  <c r="BY114" i="12"/>
  <c r="BY285" i="12"/>
  <c r="BY284" i="12"/>
  <c r="BY107" i="12"/>
  <c r="CE107" i="12" s="1"/>
  <c r="BY106" i="12"/>
  <c r="CE106" i="12" s="1"/>
  <c r="BY105" i="12"/>
  <c r="BY98" i="12"/>
  <c r="CE98" i="12" s="1"/>
  <c r="BY97" i="12"/>
  <c r="BY90" i="12"/>
  <c r="CE90" i="12" s="1"/>
  <c r="BY91" i="12"/>
  <c r="CE91" i="12" s="1"/>
  <c r="BY89" i="12"/>
  <c r="CE89" i="12" s="1"/>
  <c r="BY88" i="12"/>
  <c r="BY82" i="12"/>
  <c r="CE82" i="12" s="1"/>
  <c r="BY81" i="12"/>
  <c r="CE81" i="12" s="1"/>
  <c r="BY80" i="12"/>
  <c r="BY79" i="12"/>
  <c r="CE79" i="12" s="1"/>
  <c r="BY77" i="12"/>
  <c r="CE77" i="12" s="1"/>
  <c r="BY78" i="12"/>
  <c r="CE78" i="12" s="1"/>
  <c r="BY76" i="12"/>
  <c r="CE76" i="12" s="1"/>
  <c r="BY75" i="12"/>
  <c r="CE75" i="12" s="1"/>
  <c r="BY74" i="12"/>
  <c r="CE74" i="12" s="1"/>
  <c r="BY68" i="12"/>
  <c r="CE68" i="12" s="1"/>
  <c r="BY73" i="12"/>
  <c r="CE73" i="12" s="1"/>
  <c r="BY72" i="12"/>
  <c r="CE72" i="12" s="1"/>
  <c r="BY71" i="12"/>
  <c r="CE71" i="12" s="1"/>
  <c r="BY70" i="12"/>
  <c r="CE70" i="12" s="1"/>
  <c r="BY69" i="12"/>
  <c r="CE69" i="12" s="1"/>
  <c r="BY67" i="12"/>
  <c r="CE67" i="12" s="1"/>
  <c r="BY66" i="12"/>
  <c r="CE66" i="12" s="1"/>
  <c r="BY65" i="12"/>
  <c r="CE65" i="12" s="1"/>
  <c r="BY64" i="12"/>
  <c r="BY63" i="12"/>
  <c r="CE63" i="12" s="1"/>
  <c r="BY62" i="12"/>
  <c r="CE62" i="12" s="1"/>
  <c r="BY59" i="12"/>
  <c r="CE59" i="12" s="1"/>
  <c r="BY58" i="12"/>
  <c r="CE58" i="12" s="1"/>
  <c r="BY61" i="12"/>
  <c r="CE61" i="12" s="1"/>
  <c r="BY57" i="12"/>
  <c r="CE57" i="12" s="1"/>
  <c r="BY60" i="12"/>
  <c r="CE60" i="12" s="1"/>
  <c r="BY56" i="12"/>
  <c r="CE56" i="12" s="1"/>
  <c r="BY55" i="12"/>
  <c r="BY49" i="12"/>
  <c r="CE49" i="12" s="1"/>
  <c r="BY48" i="12"/>
  <c r="CE48" i="12" s="1"/>
  <c r="BY47" i="12"/>
  <c r="BY41" i="12"/>
  <c r="CE41" i="12" s="1"/>
  <c r="BY40" i="12"/>
  <c r="BY29" i="12"/>
  <c r="CE29" i="12" s="1"/>
  <c r="BY28" i="12"/>
  <c r="BY23" i="12"/>
  <c r="CE23" i="12" s="1"/>
  <c r="BY22" i="12"/>
  <c r="CE22" i="12" s="1"/>
  <c r="BY21" i="12"/>
  <c r="CE21" i="12" s="1"/>
  <c r="BY20" i="12"/>
  <c r="BY14" i="12"/>
  <c r="CE14" i="12" s="1"/>
  <c r="BY13" i="12"/>
  <c r="CE13" i="12" s="1"/>
  <c r="BY12" i="12"/>
  <c r="CE12" i="12" s="1"/>
  <c r="BY11" i="12"/>
  <c r="CE11" i="12" s="1"/>
  <c r="BY10" i="12"/>
  <c r="BY9" i="12"/>
  <c r="CE9" i="12" s="1"/>
  <c r="BY8" i="12"/>
  <c r="CE8" i="12" s="1"/>
  <c r="BY7" i="12"/>
  <c r="CE7" i="12" s="1"/>
  <c r="BY6" i="12"/>
  <c r="CE6" i="12" s="1"/>
  <c r="BY5" i="12"/>
  <c r="CE5" i="12" s="1"/>
  <c r="BY4" i="12"/>
  <c r="BY83" i="12" l="1"/>
  <c r="BY101" i="12"/>
  <c r="BY194" i="12"/>
  <c r="BY128" i="12"/>
  <c r="BX258" i="12"/>
  <c r="BY212" i="12"/>
  <c r="BY15" i="12"/>
  <c r="BY116" i="12"/>
  <c r="CE88" i="12"/>
  <c r="CE92" i="12" s="1"/>
  <c r="BY92" i="12"/>
  <c r="CE133" i="12"/>
  <c r="BY142" i="12"/>
  <c r="CE147" i="12"/>
  <c r="BY154" i="12"/>
  <c r="CE159" i="12"/>
  <c r="CE166" i="12" s="1"/>
  <c r="BY166" i="12"/>
  <c r="CE199" i="12"/>
  <c r="CE201" i="12" s="1"/>
  <c r="BY201" i="12"/>
  <c r="BY24" i="12"/>
  <c r="CE28" i="12"/>
  <c r="CE30" i="12" s="1"/>
  <c r="BY30" i="12"/>
  <c r="CE47" i="12"/>
  <c r="CE51" i="12" s="1"/>
  <c r="BY51" i="12"/>
  <c r="CE284" i="12"/>
  <c r="BY286" i="12"/>
  <c r="CE105" i="12"/>
  <c r="CE109" i="12" s="1"/>
  <c r="BY109" i="12"/>
  <c r="CE40" i="12"/>
  <c r="CE42" i="12" s="1"/>
  <c r="BY42" i="12"/>
  <c r="CE171" i="12"/>
  <c r="BY181" i="12"/>
  <c r="CE263" i="12"/>
  <c r="CE269" i="12" s="1"/>
  <c r="BY269" i="12"/>
  <c r="CE186" i="12"/>
  <c r="CE194" i="12" s="1"/>
  <c r="CE64" i="12"/>
  <c r="CE80" i="12"/>
  <c r="CE138" i="12"/>
  <c r="CE173" i="12"/>
  <c r="CE10" i="12"/>
  <c r="CE217" i="12"/>
  <c r="CE4" i="12"/>
  <c r="CE126" i="12"/>
  <c r="CE206" i="12"/>
  <c r="CE212" i="12" s="1"/>
  <c r="CE153" i="12"/>
  <c r="CE241" i="12"/>
  <c r="CE97" i="12"/>
  <c r="CE101" i="12" s="1"/>
  <c r="CE121" i="12"/>
  <c r="CE114" i="12"/>
  <c r="CE116" i="12" s="1"/>
  <c r="CE285" i="12"/>
  <c r="CE55" i="12"/>
  <c r="CE274" i="12"/>
  <c r="CE275" i="12" s="1"/>
  <c r="CE20" i="12"/>
  <c r="CE24" i="12" s="1"/>
  <c r="BY248" i="12"/>
  <c r="BY258" i="12" s="1"/>
  <c r="CE128" i="12" l="1"/>
  <c r="CE83" i="12"/>
  <c r="CE286" i="12"/>
  <c r="CE142" i="12"/>
  <c r="CE181" i="12"/>
  <c r="CE15" i="12"/>
  <c r="CE154" i="12"/>
  <c r="CE248" i="12"/>
  <c r="CE258" i="12" s="1"/>
  <c r="Z8" i="11" l="1"/>
  <c r="Z7" i="11"/>
  <c r="CZ22" i="13"/>
  <c r="Z10" i="11" s="1"/>
  <c r="DB14" i="13"/>
  <c r="Z9" i="11" s="1"/>
  <c r="DB6" i="13"/>
  <c r="Z6" i="11" s="1"/>
  <c r="BS255" i="12"/>
  <c r="BS249" i="12"/>
  <c r="BT249" i="12" s="1"/>
  <c r="BZ249" i="12" s="1"/>
  <c r="BS248" i="12"/>
  <c r="BT274" i="12"/>
  <c r="BT275" i="12" s="1"/>
  <c r="BT268" i="12"/>
  <c r="BZ268" i="12" s="1"/>
  <c r="BT267" i="12"/>
  <c r="BZ267" i="12" s="1"/>
  <c r="BT266" i="12"/>
  <c r="BZ266" i="12" s="1"/>
  <c r="BT265" i="12"/>
  <c r="BZ265" i="12" s="1"/>
  <c r="BT264" i="12"/>
  <c r="BZ264" i="12" s="1"/>
  <c r="BT263" i="12"/>
  <c r="BT257" i="12"/>
  <c r="BZ257" i="12" s="1"/>
  <c r="BT256" i="12"/>
  <c r="BZ256" i="12" s="1"/>
  <c r="BT254" i="12"/>
  <c r="BZ254" i="12" s="1"/>
  <c r="BT253" i="12"/>
  <c r="BZ253" i="12" s="1"/>
  <c r="BT252" i="12"/>
  <c r="BZ252" i="12" s="1"/>
  <c r="BT251" i="12"/>
  <c r="BZ251" i="12" s="1"/>
  <c r="BT250" i="12"/>
  <c r="BZ250" i="12" s="1"/>
  <c r="BT242" i="12"/>
  <c r="BZ242" i="12" s="1"/>
  <c r="BT241" i="12"/>
  <c r="BT240" i="12"/>
  <c r="BZ240" i="12" s="1"/>
  <c r="BT239" i="12"/>
  <c r="BZ239" i="12" s="1"/>
  <c r="BT238" i="12"/>
  <c r="BZ238" i="12" s="1"/>
  <c r="BT237" i="12"/>
  <c r="BZ237" i="12" s="1"/>
  <c r="BT236" i="12"/>
  <c r="BZ236" i="12" s="1"/>
  <c r="BT235" i="12"/>
  <c r="BZ235" i="12" s="1"/>
  <c r="BT229" i="12"/>
  <c r="BZ229" i="12" s="1"/>
  <c r="BT218" i="12"/>
  <c r="BZ218" i="12" s="1"/>
  <c r="BT226" i="12"/>
  <c r="BZ226" i="12" s="1"/>
  <c r="BT225" i="12"/>
  <c r="BZ225" i="12" s="1"/>
  <c r="BT224" i="12"/>
  <c r="BZ224" i="12" s="1"/>
  <c r="BT223" i="12"/>
  <c r="BZ223" i="12" s="1"/>
  <c r="BT228" i="12"/>
  <c r="BZ228" i="12" s="1"/>
  <c r="BT227" i="12"/>
  <c r="BZ227" i="12" s="1"/>
  <c r="BT220" i="12"/>
  <c r="BZ220" i="12" s="1"/>
  <c r="BT219" i="12"/>
  <c r="BZ219" i="12" s="1"/>
  <c r="BT222" i="12"/>
  <c r="BZ222" i="12" s="1"/>
  <c r="BT221" i="12"/>
  <c r="BZ221" i="12" s="1"/>
  <c r="BT217" i="12"/>
  <c r="BT211" i="12"/>
  <c r="BZ211" i="12" s="1"/>
  <c r="BT210" i="12"/>
  <c r="BZ210" i="12" s="1"/>
  <c r="BT209" i="12"/>
  <c r="BZ209" i="12" s="1"/>
  <c r="BT208" i="12"/>
  <c r="BZ208" i="12" s="1"/>
  <c r="BT207" i="12"/>
  <c r="BZ207" i="12" s="1"/>
  <c r="BT206" i="12"/>
  <c r="BT200" i="12"/>
  <c r="BZ200" i="12" s="1"/>
  <c r="BT199" i="12"/>
  <c r="BT193" i="12"/>
  <c r="BZ193" i="12" s="1"/>
  <c r="BT187" i="12"/>
  <c r="BZ187" i="12" s="1"/>
  <c r="BT191" i="12"/>
  <c r="BZ191" i="12" s="1"/>
  <c r="BT190" i="12"/>
  <c r="BZ190" i="12" s="1"/>
  <c r="BT189" i="12"/>
  <c r="BZ189" i="12" s="1"/>
  <c r="BT188" i="12"/>
  <c r="BZ188" i="12" s="1"/>
  <c r="BT192" i="12"/>
  <c r="BZ192" i="12" s="1"/>
  <c r="BT186" i="12"/>
  <c r="BT180" i="12"/>
  <c r="BZ180" i="12" s="1"/>
  <c r="BT179" i="12"/>
  <c r="BZ179" i="12" s="1"/>
  <c r="BT178" i="12"/>
  <c r="BZ178" i="12" s="1"/>
  <c r="BT177" i="12"/>
  <c r="BZ177" i="12" s="1"/>
  <c r="BT176" i="12"/>
  <c r="BZ176" i="12" s="1"/>
  <c r="BT175" i="12"/>
  <c r="BZ175" i="12" s="1"/>
  <c r="BT174" i="12"/>
  <c r="BZ174" i="12" s="1"/>
  <c r="BT173" i="12"/>
  <c r="BT172" i="12"/>
  <c r="BZ172" i="12" s="1"/>
  <c r="BT171" i="12"/>
  <c r="BT165" i="12"/>
  <c r="BZ165" i="12" s="1"/>
  <c r="BT164" i="12"/>
  <c r="BZ164" i="12" s="1"/>
  <c r="BT163" i="12"/>
  <c r="BZ163" i="12" s="1"/>
  <c r="BT161" i="12"/>
  <c r="BZ161" i="12" s="1"/>
  <c r="BT162" i="12"/>
  <c r="BZ162" i="12" s="1"/>
  <c r="BT160" i="12"/>
  <c r="BZ160" i="12" s="1"/>
  <c r="BT159" i="12"/>
  <c r="BT153" i="12"/>
  <c r="BT152" i="12"/>
  <c r="BZ152" i="12" s="1"/>
  <c r="BT151" i="12"/>
  <c r="BZ151" i="12" s="1"/>
  <c r="BT141" i="12"/>
  <c r="BZ141" i="12" s="1"/>
  <c r="BT150" i="12"/>
  <c r="BZ150" i="12" s="1"/>
  <c r="BT149" i="12"/>
  <c r="BZ149" i="12" s="1"/>
  <c r="BT148" i="12"/>
  <c r="BZ148" i="12" s="1"/>
  <c r="BT147" i="12"/>
  <c r="BT140" i="12"/>
  <c r="BZ140" i="12" s="1"/>
  <c r="BT139" i="12"/>
  <c r="BZ139" i="12" s="1"/>
  <c r="BT138" i="12"/>
  <c r="BT137" i="12"/>
  <c r="BZ137" i="12" s="1"/>
  <c r="BT136" i="12"/>
  <c r="BZ136" i="12" s="1"/>
  <c r="BT135" i="12"/>
  <c r="BZ135" i="12" s="1"/>
  <c r="BT134" i="12"/>
  <c r="BZ134" i="12" s="1"/>
  <c r="BT133" i="12"/>
  <c r="BT127" i="12"/>
  <c r="BZ127" i="12" s="1"/>
  <c r="BT126" i="12"/>
  <c r="BT125" i="12"/>
  <c r="BZ125" i="12" s="1"/>
  <c r="BT124" i="12"/>
  <c r="BZ124" i="12" s="1"/>
  <c r="BT123" i="12"/>
  <c r="BZ123" i="12" s="1"/>
  <c r="BT122" i="12"/>
  <c r="BZ122" i="12" s="1"/>
  <c r="BT121" i="12"/>
  <c r="BT115" i="12"/>
  <c r="BZ115" i="12" s="1"/>
  <c r="BT114" i="12"/>
  <c r="BT285" i="12"/>
  <c r="BT284" i="12"/>
  <c r="BT107" i="12"/>
  <c r="BZ107" i="12" s="1"/>
  <c r="BT106" i="12"/>
  <c r="BZ106" i="12" s="1"/>
  <c r="BT105" i="12"/>
  <c r="BT98" i="12"/>
  <c r="BZ98" i="12" s="1"/>
  <c r="BT97" i="12"/>
  <c r="BT90" i="12"/>
  <c r="BZ90" i="12" s="1"/>
  <c r="BT91" i="12"/>
  <c r="BZ91" i="12" s="1"/>
  <c r="BT89" i="12"/>
  <c r="BZ89" i="12" s="1"/>
  <c r="BT88" i="12"/>
  <c r="BT82" i="12"/>
  <c r="BZ82" i="12" s="1"/>
  <c r="BT81" i="12"/>
  <c r="BZ81" i="12" s="1"/>
  <c r="BT80" i="12"/>
  <c r="BT79" i="12"/>
  <c r="BZ79" i="12" s="1"/>
  <c r="BT77" i="12"/>
  <c r="BZ77" i="12" s="1"/>
  <c r="BT78" i="12"/>
  <c r="BZ78" i="12" s="1"/>
  <c r="BT76" i="12"/>
  <c r="BZ76" i="12" s="1"/>
  <c r="BT75" i="12"/>
  <c r="BZ75" i="12" s="1"/>
  <c r="BT74" i="12"/>
  <c r="BZ74" i="12" s="1"/>
  <c r="BT68" i="12"/>
  <c r="BZ68" i="12" s="1"/>
  <c r="BT73" i="12"/>
  <c r="BZ73" i="12" s="1"/>
  <c r="BT72" i="12"/>
  <c r="BZ72" i="12" s="1"/>
  <c r="BT71" i="12"/>
  <c r="BZ71" i="12" s="1"/>
  <c r="BT70" i="12"/>
  <c r="BZ70" i="12" s="1"/>
  <c r="BT69" i="12"/>
  <c r="BZ69" i="12" s="1"/>
  <c r="BT67" i="12"/>
  <c r="BZ67" i="12" s="1"/>
  <c r="BT66" i="12"/>
  <c r="BZ66" i="12" s="1"/>
  <c r="BT65" i="12"/>
  <c r="BZ65" i="12" s="1"/>
  <c r="BT64" i="12"/>
  <c r="BT63" i="12"/>
  <c r="BZ63" i="12" s="1"/>
  <c r="BT62" i="12"/>
  <c r="BZ62" i="12" s="1"/>
  <c r="BT59" i="12"/>
  <c r="BZ59" i="12" s="1"/>
  <c r="BT58" i="12"/>
  <c r="BZ58" i="12" s="1"/>
  <c r="BT61" i="12"/>
  <c r="BZ61" i="12" s="1"/>
  <c r="BT57" i="12"/>
  <c r="BZ57" i="12" s="1"/>
  <c r="BT60" i="12"/>
  <c r="BZ60" i="12" s="1"/>
  <c r="BT56" i="12"/>
  <c r="BZ56" i="12" s="1"/>
  <c r="BT55" i="12"/>
  <c r="BT49" i="12"/>
  <c r="BZ49" i="12" s="1"/>
  <c r="BT48" i="12"/>
  <c r="BZ48" i="12" s="1"/>
  <c r="BT47" i="12"/>
  <c r="BT41" i="12"/>
  <c r="BZ41" i="12" s="1"/>
  <c r="BT40" i="12"/>
  <c r="BT29" i="12"/>
  <c r="BZ29" i="12" s="1"/>
  <c r="BT28" i="12"/>
  <c r="BT23" i="12"/>
  <c r="BZ23" i="12" s="1"/>
  <c r="BT22" i="12"/>
  <c r="BZ22" i="12" s="1"/>
  <c r="BT21" i="12"/>
  <c r="BZ21" i="12" s="1"/>
  <c r="BT20" i="12"/>
  <c r="BT14" i="12"/>
  <c r="BZ14" i="12" s="1"/>
  <c r="BT13" i="12"/>
  <c r="BZ13" i="12" s="1"/>
  <c r="BT12" i="12"/>
  <c r="BZ12" i="12" s="1"/>
  <c r="BT11" i="12"/>
  <c r="BZ11" i="12" s="1"/>
  <c r="BT10" i="12"/>
  <c r="BT9" i="12"/>
  <c r="BZ9" i="12" s="1"/>
  <c r="BT8" i="12"/>
  <c r="BZ8" i="12" s="1"/>
  <c r="BT7" i="12"/>
  <c r="BZ7" i="12" s="1"/>
  <c r="BT6" i="12"/>
  <c r="BZ6" i="12" s="1"/>
  <c r="BT5" i="12"/>
  <c r="BZ5" i="12" s="1"/>
  <c r="BT4" i="12"/>
  <c r="BT83" i="12" l="1"/>
  <c r="BT101" i="12"/>
  <c r="BS258" i="12"/>
  <c r="BT15" i="12"/>
  <c r="BZ40" i="12"/>
  <c r="BZ42" i="12" s="1"/>
  <c r="BT42" i="12"/>
  <c r="BT116" i="12"/>
  <c r="BZ171" i="12"/>
  <c r="BT181" i="12"/>
  <c r="BT212" i="12"/>
  <c r="BZ88" i="12"/>
  <c r="BZ92" i="12" s="1"/>
  <c r="BT92" i="12"/>
  <c r="BZ133" i="12"/>
  <c r="BT142" i="12"/>
  <c r="BZ147" i="12"/>
  <c r="BT154" i="12"/>
  <c r="BZ159" i="12"/>
  <c r="BZ166" i="12" s="1"/>
  <c r="BT166" i="12"/>
  <c r="BT24" i="12"/>
  <c r="BZ28" i="12"/>
  <c r="BZ30" i="12" s="1"/>
  <c r="BT30" i="12"/>
  <c r="BZ47" i="12"/>
  <c r="BZ51" i="12" s="1"/>
  <c r="BT51" i="12"/>
  <c r="BZ284" i="12"/>
  <c r="BT286" i="12"/>
  <c r="BT128" i="12"/>
  <c r="BT194" i="12"/>
  <c r="BZ199" i="12"/>
  <c r="BZ201" i="12" s="1"/>
  <c r="BT201" i="12"/>
  <c r="BZ263" i="12"/>
  <c r="BZ269" i="12" s="1"/>
  <c r="BT269" i="12"/>
  <c r="BZ105" i="12"/>
  <c r="BZ109" i="12" s="1"/>
  <c r="BT109" i="12"/>
  <c r="BZ10" i="12"/>
  <c r="BZ20" i="12"/>
  <c r="BZ24" i="12" s="1"/>
  <c r="BZ64" i="12"/>
  <c r="BZ80" i="12"/>
  <c r="BZ138" i="12"/>
  <c r="BZ173" i="12"/>
  <c r="BZ186" i="12"/>
  <c r="BZ194" i="12" s="1"/>
  <c r="BZ217" i="12"/>
  <c r="BZ4" i="12"/>
  <c r="BZ126" i="12"/>
  <c r="BZ241" i="12"/>
  <c r="BZ153" i="12"/>
  <c r="BZ206" i="12"/>
  <c r="BZ212" i="12" s="1"/>
  <c r="BY230" i="12"/>
  <c r="BZ97" i="12"/>
  <c r="BZ101" i="12" s="1"/>
  <c r="BZ121" i="12"/>
  <c r="BZ114" i="12"/>
  <c r="BZ116" i="12" s="1"/>
  <c r="BZ285" i="12"/>
  <c r="BZ55" i="12"/>
  <c r="BZ274" i="12"/>
  <c r="BZ275" i="12" s="1"/>
  <c r="Z11" i="11"/>
  <c r="DB22" i="13"/>
  <c r="DB23" i="13" s="1"/>
  <c r="BT255" i="12"/>
  <c r="BZ255" i="12" s="1"/>
  <c r="BT248" i="12"/>
  <c r="BZ15" i="12" l="1"/>
  <c r="BZ128" i="12"/>
  <c r="BZ142" i="12"/>
  <c r="BT258" i="12"/>
  <c r="BZ83" i="12"/>
  <c r="BZ286" i="12"/>
  <c r="BZ181" i="12"/>
  <c r="BZ154" i="12"/>
  <c r="BY243" i="12"/>
  <c r="BZ248" i="12"/>
  <c r="BZ258" i="12" s="1"/>
  <c r="CE230" i="12"/>
  <c r="CE243" i="12" l="1"/>
  <c r="Y8" i="11"/>
  <c r="Y7" i="11"/>
  <c r="CU22" i="13"/>
  <c r="Y10" i="11" s="1"/>
  <c r="CW14" i="13"/>
  <c r="Y9" i="11" s="1"/>
  <c r="CW6" i="13"/>
  <c r="Y6" i="11" s="1"/>
  <c r="BN255" i="12"/>
  <c r="BN249" i="12"/>
  <c r="BN248" i="12"/>
  <c r="BN258" i="12" l="1"/>
  <c r="BT230" i="12"/>
  <c r="Y11" i="11"/>
  <c r="CW22" i="13"/>
  <c r="CW23" i="13" s="1"/>
  <c r="BT243" i="12" l="1"/>
  <c r="BO14" i="12"/>
  <c r="BU14" i="12" s="1"/>
  <c r="BO13" i="12"/>
  <c r="BU13" i="12" s="1"/>
  <c r="BO12" i="12"/>
  <c r="BU12" i="12" s="1"/>
  <c r="BO11" i="12"/>
  <c r="BU11" i="12" s="1"/>
  <c r="BO10" i="12"/>
  <c r="BO9" i="12"/>
  <c r="BU9" i="12" s="1"/>
  <c r="BO8" i="12"/>
  <c r="BU8" i="12" s="1"/>
  <c r="BO7" i="12"/>
  <c r="BU7" i="12" s="1"/>
  <c r="BO6" i="12"/>
  <c r="BU6" i="12" s="1"/>
  <c r="BO5" i="12"/>
  <c r="BU5" i="12" s="1"/>
  <c r="BO4" i="12"/>
  <c r="BO23" i="12"/>
  <c r="BU23" i="12" s="1"/>
  <c r="BO22" i="12"/>
  <c r="BU22" i="12" s="1"/>
  <c r="BO274" i="12"/>
  <c r="BO275" i="12" s="1"/>
  <c r="BO21" i="12"/>
  <c r="BU21" i="12" s="1"/>
  <c r="BO20" i="12"/>
  <c r="BO29" i="12"/>
  <c r="BU29" i="12" s="1"/>
  <c r="BO28" i="12"/>
  <c r="BO49" i="12"/>
  <c r="BU49" i="12" s="1"/>
  <c r="BO48" i="12"/>
  <c r="BU48" i="12" s="1"/>
  <c r="BO47" i="12"/>
  <c r="BO41" i="12"/>
  <c r="BU41" i="12" s="1"/>
  <c r="BO40" i="12"/>
  <c r="BO62" i="12"/>
  <c r="BU62" i="12" s="1"/>
  <c r="BO59" i="12"/>
  <c r="BU59" i="12" s="1"/>
  <c r="BO58" i="12"/>
  <c r="BU58" i="12" s="1"/>
  <c r="BO61" i="12"/>
  <c r="BU61" i="12" s="1"/>
  <c r="BO57" i="12"/>
  <c r="BU57" i="12" s="1"/>
  <c r="BO60" i="12"/>
  <c r="BU60" i="12" s="1"/>
  <c r="BO56" i="12"/>
  <c r="BU56" i="12" s="1"/>
  <c r="BO55" i="12"/>
  <c r="BO82" i="12"/>
  <c r="BU82" i="12" s="1"/>
  <c r="BO81" i="12"/>
  <c r="BU81" i="12" s="1"/>
  <c r="BO80" i="12"/>
  <c r="BO79" i="12"/>
  <c r="BU79" i="12" s="1"/>
  <c r="BO77" i="12"/>
  <c r="BU77" i="12" s="1"/>
  <c r="BO78" i="12"/>
  <c r="BU78" i="12" s="1"/>
  <c r="BO76" i="12"/>
  <c r="BU76" i="12" s="1"/>
  <c r="BO75" i="12"/>
  <c r="BU75" i="12" s="1"/>
  <c r="BO74" i="12"/>
  <c r="BU74" i="12" s="1"/>
  <c r="BO68" i="12"/>
  <c r="BU68" i="12" s="1"/>
  <c r="BO73" i="12"/>
  <c r="BU73" i="12" s="1"/>
  <c r="BO72" i="12"/>
  <c r="BU72" i="12" s="1"/>
  <c r="BO71" i="12"/>
  <c r="BU71" i="12" s="1"/>
  <c r="BO70" i="12"/>
  <c r="BU70" i="12" s="1"/>
  <c r="BO69" i="12"/>
  <c r="BU69" i="12" s="1"/>
  <c r="BO67" i="12"/>
  <c r="BU67" i="12" s="1"/>
  <c r="BO66" i="12"/>
  <c r="BU66" i="12" s="1"/>
  <c r="BO65" i="12"/>
  <c r="BU65" i="12" s="1"/>
  <c r="BO64" i="12"/>
  <c r="BO63" i="12"/>
  <c r="BU63" i="12" s="1"/>
  <c r="BO90" i="12"/>
  <c r="BU90" i="12" s="1"/>
  <c r="BO91" i="12"/>
  <c r="BU91" i="12" s="1"/>
  <c r="BO89" i="12"/>
  <c r="BU89" i="12" s="1"/>
  <c r="BO88" i="12"/>
  <c r="BO285" i="12"/>
  <c r="BO284" i="12"/>
  <c r="BO107" i="12"/>
  <c r="BU107" i="12" s="1"/>
  <c r="BO106" i="12"/>
  <c r="BU106" i="12" s="1"/>
  <c r="BO105" i="12"/>
  <c r="BO98" i="12"/>
  <c r="BU98" i="12" s="1"/>
  <c r="BO97" i="12"/>
  <c r="BO115" i="12"/>
  <c r="BU115" i="12" s="1"/>
  <c r="BO114" i="12"/>
  <c r="BO127" i="12"/>
  <c r="BU127" i="12" s="1"/>
  <c r="BO126" i="12"/>
  <c r="BO125" i="12"/>
  <c r="BU125" i="12" s="1"/>
  <c r="BO124" i="12"/>
  <c r="BU124" i="12" s="1"/>
  <c r="BO123" i="12"/>
  <c r="BU123" i="12" s="1"/>
  <c r="BO122" i="12"/>
  <c r="BU122" i="12" s="1"/>
  <c r="BO121" i="12"/>
  <c r="BO140" i="12"/>
  <c r="BU140" i="12" s="1"/>
  <c r="BO139" i="12"/>
  <c r="BU139" i="12" s="1"/>
  <c r="BO138" i="12"/>
  <c r="BO137" i="12"/>
  <c r="BU137" i="12" s="1"/>
  <c r="BO136" i="12"/>
  <c r="BU136" i="12" s="1"/>
  <c r="BO135" i="12"/>
  <c r="BU135" i="12" s="1"/>
  <c r="BO134" i="12"/>
  <c r="BU134" i="12" s="1"/>
  <c r="BO133" i="12"/>
  <c r="BO153" i="12"/>
  <c r="BO152" i="12"/>
  <c r="BU152" i="12" s="1"/>
  <c r="BO151" i="12"/>
  <c r="BU151" i="12" s="1"/>
  <c r="BO141" i="12"/>
  <c r="BU141" i="12" s="1"/>
  <c r="BO150" i="12"/>
  <c r="BU150" i="12" s="1"/>
  <c r="BO149" i="12"/>
  <c r="BU149" i="12" s="1"/>
  <c r="BO148" i="12"/>
  <c r="BU148" i="12" s="1"/>
  <c r="BO147" i="12"/>
  <c r="BO165" i="12"/>
  <c r="BU165" i="12" s="1"/>
  <c r="BO164" i="12"/>
  <c r="BU164" i="12" s="1"/>
  <c r="BO163" i="12"/>
  <c r="BU163" i="12" s="1"/>
  <c r="BO161" i="12"/>
  <c r="BU161" i="12" s="1"/>
  <c r="BO162" i="12"/>
  <c r="BU162" i="12" s="1"/>
  <c r="BO160" i="12"/>
  <c r="BU160" i="12" s="1"/>
  <c r="BO159" i="12"/>
  <c r="BO180" i="12"/>
  <c r="BU180" i="12" s="1"/>
  <c r="BO179" i="12"/>
  <c r="BU179" i="12" s="1"/>
  <c r="BO178" i="12"/>
  <c r="BU178" i="12" s="1"/>
  <c r="BO177" i="12"/>
  <c r="BU177" i="12" s="1"/>
  <c r="BO176" i="12"/>
  <c r="BU176" i="12" s="1"/>
  <c r="BO175" i="12"/>
  <c r="BU175" i="12" s="1"/>
  <c r="BO174" i="12"/>
  <c r="BU174" i="12" s="1"/>
  <c r="BO173" i="12"/>
  <c r="BO172" i="12"/>
  <c r="BU172" i="12" s="1"/>
  <c r="BO171" i="12"/>
  <c r="BO193" i="12"/>
  <c r="BU193" i="12" s="1"/>
  <c r="BO187" i="12"/>
  <c r="BU187" i="12" s="1"/>
  <c r="BO191" i="12"/>
  <c r="BU191" i="12" s="1"/>
  <c r="BO190" i="12"/>
  <c r="BU190" i="12" s="1"/>
  <c r="BO189" i="12"/>
  <c r="BU189" i="12" s="1"/>
  <c r="BO188" i="12"/>
  <c r="BU188" i="12" s="1"/>
  <c r="BO192" i="12"/>
  <c r="BU192" i="12" s="1"/>
  <c r="BO186" i="12"/>
  <c r="BO200" i="12"/>
  <c r="BU200" i="12" s="1"/>
  <c r="BO199" i="12"/>
  <c r="BO211" i="12"/>
  <c r="BU211" i="12" s="1"/>
  <c r="BO210" i="12"/>
  <c r="BU210" i="12" s="1"/>
  <c r="BO209" i="12"/>
  <c r="BU209" i="12" s="1"/>
  <c r="BO208" i="12"/>
  <c r="BU208" i="12" s="1"/>
  <c r="BO207" i="12"/>
  <c r="BU207" i="12" s="1"/>
  <c r="BO206" i="12"/>
  <c r="BO229" i="12"/>
  <c r="BU229" i="12" s="1"/>
  <c r="BO218" i="12"/>
  <c r="BU218" i="12" s="1"/>
  <c r="BO226" i="12"/>
  <c r="BU226" i="12" s="1"/>
  <c r="BO225" i="12"/>
  <c r="BU225" i="12" s="1"/>
  <c r="BO224" i="12"/>
  <c r="BU224" i="12" s="1"/>
  <c r="BO223" i="12"/>
  <c r="BU223" i="12" s="1"/>
  <c r="BO228" i="12"/>
  <c r="BU228" i="12" s="1"/>
  <c r="BO227" i="12"/>
  <c r="BU227" i="12" s="1"/>
  <c r="BO220" i="12"/>
  <c r="BU220" i="12" s="1"/>
  <c r="BO219" i="12"/>
  <c r="BU219" i="12" s="1"/>
  <c r="BO222" i="12"/>
  <c r="BU222" i="12" s="1"/>
  <c r="BO221" i="12"/>
  <c r="BU221" i="12" s="1"/>
  <c r="BO217" i="12"/>
  <c r="BO242" i="12"/>
  <c r="BU242" i="12" s="1"/>
  <c r="BO241" i="12"/>
  <c r="BO240" i="12"/>
  <c r="BU240" i="12" s="1"/>
  <c r="BO239" i="12"/>
  <c r="BU239" i="12" s="1"/>
  <c r="BO238" i="12"/>
  <c r="BU238" i="12" s="1"/>
  <c r="BO237" i="12"/>
  <c r="BU237" i="12" s="1"/>
  <c r="BO236" i="12"/>
  <c r="BU236" i="12" s="1"/>
  <c r="BO235" i="12"/>
  <c r="BU235" i="12" s="1"/>
  <c r="BO268" i="12"/>
  <c r="BU268" i="12" s="1"/>
  <c r="BO267" i="12"/>
  <c r="BU267" i="12" s="1"/>
  <c r="BO266" i="12"/>
  <c r="BU266" i="12" s="1"/>
  <c r="BO265" i="12"/>
  <c r="BU265" i="12" s="1"/>
  <c r="BO264" i="12"/>
  <c r="BU264" i="12" s="1"/>
  <c r="BO263" i="12"/>
  <c r="BO249" i="12"/>
  <c r="BU249" i="12" s="1"/>
  <c r="BO250" i="12"/>
  <c r="BU250" i="12" s="1"/>
  <c r="BO251" i="12"/>
  <c r="BU251" i="12" s="1"/>
  <c r="BO252" i="12"/>
  <c r="BU252" i="12" s="1"/>
  <c r="BO253" i="12"/>
  <c r="BU253" i="12" s="1"/>
  <c r="BO254" i="12"/>
  <c r="BU254" i="12" s="1"/>
  <c r="BO255" i="12"/>
  <c r="BU255" i="12" s="1"/>
  <c r="BO256" i="12"/>
  <c r="BU256" i="12" s="1"/>
  <c r="BO257" i="12"/>
  <c r="BU257" i="12" s="1"/>
  <c r="BO248" i="12"/>
  <c r="BJ106" i="12"/>
  <c r="BJ109" i="12" s="1"/>
  <c r="BO101" i="12" l="1"/>
  <c r="BO212" i="12"/>
  <c r="BO194" i="12"/>
  <c r="BO116" i="12"/>
  <c r="BO24" i="12"/>
  <c r="BU263" i="12"/>
  <c r="BU269" i="12" s="1"/>
  <c r="BO269" i="12"/>
  <c r="BU147" i="12"/>
  <c r="BO154" i="12"/>
  <c r="BU133" i="12"/>
  <c r="BO142" i="12"/>
  <c r="BO128" i="12"/>
  <c r="BU88" i="12"/>
  <c r="BU92" i="12" s="1"/>
  <c r="BO92" i="12"/>
  <c r="BO83" i="12"/>
  <c r="BU40" i="12"/>
  <c r="BU42" i="12" s="1"/>
  <c r="BO42" i="12"/>
  <c r="BO15" i="12"/>
  <c r="BU199" i="12"/>
  <c r="BU201" i="12" s="1"/>
  <c r="BO201" i="12"/>
  <c r="BU159" i="12"/>
  <c r="BU166" i="12" s="1"/>
  <c r="BO166" i="12"/>
  <c r="BU28" i="12"/>
  <c r="BU30" i="12" s="1"/>
  <c r="BO30" i="12"/>
  <c r="BO258" i="12"/>
  <c r="BU284" i="12"/>
  <c r="BO286" i="12"/>
  <c r="BU47" i="12"/>
  <c r="BU51" i="12" s="1"/>
  <c r="BO51" i="12"/>
  <c r="BU171" i="12"/>
  <c r="BO181" i="12"/>
  <c r="BU105" i="12"/>
  <c r="BU109" i="12" s="1"/>
  <c r="BO109" i="12"/>
  <c r="BU241" i="12"/>
  <c r="BU4" i="12"/>
  <c r="BU173" i="12"/>
  <c r="BU138" i="12"/>
  <c r="BU126" i="12"/>
  <c r="BU64" i="12"/>
  <c r="BU80" i="12"/>
  <c r="BU248" i="12"/>
  <c r="BU258" i="12" s="1"/>
  <c r="BU217" i="12"/>
  <c r="BU10" i="12"/>
  <c r="BU206" i="12"/>
  <c r="BU212" i="12" s="1"/>
  <c r="BU186" i="12"/>
  <c r="BU194" i="12" s="1"/>
  <c r="BU153" i="12"/>
  <c r="BU20" i="12"/>
  <c r="BU24" i="12" s="1"/>
  <c r="BU97" i="12"/>
  <c r="BU101" i="12" s="1"/>
  <c r="BU114" i="12"/>
  <c r="BU116" i="12" s="1"/>
  <c r="BU121" i="12"/>
  <c r="BU285" i="12"/>
  <c r="BU55" i="12"/>
  <c r="BU274" i="12"/>
  <c r="BU275" i="12" s="1"/>
  <c r="AY224" i="12"/>
  <c r="AY225" i="12"/>
  <c r="AZ225" i="12" s="1"/>
  <c r="BC225" i="12" s="1"/>
  <c r="BE225" i="12" s="1"/>
  <c r="BF225" i="12" s="1"/>
  <c r="BG225" i="12" s="1"/>
  <c r="AY226" i="12"/>
  <c r="AZ226" i="12" s="1"/>
  <c r="BC226" i="12" s="1"/>
  <c r="BE226" i="12" s="1"/>
  <c r="BF226" i="12" s="1"/>
  <c r="BG226" i="12" s="1"/>
  <c r="AU225" i="12"/>
  <c r="AU226" i="12"/>
  <c r="BK225" i="12"/>
  <c r="BP225" i="12" s="1"/>
  <c r="BK226" i="12"/>
  <c r="BP226" i="12" s="1"/>
  <c r="AU224" i="12"/>
  <c r="BU128" i="12" l="1"/>
  <c r="BU83" i="12"/>
  <c r="BU181" i="12"/>
  <c r="BU286" i="12"/>
  <c r="BU142" i="12"/>
  <c r="BU154" i="12"/>
  <c r="BU15" i="12"/>
  <c r="BZ230" i="12"/>
  <c r="BZ243" i="12" l="1"/>
  <c r="AY285" i="12"/>
  <c r="AU285" i="12"/>
  <c r="AY138" i="12"/>
  <c r="BK264" i="12"/>
  <c r="BP264" i="12" s="1"/>
  <c r="BK265" i="12"/>
  <c r="BP265" i="12" s="1"/>
  <c r="BK266" i="12"/>
  <c r="BP266" i="12" s="1"/>
  <c r="BK267" i="12"/>
  <c r="BP267" i="12" s="1"/>
  <c r="BK268" i="12"/>
  <c r="BP268" i="12" s="1"/>
  <c r="BK263" i="12"/>
  <c r="BP263" i="12" l="1"/>
  <c r="BP269" i="12" s="1"/>
  <c r="BK269" i="12"/>
  <c r="BO230" i="12"/>
  <c r="AZ285" i="12"/>
  <c r="AU284" i="12"/>
  <c r="AU286" i="12" s="1"/>
  <c r="BO243" i="12" l="1"/>
  <c r="BB285" i="12"/>
  <c r="AV284" i="12"/>
  <c r="AV286" i="12" s="1"/>
  <c r="AV148" i="12"/>
  <c r="AY148" i="12" s="1"/>
  <c r="AV149" i="12"/>
  <c r="AY149" i="12" s="1"/>
  <c r="AV150" i="12"/>
  <c r="AY150" i="12" s="1"/>
  <c r="AV141" i="12"/>
  <c r="AY141" i="12" s="1"/>
  <c r="AV151" i="12"/>
  <c r="AY151" i="12" s="1"/>
  <c r="AV152" i="12"/>
  <c r="AY152" i="12" s="1"/>
  <c r="AV153" i="12"/>
  <c r="AV147" i="12"/>
  <c r="AU152" i="12"/>
  <c r="AU151" i="12"/>
  <c r="AU141" i="12"/>
  <c r="AY137" i="12"/>
  <c r="AU137" i="12"/>
  <c r="AV154" i="12" l="1"/>
  <c r="AY153" i="12"/>
  <c r="BU230" i="12"/>
  <c r="BC285" i="12"/>
  <c r="AY284" i="12"/>
  <c r="AY91" i="12"/>
  <c r="AU91" i="12"/>
  <c r="AZ284" i="12" l="1"/>
  <c r="AY286" i="12"/>
  <c r="BU243" i="12"/>
  <c r="BE285" i="12"/>
  <c r="BJ256" i="12"/>
  <c r="BK256" i="12" s="1"/>
  <c r="BP256" i="12" s="1"/>
  <c r="BJ255" i="12"/>
  <c r="BK255" i="12" s="1"/>
  <c r="BP255" i="12" s="1"/>
  <c r="BJ248" i="12"/>
  <c r="BJ249" i="12"/>
  <c r="BK249" i="12" s="1"/>
  <c r="BP249" i="12" s="1"/>
  <c r="BJ147" i="12"/>
  <c r="BJ154" i="12" s="1"/>
  <c r="BK29" i="12"/>
  <c r="BP29" i="12" s="1"/>
  <c r="BK41" i="12"/>
  <c r="BK48" i="12"/>
  <c r="BP48" i="12" s="1"/>
  <c r="BK49" i="12"/>
  <c r="BP49" i="12" s="1"/>
  <c r="BK56" i="12"/>
  <c r="BP56" i="12" s="1"/>
  <c r="BK60" i="12"/>
  <c r="BP60" i="12" s="1"/>
  <c r="BK57" i="12"/>
  <c r="BP57" i="12" s="1"/>
  <c r="BK61" i="12"/>
  <c r="BP61" i="12" s="1"/>
  <c r="BK58" i="12"/>
  <c r="BP58" i="12" s="1"/>
  <c r="BK59" i="12"/>
  <c r="BP59" i="12" s="1"/>
  <c r="BK62" i="12"/>
  <c r="BP62" i="12" s="1"/>
  <c r="BK63" i="12"/>
  <c r="BP63" i="12" s="1"/>
  <c r="BK64" i="12"/>
  <c r="BK65" i="12"/>
  <c r="BP65" i="12" s="1"/>
  <c r="BK66" i="12"/>
  <c r="BP66" i="12" s="1"/>
  <c r="BK67" i="12"/>
  <c r="BP67" i="12" s="1"/>
  <c r="BK69" i="12"/>
  <c r="BP69" i="12" s="1"/>
  <c r="BK70" i="12"/>
  <c r="BP70" i="12" s="1"/>
  <c r="BK71" i="12"/>
  <c r="BP71" i="12" s="1"/>
  <c r="BK72" i="12"/>
  <c r="BP72" i="12" s="1"/>
  <c r="BK73" i="12"/>
  <c r="BP73" i="12" s="1"/>
  <c r="BK68" i="12"/>
  <c r="BP68" i="12" s="1"/>
  <c r="BK74" i="12"/>
  <c r="BP74" i="12" s="1"/>
  <c r="BK75" i="12"/>
  <c r="BP75" i="12" s="1"/>
  <c r="BK76" i="12"/>
  <c r="BP76" i="12" s="1"/>
  <c r="BK77" i="12"/>
  <c r="BP77" i="12" s="1"/>
  <c r="BK79" i="12"/>
  <c r="BP79" i="12" s="1"/>
  <c r="BK80" i="12"/>
  <c r="BK78" i="12"/>
  <c r="BP78" i="12" s="1"/>
  <c r="BK81" i="12"/>
  <c r="BP81" i="12" s="1"/>
  <c r="BK82" i="12"/>
  <c r="BP82" i="12" s="1"/>
  <c r="BK89" i="12"/>
  <c r="BP89" i="12" s="1"/>
  <c r="BK91" i="12"/>
  <c r="BP91" i="12" s="1"/>
  <c r="BK90" i="12"/>
  <c r="BP90" i="12" s="1"/>
  <c r="BK98" i="12"/>
  <c r="BP98" i="12" s="1"/>
  <c r="BK105" i="12"/>
  <c r="BK106" i="12"/>
  <c r="BP106" i="12" s="1"/>
  <c r="BK107" i="12"/>
  <c r="BP107" i="12" s="1"/>
  <c r="BK284" i="12"/>
  <c r="BK285" i="12"/>
  <c r="BK115" i="12"/>
  <c r="BP115" i="12" s="1"/>
  <c r="BK122" i="12"/>
  <c r="BP122" i="12" s="1"/>
  <c r="BK123" i="12"/>
  <c r="BP123" i="12" s="1"/>
  <c r="BK124" i="12"/>
  <c r="BP124" i="12" s="1"/>
  <c r="BK125" i="12"/>
  <c r="BP125" i="12" s="1"/>
  <c r="BK126" i="12"/>
  <c r="BK127" i="12"/>
  <c r="BP127" i="12" s="1"/>
  <c r="BK134" i="12"/>
  <c r="BP134" i="12" s="1"/>
  <c r="BK135" i="12"/>
  <c r="BP135" i="12" s="1"/>
  <c r="BK136" i="12"/>
  <c r="BP136" i="12" s="1"/>
  <c r="BK137" i="12"/>
  <c r="BP137" i="12" s="1"/>
  <c r="BK138" i="12"/>
  <c r="BK139" i="12"/>
  <c r="BP139" i="12" s="1"/>
  <c r="BK140" i="12"/>
  <c r="BP140" i="12" s="1"/>
  <c r="BK148" i="12"/>
  <c r="BP148" i="12" s="1"/>
  <c r="BK149" i="12"/>
  <c r="BP149" i="12" s="1"/>
  <c r="BK150" i="12"/>
  <c r="BP150" i="12" s="1"/>
  <c r="BK141" i="12"/>
  <c r="BP141" i="12" s="1"/>
  <c r="BK151" i="12"/>
  <c r="BP151" i="12" s="1"/>
  <c r="BK152" i="12"/>
  <c r="BP152" i="12" s="1"/>
  <c r="BK153" i="12"/>
  <c r="BK160" i="12"/>
  <c r="BP160" i="12" s="1"/>
  <c r="BK162" i="12"/>
  <c r="BP162" i="12" s="1"/>
  <c r="BK161" i="12"/>
  <c r="BP161" i="12" s="1"/>
  <c r="BK163" i="12"/>
  <c r="BP163" i="12" s="1"/>
  <c r="BK164" i="12"/>
  <c r="BP164" i="12" s="1"/>
  <c r="BK165" i="12"/>
  <c r="BP165" i="12" s="1"/>
  <c r="BK172" i="12"/>
  <c r="BP172" i="12" s="1"/>
  <c r="BK173" i="12"/>
  <c r="BK174" i="12"/>
  <c r="BP174" i="12" s="1"/>
  <c r="BK175" i="12"/>
  <c r="BP175" i="12" s="1"/>
  <c r="BK176" i="12"/>
  <c r="BP176" i="12" s="1"/>
  <c r="BK177" i="12"/>
  <c r="BP177" i="12" s="1"/>
  <c r="BK178" i="12"/>
  <c r="BP178" i="12" s="1"/>
  <c r="BK179" i="12"/>
  <c r="BP179" i="12" s="1"/>
  <c r="BK180" i="12"/>
  <c r="BP180" i="12" s="1"/>
  <c r="BK192" i="12"/>
  <c r="BP192" i="12" s="1"/>
  <c r="BK188" i="12"/>
  <c r="BP188" i="12" s="1"/>
  <c r="BK189" i="12"/>
  <c r="BP189" i="12" s="1"/>
  <c r="BK190" i="12"/>
  <c r="BP190" i="12" s="1"/>
  <c r="BK191" i="12"/>
  <c r="BP191" i="12" s="1"/>
  <c r="BK187" i="12"/>
  <c r="BP187" i="12" s="1"/>
  <c r="BK193" i="12"/>
  <c r="BP193" i="12" s="1"/>
  <c r="BK200" i="12"/>
  <c r="BP200" i="12" s="1"/>
  <c r="BK207" i="12"/>
  <c r="BP207" i="12" s="1"/>
  <c r="BK208" i="12"/>
  <c r="BP208" i="12" s="1"/>
  <c r="BK209" i="12"/>
  <c r="BP209" i="12" s="1"/>
  <c r="BK210" i="12"/>
  <c r="BP210" i="12" s="1"/>
  <c r="BK211" i="12"/>
  <c r="BP211" i="12" s="1"/>
  <c r="BK222" i="12"/>
  <c r="BP222" i="12" s="1"/>
  <c r="BK221" i="12"/>
  <c r="BP221" i="12" s="1"/>
  <c r="BK219" i="12"/>
  <c r="BP219" i="12" s="1"/>
  <c r="BK220" i="12"/>
  <c r="BP220" i="12" s="1"/>
  <c r="BK227" i="12"/>
  <c r="BP227" i="12" s="1"/>
  <c r="BK228" i="12"/>
  <c r="BP228" i="12" s="1"/>
  <c r="BK223" i="12"/>
  <c r="BP223" i="12" s="1"/>
  <c r="BK224" i="12"/>
  <c r="BP224" i="12" s="1"/>
  <c r="BK218" i="12"/>
  <c r="BP218" i="12" s="1"/>
  <c r="BK229" i="12"/>
  <c r="BP229" i="12" s="1"/>
  <c r="BK236" i="12"/>
  <c r="BP236" i="12" s="1"/>
  <c r="BK237" i="12"/>
  <c r="BP237" i="12" s="1"/>
  <c r="BK238" i="12"/>
  <c r="BP238" i="12" s="1"/>
  <c r="BK239" i="12"/>
  <c r="BP239" i="12" s="1"/>
  <c r="BK240" i="12"/>
  <c r="BP240" i="12" s="1"/>
  <c r="BK241" i="12"/>
  <c r="BK242" i="12"/>
  <c r="BP242" i="12" s="1"/>
  <c r="BK250" i="12"/>
  <c r="BP250" i="12" s="1"/>
  <c r="BK251" i="12"/>
  <c r="BP251" i="12" s="1"/>
  <c r="BK252" i="12"/>
  <c r="BP252" i="12" s="1"/>
  <c r="BK253" i="12"/>
  <c r="BP253" i="12" s="1"/>
  <c r="BK254" i="12"/>
  <c r="BP254" i="12" s="1"/>
  <c r="BK257" i="12"/>
  <c r="BP257" i="12" s="1"/>
  <c r="BK235" i="12"/>
  <c r="BP235" i="12" s="1"/>
  <c r="BK217" i="12"/>
  <c r="BK206" i="12"/>
  <c r="BK199" i="12"/>
  <c r="BK186" i="12"/>
  <c r="BK171" i="12"/>
  <c r="BK159" i="12"/>
  <c r="BK133" i="12"/>
  <c r="BK121" i="12"/>
  <c r="BK114" i="12"/>
  <c r="BK97" i="12"/>
  <c r="BK101" i="12" s="1"/>
  <c r="BK88" i="12"/>
  <c r="BK55" i="12"/>
  <c r="BK47" i="12"/>
  <c r="BK40" i="12"/>
  <c r="BK28" i="12"/>
  <c r="BK21" i="12"/>
  <c r="BP21" i="12" s="1"/>
  <c r="BK274" i="12"/>
  <c r="BK275" i="12" s="1"/>
  <c r="BK22" i="12"/>
  <c r="BP22" i="12" s="1"/>
  <c r="BK23" i="12"/>
  <c r="BP23" i="12" s="1"/>
  <c r="BK20" i="12"/>
  <c r="BK5" i="12"/>
  <c r="BP5" i="12" s="1"/>
  <c r="BK6" i="12"/>
  <c r="BP6" i="12" s="1"/>
  <c r="BK7" i="12"/>
  <c r="BP7" i="12" s="1"/>
  <c r="BK8" i="12"/>
  <c r="BP8" i="12" s="1"/>
  <c r="BK9" i="12"/>
  <c r="BP9" i="12" s="1"/>
  <c r="BK10" i="12"/>
  <c r="BK11" i="12"/>
  <c r="BP11" i="12" s="1"/>
  <c r="BK12" i="12"/>
  <c r="BP12" i="12" s="1"/>
  <c r="BK13" i="12"/>
  <c r="BP13" i="12" s="1"/>
  <c r="BK14" i="12"/>
  <c r="BP14" i="12" s="1"/>
  <c r="BK4" i="12"/>
  <c r="BK83" i="12" l="1"/>
  <c r="BK194" i="12"/>
  <c r="BK42" i="12"/>
  <c r="BK24" i="12"/>
  <c r="BK128" i="12"/>
  <c r="BK15" i="12"/>
  <c r="BK212" i="12"/>
  <c r="BK116" i="12"/>
  <c r="BP28" i="12"/>
  <c r="BP30" i="12" s="1"/>
  <c r="BK30" i="12"/>
  <c r="BP88" i="12"/>
  <c r="BP92" i="12" s="1"/>
  <c r="BK92" i="12"/>
  <c r="BP133" i="12"/>
  <c r="BK142" i="12"/>
  <c r="BP199" i="12"/>
  <c r="BP201" i="12" s="1"/>
  <c r="BK201" i="12"/>
  <c r="BP105" i="12"/>
  <c r="BP109" i="12" s="1"/>
  <c r="BK109" i="12"/>
  <c r="BJ258" i="12"/>
  <c r="BP159" i="12"/>
  <c r="BP166" i="12" s="1"/>
  <c r="BK166" i="12"/>
  <c r="BP284" i="12"/>
  <c r="BK286" i="12"/>
  <c r="BP47" i="12"/>
  <c r="BP51" i="12" s="1"/>
  <c r="BK51" i="12"/>
  <c r="BP171" i="12"/>
  <c r="BK181" i="12"/>
  <c r="BB284" i="12"/>
  <c r="AZ286" i="12"/>
  <c r="BP4" i="12"/>
  <c r="BP20" i="12"/>
  <c r="BP24" i="12" s="1"/>
  <c r="BP186" i="12"/>
  <c r="BP194" i="12" s="1"/>
  <c r="BP241" i="12"/>
  <c r="BP173" i="12"/>
  <c r="BP153" i="12"/>
  <c r="BP64" i="12"/>
  <c r="BP138" i="12"/>
  <c r="BP80" i="12"/>
  <c r="BP10" i="12"/>
  <c r="BP206" i="12"/>
  <c r="BP212" i="12" s="1"/>
  <c r="BP217" i="12"/>
  <c r="BP126" i="12"/>
  <c r="BP97" i="12"/>
  <c r="BP101" i="12" s="1"/>
  <c r="BP285" i="12"/>
  <c r="BF285" i="12"/>
  <c r="BP274" i="12"/>
  <c r="BP275" i="12" s="1"/>
  <c r="BP55" i="12"/>
  <c r="BP114" i="12"/>
  <c r="BP116" i="12" s="1"/>
  <c r="BP121" i="12"/>
  <c r="BK248" i="12"/>
  <c r="BK258" i="12" s="1"/>
  <c r="BK147" i="12"/>
  <c r="BK154" i="12" s="1"/>
  <c r="W8" i="11"/>
  <c r="W7" i="11"/>
  <c r="X8" i="11"/>
  <c r="X7" i="11"/>
  <c r="CP22" i="13"/>
  <c r="X10" i="11" s="1"/>
  <c r="CR14" i="13"/>
  <c r="X9" i="11" s="1"/>
  <c r="CR6" i="13"/>
  <c r="X6" i="11" s="1"/>
  <c r="BP128" i="12" l="1"/>
  <c r="BP83" i="12"/>
  <c r="BB286" i="12"/>
  <c r="BC284" i="12"/>
  <c r="BP15" i="12"/>
  <c r="BP181" i="12"/>
  <c r="BP286" i="12"/>
  <c r="BP142" i="12"/>
  <c r="BG285" i="12"/>
  <c r="BP248" i="12"/>
  <c r="BP258" i="12" s="1"/>
  <c r="BP147" i="12"/>
  <c r="BP154" i="12" s="1"/>
  <c r="X11" i="11"/>
  <c r="CR22" i="13"/>
  <c r="CR23" i="13" s="1"/>
  <c r="BE284" i="12" l="1"/>
  <c r="BC286" i="12"/>
  <c r="BF284" i="12" l="1"/>
  <c r="BE286" i="12"/>
  <c r="BK230" i="12"/>
  <c r="BJ230" i="12"/>
  <c r="BG284" i="12" l="1"/>
  <c r="BG286" i="12" s="1"/>
  <c r="BF286" i="12"/>
  <c r="BJ243" i="12"/>
  <c r="BK243" i="12"/>
  <c r="BD257" i="12"/>
  <c r="BD258" i="12" s="1"/>
  <c r="BD228" i="12"/>
  <c r="BD227" i="12"/>
  <c r="BD207" i="12"/>
  <c r="BD212" i="12" s="1"/>
  <c r="BD139" i="12"/>
  <c r="BD142" i="12" s="1"/>
  <c r="AZ137" i="12"/>
  <c r="BB137" i="12" s="1"/>
  <c r="BC137" i="12" s="1"/>
  <c r="BE137" i="12" s="1"/>
  <c r="AZ138" i="12"/>
  <c r="AZ141" i="12"/>
  <c r="BB141" i="12" s="1"/>
  <c r="BC141" i="12" s="1"/>
  <c r="BE141" i="12" s="1"/>
  <c r="AZ151" i="12"/>
  <c r="BB151" i="12" s="1"/>
  <c r="BC151" i="12" s="1"/>
  <c r="BE151" i="12" s="1"/>
  <c r="AZ152" i="12"/>
  <c r="BB152" i="12" s="1"/>
  <c r="BC152" i="12" s="1"/>
  <c r="BE152" i="12" s="1"/>
  <c r="AZ224" i="12"/>
  <c r="BB224" i="12" s="1"/>
  <c r="BC224" i="12" s="1"/>
  <c r="BE224" i="12" s="1"/>
  <c r="AZ91" i="12"/>
  <c r="BB91" i="12" s="1"/>
  <c r="BC91" i="12" s="1"/>
  <c r="BE91" i="12" s="1"/>
  <c r="AZ75" i="12"/>
  <c r="BB75" i="12" s="1"/>
  <c r="BC75" i="12" s="1"/>
  <c r="BE75" i="12" s="1"/>
  <c r="AZ76" i="12"/>
  <c r="BB76" i="12" s="1"/>
  <c r="BC76" i="12" s="1"/>
  <c r="BE76" i="12" s="1"/>
  <c r="AZ77" i="12"/>
  <c r="BB77" i="12" s="1"/>
  <c r="BC77" i="12" s="1"/>
  <c r="BE77" i="12" s="1"/>
  <c r="AZ23" i="12"/>
  <c r="BB23" i="12" s="1"/>
  <c r="BC23" i="12" s="1"/>
  <c r="BE23" i="12" s="1"/>
  <c r="CK22" i="13"/>
  <c r="W10" i="11" s="1"/>
  <c r="CM14" i="13"/>
  <c r="W9" i="11" s="1"/>
  <c r="CM6" i="13"/>
  <c r="BP230" i="12" l="1"/>
  <c r="BB138" i="12"/>
  <c r="BF224" i="12"/>
  <c r="BG224" i="12" s="1"/>
  <c r="BF151" i="12"/>
  <c r="BG151" i="12" s="1"/>
  <c r="CM22" i="13"/>
  <c r="CM23" i="13" s="1"/>
  <c r="W6" i="11"/>
  <c r="W11" i="11" s="1"/>
  <c r="BF23" i="12"/>
  <c r="BG23" i="12" s="1"/>
  <c r="BF91" i="12"/>
  <c r="BG91" i="12" s="1"/>
  <c r="BF141" i="12"/>
  <c r="BG141" i="12" s="1"/>
  <c r="BF75" i="12"/>
  <c r="BG75" i="12" s="1"/>
  <c r="BF152" i="12"/>
  <c r="BG152" i="12" s="1"/>
  <c r="BF77" i="12"/>
  <c r="BG77" i="12" s="1"/>
  <c r="BF76" i="12"/>
  <c r="BG76" i="12" s="1"/>
  <c r="BF137" i="12"/>
  <c r="BG137" i="12" s="1"/>
  <c r="BP243" i="12" l="1"/>
  <c r="BC138" i="12"/>
  <c r="AY41" i="12"/>
  <c r="AZ41" i="12" s="1"/>
  <c r="BB41" i="12" s="1"/>
  <c r="BC41" i="12" s="1"/>
  <c r="BE41" i="12" s="1"/>
  <c r="BP41" i="12" s="1"/>
  <c r="AU41" i="12"/>
  <c r="AQ41" i="12"/>
  <c r="AM41" i="12"/>
  <c r="AI41" i="12"/>
  <c r="AE41" i="12"/>
  <c r="U41" i="12"/>
  <c r="V41" i="12" s="1"/>
  <c r="AY40" i="12"/>
  <c r="AU40" i="12"/>
  <c r="AQ40" i="12"/>
  <c r="AM40" i="12"/>
  <c r="AI40" i="12"/>
  <c r="AE40" i="12"/>
  <c r="U40" i="12"/>
  <c r="AI42" i="12" l="1"/>
  <c r="AQ42" i="12"/>
  <c r="V40" i="12"/>
  <c r="V42" i="12" s="1"/>
  <c r="U42" i="12"/>
  <c r="AE42" i="12"/>
  <c r="AU42" i="12"/>
  <c r="AZ40" i="12"/>
  <c r="AY42" i="12"/>
  <c r="AM42" i="12"/>
  <c r="BE138" i="12"/>
  <c r="BD230" i="12"/>
  <c r="BF41" i="12"/>
  <c r="BG41" i="12" s="1"/>
  <c r="BB40" i="12" l="1"/>
  <c r="AZ42" i="12"/>
  <c r="BD243" i="12"/>
  <c r="BF138" i="12"/>
  <c r="BC40" i="12" l="1"/>
  <c r="BB42" i="12"/>
  <c r="BG138" i="12"/>
  <c r="H25" i="11"/>
  <c r="BE40" i="12" l="1"/>
  <c r="BC42" i="12"/>
  <c r="AX256" i="12"/>
  <c r="AX255" i="12"/>
  <c r="AT255" i="12"/>
  <c r="AU255" i="12" s="1"/>
  <c r="AT256" i="12"/>
  <c r="AU256" i="12" s="1"/>
  <c r="BP40" i="12" l="1"/>
  <c r="BP42" i="12" s="1"/>
  <c r="BE42" i="12"/>
  <c r="BF40" i="12"/>
  <c r="V8" i="11"/>
  <c r="V7" i="11"/>
  <c r="AX249" i="12"/>
  <c r="AX248" i="12"/>
  <c r="AX258" i="12" s="1"/>
  <c r="BG40" i="12" l="1"/>
  <c r="BG42" i="12" s="1"/>
  <c r="BF42" i="12"/>
  <c r="CF22" i="13"/>
  <c r="V10" i="11" s="1"/>
  <c r="CH14" i="13"/>
  <c r="V9" i="11" s="1"/>
  <c r="CH6" i="13"/>
  <c r="V6" i="11" s="1"/>
  <c r="AY98" i="12"/>
  <c r="AZ98" i="12" s="1"/>
  <c r="BB98" i="12" s="1"/>
  <c r="BC98" i="12" s="1"/>
  <c r="BE98" i="12" s="1"/>
  <c r="AY105" i="12"/>
  <c r="AY106" i="12"/>
  <c r="AY107" i="12"/>
  <c r="AY89" i="12"/>
  <c r="AZ89" i="12" s="1"/>
  <c r="BB89" i="12" s="1"/>
  <c r="BC89" i="12" s="1"/>
  <c r="BE89" i="12" s="1"/>
  <c r="AY90" i="12"/>
  <c r="AZ90" i="12" s="1"/>
  <c r="BB90" i="12" s="1"/>
  <c r="BC90" i="12" s="1"/>
  <c r="BE90" i="12" s="1"/>
  <c r="AY115" i="12"/>
  <c r="AZ115" i="12" s="1"/>
  <c r="BB115" i="12" s="1"/>
  <c r="BC115" i="12" s="1"/>
  <c r="BE115" i="12" s="1"/>
  <c r="AY122" i="12"/>
  <c r="AZ122" i="12" s="1"/>
  <c r="BB122" i="12" s="1"/>
  <c r="BC122" i="12" s="1"/>
  <c r="BE122" i="12" s="1"/>
  <c r="AY123" i="12"/>
  <c r="AZ123" i="12" s="1"/>
  <c r="BB123" i="12" s="1"/>
  <c r="BC123" i="12" s="1"/>
  <c r="BE123" i="12" s="1"/>
  <c r="AY124" i="12"/>
  <c r="AZ124" i="12" s="1"/>
  <c r="BB124" i="12" s="1"/>
  <c r="BC124" i="12" s="1"/>
  <c r="BE124" i="12" s="1"/>
  <c r="AY125" i="12"/>
  <c r="AZ125" i="12" s="1"/>
  <c r="BB125" i="12" s="1"/>
  <c r="BC125" i="12" s="1"/>
  <c r="BE125" i="12" s="1"/>
  <c r="AY126" i="12"/>
  <c r="AY127" i="12"/>
  <c r="AZ127" i="12" s="1"/>
  <c r="BB127" i="12" s="1"/>
  <c r="BC127" i="12" s="1"/>
  <c r="BE127" i="12" s="1"/>
  <c r="AY134" i="12"/>
  <c r="AZ134" i="12" s="1"/>
  <c r="BB134" i="12" s="1"/>
  <c r="BC134" i="12" s="1"/>
  <c r="BE134" i="12" s="1"/>
  <c r="AY135" i="12"/>
  <c r="AZ135" i="12" s="1"/>
  <c r="BB135" i="12" s="1"/>
  <c r="BC135" i="12" s="1"/>
  <c r="BE135" i="12" s="1"/>
  <c r="AY136" i="12"/>
  <c r="AZ136" i="12" s="1"/>
  <c r="BB136" i="12" s="1"/>
  <c r="BC136" i="12" s="1"/>
  <c r="BE136" i="12" s="1"/>
  <c r="AY147" i="12"/>
  <c r="AY154" i="12" s="1"/>
  <c r="AZ148" i="12"/>
  <c r="BB148" i="12" s="1"/>
  <c r="BC148" i="12" s="1"/>
  <c r="BE148" i="12" s="1"/>
  <c r="AZ149" i="12"/>
  <c r="BB149" i="12" s="1"/>
  <c r="BC149" i="12" s="1"/>
  <c r="BE149" i="12" s="1"/>
  <c r="AZ150" i="12"/>
  <c r="BB150" i="12" s="1"/>
  <c r="BC150" i="12" s="1"/>
  <c r="BE150" i="12" s="1"/>
  <c r="AZ153" i="12"/>
  <c r="AY140" i="12"/>
  <c r="AZ140" i="12" s="1"/>
  <c r="BB140" i="12" s="1"/>
  <c r="BC140" i="12" s="1"/>
  <c r="BE140" i="12" s="1"/>
  <c r="AY160" i="12"/>
  <c r="AZ160" i="12" s="1"/>
  <c r="BB160" i="12" s="1"/>
  <c r="BC160" i="12" s="1"/>
  <c r="BE160" i="12" s="1"/>
  <c r="AY161" i="12"/>
  <c r="AZ161" i="12" s="1"/>
  <c r="BB161" i="12" s="1"/>
  <c r="BC161" i="12" s="1"/>
  <c r="BE161" i="12" s="1"/>
  <c r="AY159" i="12"/>
  <c r="AY163" i="12"/>
  <c r="AZ163" i="12" s="1"/>
  <c r="BB163" i="12" s="1"/>
  <c r="BC163" i="12" s="1"/>
  <c r="BE163" i="12" s="1"/>
  <c r="AY164" i="12"/>
  <c r="AZ164" i="12" s="1"/>
  <c r="BB164" i="12" s="1"/>
  <c r="BC164" i="12" s="1"/>
  <c r="BE164" i="12" s="1"/>
  <c r="AY165" i="12"/>
  <c r="AZ165" i="12" s="1"/>
  <c r="BB165" i="12" s="1"/>
  <c r="BC165" i="12" s="1"/>
  <c r="BE165" i="12" s="1"/>
  <c r="AY178" i="12"/>
  <c r="AZ178" i="12" s="1"/>
  <c r="BB178" i="12" s="1"/>
  <c r="BC178" i="12" s="1"/>
  <c r="BE178" i="12" s="1"/>
  <c r="AY177" i="12"/>
  <c r="AZ177" i="12" s="1"/>
  <c r="BB177" i="12" s="1"/>
  <c r="BC177" i="12" s="1"/>
  <c r="BE177" i="12" s="1"/>
  <c r="AY173" i="12"/>
  <c r="AY174" i="12"/>
  <c r="AZ174" i="12" s="1"/>
  <c r="BB174" i="12" s="1"/>
  <c r="BC174" i="12" s="1"/>
  <c r="BE174" i="12" s="1"/>
  <c r="AY175" i="12"/>
  <c r="AZ175" i="12" s="1"/>
  <c r="BB175" i="12" s="1"/>
  <c r="BC175" i="12" s="1"/>
  <c r="BE175" i="12" s="1"/>
  <c r="AY176" i="12"/>
  <c r="AZ176" i="12" s="1"/>
  <c r="BB176" i="12" s="1"/>
  <c r="BC176" i="12" s="1"/>
  <c r="BE176" i="12" s="1"/>
  <c r="AY179" i="12"/>
  <c r="AZ179" i="12" s="1"/>
  <c r="BB179" i="12" s="1"/>
  <c r="BC179" i="12" s="1"/>
  <c r="BE179" i="12" s="1"/>
  <c r="AY172" i="12"/>
  <c r="AZ172" i="12" s="1"/>
  <c r="BB172" i="12" s="1"/>
  <c r="BC172" i="12" s="1"/>
  <c r="BE172" i="12" s="1"/>
  <c r="AY180" i="12"/>
  <c r="AZ180" i="12" s="1"/>
  <c r="BB180" i="12" s="1"/>
  <c r="BC180" i="12" s="1"/>
  <c r="BE180" i="12" s="1"/>
  <c r="AY56" i="12"/>
  <c r="AZ56" i="12" s="1"/>
  <c r="BB56" i="12" s="1"/>
  <c r="BC56" i="12" s="1"/>
  <c r="BE56" i="12" s="1"/>
  <c r="AY60" i="12"/>
  <c r="AZ60" i="12" s="1"/>
  <c r="BB60" i="12" s="1"/>
  <c r="BC60" i="12" s="1"/>
  <c r="BE60" i="12" s="1"/>
  <c r="AY57" i="12"/>
  <c r="AZ57" i="12" s="1"/>
  <c r="BB57" i="12" s="1"/>
  <c r="BC57" i="12" s="1"/>
  <c r="BE57" i="12" s="1"/>
  <c r="AY61" i="12"/>
  <c r="AZ61" i="12" s="1"/>
  <c r="BB61" i="12" s="1"/>
  <c r="BC61" i="12" s="1"/>
  <c r="BE61" i="12" s="1"/>
  <c r="AY58" i="12"/>
  <c r="AZ58" i="12" s="1"/>
  <c r="BB58" i="12" s="1"/>
  <c r="BC58" i="12" s="1"/>
  <c r="BE58" i="12" s="1"/>
  <c r="AY59" i="12"/>
  <c r="AZ59" i="12" s="1"/>
  <c r="BB59" i="12" s="1"/>
  <c r="BC59" i="12" s="1"/>
  <c r="BE59" i="12" s="1"/>
  <c r="AY62" i="12"/>
  <c r="AZ62" i="12" s="1"/>
  <c r="BB62" i="12" s="1"/>
  <c r="BC62" i="12" s="1"/>
  <c r="BE62" i="12" s="1"/>
  <c r="AY63" i="12"/>
  <c r="AZ63" i="12" s="1"/>
  <c r="BB63" i="12" s="1"/>
  <c r="BC63" i="12" s="1"/>
  <c r="BE63" i="12" s="1"/>
  <c r="AY64" i="12"/>
  <c r="AY65" i="12"/>
  <c r="AZ65" i="12" s="1"/>
  <c r="BB65" i="12" s="1"/>
  <c r="BC65" i="12" s="1"/>
  <c r="BE65" i="12" s="1"/>
  <c r="AY66" i="12"/>
  <c r="AZ66" i="12" s="1"/>
  <c r="BB66" i="12" s="1"/>
  <c r="BC66" i="12" s="1"/>
  <c r="BE66" i="12" s="1"/>
  <c r="AY67" i="12"/>
  <c r="AZ67" i="12" s="1"/>
  <c r="BB67" i="12" s="1"/>
  <c r="BC67" i="12" s="1"/>
  <c r="BE67" i="12" s="1"/>
  <c r="AY69" i="12"/>
  <c r="AZ69" i="12" s="1"/>
  <c r="BB69" i="12" s="1"/>
  <c r="BC69" i="12" s="1"/>
  <c r="BE69" i="12" s="1"/>
  <c r="AY70" i="12"/>
  <c r="AZ70" i="12" s="1"/>
  <c r="BB70" i="12" s="1"/>
  <c r="BC70" i="12" s="1"/>
  <c r="BE70" i="12" s="1"/>
  <c r="AY71" i="12"/>
  <c r="AZ71" i="12" s="1"/>
  <c r="BB71" i="12" s="1"/>
  <c r="BC71" i="12" s="1"/>
  <c r="BE71" i="12" s="1"/>
  <c r="AY72" i="12"/>
  <c r="AZ72" i="12" s="1"/>
  <c r="BB72" i="12" s="1"/>
  <c r="BC72" i="12" s="1"/>
  <c r="BE72" i="12" s="1"/>
  <c r="AY73" i="12"/>
  <c r="AZ73" i="12" s="1"/>
  <c r="BB73" i="12" s="1"/>
  <c r="BC73" i="12" s="1"/>
  <c r="BE73" i="12" s="1"/>
  <c r="AY68" i="12"/>
  <c r="AZ68" i="12" s="1"/>
  <c r="BB68" i="12" s="1"/>
  <c r="BC68" i="12" s="1"/>
  <c r="BE68" i="12" s="1"/>
  <c r="AY74" i="12"/>
  <c r="AZ74" i="12" s="1"/>
  <c r="BB74" i="12" s="1"/>
  <c r="BC74" i="12" s="1"/>
  <c r="BE74" i="12" s="1"/>
  <c r="AY79" i="12"/>
  <c r="AZ79" i="12" s="1"/>
  <c r="BB79" i="12" s="1"/>
  <c r="BC79" i="12" s="1"/>
  <c r="BE79" i="12" s="1"/>
  <c r="AY80" i="12"/>
  <c r="AY78" i="12"/>
  <c r="AZ78" i="12" s="1"/>
  <c r="BB78" i="12" s="1"/>
  <c r="BC78" i="12" s="1"/>
  <c r="BE78" i="12" s="1"/>
  <c r="AY81" i="12"/>
  <c r="AZ81" i="12" s="1"/>
  <c r="BB81" i="12" s="1"/>
  <c r="BC81" i="12" s="1"/>
  <c r="BE81" i="12" s="1"/>
  <c r="AY82" i="12"/>
  <c r="AZ82" i="12" s="1"/>
  <c r="BB82" i="12" s="1"/>
  <c r="BC82" i="12" s="1"/>
  <c r="BE82" i="12" s="1"/>
  <c r="AY187" i="12"/>
  <c r="AZ187" i="12" s="1"/>
  <c r="BB187" i="12" s="1"/>
  <c r="BC187" i="12" s="1"/>
  <c r="BE187" i="12" s="1"/>
  <c r="AY193" i="12"/>
  <c r="AZ193" i="12" s="1"/>
  <c r="BB193" i="12" s="1"/>
  <c r="BC193" i="12" s="1"/>
  <c r="BE193" i="12" s="1"/>
  <c r="AY192" i="12"/>
  <c r="AZ192" i="12" s="1"/>
  <c r="BB192" i="12" s="1"/>
  <c r="BC192" i="12" s="1"/>
  <c r="BE192" i="12" s="1"/>
  <c r="AY188" i="12"/>
  <c r="AZ188" i="12" s="1"/>
  <c r="BB188" i="12" s="1"/>
  <c r="BC188" i="12" s="1"/>
  <c r="BE188" i="12" s="1"/>
  <c r="AY189" i="12"/>
  <c r="AZ189" i="12" s="1"/>
  <c r="BB189" i="12" s="1"/>
  <c r="BC189" i="12" s="1"/>
  <c r="BE189" i="12" s="1"/>
  <c r="AY190" i="12"/>
  <c r="AZ190" i="12" s="1"/>
  <c r="BB190" i="12" s="1"/>
  <c r="BC190" i="12" s="1"/>
  <c r="BE190" i="12" s="1"/>
  <c r="AY191" i="12"/>
  <c r="AZ191" i="12" s="1"/>
  <c r="BB191" i="12" s="1"/>
  <c r="BC191" i="12" s="1"/>
  <c r="BE191" i="12" s="1"/>
  <c r="AY200" i="12"/>
  <c r="AZ200" i="12" s="1"/>
  <c r="BB200" i="12" s="1"/>
  <c r="BC200" i="12" s="1"/>
  <c r="BE200" i="12" s="1"/>
  <c r="AY207" i="12"/>
  <c r="AZ207" i="12" s="1"/>
  <c r="BB207" i="12" s="1"/>
  <c r="BC207" i="12" s="1"/>
  <c r="BE207" i="12" s="1"/>
  <c r="AY208" i="12"/>
  <c r="AZ208" i="12" s="1"/>
  <c r="BB208" i="12" s="1"/>
  <c r="BC208" i="12" s="1"/>
  <c r="BE208" i="12" s="1"/>
  <c r="AY209" i="12"/>
  <c r="AZ209" i="12" s="1"/>
  <c r="BB209" i="12" s="1"/>
  <c r="BC209" i="12" s="1"/>
  <c r="BE209" i="12" s="1"/>
  <c r="AY211" i="12"/>
  <c r="AZ211" i="12" s="1"/>
  <c r="BB211" i="12" s="1"/>
  <c r="BC211" i="12" s="1"/>
  <c r="BE211" i="12" s="1"/>
  <c r="AY210" i="12"/>
  <c r="AZ210" i="12" s="1"/>
  <c r="BB210" i="12" s="1"/>
  <c r="BC210" i="12" s="1"/>
  <c r="BE210" i="12" s="1"/>
  <c r="AY218" i="12"/>
  <c r="AZ218" i="12" s="1"/>
  <c r="BB218" i="12" s="1"/>
  <c r="BC218" i="12" s="1"/>
  <c r="BE218" i="12" s="1"/>
  <c r="AY229" i="12"/>
  <c r="AZ229" i="12" s="1"/>
  <c r="BB229" i="12" s="1"/>
  <c r="BC229" i="12" s="1"/>
  <c r="BE229" i="12" s="1"/>
  <c r="AY221" i="12"/>
  <c r="AZ221" i="12" s="1"/>
  <c r="BB221" i="12" s="1"/>
  <c r="BC221" i="12" s="1"/>
  <c r="BE221" i="12" s="1"/>
  <c r="AY222" i="12"/>
  <c r="AZ222" i="12" s="1"/>
  <c r="BB222" i="12" s="1"/>
  <c r="BC222" i="12" s="1"/>
  <c r="BE222" i="12" s="1"/>
  <c r="AY219" i="12"/>
  <c r="AZ219" i="12" s="1"/>
  <c r="BB219" i="12" s="1"/>
  <c r="BC219" i="12" s="1"/>
  <c r="BE219" i="12" s="1"/>
  <c r="AY220" i="12"/>
  <c r="AZ220" i="12" s="1"/>
  <c r="BB220" i="12" s="1"/>
  <c r="BC220" i="12" s="1"/>
  <c r="BE220" i="12" s="1"/>
  <c r="AY227" i="12"/>
  <c r="AZ227" i="12" s="1"/>
  <c r="BB227" i="12" s="1"/>
  <c r="BC227" i="12" s="1"/>
  <c r="BE227" i="12" s="1"/>
  <c r="AY228" i="12"/>
  <c r="AZ228" i="12" s="1"/>
  <c r="BB228" i="12" s="1"/>
  <c r="BC228" i="12" s="1"/>
  <c r="BE228" i="12" s="1"/>
  <c r="AY223" i="12"/>
  <c r="AZ223" i="12" s="1"/>
  <c r="BB223" i="12" s="1"/>
  <c r="BC223" i="12" s="1"/>
  <c r="BE223" i="12" s="1"/>
  <c r="AY236" i="12"/>
  <c r="AZ236" i="12" s="1"/>
  <c r="BB236" i="12" s="1"/>
  <c r="BC236" i="12" s="1"/>
  <c r="BE236" i="12" s="1"/>
  <c r="AY237" i="12"/>
  <c r="AZ237" i="12" s="1"/>
  <c r="BB237" i="12" s="1"/>
  <c r="BC237" i="12" s="1"/>
  <c r="BE237" i="12" s="1"/>
  <c r="AY238" i="12"/>
  <c r="AZ238" i="12" s="1"/>
  <c r="BB238" i="12" s="1"/>
  <c r="BC238" i="12" s="1"/>
  <c r="BE238" i="12" s="1"/>
  <c r="AY239" i="12"/>
  <c r="AZ239" i="12" s="1"/>
  <c r="BB239" i="12" s="1"/>
  <c r="BC239" i="12" s="1"/>
  <c r="BE239" i="12" s="1"/>
  <c r="AY240" i="12"/>
  <c r="AZ240" i="12" s="1"/>
  <c r="BB240" i="12" s="1"/>
  <c r="BC240" i="12" s="1"/>
  <c r="BE240" i="12" s="1"/>
  <c r="AY241" i="12"/>
  <c r="AY242" i="12"/>
  <c r="AZ242" i="12" s="1"/>
  <c r="BB242" i="12" s="1"/>
  <c r="BC242" i="12" s="1"/>
  <c r="BE242" i="12" s="1"/>
  <c r="AY264" i="12"/>
  <c r="AZ264" i="12" s="1"/>
  <c r="BB264" i="12" s="1"/>
  <c r="BC264" i="12" s="1"/>
  <c r="BE264" i="12" s="1"/>
  <c r="AY265" i="12"/>
  <c r="AZ265" i="12" s="1"/>
  <c r="BB265" i="12" s="1"/>
  <c r="BC265" i="12" s="1"/>
  <c r="BE265" i="12" s="1"/>
  <c r="AY266" i="12"/>
  <c r="AZ266" i="12" s="1"/>
  <c r="BB266" i="12" s="1"/>
  <c r="BC266" i="12" s="1"/>
  <c r="BE266" i="12" s="1"/>
  <c r="AY267" i="12"/>
  <c r="AZ267" i="12" s="1"/>
  <c r="BB267" i="12" s="1"/>
  <c r="BC267" i="12" s="1"/>
  <c r="BE267" i="12" s="1"/>
  <c r="AY268" i="12"/>
  <c r="AZ268" i="12" s="1"/>
  <c r="BB268" i="12" s="1"/>
  <c r="BC268" i="12" s="1"/>
  <c r="BE268" i="12" s="1"/>
  <c r="AY249" i="12"/>
  <c r="AZ249" i="12" s="1"/>
  <c r="BB249" i="12" s="1"/>
  <c r="BC249" i="12" s="1"/>
  <c r="BE249" i="12" s="1"/>
  <c r="AY250" i="12"/>
  <c r="AZ250" i="12" s="1"/>
  <c r="BB250" i="12" s="1"/>
  <c r="BC250" i="12" s="1"/>
  <c r="BE250" i="12" s="1"/>
  <c r="AY251" i="12"/>
  <c r="AZ251" i="12" s="1"/>
  <c r="BB251" i="12" s="1"/>
  <c r="BC251" i="12" s="1"/>
  <c r="BE251" i="12" s="1"/>
  <c r="AY252" i="12"/>
  <c r="AZ252" i="12" s="1"/>
  <c r="BB252" i="12" s="1"/>
  <c r="BC252" i="12" s="1"/>
  <c r="BE252" i="12" s="1"/>
  <c r="AY253" i="12"/>
  <c r="AZ253" i="12" s="1"/>
  <c r="BB253" i="12" s="1"/>
  <c r="BC253" i="12" s="1"/>
  <c r="BE253" i="12" s="1"/>
  <c r="AY254" i="12"/>
  <c r="AZ254" i="12" s="1"/>
  <c r="BB254" i="12" s="1"/>
  <c r="BC254" i="12" s="1"/>
  <c r="BE254" i="12" s="1"/>
  <c r="AY255" i="12"/>
  <c r="AZ255" i="12" s="1"/>
  <c r="BB255" i="12" s="1"/>
  <c r="BC255" i="12" s="1"/>
  <c r="BE255" i="12" s="1"/>
  <c r="AY256" i="12"/>
  <c r="AZ256" i="12" s="1"/>
  <c r="BB256" i="12" s="1"/>
  <c r="BC256" i="12" s="1"/>
  <c r="BE256" i="12" s="1"/>
  <c r="AY257" i="12"/>
  <c r="AZ257" i="12" s="1"/>
  <c r="BB257" i="12" s="1"/>
  <c r="BC257" i="12" s="1"/>
  <c r="BE257" i="12" s="1"/>
  <c r="AY248" i="12"/>
  <c r="AY263" i="12"/>
  <c r="AY235" i="12"/>
  <c r="AY217" i="12"/>
  <c r="AY206" i="12"/>
  <c r="AY199" i="12"/>
  <c r="AY186" i="12"/>
  <c r="AY55" i="12"/>
  <c r="AY171" i="12"/>
  <c r="AY162" i="12"/>
  <c r="AZ162" i="12" s="1"/>
  <c r="BB162" i="12" s="1"/>
  <c r="BC162" i="12" s="1"/>
  <c r="BE162" i="12" s="1"/>
  <c r="AY133" i="12"/>
  <c r="AY121" i="12"/>
  <c r="AY114" i="12"/>
  <c r="AY88" i="12"/>
  <c r="AY97" i="12"/>
  <c r="AY13" i="12"/>
  <c r="AZ13" i="12" s="1"/>
  <c r="BB13" i="12" s="1"/>
  <c r="BC13" i="12" s="1"/>
  <c r="BE13" i="12" s="1"/>
  <c r="AY14" i="12"/>
  <c r="AZ14" i="12" s="1"/>
  <c r="BB14" i="12" s="1"/>
  <c r="BC14" i="12" s="1"/>
  <c r="BE14" i="12" s="1"/>
  <c r="AY11" i="12"/>
  <c r="AY6" i="12"/>
  <c r="AZ6" i="12" s="1"/>
  <c r="BB6" i="12" s="1"/>
  <c r="BC6" i="12" s="1"/>
  <c r="BE6" i="12" s="1"/>
  <c r="AY7" i="12"/>
  <c r="AZ7" i="12" s="1"/>
  <c r="BB7" i="12" s="1"/>
  <c r="BC7" i="12" s="1"/>
  <c r="BE7" i="12" s="1"/>
  <c r="AY8" i="12"/>
  <c r="AZ8" i="12" s="1"/>
  <c r="BB8" i="12" s="1"/>
  <c r="BC8" i="12" s="1"/>
  <c r="BE8" i="12" s="1"/>
  <c r="AY9" i="12"/>
  <c r="AZ9" i="12" s="1"/>
  <c r="BB9" i="12" s="1"/>
  <c r="BC9" i="12" s="1"/>
  <c r="BE9" i="12" s="1"/>
  <c r="AY10" i="12"/>
  <c r="AY12" i="12"/>
  <c r="AZ12" i="12" s="1"/>
  <c r="BB12" i="12" s="1"/>
  <c r="BC12" i="12" s="1"/>
  <c r="BE12" i="12" s="1"/>
  <c r="AY5" i="12"/>
  <c r="AZ5" i="12" s="1"/>
  <c r="BB5" i="12" s="1"/>
  <c r="BC5" i="12" s="1"/>
  <c r="BE5" i="12" s="1"/>
  <c r="AY4" i="12"/>
  <c r="AY20" i="12"/>
  <c r="AY22" i="12"/>
  <c r="AZ22" i="12" s="1"/>
  <c r="BB22" i="12" s="1"/>
  <c r="BC22" i="12" s="1"/>
  <c r="BE22" i="12" s="1"/>
  <c r="AY21" i="12"/>
  <c r="AZ21" i="12" s="1"/>
  <c r="BB21" i="12" s="1"/>
  <c r="BC21" i="12" s="1"/>
  <c r="BE21" i="12" s="1"/>
  <c r="AY28" i="12"/>
  <c r="AY29" i="12"/>
  <c r="AZ29" i="12" s="1"/>
  <c r="BB29" i="12" s="1"/>
  <c r="BC29" i="12" s="1"/>
  <c r="BE29" i="12" s="1"/>
  <c r="AY47" i="12"/>
  <c r="AY48" i="12"/>
  <c r="AZ48" i="12" s="1"/>
  <c r="BB48" i="12" s="1"/>
  <c r="BC48" i="12" s="1"/>
  <c r="BE48" i="12" s="1"/>
  <c r="AY49" i="12"/>
  <c r="AZ49" i="12" s="1"/>
  <c r="BB49" i="12" s="1"/>
  <c r="BC49" i="12" s="1"/>
  <c r="BE49" i="12" s="1"/>
  <c r="AY116" i="12" l="1"/>
  <c r="AY181" i="12"/>
  <c r="AY212" i="12"/>
  <c r="AY128" i="12"/>
  <c r="AY129" i="12" s="1"/>
  <c r="AY83" i="12"/>
  <c r="AY194" i="12"/>
  <c r="AY101" i="12"/>
  <c r="AY92" i="12"/>
  <c r="AY201" i="12"/>
  <c r="AY269" i="12"/>
  <c r="AY258" i="12"/>
  <c r="AY166" i="12"/>
  <c r="AZ47" i="12"/>
  <c r="AY51" i="12"/>
  <c r="AY24" i="12"/>
  <c r="AY25" i="12" s="1"/>
  <c r="AZ28" i="12"/>
  <c r="AY30" i="12"/>
  <c r="AY15" i="12"/>
  <c r="AY16" i="12" s="1"/>
  <c r="AY109" i="12"/>
  <c r="AZ126" i="12"/>
  <c r="AZ20" i="12"/>
  <c r="AZ24" i="12" s="1"/>
  <c r="AZ10" i="12"/>
  <c r="AZ186" i="12"/>
  <c r="AZ194" i="12" s="1"/>
  <c r="AZ173" i="12"/>
  <c r="AZ4" i="12"/>
  <c r="BB4" i="12" s="1"/>
  <c r="AZ80" i="12"/>
  <c r="AZ64" i="12"/>
  <c r="AZ241" i="12"/>
  <c r="BB153" i="12"/>
  <c r="AZ106" i="12"/>
  <c r="BB106" i="12" s="1"/>
  <c r="BC106" i="12" s="1"/>
  <c r="BE106" i="12" s="1"/>
  <c r="AZ88" i="12"/>
  <c r="AZ92" i="12" s="1"/>
  <c r="AZ199" i="12"/>
  <c r="AZ201" i="12" s="1"/>
  <c r="AZ263" i="12"/>
  <c r="AZ269" i="12" s="1"/>
  <c r="AZ105" i="12"/>
  <c r="AZ133" i="12"/>
  <c r="AZ171" i="12"/>
  <c r="AZ248" i="12"/>
  <c r="AZ258" i="12" s="1"/>
  <c r="AZ159" i="12"/>
  <c r="AZ166" i="12" s="1"/>
  <c r="AZ147" i="12"/>
  <c r="AZ154" i="12" s="1"/>
  <c r="AZ235" i="12"/>
  <c r="AZ114" i="12"/>
  <c r="AZ116" i="12" s="1"/>
  <c r="AZ206" i="12"/>
  <c r="AZ212" i="12" s="1"/>
  <c r="AZ121" i="12"/>
  <c r="AZ55" i="12"/>
  <c r="AZ217" i="12"/>
  <c r="AZ107" i="12"/>
  <c r="BB107" i="12" s="1"/>
  <c r="BC107" i="12" s="1"/>
  <c r="BE107" i="12" s="1"/>
  <c r="AZ97" i="12"/>
  <c r="AZ101" i="12" s="1"/>
  <c r="BF268" i="12"/>
  <c r="BG268" i="12" s="1"/>
  <c r="BF219" i="12"/>
  <c r="BG219" i="12" s="1"/>
  <c r="BF190" i="12"/>
  <c r="BG190" i="12" s="1"/>
  <c r="BF68" i="12"/>
  <c r="BG68" i="12" s="1"/>
  <c r="BF59" i="12"/>
  <c r="BG59" i="12" s="1"/>
  <c r="BF135" i="12"/>
  <c r="BG135" i="12" s="1"/>
  <c r="BF6" i="12"/>
  <c r="BG6" i="12" s="1"/>
  <c r="BF256" i="12"/>
  <c r="BG256" i="12" s="1"/>
  <c r="BF223" i="12"/>
  <c r="BG223" i="12" s="1"/>
  <c r="BF208" i="12"/>
  <c r="BG208" i="12" s="1"/>
  <c r="BF267" i="12"/>
  <c r="BG267" i="12" s="1"/>
  <c r="BF228" i="12"/>
  <c r="BG228" i="12" s="1"/>
  <c r="BF207" i="12"/>
  <c r="BG207" i="12" s="1"/>
  <c r="BF187" i="12"/>
  <c r="BG187" i="12" s="1"/>
  <c r="BF69" i="12"/>
  <c r="BG69" i="12" s="1"/>
  <c r="BF56" i="12"/>
  <c r="BG56" i="12" s="1"/>
  <c r="BF163" i="12"/>
  <c r="BG163" i="12" s="1"/>
  <c r="BF140" i="12"/>
  <c r="BG140" i="12" s="1"/>
  <c r="BF124" i="12"/>
  <c r="BG124" i="12" s="1"/>
  <c r="BF90" i="12"/>
  <c r="BG90" i="12" s="1"/>
  <c r="BF252" i="12"/>
  <c r="BG252" i="12" s="1"/>
  <c r="BF239" i="12"/>
  <c r="BG239" i="12" s="1"/>
  <c r="BF193" i="12"/>
  <c r="BG193" i="12" s="1"/>
  <c r="BF70" i="12"/>
  <c r="BG70" i="12" s="1"/>
  <c r="BF60" i="12"/>
  <c r="BG60" i="12" s="1"/>
  <c r="BF164" i="12"/>
  <c r="BG164" i="12" s="1"/>
  <c r="BF160" i="12"/>
  <c r="BG160" i="12" s="1"/>
  <c r="BF125" i="12"/>
  <c r="BG125" i="12" s="1"/>
  <c r="AZ11" i="12"/>
  <c r="BF162" i="12"/>
  <c r="BG162" i="12" s="1"/>
  <c r="BF255" i="12"/>
  <c r="BG255" i="12" s="1"/>
  <c r="BF242" i="12"/>
  <c r="BG242" i="12" s="1"/>
  <c r="BF210" i="12"/>
  <c r="BG210" i="12" s="1"/>
  <c r="BF176" i="12"/>
  <c r="BG176" i="12" s="1"/>
  <c r="BF148" i="12"/>
  <c r="BG148" i="12" s="1"/>
  <c r="BF48" i="12"/>
  <c r="BG48" i="12" s="1"/>
  <c r="BF8" i="12"/>
  <c r="BG8" i="12" s="1"/>
  <c r="BF250" i="12"/>
  <c r="BG250" i="12" s="1"/>
  <c r="BF227" i="12"/>
  <c r="BG227" i="12" s="1"/>
  <c r="BF211" i="12"/>
  <c r="BG211" i="12" s="1"/>
  <c r="BF200" i="12"/>
  <c r="BG200" i="12" s="1"/>
  <c r="BF188" i="12"/>
  <c r="BG188" i="12" s="1"/>
  <c r="BF82" i="12"/>
  <c r="BG82" i="12" s="1"/>
  <c r="BF79" i="12"/>
  <c r="BG79" i="12" s="1"/>
  <c r="BF72" i="12"/>
  <c r="BG72" i="12" s="1"/>
  <c r="BF67" i="12"/>
  <c r="BG67" i="12" s="1"/>
  <c r="BF63" i="12"/>
  <c r="BG63" i="12" s="1"/>
  <c r="BF61" i="12"/>
  <c r="BG61" i="12" s="1"/>
  <c r="BF180" i="12"/>
  <c r="BG180" i="12" s="1"/>
  <c r="BF175" i="12"/>
  <c r="BG175" i="12" s="1"/>
  <c r="BF178" i="12"/>
  <c r="BG178" i="12" s="1"/>
  <c r="BF127" i="12"/>
  <c r="BG127" i="12" s="1"/>
  <c r="BF123" i="12"/>
  <c r="BG123" i="12" s="1"/>
  <c r="BF98" i="12"/>
  <c r="BG98" i="12" s="1"/>
  <c r="BF29" i="12"/>
  <c r="BG29" i="12" s="1"/>
  <c r="BF264" i="12"/>
  <c r="BG264" i="12" s="1"/>
  <c r="BF218" i="12"/>
  <c r="BG218" i="12" s="1"/>
  <c r="BF78" i="12"/>
  <c r="BG78" i="12" s="1"/>
  <c r="BF65" i="12"/>
  <c r="BG65" i="12" s="1"/>
  <c r="BF179" i="12"/>
  <c r="BG179" i="12" s="1"/>
  <c r="BF149" i="12"/>
  <c r="BG149" i="12" s="1"/>
  <c r="BF115" i="12"/>
  <c r="BG115" i="12" s="1"/>
  <c r="BF49" i="12"/>
  <c r="BG49" i="12" s="1"/>
  <c r="BF9" i="12"/>
  <c r="BG9" i="12" s="1"/>
  <c r="BF251" i="12"/>
  <c r="BG251" i="12" s="1"/>
  <c r="BF238" i="12"/>
  <c r="BG238" i="12" s="1"/>
  <c r="BF222" i="12"/>
  <c r="BG222" i="12" s="1"/>
  <c r="BF189" i="12"/>
  <c r="BG189" i="12" s="1"/>
  <c r="BF73" i="12"/>
  <c r="BG73" i="12" s="1"/>
  <c r="BF58" i="12"/>
  <c r="BG58" i="12" s="1"/>
  <c r="BF177" i="12"/>
  <c r="BG177" i="12" s="1"/>
  <c r="BF134" i="12"/>
  <c r="BG134" i="12" s="1"/>
  <c r="BF21" i="12"/>
  <c r="BG21" i="12" s="1"/>
  <c r="BF5" i="12"/>
  <c r="BG5" i="12" s="1"/>
  <c r="BF14" i="12"/>
  <c r="BG14" i="12" s="1"/>
  <c r="BF254" i="12"/>
  <c r="BG254" i="12" s="1"/>
  <c r="BF266" i="12"/>
  <c r="BG266" i="12" s="1"/>
  <c r="BF237" i="12"/>
  <c r="BG237" i="12" s="1"/>
  <c r="BF221" i="12"/>
  <c r="BG221" i="12" s="1"/>
  <c r="BF89" i="12"/>
  <c r="BG89" i="12" s="1"/>
  <c r="BF22" i="12"/>
  <c r="BG22" i="12" s="1"/>
  <c r="BF12" i="12"/>
  <c r="BG12" i="12" s="1"/>
  <c r="BF7" i="12"/>
  <c r="BG7" i="12" s="1"/>
  <c r="BF13" i="12"/>
  <c r="BG13" i="12" s="1"/>
  <c r="BF257" i="12"/>
  <c r="BG257" i="12" s="1"/>
  <c r="BF253" i="12"/>
  <c r="BG253" i="12" s="1"/>
  <c r="BF249" i="12"/>
  <c r="BG249" i="12" s="1"/>
  <c r="BF265" i="12"/>
  <c r="BG265" i="12" s="1"/>
  <c r="BF240" i="12"/>
  <c r="BG240" i="12" s="1"/>
  <c r="BF236" i="12"/>
  <c r="BG236" i="12" s="1"/>
  <c r="BF220" i="12"/>
  <c r="BG220" i="12" s="1"/>
  <c r="BF229" i="12"/>
  <c r="BG229" i="12" s="1"/>
  <c r="BF209" i="12"/>
  <c r="BG209" i="12" s="1"/>
  <c r="BF191" i="12"/>
  <c r="BG191" i="12" s="1"/>
  <c r="BF192" i="12"/>
  <c r="BG192" i="12" s="1"/>
  <c r="BF81" i="12"/>
  <c r="BG81" i="12" s="1"/>
  <c r="BF74" i="12"/>
  <c r="BG74" i="12" s="1"/>
  <c r="BF71" i="12"/>
  <c r="BG71" i="12" s="1"/>
  <c r="BF66" i="12"/>
  <c r="BG66" i="12" s="1"/>
  <c r="BF62" i="12"/>
  <c r="BG62" i="12" s="1"/>
  <c r="BF57" i="12"/>
  <c r="BG57" i="12" s="1"/>
  <c r="BF172" i="12"/>
  <c r="BG172" i="12" s="1"/>
  <c r="BF174" i="12"/>
  <c r="BG174" i="12" s="1"/>
  <c r="BF165" i="12"/>
  <c r="BG165" i="12" s="1"/>
  <c r="BF161" i="12"/>
  <c r="BG161" i="12" s="1"/>
  <c r="BF150" i="12"/>
  <c r="BG150" i="12" s="1"/>
  <c r="BF136" i="12"/>
  <c r="BG136" i="12" s="1"/>
  <c r="BF122" i="12"/>
  <c r="BG122" i="12" s="1"/>
  <c r="CH22" i="13"/>
  <c r="CH23" i="13" s="1"/>
  <c r="V11" i="11"/>
  <c r="U8" i="11"/>
  <c r="U7" i="11"/>
  <c r="AZ128" i="12" l="1"/>
  <c r="AZ83" i="12"/>
  <c r="AZ181" i="12"/>
  <c r="AZ15" i="12"/>
  <c r="BB28" i="12"/>
  <c r="AZ30" i="12"/>
  <c r="BB47" i="12"/>
  <c r="AZ51" i="12"/>
  <c r="BB105" i="12"/>
  <c r="AZ109" i="12"/>
  <c r="BC4" i="12"/>
  <c r="BB186" i="12"/>
  <c r="BB194" i="12" s="1"/>
  <c r="BB20" i="12"/>
  <c r="BB24" i="12" s="1"/>
  <c r="BB241" i="12"/>
  <c r="BB80" i="12"/>
  <c r="BB173" i="12"/>
  <c r="BB10" i="12"/>
  <c r="BB126" i="12"/>
  <c r="BC153" i="12"/>
  <c r="BB64" i="12"/>
  <c r="BB159" i="12"/>
  <c r="BB166" i="12" s="1"/>
  <c r="BF107" i="12"/>
  <c r="BG107" i="12" s="1"/>
  <c r="BF106" i="12"/>
  <c r="BG106" i="12" s="1"/>
  <c r="BB55" i="12"/>
  <c r="BB147" i="12"/>
  <c r="BB154" i="12" s="1"/>
  <c r="BB248" i="12"/>
  <c r="BB258" i="12" s="1"/>
  <c r="BB133" i="12"/>
  <c r="BB263" i="12"/>
  <c r="BB269" i="12" s="1"/>
  <c r="BB88" i="12"/>
  <c r="BB92" i="12" s="1"/>
  <c r="BB206" i="12"/>
  <c r="BB212" i="12" s="1"/>
  <c r="BB235" i="12"/>
  <c r="BB97" i="12"/>
  <c r="BB101" i="12" s="1"/>
  <c r="BB217" i="12"/>
  <c r="BB121" i="12"/>
  <c r="BB128" i="12" s="1"/>
  <c r="BB171" i="12"/>
  <c r="BB199" i="12"/>
  <c r="BB201" i="12" s="1"/>
  <c r="BB114" i="12"/>
  <c r="BB116" i="12" s="1"/>
  <c r="BB11" i="12"/>
  <c r="AY118" i="12"/>
  <c r="AY117" i="12"/>
  <c r="AY277" i="12"/>
  <c r="AY85" i="12"/>
  <c r="AY84" i="12"/>
  <c r="H26" i="11"/>
  <c r="AT249" i="12"/>
  <c r="AT248" i="12"/>
  <c r="AU21" i="12"/>
  <c r="BB15" i="12" l="1"/>
  <c r="BB83" i="12"/>
  <c r="BB181" i="12"/>
  <c r="BC105" i="12"/>
  <c r="BB109" i="12"/>
  <c r="AT258" i="12"/>
  <c r="BC28" i="12"/>
  <c r="BB30" i="12"/>
  <c r="BC47" i="12"/>
  <c r="BB51" i="12"/>
  <c r="AY278" i="12"/>
  <c r="AY295" i="12"/>
  <c r="AY93" i="12"/>
  <c r="AY94" i="12"/>
  <c r="BC64" i="12"/>
  <c r="BC10" i="12"/>
  <c r="BC80" i="12"/>
  <c r="BC20" i="12"/>
  <c r="BC24" i="12" s="1"/>
  <c r="BE4" i="12"/>
  <c r="BE153" i="12"/>
  <c r="BC126" i="12"/>
  <c r="BC173" i="12"/>
  <c r="BC241" i="12"/>
  <c r="BC186" i="12"/>
  <c r="BC194" i="12" s="1"/>
  <c r="BC159" i="12"/>
  <c r="BC171" i="12"/>
  <c r="BC217" i="12"/>
  <c r="BC235" i="12"/>
  <c r="BC88" i="12"/>
  <c r="BC92" i="12" s="1"/>
  <c r="BC133" i="12"/>
  <c r="BC147" i="12"/>
  <c r="BC154" i="12" s="1"/>
  <c r="BC199" i="12"/>
  <c r="BC201" i="12" s="1"/>
  <c r="BC121" i="12"/>
  <c r="BC97" i="12"/>
  <c r="BC101" i="12" s="1"/>
  <c r="BC206" i="12"/>
  <c r="BC212" i="12" s="1"/>
  <c r="BC114" i="12"/>
  <c r="BC116" i="12" s="1"/>
  <c r="BC263" i="12"/>
  <c r="BC269" i="12" s="1"/>
  <c r="BC248" i="12"/>
  <c r="BC258" i="12" s="1"/>
  <c r="BC55" i="12"/>
  <c r="BC11" i="12"/>
  <c r="AU153" i="12"/>
  <c r="BC128" i="12" l="1"/>
  <c r="BC83" i="12"/>
  <c r="BC15" i="12"/>
  <c r="BE47" i="12"/>
  <c r="BC51" i="12"/>
  <c r="BC181" i="12"/>
  <c r="BE159" i="12"/>
  <c r="BE166" i="12" s="1"/>
  <c r="BC166" i="12"/>
  <c r="BE28" i="12"/>
  <c r="BC30" i="12"/>
  <c r="BE105" i="12"/>
  <c r="BC109" i="12"/>
  <c r="AY287" i="12"/>
  <c r="BE241" i="12"/>
  <c r="BE126" i="12"/>
  <c r="BE80" i="12"/>
  <c r="BE64" i="12"/>
  <c r="BE186" i="12"/>
  <c r="BE194" i="12" s="1"/>
  <c r="BE173" i="12"/>
  <c r="BF153" i="12"/>
  <c r="BF4" i="12"/>
  <c r="BE20" i="12"/>
  <c r="BE24" i="12" s="1"/>
  <c r="BE10" i="12"/>
  <c r="BE248" i="12"/>
  <c r="BE258" i="12" s="1"/>
  <c r="BE206" i="12"/>
  <c r="BE212" i="12" s="1"/>
  <c r="BE121" i="12"/>
  <c r="BE147" i="12"/>
  <c r="BE154" i="12" s="1"/>
  <c r="BE88" i="12"/>
  <c r="BE92" i="12" s="1"/>
  <c r="BE217" i="12"/>
  <c r="BE114" i="12"/>
  <c r="BE116" i="12" s="1"/>
  <c r="BE55" i="12"/>
  <c r="BE263" i="12"/>
  <c r="BE269" i="12" s="1"/>
  <c r="BE97" i="12"/>
  <c r="BE101" i="12" s="1"/>
  <c r="BE199" i="12"/>
  <c r="BE201" i="12" s="1"/>
  <c r="BE133" i="12"/>
  <c r="BE235" i="12"/>
  <c r="BE171" i="12"/>
  <c r="BE11" i="12"/>
  <c r="CA22" i="13"/>
  <c r="U10" i="11" s="1"/>
  <c r="CC14" i="13"/>
  <c r="U9" i="11" s="1"/>
  <c r="CC6" i="13"/>
  <c r="AU257" i="12"/>
  <c r="AU254" i="12"/>
  <c r="AU253" i="12"/>
  <c r="AU252" i="12"/>
  <c r="AU251" i="12"/>
  <c r="AU250" i="12"/>
  <c r="AU249" i="12"/>
  <c r="AU248" i="12"/>
  <c r="AU268" i="12"/>
  <c r="AU267" i="12"/>
  <c r="AU266" i="12"/>
  <c r="AU265" i="12"/>
  <c r="AU264" i="12"/>
  <c r="AU263" i="12"/>
  <c r="AU242" i="12"/>
  <c r="AU241" i="12"/>
  <c r="AU240" i="12"/>
  <c r="AU239" i="12"/>
  <c r="AU238" i="12"/>
  <c r="AU237" i="12"/>
  <c r="AU236" i="12"/>
  <c r="AU235" i="12"/>
  <c r="AU223" i="12"/>
  <c r="AU228" i="12"/>
  <c r="AU227" i="12"/>
  <c r="AU220" i="12"/>
  <c r="AU219" i="12"/>
  <c r="AU222" i="12"/>
  <c r="AU221" i="12"/>
  <c r="AU229" i="12"/>
  <c r="AU218" i="12"/>
  <c r="AU217" i="12"/>
  <c r="AU210" i="12"/>
  <c r="AU211" i="12"/>
  <c r="AU209" i="12"/>
  <c r="AU208" i="12"/>
  <c r="AU207" i="12"/>
  <c r="AU206" i="12"/>
  <c r="AU200" i="12"/>
  <c r="AU199" i="12"/>
  <c r="AU191" i="12"/>
  <c r="AU190" i="12"/>
  <c r="AU189" i="12"/>
  <c r="AU188" i="12"/>
  <c r="AU192" i="12"/>
  <c r="AU193" i="12"/>
  <c r="AU187" i="12"/>
  <c r="AU186" i="12"/>
  <c r="AU82" i="12"/>
  <c r="AU81" i="12"/>
  <c r="AU78" i="12"/>
  <c r="AU80" i="12"/>
  <c r="AU79" i="12"/>
  <c r="AU74" i="12"/>
  <c r="AU68" i="12"/>
  <c r="AU73" i="12"/>
  <c r="AU72" i="12"/>
  <c r="AU71" i="12"/>
  <c r="AU70" i="12"/>
  <c r="AU69" i="12"/>
  <c r="AU67" i="12"/>
  <c r="AU66" i="12"/>
  <c r="AU65" i="12"/>
  <c r="AU64" i="12"/>
  <c r="AU63" i="12"/>
  <c r="AU62" i="12"/>
  <c r="AU59" i="12"/>
  <c r="AU58" i="12"/>
  <c r="AU61" i="12"/>
  <c r="AU57" i="12"/>
  <c r="AU60" i="12"/>
  <c r="AU56" i="12"/>
  <c r="AU55" i="12"/>
  <c r="AU180" i="12"/>
  <c r="AU172" i="12"/>
  <c r="AU179" i="12"/>
  <c r="AU176" i="12"/>
  <c r="AU175" i="12"/>
  <c r="AU174" i="12"/>
  <c r="AU173" i="12"/>
  <c r="AU177" i="12"/>
  <c r="AU178" i="12"/>
  <c r="AU171" i="12"/>
  <c r="AU165" i="12"/>
  <c r="AU164" i="12"/>
  <c r="AU163" i="12"/>
  <c r="AU159" i="12"/>
  <c r="AU161" i="12"/>
  <c r="AU160" i="12"/>
  <c r="AU162" i="12"/>
  <c r="AU140" i="12"/>
  <c r="AU139" i="12"/>
  <c r="AU138" i="12"/>
  <c r="AU150" i="12"/>
  <c r="AU149" i="12"/>
  <c r="AU148" i="12"/>
  <c r="AU147" i="12"/>
  <c r="AU136" i="12"/>
  <c r="AU135" i="12"/>
  <c r="AU134" i="12"/>
  <c r="AU133" i="12"/>
  <c r="AU127" i="12"/>
  <c r="AU126" i="12"/>
  <c r="AU125" i="12"/>
  <c r="AU124" i="12"/>
  <c r="AU123" i="12"/>
  <c r="AU122" i="12"/>
  <c r="AU121" i="12"/>
  <c r="AU115" i="12"/>
  <c r="AU114" i="12"/>
  <c r="AU90" i="12"/>
  <c r="AU89" i="12"/>
  <c r="AU88" i="12"/>
  <c r="AU107" i="12"/>
  <c r="AU106" i="12"/>
  <c r="AU105" i="12"/>
  <c r="AU98" i="12"/>
  <c r="AU97" i="12"/>
  <c r="AU10" i="12"/>
  <c r="AU9" i="12"/>
  <c r="AU8" i="12"/>
  <c r="AU7" i="12"/>
  <c r="AU6" i="12"/>
  <c r="AU11" i="12"/>
  <c r="AU14" i="12"/>
  <c r="AU13" i="12"/>
  <c r="AU12" i="12"/>
  <c r="AU49" i="12"/>
  <c r="AU48" i="12"/>
  <c r="AU47" i="12"/>
  <c r="AU29" i="12"/>
  <c r="AU28" i="12"/>
  <c r="AU22" i="12"/>
  <c r="AU20" i="12"/>
  <c r="AU4" i="12"/>
  <c r="AU5" i="12"/>
  <c r="BE181" i="12" l="1"/>
  <c r="AU24" i="12"/>
  <c r="AU51" i="12"/>
  <c r="AU101" i="12"/>
  <c r="AU116" i="12"/>
  <c r="BF159" i="12"/>
  <c r="BF166" i="12" s="1"/>
  <c r="BE128" i="12"/>
  <c r="BE83" i="12"/>
  <c r="AU15" i="12"/>
  <c r="AU212" i="12"/>
  <c r="AU269" i="12"/>
  <c r="AU92" i="12"/>
  <c r="AU142" i="12"/>
  <c r="AU128" i="12"/>
  <c r="AU194" i="12"/>
  <c r="AU201" i="12"/>
  <c r="BE15" i="12"/>
  <c r="BE30" i="12"/>
  <c r="BF28" i="12"/>
  <c r="AU154" i="12"/>
  <c r="AU83" i="12"/>
  <c r="AU30" i="12"/>
  <c r="AU109" i="12"/>
  <c r="AU258" i="12"/>
  <c r="BE109" i="12"/>
  <c r="BF105" i="12"/>
  <c r="AU166" i="12"/>
  <c r="AU181" i="12"/>
  <c r="BE51" i="12"/>
  <c r="BF47" i="12"/>
  <c r="BG4" i="12"/>
  <c r="BF241" i="12"/>
  <c r="BF10" i="12"/>
  <c r="BF173" i="12"/>
  <c r="BF64" i="12"/>
  <c r="BG153" i="12"/>
  <c r="BF126" i="12"/>
  <c r="BF20" i="12"/>
  <c r="BF24" i="12" s="1"/>
  <c r="BF186" i="12"/>
  <c r="BF194" i="12" s="1"/>
  <c r="BF80" i="12"/>
  <c r="BF235" i="12"/>
  <c r="BF199" i="12"/>
  <c r="BF201" i="12" s="1"/>
  <c r="BF263" i="12"/>
  <c r="BF269" i="12" s="1"/>
  <c r="BF217" i="12"/>
  <c r="BF147" i="12"/>
  <c r="BF154" i="12" s="1"/>
  <c r="BF206" i="12"/>
  <c r="BF212" i="12" s="1"/>
  <c r="BF171" i="12"/>
  <c r="BF133" i="12"/>
  <c r="BF97" i="12"/>
  <c r="BF101" i="12" s="1"/>
  <c r="BF55" i="12"/>
  <c r="BF114" i="12"/>
  <c r="BF116" i="12" s="1"/>
  <c r="BF88" i="12"/>
  <c r="BF92" i="12" s="1"/>
  <c r="BF121" i="12"/>
  <c r="BF248" i="12"/>
  <c r="BF258" i="12" s="1"/>
  <c r="BF11" i="12"/>
  <c r="BG11" i="12" s="1"/>
  <c r="AV139" i="12"/>
  <c r="AV142" i="12" s="1"/>
  <c r="CC22" i="13"/>
  <c r="CC23" i="13" s="1"/>
  <c r="U6" i="11"/>
  <c r="U11" i="11" s="1"/>
  <c r="BG159" i="12" l="1"/>
  <c r="BG166" i="12" s="1"/>
  <c r="BF15" i="12"/>
  <c r="BF181" i="12"/>
  <c r="BF83" i="12"/>
  <c r="BF128" i="12"/>
  <c r="BG47" i="12"/>
  <c r="BG51" i="12" s="1"/>
  <c r="BF51" i="12"/>
  <c r="BG105" i="12"/>
  <c r="BG109" i="12" s="1"/>
  <c r="BF109" i="12"/>
  <c r="BG28" i="12"/>
  <c r="BG30" i="12" s="1"/>
  <c r="BF30" i="12"/>
  <c r="BG80" i="12"/>
  <c r="BG20" i="12"/>
  <c r="BG24" i="12" s="1"/>
  <c r="BG126" i="12"/>
  <c r="BG241" i="12"/>
  <c r="BG64" i="12"/>
  <c r="BG186" i="12"/>
  <c r="BG194" i="12" s="1"/>
  <c r="BG10" i="12"/>
  <c r="BG15" i="12" s="1"/>
  <c r="BG173" i="12"/>
  <c r="BG133" i="12"/>
  <c r="BG235" i="12"/>
  <c r="BG121" i="12"/>
  <c r="BG128" i="12" s="1"/>
  <c r="BG97" i="12"/>
  <c r="BG101" i="12" s="1"/>
  <c r="BG206" i="12"/>
  <c r="BG212" i="12" s="1"/>
  <c r="BG199" i="12"/>
  <c r="BG201" i="12" s="1"/>
  <c r="BG147" i="12"/>
  <c r="BG154" i="12" s="1"/>
  <c r="BG248" i="12"/>
  <c r="BG258" i="12" s="1"/>
  <c r="BG55" i="12"/>
  <c r="BG263" i="12"/>
  <c r="BG269" i="12" s="1"/>
  <c r="BG88" i="12"/>
  <c r="BG92" i="12" s="1"/>
  <c r="BG114" i="12"/>
  <c r="BG116" i="12" s="1"/>
  <c r="BG171" i="12"/>
  <c r="BG217" i="12"/>
  <c r="AY139" i="12"/>
  <c r="AY142" i="12" s="1"/>
  <c r="BG83" i="12" l="1"/>
  <c r="BG181" i="12"/>
  <c r="AY143" i="12"/>
  <c r="AZ139" i="12"/>
  <c r="AZ142" i="12" s="1"/>
  <c r="Z22" i="12"/>
  <c r="Z24" i="12" s="1"/>
  <c r="AY155" i="12" l="1"/>
  <c r="BB139" i="12"/>
  <c r="BB142" i="12" s="1"/>
  <c r="AQ153" i="12"/>
  <c r="AQ21" i="12"/>
  <c r="AQ22" i="12"/>
  <c r="AM22" i="12"/>
  <c r="AY167" i="12" l="1"/>
  <c r="BC139" i="12"/>
  <c r="BC142" i="12" s="1"/>
  <c r="T8" i="11"/>
  <c r="T7" i="11"/>
  <c r="BV22" i="13"/>
  <c r="T10" i="11" s="1"/>
  <c r="BX14" i="13"/>
  <c r="T9" i="11" s="1"/>
  <c r="BX6" i="13"/>
  <c r="T6" i="11" s="1"/>
  <c r="AQ257" i="12"/>
  <c r="AQ256" i="12"/>
  <c r="AP255" i="12"/>
  <c r="AQ255" i="12" s="1"/>
  <c r="AQ254" i="12"/>
  <c r="AQ253" i="12"/>
  <c r="AQ252" i="12"/>
  <c r="AQ251" i="12"/>
  <c r="AQ250" i="12"/>
  <c r="AP249" i="12"/>
  <c r="AP248" i="12"/>
  <c r="AQ268" i="12"/>
  <c r="AQ267" i="12"/>
  <c r="AQ266" i="12"/>
  <c r="AQ265" i="12"/>
  <c r="AQ264" i="12"/>
  <c r="AQ263" i="12"/>
  <c r="AQ242" i="12"/>
  <c r="AQ241" i="12"/>
  <c r="AQ240" i="12"/>
  <c r="AQ239" i="12"/>
  <c r="AQ238" i="12"/>
  <c r="AQ237" i="12"/>
  <c r="AQ236" i="12"/>
  <c r="AQ235" i="12"/>
  <c r="AQ223" i="12"/>
  <c r="AQ228" i="12"/>
  <c r="AQ227" i="12"/>
  <c r="AQ220" i="12"/>
  <c r="AQ219" i="12"/>
  <c r="AQ222" i="12"/>
  <c r="AQ221" i="12"/>
  <c r="AQ229" i="12"/>
  <c r="AQ218" i="12"/>
  <c r="AQ217" i="12"/>
  <c r="AQ210" i="12"/>
  <c r="AQ211" i="12"/>
  <c r="AQ209" i="12"/>
  <c r="AQ208" i="12"/>
  <c r="AQ207" i="12"/>
  <c r="AQ206" i="12"/>
  <c r="AQ200" i="12"/>
  <c r="AQ199" i="12"/>
  <c r="AQ191" i="12"/>
  <c r="AQ190" i="12"/>
  <c r="AQ189" i="12"/>
  <c r="AQ188" i="12"/>
  <c r="AQ192" i="12"/>
  <c r="AQ193" i="12"/>
  <c r="AQ187" i="12"/>
  <c r="AQ186" i="12"/>
  <c r="AQ82" i="12"/>
  <c r="AQ81" i="12"/>
  <c r="AQ78" i="12"/>
  <c r="AQ80" i="12"/>
  <c r="AQ79" i="12"/>
  <c r="AQ66" i="12"/>
  <c r="AQ65" i="12"/>
  <c r="AQ64" i="12"/>
  <c r="AQ63" i="12"/>
  <c r="AQ62" i="12"/>
  <c r="AQ74" i="12"/>
  <c r="AQ68" i="12"/>
  <c r="AQ73" i="12"/>
  <c r="AQ72" i="12"/>
  <c r="AQ71" i="12"/>
  <c r="AQ70" i="12"/>
  <c r="AQ69" i="12"/>
  <c r="AQ67" i="12"/>
  <c r="AQ59" i="12"/>
  <c r="AQ58" i="12"/>
  <c r="AQ61" i="12"/>
  <c r="AQ57" i="12"/>
  <c r="AQ60" i="12"/>
  <c r="AQ56" i="12"/>
  <c r="AQ55" i="12"/>
  <c r="AQ180" i="12"/>
  <c r="AQ172" i="12"/>
  <c r="AQ179" i="12"/>
  <c r="AQ176" i="12"/>
  <c r="AQ175" i="12"/>
  <c r="AQ174" i="12"/>
  <c r="AQ173" i="12"/>
  <c r="AQ177" i="12"/>
  <c r="AQ178" i="12"/>
  <c r="AQ171" i="12"/>
  <c r="AQ165" i="12"/>
  <c r="AQ164" i="12"/>
  <c r="AQ163" i="12"/>
  <c r="AQ159" i="12"/>
  <c r="AQ161" i="12"/>
  <c r="AQ160" i="12"/>
  <c r="AQ162" i="12"/>
  <c r="AQ139" i="12"/>
  <c r="AQ138" i="12"/>
  <c r="AQ150" i="12"/>
  <c r="AQ149" i="12"/>
  <c r="AQ148" i="12"/>
  <c r="AQ147" i="12"/>
  <c r="AQ136" i="12"/>
  <c r="AQ135" i="12"/>
  <c r="AQ134" i="12"/>
  <c r="AQ133" i="12"/>
  <c r="AQ127" i="12"/>
  <c r="AQ123" i="12"/>
  <c r="AQ126" i="12"/>
  <c r="AQ125" i="12"/>
  <c r="AQ124" i="12"/>
  <c r="AQ122" i="12"/>
  <c r="AQ121" i="12"/>
  <c r="AQ115" i="12"/>
  <c r="AQ114" i="12"/>
  <c r="AQ90" i="12"/>
  <c r="AQ89" i="12"/>
  <c r="AQ88" i="12"/>
  <c r="AQ107" i="12"/>
  <c r="AQ106" i="12"/>
  <c r="AQ105" i="12"/>
  <c r="AQ98" i="12"/>
  <c r="AQ97" i="12"/>
  <c r="AQ10" i="12"/>
  <c r="AQ9" i="12"/>
  <c r="AQ8" i="12"/>
  <c r="AQ7" i="12"/>
  <c r="AQ6" i="12"/>
  <c r="AQ11" i="12"/>
  <c r="AQ14" i="12"/>
  <c r="AQ13" i="12"/>
  <c r="AQ12" i="12"/>
  <c r="AQ5" i="12"/>
  <c r="AQ49" i="12"/>
  <c r="AQ48" i="12"/>
  <c r="AQ47" i="12"/>
  <c r="AQ29" i="12"/>
  <c r="AQ28" i="12"/>
  <c r="AQ20" i="12"/>
  <c r="AQ24" i="12" s="1"/>
  <c r="AQ4" i="12"/>
  <c r="AQ15" i="12" l="1"/>
  <c r="AQ212" i="12"/>
  <c r="AQ269" i="12"/>
  <c r="AQ30" i="12"/>
  <c r="AQ92" i="12"/>
  <c r="AQ142" i="12"/>
  <c r="AQ154" i="12"/>
  <c r="AQ194" i="12"/>
  <c r="AQ201" i="12"/>
  <c r="AP258" i="12"/>
  <c r="AQ109" i="12"/>
  <c r="AQ128" i="12"/>
  <c r="AQ166" i="12"/>
  <c r="AQ181" i="12"/>
  <c r="AQ51" i="12"/>
  <c r="AQ101" i="12"/>
  <c r="AQ116" i="12"/>
  <c r="AQ83" i="12"/>
  <c r="AU230" i="12"/>
  <c r="AZ230" i="12"/>
  <c r="AY182" i="12"/>
  <c r="AQ248" i="12"/>
  <c r="BE139" i="12"/>
  <c r="BE142" i="12" s="1"/>
  <c r="BX22" i="13"/>
  <c r="BX23" i="13" s="1"/>
  <c r="AQ249" i="12"/>
  <c r="S8" i="11"/>
  <c r="S7" i="11"/>
  <c r="AM90" i="12"/>
  <c r="AL255" i="12"/>
  <c r="AL253" i="12"/>
  <c r="AL249" i="12"/>
  <c r="AL248" i="12"/>
  <c r="AL258" i="12" l="1"/>
  <c r="AQ258" i="12"/>
  <c r="AU243" i="12"/>
  <c r="AZ243" i="12"/>
  <c r="AY195" i="12"/>
  <c r="AY202" i="12" s="1"/>
  <c r="AV230" i="12"/>
  <c r="BF139" i="12"/>
  <c r="BF142" i="12" s="1"/>
  <c r="BQ22" i="13"/>
  <c r="S10" i="11" s="1"/>
  <c r="BS14" i="13"/>
  <c r="S9" i="11" s="1"/>
  <c r="BS6" i="13"/>
  <c r="T11" i="11"/>
  <c r="AM4" i="12"/>
  <c r="AM20" i="12"/>
  <c r="AM24" i="12" s="1"/>
  <c r="AM28" i="12"/>
  <c r="AM29" i="12"/>
  <c r="AM47" i="12"/>
  <c r="AM48" i="12"/>
  <c r="AM49" i="12"/>
  <c r="AM5" i="12"/>
  <c r="AM14" i="12"/>
  <c r="AM11" i="12"/>
  <c r="AM6" i="12"/>
  <c r="AM7" i="12"/>
  <c r="AM8" i="12"/>
  <c r="AM9" i="12"/>
  <c r="AM10" i="12"/>
  <c r="AM105" i="12"/>
  <c r="AM106" i="12"/>
  <c r="AM107" i="12"/>
  <c r="AM124" i="12"/>
  <c r="AM125" i="12"/>
  <c r="AM126" i="12"/>
  <c r="AM123" i="12"/>
  <c r="AM127" i="12"/>
  <c r="AM135" i="12"/>
  <c r="AM136" i="12"/>
  <c r="AM147" i="12"/>
  <c r="AM148" i="12"/>
  <c r="AM149" i="12"/>
  <c r="AM150" i="12"/>
  <c r="AM138" i="12"/>
  <c r="AM139" i="12"/>
  <c r="AM140" i="12"/>
  <c r="AM161" i="12"/>
  <c r="AM159" i="12"/>
  <c r="AM163" i="12"/>
  <c r="AM164" i="12"/>
  <c r="AM165" i="12"/>
  <c r="AM177" i="12"/>
  <c r="AM173" i="12"/>
  <c r="AM174" i="12"/>
  <c r="AM175" i="12"/>
  <c r="AM176" i="12"/>
  <c r="AM179" i="12"/>
  <c r="AM172" i="12"/>
  <c r="AM180" i="12"/>
  <c r="AM60" i="12"/>
  <c r="AM57" i="12"/>
  <c r="AM61" i="12"/>
  <c r="AM58" i="12"/>
  <c r="AM59" i="12"/>
  <c r="AM67" i="12"/>
  <c r="AM69" i="12"/>
  <c r="AM70" i="12"/>
  <c r="AM71" i="12"/>
  <c r="AM72" i="12"/>
  <c r="AM73" i="12"/>
  <c r="AM68" i="12"/>
  <c r="AM74" i="12"/>
  <c r="AM62" i="12"/>
  <c r="AM63" i="12"/>
  <c r="AM64" i="12"/>
  <c r="AM65" i="12"/>
  <c r="AM66" i="12"/>
  <c r="AM79" i="12"/>
  <c r="AM80" i="12"/>
  <c r="AM78" i="12"/>
  <c r="AM81" i="12"/>
  <c r="AM82" i="12"/>
  <c r="AM193" i="12"/>
  <c r="AM192" i="12"/>
  <c r="AM188" i="12"/>
  <c r="AM189" i="12"/>
  <c r="AM190" i="12"/>
  <c r="AM191" i="12"/>
  <c r="AM208" i="12"/>
  <c r="AM209" i="12"/>
  <c r="AM211" i="12"/>
  <c r="AM210" i="12"/>
  <c r="AM229" i="12"/>
  <c r="AM221" i="12"/>
  <c r="AM222" i="12"/>
  <c r="AM219" i="12"/>
  <c r="AM220" i="12"/>
  <c r="AM227" i="12"/>
  <c r="AM228" i="12"/>
  <c r="AM223" i="12"/>
  <c r="AM237" i="12"/>
  <c r="AM238" i="12"/>
  <c r="AM239" i="12"/>
  <c r="AM240" i="12"/>
  <c r="AM241" i="12"/>
  <c r="AM242" i="12"/>
  <c r="AM236" i="12"/>
  <c r="AM265" i="12"/>
  <c r="AM266" i="12"/>
  <c r="AM267" i="12"/>
  <c r="AM268" i="12"/>
  <c r="AM250" i="12"/>
  <c r="AM251" i="12"/>
  <c r="AM252" i="12"/>
  <c r="AM253" i="12"/>
  <c r="AM254" i="12"/>
  <c r="AM255" i="12"/>
  <c r="AM256" i="12"/>
  <c r="AM257" i="12"/>
  <c r="AM249" i="12"/>
  <c r="AM248" i="12"/>
  <c r="AM264" i="12"/>
  <c r="AM263" i="12"/>
  <c r="AM235" i="12"/>
  <c r="AM218" i="12"/>
  <c r="AM217" i="12"/>
  <c r="AM207" i="12"/>
  <c r="AM206" i="12"/>
  <c r="AM200" i="12"/>
  <c r="AM199" i="12"/>
  <c r="AM187" i="12"/>
  <c r="AM186" i="12"/>
  <c r="AM56" i="12"/>
  <c r="AM55" i="12"/>
  <c r="AM178" i="12"/>
  <c r="AM171" i="12"/>
  <c r="AM160" i="12"/>
  <c r="AM162" i="12"/>
  <c r="AM134" i="12"/>
  <c r="AM133" i="12"/>
  <c r="AM122" i="12"/>
  <c r="AM121" i="12"/>
  <c r="AM115" i="12"/>
  <c r="AM114" i="12"/>
  <c r="AM89" i="12"/>
  <c r="AM88" i="12"/>
  <c r="AM98" i="12"/>
  <c r="AM97" i="12"/>
  <c r="AM13" i="12"/>
  <c r="AM12" i="12"/>
  <c r="AM92" i="12" l="1"/>
  <c r="AM201" i="12"/>
  <c r="AM101" i="12"/>
  <c r="AM116" i="12"/>
  <c r="AM142" i="12"/>
  <c r="AM181" i="12"/>
  <c r="AM194" i="12"/>
  <c r="AM212" i="12"/>
  <c r="AM128" i="12"/>
  <c r="AM83" i="12"/>
  <c r="AM258" i="12"/>
  <c r="AM30" i="12"/>
  <c r="AM166" i="12"/>
  <c r="AM154" i="12"/>
  <c r="AM269" i="12"/>
  <c r="AM51" i="12"/>
  <c r="AM15" i="12"/>
  <c r="AM109" i="12"/>
  <c r="AY213" i="12"/>
  <c r="AV243" i="12"/>
  <c r="BG139" i="12"/>
  <c r="BG142" i="12" s="1"/>
  <c r="BS22" i="13"/>
  <c r="BS23" i="13" s="1"/>
  <c r="S6" i="11"/>
  <c r="S11" i="11" s="1"/>
  <c r="R8" i="11"/>
  <c r="R7" i="11"/>
  <c r="BL22" i="13"/>
  <c r="R10" i="11" s="1"/>
  <c r="BN14" i="13"/>
  <c r="R9" i="11" s="1"/>
  <c r="BN6" i="13"/>
  <c r="R6" i="11" s="1"/>
  <c r="AI121" i="12"/>
  <c r="AI122" i="12"/>
  <c r="AI124" i="12"/>
  <c r="AI125" i="12"/>
  <c r="AI126" i="12"/>
  <c r="AI123" i="12"/>
  <c r="AI127" i="12"/>
  <c r="AH255" i="12"/>
  <c r="AH253" i="12"/>
  <c r="AH249" i="12"/>
  <c r="AH248" i="12"/>
  <c r="AH258" i="12" l="1"/>
  <c r="AI128" i="12"/>
  <c r="AY230" i="12"/>
  <c r="AY231" i="12" s="1"/>
  <c r="BC230" i="12"/>
  <c r="BB230" i="12"/>
  <c r="AQ230" i="12"/>
  <c r="R11" i="11"/>
  <c r="BN22" i="13"/>
  <c r="BN23" i="13" s="1"/>
  <c r="AI5" i="12"/>
  <c r="AI49" i="12"/>
  <c r="AI48" i="12"/>
  <c r="AI47" i="12"/>
  <c r="AI29" i="12"/>
  <c r="AI28" i="12"/>
  <c r="AI20" i="12"/>
  <c r="AI24" i="12" s="1"/>
  <c r="AI4" i="12"/>
  <c r="AI10" i="12"/>
  <c r="AI9" i="12"/>
  <c r="AI8" i="12"/>
  <c r="AI7" i="12"/>
  <c r="AI6" i="12"/>
  <c r="AI11" i="12"/>
  <c r="AI14" i="12"/>
  <c r="AI13" i="12"/>
  <c r="AI12" i="12"/>
  <c r="AI107" i="12"/>
  <c r="AI106" i="12"/>
  <c r="AI105" i="12"/>
  <c r="AI98" i="12"/>
  <c r="AI97" i="12"/>
  <c r="AI90" i="12"/>
  <c r="AI89" i="12"/>
  <c r="AI88" i="12"/>
  <c r="AI115" i="12"/>
  <c r="AI114" i="12"/>
  <c r="AI140" i="12"/>
  <c r="AI139" i="12"/>
  <c r="AI138" i="12"/>
  <c r="AI150" i="12"/>
  <c r="AI149" i="12"/>
  <c r="AI148" i="12"/>
  <c r="AI147" i="12"/>
  <c r="AI136" i="12"/>
  <c r="AI135" i="12"/>
  <c r="AI134" i="12"/>
  <c r="AI133" i="12"/>
  <c r="AI165" i="12"/>
  <c r="AI164" i="12"/>
  <c r="AI163" i="12"/>
  <c r="AI159" i="12"/>
  <c r="AI161" i="12"/>
  <c r="AI160" i="12"/>
  <c r="AI162" i="12"/>
  <c r="AI178" i="12"/>
  <c r="AI177" i="12"/>
  <c r="AI173" i="12"/>
  <c r="AI174" i="12"/>
  <c r="AI175" i="12"/>
  <c r="AI176" i="12"/>
  <c r="AI179" i="12"/>
  <c r="AI172" i="12"/>
  <c r="AI180" i="12"/>
  <c r="AI171" i="12"/>
  <c r="AI79" i="12"/>
  <c r="AI80" i="12"/>
  <c r="AI78" i="12"/>
  <c r="AI81" i="12"/>
  <c r="AI82" i="12"/>
  <c r="AI69" i="12"/>
  <c r="AI70" i="12"/>
  <c r="AI71" i="12"/>
  <c r="AI72" i="12"/>
  <c r="AI73" i="12"/>
  <c r="AI68" i="12"/>
  <c r="AI74" i="12"/>
  <c r="AI62" i="12"/>
  <c r="AI63" i="12"/>
  <c r="AI64" i="12"/>
  <c r="AI65" i="12"/>
  <c r="AI66" i="12"/>
  <c r="AI56" i="12"/>
  <c r="AI60" i="12"/>
  <c r="AI57" i="12"/>
  <c r="AI61" i="12"/>
  <c r="AI58" i="12"/>
  <c r="AI59" i="12"/>
  <c r="AI67" i="12"/>
  <c r="AI55" i="12"/>
  <c r="AI191" i="12"/>
  <c r="AI190" i="12"/>
  <c r="AI189" i="12"/>
  <c r="AI188" i="12"/>
  <c r="AI192" i="12"/>
  <c r="AI193" i="12"/>
  <c r="AI187" i="12"/>
  <c r="AI186" i="12"/>
  <c r="AI200" i="12"/>
  <c r="AI199" i="12"/>
  <c r="AI210" i="12"/>
  <c r="AI211" i="12"/>
  <c r="AI209" i="12"/>
  <c r="AI208" i="12"/>
  <c r="AI207" i="12"/>
  <c r="AI206" i="12"/>
  <c r="AI223" i="12"/>
  <c r="AI228" i="12"/>
  <c r="AI227" i="12"/>
  <c r="AI220" i="12"/>
  <c r="AI219" i="12"/>
  <c r="AI222" i="12"/>
  <c r="AI221" i="12"/>
  <c r="AI229" i="12"/>
  <c r="AI218" i="12"/>
  <c r="AI217" i="12"/>
  <c r="AI242" i="12"/>
  <c r="AI241" i="12"/>
  <c r="AI240" i="12"/>
  <c r="AI239" i="12"/>
  <c r="AI238" i="12"/>
  <c r="AI237" i="12"/>
  <c r="AI236" i="12"/>
  <c r="AI235" i="12"/>
  <c r="AI264" i="12"/>
  <c r="AI265" i="12"/>
  <c r="AI266" i="12"/>
  <c r="AI267" i="12"/>
  <c r="AI268" i="12"/>
  <c r="AI263" i="12"/>
  <c r="AI257" i="12"/>
  <c r="AI256" i="12"/>
  <c r="AI255" i="12"/>
  <c r="AI254" i="12"/>
  <c r="AI253" i="12"/>
  <c r="AI252" i="12"/>
  <c r="AI251" i="12"/>
  <c r="AI250" i="12"/>
  <c r="AI249" i="12"/>
  <c r="AI248" i="12"/>
  <c r="AI269" i="12" l="1"/>
  <c r="AI194" i="12"/>
  <c r="AI83" i="12"/>
  <c r="AI109" i="12"/>
  <c r="AI51" i="12"/>
  <c r="AI201" i="12"/>
  <c r="AI101" i="12"/>
  <c r="AI30" i="12"/>
  <c r="AI212" i="12"/>
  <c r="AI15" i="12"/>
  <c r="AI181" i="12"/>
  <c r="AI116" i="12"/>
  <c r="AI166" i="12"/>
  <c r="AI142" i="12"/>
  <c r="AI154" i="12"/>
  <c r="AI258" i="12"/>
  <c r="AI92" i="12"/>
  <c r="BC243" i="12"/>
  <c r="AQ243" i="12"/>
  <c r="BB243" i="12"/>
  <c r="BE230" i="12"/>
  <c r="AY243" i="12"/>
  <c r="AM230" i="12" l="1"/>
  <c r="AY244" i="12"/>
  <c r="BG230" i="12"/>
  <c r="BE243" i="12"/>
  <c r="Q8" i="11"/>
  <c r="Q7" i="11"/>
  <c r="AA106" i="12"/>
  <c r="AA109" i="12" s="1"/>
  <c r="AA256" i="12"/>
  <c r="AA255" i="12"/>
  <c r="AD255" i="12"/>
  <c r="AA253" i="12"/>
  <c r="AD253" i="12"/>
  <c r="AA249" i="12"/>
  <c r="AD249" i="12"/>
  <c r="AA248" i="12"/>
  <c r="AD248" i="12"/>
  <c r="AA147" i="12"/>
  <c r="AA154" i="12" s="1"/>
  <c r="BG22" i="13"/>
  <c r="Q10" i="11" s="1"/>
  <c r="BI14" i="13"/>
  <c r="Q9" i="11" s="1"/>
  <c r="BI6" i="13"/>
  <c r="Q6" i="11" s="1"/>
  <c r="AD258" i="12" l="1"/>
  <c r="AA258" i="12"/>
  <c r="BG243" i="12"/>
  <c r="AM243" i="12"/>
  <c r="BF230" i="12"/>
  <c r="BI22" i="13"/>
  <c r="BI23" i="13" s="1"/>
  <c r="Q11" i="11"/>
  <c r="AE13" i="12"/>
  <c r="AE14" i="12"/>
  <c r="AE11" i="12"/>
  <c r="AE6" i="12"/>
  <c r="AE7" i="12"/>
  <c r="AE8" i="12"/>
  <c r="AE9" i="12"/>
  <c r="AE10" i="12"/>
  <c r="AE98" i="12"/>
  <c r="AE105" i="12"/>
  <c r="AE106" i="12"/>
  <c r="AE107" i="12"/>
  <c r="AE89" i="12"/>
  <c r="AE90" i="12"/>
  <c r="AE115" i="12"/>
  <c r="AE122" i="12"/>
  <c r="AE124" i="12"/>
  <c r="AE125" i="12"/>
  <c r="AE126" i="12"/>
  <c r="AE123" i="12"/>
  <c r="AE127" i="12"/>
  <c r="AE134" i="12"/>
  <c r="AE135" i="12"/>
  <c r="AE136" i="12"/>
  <c r="AE147" i="12"/>
  <c r="AE148" i="12"/>
  <c r="AE149" i="12"/>
  <c r="AE150" i="12"/>
  <c r="AE138" i="12"/>
  <c r="AE139" i="12"/>
  <c r="AE140" i="12"/>
  <c r="AE160" i="12"/>
  <c r="AE161" i="12"/>
  <c r="AE159" i="12"/>
  <c r="AE163" i="12"/>
  <c r="AE164" i="12"/>
  <c r="AE165" i="12"/>
  <c r="AE178" i="12"/>
  <c r="AE177" i="12"/>
  <c r="AE173" i="12"/>
  <c r="AE174" i="12"/>
  <c r="AE175" i="12"/>
  <c r="AE176" i="12"/>
  <c r="AE179" i="12"/>
  <c r="AE172" i="12"/>
  <c r="AE180" i="12"/>
  <c r="AE56" i="12"/>
  <c r="AE60" i="12"/>
  <c r="AE57" i="12"/>
  <c r="AE61" i="12"/>
  <c r="AE58" i="12"/>
  <c r="AE59" i="12"/>
  <c r="AE67" i="12"/>
  <c r="AE69" i="12"/>
  <c r="AE70" i="12"/>
  <c r="AE71" i="12"/>
  <c r="AE72" i="12"/>
  <c r="AE73" i="12"/>
  <c r="AE68" i="12"/>
  <c r="AE74" i="12"/>
  <c r="AE62" i="12"/>
  <c r="AE63" i="12"/>
  <c r="AE64" i="12"/>
  <c r="AE65" i="12"/>
  <c r="AE66" i="12"/>
  <c r="AE79" i="12"/>
  <c r="AE80" i="12"/>
  <c r="AE78" i="12"/>
  <c r="AE81" i="12"/>
  <c r="AE82" i="12"/>
  <c r="AE187" i="12"/>
  <c r="AE193" i="12"/>
  <c r="AE192" i="12"/>
  <c r="AE188" i="12"/>
  <c r="AE189" i="12"/>
  <c r="AE190" i="12"/>
  <c r="AE191" i="12"/>
  <c r="AE200" i="12"/>
  <c r="AE207" i="12"/>
  <c r="AE208" i="12"/>
  <c r="AE209" i="12"/>
  <c r="AE211" i="12"/>
  <c r="AE210" i="12"/>
  <c r="AE218" i="12"/>
  <c r="AE229" i="12"/>
  <c r="AE221" i="12"/>
  <c r="AE222" i="12"/>
  <c r="AE219" i="12"/>
  <c r="AE220" i="12"/>
  <c r="AE227" i="12"/>
  <c r="AE228" i="12"/>
  <c r="AE223" i="12"/>
  <c r="AE236" i="12"/>
  <c r="AE237" i="12"/>
  <c r="AE238" i="12"/>
  <c r="AE239" i="12"/>
  <c r="AE240" i="12"/>
  <c r="AE241" i="12"/>
  <c r="AE242" i="12"/>
  <c r="AE264" i="12"/>
  <c r="AE265" i="12"/>
  <c r="AE266" i="12"/>
  <c r="AE267" i="12"/>
  <c r="AE268" i="12"/>
  <c r="AE249" i="12"/>
  <c r="AE250" i="12"/>
  <c r="AE251" i="12"/>
  <c r="AE252" i="12"/>
  <c r="AE253" i="12"/>
  <c r="AE254" i="12"/>
  <c r="AE255" i="12"/>
  <c r="AE256" i="12"/>
  <c r="AE257" i="12"/>
  <c r="AE248" i="12"/>
  <c r="AE263" i="12"/>
  <c r="AE235" i="12"/>
  <c r="AE217" i="12"/>
  <c r="AE206" i="12"/>
  <c r="AE199" i="12"/>
  <c r="AE186" i="12"/>
  <c r="AE55" i="12"/>
  <c r="AE171" i="12"/>
  <c r="AE162" i="12"/>
  <c r="AE133" i="12"/>
  <c r="AE121" i="12"/>
  <c r="AE114" i="12"/>
  <c r="AE88" i="12"/>
  <c r="AE97" i="12"/>
  <c r="AE12" i="12"/>
  <c r="AE4" i="12"/>
  <c r="AE20" i="12"/>
  <c r="AE24" i="12" s="1"/>
  <c r="AE28" i="12"/>
  <c r="AE29" i="12"/>
  <c r="AE47" i="12"/>
  <c r="AE48" i="12"/>
  <c r="AE49" i="12"/>
  <c r="AE5" i="12"/>
  <c r="AE30" i="12" l="1"/>
  <c r="AE101" i="12"/>
  <c r="AE92" i="12"/>
  <c r="AE201" i="12"/>
  <c r="AE269" i="12"/>
  <c r="AE116" i="12"/>
  <c r="AE181" i="12"/>
  <c r="AE212" i="12"/>
  <c r="AE258" i="12"/>
  <c r="AE166" i="12"/>
  <c r="AE109" i="12"/>
  <c r="AE15" i="12"/>
  <c r="AE128" i="12"/>
  <c r="AE83" i="12"/>
  <c r="AE154" i="12"/>
  <c r="AE51" i="12"/>
  <c r="AE142" i="12"/>
  <c r="AE194" i="12"/>
  <c r="AY259" i="12"/>
  <c r="AY270" i="12"/>
  <c r="AI230" i="12"/>
  <c r="BF243" i="12"/>
  <c r="AI243" i="12" l="1"/>
  <c r="AA230" i="12" l="1"/>
  <c r="AA243" i="12" l="1"/>
  <c r="AE230" i="12" l="1"/>
  <c r="AE243" i="12" l="1"/>
  <c r="P8" i="11" l="1"/>
  <c r="P7" i="11"/>
  <c r="BB22" i="13" l="1"/>
  <c r="P10" i="11" s="1"/>
  <c r="BD14" i="13"/>
  <c r="P9" i="11" s="1"/>
  <c r="BD6" i="13"/>
  <c r="P6" i="11" s="1"/>
  <c r="BD22" i="13" l="1"/>
  <c r="BD23" i="13" s="1"/>
  <c r="P11" i="11"/>
  <c r="O8" i="11"/>
  <c r="O7" i="11"/>
  <c r="AY14" i="13"/>
  <c r="O9" i="11" s="1"/>
  <c r="AW22" i="13"/>
  <c r="O10" i="11" s="1"/>
  <c r="AY6" i="13"/>
  <c r="O6" i="11" s="1"/>
  <c r="AY22" i="13" l="1"/>
  <c r="AY23" i="13" s="1"/>
  <c r="O11" i="11"/>
  <c r="N8" i="11" l="1"/>
  <c r="N7" i="11"/>
  <c r="AR22" i="13"/>
  <c r="N10" i="11" s="1"/>
  <c r="AT14" i="13"/>
  <c r="N9" i="11" s="1"/>
  <c r="AT6" i="13"/>
  <c r="N6" i="11" s="1"/>
  <c r="AT22" i="13" l="1"/>
  <c r="AT23" i="13" s="1"/>
  <c r="M8" i="11" l="1"/>
  <c r="M7" i="11"/>
  <c r="L8" i="11"/>
  <c r="L7" i="11"/>
  <c r="K9" i="11"/>
  <c r="AM22" i="13"/>
  <c r="M10" i="11" s="1"/>
  <c r="AO14" i="13"/>
  <c r="M9" i="11" s="1"/>
  <c r="AO6" i="13"/>
  <c r="M6" i="11" s="1"/>
  <c r="AO22" i="13" l="1"/>
  <c r="AO23" i="13" s="1"/>
  <c r="C25" i="11" l="1"/>
  <c r="AH22" i="13"/>
  <c r="L10" i="11" s="1"/>
  <c r="AJ14" i="13"/>
  <c r="L9" i="11" s="1"/>
  <c r="AJ6" i="13"/>
  <c r="L6" i="11" s="1"/>
  <c r="U13" i="12"/>
  <c r="U14" i="12"/>
  <c r="U11" i="12"/>
  <c r="U6" i="12"/>
  <c r="V6" i="12" s="1"/>
  <c r="U7" i="12"/>
  <c r="V7" i="12" s="1"/>
  <c r="U8" i="12"/>
  <c r="V8" i="12" s="1"/>
  <c r="U9" i="12"/>
  <c r="V9" i="12" s="1"/>
  <c r="U10" i="12"/>
  <c r="U98" i="12"/>
  <c r="V98" i="12" s="1"/>
  <c r="U105" i="12"/>
  <c r="U106" i="12"/>
  <c r="V106" i="12" s="1"/>
  <c r="U107" i="12"/>
  <c r="V107" i="12" s="1"/>
  <c r="U89" i="12"/>
  <c r="V89" i="12" s="1"/>
  <c r="U90" i="12"/>
  <c r="V90" i="12" s="1"/>
  <c r="U115" i="12"/>
  <c r="V115" i="12" s="1"/>
  <c r="U122" i="12"/>
  <c r="V122" i="12" s="1"/>
  <c r="U124" i="12"/>
  <c r="V124" i="12" s="1"/>
  <c r="U125" i="12"/>
  <c r="V125" i="12" s="1"/>
  <c r="U126" i="12"/>
  <c r="U123" i="12"/>
  <c r="V123" i="12" s="1"/>
  <c r="U127" i="12"/>
  <c r="V127" i="12" s="1"/>
  <c r="U134" i="12"/>
  <c r="V134" i="12" s="1"/>
  <c r="U135" i="12"/>
  <c r="V135" i="12" s="1"/>
  <c r="U136" i="12"/>
  <c r="V136" i="12" s="1"/>
  <c r="U147" i="12"/>
  <c r="U148" i="12"/>
  <c r="V148" i="12" s="1"/>
  <c r="U149" i="12"/>
  <c r="V149" i="12" s="1"/>
  <c r="U150" i="12"/>
  <c r="V150" i="12" s="1"/>
  <c r="U138" i="12"/>
  <c r="U139" i="12"/>
  <c r="V139" i="12" s="1"/>
  <c r="U140" i="12"/>
  <c r="V140" i="12" s="1"/>
  <c r="U160" i="12"/>
  <c r="V160" i="12" s="1"/>
  <c r="U161" i="12"/>
  <c r="V161" i="12" s="1"/>
  <c r="U159" i="12"/>
  <c r="U163" i="12"/>
  <c r="V163" i="12" s="1"/>
  <c r="U164" i="12"/>
  <c r="V164" i="12" s="1"/>
  <c r="U165" i="12"/>
  <c r="V165" i="12" s="1"/>
  <c r="U178" i="12"/>
  <c r="V178" i="12" s="1"/>
  <c r="U177" i="12"/>
  <c r="V177" i="12" s="1"/>
  <c r="U173" i="12"/>
  <c r="U174" i="12"/>
  <c r="V174" i="12" s="1"/>
  <c r="U175" i="12"/>
  <c r="V175" i="12" s="1"/>
  <c r="U176" i="12"/>
  <c r="V176" i="12" s="1"/>
  <c r="U179" i="12"/>
  <c r="V179" i="12" s="1"/>
  <c r="U172" i="12"/>
  <c r="V172" i="12" s="1"/>
  <c r="U180" i="12"/>
  <c r="V180" i="12" s="1"/>
  <c r="U56" i="12"/>
  <c r="V56" i="12" s="1"/>
  <c r="U60" i="12"/>
  <c r="V60" i="12" s="1"/>
  <c r="U57" i="12"/>
  <c r="V57" i="12" s="1"/>
  <c r="U61" i="12"/>
  <c r="V61" i="12" s="1"/>
  <c r="U58" i="12"/>
  <c r="V58" i="12" s="1"/>
  <c r="U59" i="12"/>
  <c r="V59" i="12" s="1"/>
  <c r="U67" i="12"/>
  <c r="V67" i="12" s="1"/>
  <c r="U69" i="12"/>
  <c r="V69" i="12" s="1"/>
  <c r="U70" i="12"/>
  <c r="V70" i="12" s="1"/>
  <c r="U71" i="12"/>
  <c r="V71" i="12" s="1"/>
  <c r="U72" i="12"/>
  <c r="V72" i="12" s="1"/>
  <c r="U73" i="12"/>
  <c r="V73" i="12" s="1"/>
  <c r="U68" i="12"/>
  <c r="V68" i="12" s="1"/>
  <c r="U74" i="12"/>
  <c r="V74" i="12" s="1"/>
  <c r="U62" i="12"/>
  <c r="V62" i="12" s="1"/>
  <c r="U63" i="12"/>
  <c r="V63" i="12" s="1"/>
  <c r="U64" i="12"/>
  <c r="U65" i="12"/>
  <c r="V65" i="12" s="1"/>
  <c r="U66" i="12"/>
  <c r="V66" i="12" s="1"/>
  <c r="U79" i="12"/>
  <c r="V79" i="12" s="1"/>
  <c r="U80" i="12"/>
  <c r="U78" i="12"/>
  <c r="V78" i="12" s="1"/>
  <c r="U81" i="12"/>
  <c r="V81" i="12" s="1"/>
  <c r="U82" i="12"/>
  <c r="V82" i="12" s="1"/>
  <c r="U187" i="12"/>
  <c r="V187" i="12" s="1"/>
  <c r="U193" i="12"/>
  <c r="V193" i="12" s="1"/>
  <c r="U192" i="12"/>
  <c r="V192" i="12" s="1"/>
  <c r="U188" i="12"/>
  <c r="V188" i="12" s="1"/>
  <c r="U189" i="12"/>
  <c r="V189" i="12" s="1"/>
  <c r="U190" i="12"/>
  <c r="V190" i="12" s="1"/>
  <c r="U191" i="12"/>
  <c r="V191" i="12" s="1"/>
  <c r="U207" i="12"/>
  <c r="V207" i="12" s="1"/>
  <c r="U208" i="12"/>
  <c r="V208" i="12" s="1"/>
  <c r="U209" i="12"/>
  <c r="V209" i="12" s="1"/>
  <c r="U211" i="12"/>
  <c r="V211" i="12" s="1"/>
  <c r="U210" i="12"/>
  <c r="V210" i="12" s="1"/>
  <c r="U218" i="12"/>
  <c r="V218" i="12" s="1"/>
  <c r="U229" i="12"/>
  <c r="V229" i="12" s="1"/>
  <c r="U221" i="12"/>
  <c r="V221" i="12" s="1"/>
  <c r="U222" i="12"/>
  <c r="V222" i="12" s="1"/>
  <c r="U219" i="12"/>
  <c r="V219" i="12" s="1"/>
  <c r="U220" i="12"/>
  <c r="V220" i="12" s="1"/>
  <c r="U227" i="12"/>
  <c r="V227" i="12" s="1"/>
  <c r="U228" i="12"/>
  <c r="V228" i="12" s="1"/>
  <c r="U223" i="12"/>
  <c r="V223" i="12" s="1"/>
  <c r="U236" i="12"/>
  <c r="V236" i="12" s="1"/>
  <c r="U237" i="12"/>
  <c r="V237" i="12" s="1"/>
  <c r="U238" i="12"/>
  <c r="V238" i="12" s="1"/>
  <c r="U239" i="12"/>
  <c r="V239" i="12" s="1"/>
  <c r="U240" i="12"/>
  <c r="V240" i="12" s="1"/>
  <c r="U241" i="12"/>
  <c r="U242" i="12"/>
  <c r="V242" i="12" s="1"/>
  <c r="U264" i="12"/>
  <c r="V264" i="12" s="1"/>
  <c r="U265" i="12"/>
  <c r="V265" i="12" s="1"/>
  <c r="U266" i="12"/>
  <c r="V266" i="12" s="1"/>
  <c r="U267" i="12"/>
  <c r="V267" i="12" s="1"/>
  <c r="U268" i="12"/>
  <c r="V268" i="12" s="1"/>
  <c r="U249" i="12"/>
  <c r="V249" i="12" s="1"/>
  <c r="U250" i="12"/>
  <c r="V250" i="12" s="1"/>
  <c r="U251" i="12"/>
  <c r="V251" i="12" s="1"/>
  <c r="U252" i="12"/>
  <c r="V252" i="12" s="1"/>
  <c r="U253" i="12"/>
  <c r="V253" i="12" s="1"/>
  <c r="U254" i="12"/>
  <c r="V254" i="12" s="1"/>
  <c r="U255" i="12"/>
  <c r="V255" i="12" s="1"/>
  <c r="U256" i="12"/>
  <c r="V256" i="12" s="1"/>
  <c r="U257" i="12"/>
  <c r="V257" i="12" s="1"/>
  <c r="U248" i="12"/>
  <c r="U263" i="12"/>
  <c r="U235" i="12"/>
  <c r="U217" i="12"/>
  <c r="U206" i="12"/>
  <c r="U200" i="12"/>
  <c r="V200" i="12" s="1"/>
  <c r="U199" i="12"/>
  <c r="U186" i="12"/>
  <c r="U55" i="12"/>
  <c r="U171" i="12"/>
  <c r="U162" i="12"/>
  <c r="V162" i="12" s="1"/>
  <c r="U133" i="12"/>
  <c r="U121" i="12"/>
  <c r="U114" i="12"/>
  <c r="U88" i="12"/>
  <c r="U92" i="12" s="1"/>
  <c r="U97" i="12"/>
  <c r="U12" i="12"/>
  <c r="V12" i="12" s="1"/>
  <c r="U4" i="12"/>
  <c r="U20" i="12"/>
  <c r="U24" i="12" s="1"/>
  <c r="U28" i="12"/>
  <c r="U29" i="12"/>
  <c r="V29" i="12" s="1"/>
  <c r="U47" i="12"/>
  <c r="U48" i="12"/>
  <c r="V48" i="12" s="1"/>
  <c r="U49" i="12"/>
  <c r="V49" i="12" s="1"/>
  <c r="U5" i="12"/>
  <c r="V5" i="12" s="1"/>
  <c r="U101" i="12" l="1"/>
  <c r="U30" i="12"/>
  <c r="U142" i="12"/>
  <c r="U194" i="12"/>
  <c r="U116" i="12"/>
  <c r="U201" i="12"/>
  <c r="U51" i="12"/>
  <c r="U15" i="12"/>
  <c r="U181" i="12"/>
  <c r="U269" i="12"/>
  <c r="U166" i="12"/>
  <c r="V105" i="12"/>
  <c r="V109" i="12" s="1"/>
  <c r="U109" i="12"/>
  <c r="U128" i="12"/>
  <c r="U83" i="12"/>
  <c r="U212" i="12"/>
  <c r="U258" i="12"/>
  <c r="U154" i="12"/>
  <c r="V241" i="12"/>
  <c r="V138" i="12"/>
  <c r="V186" i="12"/>
  <c r="V194" i="12" s="1"/>
  <c r="V173" i="12"/>
  <c r="V10" i="12"/>
  <c r="V80" i="12"/>
  <c r="V64" i="12"/>
  <c r="V126" i="12"/>
  <c r="V13" i="12"/>
  <c r="V133" i="12"/>
  <c r="V88" i="12"/>
  <c r="V92" i="12" s="1"/>
  <c r="V199" i="12"/>
  <c r="V201" i="12" s="1"/>
  <c r="V235" i="12"/>
  <c r="V97" i="12"/>
  <c r="V101" i="12" s="1"/>
  <c r="V217" i="12"/>
  <c r="V114" i="12"/>
  <c r="V116" i="12" s="1"/>
  <c r="V171" i="12"/>
  <c r="V263" i="12"/>
  <c r="V269" i="12" s="1"/>
  <c r="V121" i="12"/>
  <c r="V55" i="12"/>
  <c r="V206" i="12"/>
  <c r="V212" i="12" s="1"/>
  <c r="V248" i="12"/>
  <c r="V258" i="12" s="1"/>
  <c r="V159" i="12"/>
  <c r="V166" i="12" s="1"/>
  <c r="V11" i="12"/>
  <c r="V4" i="12"/>
  <c r="C24" i="11"/>
  <c r="F31" i="11" s="1"/>
  <c r="V47" i="12"/>
  <c r="V51" i="12" s="1"/>
  <c r="V28" i="12"/>
  <c r="V30" i="12" s="1"/>
  <c r="V20" i="12"/>
  <c r="V24" i="12" s="1"/>
  <c r="V147" i="12"/>
  <c r="V154" i="12" s="1"/>
  <c r="V14" i="12"/>
  <c r="AJ22" i="13"/>
  <c r="AJ23" i="13" s="1"/>
  <c r="V142" i="12" l="1"/>
  <c r="V128" i="12"/>
  <c r="V181" i="12"/>
  <c r="V15" i="12"/>
  <c r="V83" i="12"/>
  <c r="C30" i="11"/>
  <c r="C32" i="11"/>
  <c r="K8" i="11"/>
  <c r="K7" i="11"/>
  <c r="L11" i="11"/>
  <c r="M11" i="11"/>
  <c r="N11" i="11"/>
  <c r="AC22" i="13"/>
  <c r="K10" i="11" s="1"/>
  <c r="AE14" i="13"/>
  <c r="AE6" i="13"/>
  <c r="K6" i="11" s="1"/>
  <c r="K11" i="11" l="1"/>
  <c r="AE22" i="13"/>
  <c r="J8" i="11"/>
  <c r="J7" i="11"/>
  <c r="Z14" i="13"/>
  <c r="J9" i="11" s="1"/>
  <c r="U14" i="13"/>
  <c r="O14" i="13"/>
  <c r="Z6" i="13"/>
  <c r="U6" i="13"/>
  <c r="O6" i="13"/>
  <c r="X22" i="13"/>
  <c r="J10" i="11" s="1"/>
  <c r="U230" i="12" l="1"/>
  <c r="Z22" i="13"/>
  <c r="J6" i="11"/>
  <c r="J11" i="11" s="1"/>
  <c r="U243" i="12" l="1"/>
  <c r="V230" i="12"/>
  <c r="I9" i="11"/>
  <c r="I8" i="11"/>
  <c r="I7" i="11"/>
  <c r="I6" i="11"/>
  <c r="S22" i="13"/>
  <c r="I10" i="11" s="1"/>
  <c r="U22" i="13"/>
  <c r="V243" i="12" l="1"/>
  <c r="I11" i="11"/>
  <c r="H9" i="11"/>
  <c r="H8" i="11"/>
  <c r="H7" i="11"/>
  <c r="H6" i="11"/>
  <c r="M22" i="13" l="1"/>
  <c r="H10" i="11" s="1"/>
  <c r="H11" i="11" s="1"/>
  <c r="O22" i="13"/>
  <c r="P22" i="13" l="1"/>
  <c r="G8" i="11" l="1"/>
  <c r="G7" i="11"/>
  <c r="J6" i="13"/>
  <c r="G6" i="11" s="1"/>
  <c r="J14" i="13"/>
  <c r="G9" i="11" s="1"/>
  <c r="H22" i="13" l="1"/>
  <c r="G10" i="11" s="1"/>
  <c r="G11" i="11" s="1"/>
  <c r="J22" i="13"/>
  <c r="E14" i="13" l="1"/>
  <c r="E6" i="13"/>
  <c r="C22" i="13"/>
  <c r="F11" i="11"/>
  <c r="E22" i="13" l="1"/>
  <c r="E11" i="11"/>
  <c r="D11" i="11"/>
  <c r="L147" i="12" l="1"/>
  <c r="L154" i="12" s="1"/>
  <c r="C11" i="11" l="1"/>
  <c r="L230" i="12" l="1"/>
  <c r="L243" i="12" l="1"/>
  <c r="J147" i="12" l="1"/>
  <c r="J154" i="12" s="1"/>
  <c r="J230" i="12" l="1"/>
  <c r="J243" i="12" l="1"/>
  <c r="G32" i="11" l="1"/>
  <c r="G34" i="11"/>
</calcChain>
</file>

<file path=xl/sharedStrings.xml><?xml version="1.0" encoding="utf-8"?>
<sst xmlns="http://schemas.openxmlformats.org/spreadsheetml/2006/main" count="12606" uniqueCount="832">
  <si>
    <t>Sl No</t>
  </si>
  <si>
    <t xml:space="preserve">Name </t>
  </si>
  <si>
    <t>%</t>
  </si>
  <si>
    <t>Mrs.Nur Nahar Zaman</t>
  </si>
  <si>
    <t>1202130015213108</t>
  </si>
  <si>
    <t>S-86/7</t>
  </si>
  <si>
    <t>1202130009679268</t>
  </si>
  <si>
    <t>A-88/7</t>
  </si>
  <si>
    <t>1202130015189741</t>
  </si>
  <si>
    <t>Mr.Asifuzzaman Chowdhury</t>
  </si>
  <si>
    <t>1202880033536726</t>
  </si>
  <si>
    <t>A-90/7</t>
  </si>
  <si>
    <t>1202130015189758</t>
  </si>
  <si>
    <t>Ms.Farhana Zaman</t>
  </si>
  <si>
    <t>F-96/7</t>
  </si>
  <si>
    <t>1202130015275011</t>
  </si>
  <si>
    <t>A-94/7</t>
  </si>
  <si>
    <t>1202130015213116</t>
  </si>
  <si>
    <t>R-92/7</t>
  </si>
  <si>
    <t>1202130015213124</t>
  </si>
  <si>
    <t>1202130006654736</t>
  </si>
  <si>
    <t>1203410062947097</t>
  </si>
  <si>
    <t>1205050062916976</t>
  </si>
  <si>
    <t>1203310062947097</t>
  </si>
  <si>
    <t>1202130063038093</t>
  </si>
  <si>
    <t>1202130063767591</t>
  </si>
  <si>
    <t>1203310064705036</t>
  </si>
  <si>
    <t>1203310064705317</t>
  </si>
  <si>
    <t>Z-248/6</t>
  </si>
  <si>
    <t>1301030004095156</t>
  </si>
  <si>
    <t>Z-132/20</t>
  </si>
  <si>
    <t>1205590016515712</t>
  </si>
  <si>
    <t>N-133/20</t>
  </si>
  <si>
    <t>1202880016515712</t>
  </si>
  <si>
    <t>Ms.Jahan Ara Begum Chowdhury</t>
  </si>
  <si>
    <t>J-135/20</t>
  </si>
  <si>
    <t>1301030016020735</t>
  </si>
  <si>
    <t>Mr.Md.Nurul Islam Chowdhury</t>
  </si>
  <si>
    <t>1202130015182946</t>
  </si>
  <si>
    <t>1202130024727839</t>
  </si>
  <si>
    <t>N-117/7</t>
  </si>
  <si>
    <t>1202880015182946</t>
  </si>
  <si>
    <t>1201720005513860</t>
  </si>
  <si>
    <t>1203320054292668</t>
  </si>
  <si>
    <t>A-51/7</t>
  </si>
  <si>
    <t>1201720005513879</t>
  </si>
  <si>
    <t>F-52/7</t>
  </si>
  <si>
    <t>1201720005513887</t>
  </si>
  <si>
    <t>Mr. Abdul Gaffar Chowdhury</t>
  </si>
  <si>
    <t>1203520016080605</t>
  </si>
  <si>
    <t>1201720005513811</t>
  </si>
  <si>
    <t>Hajee Yunus Ahmed</t>
  </si>
  <si>
    <t>Y-15</t>
  </si>
  <si>
    <t>1203680015674135</t>
  </si>
  <si>
    <t>Mrs Khaleda Khanam</t>
  </si>
  <si>
    <t>K-121</t>
  </si>
  <si>
    <t>1203680015674119</t>
  </si>
  <si>
    <t xml:space="preserve">Hajee M.A.Kalam </t>
  </si>
  <si>
    <t>M-13</t>
  </si>
  <si>
    <t>1602110015775952</t>
  </si>
  <si>
    <t>M-271/9</t>
  </si>
  <si>
    <t>1202610003521517</t>
  </si>
  <si>
    <t>Md.Naseem Kalam</t>
  </si>
  <si>
    <t>1202610015887382</t>
  </si>
  <si>
    <t>N-81</t>
  </si>
  <si>
    <t>1205590015887382</t>
  </si>
  <si>
    <t>M/s.M.A.Kalam Ltd.</t>
  </si>
  <si>
    <t>M-8/7</t>
  </si>
  <si>
    <t>1202610003732912</t>
  </si>
  <si>
    <t>Mrs. Rahima Begum</t>
  </si>
  <si>
    <t>1205590056265896</t>
  </si>
  <si>
    <t>1205590056265871</t>
  </si>
  <si>
    <t>Mr.Sharif Zahir</t>
  </si>
  <si>
    <t>S-96</t>
  </si>
  <si>
    <t>1201820000175521</t>
  </si>
  <si>
    <t>1201770000413785</t>
  </si>
  <si>
    <t>1201820000413785</t>
  </si>
  <si>
    <t>R-94</t>
  </si>
  <si>
    <t>1201820005103320</t>
  </si>
  <si>
    <t>Ms.Sonia Afroz</t>
  </si>
  <si>
    <t>S-95</t>
  </si>
  <si>
    <t>1201820005103339</t>
  </si>
  <si>
    <t>Mr.Asif Zahir</t>
  </si>
  <si>
    <t>1201820005103347</t>
  </si>
  <si>
    <t>Annanta Apperals Ltd</t>
  </si>
  <si>
    <t>1201820043563792</t>
  </si>
  <si>
    <t>Mr. Bazal Ahmed</t>
  </si>
  <si>
    <t>1201830007965425</t>
  </si>
  <si>
    <t>1202130054951073</t>
  </si>
  <si>
    <t>1204290007965425</t>
  </si>
  <si>
    <t>1604650007965425</t>
  </si>
  <si>
    <t>Mr.Bashir Ahmed</t>
  </si>
  <si>
    <t>B-34/7</t>
  </si>
  <si>
    <t>1301030001190681</t>
  </si>
  <si>
    <t>1202130001190681</t>
  </si>
  <si>
    <t>1203410001190681</t>
  </si>
  <si>
    <t>1201840001190681</t>
  </si>
  <si>
    <t>1201600015470851</t>
  </si>
  <si>
    <t>S-35/7</t>
  </si>
  <si>
    <t>1201840015470851</t>
  </si>
  <si>
    <t>Ms.Saida Ershad</t>
  </si>
  <si>
    <t>1204700012015198</t>
  </si>
  <si>
    <t>Mr.Md.Jahangir Alam Khan</t>
  </si>
  <si>
    <t>M-219/9</t>
  </si>
  <si>
    <t>1202610007721546</t>
  </si>
  <si>
    <t>J.K. Synthtick</t>
  </si>
  <si>
    <t>1202610033535665</t>
  </si>
  <si>
    <t>Mrs.Monoara Jahangir</t>
  </si>
  <si>
    <t>1202610007721538</t>
  </si>
  <si>
    <t>Mrs.Monoara Begum</t>
  </si>
  <si>
    <t>1203250039755336</t>
  </si>
  <si>
    <t>Mr.Md.Tanvir Khan</t>
  </si>
  <si>
    <t>T-120</t>
  </si>
  <si>
    <t>1202610032375044</t>
  </si>
  <si>
    <t>Mrs Tahsin Khan</t>
  </si>
  <si>
    <t>1203250038299095</t>
  </si>
  <si>
    <t>Mr. Taysir Khan</t>
  </si>
  <si>
    <t>1202610053823265</t>
  </si>
  <si>
    <t>1203250038299143</t>
  </si>
  <si>
    <t xml:space="preserve">J.K.Spinning </t>
  </si>
  <si>
    <t>1202610032375036</t>
  </si>
  <si>
    <t>1203250020768894</t>
  </si>
  <si>
    <t>Mrs.Sultana Rezia Begum</t>
  </si>
  <si>
    <t>S-140/20</t>
  </si>
  <si>
    <t>S-99</t>
  </si>
  <si>
    <t>1203410020350556</t>
  </si>
  <si>
    <t>1204320020350556</t>
  </si>
  <si>
    <t>1203980020350556</t>
  </si>
  <si>
    <t>Mr.Golam Lutfur Rabbani</t>
  </si>
  <si>
    <t>L-100</t>
  </si>
  <si>
    <t>1204320035553889</t>
  </si>
  <si>
    <t>1203250045063838</t>
  </si>
  <si>
    <t>Mr.Golam Khairul Rabbani</t>
  </si>
  <si>
    <t>K-101</t>
  </si>
  <si>
    <t>1203600016104103</t>
  </si>
  <si>
    <t>G-41/10</t>
  </si>
  <si>
    <t>1203410016104103</t>
  </si>
  <si>
    <t>Mr.M.A.Hashem</t>
  </si>
  <si>
    <t>H-112</t>
  </si>
  <si>
    <t>1201500019500701</t>
  </si>
  <si>
    <t>1203710019500701</t>
  </si>
  <si>
    <t>S-30</t>
  </si>
  <si>
    <t>1201500016952474</t>
  </si>
  <si>
    <t>S-102</t>
  </si>
  <si>
    <t>1201500014919655</t>
  </si>
  <si>
    <t>1204500021478769</t>
  </si>
  <si>
    <t>A-110</t>
  </si>
  <si>
    <t>1201500015007666</t>
  </si>
  <si>
    <t>Mrs.Hasina Begum</t>
  </si>
  <si>
    <t>1201720004164021</t>
  </si>
  <si>
    <t>1201830004164021</t>
  </si>
  <si>
    <t>Mr.Riyadh Zafar Chowdhury</t>
  </si>
  <si>
    <t>R-103</t>
  </si>
  <si>
    <t>1203730015221205</t>
  </si>
  <si>
    <t>Ms.Zarin Zafar Chowdhury</t>
  </si>
  <si>
    <t>1201830034019391</t>
  </si>
  <si>
    <t>1204030057883547</t>
  </si>
  <si>
    <t>Ms. Zafreen Zafar Chowdhury</t>
  </si>
  <si>
    <t>1201720057883539</t>
  </si>
  <si>
    <t>1201830034019405</t>
  </si>
  <si>
    <t>Mr.Rajiv Zafar Chowdhury</t>
  </si>
  <si>
    <t>1201720057883555</t>
  </si>
  <si>
    <t>1201840034019413</t>
  </si>
  <si>
    <t>1201830034019413</t>
  </si>
  <si>
    <t>Mr.Nuruddin Javed</t>
  </si>
  <si>
    <t>M-85</t>
  </si>
  <si>
    <t>1203600009996053</t>
  </si>
  <si>
    <t>Mrs.Nurtaj Begum</t>
  </si>
  <si>
    <t>1203680017142461</t>
  </si>
  <si>
    <t>Ms.Shamshed Begum</t>
  </si>
  <si>
    <t>S-127</t>
  </si>
  <si>
    <t>1201600003390425</t>
  </si>
  <si>
    <t>Mrs.Rasheda Begum</t>
  </si>
  <si>
    <t>1204950040657585</t>
  </si>
  <si>
    <t>Ms.Farah Aklima</t>
  </si>
  <si>
    <t>F-128</t>
  </si>
  <si>
    <t>1203730017147978</t>
  </si>
  <si>
    <t>Md. Manjur Alam</t>
  </si>
  <si>
    <t>1204950040656521</t>
  </si>
  <si>
    <t>Ms. Shamima Ahmed</t>
  </si>
  <si>
    <t>1201600007539732</t>
  </si>
  <si>
    <t>Mr. Parvez Ahmed</t>
  </si>
  <si>
    <t>1204480045094462</t>
  </si>
  <si>
    <t>Kazi Enamul Haque</t>
  </si>
  <si>
    <t>1202800015126354</t>
  </si>
  <si>
    <t>K-89</t>
  </si>
  <si>
    <t>1202640015126354</t>
  </si>
  <si>
    <t xml:space="preserve">Mr.Md.M.A.Sabur </t>
  </si>
  <si>
    <t>1202610007652324</t>
  </si>
  <si>
    <t>1205590007652324</t>
  </si>
  <si>
    <t>1202610016328098</t>
  </si>
  <si>
    <t>1205960035423966</t>
  </si>
  <si>
    <t>1205590016328098</t>
  </si>
  <si>
    <t>1204480000180722</t>
  </si>
  <si>
    <t>1205590000180722</t>
  </si>
  <si>
    <t>Mr.Ahmed Arif Billah</t>
  </si>
  <si>
    <t>1205590045104388</t>
  </si>
  <si>
    <t>1205960045139711</t>
  </si>
  <si>
    <t>1205590045139711</t>
  </si>
  <si>
    <t>1205960002374841</t>
  </si>
  <si>
    <t>1204780002374841</t>
  </si>
  <si>
    <t>1205590002374841</t>
  </si>
  <si>
    <t>1205960045104388</t>
  </si>
  <si>
    <t>1202610002374841</t>
  </si>
  <si>
    <t>Mrs.Motmayena Begum</t>
  </si>
  <si>
    <t>1205590058587538</t>
  </si>
  <si>
    <t>1205590000072771</t>
  </si>
  <si>
    <t>1205960058587538</t>
  </si>
  <si>
    <t>1204780000072771</t>
  </si>
  <si>
    <t>1203520015299271</t>
  </si>
  <si>
    <t xml:space="preserve">Ms.Farhana Akhter </t>
  </si>
  <si>
    <t>1201830040131815</t>
  </si>
  <si>
    <t>1205590002374585</t>
  </si>
  <si>
    <t>1203520015299288</t>
  </si>
  <si>
    <t>1205960050419736</t>
  </si>
  <si>
    <t>1205590050419736</t>
  </si>
  <si>
    <t>Total</t>
  </si>
  <si>
    <t>Folio ID</t>
  </si>
  <si>
    <t>BO ID</t>
  </si>
  <si>
    <t>1201600007538430</t>
  </si>
  <si>
    <t>1202550007538430</t>
  </si>
  <si>
    <t>1203330007538430</t>
  </si>
  <si>
    <t>1204480007538430</t>
  </si>
  <si>
    <t>P-109</t>
  </si>
  <si>
    <t>1203330007537056</t>
  </si>
  <si>
    <t>Mr. Shabbir Ahmed</t>
  </si>
  <si>
    <t>1201770000175521</t>
  </si>
  <si>
    <t>3793 - DR. RHEA HUMAIRA</t>
  </si>
  <si>
    <t>1203600020350556</t>
  </si>
  <si>
    <t>1203310067250641</t>
  </si>
  <si>
    <t>1203310068075301</t>
  </si>
  <si>
    <t>1201510060486892</t>
  </si>
  <si>
    <t>1201510054024693</t>
  </si>
  <si>
    <t xml:space="preserve">Paper Share </t>
  </si>
  <si>
    <t>Electronic Share</t>
  </si>
  <si>
    <t>Suspend Share</t>
  </si>
  <si>
    <t>N-134/20</t>
  </si>
  <si>
    <t xml:space="preserve"> N-27</t>
  </si>
  <si>
    <t>0</t>
  </si>
  <si>
    <t>6813065</t>
  </si>
  <si>
    <t>1625</t>
  </si>
  <si>
    <t>32451678</t>
  </si>
  <si>
    <t>2407</t>
  </si>
  <si>
    <t>32706352</t>
  </si>
  <si>
    <t>1111</t>
  </si>
  <si>
    <t>999</t>
  </si>
  <si>
    <t>1054</t>
  </si>
  <si>
    <t>23192216</t>
  </si>
  <si>
    <t>UCB-026354</t>
  </si>
  <si>
    <t>UCB-001173</t>
  </si>
  <si>
    <t>N-136/20</t>
  </si>
  <si>
    <t>UCB-190825</t>
  </si>
  <si>
    <t>UCB-244908</t>
  </si>
  <si>
    <t>MOHAMMED NAYEEM KALAM</t>
  </si>
  <si>
    <t>UCB-244907</t>
  </si>
  <si>
    <t>UCB-235889</t>
  </si>
  <si>
    <t>UCB-241996</t>
  </si>
  <si>
    <t>UCB-239818</t>
  </si>
  <si>
    <t>UCB-236373</t>
  </si>
  <si>
    <t>UCB-262525</t>
  </si>
  <si>
    <t>UCB-262621</t>
  </si>
  <si>
    <t>UCB-002899</t>
  </si>
  <si>
    <t>UCB-240934</t>
  </si>
  <si>
    <t>UCB-253612</t>
  </si>
  <si>
    <t>UCB-239968</t>
  </si>
  <si>
    <t>UCB-262295</t>
  </si>
  <si>
    <t>UCB-253613</t>
  </si>
  <si>
    <t>UCB-248401</t>
  </si>
  <si>
    <t>UCB-253610</t>
  </si>
  <si>
    <t>Mr. Muhammad Shah Alam ( Representative of Ardent Assets management Limited )</t>
  </si>
  <si>
    <t>Dr. Aparup Chowdhury</t>
  </si>
  <si>
    <t>Mr. Syed Kamruzzaman ( Representative of Aramit Thai Aluminium Ltd )</t>
  </si>
  <si>
    <t>Mr. Anisuzzaman Chowdhury</t>
  </si>
  <si>
    <t xml:space="preserve">Category </t>
  </si>
  <si>
    <t>Percentage (%)</t>
  </si>
  <si>
    <t>A</t>
  </si>
  <si>
    <t xml:space="preserve">Sponsors/Promoters &amp; Directors : </t>
  </si>
  <si>
    <t>B</t>
  </si>
  <si>
    <t xml:space="preserve">Govt : </t>
  </si>
  <si>
    <t>C</t>
  </si>
  <si>
    <t>D</t>
  </si>
  <si>
    <t>E</t>
  </si>
  <si>
    <t>Public :</t>
  </si>
  <si>
    <t>Ms.Afroza Zaman ( Legendary Assets Management LI)</t>
  </si>
  <si>
    <t>Ms.Roxana Zaman ( Volkart Trading Ltd)</t>
  </si>
  <si>
    <t>Mr. Saifuzzaman Chowdhury</t>
  </si>
  <si>
    <t>UCB-144925</t>
  </si>
  <si>
    <t>UCB-068114</t>
  </si>
  <si>
    <t>UCB-238990</t>
  </si>
  <si>
    <t>UCB-250902</t>
  </si>
  <si>
    <t>H-22/7</t>
  </si>
  <si>
    <t>UCB-250895</t>
  </si>
  <si>
    <t>Q-4/7</t>
  </si>
  <si>
    <t>UCB-205291</t>
  </si>
  <si>
    <t>UCB-271404</t>
  </si>
  <si>
    <t>UCB-262527</t>
  </si>
  <si>
    <t>UCB-269320</t>
  </si>
  <si>
    <t>UCB-262244</t>
  </si>
  <si>
    <t>UCB-262285</t>
  </si>
  <si>
    <t>UCB-262615</t>
  </si>
  <si>
    <t>UCB-265572</t>
  </si>
  <si>
    <t>UCB-269321</t>
  </si>
  <si>
    <t>UCB-271273</t>
  </si>
  <si>
    <t>UCB-160464</t>
  </si>
  <si>
    <t>UCB-234151</t>
  </si>
  <si>
    <t>UCB-254238</t>
  </si>
  <si>
    <t>UCB-252140</t>
  </si>
  <si>
    <t>UCB-185890</t>
  </si>
  <si>
    <t>UCB-223580</t>
  </si>
  <si>
    <t>UCB-247430</t>
  </si>
  <si>
    <t>UCB-252216</t>
  </si>
  <si>
    <t>UCB-240078</t>
  </si>
  <si>
    <t>UCB-152259</t>
  </si>
  <si>
    <t>UCB-239728</t>
  </si>
  <si>
    <t>UCB-252950</t>
  </si>
  <si>
    <t>UCB-242431</t>
  </si>
  <si>
    <t>UCB-072874</t>
  </si>
  <si>
    <t>UCB-152793</t>
  </si>
  <si>
    <t>UCB-243404</t>
  </si>
  <si>
    <t>UCB-268663</t>
  </si>
  <si>
    <t>UCB-254803</t>
  </si>
  <si>
    <t>UCB-241884</t>
  </si>
  <si>
    <t>UCB-243184</t>
  </si>
  <si>
    <t>UCB-243402</t>
  </si>
  <si>
    <t>UCB-152792</t>
  </si>
  <si>
    <t>UCB-189625</t>
  </si>
  <si>
    <t>UCB-151633</t>
  </si>
  <si>
    <t>UCB-029438</t>
  </si>
  <si>
    <t>UCB-263645</t>
  </si>
  <si>
    <t>UCB-068156</t>
  </si>
  <si>
    <t>UCB-254798</t>
  </si>
  <si>
    <t>UCB-253611</t>
  </si>
  <si>
    <t>UCB-166522</t>
  </si>
  <si>
    <t>UCB-052418</t>
  </si>
  <si>
    <t>UCB-268104</t>
  </si>
  <si>
    <t>UCB-254234</t>
  </si>
  <si>
    <t>UCB-014282</t>
  </si>
  <si>
    <t>UCBL-00476</t>
  </si>
  <si>
    <t>UCB-244238</t>
  </si>
  <si>
    <t>UCB-152791</t>
  </si>
  <si>
    <t>UCB-164241</t>
  </si>
  <si>
    <t>UCB-119402</t>
  </si>
  <si>
    <t>UCBL-00804</t>
  </si>
  <si>
    <t>M-1/7</t>
  </si>
  <si>
    <t>A-114</t>
  </si>
  <si>
    <t>UCB-270072</t>
  </si>
  <si>
    <t>S-122</t>
  </si>
  <si>
    <t>UCB-068155</t>
  </si>
  <si>
    <t>UCB-184077</t>
  </si>
  <si>
    <t>UCB-232454</t>
  </si>
  <si>
    <t>UCB-082502</t>
  </si>
  <si>
    <t>UCB-254800</t>
  </si>
  <si>
    <t>UCB-269042</t>
  </si>
  <si>
    <t>UCB-226262</t>
  </si>
  <si>
    <t>UCB-269991</t>
  </si>
  <si>
    <t>UCB-269041</t>
  </si>
  <si>
    <t>UCB-262789</t>
  </si>
  <si>
    <t>UCB-254802</t>
  </si>
  <si>
    <t>UCB-017752</t>
  </si>
  <si>
    <t>SL</t>
  </si>
  <si>
    <t>Mr.Saifuzzaman Chowdhury</t>
  </si>
  <si>
    <t>Mr.Anisuzzaman Chowdhury</t>
  </si>
  <si>
    <t>Ms.Afroza Zaman</t>
  </si>
  <si>
    <t>Ms.Roxana Zaman</t>
  </si>
  <si>
    <t>Aramit Thai Aluminium Ltd</t>
  </si>
  <si>
    <t>Volkart Trading Ltd</t>
  </si>
  <si>
    <t>Nahar Metals Limited</t>
  </si>
  <si>
    <t>Ardent Assets management Limit</t>
  </si>
  <si>
    <t>SPLENDID TRADING LIMITED</t>
  </si>
  <si>
    <t>AROMATIC PROPERTIES LIMITED</t>
  </si>
  <si>
    <t>Total Shares</t>
  </si>
  <si>
    <t xml:space="preserve">       Total shares </t>
  </si>
  <si>
    <t xml:space="preserve">      Total Shares</t>
  </si>
  <si>
    <t>M-91</t>
  </si>
  <si>
    <t>Q-93</t>
  </si>
  <si>
    <t>UCB-241887</t>
  </si>
  <si>
    <t>United Commercial Bank Limited.</t>
  </si>
  <si>
    <t>No.of shares  1st January 2020</t>
  </si>
  <si>
    <t>No.of shares  1st December 2019</t>
  </si>
  <si>
    <t>No.of shares  1st November 2019</t>
  </si>
  <si>
    <t>No.of shares  1st October 2019</t>
  </si>
  <si>
    <t>No.of shares  1st September 2019</t>
  </si>
  <si>
    <t>No.of shares  1st August 2019</t>
  </si>
  <si>
    <t>No.of shares  1st July2019</t>
  </si>
  <si>
    <t xml:space="preserve">Name of the Issuer: </t>
  </si>
  <si>
    <t xml:space="preserve">Applicable Month: </t>
  </si>
  <si>
    <t xml:space="preserve">Total paid-up capital (Tk.): </t>
  </si>
  <si>
    <t xml:space="preserve">No. of total paid-up shares: </t>
  </si>
  <si>
    <t>Legendary Asset Management LI</t>
  </si>
  <si>
    <t>1st january 2020</t>
  </si>
  <si>
    <t>1st December 2019</t>
  </si>
  <si>
    <t>Local Institute :</t>
  </si>
  <si>
    <t>Foreign Institute :</t>
  </si>
  <si>
    <t>Group Summery, United Commercial Bank Limited.</t>
  </si>
  <si>
    <t>No.of shares  1st February 2020</t>
  </si>
  <si>
    <t>4th february 2020</t>
  </si>
  <si>
    <t>SPONSOR</t>
  </si>
  <si>
    <t>DIRECTORS</t>
  </si>
  <si>
    <t>SPONSOR FAMILY</t>
  </si>
  <si>
    <t>SPONSOR GOVERNMENT</t>
  </si>
  <si>
    <t>FOREIGN SPONSOR</t>
  </si>
  <si>
    <t>GENERAL INVESTOR LOCAL</t>
  </si>
  <si>
    <t>GENERAL INVESTOR NRB</t>
  </si>
  <si>
    <t>GENERAL INVESTOR FOREIGN</t>
  </si>
  <si>
    <t>LOCAL INSTITUTION</t>
  </si>
  <si>
    <t>FOREIGN INSTITUTION</t>
  </si>
  <si>
    <t>MUTUAL FUND</t>
  </si>
  <si>
    <t>OTHER FUNDS</t>
  </si>
  <si>
    <t>GOVERNMENT (OTHERS)</t>
  </si>
  <si>
    <t>ASSOCIATED COMPANIES</t>
  </si>
  <si>
    <t>SUSPENSE</t>
  </si>
  <si>
    <t>+</t>
  </si>
  <si>
    <t>Public</t>
  </si>
  <si>
    <t>No.of shares  1st March 2020</t>
  </si>
  <si>
    <t>3rd March 2020</t>
  </si>
  <si>
    <t>No.of shares  1st April 2020</t>
  </si>
  <si>
    <t>1st April 2020</t>
  </si>
  <si>
    <t>No.of shares  1st June 2020</t>
  </si>
  <si>
    <t>1st June 2020</t>
  </si>
  <si>
    <t>1st August 2020</t>
  </si>
  <si>
    <t>No.of shares  1st August 2020</t>
  </si>
  <si>
    <t>No.of shares  1st September 2020</t>
  </si>
  <si>
    <t>1st September 2020</t>
  </si>
  <si>
    <t>After Record Date Share Could be</t>
  </si>
  <si>
    <t>No.of shares  1stOctober 2020</t>
  </si>
  <si>
    <t>5% Share for Bonus Stock</t>
  </si>
  <si>
    <t>After Record Date Total Share will be</t>
  </si>
  <si>
    <t>1st October 2020</t>
  </si>
  <si>
    <t>HAJEE M. A. KALAM</t>
  </si>
  <si>
    <t>MOHAMMED NASIM KALAM</t>
  </si>
  <si>
    <t>M/S. M.A. KALAM LTD</t>
  </si>
  <si>
    <t>MS. RAHIMA BEGUM</t>
  </si>
  <si>
    <t>MRS.SHAHIN SAZZAD</t>
  </si>
  <si>
    <t>SADIA ERSHAD</t>
  </si>
  <si>
    <t>PARVEZ AHMED</t>
  </si>
  <si>
    <t>SHABBIR AHMED</t>
  </si>
  <si>
    <t>MOHAMMAD TYSIR KHAN</t>
  </si>
  <si>
    <t>No.of shares  1st November 2020</t>
  </si>
  <si>
    <t>1st November 2020</t>
  </si>
  <si>
    <t>No.of shares  1st December 2020</t>
  </si>
  <si>
    <t>1st December 2020</t>
  </si>
  <si>
    <t xml:space="preserve">November 2020 </t>
  </si>
  <si>
    <t>October 2020</t>
  </si>
  <si>
    <t>September 2020</t>
  </si>
  <si>
    <t>August 2020</t>
  </si>
  <si>
    <t>July 2020</t>
  </si>
  <si>
    <t xml:space="preserve">December 2020 </t>
  </si>
  <si>
    <t>No.of shares  1st January 2021</t>
  </si>
  <si>
    <t>1st January 2021</t>
  </si>
  <si>
    <t>1st February 2021</t>
  </si>
  <si>
    <t>February 2021</t>
  </si>
  <si>
    <t>January 2021</t>
  </si>
  <si>
    <t>May 2020</t>
  </si>
  <si>
    <t>April 2020</t>
  </si>
  <si>
    <t>Paper Share</t>
  </si>
  <si>
    <t>Suspense Share</t>
  </si>
  <si>
    <t>Total Share</t>
  </si>
  <si>
    <t>Total Share for all BO Account</t>
  </si>
  <si>
    <t>No.of shares  1st February 2021</t>
  </si>
  <si>
    <t>No.of shares  1st March 2021</t>
  </si>
  <si>
    <t>March 2021</t>
  </si>
  <si>
    <t>1st March 2021</t>
  </si>
  <si>
    <t>No.of shares  1st April 2021</t>
  </si>
  <si>
    <t>April 2021</t>
  </si>
  <si>
    <t>1st April 2021</t>
  </si>
  <si>
    <t>paid up in 2020 After AGM 2020</t>
  </si>
  <si>
    <t>No.of shares  1st May 2021</t>
  </si>
  <si>
    <t>1st May 2021</t>
  </si>
  <si>
    <t>1st June 2021</t>
  </si>
  <si>
    <t>May 2021</t>
  </si>
  <si>
    <t>No.of shares  1st June 2021</t>
  </si>
  <si>
    <t>June 2021</t>
  </si>
  <si>
    <t>1205590068983099</t>
  </si>
  <si>
    <t>1205950068950050</t>
  </si>
  <si>
    <t>IMRANA ZAMAN/UCB-272941 CHOWDHURY</t>
  </si>
  <si>
    <t>1205590037456486</t>
  </si>
  <si>
    <t>UCB-272897</t>
  </si>
  <si>
    <t>UCB-272937</t>
  </si>
  <si>
    <t>No.of shares  1st July 2021</t>
  </si>
  <si>
    <t>July 2021</t>
  </si>
  <si>
    <t>5th July 2021</t>
  </si>
  <si>
    <t>28400</t>
  </si>
  <si>
    <t>4736773</t>
  </si>
  <si>
    <t>No.of shares  1st August 2021</t>
  </si>
  <si>
    <t>2nd August 2021</t>
  </si>
  <si>
    <t>August 2021</t>
  </si>
  <si>
    <t>1205950073113719</t>
  </si>
  <si>
    <t>Bonus Share for 2020, AGM(38) 2021</t>
  </si>
  <si>
    <t>Less Fraction</t>
  </si>
  <si>
    <t>Actual  Bonus</t>
  </si>
  <si>
    <t>1205590045135903</t>
  </si>
  <si>
    <t>1205960063527511</t>
  </si>
  <si>
    <t>1205960045135903</t>
  </si>
  <si>
    <t>FAHIMA AKHTER</t>
  </si>
  <si>
    <t>1205590015358301</t>
  </si>
  <si>
    <t>AFROZA ISLAM CHOWDHURY</t>
  </si>
  <si>
    <t>1203040062676738</t>
  </si>
  <si>
    <t>21025491</t>
  </si>
  <si>
    <t>1204780015000605</t>
  </si>
  <si>
    <t>1201840002165841</t>
  </si>
  <si>
    <t>1204780000599958</t>
  </si>
  <si>
    <t>TUHEEN SULTANA</t>
  </si>
  <si>
    <t>Mrs. Rukmila Zaman &amp; Family</t>
  </si>
  <si>
    <t>5% Stock Dividend for 2020</t>
  </si>
  <si>
    <t>1204030057883555</t>
  </si>
  <si>
    <t>5th September 2021</t>
  </si>
  <si>
    <t>September 2021</t>
  </si>
  <si>
    <t>Purchease/Sell</t>
  </si>
  <si>
    <t>Difference from 1st September 2021 to 1st August 2021</t>
  </si>
  <si>
    <t>Actual Difference with Bonus</t>
  </si>
  <si>
    <t>paid up in 2019 after AGM 2019</t>
  </si>
  <si>
    <t>Mrs. Rukhmila Zaman</t>
  </si>
  <si>
    <t>1201840028620541</t>
  </si>
  <si>
    <t>UCB-166605</t>
  </si>
  <si>
    <t>Mr. Abdul Gaffar Chowdhury Family</t>
  </si>
  <si>
    <t>1202090019536246</t>
  </si>
  <si>
    <t>1204090000113211</t>
  </si>
  <si>
    <t>UCB-275082</t>
  </si>
  <si>
    <t>UCB-183900</t>
  </si>
  <si>
    <t>Mr. Zafrul Islam Chowdhury and Family</t>
  </si>
  <si>
    <t>UCB-276830</t>
  </si>
  <si>
    <t>UCB-254799</t>
  </si>
  <si>
    <t>UCB-264999</t>
  </si>
  <si>
    <t>UCB-262788</t>
  </si>
  <si>
    <t>UCB-275408</t>
  </si>
  <si>
    <t>959000</t>
  </si>
  <si>
    <t>UCB-271691</t>
  </si>
  <si>
    <t>UCB-271360</t>
  </si>
  <si>
    <t>UCB-271062</t>
  </si>
  <si>
    <t>07th October, 2021</t>
  </si>
  <si>
    <t>October 2021</t>
  </si>
  <si>
    <t>Total Share on 1st September 2021.</t>
  </si>
  <si>
    <t>No.of shares  1st October 2021</t>
  </si>
  <si>
    <t>Mr.Bashir Ahmed and Family</t>
  </si>
  <si>
    <t>1205590057883555</t>
  </si>
  <si>
    <t>1205590034019413</t>
  </si>
  <si>
    <t>UCB-278269</t>
  </si>
  <si>
    <t>UCB-278268</t>
  </si>
  <si>
    <t>Difference October, 2021 to November, 2021 { ( - = Sale ) &amp; (+ = Buy )}</t>
  </si>
  <si>
    <t>No.of shares  1st November 2021</t>
  </si>
  <si>
    <t>4th November, 2021</t>
  </si>
  <si>
    <t>Difference November, 2021 to December, 2021 { ( - = Sale ) &amp; (+ = Buy )}</t>
  </si>
  <si>
    <t>No.of shares  1st December 2021</t>
  </si>
  <si>
    <t>November 2021</t>
  </si>
  <si>
    <t>5th December, 2021</t>
  </si>
  <si>
    <t>December2021</t>
  </si>
  <si>
    <t>Hajee Yunus Ahmed/SPD</t>
  </si>
  <si>
    <t>Hajee M.A.Kalam/SPD</t>
  </si>
  <si>
    <t>Mr.Md.M.A.Sabur/SPD</t>
  </si>
  <si>
    <t>Mrs.Nur Nahar Zaman/SP</t>
  </si>
  <si>
    <t>Mrs.Sultana HashemSP</t>
  </si>
  <si>
    <t>Mr. Zafar Ahmed Chowdhury &amp; Family</t>
  </si>
  <si>
    <t>No.of shares  1st January 2022</t>
  </si>
  <si>
    <t>Difference December, 2021 to January ,2022 { ( - = Sale ) &amp; (+ = Buy )}</t>
  </si>
  <si>
    <t>Mr.Anisuzzaman Chowdhury &amp; Family</t>
  </si>
  <si>
    <t>Mr.Asifuzzaman Chowdhury &amp; Family</t>
  </si>
  <si>
    <t>Ms. Farhana Zaman, Ms. Afroza Zaman and Ms.Roxana Zaman</t>
  </si>
  <si>
    <t>Mr.Md.M.A.Sabur  &amp; Family</t>
  </si>
  <si>
    <t>Mr.Md.Nurul Islam Chowdhury &amp; Family</t>
  </si>
  <si>
    <t>Mr. Zafrul Islam Chowdhury &amp; Family</t>
  </si>
  <si>
    <t>Hajee Yunus Ahmed &amp; Family</t>
  </si>
  <si>
    <t>Hajee M.A.Kalam &amp; Family</t>
  </si>
  <si>
    <t>Mr. Bazal Ahmed &amp; Family</t>
  </si>
  <si>
    <t>Mr. Bashir Ahmed and Family</t>
  </si>
  <si>
    <t>SHABBIR AHMED &amp; Family</t>
  </si>
  <si>
    <t>Mr.Md.Jahangir Alam Khan &amp; Family</t>
  </si>
  <si>
    <t>Mr.Sharif Zahir &amp; Family</t>
  </si>
  <si>
    <t>Kazi Enamul Haque &amp; Family</t>
  </si>
  <si>
    <t>Mr.Nuruddin Javed &amp; Family</t>
  </si>
  <si>
    <t>Mr.M.A.Hashem &amp; Family</t>
  </si>
  <si>
    <t>Mr. Abdul Gaffar Chowdhury Family &amp; Family</t>
  </si>
  <si>
    <t>MISS. ZARA NAMREEN &amp; Family</t>
  </si>
  <si>
    <t>3rd January 2022</t>
  </si>
  <si>
    <t>January 2022</t>
  </si>
  <si>
    <t>February 2022</t>
  </si>
  <si>
    <t>3rd February 2022</t>
  </si>
  <si>
    <t>March 2022</t>
  </si>
  <si>
    <t>1st march 2022</t>
  </si>
  <si>
    <t>No.of shares  1st February 2022</t>
  </si>
  <si>
    <t>Difference January 2022 to February ,2022 { ( - = Sale ) &amp; (+ = Buy )}</t>
  </si>
  <si>
    <t>Difference February 2022 to March ,2022 { ( - = Sale ) &amp; (+ = Buy )}</t>
  </si>
  <si>
    <t>No.of shares  1st March 2022</t>
  </si>
  <si>
    <t>QAMRUN NAHAR</t>
  </si>
  <si>
    <t>1st April 2022</t>
  </si>
  <si>
    <t>April 2022</t>
  </si>
  <si>
    <t>No.of shares  1st April 2022</t>
  </si>
  <si>
    <t>Difference March 2022 to April ,2022 { ( - = Sale ) &amp; (+ = Buy )}</t>
  </si>
  <si>
    <t>No.of shares  1st May 2022</t>
  </si>
  <si>
    <t>Difference April 2022 to May ,2022 { ( - = Sale ) &amp; (+ = Buy )}</t>
  </si>
  <si>
    <t>1st May 2022</t>
  </si>
  <si>
    <t>No.of shares  1st June 2022</t>
  </si>
  <si>
    <t>Difference May 2022 to June, 2022 { ( - = Sale ) &amp; (+ = Buy )}</t>
  </si>
  <si>
    <t>Difference May, 2022 to June, 2022 { ( - = Sale ) &amp; (+ = Buy )}</t>
  </si>
  <si>
    <t>1st June 2022</t>
  </si>
  <si>
    <t>May 2022</t>
  </si>
  <si>
    <t>June 2022</t>
  </si>
  <si>
    <t>1205590030110154</t>
  </si>
  <si>
    <t>mainuddin  Bhai</t>
  </si>
  <si>
    <t>Total Security</t>
  </si>
  <si>
    <t>Sposor Director</t>
  </si>
  <si>
    <t>Government</t>
  </si>
  <si>
    <t>Free Float</t>
  </si>
  <si>
    <t>10% Stock Dividend for 2020</t>
  </si>
  <si>
    <t>Total Stock Bonus per Director</t>
  </si>
  <si>
    <t>Last YearShare</t>
  </si>
  <si>
    <t>After 10% adding</t>
  </si>
  <si>
    <t>10% Bonus</t>
  </si>
  <si>
    <t>Fraction</t>
  </si>
  <si>
    <t>After deducting fraction</t>
  </si>
  <si>
    <t>Checking Bonaus balance</t>
  </si>
  <si>
    <t>Checking Total share balance</t>
  </si>
  <si>
    <t>After Bonus Total Share</t>
  </si>
  <si>
    <t>At 39th AGM,  after giving 10% stock dividend the total share holding will be</t>
  </si>
  <si>
    <t>Calculation Check</t>
  </si>
  <si>
    <t>No. of shares on 22th June 2022 after Bonus Share uploded</t>
  </si>
  <si>
    <t>Difference 1st June 2022 to 22th June 2022 { ( - = Sale ) &amp; (+ = Buy )}</t>
  </si>
  <si>
    <t>8262543</t>
  </si>
  <si>
    <t>18420</t>
  </si>
  <si>
    <t>126640</t>
  </si>
  <si>
    <t>170</t>
  </si>
  <si>
    <t>291500</t>
  </si>
  <si>
    <t>500</t>
  </si>
  <si>
    <t>Mrs. Sultana Rezia Begum &amp; Family</t>
  </si>
  <si>
    <t>No. of shares on 1st July 2022</t>
  </si>
  <si>
    <t>Difference 1st June 2022 to 1st July 2022 { ( - = Sale ) &amp; (+ = Buy )}</t>
  </si>
  <si>
    <t>1st July 2022</t>
  </si>
  <si>
    <t>July 2022</t>
  </si>
  <si>
    <t>No. of shares on 1st August 2022</t>
  </si>
  <si>
    <t>Difference 1st July 2022 to 1st August 2022 { ( - = Sale ) &amp; (+ = Buy )}</t>
  </si>
  <si>
    <t>1st August 2022</t>
  </si>
  <si>
    <t>August 2022</t>
  </si>
  <si>
    <t>No. of shares on 1st September 2022</t>
  </si>
  <si>
    <t>Difference 1st August 2022 to 1st September 2022 { ( - = Sale ) &amp; (+ = Buy )}</t>
  </si>
  <si>
    <t>1st September 2022</t>
  </si>
  <si>
    <t>September 2022</t>
  </si>
  <si>
    <t xml:space="preserve"> Directors,Sponsors &amp; their family member's share position as on 01.09.2022</t>
  </si>
  <si>
    <t>28126358</t>
  </si>
  <si>
    <t>Difference 1st September 2022 to 1st October 2022 { ( - = Sale ) &amp; (+ = Buy )}</t>
  </si>
  <si>
    <t>No. of shares on 1st October 2022</t>
  </si>
  <si>
    <t>1st October 2022</t>
  </si>
  <si>
    <t>October 2022</t>
  </si>
  <si>
    <t>No. of shares on 1st November 2022</t>
  </si>
  <si>
    <t>Difference 1st October 2022 to 1st November 2022 { ( - = Sale ) &amp; (+ = Buy )}</t>
  </si>
  <si>
    <t>1st November 2022</t>
  </si>
  <si>
    <t>November 2022</t>
  </si>
  <si>
    <t>No. of shares on 1st December 2022</t>
  </si>
  <si>
    <t xml:space="preserve">Difference 1st November 2022 to 1st December 2022 { ( - = Sale ) &amp; (+ = Buy )} </t>
  </si>
  <si>
    <t>December 2022</t>
  </si>
  <si>
    <t>1st December 2022</t>
  </si>
  <si>
    <t>Professor Dr. Iftekhar Uddin Chowdhury</t>
  </si>
  <si>
    <t>Independent Director</t>
  </si>
  <si>
    <t>UCB-281318</t>
  </si>
  <si>
    <t>1205800004095156</t>
  </si>
  <si>
    <t>No. of shares on 1st January 2023</t>
  </si>
  <si>
    <t xml:space="preserve">Difference 1st December 2022 to 1st January 2023 { ( - = Sale ) &amp; (+ = Buy )} </t>
  </si>
  <si>
    <t>1st jANUARY 2023</t>
  </si>
  <si>
    <t>1st February 2023</t>
  </si>
  <si>
    <t xml:space="preserve">Difference 1st January 2023 to 1st February 2023 { ( - = Sale ) &amp; (+ = Buy )} </t>
  </si>
  <si>
    <t xml:space="preserve">Professor Dr. Md. Jonaid Shafiq ( Representative of Splendid Trading Limited) </t>
  </si>
  <si>
    <t>Mr. Syed Mohammad Nuruddin (Representative of Aromatic Properties Ltd.)</t>
  </si>
  <si>
    <t>Mr. Farid Uddin Ahmed ( Representative of Nahar Metals Limited )</t>
  </si>
  <si>
    <t>No. of shares on 1st March 2023</t>
  </si>
  <si>
    <t>No. of shares on 1st February 2023</t>
  </si>
  <si>
    <t xml:space="preserve">Difference 1st February 2023 to 1st March 2023 { ( - = Sale ) &amp; (+ = Buy )} </t>
  </si>
  <si>
    <t>1st March 2023</t>
  </si>
  <si>
    <t>No. of shares on 1st April 2023</t>
  </si>
  <si>
    <t xml:space="preserve">Difference 1st March 2023 to 1st April 2023 { ( - = Sale ) &amp; (+ = Buy )} </t>
  </si>
  <si>
    <t>1st April 2023</t>
  </si>
  <si>
    <t>No. of shares on 1st May 2023</t>
  </si>
  <si>
    <t xml:space="preserve">Difference 1st April 2023 to 1st May 2023 { ( - = Sale ) &amp; (+ = Buy )} </t>
  </si>
  <si>
    <t>1st May 2023</t>
  </si>
  <si>
    <t>No. of shares on 1st June 2023</t>
  </si>
  <si>
    <t xml:space="preserve">Difference 1st May 2023 to 1st June 2023 { ( - = Sale ) &amp; (+ = Buy )} </t>
  </si>
  <si>
    <t>1st June 2023</t>
  </si>
  <si>
    <t>No. of shares on 1st July 2023</t>
  </si>
  <si>
    <t xml:space="preserve">Difference 1st June 2023 to 1st July 2023 { ( - = Sale ) &amp; (+ = Buy )} </t>
  </si>
  <si>
    <t>1st July 2023</t>
  </si>
  <si>
    <t>1st January 2023</t>
  </si>
  <si>
    <t>At 40th AGM,  after giving 5% stock and 5% Cash dividend the total share holding will be</t>
  </si>
  <si>
    <t>5% Stock Dividend for 2022</t>
  </si>
  <si>
    <t>Last Year Share</t>
  </si>
  <si>
    <t>After 5% adding</t>
  </si>
  <si>
    <t>Mrs. M. A. SABUR &amp; Family</t>
  </si>
  <si>
    <t>Mrs. NURUL ISLAM CHOWDHURY &amp; Family</t>
  </si>
  <si>
    <t>Value of Share</t>
  </si>
  <si>
    <t>Gross Dividend</t>
  </si>
  <si>
    <t>Tax (%)</t>
  </si>
  <si>
    <t>Deduction</t>
  </si>
  <si>
    <t>Net Dividend</t>
  </si>
  <si>
    <t>Bonus Share</t>
  </si>
  <si>
    <t>Total Share after bonus</t>
  </si>
  <si>
    <t>B/O number</t>
  </si>
  <si>
    <t>Folio No</t>
  </si>
  <si>
    <t>HAJEE M.A KALAM</t>
  </si>
  <si>
    <t>Name as per BO ID</t>
  </si>
  <si>
    <t>Hajee M.A. Kalam &amp; Family</t>
  </si>
  <si>
    <t>No. of shares on 1st August 2023</t>
  </si>
  <si>
    <t xml:space="preserve">Difference 1st July 2023 to 1st August 2023 { ( - = Sale ) &amp; (+ = Buy )} </t>
  </si>
  <si>
    <t>Calculation Check Back</t>
  </si>
  <si>
    <t>1st August 2023</t>
  </si>
  <si>
    <t>paid up in 2023 After AGM 2023 (40th AGM)</t>
  </si>
  <si>
    <t>paid up in 2022 After AGM 2022 (39thAGM)</t>
  </si>
  <si>
    <t>paid up in 2021 After AGM 2021 (38th AGM)</t>
  </si>
  <si>
    <t>14,765,484,75</t>
  </si>
  <si>
    <t>HAJEE M.A KALAM &amp; Family</t>
  </si>
  <si>
    <t>Mr. Asifuzzaman Chowdhury</t>
  </si>
  <si>
    <t>Name</t>
  </si>
  <si>
    <t>Mr. Bashir Ahmed</t>
  </si>
  <si>
    <t>Mr. M. A. Sabur</t>
  </si>
  <si>
    <t>Mr. Nurul Islam Chowdhury</t>
  </si>
  <si>
    <t>Mr. Syed Kamruzzaman</t>
  </si>
  <si>
    <t>Mr. Kanak Kanti Sen</t>
  </si>
  <si>
    <t>Mr. Hajee Yunus Ahmed</t>
  </si>
  <si>
    <t>Mrs. Nur Nahar Zaman</t>
  </si>
  <si>
    <t>Mrs. Sultana Hashem</t>
  </si>
  <si>
    <t>Mrs. Tarana Ahmed</t>
  </si>
  <si>
    <t>Mr. Zafrul Islam Chowdhury</t>
  </si>
  <si>
    <t>Mrs. Begum Nurjahan Salam</t>
  </si>
  <si>
    <t>Mrs. Jahanara Begum Chowdhury</t>
  </si>
  <si>
    <t>Mr. Hajee M. A. Kalam</t>
  </si>
  <si>
    <t>Mrs. Khaleda Khanam</t>
  </si>
  <si>
    <t>Mr. Mohammed Nasim Kalam</t>
  </si>
  <si>
    <t>Ms. Rahima Begum</t>
  </si>
  <si>
    <t>Mrs. Sadia Ershad</t>
  </si>
  <si>
    <t>Mr. Md. Jahangir Alam Khan</t>
  </si>
  <si>
    <t>Mrs. Monowara Begum</t>
  </si>
  <si>
    <t>Mr. Md. Tanvir Khan</t>
  </si>
  <si>
    <t>Mrs. Tahsin Khanam</t>
  </si>
  <si>
    <t>Mr. Mohammad Tysir Khan</t>
  </si>
  <si>
    <t>Mr. Ahmed Arif Billah</t>
  </si>
  <si>
    <t>Mrs. Motmayena Begum</t>
  </si>
  <si>
    <t>Mrs. Farhana Akhter</t>
  </si>
  <si>
    <t>Ms. Fahima Akhter</t>
  </si>
  <si>
    <t>Mr. Kazi Enamul Hoque</t>
  </si>
  <si>
    <t>Mr. Nur Uddin Javed</t>
  </si>
  <si>
    <t>Mrs. Nurtaz Begum</t>
  </si>
  <si>
    <t>Mrs. Shamshad Begum</t>
  </si>
  <si>
    <t>Mrs. Rasheda Begum</t>
  </si>
  <si>
    <t>Mr. Md. Manjur Alam</t>
  </si>
  <si>
    <t>Mrs. Hasina Begum</t>
  </si>
  <si>
    <t>Mr. Zafreen Zafar Chowdhury</t>
  </si>
  <si>
    <t>Mr. Rajiv Zafar Chowdhury</t>
  </si>
  <si>
    <t>Mr. M. A. Hashem</t>
  </si>
  <si>
    <t>Mr. Showkat Aziz</t>
  </si>
  <si>
    <t>Mr. Aziz Al Kaiser</t>
  </si>
  <si>
    <t>Mr. Aziz Al Masud</t>
  </si>
  <si>
    <t>Mr. Naimual Quader Chowdhury</t>
  </si>
  <si>
    <t>Mrs. Setara  Begum</t>
  </si>
  <si>
    <t>Mrs. Arafatunnessa Tania</t>
  </si>
  <si>
    <t>Mrs. Farhana Gaffar</t>
  </si>
  <si>
    <t>Mrs. Sultana Rezia Begum</t>
  </si>
  <si>
    <t>Mr. Golam Lutfur Rabbani</t>
  </si>
  <si>
    <t>Mr. Golam Khairul Rabbani</t>
  </si>
  <si>
    <t>Mr. Md. Aksed Ali Sarker</t>
  </si>
  <si>
    <t>Mrs. Masuma Parvin</t>
  </si>
  <si>
    <t>Mr. Shahin Sazzad</t>
  </si>
  <si>
    <t>Mrs. Tuheen Sultana</t>
  </si>
  <si>
    <t>Mrs. Afroza Islam Chowdhury</t>
  </si>
  <si>
    <t>TO WHOM IT MAY CONCERN</t>
  </si>
  <si>
    <t>Designation</t>
  </si>
  <si>
    <t>Vice-Chairman</t>
  </si>
  <si>
    <t>Director</t>
  </si>
  <si>
    <t>Mr. Touhid Shipar Rafiquzzaman</t>
  </si>
  <si>
    <t>Mr. Muhammed Shah Alam</t>
  </si>
  <si>
    <t>Mr. Arif Quadri</t>
  </si>
  <si>
    <t>Managing Director &amp; CEO</t>
  </si>
  <si>
    <t>Former Director</t>
  </si>
  <si>
    <t>Professor Dr. A. F. M. Akbar Hossain</t>
  </si>
  <si>
    <t>Member, Shariah Supervisory Committee</t>
  </si>
  <si>
    <t>Professor Dr. Mohammad Abdur Rashid</t>
  </si>
  <si>
    <t>Professor Dr. K M Saiful Islam Khan</t>
  </si>
  <si>
    <t>Dr. Mohammed Nasir Uddin</t>
  </si>
  <si>
    <t>Dr. Mohammad Manjurur Rahman</t>
  </si>
  <si>
    <t>Mr. Akhter Matin Chaudhury</t>
  </si>
  <si>
    <t>Professor Dr. Md. Jonaid Shafiq</t>
  </si>
  <si>
    <t>Mr. Mohammed Shawkat Jamil</t>
  </si>
  <si>
    <t>Mr. Syed Mohammed Nuruddin</t>
  </si>
  <si>
    <t>Mr. Syed Faridul Islam</t>
  </si>
  <si>
    <t>Mr. Farid Uddin Ahmed</t>
  </si>
  <si>
    <t>BO_ID</t>
  </si>
  <si>
    <t xml:space="preserve">Total Share </t>
  </si>
  <si>
    <t>Total Value</t>
  </si>
  <si>
    <t>Share</t>
  </si>
  <si>
    <t>Value</t>
  </si>
  <si>
    <t>Family</t>
  </si>
  <si>
    <t>Mrs. Farhana Islam</t>
  </si>
  <si>
    <t>Ms. Afroza Zaman</t>
  </si>
  <si>
    <t>Mr. Pradip Kumar Biswas</t>
  </si>
  <si>
    <t>Ms. Raisa Rahim Chowdhury</t>
  </si>
  <si>
    <t>Mrs. Imrana Zaman Chowdhury</t>
  </si>
  <si>
    <t>OFFSET('raw data'!$A$1, COUNTA('raw data'!$A$2:$A$100), 0, -COUNTA('raw data'!$A$2:$A$100), 1)</t>
  </si>
  <si>
    <t>Legendary Assets Management Limited</t>
  </si>
  <si>
    <t>Ardent Assets Management Limited</t>
  </si>
  <si>
    <t>Splendid Trading Limited</t>
  </si>
  <si>
    <t>Aromatic Properties Limited</t>
  </si>
  <si>
    <t>Aramit Thai Aluminium Limited</t>
  </si>
  <si>
    <t>Mrs. Raisa Rahim Chowdhury</t>
  </si>
  <si>
    <t>Volkart Trading Limited</t>
  </si>
  <si>
    <t>Mrs. Fahima Akhter</t>
  </si>
  <si>
    <t>Mrs. Shahin Sazzad</t>
  </si>
  <si>
    <t>Mrs. Arwa Bashir</t>
  </si>
  <si>
    <t>Mrs. Zafreen Zafar Chowdhury</t>
  </si>
  <si>
    <t>Amber Super Yarn Ltd.</t>
  </si>
  <si>
    <t>Amber Cotton Mills Ltd.</t>
  </si>
  <si>
    <t>Mrs. Setara Begum</t>
  </si>
  <si>
    <t>Miss. Zara Namreen</t>
  </si>
  <si>
    <t>1205590074717116</t>
  </si>
  <si>
    <t>1205590057883539</t>
  </si>
  <si>
    <t>1205700016104103</t>
  </si>
  <si>
    <t>1201720005513836</t>
  </si>
  <si>
    <t>Share %</t>
  </si>
  <si>
    <t>Mr. Anisuzzaman Chowdhury &amp; Family</t>
  </si>
  <si>
    <t>Mr. Asifuzzaman Chowdhury &amp; Family</t>
  </si>
  <si>
    <t>Mrs. Nur Nahar Zaman &amp; Family</t>
  </si>
  <si>
    <t>Mr. M. A. Sabur  &amp; Family</t>
  </si>
  <si>
    <t>Mr. Md. Nurul Islam Chowdhury &amp; Family</t>
  </si>
  <si>
    <t>Mr. Bashir Ahmed &amp; Family</t>
  </si>
  <si>
    <t>Mr. Md. Jahangir Alam Khan &amp; Family</t>
  </si>
  <si>
    <t>Mr. Nuruddin Javed &amp; Family</t>
  </si>
  <si>
    <t>Miss. Zara Namreen &amp; Family</t>
  </si>
  <si>
    <t>Hajee M. A. Kalam &amp; Family</t>
  </si>
  <si>
    <t>Mr. M. A. Hashem &amp; Family</t>
  </si>
  <si>
    <t>Joynul Abedin, ACS
First Asst. Vice President
Company Secretariat</t>
  </si>
  <si>
    <t>1205590000599958</t>
  </si>
  <si>
    <t>1201820000599958</t>
  </si>
  <si>
    <t>1202800074786891</t>
  </si>
  <si>
    <t>1202800074786966</t>
  </si>
  <si>
    <t>Mrs. Roxana Zaman Chaudhury</t>
  </si>
  <si>
    <t>Former Director &amp; immediate past Chairman</t>
  </si>
  <si>
    <t>Sponsor</t>
  </si>
  <si>
    <t>1202640065698951</t>
  </si>
  <si>
    <t>ATM Tahmiduzzaman, FCS
Company Secretary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</si>
</sst>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-* #,##0_-;\-* #,##0_-;_-* &quot;-&quot;??_-;_-@_-"/>
    <numFmt numFmtId="165" formatCode="0.0000"/>
    <numFmt numFmtId="166" formatCode="0.0"/>
    <numFmt numFmtId="167" formatCode="0.000"/>
    <numFmt numFmtId="168" formatCode="_(* #,##0_);_(* \(#,##0\);_(* &quot;-&quot;??_);_(@_)"/>
    <numFmt numFmtId="169" formatCode="[$-409]mmmm\ d\,\ yyyy;@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b/>
      <sz val="8"/>
      <name val="Verdana"/>
      <family val="2"/>
    </font>
    <font>
      <b/>
      <sz val="8"/>
      <color rgb="FF7030A0"/>
      <name val="Verdana"/>
      <family val="2"/>
    </font>
    <font>
      <b/>
      <sz val="8"/>
      <color theme="1"/>
      <name val="Verdana"/>
      <family val="2"/>
    </font>
    <font>
      <b/>
      <sz val="10"/>
      <color theme="0"/>
      <name val="Verdana"/>
      <family val="2"/>
    </font>
    <font>
      <sz val="8"/>
      <color rgb="FF000000"/>
      <name val="Verdana"/>
      <family val="2"/>
    </font>
    <font>
      <b/>
      <sz val="10"/>
      <name val="Verdana"/>
      <family val="2"/>
    </font>
    <font>
      <b/>
      <sz val="12"/>
      <color theme="1"/>
      <name val="Verdana"/>
      <family val="2"/>
    </font>
    <font>
      <sz val="11"/>
      <color theme="1"/>
      <name val="Verdana"/>
      <family val="2"/>
    </font>
    <font>
      <b/>
      <u/>
      <sz val="11"/>
      <color theme="1"/>
      <name val="Verdana"/>
      <family val="2"/>
    </font>
    <font>
      <sz val="10"/>
      <color rgb="FF000000"/>
      <name val="Verdana"/>
      <family val="2"/>
    </font>
    <font>
      <sz val="10"/>
      <color theme="1"/>
      <name val="Verdana"/>
      <family val="2"/>
    </font>
    <font>
      <sz val="10"/>
      <color rgb="FF000000"/>
      <name val="Verdana"/>
      <family val="2"/>
    </font>
    <font>
      <sz val="10"/>
      <color theme="1"/>
      <name val="Verdana"/>
      <family val="2"/>
    </font>
    <font>
      <sz val="10"/>
      <color rgb="FF000000"/>
      <name val="Verdana"/>
      <family val="2"/>
    </font>
    <font>
      <sz val="11"/>
      <name val="Verdana"/>
      <family val="2"/>
    </font>
    <font>
      <sz val="11"/>
      <name val="Calibri"/>
      <family val="2"/>
      <scheme val="minor"/>
    </font>
    <font>
      <b/>
      <u/>
      <sz val="11"/>
      <name val="Verdana"/>
      <family val="2"/>
    </font>
    <font>
      <sz val="10"/>
      <name val="Calibri Light"/>
      <family val="2"/>
    </font>
    <font>
      <sz val="10"/>
      <name val="Calibri Light"/>
      <family val="2"/>
    </font>
    <font>
      <b/>
      <sz val="10"/>
      <color theme="0"/>
      <name val="Calibri Light"/>
      <family val="2"/>
    </font>
  </fonts>
  <fills count="2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615">
    <xf numFmtId="0" fontId="0" fillId="0" borderId="0" xfId="0"/>
    <xf numFmtId="49" fontId="7" fillId="5" borderId="0" xfId="0" applyNumberFormat="1" applyFont="1" applyFill="1" applyAlignment="1">
      <alignment horizontal="center" vertical="center"/>
    </xf>
    <xf numFmtId="49" fontId="7" fillId="15" borderId="1" xfId="1" applyNumberFormat="1" applyFont="1" applyFill="1" applyBorder="1" applyAlignment="1">
      <alignment horizontal="center" vertical="center" wrapText="1"/>
    </xf>
    <xf numFmtId="1" fontId="7" fillId="0" borderId="1" xfId="1" applyNumberFormat="1" applyFont="1" applyBorder="1" applyAlignment="1">
      <alignment horizontal="center" vertical="center" wrapText="1"/>
    </xf>
    <xf numFmtId="1" fontId="7" fillId="5" borderId="1" xfId="1" applyNumberFormat="1" applyFont="1" applyFill="1" applyBorder="1" applyAlignment="1">
      <alignment horizontal="center" vertical="center" wrapText="1"/>
    </xf>
    <xf numFmtId="1" fontId="7" fillId="5" borderId="0" xfId="0" applyNumberFormat="1" applyFont="1" applyFill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2" fontId="7" fillId="4" borderId="1" xfId="1" applyNumberFormat="1" applyFont="1" applyFill="1" applyBorder="1" applyAlignment="1">
      <alignment horizontal="center" vertical="center" wrapText="1"/>
    </xf>
    <xf numFmtId="1" fontId="7" fillId="4" borderId="1" xfId="1" applyNumberFormat="1" applyFont="1" applyFill="1" applyBorder="1" applyAlignment="1">
      <alignment horizontal="center" vertical="center" wrapText="1"/>
    </xf>
    <xf numFmtId="1" fontId="7" fillId="7" borderId="1" xfId="0" applyNumberFormat="1" applyFont="1" applyFill="1" applyBorder="1" applyAlignment="1">
      <alignment horizontal="center" vertical="center"/>
    </xf>
    <xf numFmtId="1" fontId="7" fillId="7" borderId="2" xfId="0" applyNumberFormat="1" applyFont="1" applyFill="1" applyBorder="1" applyAlignment="1">
      <alignment horizontal="center" vertical="center"/>
    </xf>
    <xf numFmtId="2" fontId="9" fillId="18" borderId="1" xfId="1" applyNumberFormat="1" applyFont="1" applyFill="1" applyBorder="1" applyAlignment="1">
      <alignment horizontal="center" vertical="center" wrapText="1"/>
    </xf>
    <xf numFmtId="1" fontId="9" fillId="18" borderId="1" xfId="1" applyNumberFormat="1" applyFont="1" applyFill="1" applyBorder="1" applyAlignment="1">
      <alignment horizontal="center" vertical="center" wrapText="1"/>
    </xf>
    <xf numFmtId="1" fontId="10" fillId="14" borderId="1" xfId="1" applyNumberFormat="1" applyFont="1" applyFill="1" applyBorder="1" applyAlignment="1">
      <alignment horizontal="center" vertical="center" wrapText="1"/>
    </xf>
    <xf numFmtId="2" fontId="7" fillId="4" borderId="2" xfId="1" applyNumberFormat="1" applyFont="1" applyFill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center" vertical="center"/>
    </xf>
    <xf numFmtId="166" fontId="7" fillId="0" borderId="1" xfId="0" applyNumberFormat="1" applyFont="1" applyBorder="1" applyAlignment="1">
      <alignment horizontal="center" vertical="center"/>
    </xf>
    <xf numFmtId="49" fontId="7" fillId="4" borderId="1" xfId="1" applyNumberFormat="1" applyFont="1" applyFill="1" applyBorder="1" applyAlignment="1">
      <alignment horizontal="center" vertical="center" wrapText="1"/>
    </xf>
    <xf numFmtId="1" fontId="7" fillId="10" borderId="1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7" fillId="5" borderId="1" xfId="1" applyNumberFormat="1" applyFont="1" applyFill="1" applyBorder="1" applyAlignment="1">
      <alignment horizontal="center" vertical="center" wrapText="1"/>
    </xf>
    <xf numFmtId="1" fontId="7" fillId="6" borderId="1" xfId="1" applyNumberFormat="1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center" vertical="center"/>
    </xf>
    <xf numFmtId="0" fontId="7" fillId="6" borderId="1" xfId="1" applyFont="1" applyFill="1" applyBorder="1" applyAlignment="1">
      <alignment horizontal="center" vertical="center" wrapText="1"/>
    </xf>
    <xf numFmtId="1" fontId="7" fillId="4" borderId="0" xfId="0" applyNumberFormat="1" applyFont="1" applyFill="1" applyAlignment="1">
      <alignment horizontal="center" vertical="center"/>
    </xf>
    <xf numFmtId="1" fontId="7" fillId="4" borderId="7" xfId="1" applyNumberFormat="1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/>
    </xf>
    <xf numFmtId="1" fontId="7" fillId="4" borderId="36" xfId="0" applyNumberFormat="1" applyFont="1" applyFill="1" applyBorder="1" applyAlignment="1">
      <alignment horizontal="center" vertical="center"/>
    </xf>
    <xf numFmtId="1" fontId="7" fillId="4" borderId="40" xfId="0" applyNumberFormat="1" applyFont="1" applyFill="1" applyBorder="1" applyAlignment="1">
      <alignment horizontal="center" vertical="center"/>
    </xf>
    <xf numFmtId="1" fontId="7" fillId="4" borderId="25" xfId="0" applyNumberFormat="1" applyFont="1" applyFill="1" applyBorder="1" applyAlignment="1">
      <alignment horizontal="center" vertical="center"/>
    </xf>
    <xf numFmtId="1" fontId="7" fillId="4" borderId="41" xfId="0" applyNumberFormat="1" applyFont="1" applyFill="1" applyBorder="1" applyAlignment="1">
      <alignment horizontal="center" vertical="center"/>
    </xf>
    <xf numFmtId="1" fontId="7" fillId="4" borderId="42" xfId="0" applyNumberFormat="1" applyFont="1" applyFill="1" applyBorder="1" applyAlignment="1">
      <alignment horizontal="center" vertical="center"/>
    </xf>
    <xf numFmtId="1" fontId="7" fillId="4" borderId="43" xfId="0" applyNumberFormat="1" applyFont="1" applyFill="1" applyBorder="1" applyAlignment="1">
      <alignment horizontal="center" vertical="center"/>
    </xf>
    <xf numFmtId="2" fontId="7" fillId="4" borderId="21" xfId="1" applyNumberFormat="1" applyFont="1" applyFill="1" applyBorder="1" applyAlignment="1">
      <alignment horizontal="center" vertical="center" wrapText="1"/>
    </xf>
    <xf numFmtId="1" fontId="7" fillId="4" borderId="38" xfId="0" applyNumberFormat="1" applyFont="1" applyFill="1" applyBorder="1" applyAlignment="1">
      <alignment horizontal="center" vertical="center"/>
    </xf>
    <xf numFmtId="1" fontId="7" fillId="4" borderId="44" xfId="0" applyNumberFormat="1" applyFont="1" applyFill="1" applyBorder="1" applyAlignment="1">
      <alignment horizontal="center" vertical="center"/>
    </xf>
    <xf numFmtId="1" fontId="7" fillId="4" borderId="45" xfId="0" applyNumberFormat="1" applyFont="1" applyFill="1" applyBorder="1" applyAlignment="1">
      <alignment horizontal="center" vertical="center"/>
    </xf>
    <xf numFmtId="2" fontId="7" fillId="4" borderId="46" xfId="1" applyNumberFormat="1" applyFont="1" applyFill="1" applyBorder="1" applyAlignment="1">
      <alignment horizontal="center" vertical="center" wrapText="1"/>
    </xf>
    <xf numFmtId="1" fontId="7" fillId="4" borderId="39" xfId="0" applyNumberFormat="1" applyFont="1" applyFill="1" applyBorder="1" applyAlignment="1">
      <alignment horizontal="center" vertical="center"/>
    </xf>
    <xf numFmtId="1" fontId="7" fillId="4" borderId="14" xfId="0" applyNumberFormat="1" applyFont="1" applyFill="1" applyBorder="1" applyAlignment="1">
      <alignment horizontal="center" vertical="center"/>
    </xf>
    <xf numFmtId="1" fontId="7" fillId="4" borderId="15" xfId="0" applyNumberFormat="1" applyFont="1" applyFill="1" applyBorder="1" applyAlignment="1">
      <alignment horizontal="center" vertical="center"/>
    </xf>
    <xf numFmtId="1" fontId="7" fillId="4" borderId="16" xfId="0" applyNumberFormat="1" applyFont="1" applyFill="1" applyBorder="1" applyAlignment="1">
      <alignment horizontal="center" vertical="center"/>
    </xf>
    <xf numFmtId="2" fontId="7" fillId="4" borderId="47" xfId="1" applyNumberFormat="1" applyFont="1" applyFill="1" applyBorder="1" applyAlignment="1">
      <alignment horizontal="center" vertical="center" wrapText="1"/>
    </xf>
    <xf numFmtId="2" fontId="7" fillId="4" borderId="3" xfId="1" applyNumberFormat="1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1" fontId="7" fillId="6" borderId="2" xfId="0" applyNumberFormat="1" applyFont="1" applyFill="1" applyBorder="1" applyAlignment="1">
      <alignment horizontal="center" vertical="center"/>
    </xf>
    <xf numFmtId="1" fontId="7" fillId="10" borderId="2" xfId="0" applyNumberFormat="1" applyFont="1" applyFill="1" applyBorder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1" fontId="7" fillId="15" borderId="1" xfId="1" applyNumberFormat="1" applyFont="1" applyFill="1" applyBorder="1" applyAlignment="1">
      <alignment horizontal="center" vertical="center" wrapText="1"/>
    </xf>
    <xf numFmtId="1" fontId="7" fillId="16" borderId="1" xfId="1" applyNumberFormat="1" applyFont="1" applyFill="1" applyBorder="1" applyAlignment="1">
      <alignment horizontal="center" vertical="center" wrapText="1"/>
    </xf>
    <xf numFmtId="2" fontId="7" fillId="16" borderId="1" xfId="1" applyNumberFormat="1" applyFont="1" applyFill="1" applyBorder="1" applyAlignment="1">
      <alignment horizontal="center" vertical="center" wrapText="1"/>
    </xf>
    <xf numFmtId="1" fontId="7" fillId="15" borderId="2" xfId="0" applyNumberFormat="1" applyFont="1" applyFill="1" applyBorder="1" applyAlignment="1">
      <alignment horizontal="center" vertical="center"/>
    </xf>
    <xf numFmtId="2" fontId="7" fillId="5" borderId="1" xfId="1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/>
    </xf>
    <xf numFmtId="1" fontId="7" fillId="4" borderId="26" xfId="0" applyNumberFormat="1" applyFont="1" applyFill="1" applyBorder="1" applyAlignment="1">
      <alignment horizontal="center" vertical="center"/>
    </xf>
    <xf numFmtId="0" fontId="8" fillId="5" borderId="1" xfId="1" applyFont="1" applyFill="1" applyBorder="1" applyAlignment="1">
      <alignment vertical="center" wrapText="1"/>
    </xf>
    <xf numFmtId="49" fontId="8" fillId="5" borderId="1" xfId="1" applyNumberFormat="1" applyFont="1" applyFill="1" applyBorder="1" applyAlignment="1">
      <alignment horizontal="center" vertical="center" wrapText="1"/>
    </xf>
    <xf numFmtId="1" fontId="8" fillId="5" borderId="1" xfId="1" applyNumberFormat="1" applyFont="1" applyFill="1" applyBorder="1" applyAlignment="1">
      <alignment horizontal="center" vertical="center" wrapText="1"/>
    </xf>
    <xf numFmtId="1" fontId="8" fillId="5" borderId="1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4" borderId="1" xfId="1" applyFont="1" applyFill="1" applyBorder="1" applyAlignment="1">
      <alignment horizontal="center" vertical="center" wrapText="1"/>
    </xf>
    <xf numFmtId="1" fontId="8" fillId="4" borderId="1" xfId="1" applyNumberFormat="1" applyFont="1" applyFill="1" applyBorder="1" applyAlignment="1">
      <alignment horizontal="center" vertical="center" wrapText="1"/>
    </xf>
    <xf numFmtId="1" fontId="8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1" fontId="8" fillId="4" borderId="37" xfId="1" applyNumberFormat="1" applyFont="1" applyFill="1" applyBorder="1" applyAlignment="1">
      <alignment horizontal="center" vertical="center" wrapText="1"/>
    </xf>
    <xf numFmtId="1" fontId="8" fillId="4" borderId="7" xfId="1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8" fillId="4" borderId="35" xfId="0" applyFont="1" applyFill="1" applyBorder="1" applyAlignment="1">
      <alignment horizontal="center" vertical="center"/>
    </xf>
    <xf numFmtId="0" fontId="8" fillId="4" borderId="40" xfId="0" applyFont="1" applyFill="1" applyBorder="1" applyAlignment="1">
      <alignment horizontal="center" vertical="center"/>
    </xf>
    <xf numFmtId="49" fontId="8" fillId="4" borderId="35" xfId="1" applyNumberFormat="1" applyFont="1" applyFill="1" applyBorder="1" applyAlignment="1">
      <alignment horizontal="center" vertical="center" wrapText="1"/>
    </xf>
    <xf numFmtId="0" fontId="7" fillId="4" borderId="7" xfId="1" applyFont="1" applyFill="1" applyBorder="1" applyAlignment="1">
      <alignment horizontal="left" vertical="center" wrapText="1"/>
    </xf>
    <xf numFmtId="1" fontId="7" fillId="7" borderId="36" xfId="0" applyNumberFormat="1" applyFont="1" applyFill="1" applyBorder="1" applyAlignment="1">
      <alignment horizontal="center" vertical="center"/>
    </xf>
    <xf numFmtId="0" fontId="7" fillId="15" borderId="1" xfId="1" quotePrefix="1" applyFont="1" applyFill="1" applyBorder="1" applyAlignment="1">
      <alignment horizontal="center" vertical="center" wrapText="1"/>
    </xf>
    <xf numFmtId="1" fontId="7" fillId="4" borderId="1" xfId="1" quotePrefix="1" applyNumberFormat="1" applyFont="1" applyFill="1" applyBorder="1" applyAlignment="1">
      <alignment horizontal="center" vertical="center" wrapText="1"/>
    </xf>
    <xf numFmtId="1" fontId="7" fillId="15" borderId="1" xfId="0" quotePrefix="1" applyNumberFormat="1" applyFont="1" applyFill="1" applyBorder="1" applyAlignment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49" fontId="10" fillId="3" borderId="1" xfId="1" applyNumberFormat="1" applyFont="1" applyFill="1" applyBorder="1" applyAlignment="1">
      <alignment horizontal="center" vertical="center" wrapText="1"/>
    </xf>
    <xf numFmtId="1" fontId="10" fillId="3" borderId="1" xfId="1" applyNumberFormat="1" applyFont="1" applyFill="1" applyBorder="1" applyAlignment="1">
      <alignment horizontal="center" vertical="center" wrapText="1"/>
    </xf>
    <xf numFmtId="1" fontId="10" fillId="3" borderId="0" xfId="1" applyNumberFormat="1" applyFont="1" applyFill="1" applyAlignment="1">
      <alignment horizontal="center" vertical="center" wrapText="1"/>
    </xf>
    <xf numFmtId="0" fontId="10" fillId="3" borderId="2" xfId="1" applyFont="1" applyFill="1" applyBorder="1" applyAlignment="1">
      <alignment horizontal="center" vertical="center" wrapText="1"/>
    </xf>
    <xf numFmtId="0" fontId="9" fillId="14" borderId="1" xfId="0" applyFont="1" applyFill="1" applyBorder="1" applyAlignment="1">
      <alignment horizontal="center" vertical="center" wrapText="1"/>
    </xf>
    <xf numFmtId="0" fontId="10" fillId="14" borderId="1" xfId="0" applyFont="1" applyFill="1" applyBorder="1" applyAlignment="1">
      <alignment horizontal="center" vertical="center" wrapText="1"/>
    </xf>
    <xf numFmtId="0" fontId="10" fillId="14" borderId="1" xfId="0" applyFont="1" applyFill="1" applyBorder="1" applyAlignment="1">
      <alignment horizontal="center" vertical="center"/>
    </xf>
    <xf numFmtId="1" fontId="9" fillId="8" borderId="1" xfId="1" applyNumberFormat="1" applyFont="1" applyFill="1" applyBorder="1" applyAlignment="1">
      <alignment horizontal="center" vertical="center" wrapText="1"/>
    </xf>
    <xf numFmtId="164" fontId="9" fillId="8" borderId="1" xfId="3" applyNumberFormat="1" applyFont="1" applyFill="1" applyBorder="1" applyAlignment="1">
      <alignment horizontal="center" vertical="center" wrapText="1"/>
    </xf>
    <xf numFmtId="1" fontId="10" fillId="18" borderId="1" xfId="1" applyNumberFormat="1" applyFont="1" applyFill="1" applyBorder="1" applyAlignment="1">
      <alignment horizontal="center" vertical="center" wrapText="1"/>
    </xf>
    <xf numFmtId="1" fontId="10" fillId="8" borderId="2" xfId="1" applyNumberFormat="1" applyFont="1" applyFill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0" fontId="7" fillId="0" borderId="0" xfId="1" applyFont="1" applyAlignment="1">
      <alignment horizontal="center" vertical="center" wrapText="1"/>
    </xf>
    <xf numFmtId="49" fontId="7" fillId="0" borderId="0" xfId="1" applyNumberFormat="1" applyFont="1" applyAlignment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1" fontId="7" fillId="4" borderId="5" xfId="0" applyNumberFormat="1" applyFont="1" applyFill="1" applyBorder="1" applyAlignment="1">
      <alignment horizontal="center" vertical="center"/>
    </xf>
    <xf numFmtId="2" fontId="7" fillId="9" borderId="1" xfId="1" applyNumberFormat="1" applyFont="1" applyFill="1" applyBorder="1" applyAlignment="1">
      <alignment horizontal="center" vertical="center" wrapText="1"/>
    </xf>
    <xf numFmtId="2" fontId="7" fillId="0" borderId="1" xfId="0" applyNumberFormat="1" applyFont="1" applyBorder="1" applyAlignment="1">
      <alignment horizontal="center" vertical="center"/>
    </xf>
    <xf numFmtId="0" fontId="7" fillId="4" borderId="2" xfId="1" applyFont="1" applyFill="1" applyBorder="1" applyAlignment="1">
      <alignment vertical="center" wrapText="1"/>
    </xf>
    <xf numFmtId="0" fontId="7" fillId="5" borderId="2" xfId="1" applyFont="1" applyFill="1" applyBorder="1" applyAlignment="1">
      <alignment vertical="center" wrapText="1"/>
    </xf>
    <xf numFmtId="0" fontId="7" fillId="5" borderId="4" xfId="1" applyFont="1" applyFill="1" applyBorder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7" fillId="4" borderId="0" xfId="0" applyFont="1" applyFill="1" applyAlignment="1">
      <alignment horizontal="center" vertical="center"/>
    </xf>
    <xf numFmtId="1" fontId="7" fillId="4" borderId="0" xfId="1" applyNumberFormat="1" applyFont="1" applyFill="1" applyAlignment="1">
      <alignment horizontal="center" vertical="center" wrapText="1"/>
    </xf>
    <xf numFmtId="0" fontId="8" fillId="0" borderId="0" xfId="0" applyFont="1"/>
    <xf numFmtId="1" fontId="10" fillId="8" borderId="1" xfId="1" applyNumberFormat="1" applyFont="1" applyFill="1" applyBorder="1" applyAlignment="1">
      <alignment horizontal="center" vertical="center" wrapText="1"/>
    </xf>
    <xf numFmtId="1" fontId="11" fillId="0" borderId="0" xfId="1" applyNumberFormat="1" applyFont="1" applyAlignment="1">
      <alignment horizontal="center" vertical="center" wrapText="1"/>
    </xf>
    <xf numFmtId="2" fontId="7" fillId="0" borderId="0" xfId="1" applyNumberFormat="1" applyFont="1" applyAlignment="1">
      <alignment horizontal="center" vertical="center" wrapText="1"/>
    </xf>
    <xf numFmtId="0" fontId="7" fillId="9" borderId="1" xfId="1" applyFont="1" applyFill="1" applyBorder="1" applyAlignment="1">
      <alignment horizontal="center" vertical="center" wrapText="1"/>
    </xf>
    <xf numFmtId="49" fontId="11" fillId="9" borderId="1" xfId="1" applyNumberFormat="1" applyFont="1" applyFill="1" applyBorder="1" applyAlignment="1">
      <alignment horizontal="center" vertical="center" wrapText="1"/>
    </xf>
    <xf numFmtId="1" fontId="11" fillId="9" borderId="1" xfId="0" applyNumberFormat="1" applyFont="1" applyFill="1" applyBorder="1" applyAlignment="1">
      <alignment horizontal="center" vertical="center"/>
    </xf>
    <xf numFmtId="49" fontId="7" fillId="4" borderId="0" xfId="1" applyNumberFormat="1" applyFont="1" applyFill="1" applyAlignment="1">
      <alignment horizontal="center" vertical="center" wrapText="1"/>
    </xf>
    <xf numFmtId="1" fontId="7" fillId="7" borderId="0" xfId="0" applyNumberFormat="1" applyFont="1" applyFill="1" applyAlignment="1">
      <alignment horizontal="center" vertical="center"/>
    </xf>
    <xf numFmtId="2" fontId="7" fillId="4" borderId="0" xfId="1" applyNumberFormat="1" applyFont="1" applyFill="1" applyAlignment="1">
      <alignment horizontal="center" vertical="center" wrapText="1"/>
    </xf>
    <xf numFmtId="2" fontId="11" fillId="9" borderId="1" xfId="0" applyNumberFormat="1" applyFont="1" applyFill="1" applyBorder="1" applyAlignment="1">
      <alignment horizontal="center" vertical="center"/>
    </xf>
    <xf numFmtId="165" fontId="11" fillId="9" borderId="1" xfId="0" applyNumberFormat="1" applyFont="1" applyFill="1" applyBorder="1" applyAlignment="1">
      <alignment horizontal="center" vertical="center"/>
    </xf>
    <xf numFmtId="49" fontId="11" fillId="0" borderId="0" xfId="1" applyNumberFormat="1" applyFont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3" applyNumberFormat="1" applyFont="1" applyAlignment="1">
      <alignment horizontal="center" vertical="center"/>
    </xf>
    <xf numFmtId="0" fontId="7" fillId="5" borderId="1" xfId="0" applyFont="1" applyFill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7" fillId="4" borderId="3" xfId="1" applyFont="1" applyFill="1" applyBorder="1" applyAlignment="1">
      <alignment vertical="center" wrapText="1"/>
    </xf>
    <xf numFmtId="0" fontId="7" fillId="4" borderId="4" xfId="1" applyFont="1" applyFill="1" applyBorder="1" applyAlignment="1">
      <alignment vertical="center" wrapText="1"/>
    </xf>
    <xf numFmtId="1" fontId="7" fillId="20" borderId="7" xfId="1" applyNumberFormat="1" applyFont="1" applyFill="1" applyBorder="1" applyAlignment="1">
      <alignment horizontal="center" vertical="center" wrapText="1"/>
    </xf>
    <xf numFmtId="164" fontId="9" fillId="8" borderId="2" xfId="3" applyNumberFormat="1" applyFont="1" applyFill="1" applyBorder="1" applyAlignment="1">
      <alignment horizontal="center" vertical="center" wrapText="1"/>
    </xf>
    <xf numFmtId="164" fontId="8" fillId="3" borderId="37" xfId="3" applyNumberFormat="1" applyFont="1" applyFill="1" applyBorder="1" applyAlignment="1">
      <alignment horizontal="center" vertical="center"/>
    </xf>
    <xf numFmtId="164" fontId="8" fillId="3" borderId="39" xfId="3" applyNumberFormat="1" applyFont="1" applyFill="1" applyBorder="1" applyAlignment="1">
      <alignment horizontal="center" vertical="center"/>
    </xf>
    <xf numFmtId="1" fontId="11" fillId="9" borderId="7" xfId="1" applyNumberFormat="1" applyFont="1" applyFill="1" applyBorder="1" applyAlignment="1">
      <alignment horizontal="center" vertical="center" wrapText="1"/>
    </xf>
    <xf numFmtId="0" fontId="7" fillId="9" borderId="4" xfId="1" applyFont="1" applyFill="1" applyBorder="1" applyAlignment="1">
      <alignment horizontal="center" vertical="center" wrapText="1"/>
    </xf>
    <xf numFmtId="49" fontId="11" fillId="9" borderId="4" xfId="1" applyNumberFormat="1" applyFont="1" applyFill="1" applyBorder="1" applyAlignment="1">
      <alignment horizontal="center" vertical="center" wrapText="1"/>
    </xf>
    <xf numFmtId="0" fontId="7" fillId="4" borderId="9" xfId="1" applyFont="1" applyFill="1" applyBorder="1" applyAlignment="1">
      <alignment horizontal="center" vertical="center" wrapText="1"/>
    </xf>
    <xf numFmtId="0" fontId="7" fillId="4" borderId="10" xfId="1" applyFont="1" applyFill="1" applyBorder="1" applyAlignment="1">
      <alignment horizontal="center" vertical="center" wrapText="1"/>
    </xf>
    <xf numFmtId="49" fontId="7" fillId="15" borderId="11" xfId="1" applyNumberFormat="1" applyFont="1" applyFill="1" applyBorder="1" applyAlignment="1">
      <alignment horizontal="center" vertical="center" wrapText="1"/>
    </xf>
    <xf numFmtId="0" fontId="7" fillId="4" borderId="12" xfId="1" applyFont="1" applyFill="1" applyBorder="1" applyAlignment="1">
      <alignment horizontal="center" vertical="center" wrapText="1"/>
    </xf>
    <xf numFmtId="0" fontId="7" fillId="4" borderId="14" xfId="1" applyFont="1" applyFill="1" applyBorder="1" applyAlignment="1">
      <alignment horizontal="center" vertical="center" wrapText="1"/>
    </xf>
    <xf numFmtId="0" fontId="7" fillId="4" borderId="15" xfId="1" applyFont="1" applyFill="1" applyBorder="1" applyAlignment="1">
      <alignment horizontal="center" vertical="center" wrapText="1"/>
    </xf>
    <xf numFmtId="49" fontId="7" fillId="15" borderId="16" xfId="1" applyNumberFormat="1" applyFont="1" applyFill="1" applyBorder="1" applyAlignment="1">
      <alignment horizontal="center" vertical="center" wrapText="1"/>
    </xf>
    <xf numFmtId="1" fontId="7" fillId="5" borderId="7" xfId="1" applyNumberFormat="1" applyFont="1" applyFill="1" applyBorder="1" applyAlignment="1">
      <alignment horizontal="center" vertical="center" wrapText="1"/>
    </xf>
    <xf numFmtId="0" fontId="7" fillId="5" borderId="9" xfId="1" applyFont="1" applyFill="1" applyBorder="1" applyAlignment="1">
      <alignment horizontal="center" vertical="center" wrapText="1"/>
    </xf>
    <xf numFmtId="0" fontId="7" fillId="5" borderId="10" xfId="1" applyFont="1" applyFill="1" applyBorder="1" applyAlignment="1">
      <alignment horizontal="center" vertical="center" wrapText="1"/>
    </xf>
    <xf numFmtId="49" fontId="7" fillId="5" borderId="11" xfId="1" applyNumberFormat="1" applyFont="1" applyFill="1" applyBorder="1" applyAlignment="1">
      <alignment horizontal="center" vertical="center" wrapText="1"/>
    </xf>
    <xf numFmtId="0" fontId="7" fillId="5" borderId="12" xfId="1" applyFont="1" applyFill="1" applyBorder="1" applyAlignment="1">
      <alignment horizontal="center" vertical="center" wrapText="1"/>
    </xf>
    <xf numFmtId="49" fontId="7" fillId="5" borderId="13" xfId="1" applyNumberFormat="1" applyFont="1" applyFill="1" applyBorder="1" applyAlignment="1">
      <alignment horizontal="center" vertical="center" wrapText="1"/>
    </xf>
    <xf numFmtId="0" fontId="7" fillId="5" borderId="14" xfId="1" applyFont="1" applyFill="1" applyBorder="1" applyAlignment="1">
      <alignment horizontal="center" vertical="center" wrapText="1"/>
    </xf>
    <xf numFmtId="0" fontId="7" fillId="5" borderId="15" xfId="1" applyFont="1" applyFill="1" applyBorder="1" applyAlignment="1">
      <alignment horizontal="center" vertical="center" wrapText="1"/>
    </xf>
    <xf numFmtId="49" fontId="7" fillId="5" borderId="16" xfId="1" applyNumberFormat="1" applyFont="1" applyFill="1" applyBorder="1" applyAlignment="1">
      <alignment horizontal="center" vertical="center" wrapText="1"/>
    </xf>
    <xf numFmtId="0" fontId="7" fillId="5" borderId="10" xfId="1" applyFont="1" applyFill="1" applyBorder="1" applyAlignment="1">
      <alignment horizontal="left" vertical="center" wrapText="1"/>
    </xf>
    <xf numFmtId="0" fontId="7" fillId="5" borderId="15" xfId="1" applyFont="1" applyFill="1" applyBorder="1" applyAlignment="1">
      <alignment horizontal="left" vertical="center" wrapText="1"/>
    </xf>
    <xf numFmtId="1" fontId="7" fillId="0" borderId="7" xfId="1" applyNumberFormat="1" applyFont="1" applyBorder="1" applyAlignment="1">
      <alignment horizontal="center" vertical="center" wrapText="1"/>
    </xf>
    <xf numFmtId="1" fontId="8" fillId="5" borderId="7" xfId="1" applyNumberFormat="1" applyFont="1" applyFill="1" applyBorder="1" applyAlignment="1">
      <alignment horizontal="center" vertical="center" wrapText="1"/>
    </xf>
    <xf numFmtId="0" fontId="8" fillId="5" borderId="4" xfId="1" applyFont="1" applyFill="1" applyBorder="1" applyAlignment="1">
      <alignment horizontal="center" vertical="center" wrapText="1"/>
    </xf>
    <xf numFmtId="49" fontId="8" fillId="5" borderId="4" xfId="0" applyNumberFormat="1" applyFont="1" applyFill="1" applyBorder="1" applyAlignment="1">
      <alignment horizontal="center" vertical="center"/>
    </xf>
    <xf numFmtId="0" fontId="8" fillId="5" borderId="9" xfId="1" applyFont="1" applyFill="1" applyBorder="1" applyAlignment="1">
      <alignment horizontal="center" vertical="center" wrapText="1"/>
    </xf>
    <xf numFmtId="0" fontId="8" fillId="5" borderId="10" xfId="1" applyFont="1" applyFill="1" applyBorder="1" applyAlignment="1">
      <alignment horizontal="center" vertical="center" wrapText="1"/>
    </xf>
    <xf numFmtId="49" fontId="8" fillId="5" borderId="11" xfId="1" applyNumberFormat="1" applyFont="1" applyFill="1" applyBorder="1" applyAlignment="1">
      <alignment horizontal="center" vertical="center" wrapText="1"/>
    </xf>
    <xf numFmtId="0" fontId="8" fillId="5" borderId="12" xfId="1" applyFont="1" applyFill="1" applyBorder="1" applyAlignment="1">
      <alignment horizontal="center" vertical="center" wrapText="1"/>
    </xf>
    <xf numFmtId="49" fontId="8" fillId="5" borderId="13" xfId="1" applyNumberFormat="1" applyFont="1" applyFill="1" applyBorder="1" applyAlignment="1">
      <alignment horizontal="center" vertical="center" wrapText="1"/>
    </xf>
    <xf numFmtId="0" fontId="8" fillId="5" borderId="14" xfId="1" applyFont="1" applyFill="1" applyBorder="1" applyAlignment="1">
      <alignment horizontal="center" vertical="center" wrapText="1"/>
    </xf>
    <xf numFmtId="0" fontId="8" fillId="5" borderId="15" xfId="1" applyFont="1" applyFill="1" applyBorder="1" applyAlignment="1">
      <alignment horizontal="center" vertical="center" wrapText="1"/>
    </xf>
    <xf numFmtId="49" fontId="8" fillId="5" borderId="16" xfId="1" applyNumberFormat="1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/>
    </xf>
    <xf numFmtId="49" fontId="8" fillId="15" borderId="4" xfId="0" applyNumberFormat="1" applyFont="1" applyFill="1" applyBorder="1" applyAlignment="1">
      <alignment horizontal="center" vertical="center"/>
    </xf>
    <xf numFmtId="0" fontId="8" fillId="4" borderId="10" xfId="1" applyFont="1" applyFill="1" applyBorder="1" applyAlignment="1">
      <alignment horizontal="center" vertical="center" wrapText="1"/>
    </xf>
    <xf numFmtId="49" fontId="8" fillId="15" borderId="11" xfId="1" applyNumberFormat="1" applyFont="1" applyFill="1" applyBorder="1" applyAlignment="1">
      <alignment horizontal="center" vertical="center" wrapText="1"/>
    </xf>
    <xf numFmtId="49" fontId="8" fillId="15" borderId="13" xfId="1" applyNumberFormat="1" applyFont="1" applyFill="1" applyBorder="1" applyAlignment="1">
      <alignment horizontal="center" vertical="center" wrapText="1"/>
    </xf>
    <xf numFmtId="0" fontId="8" fillId="4" borderId="15" xfId="1" applyFont="1" applyFill="1" applyBorder="1" applyAlignment="1">
      <alignment horizontal="center" vertical="center" wrapText="1"/>
    </xf>
    <xf numFmtId="49" fontId="8" fillId="15" borderId="16" xfId="1" applyNumberFormat="1" applyFont="1" applyFill="1" applyBorder="1" applyAlignment="1">
      <alignment horizontal="center" vertical="center" wrapText="1"/>
    </xf>
    <xf numFmtId="1" fontId="7" fillId="20" borderId="1" xfId="1" applyNumberFormat="1" applyFont="1" applyFill="1" applyBorder="1" applyAlignment="1">
      <alignment horizontal="center" vertical="center" wrapText="1"/>
    </xf>
    <xf numFmtId="0" fontId="10" fillId="3" borderId="3" xfId="1" applyFont="1" applyFill="1" applyBorder="1" applyAlignment="1">
      <alignment horizontal="center" vertical="center" wrapText="1"/>
    </xf>
    <xf numFmtId="1" fontId="10" fillId="8" borderId="36" xfId="1" applyNumberFormat="1" applyFont="1" applyFill="1" applyBorder="1" applyAlignment="1">
      <alignment horizontal="center" vertical="center" wrapText="1"/>
    </xf>
    <xf numFmtId="1" fontId="10" fillId="8" borderId="26" xfId="1" applyNumberFormat="1" applyFont="1" applyFill="1" applyBorder="1" applyAlignment="1">
      <alignment horizontal="center" vertical="center" wrapText="1"/>
    </xf>
    <xf numFmtId="1" fontId="10" fillId="14" borderId="36" xfId="1" applyNumberFormat="1" applyFont="1" applyFill="1" applyBorder="1" applyAlignment="1">
      <alignment horizontal="center" vertical="center" wrapText="1"/>
    </xf>
    <xf numFmtId="1" fontId="10" fillId="14" borderId="26" xfId="1" applyNumberFormat="1" applyFont="1" applyFill="1" applyBorder="1" applyAlignment="1">
      <alignment horizontal="center" vertical="center" wrapText="1"/>
    </xf>
    <xf numFmtId="1" fontId="10" fillId="8" borderId="25" xfId="1" applyNumberFormat="1" applyFont="1" applyFill="1" applyBorder="1" applyAlignment="1">
      <alignment horizontal="center" vertical="center" wrapText="1"/>
    </xf>
    <xf numFmtId="1" fontId="10" fillId="14" borderId="25" xfId="1" applyNumberFormat="1" applyFont="1" applyFill="1" applyBorder="1" applyAlignment="1">
      <alignment horizontal="center" vertical="center" wrapText="1"/>
    </xf>
    <xf numFmtId="0" fontId="8" fillId="3" borderId="1" xfId="0" quotePrefix="1" applyFont="1" applyFill="1" applyBorder="1" applyAlignment="1">
      <alignment horizontal="center" vertical="center"/>
    </xf>
    <xf numFmtId="0" fontId="7" fillId="4" borderId="26" xfId="1" applyFont="1" applyFill="1" applyBorder="1" applyAlignment="1">
      <alignment horizontal="left" vertical="center" wrapText="1"/>
    </xf>
    <xf numFmtId="0" fontId="7" fillId="4" borderId="29" xfId="1" applyFont="1" applyFill="1" applyBorder="1" applyAlignment="1">
      <alignment horizontal="left" vertical="center" wrapText="1"/>
    </xf>
    <xf numFmtId="0" fontId="5" fillId="4" borderId="1" xfId="1" applyFont="1" applyFill="1" applyBorder="1" applyAlignment="1">
      <alignment horizontal="left" vertical="center" wrapText="1"/>
    </xf>
    <xf numFmtId="49" fontId="7" fillId="15" borderId="2" xfId="1" applyNumberFormat="1" applyFont="1" applyFill="1" applyBorder="1" applyAlignment="1">
      <alignment horizontal="center" vertical="center" wrapText="1"/>
    </xf>
    <xf numFmtId="49" fontId="7" fillId="15" borderId="4" xfId="1" applyNumberFormat="1" applyFont="1" applyFill="1" applyBorder="1" applyAlignment="1">
      <alignment horizontal="center" vertical="center" wrapText="1"/>
    </xf>
    <xf numFmtId="0" fontId="7" fillId="4" borderId="52" xfId="1" applyFont="1" applyFill="1" applyBorder="1" applyAlignment="1">
      <alignment horizontal="center" vertical="center" wrapText="1"/>
    </xf>
    <xf numFmtId="0" fontId="7" fillId="4" borderId="53" xfId="1" applyFont="1" applyFill="1" applyBorder="1" applyAlignment="1">
      <alignment horizontal="left" vertical="center" wrapText="1"/>
    </xf>
    <xf numFmtId="0" fontId="7" fillId="4" borderId="53" xfId="1" applyFont="1" applyFill="1" applyBorder="1" applyAlignment="1">
      <alignment horizontal="center" vertical="center" wrapText="1"/>
    </xf>
    <xf numFmtId="49" fontId="7" fillId="15" borderId="54" xfId="1" applyNumberFormat="1" applyFont="1" applyFill="1" applyBorder="1" applyAlignment="1">
      <alignment horizontal="center" vertical="center" wrapText="1"/>
    </xf>
    <xf numFmtId="0" fontId="7" fillId="5" borderId="52" xfId="1" applyFont="1" applyFill="1" applyBorder="1" applyAlignment="1">
      <alignment horizontal="center" vertical="center" wrapText="1"/>
    </xf>
    <xf numFmtId="0" fontId="7" fillId="5" borderId="53" xfId="1" applyFont="1" applyFill="1" applyBorder="1" applyAlignment="1">
      <alignment vertical="center" wrapText="1"/>
    </xf>
    <xf numFmtId="0" fontId="8" fillId="4" borderId="2" xfId="1" applyFont="1" applyFill="1" applyBorder="1" applyAlignment="1">
      <alignment horizontal="center" vertical="center" wrapText="1"/>
    </xf>
    <xf numFmtId="49" fontId="8" fillId="15" borderId="2" xfId="0" applyNumberFormat="1" applyFont="1" applyFill="1" applyBorder="1" applyAlignment="1">
      <alignment horizontal="center" vertical="center"/>
    </xf>
    <xf numFmtId="0" fontId="8" fillId="4" borderId="52" xfId="1" applyFont="1" applyFill="1" applyBorder="1" applyAlignment="1">
      <alignment horizontal="center" vertical="center" wrapText="1"/>
    </xf>
    <xf numFmtId="0" fontId="8" fillId="4" borderId="53" xfId="1" applyFont="1" applyFill="1" applyBorder="1" applyAlignment="1">
      <alignment vertical="center" wrapText="1"/>
    </xf>
    <xf numFmtId="0" fontId="8" fillId="4" borderId="53" xfId="1" applyFont="1" applyFill="1" applyBorder="1" applyAlignment="1">
      <alignment horizontal="center" vertical="center" wrapText="1"/>
    </xf>
    <xf numFmtId="49" fontId="8" fillId="15" borderId="54" xfId="1" applyNumberFormat="1" applyFont="1" applyFill="1" applyBorder="1" applyAlignment="1">
      <alignment horizontal="center" vertical="center" wrapText="1"/>
    </xf>
    <xf numFmtId="49" fontId="7" fillId="15" borderId="37" xfId="1" applyNumberFormat="1" applyFont="1" applyFill="1" applyBorder="1" applyAlignment="1">
      <alignment horizontal="center" vertical="center" wrapText="1"/>
    </xf>
    <xf numFmtId="49" fontId="7" fillId="15" borderId="58" xfId="1" applyNumberFormat="1" applyFont="1" applyFill="1" applyBorder="1" applyAlignment="1">
      <alignment horizontal="center" vertical="center" wrapText="1"/>
    </xf>
    <xf numFmtId="49" fontId="7" fillId="15" borderId="39" xfId="1" applyNumberFormat="1" applyFont="1" applyFill="1" applyBorder="1" applyAlignment="1">
      <alignment horizontal="center" vertical="center" wrapText="1"/>
    </xf>
    <xf numFmtId="0" fontId="7" fillId="4" borderId="59" xfId="1" applyFont="1" applyFill="1" applyBorder="1" applyAlignment="1">
      <alignment horizontal="center" vertical="center" wrapText="1"/>
    </xf>
    <xf numFmtId="0" fontId="7" fillId="6" borderId="8" xfId="1" applyFont="1" applyFill="1" applyBorder="1" applyAlignment="1">
      <alignment horizontal="center" vertical="center" wrapText="1"/>
    </xf>
    <xf numFmtId="0" fontId="8" fillId="5" borderId="5" xfId="1" applyFont="1" applyFill="1" applyBorder="1" applyAlignment="1">
      <alignment horizontal="left" vertical="center" wrapText="1"/>
    </xf>
    <xf numFmtId="49" fontId="8" fillId="5" borderId="2" xfId="1" applyNumberFormat="1" applyFont="1" applyFill="1" applyBorder="1" applyAlignment="1">
      <alignment horizontal="center" vertical="center" wrapText="1"/>
    </xf>
    <xf numFmtId="0" fontId="8" fillId="4" borderId="36" xfId="1" applyFont="1" applyFill="1" applyBorder="1" applyAlignment="1">
      <alignment vertical="center" wrapText="1"/>
    </xf>
    <xf numFmtId="0" fontId="8" fillId="4" borderId="49" xfId="1" applyFont="1" applyFill="1" applyBorder="1" applyAlignment="1">
      <alignment vertical="center" wrapText="1"/>
    </xf>
    <xf numFmtId="0" fontId="8" fillId="4" borderId="55" xfId="1" applyFont="1" applyFill="1" applyBorder="1" applyAlignment="1">
      <alignment vertical="center" wrapText="1"/>
    </xf>
    <xf numFmtId="0" fontId="8" fillId="4" borderId="15" xfId="0" applyFont="1" applyFill="1" applyBorder="1" applyAlignment="1">
      <alignment horizontal="center" vertical="center"/>
    </xf>
    <xf numFmtId="49" fontId="8" fillId="15" borderId="16" xfId="0" applyNumberFormat="1" applyFont="1" applyFill="1" applyBorder="1" applyAlignment="1">
      <alignment horizontal="center" vertical="center"/>
    </xf>
    <xf numFmtId="0" fontId="7" fillId="5" borderId="5" xfId="1" applyFont="1" applyFill="1" applyBorder="1" applyAlignment="1">
      <alignment horizontal="left" vertical="center" wrapText="1"/>
    </xf>
    <xf numFmtId="164" fontId="8" fillId="3" borderId="58" xfId="3" applyNumberFormat="1" applyFont="1" applyFill="1" applyBorder="1" applyAlignment="1">
      <alignment horizontal="center" vertical="center"/>
    </xf>
    <xf numFmtId="0" fontId="7" fillId="4" borderId="56" xfId="1" applyFont="1" applyFill="1" applyBorder="1" applyAlignment="1">
      <alignment horizontal="center" vertical="center" wrapText="1"/>
    </xf>
    <xf numFmtId="2" fontId="10" fillId="18" borderId="1" xfId="1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49" fontId="8" fillId="0" borderId="0" xfId="1" applyNumberFormat="1" applyFont="1" applyAlignment="1">
      <alignment horizontal="center" vertical="center" wrapText="1"/>
    </xf>
    <xf numFmtId="1" fontId="8" fillId="0" borderId="1" xfId="1" applyNumberFormat="1" applyFont="1" applyBorder="1" applyAlignment="1">
      <alignment horizontal="center" vertical="center" wrapText="1"/>
    </xf>
    <xf numFmtId="164" fontId="8" fillId="0" borderId="1" xfId="3" applyNumberFormat="1" applyFont="1" applyFill="1" applyBorder="1" applyAlignment="1">
      <alignment horizontal="center" vertical="center" wrapText="1"/>
    </xf>
    <xf numFmtId="0" fontId="8" fillId="0" borderId="1" xfId="1" applyFont="1" applyBorder="1" applyAlignment="1">
      <alignment horizontal="center" vertical="center" wrapText="1"/>
    </xf>
    <xf numFmtId="49" fontId="8" fillId="0" borderId="1" xfId="1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/>
    </xf>
    <xf numFmtId="164" fontId="3" fillId="0" borderId="1" xfId="3" applyNumberFormat="1" applyFont="1" applyFill="1" applyBorder="1" applyAlignment="1">
      <alignment horizontal="center" vertical="center"/>
    </xf>
    <xf numFmtId="164" fontId="3" fillId="0" borderId="1" xfId="3" applyNumberFormat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49" fontId="7" fillId="15" borderId="38" xfId="1" applyNumberFormat="1" applyFont="1" applyFill="1" applyBorder="1" applyAlignment="1">
      <alignment horizontal="center" vertical="center" wrapText="1"/>
    </xf>
    <xf numFmtId="0" fontId="7" fillId="4" borderId="61" xfId="1" applyFont="1" applyFill="1" applyBorder="1" applyAlignment="1">
      <alignment horizontal="center" vertical="center" wrapText="1"/>
    </xf>
    <xf numFmtId="49" fontId="7" fillId="15" borderId="60" xfId="1" applyNumberFormat="1" applyFont="1" applyFill="1" applyBorder="1" applyAlignment="1">
      <alignment horizontal="center" vertical="center" wrapText="1"/>
    </xf>
    <xf numFmtId="49" fontId="7" fillId="15" borderId="62" xfId="1" applyNumberFormat="1" applyFont="1" applyFill="1" applyBorder="1" applyAlignment="1">
      <alignment horizontal="center" vertical="center" wrapText="1"/>
    </xf>
    <xf numFmtId="49" fontId="7" fillId="15" borderId="58" xfId="0" applyNumberFormat="1" applyFont="1" applyFill="1" applyBorder="1" applyAlignment="1">
      <alignment horizontal="center" vertical="center"/>
    </xf>
    <xf numFmtId="49" fontId="7" fillId="3" borderId="58" xfId="0" applyNumberFormat="1" applyFont="1" applyFill="1" applyBorder="1" applyAlignment="1">
      <alignment horizontal="center" vertical="center"/>
    </xf>
    <xf numFmtId="0" fontId="7" fillId="5" borderId="3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49" fontId="7" fillId="5" borderId="1" xfId="0" applyNumberFormat="1" applyFont="1" applyFill="1" applyBorder="1" applyAlignment="1">
      <alignment horizontal="center" vertical="center"/>
    </xf>
    <xf numFmtId="164" fontId="8" fillId="9" borderId="1" xfId="3" applyNumberFormat="1" applyFont="1" applyFill="1" applyBorder="1" applyAlignment="1">
      <alignment horizontal="center" vertical="center"/>
    </xf>
    <xf numFmtId="1" fontId="9" fillId="8" borderId="2" xfId="1" applyNumberFormat="1" applyFont="1" applyFill="1" applyBorder="1" applyAlignment="1">
      <alignment horizontal="center" vertical="center" wrapText="1"/>
    </xf>
    <xf numFmtId="0" fontId="8" fillId="4" borderId="1" xfId="1" applyFont="1" applyFill="1" applyBorder="1" applyAlignment="1">
      <alignment vertical="center" wrapText="1"/>
    </xf>
    <xf numFmtId="49" fontId="8" fillId="15" borderId="1" xfId="1" applyNumberFormat="1" applyFont="1" applyFill="1" applyBorder="1" applyAlignment="1">
      <alignment horizontal="center" vertical="center" wrapText="1"/>
    </xf>
    <xf numFmtId="49" fontId="8" fillId="15" borderId="1" xfId="0" applyNumberFormat="1" applyFont="1" applyFill="1" applyBorder="1" applyAlignment="1">
      <alignment horizontal="center" vertical="center"/>
    </xf>
    <xf numFmtId="164" fontId="8" fillId="19" borderId="1" xfId="3" applyNumberFormat="1" applyFont="1" applyFill="1" applyBorder="1" applyAlignment="1">
      <alignment horizontal="center" vertical="center"/>
    </xf>
    <xf numFmtId="0" fontId="7" fillId="22" borderId="1" xfId="1" applyFont="1" applyFill="1" applyBorder="1" applyAlignment="1">
      <alignment horizontal="center" vertical="center" wrapText="1"/>
    </xf>
    <xf numFmtId="49" fontId="7" fillId="22" borderId="1" xfId="1" applyNumberFormat="1" applyFont="1" applyFill="1" applyBorder="1" applyAlignment="1">
      <alignment horizontal="center" vertical="center" wrapText="1"/>
    </xf>
    <xf numFmtId="1" fontId="7" fillId="22" borderId="1" xfId="1" applyNumberFormat="1" applyFont="1" applyFill="1" applyBorder="1" applyAlignment="1">
      <alignment horizontal="center" vertical="center" wrapText="1"/>
    </xf>
    <xf numFmtId="164" fontId="8" fillId="3" borderId="63" xfId="3" applyNumberFormat="1" applyFont="1" applyFill="1" applyBorder="1" applyAlignment="1">
      <alignment horizontal="center" vertical="center"/>
    </xf>
    <xf numFmtId="164" fontId="8" fillId="9" borderId="47" xfId="3" applyNumberFormat="1" applyFont="1" applyFill="1" applyBorder="1" applyAlignment="1">
      <alignment horizontal="center" vertical="center"/>
    </xf>
    <xf numFmtId="0" fontId="7" fillId="22" borderId="1" xfId="1" applyFont="1" applyFill="1" applyBorder="1" applyAlignment="1">
      <alignment horizontal="left" vertical="center" wrapText="1"/>
    </xf>
    <xf numFmtId="1" fontId="7" fillId="22" borderId="1" xfId="0" applyNumberFormat="1" applyFont="1" applyFill="1" applyBorder="1" applyAlignment="1">
      <alignment horizontal="center" vertical="center"/>
    </xf>
    <xf numFmtId="49" fontId="7" fillId="6" borderId="13" xfId="1" applyNumberFormat="1" applyFont="1" applyFill="1" applyBorder="1" applyAlignment="1">
      <alignment horizontal="center" vertical="center" wrapText="1"/>
    </xf>
    <xf numFmtId="49" fontId="7" fillId="6" borderId="58" xfId="1" applyNumberFormat="1" applyFont="1" applyFill="1" applyBorder="1" applyAlignment="1">
      <alignment horizontal="center" vertical="center" wrapText="1"/>
    </xf>
    <xf numFmtId="49" fontId="7" fillId="6" borderId="37" xfId="1" applyNumberFormat="1" applyFont="1" applyFill="1" applyBorder="1" applyAlignment="1">
      <alignment horizontal="center" vertical="center" wrapText="1"/>
    </xf>
    <xf numFmtId="49" fontId="7" fillId="6" borderId="57" xfId="1" applyNumberFormat="1" applyFont="1" applyFill="1" applyBorder="1" applyAlignment="1">
      <alignment horizontal="center" vertical="center" wrapText="1"/>
    </xf>
    <xf numFmtId="49" fontId="7" fillId="6" borderId="16" xfId="1" applyNumberFormat="1" applyFont="1" applyFill="1" applyBorder="1" applyAlignment="1">
      <alignment horizontal="center" vertical="center" wrapText="1"/>
    </xf>
    <xf numFmtId="49" fontId="7" fillId="6" borderId="39" xfId="1" applyNumberFormat="1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vertical="center" wrapText="1"/>
    </xf>
    <xf numFmtId="164" fontId="4" fillId="8" borderId="1" xfId="3" applyNumberFormat="1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vertical="center" wrapText="1"/>
    </xf>
    <xf numFmtId="0" fontId="5" fillId="4" borderId="1" xfId="1" applyFont="1" applyFill="1" applyBorder="1" applyAlignment="1">
      <alignment horizontal="center" vertical="center" wrapText="1"/>
    </xf>
    <xf numFmtId="49" fontId="5" fillId="15" borderId="1" xfId="1" applyNumberFormat="1" applyFont="1" applyFill="1" applyBorder="1" applyAlignment="1">
      <alignment horizontal="center" vertical="center" wrapText="1"/>
    </xf>
    <xf numFmtId="164" fontId="3" fillId="15" borderId="1" xfId="3" applyNumberFormat="1" applyFont="1" applyFill="1" applyBorder="1" applyAlignment="1">
      <alignment horizontal="center" vertical="center"/>
    </xf>
    <xf numFmtId="164" fontId="5" fillId="19" borderId="1" xfId="0" applyNumberFormat="1" applyFont="1" applyFill="1" applyBorder="1" applyAlignment="1">
      <alignment horizontal="center" vertical="center"/>
    </xf>
    <xf numFmtId="9" fontId="5" fillId="19" borderId="1" xfId="0" applyNumberFormat="1" applyFont="1" applyFill="1" applyBorder="1" applyAlignment="1">
      <alignment horizontal="center" vertical="center"/>
    </xf>
    <xf numFmtId="43" fontId="5" fillId="19" borderId="1" xfId="0" applyNumberFormat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 wrapText="1"/>
    </xf>
    <xf numFmtId="49" fontId="16" fillId="9" borderId="1" xfId="1" applyNumberFormat="1" applyFont="1" applyFill="1" applyBorder="1" applyAlignment="1">
      <alignment horizontal="center" vertical="center" wrapText="1"/>
    </xf>
    <xf numFmtId="1" fontId="16" fillId="9" borderId="1" xfId="0" applyNumberFormat="1" applyFont="1" applyFill="1" applyBorder="1" applyAlignment="1">
      <alignment horizontal="center" vertical="center"/>
    </xf>
    <xf numFmtId="0" fontId="12" fillId="19" borderId="28" xfId="0" applyFont="1" applyFill="1" applyBorder="1" applyAlignment="1">
      <alignment vertical="center" wrapText="1"/>
    </xf>
    <xf numFmtId="0" fontId="12" fillId="19" borderId="29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vertical="center" wrapText="1"/>
    </xf>
    <xf numFmtId="164" fontId="8" fillId="15" borderId="1" xfId="3" applyNumberFormat="1" applyFont="1" applyFill="1" applyBorder="1" applyAlignment="1">
      <alignment horizontal="center" vertical="center"/>
    </xf>
    <xf numFmtId="164" fontId="7" fillId="19" borderId="1" xfId="0" applyNumberFormat="1" applyFont="1" applyFill="1" applyBorder="1" applyAlignment="1">
      <alignment horizontal="center" vertical="center"/>
    </xf>
    <xf numFmtId="9" fontId="7" fillId="19" borderId="1" xfId="0" applyNumberFormat="1" applyFont="1" applyFill="1" applyBorder="1" applyAlignment="1">
      <alignment horizontal="center" vertical="center"/>
    </xf>
    <xf numFmtId="43" fontId="7" fillId="19" borderId="1" xfId="0" applyNumberFormat="1" applyFont="1" applyFill="1" applyBorder="1" applyAlignment="1">
      <alignment horizontal="center" vertical="center"/>
    </xf>
    <xf numFmtId="2" fontId="7" fillId="5" borderId="1" xfId="0" applyNumberFormat="1" applyFont="1" applyFill="1" applyBorder="1" applyAlignment="1">
      <alignment horizontal="center" vertical="center"/>
    </xf>
    <xf numFmtId="0" fontId="7" fillId="5" borderId="64" xfId="1" applyFont="1" applyFill="1" applyBorder="1" applyAlignment="1">
      <alignment horizontal="center" vertical="center" wrapText="1"/>
    </xf>
    <xf numFmtId="49" fontId="7" fillId="15" borderId="1" xfId="0" applyNumberFormat="1" applyFont="1" applyFill="1" applyBorder="1" applyAlignment="1">
      <alignment horizontal="center" vertical="center"/>
    </xf>
    <xf numFmtId="1" fontId="10" fillId="14" borderId="8" xfId="1" applyNumberFormat="1" applyFont="1" applyFill="1" applyBorder="1" applyAlignment="1">
      <alignment horizontal="center" vertical="center" wrapText="1"/>
    </xf>
    <xf numFmtId="1" fontId="10" fillId="8" borderId="8" xfId="1" applyNumberFormat="1" applyFont="1" applyFill="1" applyBorder="1" applyAlignment="1">
      <alignment horizontal="center" vertical="center" wrapText="1"/>
    </xf>
    <xf numFmtId="0" fontId="10" fillId="17" borderId="28" xfId="0" applyFont="1" applyFill="1" applyBorder="1" applyAlignment="1">
      <alignment horizontal="center" vertical="center"/>
    </xf>
    <xf numFmtId="1" fontId="10" fillId="8" borderId="6" xfId="1" applyNumberFormat="1" applyFont="1" applyFill="1" applyBorder="1" applyAlignment="1">
      <alignment horizontal="center" vertical="center" wrapText="1"/>
    </xf>
    <xf numFmtId="1" fontId="10" fillId="8" borderId="28" xfId="1" applyNumberFormat="1" applyFont="1" applyFill="1" applyBorder="1" applyAlignment="1">
      <alignment horizontal="center" vertical="center" wrapText="1"/>
    </xf>
    <xf numFmtId="1" fontId="10" fillId="8" borderId="29" xfId="1" applyNumberFormat="1" applyFont="1" applyFill="1" applyBorder="1" applyAlignment="1">
      <alignment horizontal="center" vertical="center" wrapText="1"/>
    </xf>
    <xf numFmtId="1" fontId="10" fillId="3" borderId="2" xfId="1" applyNumberFormat="1" applyFont="1" applyFill="1" applyBorder="1" applyAlignment="1">
      <alignment horizontal="center" vertical="center" wrapText="1"/>
    </xf>
    <xf numFmtId="1" fontId="10" fillId="3" borderId="4" xfId="1" applyNumberFormat="1" applyFont="1" applyFill="1" applyBorder="1" applyAlignment="1">
      <alignment horizontal="center" vertical="center" wrapText="1"/>
    </xf>
    <xf numFmtId="0" fontId="7" fillId="4" borderId="2" xfId="1" applyFont="1" applyFill="1" applyBorder="1" applyAlignment="1">
      <alignment horizontal="center" vertical="center" wrapText="1"/>
    </xf>
    <xf numFmtId="0" fontId="7" fillId="4" borderId="4" xfId="1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7" fillId="4" borderId="2" xfId="1" applyFont="1" applyFill="1" applyBorder="1" applyAlignment="1">
      <alignment horizontal="left" vertical="center" wrapText="1"/>
    </xf>
    <xf numFmtId="0" fontId="7" fillId="4" borderId="4" xfId="1" applyFont="1" applyFill="1" applyBorder="1" applyAlignment="1">
      <alignment horizontal="left" vertical="center" wrapText="1"/>
    </xf>
    <xf numFmtId="0" fontId="7" fillId="4" borderId="37" xfId="1" applyFont="1" applyFill="1" applyBorder="1" applyAlignment="1">
      <alignment horizontal="left" vertical="center" wrapText="1"/>
    </xf>
    <xf numFmtId="0" fontId="7" fillId="4" borderId="39" xfId="1" applyFont="1" applyFill="1" applyBorder="1" applyAlignment="1">
      <alignment horizontal="left"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7" fillId="4" borderId="15" xfId="1" applyFont="1" applyFill="1" applyBorder="1" applyAlignment="1">
      <alignment horizontal="left" vertical="center" wrapText="1"/>
    </xf>
    <xf numFmtId="0" fontId="7" fillId="5" borderId="2" xfId="1" applyFont="1" applyFill="1" applyBorder="1" applyAlignment="1">
      <alignment horizontal="center" vertical="center" wrapText="1"/>
    </xf>
    <xf numFmtId="0" fontId="7" fillId="5" borderId="4" xfId="1" applyFont="1" applyFill="1" applyBorder="1" applyAlignment="1">
      <alignment horizontal="center" vertical="center" wrapText="1"/>
    </xf>
    <xf numFmtId="0" fontId="7" fillId="5" borderId="1" xfId="1" applyFont="1" applyFill="1" applyBorder="1" applyAlignment="1">
      <alignment horizontal="left" vertical="center" wrapText="1"/>
    </xf>
    <xf numFmtId="0" fontId="8" fillId="5" borderId="2" xfId="1" applyFont="1" applyFill="1" applyBorder="1" applyAlignment="1">
      <alignment horizontal="center" vertical="center" wrapText="1"/>
    </xf>
    <xf numFmtId="0" fontId="8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1" fontId="10" fillId="3" borderId="3" xfId="1" applyNumberFormat="1" applyFont="1" applyFill="1" applyBorder="1" applyAlignment="1">
      <alignment horizontal="center" vertical="center" wrapText="1"/>
    </xf>
    <xf numFmtId="0" fontId="7" fillId="4" borderId="5" xfId="1" applyFont="1" applyFill="1" applyBorder="1" applyAlignment="1">
      <alignment horizontal="center" vertical="center" wrapText="1"/>
    </xf>
    <xf numFmtId="0" fontId="7" fillId="4" borderId="8" xfId="1" applyFont="1" applyFill="1" applyBorder="1" applyAlignment="1">
      <alignment horizontal="center" vertical="center" wrapText="1"/>
    </xf>
    <xf numFmtId="0" fontId="7" fillId="5" borderId="36" xfId="1" applyFont="1" applyFill="1" applyBorder="1" applyAlignment="1">
      <alignment horizontal="center" vertical="center" wrapText="1"/>
    </xf>
    <xf numFmtId="0" fontId="7" fillId="4" borderId="0" xfId="1" applyFont="1" applyFill="1" applyAlignment="1">
      <alignment horizontal="center" vertical="center" wrapText="1"/>
    </xf>
    <xf numFmtId="0" fontId="7" fillId="5" borderId="5" xfId="1" applyFont="1" applyFill="1" applyBorder="1" applyAlignment="1">
      <alignment horizontal="center" vertical="center" wrapText="1"/>
    </xf>
    <xf numFmtId="164" fontId="8" fillId="3" borderId="4" xfId="3" applyNumberFormat="1" applyFont="1" applyFill="1" applyBorder="1" applyAlignment="1">
      <alignment horizontal="center" vertical="center"/>
    </xf>
    <xf numFmtId="1" fontId="7" fillId="5" borderId="2" xfId="0" applyNumberFormat="1" applyFont="1" applyFill="1" applyBorder="1" applyAlignment="1">
      <alignment horizontal="center" vertical="center"/>
    </xf>
    <xf numFmtId="1" fontId="7" fillId="4" borderId="2" xfId="0" applyNumberFormat="1" applyFont="1" applyFill="1" applyBorder="1" applyAlignment="1">
      <alignment horizontal="center" vertical="center"/>
    </xf>
    <xf numFmtId="1" fontId="7" fillId="4" borderId="3" xfId="0" applyNumberFormat="1" applyFont="1" applyFill="1" applyBorder="1" applyAlignment="1">
      <alignment horizontal="center" vertical="center"/>
    </xf>
    <xf numFmtId="164" fontId="8" fillId="3" borderId="1" xfId="3" applyNumberFormat="1" applyFont="1" applyFill="1" applyBorder="1" applyAlignment="1">
      <alignment horizontal="center" vertical="center"/>
    </xf>
    <xf numFmtId="1" fontId="7" fillId="4" borderId="2" xfId="1" applyNumberFormat="1" applyFont="1" applyFill="1" applyBorder="1" applyAlignment="1">
      <alignment horizontal="center" vertical="center" wrapText="1"/>
    </xf>
    <xf numFmtId="164" fontId="7" fillId="5" borderId="2" xfId="3" applyNumberFormat="1" applyFon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1" fontId="7" fillId="5" borderId="1" xfId="0" applyNumberFormat="1" applyFont="1" applyFill="1" applyBorder="1" applyAlignment="1">
      <alignment horizontal="center" vertical="center"/>
    </xf>
    <xf numFmtId="0" fontId="7" fillId="5" borderId="1" xfId="1" applyFont="1" applyFill="1" applyBorder="1" applyAlignment="1">
      <alignment horizontal="center" vertical="center" wrapText="1"/>
    </xf>
    <xf numFmtId="164" fontId="9" fillId="21" borderId="0" xfId="0" applyNumberFormat="1" applyFont="1" applyFill="1" applyAlignment="1">
      <alignment vertical="center"/>
    </xf>
    <xf numFmtId="164" fontId="8" fillId="0" borderId="0" xfId="0" applyNumberFormat="1" applyFont="1" applyAlignment="1">
      <alignment vertical="center"/>
    </xf>
    <xf numFmtId="164" fontId="9" fillId="21" borderId="0" xfId="0" applyNumberFormat="1" applyFont="1" applyFill="1"/>
    <xf numFmtId="0" fontId="8" fillId="0" borderId="20" xfId="0" applyFont="1" applyBorder="1" applyAlignment="1">
      <alignment horizontal="center" vertical="center"/>
    </xf>
    <xf numFmtId="0" fontId="8" fillId="0" borderId="20" xfId="0" applyFont="1" applyBorder="1"/>
    <xf numFmtId="0" fontId="8" fillId="0" borderId="1" xfId="0" applyFont="1" applyBorder="1" applyAlignment="1">
      <alignment horizontal="center" vertical="center"/>
    </xf>
    <xf numFmtId="0" fontId="8" fillId="0" borderId="25" xfId="0" applyFont="1" applyBorder="1"/>
    <xf numFmtId="0" fontId="8" fillId="0" borderId="26" xfId="0" applyFont="1" applyBorder="1"/>
    <xf numFmtId="0" fontId="8" fillId="0" borderId="21" xfId="0" applyFont="1" applyBorder="1"/>
    <xf numFmtId="0" fontId="8" fillId="0" borderId="1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2" xfId="0" applyFont="1" applyBorder="1"/>
    <xf numFmtId="0" fontId="8" fillId="0" borderId="27" xfId="0" applyFont="1" applyBorder="1"/>
    <xf numFmtId="0" fontId="8" fillId="0" borderId="23" xfId="0" applyFont="1" applyBorder="1"/>
    <xf numFmtId="0" fontId="8" fillId="0" borderId="2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13" borderId="2" xfId="0" applyFont="1" applyFill="1" applyBorder="1"/>
    <xf numFmtId="0" fontId="8" fillId="0" borderId="4" xfId="0" applyFont="1" applyBorder="1"/>
    <xf numFmtId="0" fontId="8" fillId="6" borderId="1" xfId="0" applyFont="1" applyFill="1" applyBorder="1"/>
    <xf numFmtId="0" fontId="8" fillId="6" borderId="5" xfId="0" applyFont="1" applyFill="1" applyBorder="1"/>
    <xf numFmtId="0" fontId="8" fillId="6" borderId="13" xfId="0" applyFont="1" applyFill="1" applyBorder="1"/>
    <xf numFmtId="0" fontId="8" fillId="12" borderId="13" xfId="0" applyFont="1" applyFill="1" applyBorder="1"/>
    <xf numFmtId="0" fontId="9" fillId="11" borderId="13" xfId="0" applyFont="1" applyFill="1" applyBorder="1"/>
    <xf numFmtId="0" fontId="7" fillId="6" borderId="13" xfId="0" applyFont="1" applyFill="1" applyBorder="1"/>
    <xf numFmtId="0" fontId="7" fillId="6" borderId="5" xfId="0" applyFont="1" applyFill="1" applyBorder="1"/>
    <xf numFmtId="0" fontId="9" fillId="11" borderId="4" xfId="0" applyFont="1" applyFill="1" applyBorder="1"/>
    <xf numFmtId="0" fontId="9" fillId="11" borderId="2" xfId="0" applyFont="1" applyFill="1" applyBorder="1"/>
    <xf numFmtId="0" fontId="8" fillId="12" borderId="0" xfId="0" applyFont="1" applyFill="1"/>
    <xf numFmtId="0" fontId="8" fillId="12" borderId="23" xfId="0" applyFont="1" applyFill="1" applyBorder="1"/>
    <xf numFmtId="2" fontId="8" fillId="0" borderId="2" xfId="0" applyNumberFormat="1" applyFont="1" applyBorder="1"/>
    <xf numFmtId="2" fontId="9" fillId="11" borderId="2" xfId="0" applyNumberFormat="1" applyFont="1" applyFill="1" applyBorder="1"/>
    <xf numFmtId="2" fontId="7" fillId="6" borderId="2" xfId="0" applyNumberFormat="1" applyFont="1" applyFill="1" applyBorder="1"/>
    <xf numFmtId="2" fontId="9" fillId="13" borderId="2" xfId="0" applyNumberFormat="1" applyFont="1" applyFill="1" applyBorder="1"/>
    <xf numFmtId="2" fontId="8" fillId="6" borderId="2" xfId="0" applyNumberFormat="1" applyFont="1" applyFill="1" applyBorder="1"/>
    <xf numFmtId="0" fontId="8" fillId="0" borderId="3" xfId="0" applyFont="1" applyBorder="1"/>
    <xf numFmtId="0" fontId="9" fillId="11" borderId="3" xfId="0" applyFont="1" applyFill="1" applyBorder="1"/>
    <xf numFmtId="0" fontId="8" fillId="10" borderId="3" xfId="0" applyFont="1" applyFill="1" applyBorder="1"/>
    <xf numFmtId="0" fontId="9" fillId="13" borderId="3" xfId="0" applyFont="1" applyFill="1" applyBorder="1"/>
    <xf numFmtId="0" fontId="7" fillId="6" borderId="3" xfId="0" applyFont="1" applyFill="1" applyBorder="1"/>
    <xf numFmtId="2" fontId="9" fillId="13" borderId="3" xfId="0" applyNumberFormat="1" applyFont="1" applyFill="1" applyBorder="1"/>
    <xf numFmtId="2" fontId="9" fillId="11" borderId="3" xfId="0" applyNumberFormat="1" applyFont="1" applyFill="1" applyBorder="1"/>
    <xf numFmtId="2" fontId="7" fillId="6" borderId="3" xfId="0" applyNumberFormat="1" applyFont="1" applyFill="1" applyBorder="1"/>
    <xf numFmtId="2" fontId="9" fillId="6" borderId="3" xfId="0" applyNumberFormat="1" applyFont="1" applyFill="1" applyBorder="1"/>
    <xf numFmtId="0" fontId="8" fillId="6" borderId="3" xfId="0" applyFont="1" applyFill="1" applyBorder="1"/>
    <xf numFmtId="0" fontId="8" fillId="12" borderId="26" xfId="0" applyFont="1" applyFill="1" applyBorder="1"/>
    <xf numFmtId="0" fontId="8" fillId="6" borderId="26" xfId="0" applyFont="1" applyFill="1" applyBorder="1"/>
    <xf numFmtId="0" fontId="9" fillId="11" borderId="26" xfId="0" applyFont="1" applyFill="1" applyBorder="1"/>
    <xf numFmtId="0" fontId="9" fillId="13" borderId="26" xfId="0" applyFont="1" applyFill="1" applyBorder="1"/>
    <xf numFmtId="0" fontId="8" fillId="0" borderId="1" xfId="0" applyFont="1" applyBorder="1"/>
    <xf numFmtId="0" fontId="8" fillId="10" borderId="1" xfId="0" applyFont="1" applyFill="1" applyBorder="1"/>
    <xf numFmtId="0" fontId="8" fillId="12" borderId="27" xfId="0" applyFont="1" applyFill="1" applyBorder="1"/>
    <xf numFmtId="0" fontId="7" fillId="12" borderId="13" xfId="0" applyFont="1" applyFill="1" applyBorder="1"/>
    <xf numFmtId="0" fontId="9" fillId="13" borderId="13" xfId="0" applyFont="1" applyFill="1" applyBorder="1"/>
    <xf numFmtId="2" fontId="7" fillId="6" borderId="13" xfId="0" applyNumberFormat="1" applyFont="1" applyFill="1" applyBorder="1"/>
    <xf numFmtId="2" fontId="9" fillId="13" borderId="13" xfId="0" applyNumberFormat="1" applyFont="1" applyFill="1" applyBorder="1"/>
    <xf numFmtId="2" fontId="9" fillId="11" borderId="13" xfId="0" applyNumberFormat="1" applyFont="1" applyFill="1" applyBorder="1"/>
    <xf numFmtId="2" fontId="7" fillId="6" borderId="5" xfId="0" applyNumberFormat="1" applyFont="1" applyFill="1" applyBorder="1"/>
    <xf numFmtId="0" fontId="8" fillId="0" borderId="29" xfId="0" applyFont="1" applyBorder="1"/>
    <xf numFmtId="0" fontId="8" fillId="0" borderId="7" xfId="0" applyFont="1" applyBorder="1"/>
    <xf numFmtId="0" fontId="9" fillId="11" borderId="7" xfId="0" applyFont="1" applyFill="1" applyBorder="1"/>
    <xf numFmtId="0" fontId="9" fillId="11" borderId="8" xfId="0" applyFont="1" applyFill="1" applyBorder="1"/>
    <xf numFmtId="0" fontId="7" fillId="10" borderId="33" xfId="0" applyFont="1" applyFill="1" applyBorder="1"/>
    <xf numFmtId="0" fontId="7" fillId="6" borderId="33" xfId="0" applyFont="1" applyFill="1" applyBorder="1"/>
    <xf numFmtId="0" fontId="9" fillId="11" borderId="29" xfId="0" applyFont="1" applyFill="1" applyBorder="1"/>
    <xf numFmtId="0" fontId="9" fillId="11" borderId="33" xfId="0" applyFont="1" applyFill="1" applyBorder="1"/>
    <xf numFmtId="0" fontId="7" fillId="12" borderId="29" xfId="0" applyFont="1" applyFill="1" applyBorder="1"/>
    <xf numFmtId="0" fontId="7" fillId="12" borderId="33" xfId="0" applyFont="1" applyFill="1" applyBorder="1"/>
    <xf numFmtId="0" fontId="9" fillId="13" borderId="29" xfId="0" applyFont="1" applyFill="1" applyBorder="1"/>
    <xf numFmtId="0" fontId="9" fillId="13" borderId="33" xfId="0" applyFont="1" applyFill="1" applyBorder="1"/>
    <xf numFmtId="2" fontId="7" fillId="6" borderId="29" xfId="0" applyNumberFormat="1" applyFont="1" applyFill="1" applyBorder="1"/>
    <xf numFmtId="2" fontId="9" fillId="13" borderId="29" xfId="0" applyNumberFormat="1" applyFont="1" applyFill="1" applyBorder="1"/>
    <xf numFmtId="2" fontId="9" fillId="11" borderId="29" xfId="0" applyNumberFormat="1" applyFont="1" applyFill="1" applyBorder="1"/>
    <xf numFmtId="0" fontId="7" fillId="6" borderId="8" xfId="0" applyFont="1" applyFill="1" applyBorder="1"/>
    <xf numFmtId="0" fontId="7" fillId="6" borderId="26" xfId="0" applyFont="1" applyFill="1" applyBorder="1"/>
    <xf numFmtId="0" fontId="8" fillId="6" borderId="4" xfId="0" applyFont="1" applyFill="1" applyBorder="1"/>
    <xf numFmtId="0" fontId="8" fillId="0" borderId="7" xfId="0" applyFont="1" applyBorder="1" applyAlignment="1">
      <alignment horizontal="center" vertical="center"/>
    </xf>
    <xf numFmtId="2" fontId="8" fillId="0" borderId="4" xfId="0" applyNumberFormat="1" applyFont="1" applyBorder="1"/>
    <xf numFmtId="2" fontId="8" fillId="6" borderId="4" xfId="0" applyNumberFormat="1" applyFont="1" applyFill="1" applyBorder="1"/>
    <xf numFmtId="2" fontId="9" fillId="11" borderId="4" xfId="0" applyNumberFormat="1" applyFont="1" applyFill="1" applyBorder="1"/>
    <xf numFmtId="0" fontId="8" fillId="0" borderId="28" xfId="0" applyFont="1" applyBorder="1"/>
    <xf numFmtId="0" fontId="8" fillId="0" borderId="18" xfId="0" applyFont="1" applyBorder="1"/>
    <xf numFmtId="0" fontId="8" fillId="0" borderId="24" xfId="0" applyFont="1" applyBorder="1"/>
    <xf numFmtId="0" fontId="8" fillId="0" borderId="17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" fontId="8" fillId="0" borderId="1" xfId="0" applyNumberFormat="1" applyFont="1" applyBorder="1"/>
    <xf numFmtId="2" fontId="8" fillId="6" borderId="1" xfId="0" applyNumberFormat="1" applyFont="1" applyFill="1" applyBorder="1"/>
    <xf numFmtId="0" fontId="7" fillId="10" borderId="1" xfId="0" applyFont="1" applyFill="1" applyBorder="1"/>
    <xf numFmtId="0" fontId="7" fillId="0" borderId="5" xfId="0" applyFont="1" applyBorder="1"/>
    <xf numFmtId="0" fontId="7" fillId="0" borderId="13" xfId="0" applyFont="1" applyBorder="1"/>
    <xf numFmtId="2" fontId="8" fillId="12" borderId="1" xfId="0" applyNumberFormat="1" applyFont="1" applyFill="1" applyBorder="1"/>
    <xf numFmtId="0" fontId="8" fillId="0" borderId="18" xfId="0" applyFont="1" applyBorder="1" applyAlignment="1">
      <alignment horizontal="center" vertical="center"/>
    </xf>
    <xf numFmtId="2" fontId="8" fillId="0" borderId="24" xfId="0" applyNumberFormat="1" applyFont="1" applyBorder="1"/>
    <xf numFmtId="0" fontId="8" fillId="0" borderId="0" xfId="0" quotePrefix="1" applyFont="1"/>
    <xf numFmtId="1" fontId="10" fillId="8" borderId="5" xfId="1" applyNumberFormat="1" applyFont="1" applyFill="1" applyBorder="1" applyAlignment="1">
      <alignment vertical="center" wrapText="1"/>
    </xf>
    <xf numFmtId="1" fontId="10" fillId="8" borderId="7" xfId="1" applyNumberFormat="1" applyFont="1" applyFill="1" applyBorder="1" applyAlignment="1">
      <alignment vertical="center" wrapText="1"/>
    </xf>
    <xf numFmtId="1" fontId="10" fillId="8" borderId="8" xfId="1" applyNumberFormat="1" applyFont="1" applyFill="1" applyBorder="1" applyAlignment="1">
      <alignment vertical="center" wrapText="1"/>
    </xf>
    <xf numFmtId="1" fontId="10" fillId="8" borderId="6" xfId="1" applyNumberFormat="1" applyFont="1" applyFill="1" applyBorder="1" applyAlignment="1">
      <alignment vertical="center" wrapText="1"/>
    </xf>
    <xf numFmtId="1" fontId="10" fillId="8" borderId="28" xfId="1" applyNumberFormat="1" applyFont="1" applyFill="1" applyBorder="1" applyAlignment="1">
      <alignment vertical="center" wrapText="1"/>
    </xf>
    <xf numFmtId="1" fontId="10" fillId="8" borderId="29" xfId="1" applyNumberFormat="1" applyFont="1" applyFill="1" applyBorder="1" applyAlignment="1">
      <alignment vertical="center" wrapText="1"/>
    </xf>
    <xf numFmtId="0" fontId="12" fillId="19" borderId="6" xfId="0" applyFont="1" applyFill="1" applyBorder="1" applyAlignment="1">
      <alignment vertical="center" wrapText="1"/>
    </xf>
    <xf numFmtId="0" fontId="10" fillId="17" borderId="28" xfId="0" applyFont="1" applyFill="1" applyBorder="1" applyAlignment="1">
      <alignment vertical="center"/>
    </xf>
    <xf numFmtId="0" fontId="7" fillId="4" borderId="5" xfId="1" applyFont="1" applyFill="1" applyBorder="1" applyAlignment="1">
      <alignment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11" fillId="0" borderId="5" xfId="1" applyFont="1" applyBorder="1" applyAlignment="1">
      <alignment vertical="center" wrapText="1"/>
    </xf>
    <xf numFmtId="0" fontId="11" fillId="0" borderId="8" xfId="1" applyFont="1" applyBorder="1" applyAlignment="1">
      <alignment vertical="center" wrapText="1"/>
    </xf>
    <xf numFmtId="0" fontId="11" fillId="0" borderId="7" xfId="1" applyFont="1" applyBorder="1" applyAlignment="1">
      <alignment vertical="center" wrapText="1"/>
    </xf>
    <xf numFmtId="1" fontId="10" fillId="14" borderId="5" xfId="1" applyNumberFormat="1" applyFont="1" applyFill="1" applyBorder="1" applyAlignment="1">
      <alignment vertical="center" wrapText="1"/>
    </xf>
    <xf numFmtId="1" fontId="10" fillId="14" borderId="8" xfId="1" applyNumberFormat="1" applyFont="1" applyFill="1" applyBorder="1" applyAlignment="1">
      <alignment vertical="center" wrapText="1"/>
    </xf>
    <xf numFmtId="1" fontId="10" fillId="14" borderId="7" xfId="1" applyNumberFormat="1" applyFont="1" applyFill="1" applyBorder="1" applyAlignment="1">
      <alignment vertical="center" wrapText="1"/>
    </xf>
    <xf numFmtId="1" fontId="10" fillId="18" borderId="2" xfId="1" applyNumberFormat="1" applyFont="1" applyFill="1" applyBorder="1" applyAlignment="1">
      <alignment vertical="center" wrapText="1"/>
    </xf>
    <xf numFmtId="0" fontId="11" fillId="9" borderId="2" xfId="0" applyFont="1" applyFill="1" applyBorder="1" applyAlignment="1">
      <alignment vertical="center" wrapText="1"/>
    </xf>
    <xf numFmtId="1" fontId="10" fillId="3" borderId="2" xfId="1" applyNumberFormat="1" applyFont="1" applyFill="1" applyBorder="1" applyAlignment="1">
      <alignment vertical="center" wrapText="1"/>
    </xf>
    <xf numFmtId="0" fontId="12" fillId="19" borderId="1" xfId="0" applyFont="1" applyFill="1" applyBorder="1" applyAlignment="1">
      <alignment vertical="center" wrapText="1"/>
    </xf>
    <xf numFmtId="0" fontId="10" fillId="8" borderId="36" xfId="0" applyFont="1" applyFill="1" applyBorder="1" applyAlignment="1">
      <alignment vertical="center" wrapText="1"/>
    </xf>
    <xf numFmtId="0" fontId="10" fillId="8" borderId="8" xfId="0" applyFont="1" applyFill="1" applyBorder="1" applyAlignment="1">
      <alignment vertical="center" wrapText="1"/>
    </xf>
    <xf numFmtId="0" fontId="10" fillId="8" borderId="7" xfId="0" applyFont="1" applyFill="1" applyBorder="1" applyAlignment="1">
      <alignment vertical="center" wrapText="1"/>
    </xf>
    <xf numFmtId="1" fontId="10" fillId="18" borderId="4" xfId="1" applyNumberFormat="1" applyFont="1" applyFill="1" applyBorder="1" applyAlignment="1">
      <alignment vertical="center" wrapText="1"/>
    </xf>
    <xf numFmtId="0" fontId="11" fillId="9" borderId="4" xfId="0" applyFont="1" applyFill="1" applyBorder="1" applyAlignment="1">
      <alignment vertical="center" wrapText="1"/>
    </xf>
    <xf numFmtId="1" fontId="10" fillId="3" borderId="4" xfId="1" applyNumberFormat="1" applyFont="1" applyFill="1" applyBorder="1" applyAlignment="1">
      <alignment vertical="center" wrapText="1"/>
    </xf>
    <xf numFmtId="0" fontId="10" fillId="8" borderId="5" xfId="0" applyFont="1" applyFill="1" applyBorder="1" applyAlignment="1">
      <alignment vertical="center" wrapText="1"/>
    </xf>
    <xf numFmtId="0" fontId="10" fillId="8" borderId="26" xfId="0" applyFont="1" applyFill="1" applyBorder="1" applyAlignment="1">
      <alignment vertical="center" wrapText="1"/>
    </xf>
    <xf numFmtId="0" fontId="10" fillId="8" borderId="25" xfId="0" applyFont="1" applyFill="1" applyBorder="1" applyAlignment="1">
      <alignment vertical="center" wrapText="1"/>
    </xf>
    <xf numFmtId="0" fontId="7" fillId="4" borderId="42" xfId="1" applyFont="1" applyFill="1" applyBorder="1" applyAlignment="1">
      <alignment vertical="center" wrapText="1"/>
    </xf>
    <xf numFmtId="0" fontId="7" fillId="4" borderId="48" xfId="1" applyFont="1" applyFill="1" applyBorder="1" applyAlignment="1">
      <alignment vertical="center" wrapText="1"/>
    </xf>
    <xf numFmtId="1" fontId="10" fillId="3" borderId="3" xfId="1" applyNumberFormat="1" applyFont="1" applyFill="1" applyBorder="1" applyAlignment="1">
      <alignment vertical="center" wrapText="1"/>
    </xf>
    <xf numFmtId="0" fontId="7" fillId="4" borderId="56" xfId="1" applyFont="1" applyFill="1" applyBorder="1" applyAlignment="1">
      <alignment vertical="center" wrapText="1"/>
    </xf>
    <xf numFmtId="0" fontId="8" fillId="4" borderId="1" xfId="0" applyFont="1" applyFill="1" applyBorder="1" applyAlignment="1">
      <alignment vertical="center"/>
    </xf>
    <xf numFmtId="0" fontId="7" fillId="4" borderId="15" xfId="1" applyFont="1" applyFill="1" applyBorder="1" applyAlignment="1">
      <alignment vertical="center" wrapText="1"/>
    </xf>
    <xf numFmtId="0" fontId="7" fillId="5" borderId="42" xfId="1" applyFont="1" applyFill="1" applyBorder="1" applyAlignment="1">
      <alignment vertical="center" wrapText="1"/>
    </xf>
    <xf numFmtId="0" fontId="7" fillId="5" borderId="48" xfId="1" applyFont="1" applyFill="1" applyBorder="1" applyAlignment="1">
      <alignment vertical="center" wrapText="1"/>
    </xf>
    <xf numFmtId="0" fontId="8" fillId="5" borderId="42" xfId="1" applyFont="1" applyFill="1" applyBorder="1" applyAlignment="1">
      <alignment vertical="center" wrapText="1"/>
    </xf>
    <xf numFmtId="0" fontId="8" fillId="5" borderId="3" xfId="1" applyFont="1" applyFill="1" applyBorder="1" applyAlignment="1">
      <alignment vertical="center" wrapText="1"/>
    </xf>
    <xf numFmtId="0" fontId="8" fillId="5" borderId="48" xfId="1" applyFont="1" applyFill="1" applyBorder="1" applyAlignment="1">
      <alignment vertical="center" wrapText="1"/>
    </xf>
    <xf numFmtId="0" fontId="8" fillId="5" borderId="6" xfId="1" applyFont="1" applyFill="1" applyBorder="1" applyAlignment="1">
      <alignment vertical="center" wrapText="1"/>
    </xf>
    <xf numFmtId="0" fontId="7" fillId="4" borderId="50" xfId="1" applyFont="1" applyFill="1" applyBorder="1" applyAlignment="1">
      <alignment vertical="center" wrapText="1"/>
    </xf>
    <xf numFmtId="0" fontId="7" fillId="4" borderId="51" xfId="1" applyFont="1" applyFill="1" applyBorder="1" applyAlignment="1">
      <alignment vertical="center" wrapText="1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vertical="center"/>
    </xf>
    <xf numFmtId="0" fontId="7" fillId="4" borderId="4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/>
    </xf>
    <xf numFmtId="2" fontId="9" fillId="11" borderId="1" xfId="0" applyNumberFormat="1" applyFont="1" applyFill="1" applyBorder="1" applyAlignment="1">
      <alignment horizontal="center" vertical="center" wrapText="1"/>
    </xf>
    <xf numFmtId="2" fontId="9" fillId="13" borderId="1" xfId="0" applyNumberFormat="1" applyFont="1" applyFill="1" applyBorder="1" applyAlignment="1">
      <alignment horizontal="center" vertical="center" wrapText="1"/>
    </xf>
    <xf numFmtId="2" fontId="7" fillId="6" borderId="1" xfId="0" applyNumberFormat="1" applyFont="1" applyFill="1" applyBorder="1" applyAlignment="1">
      <alignment horizontal="center" vertical="center" wrapText="1"/>
    </xf>
    <xf numFmtId="2" fontId="7" fillId="10" borderId="1" xfId="0" applyNumberFormat="1" applyFont="1" applyFill="1" applyBorder="1" applyAlignment="1">
      <alignment horizontal="center" vertical="center" wrapText="1"/>
    </xf>
    <xf numFmtId="2" fontId="8" fillId="6" borderId="1" xfId="0" applyNumberFormat="1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/>
    </xf>
    <xf numFmtId="2" fontId="9" fillId="8" borderId="1" xfId="0" applyNumberFormat="1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4" xfId="0" applyFont="1" applyBorder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10" fontId="9" fillId="0" borderId="0" xfId="0" applyNumberFormat="1" applyFont="1" applyAlignment="1">
      <alignment horizontal="center" vertical="center"/>
    </xf>
    <xf numFmtId="1" fontId="9" fillId="0" borderId="0" xfId="4" applyNumberFormat="1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0" fontId="8" fillId="0" borderId="5" xfId="0" applyFont="1" applyBorder="1" applyAlignment="1">
      <alignment horizontal="right" vertical="center"/>
    </xf>
    <xf numFmtId="3" fontId="15" fillId="0" borderId="5" xfId="0" applyNumberFormat="1" applyFont="1" applyBorder="1" applyAlignment="1">
      <alignment horizontal="right" vertical="center"/>
    </xf>
    <xf numFmtId="3" fontId="8" fillId="0" borderId="5" xfId="0" applyNumberFormat="1" applyFont="1" applyBorder="1" applyAlignment="1">
      <alignment horizontal="right" vertical="center"/>
    </xf>
    <xf numFmtId="168" fontId="8" fillId="0" borderId="6" xfId="3" applyNumberFormat="1" applyFont="1" applyBorder="1" applyAlignment="1">
      <alignment horizontal="center" vertical="center"/>
    </xf>
    <xf numFmtId="0" fontId="15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" fontId="8" fillId="0" borderId="1" xfId="0" applyNumberFormat="1" applyFont="1" applyBorder="1" applyAlignment="1">
      <alignment vertical="center"/>
    </xf>
    <xf numFmtId="3" fontId="8" fillId="0" borderId="1" xfId="0" applyNumberFormat="1" applyFont="1" applyBorder="1" applyAlignment="1">
      <alignment vertical="center"/>
    </xf>
    <xf numFmtId="0" fontId="13" fillId="16" borderId="1" xfId="0" applyFont="1" applyFill="1" applyBorder="1" applyAlignment="1">
      <alignment vertical="center"/>
    </xf>
    <xf numFmtId="0" fontId="8" fillId="4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8" fillId="6" borderId="1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7" fillId="6" borderId="1" xfId="1" applyFont="1" applyFill="1" applyBorder="1" applyAlignment="1">
      <alignment horizontal="left" vertical="center" wrapText="1"/>
    </xf>
    <xf numFmtId="0" fontId="18" fillId="0" borderId="0" xfId="0" applyFont="1" applyAlignment="1">
      <alignment wrapText="1"/>
    </xf>
    <xf numFmtId="43" fontId="18" fillId="0" borderId="0" xfId="0" applyNumberFormat="1" applyFont="1" applyAlignment="1">
      <alignment wrapText="1"/>
    </xf>
    <xf numFmtId="0" fontId="19" fillId="0" borderId="0" xfId="0" applyFont="1" applyAlignment="1">
      <alignment horizontal="center" vertical="center" wrapText="1"/>
    </xf>
    <xf numFmtId="0" fontId="18" fillId="0" borderId="0" xfId="0" applyFont="1" applyAlignment="1">
      <alignment horizontal="justify" vertical="justify" wrapText="1"/>
    </xf>
    <xf numFmtId="0" fontId="18" fillId="0" borderId="0" xfId="0" applyFont="1" applyAlignment="1">
      <alignment vertical="top" wrapText="1"/>
    </xf>
    <xf numFmtId="0" fontId="20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3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21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3" fillId="0" borderId="0" xfId="0" applyFont="1" applyAlignment="1">
      <alignment vertical="center" wrapText="1"/>
    </xf>
    <xf numFmtId="0" fontId="24" fillId="0" borderId="0" xfId="0" applyFont="1" applyAlignment="1">
      <alignment vertical="center" wrapText="1"/>
    </xf>
    <xf numFmtId="0" fontId="25" fillId="0" borderId="0" xfId="0" applyFont="1" applyAlignment="1">
      <alignment wrapText="1"/>
    </xf>
    <xf numFmtId="43" fontId="25" fillId="0" borderId="0" xfId="0" applyNumberFormat="1" applyFont="1" applyAlignment="1">
      <alignment wrapText="1"/>
    </xf>
    <xf numFmtId="0" fontId="26" fillId="0" borderId="0" xfId="0" applyFont="1"/>
    <xf numFmtId="0" fontId="27" fillId="0" borderId="0" xfId="0" applyFont="1" applyAlignment="1">
      <alignment horizontal="center" vertical="center" wrapText="1"/>
    </xf>
    <xf numFmtId="0" fontId="25" fillId="0" borderId="0" xfId="0" applyFont="1" applyAlignment="1">
      <alignment horizontal="justify" vertical="justify" wrapText="1"/>
    </xf>
    <xf numFmtId="0" fontId="25" fillId="0" borderId="0" xfId="0" applyFont="1" applyAlignment="1">
      <alignment vertical="top" wrapText="1"/>
    </xf>
    <xf numFmtId="169" fontId="25" fillId="0" borderId="0" xfId="0" applyNumberFormat="1" applyFont="1" applyAlignment="1">
      <alignment horizontal="right" vertical="center" wrapText="1"/>
    </xf>
    <xf numFmtId="0" fontId="28" fillId="0" borderId="7" xfId="0" applyFont="1" applyBorder="1" applyAlignment="1">
      <alignment horizontal="center" vertical="center" wrapText="1"/>
    </xf>
    <xf numFmtId="0" fontId="28" fillId="0" borderId="1" xfId="1" applyFont="1" applyBorder="1" applyAlignment="1">
      <alignment horizontal="center" vertical="center" wrapText="1"/>
    </xf>
    <xf numFmtId="168" fontId="28" fillId="0" borderId="0" xfId="3" applyNumberFormat="1" applyFont="1" applyFill="1" applyAlignment="1">
      <alignment horizontal="center" vertical="center"/>
    </xf>
    <xf numFmtId="10" fontId="28" fillId="0" borderId="0" xfId="4" applyNumberFormat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7" xfId="1" applyFont="1" applyBorder="1" applyAlignment="1">
      <alignment horizontal="center" vertical="center" wrapText="1"/>
    </xf>
    <xf numFmtId="0" fontId="0" fillId="0" borderId="1" xfId="1" applyFont="1" applyBorder="1" applyAlignment="1">
      <alignment horizontal="center" vertical="center" wrapText="1"/>
    </xf>
    <xf numFmtId="49" fontId="28" fillId="0" borderId="1" xfId="1" applyNumberFormat="1" applyFont="1" applyBorder="1" applyAlignment="1">
      <alignment horizontal="center" vertical="center" wrapText="1"/>
    </xf>
    <xf numFmtId="168" fontId="28" fillId="0" borderId="1" xfId="3" applyNumberFormat="1" applyFont="1" applyFill="1" applyBorder="1" applyAlignment="1">
      <alignment horizontal="center" vertical="center" wrapText="1"/>
    </xf>
    <xf numFmtId="168" fontId="28" fillId="0" borderId="1" xfId="3" applyNumberFormat="1" applyFont="1" applyFill="1" applyBorder="1" applyAlignment="1">
      <alignment horizontal="center" vertical="center"/>
    </xf>
    <xf numFmtId="10" fontId="29" fillId="0" borderId="5" xfId="4" applyNumberFormat="1" applyFont="1" applyFill="1" applyBorder="1" applyAlignment="1">
      <alignment horizontal="center" vertical="center" wrapText="1"/>
    </xf>
    <xf numFmtId="0" fontId="28" fillId="0" borderId="7" xfId="1" applyFont="1" applyBorder="1" applyAlignment="1">
      <alignment horizontal="center" vertical="center"/>
    </xf>
    <xf numFmtId="0" fontId="28" fillId="0" borderId="1" xfId="1" applyFont="1" applyBorder="1" applyAlignment="1">
      <alignment horizontal="center" vertical="center"/>
    </xf>
    <xf numFmtId="0" fontId="0" fillId="0" borderId="1" xfId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0" fontId="29" fillId="0" borderId="1" xfId="4" applyNumberFormat="1" applyFont="1" applyFill="1" applyBorder="1" applyAlignment="1">
      <alignment horizontal="center" vertical="center" wrapText="1"/>
    </xf>
    <xf numFmtId="0" fontId="28" fillId="0" borderId="26" xfId="0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49" fontId="28" fillId="0" borderId="2" xfId="1" applyNumberFormat="1" applyFont="1" applyBorder="1" applyAlignment="1">
      <alignment horizontal="center" vertical="center" wrapText="1"/>
    </xf>
    <xf numFmtId="168" fontId="28" fillId="0" borderId="2" xfId="3" applyNumberFormat="1" applyFont="1" applyFill="1" applyBorder="1" applyAlignment="1">
      <alignment horizontal="center" vertical="center" wrapText="1"/>
    </xf>
    <xf numFmtId="168" fontId="28" fillId="0" borderId="2" xfId="3" applyNumberFormat="1" applyFont="1" applyFill="1" applyBorder="1" applyAlignment="1">
      <alignment horizontal="center" vertical="center"/>
    </xf>
    <xf numFmtId="10" fontId="29" fillId="0" borderId="36" xfId="4" applyNumberFormat="1" applyFont="1" applyFill="1" applyBorder="1" applyAlignment="1">
      <alignment horizontal="center" vertical="center" wrapText="1"/>
    </xf>
    <xf numFmtId="0" fontId="30" fillId="0" borderId="29" xfId="1" applyFont="1" applyBorder="1" applyAlignment="1">
      <alignment horizontal="center" vertical="center" wrapText="1"/>
    </xf>
    <xf numFmtId="0" fontId="30" fillId="0" borderId="4" xfId="1" applyFont="1" applyBorder="1" applyAlignment="1">
      <alignment horizontal="center" vertical="center" wrapText="1"/>
    </xf>
    <xf numFmtId="49" fontId="30" fillId="0" borderId="4" xfId="1" applyNumberFormat="1" applyFont="1" applyBorder="1" applyAlignment="1">
      <alignment horizontal="center" vertical="center" wrapText="1"/>
    </xf>
    <xf numFmtId="168" fontId="30" fillId="0" borderId="4" xfId="3" applyNumberFormat="1" applyFont="1" applyFill="1" applyBorder="1" applyAlignment="1">
      <alignment horizontal="center" vertical="center" wrapText="1"/>
    </xf>
    <xf numFmtId="10" fontId="30" fillId="0" borderId="6" xfId="4" applyNumberFormat="1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49" fontId="28" fillId="0" borderId="0" xfId="0" applyNumberFormat="1" applyFont="1" applyAlignment="1">
      <alignment horizontal="center" vertical="center"/>
    </xf>
    <xf numFmtId="168" fontId="30" fillId="0" borderId="0" xfId="3" applyNumberFormat="1" applyFont="1" applyFill="1" applyAlignment="1">
      <alignment horizontal="center" vertical="center"/>
    </xf>
    <xf numFmtId="0" fontId="0" fillId="0" borderId="0" xfId="0" applyAlignment="1">
      <alignment horizontal="left"/>
    </xf>
    <xf numFmtId="0" fontId="18" fillId="0" borderId="0" xfId="0" applyFont="1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18" fillId="0" borderId="0" xfId="0" applyFont="1" applyAlignment="1">
      <alignment horizontal="justify" vertical="justify" wrapText="1"/>
    </xf>
    <xf numFmtId="0" fontId="25" fillId="0" borderId="0" xfId="0" applyFont="1" applyAlignment="1">
      <alignment horizontal="left" vertical="justify" wrapText="1"/>
    </xf>
    <xf numFmtId="0" fontId="9" fillId="3" borderId="28" xfId="0" applyFont="1" applyFill="1" applyBorder="1" applyAlignment="1">
      <alignment horizontal="center" vertical="center" wrapText="1"/>
    </xf>
    <xf numFmtId="4" fontId="8" fillId="10" borderId="15" xfId="0" applyNumberFormat="1" applyFont="1" applyFill="1" applyBorder="1" applyAlignment="1">
      <alignment horizontal="center" vertical="center" wrapText="1"/>
    </xf>
    <xf numFmtId="4" fontId="8" fillId="10" borderId="16" xfId="0" applyNumberFormat="1" applyFont="1" applyFill="1" applyBorder="1" applyAlignment="1">
      <alignment horizontal="center" vertical="center" wrapText="1"/>
    </xf>
    <xf numFmtId="4" fontId="13" fillId="0" borderId="30" xfId="0" applyNumberFormat="1" applyFont="1" applyBorder="1" applyAlignment="1">
      <alignment horizontal="center" vertical="center"/>
    </xf>
    <xf numFmtId="4" fontId="13" fillId="0" borderId="31" xfId="0" applyNumberFormat="1" applyFont="1" applyBorder="1" applyAlignment="1">
      <alignment horizontal="center" vertical="center"/>
    </xf>
    <xf numFmtId="4" fontId="13" fillId="0" borderId="32" xfId="0" applyNumberFormat="1" applyFont="1" applyBorder="1" applyAlignment="1">
      <alignment horizontal="center" vertical="center"/>
    </xf>
    <xf numFmtId="0" fontId="9" fillId="3" borderId="34" xfId="0" applyFont="1" applyFill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14" fontId="15" fillId="0" borderId="1" xfId="0" applyNumberFormat="1" applyFont="1" applyBorder="1" applyAlignment="1">
      <alignment horizontal="center" vertical="center" wrapText="1"/>
    </xf>
    <xf numFmtId="14" fontId="15" fillId="0" borderId="13" xfId="0" applyNumberFormat="1" applyFont="1" applyBorder="1" applyAlignment="1">
      <alignment horizontal="center" vertical="center" wrapText="1"/>
    </xf>
    <xf numFmtId="4" fontId="8" fillId="10" borderId="1" xfId="0" applyNumberFormat="1" applyFont="1" applyFill="1" applyBorder="1" applyAlignment="1">
      <alignment horizontal="center" vertical="center" wrapText="1"/>
    </xf>
    <xf numFmtId="4" fontId="8" fillId="10" borderId="13" xfId="0" applyNumberFormat="1" applyFont="1" applyFill="1" applyBorder="1" applyAlignment="1">
      <alignment horizontal="center" vertical="center" wrapText="1"/>
    </xf>
    <xf numFmtId="3" fontId="8" fillId="10" borderId="15" xfId="0" applyNumberFormat="1" applyFont="1" applyFill="1" applyBorder="1" applyAlignment="1">
      <alignment horizontal="center" vertical="center" wrapText="1"/>
    </xf>
    <xf numFmtId="3" fontId="8" fillId="10" borderId="16" xfId="0" applyNumberFormat="1" applyFont="1" applyFill="1" applyBorder="1" applyAlignment="1">
      <alignment horizontal="center" vertical="center" wrapText="1"/>
    </xf>
    <xf numFmtId="0" fontId="8" fillId="0" borderId="61" xfId="0" applyFont="1" applyBorder="1" applyAlignment="1">
      <alignment horizontal="center" vertical="center"/>
    </xf>
    <xf numFmtId="0" fontId="8" fillId="0" borderId="65" xfId="0" applyFont="1" applyBorder="1" applyAlignment="1">
      <alignment horizontal="center" vertical="center"/>
    </xf>
    <xf numFmtId="0" fontId="8" fillId="0" borderId="66" xfId="0" applyFont="1" applyBorder="1" applyAlignment="1">
      <alignment horizontal="center" vertical="center"/>
    </xf>
    <xf numFmtId="1" fontId="10" fillId="8" borderId="6" xfId="1" applyNumberFormat="1" applyFont="1" applyFill="1" applyBorder="1" applyAlignment="1">
      <alignment horizontal="center" vertical="center" wrapText="1"/>
    </xf>
    <xf numFmtId="1" fontId="10" fillId="8" borderId="28" xfId="1" applyNumberFormat="1" applyFont="1" applyFill="1" applyBorder="1" applyAlignment="1">
      <alignment horizontal="center" vertical="center" wrapText="1"/>
    </xf>
    <xf numFmtId="1" fontId="10" fillId="8" borderId="29" xfId="1" applyNumberFormat="1" applyFont="1" applyFill="1" applyBorder="1" applyAlignment="1">
      <alignment horizontal="center" vertical="center" wrapText="1"/>
    </xf>
    <xf numFmtId="0" fontId="12" fillId="19" borderId="5" xfId="0" applyFont="1" applyFill="1" applyBorder="1" applyAlignment="1">
      <alignment horizontal="center" vertical="center" wrapText="1"/>
    </xf>
    <xf numFmtId="0" fontId="12" fillId="19" borderId="8" xfId="0" applyFont="1" applyFill="1" applyBorder="1" applyAlignment="1">
      <alignment horizontal="center" vertical="center" wrapText="1"/>
    </xf>
    <xf numFmtId="0" fontId="12" fillId="19" borderId="7" xfId="0" applyFont="1" applyFill="1" applyBorder="1" applyAlignment="1">
      <alignment horizontal="center" vertical="center" wrapText="1"/>
    </xf>
    <xf numFmtId="1" fontId="10" fillId="8" borderId="5" xfId="1" applyNumberFormat="1" applyFont="1" applyFill="1" applyBorder="1" applyAlignment="1">
      <alignment horizontal="center" vertical="center" wrapText="1"/>
    </xf>
    <xf numFmtId="1" fontId="10" fillId="8" borderId="8" xfId="1" applyNumberFormat="1" applyFont="1" applyFill="1" applyBorder="1" applyAlignment="1">
      <alignment horizontal="center" vertical="center" wrapText="1"/>
    </xf>
    <xf numFmtId="1" fontId="10" fillId="8" borderId="7" xfId="1" applyNumberFormat="1" applyFont="1" applyFill="1" applyBorder="1" applyAlignment="1">
      <alignment horizontal="center" vertical="center" wrapText="1"/>
    </xf>
    <xf numFmtId="0" fontId="10" fillId="17" borderId="6" xfId="0" applyFont="1" applyFill="1" applyBorder="1" applyAlignment="1">
      <alignment horizontal="center" vertical="center"/>
    </xf>
    <xf numFmtId="0" fontId="10" fillId="17" borderId="28" xfId="0" applyFont="1" applyFill="1" applyBorder="1" applyAlignment="1">
      <alignment horizontal="center" vertical="center"/>
    </xf>
    <xf numFmtId="0" fontId="10" fillId="17" borderId="29" xfId="0" applyFont="1" applyFill="1" applyBorder="1" applyAlignment="1">
      <alignment horizontal="center" vertical="center"/>
    </xf>
    <xf numFmtId="1" fontId="10" fillId="14" borderId="5" xfId="1" applyNumberFormat="1" applyFont="1" applyFill="1" applyBorder="1" applyAlignment="1">
      <alignment horizontal="center" vertical="center" wrapText="1"/>
    </xf>
    <xf numFmtId="1" fontId="10" fillId="14" borderId="8" xfId="1" applyNumberFormat="1" applyFont="1" applyFill="1" applyBorder="1" applyAlignment="1">
      <alignment horizontal="center" vertical="center" wrapText="1"/>
    </xf>
    <xf numFmtId="1" fontId="10" fillId="14" borderId="7" xfId="1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 vertical="center" wrapText="1"/>
    </xf>
    <xf numFmtId="0" fontId="27" fillId="0" borderId="0" xfId="0" applyFont="1" applyAlignment="1">
      <alignment horizontal="center" vertical="center" wrapText="1"/>
    </xf>
    <xf numFmtId="0" fontId="25" fillId="0" borderId="0" xfId="0" applyFont="1" applyAlignment="1">
      <alignment horizontal="justify" vertical="justify" wrapText="1"/>
    </xf>
    <xf numFmtId="17" fontId="9" fillId="3" borderId="30" xfId="0" quotePrefix="1" applyNumberFormat="1" applyFont="1" applyFill="1" applyBorder="1" applyAlignment="1">
      <alignment horizontal="center" vertical="center"/>
    </xf>
    <xf numFmtId="17" fontId="9" fillId="3" borderId="31" xfId="0" quotePrefix="1" applyNumberFormat="1" applyFont="1" applyFill="1" applyBorder="1" applyAlignment="1">
      <alignment horizontal="center" vertical="center"/>
    </xf>
    <xf numFmtId="17" fontId="9" fillId="3" borderId="32" xfId="0" quotePrefix="1" applyNumberFormat="1" applyFont="1" applyFill="1" applyBorder="1" applyAlignment="1">
      <alignment horizontal="center" vertical="center"/>
    </xf>
    <xf numFmtId="17" fontId="9" fillId="3" borderId="31" xfId="0" applyNumberFormat="1" applyFont="1" applyFill="1" applyBorder="1" applyAlignment="1">
      <alignment horizontal="center" vertical="center"/>
    </xf>
    <xf numFmtId="17" fontId="9" fillId="3" borderId="32" xfId="0" applyNumberFormat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 wrapText="1"/>
    </xf>
    <xf numFmtId="0" fontId="8" fillId="0" borderId="4" xfId="1" applyFont="1" applyBorder="1" applyAlignment="1">
      <alignment horizontal="center" vertical="center" wrapText="1"/>
    </xf>
    <xf numFmtId="1" fontId="3" fillId="0" borderId="1" xfId="1" applyNumberFormat="1" applyFont="1" applyBorder="1" applyAlignment="1">
      <alignment horizontal="center" vertical="center" wrapText="1"/>
    </xf>
    <xf numFmtId="164" fontId="3" fillId="0" borderId="1" xfId="3" applyNumberFormat="1" applyFont="1" applyFill="1" applyBorder="1" applyAlignment="1">
      <alignment horizontal="center" vertical="center"/>
    </xf>
    <xf numFmtId="164" fontId="3" fillId="0" borderId="1" xfId="3" applyNumberFormat="1" applyFont="1" applyFill="1" applyBorder="1" applyAlignment="1">
      <alignment horizontal="center" vertical="center" wrapText="1"/>
    </xf>
    <xf numFmtId="0" fontId="8" fillId="0" borderId="1" xfId="1" applyFont="1" applyBorder="1" applyAlignment="1">
      <alignment horizontal="center" vertical="center" wrapText="1"/>
    </xf>
    <xf numFmtId="0" fontId="8" fillId="0" borderId="3" xfId="1" applyFont="1" applyBorder="1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/>
    </xf>
  </cellXfs>
  <cellStyles count="5">
    <cellStyle name="Comma" xfId="3" builtinId="3"/>
    <cellStyle name="Normal" xfId="0" builtinId="0"/>
    <cellStyle name="Normal 2" xfId="2" xr:uid="{00000000-0005-0000-0000-000002000000}"/>
    <cellStyle name="Normal 3" xfId="1" xr:uid="{00000000-0005-0000-0000-000003000000}"/>
    <cellStyle name="Percent" xfId="4" builtinId="5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none"/>
      </font>
      <numFmt numFmtId="168" formatCode="_(* #,##0_);_(* \(#,##0\);_(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none"/>
      </font>
      <numFmt numFmtId="168" formatCode="_(* #,##0_);_(* \(#,##0\);_(* &quot;-&quot;??_);_(@_)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none"/>
      </font>
      <numFmt numFmtId="168" formatCode="_(* #,##0_);_(* \(#,##0\);_(* &quot;-&quot;??_);_(@_)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none"/>
      </font>
      <numFmt numFmtId="168" formatCode="_(* #,##0_);_(* \(#,##0\);_(* &quot;-&quot;??_);_(@_)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 Light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 Light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35</xdr:row>
      <xdr:rowOff>0</xdr:rowOff>
    </xdr:from>
    <xdr:to>
      <xdr:col>2</xdr:col>
      <xdr:colOff>190499</xdr:colOff>
      <xdr:row>35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0" y="7651750"/>
          <a:ext cx="141816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21167</xdr:colOff>
      <xdr:row>34</xdr:row>
      <xdr:rowOff>0</xdr:rowOff>
    </xdr:from>
    <xdr:to>
      <xdr:col>3</xdr:col>
      <xdr:colOff>51667</xdr:colOff>
      <xdr:row>34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CxnSpPr/>
      </xdr:nvCxnSpPr>
      <xdr:spPr>
        <a:xfrm>
          <a:off x="21167" y="7842250"/>
          <a:ext cx="18720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21167</xdr:colOff>
      <xdr:row>34</xdr:row>
      <xdr:rowOff>0</xdr:rowOff>
    </xdr:from>
    <xdr:to>
      <xdr:col>2</xdr:col>
      <xdr:colOff>211666</xdr:colOff>
      <xdr:row>34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21167" y="7133167"/>
          <a:ext cx="141816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hafat.hossain\Desktop\Shareholding%20Posi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are Holding Position"/>
      <sheetName val="As Per Family"/>
      <sheetName val="Summary"/>
      <sheetName val="Pivot Table"/>
      <sheetName val="Share Holding Certificate"/>
      <sheetName val="Calculation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d. Shafat Hossain" refreshedDate="45566.645743634261" createdVersion="6" refreshedVersion="6" minRefreshableVersion="3" recordCount="118" xr:uid="{00000000-000A-0000-FFFF-FFFF00000000}">
  <cacheSource type="worksheet">
    <worksheetSource name="Table1"/>
  </cacheSource>
  <cacheFields count="10">
    <cacheField name="Name" numFmtId="0">
      <sharedItems count="84">
        <s v="Mr. Saifuzzaman Chowdhury"/>
        <s v="Mrs. Rukhmila Zaman"/>
        <s v="Legendary Assets Management Limited"/>
        <s v="Ardent Assets Management Limited"/>
        <s v="Splendid Trading Limited"/>
        <s v="Aromatic Properties Limited"/>
        <s v="Aramit Thai Aluminium Limited"/>
        <s v="Mr. Anisuzzaman Chowdhury"/>
        <s v="Mrs. Imrana Zaman Chowdhury"/>
        <s v="Mrs. Raisa Rahim Chowdhury"/>
        <s v="Mr. Asifuzzaman Chowdhury"/>
        <s v="Mrs. Nur Nahar Zaman"/>
        <s v="Mrs. Farhana Islam"/>
        <s v="Ms. Afroza Zaman"/>
        <s v="Mrs. Roxana Zaman Chaudhury"/>
        <s v="Nahar Metals Limited"/>
        <s v="Volkart Trading Limited"/>
        <s v="Mr. M. A. Sabur"/>
        <s v="Mrs. Motmayena Begum"/>
        <s v="Mr. Ahmed Arif Billah"/>
        <s v="Mrs. Fahima Akhter"/>
        <s v="Mrs. Farhana Akhter"/>
        <s v="Mr. Nurul Islam Chowdhury"/>
        <s v="Mrs. Afroza Islam Chowdhury"/>
        <s v="Mr. Zafrul Islam Chowdhury"/>
        <s v="Mrs. Begum Nurjahan Salam"/>
        <s v="Mrs. Jahanara Begum Chowdhury"/>
        <s v="Mr. Hajee Yunus Ahmed"/>
        <s v="Mrs. Khaleda Khanam"/>
        <s v="Mr. Hajee M. A. Kalam"/>
        <s v="Mr. Mohammed Nasim Kalam"/>
        <s v="Mr. Bazal Ahmed"/>
        <s v="Mrs. Shahin Sazzad"/>
        <s v="Mrs. Sadia Ershad"/>
        <s v="Mrs. Tuheen Sultana"/>
        <s v="Mr. Bashir Ahmed"/>
        <s v="Mrs. Arwa Bashir"/>
        <s v="Mr. Pradip Kumar Biswas"/>
        <s v="Mrs. Tarana Ahmed"/>
        <s v="Mr. Shabbir Ahmed"/>
        <s v="Mr. Parvez Ahmed"/>
        <s v="Mr. Md. Jahangir Alam Khan"/>
        <s v="Mr. Mohammad Tysir Khan"/>
        <s v="Mrs. Monowara Begum"/>
        <s v="Mr. Md. Tanvir Khan"/>
        <s v="Mrs. Tahsin Khanam"/>
        <s v="Mr. Kazi Enamul Hoque"/>
        <s v="Sheazeen Sadmin Hoque"/>
        <s v="Mr. Kazi Samirul Hoque"/>
        <s v="Mr. Nur Uddin Javed"/>
        <s v="Mrs. Nurtaz Begum"/>
        <s v="Mrs. Shamshad Begum"/>
        <s v="Mrs. Rasheda Begum"/>
        <s v="Md. Manjur Alam"/>
        <s v="Mrs. Hasina Begum"/>
        <s v="Mr. Rajiv Zafar Chowdhury"/>
        <s v="Mrs. Zafreen Zafar Chowdhury"/>
        <s v="Mr. M. A. Hashem"/>
        <s v="Mrs. Sultana Hashem"/>
        <s v="Mr. Showkat Aziz"/>
        <s v="Mr. Aziz Al Kaiser"/>
        <s v="Mr. Aziz Al Masud"/>
        <s v="Amber Super Yarn Ltd."/>
        <s v="Amber Cotton Mills Ltd."/>
        <s v="Mrs. Sultana Rezia Begum"/>
        <s v="Mr. Golam Lutfur Rabbani"/>
        <s v="Mr. Golam Khairul Rabbani"/>
        <s v="Mr. Naimual Quader Chowdhury"/>
        <s v="Mrs. Arafatunnessa Tania"/>
        <s v="Mrs. Farhana Gaffar"/>
        <s v="Mr. Abdul Gaffar Chowdhury"/>
        <s v="Mrs. Setara Begum"/>
        <s v="Miss. Zara Namreen"/>
        <s v="Parvez Ahmed" u="1"/>
        <s v="Sabbir Ahmed" u="1"/>
        <s v="Mr. Md. Manjur Alam" u="1"/>
        <s v="Mr. Sheazeen Sadmin Hoque" u="1"/>
        <s v="Mrs. Setara  Begum" u="1"/>
        <s v="Ms. Fahima Akhter" u="1"/>
        <s v="Ms. Rahima Begum" u="1"/>
        <s v="Mr. Shahin Sazzad" u="1"/>
        <s v="Ms. Raisa Rahim Chowdhury" u="1"/>
        <s v="Mr. Zafreen Zafar Chowdhury" u="1"/>
        <s v="Mrs. Roxana Zaman" u="1"/>
      </sharedItems>
    </cacheField>
    <cacheField name="Family" numFmtId="0">
      <sharedItems containsBlank="1"/>
    </cacheField>
    <cacheField name="Designation" numFmtId="0">
      <sharedItems/>
    </cacheField>
    <cacheField name="BO ID" numFmtId="49">
      <sharedItems containsBlank="1" count="125">
        <s v="1202130009679268"/>
        <s v="1202130006654736"/>
        <s v="1203310064705036"/>
        <s v="1203310064705317"/>
        <s v="1203310067250641"/>
        <s v="1203310068075301"/>
        <s v="1203410062947097"/>
        <s v="1205050062916976"/>
        <s v="1203310062947097"/>
        <s v="1202130015189741"/>
        <s v="1205590037456486"/>
        <s v="1205950068950050"/>
        <s v="1205950073113719"/>
        <s v="1202880033536726"/>
        <s v="1202130015189758"/>
        <s v="1202130015213108"/>
        <s v="1202130015275011"/>
        <s v="1202130015213116"/>
        <s v="1202130015213124"/>
        <s v="1202130063767591"/>
        <s v="1202130063038093"/>
        <s v="1202610007652324"/>
        <s v="1205590007652324"/>
        <s v="1205960035423966"/>
        <s v="1204480000180722"/>
        <s v="1205590000180722"/>
        <s v="1202610016328098"/>
        <s v="1205590016328098"/>
        <s v="1205590058587538"/>
        <s v="1205590000072771"/>
        <s v="1205960058587538"/>
        <s v="1204780000072771"/>
        <s v="1203520015299271"/>
        <s v="1205590045104388"/>
        <s v="1205590045139711"/>
        <s v="1205960002374841"/>
        <s v="1204780002374841"/>
        <s v="1202610002374841"/>
        <s v="1205590045135903"/>
        <s v="1205960063527511"/>
        <s v="1205960045135903"/>
        <s v="1203520015299288"/>
        <s v="1205590002374585"/>
        <s v="1205960050419736"/>
        <s v="1205590050419736"/>
        <s v="1202130015182946"/>
        <s v="1202130024727839"/>
        <s v="1202880015182946"/>
        <s v="1205590015358301"/>
        <s v="1301030004095156"/>
        <s v="1205800004095156"/>
        <s v="1205590016515712"/>
        <s v="1202880016515712"/>
        <s v="1301030016020735"/>
        <s v="1203680015674135"/>
        <s v="1203680015674119"/>
        <s v="1602110015775952"/>
        <s v="1202610003521517"/>
        <s v="1202610015887382"/>
        <s v="1205590015887382"/>
        <s v="1201830007965425"/>
        <s v="1202130054951073"/>
        <s v="1204290007965425"/>
        <s v="1604650007965425"/>
        <s v="1201840015470851"/>
        <s v="1204700012015198"/>
        <s v="1204780015000605"/>
        <s v="1301030001190681"/>
        <s v="1202130001190681"/>
        <s v="1203410001190681"/>
        <s v="1205590074717116"/>
        <s v="1201840001190681"/>
        <s v="1201840002165841"/>
        <s v="1204780000599958"/>
        <s v="1205590000599958"/>
        <s v="1201820000599958"/>
        <s v="1205590068983099"/>
        <s v="1201600007538430"/>
        <s v="1204480045094462"/>
        <s v="1202610007721546"/>
        <s v="1203250038299143"/>
        <s v="1203250039755336"/>
        <s v="1202610032375044"/>
        <s v="1203250020768894"/>
        <s v="1203250038299095"/>
        <s v="1202800015126354"/>
        <s v="1202800074786891"/>
        <s v="1202800074786966"/>
        <s v="1202640065698951"/>
        <s v="1203600009996053"/>
        <s v="1203680017142461"/>
        <s v="1201600003390425"/>
        <s v="1204950040657585"/>
        <s v="1204950040656521"/>
        <s v="1201720004164021"/>
        <s v="1201830034019413"/>
        <s v="1204030057883555"/>
        <s v="1205590057883555"/>
        <s v="1205590034019413"/>
        <s v="1205590057883539"/>
        <s v="1201500019500701"/>
        <s v="1203710019500701"/>
        <s v="1201500016952474"/>
        <s v="1201500014919655"/>
        <s v="1204500021478769"/>
        <s v="1201500015007666"/>
        <s v="1201510060486892"/>
        <s v="1201510054024693"/>
        <s v="1203410020350556"/>
        <s v="1204320035553889"/>
        <s v="1203600016104103"/>
        <s v="1205700016104103"/>
        <s v="1201720005513860"/>
        <s v="1201720005513879"/>
        <s v="1201720005513887"/>
        <s v="1203520016080605"/>
        <s v="1201720005513836"/>
        <s v="1201840028620541"/>
        <m u="1"/>
        <s v="1201830040131815" u="1"/>
        <s v="1203250045063838" u="1"/>
        <s v="1204780000599950" u="1"/>
        <s v="1201830034019405" u="1"/>
        <s v="1205590056265896" u="1"/>
        <s v="1203320054292668" u="1"/>
      </sharedItems>
    </cacheField>
    <cacheField name="Electronic Share" numFmtId="168">
      <sharedItems containsString="0" containsBlank="1" containsNumber="1" containsInteger="1" minValue="0" maxValue="39664627"/>
    </cacheField>
    <cacheField name="Paper Share" numFmtId="168">
      <sharedItems containsString="0" containsBlank="1" containsNumber="1" containsInteger="1" minValue="0" maxValue="291500"/>
    </cacheField>
    <cacheField name="Suspense Share" numFmtId="168">
      <sharedItems containsString="0" containsBlank="1" containsNumber="1" containsInteger="1" minValue="0" maxValue="45182"/>
    </cacheField>
    <cacheField name="Total Share" numFmtId="168">
      <sharedItems containsSemiMixedTypes="0" containsString="0" containsNumber="1" containsInteger="1" minValue="11" maxValue="41647858"/>
    </cacheField>
    <cacheField name="Share %" numFmtId="10">
      <sharedItems containsSemiMixedTypes="0" containsString="0" containsNumber="1" minValue="7.4498062110693657E-9" maxValue="2.8206224655103179E-2"/>
    </cacheField>
    <cacheField name="Value" numFmtId="0" formula="'Total Share'*1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8">
  <r>
    <x v="0"/>
    <s v="Mrs. Rukmila Zaman &amp; Family"/>
    <s v="Family"/>
    <x v="0"/>
    <n v="28126358"/>
    <n v="0"/>
    <n v="0"/>
    <n v="2068"/>
    <n v="1.4005635676810408E-6"/>
  </r>
  <r>
    <x v="1"/>
    <s v="Mrs. Rukmila Zaman &amp; Family"/>
    <s v="Former Director &amp; immediate past Chairman"/>
    <x v="1"/>
    <n v="28871"/>
    <n v="500"/>
    <n v="50"/>
    <n v="29532675"/>
    <n v="2.0001155058590271E-2"/>
  </r>
  <r>
    <x v="2"/>
    <s v="Mrs. Rukmila Zaman &amp; Family"/>
    <s v="Family"/>
    <x v="2"/>
    <n v="15553965"/>
    <n v="0"/>
    <n v="0"/>
    <n v="29555323"/>
    <n v="2.0016493532323751E-2"/>
  </r>
  <r>
    <x v="3"/>
    <s v="Mrs. Rukmila Zaman &amp; Family"/>
    <s v="Family"/>
    <x v="3"/>
    <n v="9338175"/>
    <n v="0"/>
    <n v="0"/>
    <n v="29555323"/>
    <n v="2.0016493532323751E-2"/>
  </r>
  <r>
    <x v="4"/>
    <s v="Mrs. Rukmila Zaman &amp; Family"/>
    <s v="Family"/>
    <x v="4"/>
    <n v="3362788"/>
    <n v="0"/>
    <n v="0"/>
    <n v="29555323"/>
    <n v="2.0016493532323751E-2"/>
  </r>
  <r>
    <x v="5"/>
    <s v="Mrs. Rukmila Zaman &amp; Family"/>
    <s v="Family"/>
    <x v="5"/>
    <n v="39355771"/>
    <n v="0"/>
    <n v="0"/>
    <n v="29542590"/>
    <n v="2.0007870043006883E-2"/>
  </r>
  <r>
    <x v="6"/>
    <s v="Mrs. Rukmila Zaman &amp; Family"/>
    <s v="Family"/>
    <x v="6"/>
    <n v="13995775"/>
    <n v="0"/>
    <n v="0"/>
    <n v="18911203"/>
    <n v="1.2807708869835784E-2"/>
  </r>
  <r>
    <x v="6"/>
    <s v="Mrs. Rukmila Zaman &amp; Family"/>
    <s v="Family"/>
    <x v="7"/>
    <n v="3908991"/>
    <n v="0"/>
    <n v="0"/>
    <n v="154079"/>
    <n v="1.043507901086688E-4"/>
  </r>
  <r>
    <x v="6"/>
    <s v="Mrs. Rukmila Zaman &amp; Family"/>
    <s v="Family"/>
    <x v="8"/>
    <n v="3346547"/>
    <n v="0"/>
    <n v="0"/>
    <n v="11205810"/>
    <n v="7.5891920852784733E-3"/>
  </r>
  <r>
    <x v="7"/>
    <s v="Mr. Anisuzzaman Chowdhury &amp; Family"/>
    <s v="Director"/>
    <x v="9"/>
    <n v="761728"/>
    <n v="0"/>
    <n v="0"/>
    <n v="41323559"/>
    <n v="2.7986591500153764E-2"/>
  </r>
  <r>
    <x v="8"/>
    <s v="Mr. Anisuzzaman Chowdhury &amp; Family"/>
    <s v="Family"/>
    <x v="10"/>
    <n v="1353349"/>
    <n v="0"/>
    <n v="0"/>
    <n v="115211"/>
    <n v="7.8027238489410244E-5"/>
  </r>
  <r>
    <x v="8"/>
    <s v="Mr. Anisuzzaman Chowdhury &amp; Family"/>
    <s v="Family"/>
    <x v="11"/>
    <n v="5883049"/>
    <n v="0"/>
    <n v="0"/>
    <n v="5984778"/>
    <n v="4.0532214832973909E-3"/>
  </r>
  <r>
    <x v="9"/>
    <s v="Mr. Anisuzzaman Chowdhury &amp; Family"/>
    <s v="Family"/>
    <x v="12"/>
    <n v="1291163"/>
    <n v="0"/>
    <n v="0"/>
    <n v="18042797"/>
    <n v="1.2219576468696702E-2"/>
  </r>
  <r>
    <x v="10"/>
    <s v="Mr. Asifuzzaman Chowdhury &amp; Family"/>
    <s v="Director"/>
    <x v="13"/>
    <n v="9432396"/>
    <n v="0"/>
    <n v="0"/>
    <n v="3063"/>
    <n v="2.0744324022277697E-6"/>
  </r>
  <r>
    <x v="10"/>
    <s v="Mr. Asifuzzaman Chowdhury &amp; Family"/>
    <s v="Director"/>
    <x v="14"/>
    <n v="8404357"/>
    <n v="0"/>
    <n v="0"/>
    <n v="41647858"/>
    <n v="2.8206224655103179E-2"/>
  </r>
  <r>
    <x v="11"/>
    <s v="Mrs. Nur Nahar Zaman &amp; Family"/>
    <s v="Family"/>
    <x v="15"/>
    <n v="5131350"/>
    <n v="0"/>
    <n v="0"/>
    <n v="8675670"/>
    <n v="5.8756418410171058E-3"/>
  </r>
  <r>
    <x v="12"/>
    <s v="Mrs. Nur Nahar Zaman &amp; Family"/>
    <s v="Family"/>
    <x v="16"/>
    <n v="5213791"/>
    <n v="0"/>
    <n v="0"/>
    <n v="1413"/>
    <n v="9.569614705673648E-7"/>
  </r>
  <r>
    <x v="13"/>
    <s v="Mrs. Nur Nahar Zaman &amp; Family"/>
    <s v="Former Director"/>
    <x v="17"/>
    <n v="18927355"/>
    <n v="0"/>
    <n v="0"/>
    <n v="1270"/>
    <n v="8.6011398982346315E-7"/>
  </r>
  <r>
    <x v="14"/>
    <s v="Mrs. Nur Nahar Zaman &amp; Family"/>
    <s v="Director"/>
    <x v="18"/>
    <n v="168086"/>
    <n v="0"/>
    <n v="0"/>
    <n v="1340"/>
    <n v="9.0752184753026819E-7"/>
  </r>
  <r>
    <x v="15"/>
    <s v="Mrs. Nur Nahar Zaman &amp; Family"/>
    <s v="Family"/>
    <x v="19"/>
    <n v="9034971"/>
    <n v="0"/>
    <n v="0"/>
    <n v="29531510"/>
    <n v="2.0000366056387008E-2"/>
  </r>
  <r>
    <x v="16"/>
    <s v="Mrs. Nur Nahar Zaman &amp; Family"/>
    <s v="Family"/>
    <x v="20"/>
    <n v="2918"/>
    <n v="0"/>
    <n v="0"/>
    <n v="29555323"/>
    <n v="2.0016493532323751E-2"/>
  </r>
  <r>
    <x v="17"/>
    <s v="Mr. M. A. Sabur  &amp; Family"/>
    <s v="Director"/>
    <x v="21"/>
    <n v="39664627"/>
    <n v="0"/>
    <n v="0"/>
    <n v="14695563"/>
    <n v="9.9526451375055603E-3"/>
  </r>
  <r>
    <x v="17"/>
    <s v="Mr. M. A. Sabur  &amp; Family"/>
    <s v="Director"/>
    <x v="22"/>
    <n v="30372582"/>
    <n v="0"/>
    <n v="0"/>
    <n v="4104440"/>
    <n v="2.7797529640874136E-3"/>
  </r>
  <r>
    <x v="17"/>
    <s v="Mr. M. A. Sabur  &amp; Family"/>
    <s v="Director"/>
    <x v="23"/>
    <n v="26960495"/>
    <n v="0"/>
    <n v="0"/>
    <n v="799814"/>
    <n v="5.4167811862729394E-4"/>
  </r>
  <r>
    <x v="17"/>
    <s v="Mr. M. A. Sabur  &amp; Family"/>
    <s v="Director"/>
    <x v="24"/>
    <n v="1167170"/>
    <n v="0"/>
    <n v="0"/>
    <n v="6177201"/>
    <n v="4.1835409433476269E-3"/>
  </r>
  <r>
    <x v="17"/>
    <s v="Mr. M. A. Sabur  &amp; Family"/>
    <s v="Director"/>
    <x v="25"/>
    <n v="8262543"/>
    <n v="0"/>
    <n v="0"/>
    <n v="1355721"/>
    <n v="9.1816897511610648E-4"/>
  </r>
  <r>
    <x v="17"/>
    <s v="Mr. M. A. Sabur  &amp; Family"/>
    <s v="Director"/>
    <x v="26"/>
    <n v="504815"/>
    <n v="0"/>
    <n v="0"/>
    <n v="3513874"/>
    <n v="2.3797891227377416E-3"/>
  </r>
  <r>
    <x v="17"/>
    <s v="Mr. M. A. Sabur  &amp; Family"/>
    <s v="Director"/>
    <x v="27"/>
    <n v="632"/>
    <n v="0"/>
    <n v="0"/>
    <n v="1421016"/>
    <n v="9.6239034752990419E-4"/>
  </r>
  <r>
    <x v="18"/>
    <s v="Mr. M. A. Sabur  &amp; Family"/>
    <s v="Family"/>
    <x v="28"/>
    <n v="1970"/>
    <n v="0"/>
    <n v="0"/>
    <n v="186784"/>
    <n v="1.2650041848439822E-4"/>
  </r>
  <r>
    <x v="18"/>
    <s v="Mr. M. A. Sabur  &amp; Family"/>
    <s v="Family"/>
    <x v="29"/>
    <n v="109725"/>
    <n v="0"/>
    <n v="0"/>
    <n v="3646"/>
    <n v="2.4692721314144461E-6"/>
  </r>
  <r>
    <x v="18"/>
    <s v="Mr. M. A. Sabur  &amp; Family"/>
    <s v="Family"/>
    <x v="30"/>
    <n v="1277"/>
    <n v="0"/>
    <n v="0"/>
    <n v="20000"/>
    <n v="1.3545102201944302E-5"/>
  </r>
  <r>
    <x v="18"/>
    <s v="Mr. M. A. Sabur  &amp; Family"/>
    <s v="Family"/>
    <x v="31"/>
    <n v="1210"/>
    <n v="0"/>
    <n v="0"/>
    <n v="168087"/>
    <n v="1.1383777969091059E-4"/>
  </r>
  <r>
    <x v="18"/>
    <s v="Mr. M. A. Sabur  &amp; Family"/>
    <s v="Family"/>
    <x v="32"/>
    <n v="14521000"/>
    <n v="0"/>
    <n v="0"/>
    <n v="890"/>
    <n v="6.0275704798652139E-7"/>
  </r>
  <r>
    <x v="19"/>
    <s v="Mr. M. A. Sabur  &amp; Family"/>
    <s v="Family"/>
    <x v="33"/>
    <n v="1346"/>
    <n v="0"/>
    <n v="0"/>
    <n v="1887945"/>
    <n v="1.2786203988324866E-3"/>
  </r>
  <r>
    <x v="19"/>
    <s v="Mr. M. A. Sabur  &amp; Family"/>
    <s v="Family"/>
    <x v="34"/>
    <n v="1065000"/>
    <n v="0"/>
    <n v="0"/>
    <n v="1287360"/>
    <n v="8.7187113853475081E-4"/>
  </r>
  <r>
    <x v="19"/>
    <s v="Mr. M. A. Sabur  &amp; Family"/>
    <s v="Family"/>
    <x v="35"/>
    <n v="1559137"/>
    <n v="0"/>
    <n v="0"/>
    <n v="7864932"/>
    <n v="5.3265653875671096E-3"/>
  </r>
  <r>
    <x v="19"/>
    <s v="Mr. M. A. Sabur  &amp; Family"/>
    <s v="Family"/>
    <x v="36"/>
    <n v="6646"/>
    <n v="28400"/>
    <n v="2840"/>
    <n v="15292378"/>
    <n v="1.0356841146038229E-2"/>
  </r>
  <r>
    <x v="19"/>
    <s v="Mr. M. A. Sabur  &amp; Family"/>
    <s v="Family"/>
    <x v="37"/>
    <n v="1772885"/>
    <n v="0"/>
    <n v="0"/>
    <n v="4217626"/>
    <n v="2.8564087609788767E-3"/>
  </r>
  <r>
    <x v="20"/>
    <s v="Mr. M. A. Sabur  &amp; Family"/>
    <s v="Family"/>
    <x v="38"/>
    <n v="4969373"/>
    <n v="0"/>
    <n v="0"/>
    <n v="138249"/>
    <n v="9.3629841715829883E-5"/>
  </r>
  <r>
    <x v="20"/>
    <s v="Mr. M. A. Sabur  &amp; Family"/>
    <s v="Family"/>
    <x v="39"/>
    <n v="3866003"/>
    <n v="0"/>
    <n v="0"/>
    <n v="86226"/>
    <n v="5.8396999123242468E-5"/>
  </r>
  <r>
    <x v="20"/>
    <s v="Mr. M. A. Sabur  &amp; Family"/>
    <s v="Family"/>
    <x v="40"/>
    <n v="9216966"/>
    <n v="0"/>
    <n v="0"/>
    <n v="195657"/>
    <n v="1.3250970307629082E-4"/>
  </r>
  <r>
    <x v="20"/>
    <s v="Mr. M. A. Sabur  &amp; Family"/>
    <s v="Family"/>
    <x v="41"/>
    <n v="4202178"/>
    <n v="0"/>
    <n v="0"/>
    <n v="176581"/>
    <n v="1.1959038459607634E-4"/>
  </r>
  <r>
    <x v="21"/>
    <s v="Mr. M. A. Sabur  &amp; Family"/>
    <s v="Family"/>
    <x v="42"/>
    <n v="865550"/>
    <n v="0"/>
    <n v="0"/>
    <n v="1320"/>
    <n v="8.9397674532832391E-7"/>
  </r>
  <r>
    <x v="21"/>
    <s v="Mr. M. A. Sabur  &amp; Family"/>
    <s v="Family"/>
    <x v="43"/>
    <n v="2523538"/>
    <n v="0"/>
    <n v="0"/>
    <n v="226621"/>
    <n v="1.5348023030534096E-4"/>
  </r>
  <r>
    <x v="21"/>
    <s v="Mr. M. A. Sabur  &amp; Family"/>
    <s v="Family"/>
    <x v="44"/>
    <n v="133268"/>
    <n v="0"/>
    <n v="0"/>
    <n v="130896"/>
    <n v="8.8649984891285062E-5"/>
  </r>
  <r>
    <x v="22"/>
    <s v="Mr. Md. Nurul Islam Chowdhury &amp; Family"/>
    <s v="Former Director"/>
    <x v="45"/>
    <n v="9894471"/>
    <n v="0"/>
    <n v="0"/>
    <n v="19873722"/>
    <n v="1.3459579781151445E-2"/>
  </r>
  <r>
    <x v="22"/>
    <s v="Mr. Md. Nurul Islam Chowdhury &amp; Family"/>
    <s v="Former Director"/>
    <x v="46"/>
    <n v="23496161"/>
    <n v="0"/>
    <n v="0"/>
    <n v="176490"/>
    <n v="1.1952875438105748E-4"/>
  </r>
  <r>
    <x v="22"/>
    <s v="Mr. Md. Nurul Islam Chowdhury &amp; Family"/>
    <s v="Former Director"/>
    <x v="47"/>
    <n v="20"/>
    <n v="0"/>
    <n v="0"/>
    <n v="9486719"/>
    <n v="6.4249289208063417E-3"/>
  </r>
  <r>
    <x v="23"/>
    <s v="Mr. Md. Nurul Islam Chowdhury &amp; Family"/>
    <s v="Family"/>
    <x v="48"/>
    <n v="26704183"/>
    <n v="0"/>
    <n v="0"/>
    <n v="1097"/>
    <n v="7.4294885577664493E-7"/>
  </r>
  <r>
    <x v="24"/>
    <s v="Mr. Zafrul Islam Chowdhury &amp; Family"/>
    <s v="Family"/>
    <x v="49"/>
    <n v="386599"/>
    <n v="0"/>
    <n v="0"/>
    <n v="1111250"/>
    <n v="7.5259974109553028E-4"/>
  </r>
  <r>
    <x v="24"/>
    <s v="Mr. Zafrul Islam Chowdhury &amp; Family"/>
    <s v="Family"/>
    <x v="50"/>
    <n v="64"/>
    <n v="0"/>
    <n v="0"/>
    <n v="9830821"/>
    <n v="6.6579737587010137E-3"/>
  </r>
  <r>
    <x v="25"/>
    <s v="Mr. Zafrul Islam Chowdhury &amp; Family"/>
    <s v="Family"/>
    <x v="51"/>
    <n v="39"/>
    <n v="0"/>
    <n v="0"/>
    <n v="1637093"/>
    <n v="1.1087295999543802E-3"/>
  </r>
  <r>
    <x v="25"/>
    <s v="Mr. Zafrul Islam Chowdhury &amp; Family"/>
    <s v="Family"/>
    <x v="52"/>
    <n v="1798043"/>
    <n v="0"/>
    <n v="0"/>
    <n v="39780"/>
    <n v="2.6941208279667214E-5"/>
  </r>
  <r>
    <x v="26"/>
    <s v="Mr. Zafrul Islam Chowdhury &amp; Family"/>
    <s v="Family"/>
    <x v="53"/>
    <n v="1226058"/>
    <n v="0"/>
    <n v="0"/>
    <n v="1861529"/>
    <n v="1.2607300278441587E-3"/>
  </r>
  <r>
    <x v="27"/>
    <s v="Hajee Yunus Ahmed &amp; Family"/>
    <s v="Sponsor"/>
    <x v="54"/>
    <n v="7490412"/>
    <n v="0"/>
    <n v="0"/>
    <n v="31891211"/>
    <n v="2.1598485616938515E-2"/>
  </r>
  <r>
    <x v="28"/>
    <s v="Hajee Yunus Ahmed &amp; Family"/>
    <s v="Family"/>
    <x v="55"/>
    <n v="14564170"/>
    <n v="0"/>
    <n v="0"/>
    <n v="5217841"/>
    <n v="3.5338094809247629E-3"/>
  </r>
  <r>
    <x v="29"/>
    <s v="Hajee M. A. Kalam &amp; Family"/>
    <s v="Former Director"/>
    <x v="56"/>
    <n v="4016787"/>
    <n v="0"/>
    <n v="0"/>
    <n v="17041349"/>
    <n v="1.1541340693200066E-2"/>
  </r>
  <r>
    <x v="29"/>
    <s v="Hajee M. A. Kalam &amp; Family"/>
    <s v="Former Director"/>
    <x v="57"/>
    <n v="177890"/>
    <n v="0"/>
    <n v="0"/>
    <n v="992698"/>
    <n v="6.7230979328328515E-4"/>
  </r>
  <r>
    <x v="30"/>
    <s v="Hajee M. A. Kalam &amp; Family"/>
    <s v="Family"/>
    <x v="58"/>
    <n v="3473"/>
    <n v="0"/>
    <n v="0"/>
    <n v="4059303"/>
    <n v="2.7491837001829555E-3"/>
  </r>
  <r>
    <x v="30"/>
    <s v="Hajee M. A. Kalam &amp; Family"/>
    <s v="Family"/>
    <x v="59"/>
    <n v="16673"/>
    <n v="0"/>
    <n v="0"/>
    <n v="25590098"/>
    <n v="1.7331024638388523E-2"/>
  </r>
  <r>
    <x v="31"/>
    <s v="Mr. Bazal Ahmed &amp; Family"/>
    <s v="Director"/>
    <x v="60"/>
    <n v="160083"/>
    <n v="0"/>
    <n v="0"/>
    <n v="9904015"/>
    <n v="6.7075447692294694E-3"/>
  </r>
  <r>
    <x v="31"/>
    <s v="Mr. Bazal Ahmed &amp; Family"/>
    <s v="Director"/>
    <x v="61"/>
    <n v="848"/>
    <n v="0"/>
    <n v="0"/>
    <n v="8824574"/>
    <n v="5.9764878359310214E-3"/>
  </r>
  <r>
    <x v="31"/>
    <s v="Mr. Bazal Ahmed &amp; Family"/>
    <s v="Director"/>
    <x v="62"/>
    <n v="253469"/>
    <n v="0"/>
    <n v="0"/>
    <n v="5387917"/>
    <n v="3.6489943210296569E-3"/>
  </r>
  <r>
    <x v="31"/>
    <s v="Mr. Bazal Ahmed &amp; Family"/>
    <s v="Director"/>
    <x v="63"/>
    <n v="1258"/>
    <n v="0"/>
    <n v="0"/>
    <n v="5474480"/>
    <n v="3.7076195551250021E-3"/>
  </r>
  <r>
    <x v="32"/>
    <s v="Mr. Bazal Ahmed &amp; Family"/>
    <s v="Family"/>
    <x v="64"/>
    <n v="168173"/>
    <n v="0"/>
    <n v="0"/>
    <n v="908827"/>
    <n v="6.1550772994432162E-4"/>
  </r>
  <r>
    <x v="33"/>
    <s v="Mr. Bazal Ahmed &amp; Family"/>
    <s v="Family"/>
    <x v="65"/>
    <n v="215830"/>
    <n v="0"/>
    <n v="0"/>
    <n v="2649714"/>
    <n v="1.7945323467961321E-3"/>
  </r>
  <r>
    <x v="34"/>
    <s v="Mr. Bazal Ahmed &amp; Family"/>
    <s v="Family"/>
    <x v="66"/>
    <n v="124663"/>
    <n v="0"/>
    <n v="0"/>
    <n v="2035071"/>
    <n v="1.3782622341606495E-3"/>
  </r>
  <r>
    <x v="35"/>
    <s v="Mr. Bashir Ahmed &amp; Family"/>
    <s v="Vice-Chairman"/>
    <x v="67"/>
    <n v="1400726"/>
    <n v="0"/>
    <n v="0"/>
    <n v="30891"/>
    <n v="2.0921087606013069E-5"/>
  </r>
  <r>
    <x v="35"/>
    <s v="Mr. Bashir Ahmed &amp; Family"/>
    <s v="Vice-Chairman"/>
    <x v="68"/>
    <n v="24478"/>
    <n v="0"/>
    <n v="0"/>
    <n v="16331663"/>
    <n v="1.1060702223135613E-2"/>
  </r>
  <r>
    <x v="35"/>
    <s v="Mr. Bashir Ahmed &amp; Family"/>
    <s v="Vice-Chairman"/>
    <x v="69"/>
    <n v="1216311"/>
    <n v="0"/>
    <n v="0"/>
    <n v="9805083"/>
    <n v="6.6405425666773319E-3"/>
  </r>
  <r>
    <x v="36"/>
    <s v="Mr. Bashir Ahmed &amp; Family"/>
    <s v="Family"/>
    <x v="70"/>
    <n v="42"/>
    <n v="0"/>
    <n v="0"/>
    <n v="945000"/>
    <n v="6.4000607904186825E-4"/>
  </r>
  <r>
    <x v="35"/>
    <s v="Mr. Bashir Ahmed &amp; Family"/>
    <s v="Vice-Chairman"/>
    <x v="71"/>
    <n v="133402"/>
    <n v="0"/>
    <n v="0"/>
    <n v="3530927"/>
    <n v="2.3913383541302293E-3"/>
  </r>
  <r>
    <x v="37"/>
    <s v="Mr. Bashir Ahmed &amp; Family"/>
    <s v="Family"/>
    <x v="72"/>
    <n v="1337107"/>
    <n v="0"/>
    <n v="0"/>
    <n v="12976425"/>
    <n v="8.7883501420432542E-3"/>
  </r>
  <r>
    <x v="37"/>
    <s v="Mr. Bashir Ahmed &amp; Family"/>
    <s v="Family"/>
    <x v="73"/>
    <n v="198246"/>
    <n v="0"/>
    <n v="0"/>
    <n v="7276501"/>
    <n v="4.9280474858774959E-3"/>
  </r>
  <r>
    <x v="37"/>
    <m/>
    <s v="Family"/>
    <x v="74"/>
    <m/>
    <m/>
    <m/>
    <n v="5465973"/>
    <n v="3.701858145903405E-3"/>
  </r>
  <r>
    <x v="37"/>
    <m/>
    <s v="Family"/>
    <x v="75"/>
    <m/>
    <m/>
    <m/>
    <n v="2405480"/>
    <n v="1.6291236222366488E-3"/>
  </r>
  <r>
    <x v="38"/>
    <s v="Mr. Bashir Ahmed &amp; Family"/>
    <s v="Family"/>
    <x v="76"/>
    <n v="317925"/>
    <n v="0"/>
    <n v="0"/>
    <n v="15522240"/>
    <n v="1.0512516360155396E-2"/>
  </r>
  <r>
    <x v="39"/>
    <s v="SHABBIR AHMED &amp; Family"/>
    <s v="Family"/>
    <x v="77"/>
    <n v="1334242"/>
    <n v="0"/>
    <n v="0"/>
    <n v="10389194"/>
    <n v="7.036134726291326E-3"/>
  </r>
  <r>
    <x v="40"/>
    <s v="SHABBIR AHMED &amp; Family"/>
    <s v="Family"/>
    <x v="78"/>
    <n v="24722465"/>
    <n v="0"/>
    <n v="0"/>
    <n v="139931"/>
    <n v="9.4768984811013403E-5"/>
  </r>
  <r>
    <x v="41"/>
    <s v="Mr. Md. Jahangir Alam Khan &amp; Family"/>
    <s v="Family"/>
    <x v="79"/>
    <n v="8698508"/>
    <n v="0"/>
    <n v="0"/>
    <n v="22181450"/>
    <n v="1.5022500361865872E-2"/>
  </r>
  <r>
    <x v="42"/>
    <s v="Mr. Md. Jahangir Alam Khan &amp; Family"/>
    <s v="Family"/>
    <x v="80"/>
    <n v="28244458"/>
    <n v="0"/>
    <n v="0"/>
    <n v="40"/>
    <n v="2.7090204403888601E-8"/>
  </r>
  <r>
    <x v="43"/>
    <s v="Mr. Md. Jahangir Alam Khan &amp; Family"/>
    <s v="Family"/>
    <x v="81"/>
    <n v="87403"/>
    <n v="0"/>
    <n v="0"/>
    <n v="21"/>
    <n v="1.4222357312041516E-8"/>
  </r>
  <r>
    <x v="44"/>
    <s v="Mr. Md. Jahangir Alam Khan &amp; Family"/>
    <s v="Family"/>
    <x v="82"/>
    <n v="12708279"/>
    <n v="0"/>
    <n v="0"/>
    <n v="28039392"/>
    <n v="1.8989821516018971E-2"/>
  </r>
  <r>
    <x v="44"/>
    <m/>
    <s v="Family"/>
    <x v="83"/>
    <m/>
    <m/>
    <m/>
    <n v="405928"/>
    <n v="2.7491681233154231E-4"/>
  </r>
  <r>
    <x v="45"/>
    <s v="Mr. Md. Jahangir Alam Khan &amp; Family"/>
    <s v="Family"/>
    <x v="84"/>
    <n v="211339"/>
    <n v="0"/>
    <n v="0"/>
    <n v="67"/>
    <n v="4.5376092376513409E-8"/>
  </r>
  <r>
    <x v="46"/>
    <s v="Kazi Enamul Haque &amp; Family"/>
    <s v="Family"/>
    <x v="85"/>
    <n v="4487351"/>
    <n v="0"/>
    <n v="0"/>
    <n v="1470762"/>
    <n v="9.9608108023680028E-4"/>
  </r>
  <r>
    <x v="47"/>
    <m/>
    <s v="Family"/>
    <x v="86"/>
    <m/>
    <m/>
    <m/>
    <n v="1470761"/>
    <n v="9.9608040298169022E-4"/>
  </r>
  <r>
    <x v="48"/>
    <m/>
    <s v="Family"/>
    <x v="87"/>
    <m/>
    <m/>
    <m/>
    <n v="2941524"/>
    <n v="1.9921621604736006E-3"/>
  </r>
  <r>
    <x v="48"/>
    <m/>
    <s v="Family"/>
    <x v="88"/>
    <m/>
    <m/>
    <m/>
    <n v="2612730"/>
    <n v="1.7694847438042968E-3"/>
  </r>
  <r>
    <x v="49"/>
    <s v="Mr. Nuruddin Javed &amp; Family"/>
    <s v="Family"/>
    <x v="89"/>
    <n v="4797475"/>
    <n v="0"/>
    <n v="0"/>
    <n v="25701"/>
    <n v="1.7406133584608523E-5"/>
  </r>
  <r>
    <x v="50"/>
    <s v="Mr. Nuruddin Javed &amp; Family"/>
    <s v="Family"/>
    <x v="90"/>
    <n v="25966"/>
    <n v="18420"/>
    <n v="2855"/>
    <n v="1277126"/>
    <n v="8.649401097380159E-4"/>
  </r>
  <r>
    <x v="51"/>
    <s v="Mr. Nuruddin Javed &amp; Family"/>
    <s v="Family"/>
    <x v="91"/>
    <n v="0"/>
    <n v="126640"/>
    <n v="19629"/>
    <n v="44"/>
    <n v="2.9799224844277463E-8"/>
  </r>
  <r>
    <x v="52"/>
    <s v="Mr. Nuruddin Javed &amp; Family"/>
    <s v="Family"/>
    <x v="92"/>
    <n v="11"/>
    <n v="0"/>
    <n v="0"/>
    <n v="140072"/>
    <n v="9.4864477781537104E-5"/>
  </r>
  <r>
    <x v="53"/>
    <s v="Mr. Nuruddin Javed &amp; Family"/>
    <s v="Family"/>
    <x v="93"/>
    <n v="11"/>
    <n v="0"/>
    <n v="0"/>
    <n v="1323962"/>
    <n v="8.966600300745291E-4"/>
  </r>
  <r>
    <x v="54"/>
    <s v="Mr. Zafar Ahmed Chowdhury &amp; Family"/>
    <s v="Family"/>
    <x v="94"/>
    <n v="0"/>
    <n v="291500"/>
    <n v="45182"/>
    <n v="208158"/>
    <n v="1.4097606920761611E-4"/>
  </r>
  <r>
    <x v="55"/>
    <s v="Mr. Zafar Ahmed Chowdhury &amp; Family"/>
    <s v="Family"/>
    <x v="95"/>
    <n v="52214"/>
    <n v="170"/>
    <n v="26"/>
    <n v="1261001"/>
    <n v="8.5401937108769825E-4"/>
  </r>
  <r>
    <x v="55"/>
    <s v="Mr. Zafar Ahmed Chowdhury &amp; Family"/>
    <s v="Family"/>
    <x v="96"/>
    <n v="1938163"/>
    <n v="0"/>
    <n v="0"/>
    <n v="181843"/>
    <n v="1.2315410098540788E-4"/>
  </r>
  <r>
    <x v="55"/>
    <s v="Mr. Zafar Ahmed Chowdhury &amp; Family"/>
    <s v="Family"/>
    <x v="97"/>
    <n v="1045"/>
    <n v="0"/>
    <n v="0"/>
    <n v="3445431"/>
    <n v="2.3334357512373579E-3"/>
  </r>
  <r>
    <x v="55"/>
    <s v="Mr. Zafar Ahmed Chowdhury &amp; Family"/>
    <s v="Family"/>
    <x v="98"/>
    <n v="131666"/>
    <n v="0"/>
    <n v="0"/>
    <n v="201382"/>
    <n v="1.3638698858159737E-4"/>
  </r>
  <r>
    <x v="56"/>
    <s v="Mr. Zafar Ahmed Chowdhury &amp; Family"/>
    <s v="Family"/>
    <x v="99"/>
    <n v="82120"/>
    <n v="0"/>
    <n v="0"/>
    <n v="3887644"/>
    <n v="2.6329267652387776E-3"/>
  </r>
  <r>
    <x v="57"/>
    <s v="Mr. M. A. Hashem &amp; Family"/>
    <s v="Former Director"/>
    <x v="100"/>
    <n v="186340"/>
    <n v="0"/>
    <n v="0"/>
    <n v="25958588"/>
    <n v="1.7580586373908247E-2"/>
  </r>
  <r>
    <x v="57"/>
    <s v="Mr. M. A. Hashem &amp; Family"/>
    <s v="Former Director"/>
    <x v="101"/>
    <n v="5347408"/>
    <n v="0"/>
    <n v="0"/>
    <n v="9133433"/>
    <n v="6.185664171980537E-3"/>
  </r>
  <r>
    <x v="58"/>
    <s v="Mr. M. A. Hashem &amp; Family"/>
    <s v="Sponsor"/>
    <x v="102"/>
    <n v="16342384"/>
    <n v="0"/>
    <n v="0"/>
    <n v="530055"/>
    <n v="3.5898245738257933E-4"/>
  </r>
  <r>
    <x v="59"/>
    <s v="Mr. M. A. Hashem &amp; Family"/>
    <s v="Family"/>
    <x v="103"/>
    <n v="12358500"/>
    <n v="0"/>
    <n v="0"/>
    <n v="29656680"/>
    <n v="2.0085138078517875E-2"/>
  </r>
  <r>
    <x v="60"/>
    <s v="Mr. M. A. Hashem &amp; Family"/>
    <s v="Family"/>
    <x v="104"/>
    <n v="6930001"/>
    <n v="0"/>
    <n v="0"/>
    <n v="91773"/>
    <n v="6.2153733218951713E-5"/>
  </r>
  <r>
    <x v="61"/>
    <s v="Mr. M. A. Hashem &amp; Family"/>
    <s v="Family"/>
    <x v="105"/>
    <n v="9376950"/>
    <n v="0"/>
    <n v="0"/>
    <n v="14503692"/>
    <n v="9.8226995222760981E-3"/>
  </r>
  <r>
    <x v="62"/>
    <s v="Mr. M. A. Hashem &amp; Family"/>
    <s v="Family"/>
    <x v="106"/>
    <m/>
    <m/>
    <m/>
    <n v="3177491"/>
    <n v="2.15197201703791E-3"/>
  </r>
  <r>
    <x v="63"/>
    <s v="Mr. M. A. Hashem &amp; Family"/>
    <s v="Family"/>
    <x v="107"/>
    <m/>
    <m/>
    <m/>
    <n v="333371"/>
    <n v="2.2577721330821869E-4"/>
  </r>
  <r>
    <x v="64"/>
    <s v="Mrs. Sultana Rezia Begum &amp; Family"/>
    <s v="Family"/>
    <x v="108"/>
    <m/>
    <m/>
    <m/>
    <n v="203184"/>
    <n v="1.3760740228999254E-4"/>
  </r>
  <r>
    <x v="65"/>
    <s v="Mrs. Sultana Rezia Begum &amp; Family"/>
    <s v="Family"/>
    <x v="109"/>
    <m/>
    <m/>
    <m/>
    <n v="11"/>
    <n v="7.4498062110693657E-9"/>
  </r>
  <r>
    <x v="66"/>
    <s v="Mrs. Sultana Rezia Begum &amp; Family"/>
    <s v="Family"/>
    <x v="110"/>
    <m/>
    <m/>
    <m/>
    <n v="354545"/>
    <n v="2.4011741300941712E-4"/>
  </r>
  <r>
    <x v="66"/>
    <s v="Mrs. Sultana Rezia Begum &amp; Family"/>
    <s v="Family"/>
    <x v="111"/>
    <m/>
    <m/>
    <m/>
    <n v="9265346"/>
    <n v="6.2750029253187912E-3"/>
  </r>
  <r>
    <x v="67"/>
    <s v="Mr. Abdul Gaffar Chowdhury Family &amp; Family"/>
    <s v="Family"/>
    <x v="112"/>
    <m/>
    <m/>
    <m/>
    <n v="9686272"/>
    <n v="6.5600772097915714E-3"/>
  </r>
  <r>
    <x v="68"/>
    <s v="Mr. Abdul Gaffar Chowdhury Family &amp; Family"/>
    <s v="Family"/>
    <x v="113"/>
    <m/>
    <m/>
    <m/>
    <n v="4711718"/>
    <n v="3.1910350928370298E-3"/>
  </r>
  <r>
    <x v="69"/>
    <s v="Mr. Abdul Gaffar Chowdhury Family &amp; Family"/>
    <s v="Family"/>
    <x v="114"/>
    <m/>
    <m/>
    <m/>
    <n v="5037348"/>
    <n v="3.4115696743379862E-3"/>
  </r>
  <r>
    <x v="70"/>
    <s v="Mr. Abdul Gaffar Chowdhury Family &amp; Family"/>
    <s v="Family"/>
    <x v="115"/>
    <m/>
    <m/>
    <m/>
    <n v="663"/>
    <n v="4.4902013799445358E-7"/>
  </r>
  <r>
    <x v="71"/>
    <s v="Mr. Abdul Gaffar Chowdhury Family &amp; Family"/>
    <s v="Family"/>
    <x v="116"/>
    <m/>
    <m/>
    <m/>
    <n v="3757709"/>
    <n v="2.544927622508296E-3"/>
  </r>
  <r>
    <x v="72"/>
    <s v="Miss. Zara Namreen &amp; Family"/>
    <s v="Family"/>
    <x v="117"/>
    <m/>
    <m/>
    <m/>
    <n v="7183037"/>
    <n v="4.8647485142673695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rowHeaderCaption="BO_ID">
  <location ref="A3:C7" firstHeaderRow="0" firstDataRow="1" firstDataCol="1" rowPageCount="1" colPageCount="1"/>
  <pivotFields count="10">
    <pivotField axis="axisPage" showAll="0">
      <items count="85">
        <item x="70"/>
        <item x="19"/>
        <item x="7"/>
        <item x="10"/>
        <item x="60"/>
        <item x="61"/>
        <item x="35"/>
        <item x="31"/>
        <item x="66"/>
        <item x="65"/>
        <item x="29"/>
        <item x="27"/>
        <item x="46"/>
        <item x="57"/>
        <item x="17"/>
        <item x="41"/>
        <item m="1" x="75"/>
        <item x="44"/>
        <item x="42"/>
        <item x="30"/>
        <item x="67"/>
        <item x="49"/>
        <item x="22"/>
        <item x="40"/>
        <item x="55"/>
        <item x="0"/>
        <item x="39"/>
        <item x="59"/>
        <item m="1" x="82"/>
        <item x="24"/>
        <item x="68"/>
        <item x="25"/>
        <item x="21"/>
        <item x="69"/>
        <item x="12"/>
        <item x="54"/>
        <item x="26"/>
        <item x="28"/>
        <item x="43"/>
        <item x="18"/>
        <item x="11"/>
        <item x="50"/>
        <item x="52"/>
        <item m="1" x="83"/>
        <item x="1"/>
        <item x="33"/>
        <item m="1" x="77"/>
        <item x="51"/>
        <item x="58"/>
        <item x="64"/>
        <item x="45"/>
        <item x="38"/>
        <item m="1" x="78"/>
        <item m="1" x="79"/>
        <item m="1" x="80"/>
        <item x="34"/>
        <item x="23"/>
        <item x="13"/>
        <item x="8"/>
        <item m="1" x="81"/>
        <item x="37"/>
        <item x="2"/>
        <item x="3"/>
        <item x="4"/>
        <item x="5"/>
        <item x="6"/>
        <item x="9"/>
        <item x="15"/>
        <item x="16"/>
        <item x="20"/>
        <item x="32"/>
        <item x="36"/>
        <item x="53"/>
        <item x="56"/>
        <item x="62"/>
        <item x="63"/>
        <item x="71"/>
        <item x="72"/>
        <item m="1" x="74"/>
        <item m="1" x="73"/>
        <item m="1" x="76"/>
        <item x="48"/>
        <item x="47"/>
        <item x="14"/>
        <item t="default"/>
      </items>
    </pivotField>
    <pivotField showAll="0" defaultSubtotal="0"/>
    <pivotField showAll="0" defaultSubtotal="0"/>
    <pivotField axis="axisRow" showAll="0">
      <items count="126">
        <item x="103"/>
        <item x="105"/>
        <item x="102"/>
        <item x="100"/>
        <item x="91"/>
        <item x="77"/>
        <item x="94"/>
        <item x="112"/>
        <item x="113"/>
        <item x="114"/>
        <item x="60"/>
        <item m="1" x="122"/>
        <item x="95"/>
        <item m="1" x="119"/>
        <item x="71"/>
        <item x="64"/>
        <item x="68"/>
        <item x="1"/>
        <item x="0"/>
        <item x="45"/>
        <item x="9"/>
        <item x="14"/>
        <item x="15"/>
        <item x="17"/>
        <item x="18"/>
        <item x="16"/>
        <item x="46"/>
        <item x="61"/>
        <item x="37"/>
        <item x="57"/>
        <item x="21"/>
        <item x="79"/>
        <item x="58"/>
        <item x="26"/>
        <item x="82"/>
        <item x="85"/>
        <item x="47"/>
        <item x="52"/>
        <item x="13"/>
        <item x="83"/>
        <item x="84"/>
        <item x="80"/>
        <item x="81"/>
        <item m="1" x="120"/>
        <item m="1" x="124"/>
        <item x="69"/>
        <item x="108"/>
        <item x="32"/>
        <item x="41"/>
        <item x="115"/>
        <item x="89"/>
        <item x="110"/>
        <item x="55"/>
        <item x="54"/>
        <item x="90"/>
        <item x="101"/>
        <item x="62"/>
        <item x="109"/>
        <item x="24"/>
        <item x="78"/>
        <item x="104"/>
        <item x="65"/>
        <item x="31"/>
        <item x="36"/>
        <item x="93"/>
        <item x="92"/>
        <item x="29"/>
        <item x="25"/>
        <item x="42"/>
        <item x="22"/>
        <item x="59"/>
        <item x="27"/>
        <item x="51"/>
        <item x="10"/>
        <item x="33"/>
        <item x="34"/>
        <item x="44"/>
        <item m="1" x="123"/>
        <item x="28"/>
        <item x="76"/>
        <item x="35"/>
        <item x="23"/>
        <item x="43"/>
        <item x="30"/>
        <item x="67"/>
        <item x="49"/>
        <item x="53"/>
        <item x="56"/>
        <item x="63"/>
        <item x="66"/>
        <item x="48"/>
        <item x="38"/>
        <item x="39"/>
        <item x="40"/>
        <item x="11"/>
        <item x="12"/>
        <item x="72"/>
        <item m="1" x="121"/>
        <item x="50"/>
        <item x="73"/>
        <item x="2"/>
        <item x="3"/>
        <item x="4"/>
        <item x="5"/>
        <item x="6"/>
        <item x="7"/>
        <item x="8"/>
        <item x="19"/>
        <item x="20"/>
        <item x="70"/>
        <item x="96"/>
        <item x="97"/>
        <item x="98"/>
        <item x="99"/>
        <item x="106"/>
        <item x="107"/>
        <item x="111"/>
        <item x="116"/>
        <item x="117"/>
        <item m="1" x="118"/>
        <item x="74"/>
        <item x="75"/>
        <item x="86"/>
        <item x="87"/>
        <item x="88"/>
        <item t="default"/>
      </items>
    </pivotField>
    <pivotField showAll="0"/>
    <pivotField showAll="0"/>
    <pivotField showAll="0"/>
    <pivotField dataField="1" numFmtId="168" showAll="0"/>
    <pivotField numFmtId="10" showAll="0" defaultSubtotal="0"/>
    <pivotField dataField="1" dragToRow="0" dragToCol="0" dragToPage="0" showAll="0" defaultSubtotal="0"/>
  </pivotFields>
  <rowFields count="1">
    <field x="3"/>
  </rowFields>
  <rowItems count="4">
    <i>
      <x v="12"/>
    </i>
    <i>
      <x v="110"/>
    </i>
    <i>
      <x v="111"/>
    </i>
    <i>
      <x v="112"/>
    </i>
  </rowItems>
  <colFields count="1">
    <field x="-2"/>
  </colFields>
  <colItems count="2">
    <i>
      <x/>
    </i>
    <i i="1">
      <x v="1"/>
    </i>
  </colItems>
  <pageFields count="1">
    <pageField fld="0" item="24" hier="-1"/>
  </pageFields>
  <dataFields count="2">
    <dataField name="Total Share " fld="7" baseField="2" baseItem="20" numFmtId="3"/>
    <dataField name="Total Value" fld="9" baseField="2" baseItem="16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2:J120" totalsRowShown="0" headerRowDxfId="16" dataDxfId="14" headerRowBorderDxfId="15" tableBorderDxfId="13" totalsRowBorderDxfId="12" headerRowCellStyle="Normal 3" dataCellStyle="Normal 3">
  <autoFilter ref="B2:J120" xr:uid="{00000000-0009-0000-0100-000001000000}"/>
  <tableColumns count="9">
    <tableColumn id="1" xr3:uid="{00000000-0010-0000-0000-000001000000}" name="Name" dataDxfId="11"/>
    <tableColumn id="9" xr3:uid="{00000000-0010-0000-0000-000009000000}" name="Family" dataDxfId="10"/>
    <tableColumn id="7" xr3:uid="{00000000-0010-0000-0000-000007000000}" name="Designation" dataDxfId="9">
      <calculatedColumnFormula>IFERROR(VLOOKUP(Table1[[#This Row],[Name]], Designation!$A$2:$B$84, 2,FALSE), "Family")</calculatedColumnFormula>
    </tableColumn>
    <tableColumn id="2" xr3:uid="{00000000-0010-0000-0000-000002000000}" name="BO ID" dataDxfId="8" dataCellStyle="Normal 3"/>
    <tableColumn id="3" xr3:uid="{00000000-0010-0000-0000-000003000000}" name="Electronic Share" dataDxfId="7" dataCellStyle="Comma"/>
    <tableColumn id="4" xr3:uid="{00000000-0010-0000-0000-000004000000}" name="Paper Share" dataDxfId="6" dataCellStyle="Comma"/>
    <tableColumn id="5" xr3:uid="{00000000-0010-0000-0000-000005000000}" name="Suspense Share" dataDxfId="5" dataCellStyle="Comma"/>
    <tableColumn id="6" xr3:uid="{00000000-0010-0000-0000-000006000000}" name="Total Share" dataDxfId="4" dataCellStyle="Comma"/>
    <tableColumn id="8" xr3:uid="{00000000-0010-0000-0000-000008000000}" name="Share %" dataDxfId="3" dataCellStyle="Percent">
      <calculatedColumnFormula>Table1[[#This Row],[Total Share]]/1476548475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" displayName="Table3" ref="A1:B84" totalsRowShown="0" headerRowDxfId="2">
  <autoFilter ref="A1:B84" xr:uid="{00000000-0009-0000-0100-000002000000}"/>
  <tableColumns count="2">
    <tableColumn id="1" xr3:uid="{00000000-0010-0000-0100-000001000000}" name="Name" dataDxfId="1"/>
    <tableColumn id="2" xr3:uid="{00000000-0010-0000-0100-000002000000}" name="Design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AV55"/>
  <sheetViews>
    <sheetView topLeftCell="A4" workbookViewId="0">
      <selection activeCell="H55" sqref="H55"/>
    </sheetView>
  </sheetViews>
  <sheetFormatPr defaultColWidth="9.109375" defaultRowHeight="10.199999999999999" x14ac:dyDescent="0.3"/>
  <cols>
    <col min="1" max="1" width="2.5546875" style="129" bestFit="1" customWidth="1"/>
    <col min="2" max="2" width="30.6640625" style="129" bestFit="1" customWidth="1"/>
    <col min="3" max="4" width="12.5546875" style="129" bestFit="1" customWidth="1"/>
    <col min="5" max="5" width="14.6640625" style="129" bestFit="1" customWidth="1"/>
    <col min="6" max="8" width="12.5546875" style="129" bestFit="1" customWidth="1"/>
    <col min="9" max="9" width="14.44140625" style="129" bestFit="1" customWidth="1"/>
    <col min="10" max="10" width="18.109375" style="129" bestFit="1" customWidth="1"/>
    <col min="11" max="11" width="13.5546875" style="129" bestFit="1" customWidth="1"/>
    <col min="12" max="12" width="14.6640625" style="129" bestFit="1" customWidth="1"/>
    <col min="13" max="14" width="12.5546875" style="129" bestFit="1" customWidth="1"/>
    <col min="15" max="15" width="10.109375" style="129" bestFit="1" customWidth="1"/>
    <col min="16" max="16" width="11" style="129" bestFit="1" customWidth="1"/>
    <col min="17" max="17" width="9.6640625" style="129" bestFit="1" customWidth="1"/>
    <col min="18" max="20" width="12.5546875" style="129" bestFit="1" customWidth="1"/>
    <col min="21" max="21" width="11.5546875" style="129" bestFit="1" customWidth="1"/>
    <col min="22" max="22" width="14.44140625" style="129" bestFit="1" customWidth="1"/>
    <col min="23" max="23" width="12.33203125" style="129" bestFit="1" customWidth="1"/>
    <col min="24" max="24" width="16.44140625" style="129" bestFit="1" customWidth="1"/>
    <col min="25" max="26" width="12.5546875" style="129" bestFit="1" customWidth="1"/>
    <col min="27" max="27" width="15" style="129" bestFit="1" customWidth="1"/>
    <col min="28" max="28" width="15.88671875" style="129" bestFit="1" customWidth="1"/>
    <col min="29" max="29" width="13.5546875" style="129" bestFit="1" customWidth="1"/>
    <col min="30" max="33" width="12.5546875" style="129" bestFit="1" customWidth="1"/>
    <col min="34" max="34" width="13.88671875" style="129" bestFit="1" customWidth="1"/>
    <col min="35" max="35" width="12.5546875" style="129" bestFit="1" customWidth="1"/>
    <col min="36" max="36" width="14.88671875" style="129" bestFit="1" customWidth="1"/>
    <col min="37" max="37" width="16.44140625" style="129" bestFit="1" customWidth="1"/>
    <col min="38" max="38" width="12.5546875" style="129" bestFit="1" customWidth="1"/>
    <col min="39" max="40" width="8.88671875" style="129" bestFit="1" customWidth="1"/>
    <col min="41" max="41" width="9.109375" style="129" bestFit="1" customWidth="1"/>
    <col min="42" max="43" width="8.88671875" style="129" bestFit="1" customWidth="1"/>
    <col min="44" max="46" width="9.33203125" style="129" bestFit="1" customWidth="1"/>
    <col min="47" max="16384" width="9.109375" style="129"/>
  </cols>
  <sheetData>
    <row r="3" spans="1:48" ht="18.75" customHeight="1" x14ac:dyDescent="0.3">
      <c r="A3" s="572" t="s">
        <v>393</v>
      </c>
      <c r="B3" s="566"/>
      <c r="C3" s="466"/>
      <c r="D3" s="466"/>
      <c r="E3" s="566" t="s">
        <v>393</v>
      </c>
      <c r="F3" s="566"/>
      <c r="G3" s="566"/>
      <c r="H3" s="566"/>
      <c r="I3" s="566" t="s">
        <v>393</v>
      </c>
      <c r="J3" s="566"/>
      <c r="K3" s="566"/>
      <c r="L3" s="566"/>
      <c r="M3" s="566" t="s">
        <v>393</v>
      </c>
      <c r="N3" s="566"/>
      <c r="O3" s="566"/>
      <c r="P3" s="566"/>
      <c r="Q3" s="566" t="s">
        <v>393</v>
      </c>
      <c r="R3" s="566"/>
      <c r="S3" s="566"/>
      <c r="T3" s="566"/>
      <c r="U3" s="566" t="s">
        <v>393</v>
      </c>
      <c r="V3" s="566"/>
      <c r="W3" s="566"/>
      <c r="X3" s="566"/>
      <c r="Y3" s="566" t="s">
        <v>393</v>
      </c>
      <c r="Z3" s="566"/>
      <c r="AA3" s="566"/>
      <c r="AB3" s="566"/>
      <c r="AC3" s="566" t="s">
        <v>393</v>
      </c>
      <c r="AD3" s="566"/>
      <c r="AE3" s="566"/>
      <c r="AF3" s="566"/>
      <c r="AG3" s="566" t="s">
        <v>393</v>
      </c>
      <c r="AH3" s="566"/>
      <c r="AI3" s="566"/>
      <c r="AJ3" s="566"/>
      <c r="AK3" s="566" t="s">
        <v>393</v>
      </c>
      <c r="AL3" s="566"/>
      <c r="AM3" s="566"/>
      <c r="AN3" s="566"/>
      <c r="AO3" s="566" t="s">
        <v>393</v>
      </c>
      <c r="AP3" s="566"/>
      <c r="AQ3" s="566"/>
      <c r="AR3" s="566"/>
      <c r="AS3" s="566" t="s">
        <v>393</v>
      </c>
      <c r="AT3" s="566"/>
      <c r="AU3" s="566"/>
      <c r="AV3" s="566"/>
    </row>
    <row r="4" spans="1:48" ht="30.6" x14ac:dyDescent="0.3">
      <c r="A4" s="332"/>
      <c r="B4" s="332"/>
      <c r="C4" s="332"/>
      <c r="D4" s="233" t="s">
        <v>390</v>
      </c>
      <c r="E4" s="233" t="s">
        <v>389</v>
      </c>
      <c r="F4" s="233" t="s">
        <v>395</v>
      </c>
      <c r="G4" s="233" t="s">
        <v>414</v>
      </c>
      <c r="H4" s="233" t="s">
        <v>416</v>
      </c>
      <c r="I4" s="233" t="s">
        <v>418</v>
      </c>
      <c r="J4" s="233" t="s">
        <v>419</v>
      </c>
      <c r="K4" s="233" t="s">
        <v>422</v>
      </c>
      <c r="L4" s="233" t="s">
        <v>427</v>
      </c>
      <c r="M4" s="233" t="s">
        <v>438</v>
      </c>
      <c r="N4" s="233" t="s">
        <v>440</v>
      </c>
      <c r="O4" s="233" t="s">
        <v>448</v>
      </c>
      <c r="P4" s="233" t="s">
        <v>449</v>
      </c>
      <c r="Q4" s="233" t="s">
        <v>461</v>
      </c>
      <c r="R4" s="233" t="s">
        <v>464</v>
      </c>
      <c r="S4" s="233" t="s">
        <v>467</v>
      </c>
      <c r="T4" s="233" t="s">
        <v>468</v>
      </c>
      <c r="U4" s="233" t="s">
        <v>480</v>
      </c>
      <c r="V4" s="233" t="s">
        <v>484</v>
      </c>
      <c r="W4" s="233" t="s">
        <v>505</v>
      </c>
      <c r="X4" s="233" t="s">
        <v>529</v>
      </c>
      <c r="Y4" s="233" t="s">
        <v>540</v>
      </c>
      <c r="Z4" s="233" t="s">
        <v>544</v>
      </c>
      <c r="AA4" s="233" t="s">
        <v>572</v>
      </c>
      <c r="AB4" s="233" t="s">
        <v>575</v>
      </c>
      <c r="AC4" s="233" t="s">
        <v>577</v>
      </c>
      <c r="AD4" s="233" t="s">
        <v>583</v>
      </c>
      <c r="AE4" s="233" t="s">
        <v>589</v>
      </c>
      <c r="AF4" s="233" t="s">
        <v>593</v>
      </c>
      <c r="AG4" s="233" t="s">
        <v>625</v>
      </c>
      <c r="AH4" s="233" t="s">
        <v>629</v>
      </c>
      <c r="AI4" s="233" t="s">
        <v>633</v>
      </c>
      <c r="AJ4" s="233" t="s">
        <v>639</v>
      </c>
      <c r="AK4" s="233" t="s">
        <v>643</v>
      </c>
      <c r="AL4" s="233" t="s">
        <v>648</v>
      </c>
      <c r="AM4" s="233" t="s">
        <v>655</v>
      </c>
      <c r="AN4" s="233" t="s">
        <v>656</v>
      </c>
      <c r="AO4" s="233" t="s">
        <v>664</v>
      </c>
      <c r="AP4" s="233" t="s">
        <v>667</v>
      </c>
      <c r="AQ4" s="233" t="s">
        <v>670</v>
      </c>
      <c r="AR4" s="233" t="s">
        <v>673</v>
      </c>
      <c r="AS4" s="233" t="s">
        <v>676</v>
      </c>
      <c r="AT4" s="233" t="s">
        <v>699</v>
      </c>
    </row>
    <row r="5" spans="1:48" ht="27" customHeight="1" x14ac:dyDescent="0.3">
      <c r="A5" s="467" t="s">
        <v>359</v>
      </c>
      <c r="B5" s="467" t="s">
        <v>273</v>
      </c>
      <c r="C5" s="468" t="s">
        <v>274</v>
      </c>
      <c r="D5" s="468" t="s">
        <v>274</v>
      </c>
      <c r="E5" s="468" t="s">
        <v>274</v>
      </c>
      <c r="F5" s="468" t="s">
        <v>274</v>
      </c>
      <c r="G5" s="468" t="s">
        <v>274</v>
      </c>
      <c r="H5" s="468" t="s">
        <v>274</v>
      </c>
      <c r="I5" s="468" t="s">
        <v>274</v>
      </c>
      <c r="J5" s="468" t="s">
        <v>274</v>
      </c>
      <c r="K5" s="468" t="s">
        <v>274</v>
      </c>
      <c r="L5" s="468" t="s">
        <v>274</v>
      </c>
      <c r="M5" s="468" t="s">
        <v>274</v>
      </c>
      <c r="N5" s="468" t="s">
        <v>274</v>
      </c>
      <c r="O5" s="468" t="s">
        <v>274</v>
      </c>
      <c r="P5" s="468" t="s">
        <v>274</v>
      </c>
      <c r="Q5" s="468" t="s">
        <v>274</v>
      </c>
      <c r="R5" s="468" t="s">
        <v>274</v>
      </c>
      <c r="S5" s="468" t="s">
        <v>274</v>
      </c>
      <c r="T5" s="468" t="s">
        <v>274</v>
      </c>
      <c r="U5" s="468" t="s">
        <v>274</v>
      </c>
      <c r="V5" s="468" t="s">
        <v>274</v>
      </c>
      <c r="W5" s="468" t="s">
        <v>274</v>
      </c>
      <c r="X5" s="468" t="s">
        <v>274</v>
      </c>
      <c r="Y5" s="468" t="s">
        <v>274</v>
      </c>
      <c r="Z5" s="468" t="s">
        <v>274</v>
      </c>
      <c r="AA5" s="468" t="s">
        <v>274</v>
      </c>
      <c r="AB5" s="468" t="s">
        <v>274</v>
      </c>
      <c r="AC5" s="468" t="s">
        <v>274</v>
      </c>
      <c r="AD5" s="468" t="s">
        <v>274</v>
      </c>
      <c r="AE5" s="468" t="s">
        <v>274</v>
      </c>
      <c r="AF5" s="468" t="s">
        <v>274</v>
      </c>
      <c r="AG5" s="468" t="s">
        <v>274</v>
      </c>
      <c r="AH5" s="468" t="s">
        <v>274</v>
      </c>
      <c r="AI5" s="468" t="s">
        <v>274</v>
      </c>
      <c r="AJ5" s="468" t="s">
        <v>274</v>
      </c>
      <c r="AK5" s="468" t="s">
        <v>274</v>
      </c>
      <c r="AL5" s="468" t="s">
        <v>274</v>
      </c>
      <c r="AM5" s="468" t="s">
        <v>274</v>
      </c>
      <c r="AN5" s="468" t="s">
        <v>274</v>
      </c>
      <c r="AO5" s="468" t="s">
        <v>274</v>
      </c>
      <c r="AP5" s="468" t="s">
        <v>274</v>
      </c>
      <c r="AQ5" s="468" t="s">
        <v>274</v>
      </c>
      <c r="AR5" s="468" t="s">
        <v>274</v>
      </c>
      <c r="AS5" s="468" t="s">
        <v>274</v>
      </c>
      <c r="AT5" s="468" t="s">
        <v>274</v>
      </c>
    </row>
    <row r="6" spans="1:48" x14ac:dyDescent="0.3">
      <c r="A6" s="332" t="s">
        <v>275</v>
      </c>
      <c r="B6" s="332" t="s">
        <v>276</v>
      </c>
      <c r="C6" s="469">
        <v>36.67</v>
      </c>
      <c r="D6" s="470">
        <v>36.67</v>
      </c>
      <c r="E6" s="470">
        <v>36.67</v>
      </c>
      <c r="F6" s="470">
        <v>36.67</v>
      </c>
      <c r="G6" s="471">
        <f>Calculation!J6</f>
        <v>36.67</v>
      </c>
      <c r="H6" s="471">
        <f>Calculation!O6</f>
        <v>36.67</v>
      </c>
      <c r="I6" s="471">
        <f>Calculation!U6</f>
        <v>36.67</v>
      </c>
      <c r="J6" s="471">
        <f>Calculation!Z6</f>
        <v>36.67</v>
      </c>
      <c r="K6" s="471">
        <f>Calculation!AE6</f>
        <v>36.67</v>
      </c>
      <c r="L6" s="471">
        <f>Calculation!AJ6</f>
        <v>36.67</v>
      </c>
      <c r="M6" s="471">
        <f>Calculation!AO6</f>
        <v>36.67</v>
      </c>
      <c r="N6" s="471">
        <f>Calculation!AT6</f>
        <v>36.67</v>
      </c>
      <c r="O6" s="471">
        <f>Calculation!AY6</f>
        <v>36.67</v>
      </c>
      <c r="P6" s="471">
        <f>Calculation!BD6</f>
        <v>36.67</v>
      </c>
      <c r="Q6" s="471">
        <f>Calculation!BI6</f>
        <v>36.67</v>
      </c>
      <c r="R6" s="471">
        <f>Calculation!BN6</f>
        <v>36.67</v>
      </c>
      <c r="S6" s="471">
        <f>Calculation!BS6</f>
        <v>36.67</v>
      </c>
      <c r="T6" s="471">
        <f>Calculation!BX6</f>
        <v>36.67</v>
      </c>
      <c r="U6" s="471">
        <f>Calculation!CC6</f>
        <v>36.67</v>
      </c>
      <c r="V6" s="471">
        <f>Calculation!CH6</f>
        <v>36.67</v>
      </c>
      <c r="W6" s="471">
        <f>Calculation!CM6</f>
        <v>36.67</v>
      </c>
      <c r="X6" s="471">
        <f>Calculation!CR6</f>
        <v>36.67</v>
      </c>
      <c r="Y6" s="471">
        <f>Calculation!CW6</f>
        <v>36.67</v>
      </c>
      <c r="Z6" s="471">
        <f>Calculation!DB6</f>
        <v>34.64</v>
      </c>
      <c r="AA6" s="471">
        <f>Calculation!DG6</f>
        <v>34.64</v>
      </c>
      <c r="AB6" s="471">
        <f>Calculation!DL6</f>
        <v>34.64</v>
      </c>
      <c r="AC6" s="471">
        <f>Calculation!DQ6</f>
        <v>34.64</v>
      </c>
      <c r="AD6" s="471">
        <f>Calculation!DV6</f>
        <v>34.64</v>
      </c>
      <c r="AE6" s="471">
        <f>Calculation!EA6</f>
        <v>34.64</v>
      </c>
      <c r="AF6" s="471">
        <f>Calculation!EF6</f>
        <v>34.64</v>
      </c>
      <c r="AG6" s="471">
        <f>Calculation!EK6</f>
        <v>34.64</v>
      </c>
      <c r="AH6" s="471">
        <f>Calculation!EP6</f>
        <v>34.64</v>
      </c>
      <c r="AI6" s="471">
        <f>Calculation!EU6</f>
        <v>34.64</v>
      </c>
      <c r="AJ6" s="471">
        <f>Calculation!EZ6</f>
        <v>34.64</v>
      </c>
      <c r="AK6" s="471">
        <f>Calculation!FE6</f>
        <v>34.64</v>
      </c>
      <c r="AL6" s="471">
        <f>Calculation!FJ6</f>
        <v>34.64</v>
      </c>
      <c r="AM6" s="471">
        <f>Calculation!FO6</f>
        <v>34.64</v>
      </c>
      <c r="AN6" s="471">
        <f>Calculation!FT6</f>
        <v>34.64</v>
      </c>
      <c r="AO6" s="471">
        <f>Calculation!FY6</f>
        <v>34.64</v>
      </c>
      <c r="AP6" s="471">
        <f>Calculation!GD6</f>
        <v>34.64</v>
      </c>
      <c r="AQ6" s="471">
        <f>Calculation!GI6</f>
        <v>34.64</v>
      </c>
      <c r="AR6" s="471">
        <f>Calculation!GN6</f>
        <v>34.64</v>
      </c>
      <c r="AS6" s="471">
        <f>Calculation!GS6</f>
        <v>34.64</v>
      </c>
      <c r="AT6" s="471">
        <f>Calculation!GX6</f>
        <v>34.64</v>
      </c>
    </row>
    <row r="7" spans="1:48" x14ac:dyDescent="0.3">
      <c r="A7" s="332" t="s">
        <v>277</v>
      </c>
      <c r="B7" s="332" t="s">
        <v>278</v>
      </c>
      <c r="C7" s="469">
        <v>0.81</v>
      </c>
      <c r="D7" s="470">
        <v>0.81</v>
      </c>
      <c r="E7" s="470">
        <v>0.81</v>
      </c>
      <c r="F7" s="470">
        <v>0.81</v>
      </c>
      <c r="G7" s="471">
        <f>Calculation!J8</f>
        <v>0.81</v>
      </c>
      <c r="H7" s="471">
        <f>Calculation!O8</f>
        <v>0.81</v>
      </c>
      <c r="I7" s="471">
        <f>Calculation!U8</f>
        <v>0.81</v>
      </c>
      <c r="J7" s="471">
        <f>Calculation!Z8</f>
        <v>0.81</v>
      </c>
      <c r="K7" s="471">
        <f>Calculation!AE8</f>
        <v>0.81</v>
      </c>
      <c r="L7" s="471">
        <f>Calculation!AJ8</f>
        <v>0.81</v>
      </c>
      <c r="M7" s="471">
        <f>Calculation!AO8</f>
        <v>0.81</v>
      </c>
      <c r="N7" s="471">
        <f>Calculation!AT8</f>
        <v>0.81</v>
      </c>
      <c r="O7" s="471">
        <f>Calculation!AY8</f>
        <v>0.81</v>
      </c>
      <c r="P7" s="471">
        <f>Calculation!BD8</f>
        <v>0.81</v>
      </c>
      <c r="Q7" s="471">
        <f>Calculation!BI8</f>
        <v>0.81</v>
      </c>
      <c r="R7" s="471">
        <f>Calculation!BN8</f>
        <v>0.81</v>
      </c>
      <c r="S7" s="471">
        <f>Calculation!BS8</f>
        <v>0.81</v>
      </c>
      <c r="T7" s="471">
        <f>Calculation!BX8</f>
        <v>0.81</v>
      </c>
      <c r="U7" s="471">
        <f>Calculation!CC8</f>
        <v>0.81</v>
      </c>
      <c r="V7" s="471">
        <f>Calculation!CH8</f>
        <v>0.81</v>
      </c>
      <c r="W7" s="471">
        <f>Calculation!CM8</f>
        <v>0.81</v>
      </c>
      <c r="X7" s="471">
        <f>Calculation!CR8</f>
        <v>0.81</v>
      </c>
      <c r="Y7" s="471">
        <f>Calculation!CW8</f>
        <v>0.81</v>
      </c>
      <c r="Z7" s="471">
        <f>Calculation!DB8</f>
        <v>0.81</v>
      </c>
      <c r="AA7" s="471">
        <f>Calculation!DG8</f>
        <v>0.81</v>
      </c>
      <c r="AB7" s="471">
        <f>Calculation!DL8</f>
        <v>0.81</v>
      </c>
      <c r="AC7" s="471">
        <f>Calculation!DQ8</f>
        <v>0.81</v>
      </c>
      <c r="AD7" s="471">
        <f>Calculation!DV8</f>
        <v>0.81</v>
      </c>
      <c r="AE7" s="471">
        <f>Calculation!EA8</f>
        <v>0.81</v>
      </c>
      <c r="AF7" s="471">
        <f>Calculation!EF8</f>
        <v>0.81</v>
      </c>
      <c r="AG7" s="471">
        <f>Calculation!EK8</f>
        <v>0.81</v>
      </c>
      <c r="AH7" s="471">
        <f>Calculation!EP8</f>
        <v>0.81</v>
      </c>
      <c r="AI7" s="471">
        <f>Calculation!EU8</f>
        <v>0.81</v>
      </c>
      <c r="AJ7" s="471">
        <f>Calculation!EZ8</f>
        <v>0.81</v>
      </c>
      <c r="AK7" s="471">
        <f>Calculation!FE8</f>
        <v>0.81</v>
      </c>
      <c r="AL7" s="471">
        <f>Calculation!FJ8</f>
        <v>0.81</v>
      </c>
      <c r="AM7" s="471">
        <f>Calculation!FO8</f>
        <v>0.81</v>
      </c>
      <c r="AN7" s="471">
        <f>Calculation!FT8</f>
        <v>0.81</v>
      </c>
      <c r="AO7" s="471">
        <f>Calculation!FY8</f>
        <v>0.81</v>
      </c>
      <c r="AP7" s="471">
        <f>Calculation!GD8</f>
        <v>0.81</v>
      </c>
      <c r="AQ7" s="471">
        <f>Calculation!GI8</f>
        <v>0.81</v>
      </c>
      <c r="AR7" s="471">
        <f>Calculation!GN8</f>
        <v>0.81</v>
      </c>
      <c r="AS7" s="471">
        <f>Calculation!GS8</f>
        <v>0.81</v>
      </c>
      <c r="AT7" s="471">
        <f>Calculation!GX8</f>
        <v>0.81</v>
      </c>
    </row>
    <row r="8" spans="1:48" x14ac:dyDescent="0.3">
      <c r="A8" s="332" t="s">
        <v>279</v>
      </c>
      <c r="B8" s="332" t="s">
        <v>391</v>
      </c>
      <c r="C8" s="469">
        <v>18.54</v>
      </c>
      <c r="D8" s="472">
        <v>18.690000000000001</v>
      </c>
      <c r="E8" s="472">
        <v>18.79</v>
      </c>
      <c r="F8" s="472">
        <v>18.95</v>
      </c>
      <c r="G8" s="472">
        <f>Calculation!J13</f>
        <v>19.13</v>
      </c>
      <c r="H8" s="472">
        <f>Calculation!O13</f>
        <v>19.239999999999998</v>
      </c>
      <c r="I8" s="470">
        <f>Calculation!U13</f>
        <v>19.239999999999998</v>
      </c>
      <c r="J8" s="472">
        <f>Calculation!Z13</f>
        <v>20.12</v>
      </c>
      <c r="K8" s="471">
        <f>Calculation!AE13</f>
        <v>20.12</v>
      </c>
      <c r="L8" s="473">
        <f>Calculation!AJ13</f>
        <v>20.010000000000002</v>
      </c>
      <c r="M8" s="472">
        <f>Calculation!AO13</f>
        <v>20.329999999999998</v>
      </c>
      <c r="N8" s="473">
        <f>Calculation!AT13</f>
        <v>20.22</v>
      </c>
      <c r="O8" s="472">
        <f>Calculation!AY13</f>
        <v>20.34</v>
      </c>
      <c r="P8" s="472">
        <f>Calculation!BD13</f>
        <v>20.51</v>
      </c>
      <c r="Q8" s="473">
        <f>Calculation!BI13</f>
        <v>20.49</v>
      </c>
      <c r="R8" s="473">
        <f>Calculation!BN13</f>
        <v>20.34</v>
      </c>
      <c r="S8" s="472">
        <f>Calculation!BS13</f>
        <v>20.49</v>
      </c>
      <c r="T8" s="472">
        <f>Calculation!BX13</f>
        <v>20.51</v>
      </c>
      <c r="U8" s="474">
        <f>Calculation!CC13</f>
        <v>20.5</v>
      </c>
      <c r="V8" s="473">
        <f>Calculation!CH13</f>
        <v>20.47</v>
      </c>
      <c r="W8" s="473">
        <f>Calculation!CM13</f>
        <v>20.04</v>
      </c>
      <c r="X8" s="472">
        <f>Calculation!CR13</f>
        <v>20.25</v>
      </c>
      <c r="Y8" s="472">
        <f>Calculation!CW13</f>
        <v>20.6</v>
      </c>
      <c r="Z8" s="472">
        <f>Calculation!DB13</f>
        <v>20.63</v>
      </c>
      <c r="AA8" s="473">
        <f>Calculation!DG13</f>
        <v>20.61</v>
      </c>
      <c r="AB8" s="474">
        <f>Calculation!DL13</f>
        <v>20.6</v>
      </c>
      <c r="AC8" s="472">
        <f>Calculation!DQ13</f>
        <v>20.64</v>
      </c>
      <c r="AD8" s="475">
        <f>Calculation!DV13</f>
        <v>20.76</v>
      </c>
      <c r="AE8" s="475">
        <f>Calculation!EA13</f>
        <v>20.77</v>
      </c>
      <c r="AF8" s="475">
        <f>Calculation!EF13</f>
        <v>20.75</v>
      </c>
      <c r="AG8" s="475">
        <f>Calculation!EK13</f>
        <v>21.06</v>
      </c>
      <c r="AH8" s="475">
        <f>Calculation!EP13</f>
        <v>21.15</v>
      </c>
      <c r="AI8" s="475">
        <f>Calculation!EU13</f>
        <v>21.26</v>
      </c>
      <c r="AJ8" s="475">
        <f>Calculation!EZ13</f>
        <v>21.38</v>
      </c>
      <c r="AK8" s="475">
        <f>Calculation!FE13</f>
        <v>21.44</v>
      </c>
      <c r="AL8" s="475">
        <f>Calculation!FJ13</f>
        <v>21.44</v>
      </c>
      <c r="AM8" s="475">
        <f>Calculation!FO13</f>
        <v>21.44</v>
      </c>
      <c r="AN8" s="476">
        <f>Calculation!FT13</f>
        <v>21.4</v>
      </c>
      <c r="AO8" s="476">
        <f>Calculation!FY13</f>
        <v>21.4</v>
      </c>
      <c r="AP8" s="476">
        <f>Calculation!GD13</f>
        <v>21.4</v>
      </c>
      <c r="AQ8" s="476">
        <f>Calculation!GI13</f>
        <v>21.4</v>
      </c>
      <c r="AR8" s="476">
        <f>Calculation!GN13</f>
        <v>21.4</v>
      </c>
      <c r="AS8" s="476">
        <f>Calculation!GS13</f>
        <v>21.05</v>
      </c>
      <c r="AT8" s="476">
        <f>Calculation!GX13</f>
        <v>21.05</v>
      </c>
    </row>
    <row r="9" spans="1:48" x14ac:dyDescent="0.3">
      <c r="A9" s="332" t="s">
        <v>280</v>
      </c>
      <c r="B9" s="332" t="s">
        <v>392</v>
      </c>
      <c r="C9" s="469">
        <v>1.47</v>
      </c>
      <c r="D9" s="473">
        <v>1.44</v>
      </c>
      <c r="E9" s="470">
        <v>1.44</v>
      </c>
      <c r="F9" s="474">
        <v>1.4</v>
      </c>
      <c r="G9" s="473">
        <f>Calculation!J14</f>
        <v>1.28</v>
      </c>
      <c r="H9" s="473">
        <f>Calculation!O14</f>
        <v>1.23</v>
      </c>
      <c r="I9" s="471">
        <f>Calculation!U14</f>
        <v>1.23</v>
      </c>
      <c r="J9" s="472">
        <f>Calculation!Z14</f>
        <v>1.44</v>
      </c>
      <c r="K9" s="473">
        <f>Calculation!AI14</f>
        <v>1.1399999999999999</v>
      </c>
      <c r="L9" s="472">
        <f>Calculation!AJ14</f>
        <v>1.1599999999999999</v>
      </c>
      <c r="M9" s="473">
        <f>Calculation!AO14</f>
        <v>1.1300000000000001</v>
      </c>
      <c r="N9" s="473">
        <f>Calculation!AT14</f>
        <v>1.08</v>
      </c>
      <c r="O9" s="470">
        <f>Calculation!AY14</f>
        <v>1.08</v>
      </c>
      <c r="P9" s="473">
        <f>Calculation!BD14</f>
        <v>0.97</v>
      </c>
      <c r="Q9" s="473">
        <f>Calculation!BI14</f>
        <v>0.91</v>
      </c>
      <c r="R9" s="472">
        <f>Calculation!BN14</f>
        <v>1.08</v>
      </c>
      <c r="S9" s="472">
        <f>Calculation!BS14</f>
        <v>0.91</v>
      </c>
      <c r="T9" s="472">
        <f>Calculation!BX14</f>
        <v>0.97</v>
      </c>
      <c r="U9" s="474">
        <f>Calculation!CC14</f>
        <v>0.8</v>
      </c>
      <c r="V9" s="472">
        <f>Calculation!CH14</f>
        <v>0.85</v>
      </c>
      <c r="W9" s="473">
        <f>Calculation!CM14</f>
        <v>0.78</v>
      </c>
      <c r="X9" s="472">
        <f>Calculation!CR14</f>
        <v>0.85</v>
      </c>
      <c r="Y9" s="472">
        <f>Calculation!CW14</f>
        <v>0.85</v>
      </c>
      <c r="Z9" s="472">
        <f>Calculation!DB14</f>
        <v>0.84</v>
      </c>
      <c r="AA9" s="473">
        <f>Calculation!DG14</f>
        <v>0.82000000000000006</v>
      </c>
      <c r="AB9" s="473">
        <f>Calculation!DL14</f>
        <v>0.75</v>
      </c>
      <c r="AC9" s="473">
        <f>Calculation!DQ14</f>
        <v>0.71</v>
      </c>
      <c r="AD9" s="471">
        <f>Calculation!DV14</f>
        <v>0.71</v>
      </c>
      <c r="AE9" s="471">
        <f>Calculation!EA14</f>
        <v>0.71</v>
      </c>
      <c r="AF9" s="471">
        <f>Calculation!EF14</f>
        <v>0.71</v>
      </c>
      <c r="AG9" s="471">
        <f>Calculation!EK14</f>
        <v>0.71</v>
      </c>
      <c r="AH9" s="471">
        <f>Calculation!EP14</f>
        <v>0.74</v>
      </c>
      <c r="AI9" s="471">
        <f>Calculation!EU14</f>
        <v>0.74</v>
      </c>
      <c r="AJ9" s="471">
        <f>Calculation!EZ14</f>
        <v>0.73</v>
      </c>
      <c r="AK9" s="471">
        <f>Calculation!FE14</f>
        <v>0.73</v>
      </c>
      <c r="AL9" s="471">
        <f>Calculation!FJ14</f>
        <v>0.73</v>
      </c>
      <c r="AM9" s="471">
        <f>Calculation!FO14</f>
        <v>0.73</v>
      </c>
      <c r="AN9" s="471">
        <f>Calculation!FT14</f>
        <v>0.73</v>
      </c>
      <c r="AO9" s="471">
        <f>Calculation!FY14</f>
        <v>0.73</v>
      </c>
      <c r="AP9" s="471">
        <f>Calculation!GD14</f>
        <v>0.73</v>
      </c>
      <c r="AQ9" s="473">
        <f>Calculation!GI14</f>
        <v>0.72</v>
      </c>
      <c r="AR9" s="471">
        <f>Calculation!GN14</f>
        <v>0.72</v>
      </c>
      <c r="AS9" s="471">
        <f>Calculation!GS14</f>
        <v>0.72</v>
      </c>
      <c r="AT9" s="471">
        <f>Calculation!GX14</f>
        <v>0.72</v>
      </c>
    </row>
    <row r="10" spans="1:48" x14ac:dyDescent="0.3">
      <c r="A10" s="332" t="s">
        <v>281</v>
      </c>
      <c r="B10" s="332" t="s">
        <v>282</v>
      </c>
      <c r="C10" s="469">
        <v>42.51</v>
      </c>
      <c r="D10" s="473">
        <v>42.39</v>
      </c>
      <c r="E10" s="473">
        <v>42.29</v>
      </c>
      <c r="F10" s="473">
        <v>42.16</v>
      </c>
      <c r="G10" s="473">
        <f>Calculation!H22</f>
        <v>42.1</v>
      </c>
      <c r="H10" s="474">
        <f>Calculation!M22</f>
        <v>42.03</v>
      </c>
      <c r="I10" s="476">
        <f>Calculation!S22</f>
        <v>42.03</v>
      </c>
      <c r="J10" s="474">
        <f>Calculation!X22</f>
        <v>40.950000000000003</v>
      </c>
      <c r="K10" s="475">
        <f>Calculation!AC22</f>
        <v>40.96</v>
      </c>
      <c r="L10" s="475">
        <f>Calculation!AH22</f>
        <v>41.213999999999999</v>
      </c>
      <c r="M10" s="474">
        <f>Calculation!AM22</f>
        <v>41.05</v>
      </c>
      <c r="N10" s="475">
        <f>Calculation!AR22</f>
        <v>41.21</v>
      </c>
      <c r="O10" s="474">
        <f>Calculation!AW22</f>
        <v>41.089999999999996</v>
      </c>
      <c r="P10" s="474">
        <f>Calculation!BB22</f>
        <v>41.03</v>
      </c>
      <c r="Q10" s="477">
        <f>Calculation!BG22</f>
        <v>41.12</v>
      </c>
      <c r="R10" s="474">
        <f>Calculation!BL22</f>
        <v>41.089999999999996</v>
      </c>
      <c r="S10" s="474">
        <f>Calculation!BQ22</f>
        <v>41.12</v>
      </c>
      <c r="T10" s="474">
        <f>Calculation!BV22</f>
        <v>41.03</v>
      </c>
      <c r="U10" s="475">
        <f>Calculation!CA22</f>
        <v>41.2</v>
      </c>
      <c r="V10" s="478">
        <f>Calculation!CF22</f>
        <v>41.2</v>
      </c>
      <c r="W10" s="475">
        <f>Calculation!CK22</f>
        <v>41.680000000000007</v>
      </c>
      <c r="X10" s="474">
        <f>Calculation!CP22</f>
        <v>41.42</v>
      </c>
      <c r="Y10" s="474">
        <f>Calculation!CU22</f>
        <v>41.05</v>
      </c>
      <c r="Z10" s="474">
        <f>Calculation!CZ22</f>
        <v>43.05</v>
      </c>
      <c r="AA10" s="475">
        <f>Calculation!DE22+0.02</f>
        <v>43.120000000000005</v>
      </c>
      <c r="AB10" s="475">
        <f>Calculation!DJ22+0.02</f>
        <v>43.2</v>
      </c>
      <c r="AC10" s="475">
        <f>Calculation!DO22</f>
        <v>43.18</v>
      </c>
      <c r="AD10" s="474">
        <f>Calculation!DT22</f>
        <v>43.08</v>
      </c>
      <c r="AE10" s="474">
        <f>Calculation!DY22</f>
        <v>43.07</v>
      </c>
      <c r="AF10" s="474">
        <f>Calculation!ED22</f>
        <v>43.09</v>
      </c>
      <c r="AG10" s="474">
        <f>Calculation!EI22</f>
        <v>42.779999999999994</v>
      </c>
      <c r="AH10" s="474">
        <f>Calculation!EN22</f>
        <v>42.66</v>
      </c>
      <c r="AI10" s="474">
        <f>Calculation!ES22</f>
        <v>42.55</v>
      </c>
      <c r="AJ10" s="474">
        <f>Calculation!EX22</f>
        <v>42.44</v>
      </c>
      <c r="AK10" s="474">
        <f>Calculation!FC22</f>
        <v>42.379999999999995</v>
      </c>
      <c r="AL10" s="474">
        <f>Calculation!FH22</f>
        <v>42.379999999999995</v>
      </c>
      <c r="AM10" s="474">
        <f>Calculation!FM22</f>
        <v>42.379999999999995</v>
      </c>
      <c r="AN10" s="475">
        <f>Calculation!FR22</f>
        <v>42.42</v>
      </c>
      <c r="AO10" s="478">
        <f>Calculation!FW22</f>
        <v>42.42</v>
      </c>
      <c r="AP10" s="478">
        <f>Calculation!GB22</f>
        <v>42.42</v>
      </c>
      <c r="AQ10" s="475">
        <f>Calculation!GG22</f>
        <v>42.429999999999993</v>
      </c>
      <c r="AR10" s="475">
        <f>Calculation!GL22</f>
        <v>42.429999999999993</v>
      </c>
      <c r="AS10" s="475">
        <f>Calculation!GQ22</f>
        <v>42.78</v>
      </c>
      <c r="AT10" s="475">
        <f>Calculation!GV22</f>
        <v>42.78</v>
      </c>
    </row>
    <row r="11" spans="1:48" x14ac:dyDescent="0.3">
      <c r="A11" s="332"/>
      <c r="B11" s="332" t="s">
        <v>216</v>
      </c>
      <c r="C11" s="479">
        <f t="shared" ref="C11:I11" si="0">SUM(C6:C10)</f>
        <v>100</v>
      </c>
      <c r="D11" s="429">
        <f t="shared" si="0"/>
        <v>100</v>
      </c>
      <c r="E11" s="429">
        <f t="shared" si="0"/>
        <v>100</v>
      </c>
      <c r="F11" s="429">
        <f t="shared" si="0"/>
        <v>99.990000000000009</v>
      </c>
      <c r="G11" s="429">
        <f t="shared" si="0"/>
        <v>99.990000000000009</v>
      </c>
      <c r="H11" s="429">
        <f t="shared" si="0"/>
        <v>99.97999999999999</v>
      </c>
      <c r="I11" s="429">
        <f t="shared" si="0"/>
        <v>99.97999999999999</v>
      </c>
      <c r="J11" s="429">
        <f t="shared" ref="J11:P11" si="1">SUM(J6:J10)</f>
        <v>99.990000000000009</v>
      </c>
      <c r="K11" s="429">
        <f t="shared" si="1"/>
        <v>99.700000000000017</v>
      </c>
      <c r="L11" s="480">
        <f t="shared" si="1"/>
        <v>99.864000000000004</v>
      </c>
      <c r="M11" s="429">
        <f t="shared" si="1"/>
        <v>99.990000000000009</v>
      </c>
      <c r="N11" s="429">
        <f t="shared" si="1"/>
        <v>99.990000000000009</v>
      </c>
      <c r="O11" s="429">
        <f t="shared" si="1"/>
        <v>99.990000000000009</v>
      </c>
      <c r="P11" s="429">
        <f t="shared" si="1"/>
        <v>99.990000000000009</v>
      </c>
      <c r="Q11" s="429">
        <f t="shared" ref="Q11:V11" si="2">SUM(Q6:Q10)</f>
        <v>100</v>
      </c>
      <c r="R11" s="429">
        <f t="shared" si="2"/>
        <v>99.990000000000009</v>
      </c>
      <c r="S11" s="429">
        <f t="shared" si="2"/>
        <v>100</v>
      </c>
      <c r="T11" s="429">
        <f t="shared" si="2"/>
        <v>99.990000000000009</v>
      </c>
      <c r="U11" s="429">
        <f t="shared" si="2"/>
        <v>99.98</v>
      </c>
      <c r="V11" s="429">
        <f t="shared" si="2"/>
        <v>100</v>
      </c>
      <c r="W11" s="429">
        <f t="shared" ref="W11:AB11" si="3">SUM(W6:W10)</f>
        <v>99.980000000000018</v>
      </c>
      <c r="X11" s="429">
        <f t="shared" si="3"/>
        <v>100</v>
      </c>
      <c r="Y11" s="429">
        <f t="shared" si="3"/>
        <v>99.98</v>
      </c>
      <c r="Z11" s="429">
        <f t="shared" si="3"/>
        <v>99.97</v>
      </c>
      <c r="AA11" s="429">
        <f t="shared" si="3"/>
        <v>100</v>
      </c>
      <c r="AB11" s="429">
        <f t="shared" si="3"/>
        <v>100</v>
      </c>
      <c r="AC11" s="429">
        <f t="shared" ref="AC11:AH11" si="4">SUM(AC6:AC10)</f>
        <v>99.98</v>
      </c>
      <c r="AD11" s="429">
        <f t="shared" si="4"/>
        <v>100</v>
      </c>
      <c r="AE11" s="429">
        <f t="shared" si="4"/>
        <v>100</v>
      </c>
      <c r="AF11" s="429">
        <f t="shared" si="4"/>
        <v>100</v>
      </c>
      <c r="AG11" s="429">
        <f t="shared" si="4"/>
        <v>100</v>
      </c>
      <c r="AH11" s="429">
        <f t="shared" si="4"/>
        <v>100</v>
      </c>
      <c r="AI11" s="429">
        <f t="shared" ref="AI11:AN11" si="5">SUM(AI6:AI10)</f>
        <v>100</v>
      </c>
      <c r="AJ11" s="429">
        <f t="shared" si="5"/>
        <v>100</v>
      </c>
      <c r="AK11" s="429">
        <f t="shared" si="5"/>
        <v>100</v>
      </c>
      <c r="AL11" s="429">
        <f t="shared" si="5"/>
        <v>100</v>
      </c>
      <c r="AM11" s="429">
        <f t="shared" si="5"/>
        <v>100</v>
      </c>
      <c r="AN11" s="429">
        <f t="shared" si="5"/>
        <v>100</v>
      </c>
      <c r="AO11" s="429">
        <f t="shared" ref="AO11:AT11" si="6">SUM(AO6:AO10)</f>
        <v>100</v>
      </c>
      <c r="AP11" s="429">
        <f t="shared" si="6"/>
        <v>100</v>
      </c>
      <c r="AQ11" s="429">
        <f t="shared" si="6"/>
        <v>100</v>
      </c>
      <c r="AR11" s="429">
        <f t="shared" si="6"/>
        <v>100</v>
      </c>
      <c r="AS11" s="429">
        <f t="shared" si="6"/>
        <v>100</v>
      </c>
      <c r="AT11" s="429">
        <f t="shared" si="6"/>
        <v>100</v>
      </c>
    </row>
    <row r="12" spans="1:48" x14ac:dyDescent="0.3">
      <c r="A12" s="332"/>
      <c r="B12" s="332"/>
      <c r="C12" s="332"/>
      <c r="D12" s="332"/>
      <c r="E12" s="332"/>
      <c r="F12" s="332"/>
      <c r="G12" s="332"/>
      <c r="H12" s="332"/>
      <c r="I12" s="332"/>
      <c r="J12" s="332"/>
      <c r="K12" s="332"/>
      <c r="L12" s="332"/>
      <c r="M12" s="332"/>
      <c r="N12" s="332"/>
      <c r="O12" s="332"/>
      <c r="P12" s="332"/>
      <c r="Q12" s="332"/>
      <c r="R12" s="332"/>
      <c r="S12" s="332"/>
      <c r="T12" s="332"/>
      <c r="U12" s="332"/>
      <c r="V12" s="332"/>
      <c r="W12" s="332"/>
      <c r="X12" s="332"/>
      <c r="Y12" s="332"/>
      <c r="Z12" s="332"/>
      <c r="AA12" s="332"/>
      <c r="AB12" s="332"/>
      <c r="AC12" s="332"/>
      <c r="AD12" s="332"/>
      <c r="AE12" s="332"/>
      <c r="AF12" s="332"/>
      <c r="AG12" s="332"/>
      <c r="AH12" s="332"/>
      <c r="AI12" s="332"/>
      <c r="AJ12" s="332"/>
      <c r="AK12" s="332"/>
      <c r="AL12" s="332"/>
      <c r="AM12" s="332"/>
      <c r="AN12" s="332"/>
      <c r="AO12" s="332"/>
      <c r="AP12" s="332"/>
      <c r="AQ12" s="332"/>
      <c r="AR12" s="332"/>
      <c r="AS12" s="332"/>
      <c r="AT12" s="332"/>
    </row>
    <row r="16" spans="1:48" ht="10.8" thickBot="1" x14ac:dyDescent="0.35"/>
    <row r="17" spans="2:27" ht="30" customHeight="1" x14ac:dyDescent="0.3">
      <c r="B17" s="481" t="s">
        <v>384</v>
      </c>
      <c r="C17" s="573" t="s">
        <v>376</v>
      </c>
      <c r="D17" s="573"/>
      <c r="E17" s="574"/>
    </row>
    <row r="18" spans="2:27" ht="18" customHeight="1" x14ac:dyDescent="0.3">
      <c r="B18" s="482" t="s">
        <v>385</v>
      </c>
      <c r="C18" s="575" t="s">
        <v>510</v>
      </c>
      <c r="D18" s="575"/>
      <c r="E18" s="576"/>
    </row>
    <row r="19" spans="2:27" ht="18" customHeight="1" x14ac:dyDescent="0.3">
      <c r="B19" s="482" t="s">
        <v>386</v>
      </c>
      <c r="C19" s="577">
        <v>11595437190</v>
      </c>
      <c r="D19" s="577"/>
      <c r="E19" s="578"/>
    </row>
    <row r="20" spans="2:27" ht="18" customHeight="1" thickBot="1" x14ac:dyDescent="0.35">
      <c r="B20" s="483" t="s">
        <v>387</v>
      </c>
      <c r="C20" s="579">
        <v>1159543719</v>
      </c>
      <c r="D20" s="579"/>
      <c r="E20" s="580"/>
    </row>
    <row r="21" spans="2:27" ht="18" customHeight="1" thickBot="1" x14ac:dyDescent="0.35">
      <c r="F21" s="484"/>
      <c r="G21" s="484"/>
      <c r="H21" s="484"/>
      <c r="I21" s="484"/>
      <c r="J21" s="484"/>
      <c r="K21" s="484"/>
      <c r="L21" s="484"/>
      <c r="M21" s="484"/>
      <c r="N21" s="484"/>
      <c r="O21" s="484"/>
      <c r="P21" s="484"/>
      <c r="Q21" s="484"/>
      <c r="R21" s="484"/>
      <c r="S21" s="484"/>
      <c r="T21" s="484"/>
      <c r="U21" s="484"/>
      <c r="V21" s="484"/>
      <c r="W21" s="484"/>
      <c r="X21" s="484"/>
      <c r="Y21" s="484"/>
      <c r="Z21" s="484"/>
      <c r="AA21" s="484"/>
    </row>
    <row r="22" spans="2:27" ht="18" customHeight="1" x14ac:dyDescent="0.3">
      <c r="B22" s="481" t="s">
        <v>384</v>
      </c>
      <c r="C22" s="573" t="s">
        <v>376</v>
      </c>
      <c r="D22" s="573"/>
      <c r="E22" s="574"/>
      <c r="F22" s="484"/>
      <c r="G22" s="484"/>
      <c r="H22" s="484"/>
      <c r="I22" s="484"/>
      <c r="J22" s="484" t="s">
        <v>598</v>
      </c>
      <c r="K22" s="484"/>
      <c r="L22" s="484"/>
      <c r="M22" s="484"/>
      <c r="N22" s="484">
        <v>1278396949</v>
      </c>
      <c r="O22" s="484">
        <v>100</v>
      </c>
      <c r="P22" s="484"/>
      <c r="Q22" s="484"/>
      <c r="R22" s="484"/>
      <c r="S22" s="484"/>
      <c r="T22" s="484"/>
      <c r="U22" s="484"/>
      <c r="V22" s="484"/>
      <c r="W22" s="484"/>
      <c r="X22" s="484"/>
      <c r="Y22" s="484"/>
      <c r="Z22" s="484"/>
      <c r="AA22" s="484"/>
    </row>
    <row r="23" spans="2:27" ht="18" customHeight="1" x14ac:dyDescent="0.3">
      <c r="B23" s="482" t="s">
        <v>385</v>
      </c>
      <c r="C23" s="575" t="s">
        <v>465</v>
      </c>
      <c r="D23" s="575"/>
      <c r="E23" s="576"/>
      <c r="F23" s="484"/>
      <c r="G23" s="484"/>
      <c r="H23" s="484"/>
      <c r="I23" s="484"/>
      <c r="J23" s="484"/>
      <c r="K23" s="484" t="s">
        <v>599</v>
      </c>
      <c r="L23" s="484"/>
      <c r="M23" s="484" t="e">
        <f>'Detail Up 1st July,2023'!#REF!</f>
        <v>#REF!</v>
      </c>
      <c r="N23" s="484"/>
      <c r="O23" s="484">
        <v>34.64</v>
      </c>
      <c r="P23" s="485" t="e">
        <f>M23/N22*100</f>
        <v>#REF!</v>
      </c>
      <c r="Q23" s="484"/>
      <c r="R23" s="484"/>
      <c r="S23" s="484"/>
      <c r="T23" s="484"/>
      <c r="U23" s="484"/>
      <c r="V23" s="484"/>
      <c r="W23" s="484"/>
      <c r="X23" s="484"/>
      <c r="Y23" s="484"/>
      <c r="Z23" s="484"/>
      <c r="AA23" s="484"/>
    </row>
    <row r="24" spans="2:27" ht="18" customHeight="1" x14ac:dyDescent="0.3">
      <c r="B24" s="482" t="s">
        <v>386</v>
      </c>
      <c r="C24" s="577">
        <f>C25*10</f>
        <v>12175209049.5</v>
      </c>
      <c r="D24" s="577"/>
      <c r="E24" s="578"/>
      <c r="F24" s="484">
        <v>803261533</v>
      </c>
      <c r="G24" s="484"/>
      <c r="H24" s="484"/>
      <c r="I24" s="484"/>
      <c r="J24" s="484"/>
      <c r="K24" s="484" t="s">
        <v>600</v>
      </c>
      <c r="L24" s="484"/>
      <c r="M24" s="484">
        <v>10368808</v>
      </c>
      <c r="N24" s="484"/>
      <c r="O24" s="484">
        <v>0.81</v>
      </c>
      <c r="P24" s="485">
        <f>M24/N22*100</f>
        <v>0.8110789069162585</v>
      </c>
      <c r="Q24" s="484"/>
      <c r="R24" s="484"/>
      <c r="S24" s="484"/>
      <c r="T24" s="484"/>
      <c r="U24" s="484"/>
      <c r="V24" s="484"/>
      <c r="W24" s="484"/>
      <c r="X24" s="484"/>
      <c r="Y24" s="484"/>
      <c r="Z24" s="484"/>
      <c r="AA24" s="484"/>
    </row>
    <row r="25" spans="2:27" ht="18" customHeight="1" thickBot="1" x14ac:dyDescent="0.35">
      <c r="B25" s="483" t="s">
        <v>387</v>
      </c>
      <c r="C25" s="567">
        <f>C20*1.05</f>
        <v>1217520904.95</v>
      </c>
      <c r="D25" s="567"/>
      <c r="E25" s="568"/>
      <c r="F25" s="484">
        <v>803261533</v>
      </c>
      <c r="G25" s="484">
        <v>1217520904</v>
      </c>
      <c r="H25" s="484">
        <f>G25-F25</f>
        <v>414259371</v>
      </c>
      <c r="I25" s="484"/>
      <c r="J25" s="484"/>
      <c r="K25" s="484"/>
      <c r="L25" s="484"/>
      <c r="M25" s="484"/>
      <c r="N25" s="484" t="e">
        <f>M24+M23</f>
        <v>#REF!</v>
      </c>
      <c r="O25" s="484">
        <f>O24+O23</f>
        <v>35.450000000000003</v>
      </c>
      <c r="P25" s="485" t="e">
        <f>N25/N22*100</f>
        <v>#REF!</v>
      </c>
      <c r="Q25" s="484"/>
      <c r="R25" s="484"/>
      <c r="S25" s="484"/>
      <c r="T25" s="484"/>
      <c r="U25" s="484"/>
      <c r="V25" s="484"/>
      <c r="W25" s="484"/>
      <c r="X25" s="484"/>
      <c r="Y25" s="484"/>
      <c r="Z25" s="484"/>
      <c r="AA25" s="484"/>
    </row>
    <row r="26" spans="2:27" ht="18" customHeight="1" x14ac:dyDescent="0.3">
      <c r="F26" s="486"/>
      <c r="G26" s="484"/>
      <c r="H26" s="486" t="e">
        <f>'Detail Up 1st July,2023'!#REF!</f>
        <v>#REF!</v>
      </c>
      <c r="I26" s="484"/>
      <c r="J26" s="484" t="s">
        <v>601</v>
      </c>
      <c r="K26" s="484"/>
      <c r="L26" s="484"/>
      <c r="M26" s="484"/>
      <c r="N26" s="484" t="e">
        <f>N22-N25</f>
        <v>#REF!</v>
      </c>
      <c r="O26" s="484"/>
      <c r="P26" s="484"/>
      <c r="Q26" s="484"/>
      <c r="R26" s="484"/>
      <c r="S26" s="484"/>
      <c r="T26" s="484"/>
      <c r="U26" s="484"/>
      <c r="V26" s="484"/>
      <c r="W26" s="484"/>
      <c r="X26" s="484"/>
      <c r="Y26" s="484"/>
      <c r="Z26" s="484"/>
      <c r="AA26" s="484"/>
    </row>
    <row r="27" spans="2:27" ht="18" customHeight="1" thickBot="1" x14ac:dyDescent="0.35">
      <c r="F27" s="484"/>
      <c r="G27" s="484"/>
      <c r="H27" s="484"/>
      <c r="I27" s="484"/>
      <c r="J27" s="484"/>
      <c r="K27" s="484"/>
      <c r="L27" s="484"/>
      <c r="M27" s="484"/>
      <c r="N27" s="484"/>
      <c r="O27" s="484"/>
      <c r="P27" s="484"/>
      <c r="Q27" s="484"/>
      <c r="R27" s="484"/>
      <c r="S27" s="484"/>
      <c r="T27" s="484"/>
      <c r="U27" s="484"/>
      <c r="V27" s="484"/>
      <c r="W27" s="484"/>
      <c r="X27" s="484"/>
      <c r="Y27" s="484"/>
      <c r="Z27" s="484"/>
      <c r="AA27" s="484"/>
    </row>
    <row r="28" spans="2:27" ht="18" customHeight="1" x14ac:dyDescent="0.3">
      <c r="B28" s="481" t="s">
        <v>384</v>
      </c>
      <c r="C28" s="573" t="s">
        <v>376</v>
      </c>
      <c r="D28" s="573"/>
      <c r="E28" s="574"/>
      <c r="F28" s="484"/>
      <c r="G28" s="484"/>
      <c r="H28" s="484"/>
      <c r="I28" s="484"/>
      <c r="J28" s="484"/>
      <c r="K28" s="484"/>
      <c r="L28" s="484"/>
      <c r="M28" s="484"/>
      <c r="N28" s="484"/>
      <c r="O28" s="484"/>
      <c r="P28" s="484"/>
      <c r="Q28" s="484"/>
      <c r="R28" s="484"/>
      <c r="S28" s="484"/>
      <c r="T28" s="484"/>
      <c r="U28" s="484"/>
      <c r="V28" s="484"/>
      <c r="W28" s="484"/>
      <c r="X28" s="484"/>
      <c r="Y28" s="484"/>
      <c r="Z28" s="484"/>
      <c r="AA28" s="484"/>
    </row>
    <row r="29" spans="2:27" ht="18" customHeight="1" x14ac:dyDescent="0.3">
      <c r="B29" s="482" t="s">
        <v>385</v>
      </c>
      <c r="C29" s="575" t="s">
        <v>702</v>
      </c>
      <c r="D29" s="575"/>
      <c r="E29" s="576"/>
      <c r="F29" s="484"/>
      <c r="G29" s="484"/>
      <c r="H29" s="484"/>
      <c r="I29" s="484"/>
      <c r="J29" s="484"/>
      <c r="K29" s="484"/>
      <c r="L29" s="484"/>
      <c r="M29" s="484"/>
      <c r="N29" s="484"/>
      <c r="O29" s="484"/>
      <c r="P29" s="484"/>
      <c r="Q29" s="484"/>
      <c r="R29" s="484"/>
      <c r="S29" s="484"/>
      <c r="T29" s="484"/>
      <c r="U29" s="484"/>
      <c r="V29" s="484"/>
      <c r="W29" s="484"/>
      <c r="X29" s="484"/>
      <c r="Y29" s="484"/>
      <c r="Z29" s="484"/>
      <c r="AA29" s="484"/>
    </row>
    <row r="30" spans="2:27" ht="18" customHeight="1" x14ac:dyDescent="0.3">
      <c r="B30" s="482" t="s">
        <v>386</v>
      </c>
      <c r="C30" s="577">
        <f>C31*10</f>
        <v>12783969490</v>
      </c>
      <c r="D30" s="577"/>
      <c r="E30" s="578"/>
      <c r="F30" s="484"/>
      <c r="G30" s="484"/>
      <c r="H30" s="484"/>
      <c r="I30" s="484"/>
      <c r="J30" s="484"/>
      <c r="K30" s="484"/>
      <c r="L30" s="484"/>
      <c r="M30" s="484"/>
      <c r="N30" s="484"/>
      <c r="O30" s="484"/>
      <c r="P30" s="484"/>
      <c r="Q30" s="484"/>
      <c r="R30" s="484"/>
      <c r="S30" s="484"/>
      <c r="T30" s="484"/>
      <c r="U30" s="484"/>
      <c r="V30" s="484"/>
      <c r="W30" s="484"/>
      <c r="X30" s="484"/>
      <c r="Y30" s="484"/>
      <c r="Z30" s="484"/>
      <c r="AA30" s="484"/>
    </row>
    <row r="31" spans="2:27" ht="18" customHeight="1" thickBot="1" x14ac:dyDescent="0.35">
      <c r="B31" s="483" t="s">
        <v>387</v>
      </c>
      <c r="C31" s="579">
        <v>1278396949</v>
      </c>
      <c r="D31" s="579"/>
      <c r="E31" s="580"/>
      <c r="F31" s="484">
        <f>C31/C24</f>
        <v>0.10499999990164439</v>
      </c>
      <c r="G31" s="484">
        <v>1278396949</v>
      </c>
      <c r="H31" s="487">
        <v>1</v>
      </c>
      <c r="I31" s="484"/>
      <c r="J31" s="484"/>
      <c r="K31" s="484"/>
      <c r="L31" s="488">
        <f>C31</f>
        <v>1278396949</v>
      </c>
      <c r="M31" s="484"/>
      <c r="N31" s="484"/>
      <c r="O31" s="484"/>
      <c r="P31" s="484"/>
      <c r="Q31" s="484"/>
      <c r="R31" s="484"/>
      <c r="S31" s="484"/>
      <c r="T31" s="484"/>
      <c r="U31" s="484"/>
      <c r="V31" s="484"/>
      <c r="W31" s="484"/>
      <c r="X31" s="484"/>
      <c r="Y31" s="484"/>
      <c r="Z31" s="484"/>
      <c r="AA31" s="484"/>
    </row>
    <row r="32" spans="2:27" ht="18" customHeight="1" thickBot="1" x14ac:dyDescent="0.35">
      <c r="B32" s="489" t="s">
        <v>487</v>
      </c>
      <c r="C32" s="569">
        <f>C31-C25</f>
        <v>60876044.049999952</v>
      </c>
      <c r="D32" s="570"/>
      <c r="E32" s="571"/>
      <c r="F32" s="484"/>
      <c r="G32" s="484" t="e">
        <f>'Detail Up 1st July,2023'!#REF!</f>
        <v>#REF!</v>
      </c>
      <c r="H32" s="490">
        <v>0.36680000000000001</v>
      </c>
      <c r="I32" s="484"/>
      <c r="J32" s="484"/>
      <c r="K32" s="484"/>
      <c r="L32" s="484"/>
      <c r="M32" s="484"/>
      <c r="N32" s="484"/>
      <c r="O32" s="484"/>
      <c r="P32" s="484"/>
      <c r="Q32" s="484"/>
      <c r="R32" s="484"/>
      <c r="S32" s="484"/>
      <c r="T32" s="484"/>
      <c r="U32" s="484"/>
      <c r="V32" s="484"/>
      <c r="W32" s="484"/>
      <c r="X32" s="484"/>
      <c r="Y32" s="484"/>
      <c r="Z32" s="484"/>
      <c r="AA32" s="484"/>
    </row>
    <row r="33" spans="2:27" ht="18" customHeight="1" x14ac:dyDescent="0.3">
      <c r="D33" s="484">
        <v>60876045</v>
      </c>
      <c r="F33" s="484"/>
      <c r="G33" s="484">
        <f>10368808</f>
        <v>10368808</v>
      </c>
      <c r="H33" s="490"/>
      <c r="I33" s="484"/>
      <c r="J33" s="484"/>
      <c r="K33" s="484"/>
      <c r="L33" s="484"/>
      <c r="M33" s="484"/>
      <c r="N33" s="484"/>
      <c r="O33" s="484"/>
      <c r="P33" s="484"/>
      <c r="Q33" s="484"/>
      <c r="R33" s="484"/>
      <c r="S33" s="484"/>
      <c r="T33" s="484"/>
      <c r="U33" s="484"/>
      <c r="V33" s="484"/>
      <c r="W33" s="484"/>
      <c r="X33" s="484"/>
      <c r="Y33" s="484"/>
      <c r="Z33" s="484"/>
      <c r="AA33" s="484"/>
    </row>
    <row r="34" spans="2:27" ht="18" customHeight="1" x14ac:dyDescent="0.3">
      <c r="F34" s="484"/>
      <c r="G34" s="491" t="e">
        <f>G31-G32-G33</f>
        <v>#REF!</v>
      </c>
      <c r="H34" s="490"/>
      <c r="I34" s="490"/>
      <c r="J34" s="490"/>
      <c r="K34" s="490"/>
      <c r="L34" s="484"/>
      <c r="M34" s="484"/>
      <c r="N34" s="484"/>
      <c r="O34" s="484"/>
      <c r="P34" s="484"/>
      <c r="Q34" s="484"/>
      <c r="R34" s="484"/>
      <c r="S34" s="484"/>
      <c r="T34" s="484"/>
      <c r="U34" s="484"/>
      <c r="V34" s="484"/>
      <c r="W34" s="484"/>
      <c r="X34" s="484"/>
      <c r="Y34" s="484"/>
      <c r="Z34" s="484"/>
      <c r="AA34" s="484"/>
    </row>
    <row r="35" spans="2:27" ht="18" customHeight="1" x14ac:dyDescent="0.3">
      <c r="H35" s="490"/>
      <c r="I35" s="490"/>
      <c r="J35" s="490"/>
      <c r="K35" s="490"/>
    </row>
    <row r="36" spans="2:27" ht="18" customHeight="1" thickBot="1" x14ac:dyDescent="0.35">
      <c r="H36" s="490"/>
      <c r="I36" s="490"/>
      <c r="J36" s="490"/>
      <c r="K36" s="490"/>
    </row>
    <row r="37" spans="2:27" ht="18" customHeight="1" x14ac:dyDescent="0.3">
      <c r="B37" s="481" t="s">
        <v>384</v>
      </c>
      <c r="C37" s="573" t="s">
        <v>376</v>
      </c>
      <c r="D37" s="573"/>
      <c r="E37" s="574"/>
      <c r="H37" s="490"/>
      <c r="I37" s="490"/>
      <c r="J37" s="490"/>
      <c r="K37" s="490"/>
    </row>
    <row r="38" spans="2:27" ht="18" customHeight="1" x14ac:dyDescent="0.3">
      <c r="B38" s="482" t="s">
        <v>385</v>
      </c>
      <c r="C38" s="575" t="s">
        <v>701</v>
      </c>
      <c r="D38" s="575"/>
      <c r="E38" s="576"/>
      <c r="H38" s="490"/>
      <c r="I38" s="490"/>
      <c r="J38" s="490"/>
      <c r="K38" s="490"/>
      <c r="L38" s="484"/>
    </row>
    <row r="39" spans="2:27" ht="18" customHeight="1" x14ac:dyDescent="0.3">
      <c r="B39" s="482" t="s">
        <v>386</v>
      </c>
      <c r="C39" s="577">
        <f>C40*10</f>
        <v>14062366439</v>
      </c>
      <c r="D39" s="577"/>
      <c r="E39" s="578"/>
      <c r="H39" s="490"/>
      <c r="I39" s="490"/>
      <c r="J39" s="490"/>
      <c r="K39" s="490"/>
    </row>
    <row r="40" spans="2:27" ht="18" customHeight="1" thickBot="1" x14ac:dyDescent="0.35">
      <c r="B40" s="483" t="s">
        <v>387</v>
      </c>
      <c r="C40" s="567">
        <f>C31*1.1</f>
        <v>1406236643.9000001</v>
      </c>
      <c r="D40" s="567"/>
      <c r="E40" s="568"/>
      <c r="H40" s="490"/>
      <c r="I40" s="490"/>
      <c r="J40" s="490"/>
      <c r="K40" s="490"/>
    </row>
    <row r="41" spans="2:27" ht="18" customHeight="1" thickBot="1" x14ac:dyDescent="0.35">
      <c r="B41" s="489" t="s">
        <v>487</v>
      </c>
      <c r="C41" s="569">
        <f>C40-C34</f>
        <v>1406236643.9000001</v>
      </c>
      <c r="D41" s="570"/>
      <c r="E41" s="571"/>
    </row>
    <row r="42" spans="2:27" ht="18" customHeight="1" x14ac:dyDescent="0.3"/>
    <row r="43" spans="2:27" ht="18" customHeight="1" x14ac:dyDescent="0.3">
      <c r="E43" s="484">
        <v>1406236643</v>
      </c>
      <c r="F43" s="484">
        <v>1278396949</v>
      </c>
      <c r="G43" s="484">
        <f>E43-F43</f>
        <v>127839694</v>
      </c>
    </row>
    <row r="44" spans="2:27" ht="18" customHeight="1" x14ac:dyDescent="0.3"/>
    <row r="45" spans="2:27" ht="18" customHeight="1" thickBot="1" x14ac:dyDescent="0.35"/>
    <row r="46" spans="2:27" ht="18" customHeight="1" x14ac:dyDescent="0.3">
      <c r="B46" s="481" t="s">
        <v>384</v>
      </c>
      <c r="C46" s="573" t="s">
        <v>376</v>
      </c>
      <c r="D46" s="573"/>
      <c r="E46" s="574"/>
      <c r="J46" s="493" t="s">
        <v>703</v>
      </c>
      <c r="K46" s="497">
        <v>100</v>
      </c>
      <c r="L46" s="498">
        <v>1476548475</v>
      </c>
    </row>
    <row r="47" spans="2:27" ht="18" customHeight="1" x14ac:dyDescent="0.3">
      <c r="B47" s="482" t="s">
        <v>385</v>
      </c>
      <c r="C47" s="575" t="s">
        <v>700</v>
      </c>
      <c r="D47" s="575"/>
      <c r="E47" s="576"/>
      <c r="J47" s="494">
        <v>511598732</v>
      </c>
      <c r="K47" s="497">
        <v>34.64</v>
      </c>
      <c r="L47" s="498">
        <v>511598732</v>
      </c>
    </row>
    <row r="48" spans="2:27" ht="18" customHeight="1" x14ac:dyDescent="0.3">
      <c r="B48" s="482" t="s">
        <v>386</v>
      </c>
      <c r="C48" s="577">
        <f>C49*10</f>
        <v>14765484750</v>
      </c>
      <c r="D48" s="577"/>
      <c r="E48" s="578"/>
      <c r="J48" s="495">
        <v>11975972</v>
      </c>
      <c r="K48" s="497">
        <v>0.81</v>
      </c>
      <c r="L48" s="498">
        <v>11975972</v>
      </c>
    </row>
    <row r="49" spans="2:12" ht="18" customHeight="1" thickBot="1" x14ac:dyDescent="0.35">
      <c r="B49" s="483" t="s">
        <v>387</v>
      </c>
      <c r="C49" s="581">
        <v>1476548475</v>
      </c>
      <c r="D49" s="582"/>
      <c r="E49" s="583"/>
      <c r="F49" s="567">
        <f>C40*1.05</f>
        <v>1476548476.0950003</v>
      </c>
      <c r="G49" s="567"/>
      <c r="H49" s="568"/>
      <c r="J49" s="496">
        <v>523574704</v>
      </c>
      <c r="K49" s="499">
        <f>K48+K47</f>
        <v>35.450000000000003</v>
      </c>
      <c r="L49" s="498">
        <v>523574704</v>
      </c>
    </row>
    <row r="50" spans="2:12" ht="18" customHeight="1" thickBot="1" x14ac:dyDescent="0.35">
      <c r="B50" s="489" t="s">
        <v>487</v>
      </c>
      <c r="C50" s="569">
        <f>F49-C43</f>
        <v>1476548476.0950003</v>
      </c>
      <c r="D50" s="570"/>
      <c r="E50" s="571"/>
      <c r="J50" s="492"/>
      <c r="K50" s="499">
        <f>K46-K49</f>
        <v>64.55</v>
      </c>
      <c r="L50" s="500">
        <f>L46-L49</f>
        <v>952973771</v>
      </c>
    </row>
    <row r="51" spans="2:12" ht="18" customHeight="1" x14ac:dyDescent="0.3"/>
    <row r="52" spans="2:12" ht="18" customHeight="1" x14ac:dyDescent="0.3"/>
    <row r="53" spans="2:12" ht="18" customHeight="1" x14ac:dyDescent="0.3"/>
    <row r="54" spans="2:12" ht="18" customHeight="1" x14ac:dyDescent="0.3"/>
    <row r="55" spans="2:12" ht="18" customHeight="1" x14ac:dyDescent="0.3"/>
  </sheetData>
  <mergeCells count="36">
    <mergeCell ref="C46:E46"/>
    <mergeCell ref="C47:E47"/>
    <mergeCell ref="C48:E48"/>
    <mergeCell ref="F49:H49"/>
    <mergeCell ref="C50:E50"/>
    <mergeCell ref="C49:E49"/>
    <mergeCell ref="AO3:AR3"/>
    <mergeCell ref="AG3:AJ3"/>
    <mergeCell ref="AK3:AN3"/>
    <mergeCell ref="C37:E37"/>
    <mergeCell ref="C38:E38"/>
    <mergeCell ref="C30:E30"/>
    <mergeCell ref="C39:E39"/>
    <mergeCell ref="I3:L3"/>
    <mergeCell ref="M3:P3"/>
    <mergeCell ref="AC3:AF3"/>
    <mergeCell ref="C31:E31"/>
    <mergeCell ref="Q3:T3"/>
    <mergeCell ref="Y3:AB3"/>
    <mergeCell ref="U3:X3"/>
    <mergeCell ref="AS3:AV3"/>
    <mergeCell ref="C40:E40"/>
    <mergeCell ref="C41:E41"/>
    <mergeCell ref="C32:E32"/>
    <mergeCell ref="A3:B3"/>
    <mergeCell ref="E3:H3"/>
    <mergeCell ref="C25:E25"/>
    <mergeCell ref="C17:E17"/>
    <mergeCell ref="C18:E18"/>
    <mergeCell ref="C19:E19"/>
    <mergeCell ref="C20:E20"/>
    <mergeCell ref="C22:E22"/>
    <mergeCell ref="C23:E23"/>
    <mergeCell ref="C24:E24"/>
    <mergeCell ref="C28:E28"/>
    <mergeCell ref="C29:E2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R321"/>
  <sheetViews>
    <sheetView zoomScaleNormal="100" workbookViewId="0">
      <pane xSplit="4" ySplit="3" topLeftCell="E13" activePane="bottomRight" state="frozen"/>
      <selection pane="topRight" activeCell="F1" sqref="F1"/>
      <selection pane="bottomLeft" activeCell="A4" sqref="A4"/>
      <selection pane="bottomRight" activeCell="HD7" sqref="HD7"/>
    </sheetView>
  </sheetViews>
  <sheetFormatPr defaultColWidth="9.109375" defaultRowHeight="10.199999999999999" x14ac:dyDescent="0.3"/>
  <cols>
    <col min="1" max="1" width="8" style="20" bestFit="1" customWidth="1"/>
    <col min="2" max="2" width="25.5546875" style="20" bestFit="1" customWidth="1"/>
    <col min="3" max="3" width="12.88671875" style="20" bestFit="1" customWidth="1"/>
    <col min="4" max="4" width="17.33203125" style="20" bestFit="1" customWidth="1"/>
    <col min="5" max="5" width="17" style="100" bestFit="1" customWidth="1"/>
    <col min="6" max="6" width="21" style="100" bestFit="1" customWidth="1"/>
    <col min="7" max="7" width="19.5546875" style="100" bestFit="1" customWidth="1"/>
    <col min="8" max="12" width="21.44140625" style="100" bestFit="1" customWidth="1"/>
    <col min="13" max="20" width="21.44140625" style="129" bestFit="1" customWidth="1"/>
    <col min="21" max="21" width="18.109375" style="129" bestFit="1" customWidth="1"/>
    <col min="22" max="22" width="27.88671875" style="129" bestFit="1" customWidth="1"/>
    <col min="23" max="23" width="21" style="129" bestFit="1" customWidth="1"/>
    <col min="24" max="27" width="21.44140625" style="129" bestFit="1" customWidth="1"/>
    <col min="28" max="28" width="16.44140625" style="129" bestFit="1" customWidth="1"/>
    <col min="29" max="29" width="12.44140625" style="129" bestFit="1" customWidth="1"/>
    <col min="30" max="30" width="10.6640625" style="129" bestFit="1" customWidth="1"/>
    <col min="31" max="31" width="15.44140625" style="129" bestFit="1" customWidth="1"/>
    <col min="32" max="32" width="16.44140625" style="129" bestFit="1" customWidth="1"/>
    <col min="33" max="33" width="12.44140625" style="129" bestFit="1" customWidth="1"/>
    <col min="34" max="34" width="10.6640625" style="129" bestFit="1" customWidth="1"/>
    <col min="35" max="35" width="15.44140625" style="129" bestFit="1" customWidth="1"/>
    <col min="36" max="36" width="16.44140625" style="129" bestFit="1" customWidth="1"/>
    <col min="37" max="37" width="12.44140625" style="129" bestFit="1" customWidth="1"/>
    <col min="38" max="38" width="10.6640625" style="129" bestFit="1" customWidth="1"/>
    <col min="39" max="39" width="15.44140625" style="129" bestFit="1" customWidth="1"/>
    <col min="40" max="40" width="16.44140625" style="129" bestFit="1" customWidth="1"/>
    <col min="41" max="41" width="12.44140625" style="129" bestFit="1" customWidth="1"/>
    <col min="42" max="42" width="9.88671875" style="129" bestFit="1" customWidth="1"/>
    <col min="43" max="43" width="15.44140625" style="129" bestFit="1" customWidth="1"/>
    <col min="44" max="44" width="16.44140625" style="129" bestFit="1" customWidth="1"/>
    <col min="45" max="45" width="12.44140625" style="129" bestFit="1" customWidth="1"/>
    <col min="46" max="46" width="9.88671875" style="129" bestFit="1" customWidth="1"/>
    <col min="47" max="47" width="14.33203125" style="129" bestFit="1" customWidth="1"/>
    <col min="48" max="48" width="16.44140625" style="129" bestFit="1" customWidth="1"/>
    <col min="49" max="49" width="12.44140625" style="129" bestFit="1" customWidth="1"/>
    <col min="50" max="50" width="9.88671875" style="129" bestFit="1" customWidth="1"/>
    <col min="51" max="51" width="14.33203125" style="129" bestFit="1" customWidth="1"/>
    <col min="52" max="52" width="26.88671875" style="129" bestFit="1" customWidth="1"/>
    <col min="53" max="53" width="18.109375" style="129" bestFit="1" customWidth="1"/>
    <col min="54" max="54" width="18.33203125" style="129" bestFit="1" customWidth="1"/>
    <col min="55" max="55" width="22.44140625" style="129" bestFit="1" customWidth="1"/>
    <col min="56" max="56" width="20" style="129" bestFit="1" customWidth="1"/>
    <col min="57" max="57" width="22.88671875" style="129" bestFit="1" customWidth="1"/>
    <col min="58" max="58" width="27.109375" style="20" bestFit="1" customWidth="1"/>
    <col min="59" max="59" width="26.5546875" style="20" bestFit="1" customWidth="1"/>
    <col min="60" max="60" width="16.44140625" style="20" bestFit="1" customWidth="1"/>
    <col min="61" max="61" width="12.44140625" style="20" bestFit="1" customWidth="1"/>
    <col min="62" max="62" width="16" style="20" bestFit="1" customWidth="1"/>
    <col min="63" max="64" width="14.33203125" style="20" bestFit="1" customWidth="1"/>
    <col min="65" max="65" width="12.44140625" style="20" bestFit="1" customWidth="1"/>
    <col min="66" max="66" width="16" style="20" bestFit="1" customWidth="1"/>
    <col min="67" max="67" width="14.33203125" style="20" bestFit="1" customWidth="1"/>
    <col min="68" max="68" width="24.88671875" style="20" bestFit="1" customWidth="1"/>
    <col min="69" max="69" width="14.33203125" style="20" bestFit="1" customWidth="1"/>
    <col min="70" max="70" width="12.44140625" style="20" bestFit="1" customWidth="1"/>
    <col min="71" max="71" width="16" style="20" bestFit="1" customWidth="1"/>
    <col min="72" max="72" width="14.33203125" style="20" bestFit="1" customWidth="1"/>
    <col min="73" max="73" width="38.6640625" style="20" bestFit="1" customWidth="1"/>
    <col min="74" max="74" width="14.33203125" style="20" bestFit="1" customWidth="1"/>
    <col min="75" max="75" width="12.44140625" style="20" bestFit="1" customWidth="1"/>
    <col min="76" max="76" width="16" style="20" bestFit="1" customWidth="1"/>
    <col min="77" max="77" width="14.33203125" style="20" bestFit="1" customWidth="1"/>
    <col min="78" max="78" width="36.5546875" style="20" bestFit="1" customWidth="1"/>
    <col min="79" max="79" width="14.33203125" style="20" bestFit="1" customWidth="1"/>
    <col min="80" max="80" width="12.44140625" style="20" bestFit="1" customWidth="1"/>
    <col min="81" max="81" width="16" style="20" bestFit="1" customWidth="1"/>
    <col min="82" max="82" width="14.33203125" style="20" bestFit="1" customWidth="1"/>
    <col min="83" max="83" width="29.109375" style="20" bestFit="1" customWidth="1"/>
    <col min="84" max="84" width="14.33203125" style="20" bestFit="1" customWidth="1"/>
    <col min="85" max="85" width="12.44140625" style="20" bestFit="1" customWidth="1"/>
    <col min="86" max="86" width="16" style="20" bestFit="1" customWidth="1"/>
    <col min="87" max="87" width="14.33203125" style="20" bestFit="1" customWidth="1"/>
    <col min="88" max="88" width="29.44140625" style="20" bestFit="1" customWidth="1"/>
    <col min="89" max="89" width="14.33203125" style="20" bestFit="1" customWidth="1"/>
    <col min="90" max="90" width="12.44140625" style="20" bestFit="1" customWidth="1"/>
    <col min="91" max="91" width="16" style="20" bestFit="1" customWidth="1"/>
    <col min="92" max="92" width="14.33203125" style="20" bestFit="1" customWidth="1"/>
    <col min="93" max="93" width="29.44140625" style="20" bestFit="1" customWidth="1"/>
    <col min="94" max="94" width="14.33203125" style="20" bestFit="1" customWidth="1"/>
    <col min="95" max="95" width="12.44140625" style="20" bestFit="1" customWidth="1"/>
    <col min="96" max="96" width="16" style="20" bestFit="1" customWidth="1"/>
    <col min="97" max="97" width="14.33203125" style="20" bestFit="1" customWidth="1"/>
    <col min="98" max="98" width="28.33203125" style="20" bestFit="1" customWidth="1"/>
    <col min="99" max="99" width="14.33203125" style="20" bestFit="1" customWidth="1"/>
    <col min="100" max="100" width="12.44140625" style="20" bestFit="1" customWidth="1"/>
    <col min="101" max="101" width="16" style="20" bestFit="1" customWidth="1"/>
    <col min="102" max="102" width="14.33203125" style="20" bestFit="1" customWidth="1"/>
    <col min="103" max="103" width="28.44140625" style="20" bestFit="1" customWidth="1"/>
    <col min="104" max="104" width="8.44140625" style="20" bestFit="1" customWidth="1"/>
    <col min="105" max="105" width="9.5546875" style="20" bestFit="1" customWidth="1"/>
    <col min="106" max="106" width="8.44140625" style="20" bestFit="1" customWidth="1"/>
    <col min="107" max="107" width="17" style="20" bestFit="1" customWidth="1"/>
    <col min="108" max="108" width="18.109375" style="20" bestFit="1" customWidth="1"/>
    <col min="109" max="109" width="18.33203125" style="20" bestFit="1" customWidth="1"/>
    <col min="110" max="110" width="16" style="20" bestFit="1" customWidth="1"/>
    <col min="111" max="111" width="21.88671875" style="20" bestFit="1" customWidth="1"/>
    <col min="112" max="112" width="7.5546875" style="20" bestFit="1" customWidth="1"/>
    <col min="113" max="113" width="14.33203125" style="126" bestFit="1" customWidth="1"/>
    <col min="114" max="114" width="14.33203125" style="20" bestFit="1" customWidth="1"/>
    <col min="115" max="115" width="13.109375" style="20" bestFit="1" customWidth="1"/>
    <col min="116" max="116" width="8.6640625" style="20" bestFit="1" customWidth="1"/>
    <col min="117" max="117" width="13.109375" style="20" bestFit="1" customWidth="1"/>
    <col min="118" max="118" width="9.44140625" style="20" bestFit="1" customWidth="1"/>
    <col min="119" max="119" width="14.33203125" style="20" bestFit="1" customWidth="1"/>
    <col min="120" max="120" width="11.5546875" style="20" bestFit="1" customWidth="1"/>
    <col min="121" max="121" width="14.33203125" style="20" bestFit="1" customWidth="1"/>
    <col min="122" max="122" width="7" style="20" bestFit="1" customWidth="1"/>
    <col min="123" max="123" width="10.6640625" style="20" bestFit="1" customWidth="1"/>
    <col min="124" max="124" width="14.33203125" style="20" bestFit="1" customWidth="1"/>
    <col min="125" max="125" width="16.44140625" style="20" bestFit="1" customWidth="1"/>
    <col min="126" max="126" width="17.88671875" style="20" bestFit="1" customWidth="1"/>
    <col min="127" max="127" width="14.33203125" style="20" bestFit="1" customWidth="1"/>
    <col min="128" max="128" width="10.6640625" style="20" bestFit="1" customWidth="1"/>
    <col min="129" max="129" width="9.5546875" style="20" bestFit="1" customWidth="1"/>
    <col min="130" max="130" width="14.33203125" style="20" bestFit="1" customWidth="1"/>
    <col min="131" max="131" width="16.44140625" style="20" bestFit="1" customWidth="1"/>
    <col min="132" max="132" width="21.109375" style="20" bestFit="1" customWidth="1"/>
    <col min="133" max="133" width="14.33203125" style="20" bestFit="1" customWidth="1"/>
    <col min="134" max="134" width="10.6640625" style="20" bestFit="1" customWidth="1"/>
    <col min="135" max="135" width="9.5546875" style="20" bestFit="1" customWidth="1"/>
    <col min="136" max="136" width="14.33203125" style="20" bestFit="1" customWidth="1"/>
    <col min="137" max="137" width="16.44140625" style="20" bestFit="1" customWidth="1"/>
    <col min="138" max="138" width="20.33203125" style="20" bestFit="1" customWidth="1"/>
    <col min="139" max="139" width="14.33203125" style="20" bestFit="1" customWidth="1"/>
    <col min="140" max="140" width="10.6640625" style="20" bestFit="1" customWidth="1"/>
    <col min="141" max="141" width="9.5546875" style="20" bestFit="1" customWidth="1"/>
    <col min="142" max="142" width="14.33203125" style="20" bestFit="1" customWidth="1"/>
    <col min="143" max="143" width="16.44140625" style="20" bestFit="1" customWidth="1"/>
    <col min="144" max="144" width="21.88671875" style="20" bestFit="1" customWidth="1"/>
    <col min="145" max="145" width="14.33203125" style="20" bestFit="1" customWidth="1"/>
    <col min="146" max="146" width="10.6640625" style="20" bestFit="1" customWidth="1"/>
    <col min="147" max="147" width="9.5546875" style="20" bestFit="1" customWidth="1"/>
    <col min="148" max="148" width="14.33203125" style="20" bestFit="1" customWidth="1"/>
    <col min="149" max="149" width="16.44140625" style="20" bestFit="1" customWidth="1"/>
    <col min="150" max="150" width="20.88671875" style="20" bestFit="1" customWidth="1"/>
    <col min="151" max="151" width="14.33203125" style="20" bestFit="1" customWidth="1"/>
    <col min="152" max="152" width="10.6640625" style="20" bestFit="1" customWidth="1"/>
    <col min="153" max="153" width="9.5546875" style="20" bestFit="1" customWidth="1"/>
    <col min="154" max="154" width="14.33203125" style="20" bestFit="1" customWidth="1"/>
    <col min="155" max="155" width="16.44140625" style="20" bestFit="1" customWidth="1"/>
    <col min="156" max="156" width="20.5546875" style="20" bestFit="1" customWidth="1"/>
    <col min="157" max="157" width="14.33203125" style="20" bestFit="1" customWidth="1"/>
    <col min="158" max="158" width="10.6640625" style="20" bestFit="1" customWidth="1"/>
    <col min="159" max="159" width="9.5546875" style="20" bestFit="1" customWidth="1"/>
    <col min="160" max="160" width="14.33203125" style="20" bestFit="1" customWidth="1"/>
    <col min="161" max="161" width="16.44140625" style="20" bestFit="1" customWidth="1"/>
    <col min="162" max="162" width="21" style="20" bestFit="1" customWidth="1"/>
    <col min="163" max="163" width="14.33203125" style="20" bestFit="1" customWidth="1"/>
    <col min="164" max="164" width="10.6640625" style="20" bestFit="1" customWidth="1"/>
    <col min="165" max="165" width="9.5546875" style="20" bestFit="1" customWidth="1"/>
    <col min="166" max="166" width="14.33203125" style="20" bestFit="1" customWidth="1"/>
    <col min="167" max="167" width="16.44140625" style="20" bestFit="1" customWidth="1"/>
    <col min="168" max="168" width="21" style="20" bestFit="1" customWidth="1"/>
    <col min="169" max="169" width="14.33203125" style="20" bestFit="1" customWidth="1"/>
    <col min="170" max="170" width="10.6640625" style="20" bestFit="1" customWidth="1"/>
    <col min="171" max="171" width="9.5546875" style="20" bestFit="1" customWidth="1"/>
    <col min="172" max="172" width="14.33203125" style="20" bestFit="1" customWidth="1"/>
    <col min="173" max="173" width="16.44140625" style="20" bestFit="1" customWidth="1"/>
    <col min="174" max="174" width="21.5546875" style="20" bestFit="1" customWidth="1"/>
    <col min="175" max="175" width="14.33203125" style="20" bestFit="1" customWidth="1"/>
    <col min="176" max="176" width="10.6640625" style="20" bestFit="1" customWidth="1"/>
    <col min="177" max="177" width="9.5546875" style="20" bestFit="1" customWidth="1"/>
    <col min="178" max="178" width="14.33203125" style="20" bestFit="1" customWidth="1"/>
    <col min="179" max="179" width="16.44140625" style="20" bestFit="1" customWidth="1"/>
    <col min="180" max="180" width="20.88671875" style="20" bestFit="1" customWidth="1"/>
    <col min="181" max="181" width="14.33203125" style="20" bestFit="1" customWidth="1"/>
    <col min="182" max="182" width="10.6640625" style="20" bestFit="1" customWidth="1"/>
    <col min="183" max="183" width="9.5546875" style="20" bestFit="1" customWidth="1"/>
    <col min="184" max="184" width="14.33203125" style="20" bestFit="1" customWidth="1"/>
    <col min="185" max="185" width="16.44140625" style="20" bestFit="1" customWidth="1"/>
    <col min="186" max="186" width="20.5546875" style="20" bestFit="1" customWidth="1"/>
    <col min="187" max="187" width="14.33203125" style="20" bestFit="1" customWidth="1"/>
    <col min="188" max="188" width="10.6640625" style="20" bestFit="1" customWidth="1"/>
    <col min="189" max="189" width="9.5546875" style="20" bestFit="1" customWidth="1"/>
    <col min="190" max="190" width="14.33203125" style="20" bestFit="1" customWidth="1"/>
    <col min="191" max="191" width="16.44140625" style="20" bestFit="1" customWidth="1"/>
    <col min="192" max="192" width="21.109375" style="20" bestFit="1" customWidth="1"/>
    <col min="193" max="193" width="14.33203125" style="20" bestFit="1" customWidth="1"/>
    <col min="194" max="194" width="10.6640625" style="20" bestFit="1" customWidth="1"/>
    <col min="195" max="195" width="9.5546875" style="20" bestFit="1" customWidth="1"/>
    <col min="196" max="196" width="14.33203125" style="20" bestFit="1" customWidth="1"/>
    <col min="197" max="197" width="16.44140625" style="20" bestFit="1" customWidth="1"/>
    <col min="198" max="198" width="20.33203125" style="20" bestFit="1" customWidth="1"/>
    <col min="199" max="199" width="14.33203125" style="20" bestFit="1" customWidth="1"/>
    <col min="200" max="200" width="10.6640625" style="20" bestFit="1" customWidth="1"/>
    <col min="201" max="201" width="9.5546875" style="20" bestFit="1" customWidth="1"/>
    <col min="202" max="202" width="14.33203125" style="20" bestFit="1" customWidth="1"/>
    <col min="203" max="203" width="16.44140625" style="20" bestFit="1" customWidth="1"/>
    <col min="204" max="204" width="21.109375" style="20" bestFit="1" customWidth="1"/>
    <col min="205" max="205" width="14.33203125" style="20" bestFit="1" customWidth="1"/>
    <col min="206" max="206" width="10.6640625" style="20" bestFit="1" customWidth="1"/>
    <col min="207" max="207" width="9.5546875" style="20" bestFit="1" customWidth="1"/>
    <col min="208" max="208" width="14.33203125" style="20" bestFit="1" customWidth="1"/>
    <col min="209" max="209" width="16.44140625" style="20" bestFit="1" customWidth="1"/>
    <col min="210" max="210" width="20.33203125" style="20" bestFit="1" customWidth="1"/>
    <col min="211" max="211" width="6.109375" style="20" bestFit="1" customWidth="1"/>
    <col min="212" max="212" width="5.33203125" style="20" bestFit="1" customWidth="1"/>
    <col min="213" max="213" width="17.88671875" style="20" bestFit="1" customWidth="1"/>
    <col min="214" max="214" width="8.6640625" style="20" bestFit="1" customWidth="1"/>
    <col min="215" max="215" width="10.5546875" style="20" bestFit="1" customWidth="1"/>
    <col min="216" max="217" width="17.88671875" style="20" bestFit="1" customWidth="1"/>
    <col min="218" max="218" width="4.5546875" style="20" bestFit="1" customWidth="1"/>
    <col min="219" max="219" width="9" style="20" bestFit="1" customWidth="1"/>
    <col min="220" max="220" width="11.5546875" style="20" bestFit="1" customWidth="1"/>
    <col min="221" max="221" width="11.44140625" style="20" bestFit="1" customWidth="1"/>
    <col min="222" max="222" width="8.6640625" style="20" bestFit="1" customWidth="1"/>
    <col min="223" max="223" width="15.5546875" style="20" bestFit="1" customWidth="1"/>
    <col min="224" max="224" width="15.6640625" style="20" bestFit="1" customWidth="1"/>
    <col min="225" max="225" width="11.6640625" style="20" bestFit="1" customWidth="1"/>
    <col min="226" max="226" width="14.88671875" style="20" bestFit="1" customWidth="1"/>
    <col min="227" max="16384" width="9.109375" style="20"/>
  </cols>
  <sheetData>
    <row r="1" spans="1:226" ht="10.5" customHeight="1" x14ac:dyDescent="0.3">
      <c r="A1" s="430" t="s">
        <v>635</v>
      </c>
      <c r="B1" s="431"/>
      <c r="C1" s="431"/>
      <c r="D1" s="432"/>
      <c r="E1" s="97"/>
      <c r="F1" s="97"/>
      <c r="G1" s="97"/>
      <c r="H1" s="97"/>
      <c r="I1" s="97"/>
      <c r="J1" s="97"/>
      <c r="K1" s="97"/>
      <c r="L1" s="107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DH1" s="97"/>
    </row>
    <row r="2" spans="1:226" s="74" customFormat="1" ht="52.5" customHeight="1" x14ac:dyDescent="0.3">
      <c r="A2" s="85" t="s">
        <v>0</v>
      </c>
      <c r="B2" s="85" t="s">
        <v>1</v>
      </c>
      <c r="C2" s="85" t="s">
        <v>217</v>
      </c>
      <c r="D2" s="86" t="s">
        <v>218</v>
      </c>
      <c r="E2" s="87" t="s">
        <v>233</v>
      </c>
      <c r="F2" s="87" t="s">
        <v>234</v>
      </c>
      <c r="G2" s="87" t="s">
        <v>235</v>
      </c>
      <c r="H2" s="87" t="s">
        <v>383</v>
      </c>
      <c r="I2" s="87" t="s">
        <v>382</v>
      </c>
      <c r="J2" s="87" t="s">
        <v>381</v>
      </c>
      <c r="K2" s="87" t="s">
        <v>380</v>
      </c>
      <c r="L2" s="87" t="s">
        <v>379</v>
      </c>
      <c r="M2" s="87" t="s">
        <v>378</v>
      </c>
      <c r="N2" s="87" t="s">
        <v>377</v>
      </c>
      <c r="O2" s="87" t="s">
        <v>394</v>
      </c>
      <c r="P2" s="87" t="s">
        <v>413</v>
      </c>
      <c r="Q2" s="87" t="s">
        <v>415</v>
      </c>
      <c r="R2" s="87" t="s">
        <v>417</v>
      </c>
      <c r="S2" s="87" t="s">
        <v>420</v>
      </c>
      <c r="T2" s="87" t="s">
        <v>421</v>
      </c>
      <c r="U2" s="87" t="s">
        <v>425</v>
      </c>
      <c r="V2" s="87" t="s">
        <v>426</v>
      </c>
      <c r="W2" s="87" t="s">
        <v>424</v>
      </c>
      <c r="X2" s="87" t="s">
        <v>437</v>
      </c>
      <c r="Y2" s="87" t="s">
        <v>439</v>
      </c>
      <c r="Z2" s="87" t="s">
        <v>447</v>
      </c>
      <c r="AA2" s="87" t="s">
        <v>458</v>
      </c>
      <c r="AB2" s="590" t="s">
        <v>459</v>
      </c>
      <c r="AC2" s="591"/>
      <c r="AD2" s="591"/>
      <c r="AE2" s="592"/>
      <c r="AF2" s="596" t="s">
        <v>462</v>
      </c>
      <c r="AG2" s="597"/>
      <c r="AH2" s="597"/>
      <c r="AI2" s="598"/>
      <c r="AJ2" s="590" t="s">
        <v>466</v>
      </c>
      <c r="AK2" s="591"/>
      <c r="AL2" s="591"/>
      <c r="AM2" s="592"/>
      <c r="AN2" s="596" t="s">
        <v>470</v>
      </c>
      <c r="AO2" s="597"/>
      <c r="AP2" s="597"/>
      <c r="AQ2" s="598"/>
      <c r="AR2" s="590" t="s">
        <v>478</v>
      </c>
      <c r="AS2" s="591"/>
      <c r="AT2" s="591"/>
      <c r="AU2" s="592"/>
      <c r="AV2" s="596" t="s">
        <v>483</v>
      </c>
      <c r="AW2" s="597"/>
      <c r="AX2" s="597"/>
      <c r="AY2" s="598"/>
      <c r="AZ2" s="436" t="s">
        <v>503</v>
      </c>
      <c r="BA2" s="436" t="s">
        <v>488</v>
      </c>
      <c r="BB2" s="436" t="s">
        <v>489</v>
      </c>
      <c r="BC2" s="436" t="s">
        <v>423</v>
      </c>
      <c r="BD2" s="436" t="s">
        <v>507</v>
      </c>
      <c r="BE2" s="436" t="s">
        <v>531</v>
      </c>
      <c r="BF2" s="437" t="s">
        <v>508</v>
      </c>
      <c r="BG2" s="437" t="s">
        <v>509</v>
      </c>
      <c r="BH2" s="590" t="s">
        <v>532</v>
      </c>
      <c r="BI2" s="591"/>
      <c r="BJ2" s="591"/>
      <c r="BK2" s="592"/>
      <c r="BL2" s="596" t="s">
        <v>539</v>
      </c>
      <c r="BM2" s="597"/>
      <c r="BN2" s="597"/>
      <c r="BO2" s="598"/>
      <c r="BP2" s="438" t="s">
        <v>538</v>
      </c>
      <c r="BQ2" s="590" t="s">
        <v>542</v>
      </c>
      <c r="BR2" s="591"/>
      <c r="BS2" s="591"/>
      <c r="BT2" s="592"/>
      <c r="BU2" s="438" t="s">
        <v>541</v>
      </c>
      <c r="BV2" s="590" t="s">
        <v>552</v>
      </c>
      <c r="BW2" s="591"/>
      <c r="BX2" s="591"/>
      <c r="BY2" s="592"/>
      <c r="BZ2" s="438" t="s">
        <v>553</v>
      </c>
      <c r="CA2" s="590" t="s">
        <v>578</v>
      </c>
      <c r="CB2" s="591"/>
      <c r="CC2" s="591"/>
      <c r="CD2" s="592"/>
      <c r="CE2" s="438" t="s">
        <v>579</v>
      </c>
      <c r="CF2" s="590" t="s">
        <v>581</v>
      </c>
      <c r="CG2" s="591"/>
      <c r="CH2" s="591"/>
      <c r="CI2" s="592"/>
      <c r="CJ2" s="438" t="s">
        <v>580</v>
      </c>
      <c r="CK2" s="590" t="s">
        <v>585</v>
      </c>
      <c r="CL2" s="591"/>
      <c r="CM2" s="591"/>
      <c r="CN2" s="592"/>
      <c r="CO2" s="438" t="s">
        <v>586</v>
      </c>
      <c r="CP2" s="590" t="s">
        <v>587</v>
      </c>
      <c r="CQ2" s="591"/>
      <c r="CR2" s="591"/>
      <c r="CS2" s="592"/>
      <c r="CT2" s="438" t="s">
        <v>588</v>
      </c>
      <c r="CU2" s="590" t="s">
        <v>590</v>
      </c>
      <c r="CV2" s="591"/>
      <c r="CW2" s="591"/>
      <c r="CX2" s="592"/>
      <c r="CY2" s="438" t="s">
        <v>592</v>
      </c>
      <c r="CZ2" s="294"/>
      <c r="DA2" s="294"/>
      <c r="DB2" s="294"/>
      <c r="DC2" s="95" t="s">
        <v>602</v>
      </c>
      <c r="DD2" s="95" t="s">
        <v>488</v>
      </c>
      <c r="DE2" s="95" t="s">
        <v>489</v>
      </c>
      <c r="DF2" s="95" t="s">
        <v>603</v>
      </c>
      <c r="DG2" s="95" t="s">
        <v>423</v>
      </c>
      <c r="DH2" s="85" t="s">
        <v>2</v>
      </c>
      <c r="DI2" s="593" t="s">
        <v>613</v>
      </c>
      <c r="DJ2" s="594"/>
      <c r="DK2" s="594"/>
      <c r="DL2" s="594"/>
      <c r="DM2" s="594"/>
      <c r="DN2" s="594"/>
      <c r="DO2" s="594"/>
      <c r="DP2" s="595"/>
      <c r="DQ2" s="584" t="s">
        <v>614</v>
      </c>
      <c r="DR2" s="585"/>
      <c r="DS2" s="585"/>
      <c r="DT2" s="585"/>
      <c r="DU2" s="586"/>
      <c r="DV2" s="87" t="s">
        <v>615</v>
      </c>
      <c r="DW2" s="584" t="s">
        <v>623</v>
      </c>
      <c r="DX2" s="585"/>
      <c r="DY2" s="585"/>
      <c r="DZ2" s="585"/>
      <c r="EA2" s="586"/>
      <c r="EB2" s="87" t="s">
        <v>624</v>
      </c>
      <c r="EC2" s="584" t="s">
        <v>627</v>
      </c>
      <c r="ED2" s="585"/>
      <c r="EE2" s="585"/>
      <c r="EF2" s="585"/>
      <c r="EG2" s="586"/>
      <c r="EH2" s="87" t="s">
        <v>628</v>
      </c>
      <c r="EI2" s="584" t="s">
        <v>631</v>
      </c>
      <c r="EJ2" s="585"/>
      <c r="EK2" s="585"/>
      <c r="EL2" s="585"/>
      <c r="EM2" s="586"/>
      <c r="EN2" s="87" t="s">
        <v>632</v>
      </c>
      <c r="EO2" s="584" t="s">
        <v>638</v>
      </c>
      <c r="EP2" s="585"/>
      <c r="EQ2" s="585"/>
      <c r="ER2" s="585"/>
      <c r="ES2" s="586"/>
      <c r="ET2" s="87" t="s">
        <v>637</v>
      </c>
      <c r="EU2" s="584" t="s">
        <v>641</v>
      </c>
      <c r="EV2" s="585"/>
      <c r="EW2" s="585"/>
      <c r="EX2" s="585"/>
      <c r="EY2" s="586"/>
      <c r="EZ2" s="87" t="s">
        <v>642</v>
      </c>
      <c r="FA2" s="584" t="s">
        <v>645</v>
      </c>
      <c r="FB2" s="585"/>
      <c r="FC2" s="585"/>
      <c r="FD2" s="585"/>
      <c r="FE2" s="586"/>
      <c r="FF2" s="87" t="s">
        <v>646</v>
      </c>
      <c r="FG2" s="584" t="s">
        <v>653</v>
      </c>
      <c r="FH2" s="585"/>
      <c r="FI2" s="585"/>
      <c r="FJ2" s="585"/>
      <c r="FK2" s="586"/>
      <c r="FL2" s="87" t="s">
        <v>654</v>
      </c>
      <c r="FM2" s="584" t="s">
        <v>662</v>
      </c>
      <c r="FN2" s="585"/>
      <c r="FO2" s="585"/>
      <c r="FP2" s="585"/>
      <c r="FQ2" s="586"/>
      <c r="FR2" s="87" t="s">
        <v>657</v>
      </c>
      <c r="FS2" s="584" t="s">
        <v>661</v>
      </c>
      <c r="FT2" s="585"/>
      <c r="FU2" s="585"/>
      <c r="FV2" s="585"/>
      <c r="FW2" s="586"/>
      <c r="FX2" s="87" t="s">
        <v>663</v>
      </c>
      <c r="FY2" s="584" t="s">
        <v>665</v>
      </c>
      <c r="FZ2" s="585"/>
      <c r="GA2" s="585"/>
      <c r="GB2" s="585"/>
      <c r="GC2" s="586"/>
      <c r="GD2" s="87" t="s">
        <v>666</v>
      </c>
      <c r="GE2" s="584" t="s">
        <v>668</v>
      </c>
      <c r="GF2" s="585"/>
      <c r="GG2" s="585"/>
      <c r="GH2" s="585"/>
      <c r="GI2" s="586"/>
      <c r="GJ2" s="87" t="s">
        <v>669</v>
      </c>
      <c r="GK2" s="584" t="s">
        <v>671</v>
      </c>
      <c r="GL2" s="585"/>
      <c r="GM2" s="585"/>
      <c r="GN2" s="585"/>
      <c r="GO2" s="586"/>
      <c r="GP2" s="87" t="s">
        <v>672</v>
      </c>
      <c r="GQ2" s="584" t="s">
        <v>674</v>
      </c>
      <c r="GR2" s="585"/>
      <c r="GS2" s="585"/>
      <c r="GT2" s="585"/>
      <c r="GU2" s="586"/>
      <c r="GV2" s="87" t="s">
        <v>675</v>
      </c>
      <c r="GW2" s="584" t="s">
        <v>696</v>
      </c>
      <c r="GX2" s="585"/>
      <c r="GY2" s="585"/>
      <c r="GZ2" s="585"/>
      <c r="HA2" s="586"/>
      <c r="HB2" s="87" t="s">
        <v>697</v>
      </c>
      <c r="HC2" s="85" t="s">
        <v>2</v>
      </c>
      <c r="HD2" s="6"/>
      <c r="HE2" s="587" t="s">
        <v>678</v>
      </c>
      <c r="HF2" s="588"/>
      <c r="HG2" s="588"/>
      <c r="HH2" s="588"/>
      <c r="HI2" s="589"/>
      <c r="HJ2" s="85" t="s">
        <v>2</v>
      </c>
      <c r="HK2" s="593" t="s">
        <v>698</v>
      </c>
      <c r="HL2" s="594"/>
      <c r="HM2" s="594"/>
      <c r="HN2" s="594"/>
      <c r="HO2" s="594"/>
      <c r="HP2" s="594"/>
      <c r="HQ2" s="594"/>
      <c r="HR2" s="594"/>
    </row>
    <row r="3" spans="1:226" s="74" customFormat="1" ht="32.25" customHeight="1" thickBot="1" x14ac:dyDescent="0.35">
      <c r="A3" s="85"/>
      <c r="B3" s="440" t="s">
        <v>502</v>
      </c>
      <c r="C3" s="441"/>
      <c r="D3" s="442"/>
      <c r="E3" s="87"/>
      <c r="F3" s="87"/>
      <c r="G3" s="87"/>
      <c r="H3" s="88"/>
      <c r="I3" s="88"/>
      <c r="J3" s="294"/>
      <c r="K3" s="88"/>
      <c r="L3" s="87"/>
      <c r="M3" s="87"/>
      <c r="N3" s="87"/>
      <c r="O3" s="294"/>
      <c r="P3" s="294"/>
      <c r="Q3" s="294"/>
      <c r="R3" s="294"/>
      <c r="S3" s="294"/>
      <c r="T3" s="294"/>
      <c r="U3" s="294"/>
      <c r="V3" s="294"/>
      <c r="W3" s="294"/>
      <c r="X3" s="294"/>
      <c r="Y3" s="294"/>
      <c r="Z3" s="294"/>
      <c r="AA3" s="294"/>
      <c r="AB3" s="112" t="s">
        <v>234</v>
      </c>
      <c r="AC3" s="112" t="s">
        <v>454</v>
      </c>
      <c r="AD3" s="112" t="s">
        <v>455</v>
      </c>
      <c r="AE3" s="112" t="s">
        <v>456</v>
      </c>
      <c r="AF3" s="14" t="s">
        <v>234</v>
      </c>
      <c r="AG3" s="14" t="s">
        <v>454</v>
      </c>
      <c r="AH3" s="14" t="s">
        <v>455</v>
      </c>
      <c r="AI3" s="14" t="s">
        <v>456</v>
      </c>
      <c r="AJ3" s="112" t="s">
        <v>234</v>
      </c>
      <c r="AK3" s="112" t="s">
        <v>454</v>
      </c>
      <c r="AL3" s="112" t="s">
        <v>455</v>
      </c>
      <c r="AM3" s="112" t="s">
        <v>456</v>
      </c>
      <c r="AN3" s="14" t="s">
        <v>234</v>
      </c>
      <c r="AO3" s="14" t="s">
        <v>454</v>
      </c>
      <c r="AP3" s="14" t="s">
        <v>455</v>
      </c>
      <c r="AQ3" s="14" t="s">
        <v>456</v>
      </c>
      <c r="AR3" s="112" t="s">
        <v>234</v>
      </c>
      <c r="AS3" s="112" t="s">
        <v>454</v>
      </c>
      <c r="AT3" s="112" t="s">
        <v>455</v>
      </c>
      <c r="AU3" s="112" t="s">
        <v>456</v>
      </c>
      <c r="AV3" s="14" t="s">
        <v>234</v>
      </c>
      <c r="AW3" s="14" t="s">
        <v>454</v>
      </c>
      <c r="AX3" s="14" t="s">
        <v>455</v>
      </c>
      <c r="AY3" s="14" t="s">
        <v>456</v>
      </c>
      <c r="AZ3" s="443"/>
      <c r="BA3" s="443"/>
      <c r="BB3" s="443"/>
      <c r="BC3" s="443"/>
      <c r="BD3" s="443"/>
      <c r="BE3" s="443"/>
      <c r="BF3" s="444"/>
      <c r="BG3" s="444"/>
      <c r="BH3" s="112" t="s">
        <v>234</v>
      </c>
      <c r="BI3" s="112" t="s">
        <v>454</v>
      </c>
      <c r="BJ3" s="112" t="s">
        <v>455</v>
      </c>
      <c r="BK3" s="112" t="s">
        <v>456</v>
      </c>
      <c r="BL3" s="14" t="s">
        <v>234</v>
      </c>
      <c r="BM3" s="14" t="s">
        <v>454</v>
      </c>
      <c r="BN3" s="14" t="s">
        <v>455</v>
      </c>
      <c r="BO3" s="14" t="s">
        <v>456</v>
      </c>
      <c r="BP3" s="445"/>
      <c r="BQ3" s="112" t="s">
        <v>234</v>
      </c>
      <c r="BR3" s="112" t="s">
        <v>454</v>
      </c>
      <c r="BS3" s="112" t="s">
        <v>455</v>
      </c>
      <c r="BT3" s="112" t="s">
        <v>456</v>
      </c>
      <c r="BU3" s="445"/>
      <c r="BV3" s="112" t="s">
        <v>234</v>
      </c>
      <c r="BW3" s="112" t="s">
        <v>454</v>
      </c>
      <c r="BX3" s="112" t="s">
        <v>455</v>
      </c>
      <c r="BY3" s="112" t="s">
        <v>456</v>
      </c>
      <c r="BZ3" s="445"/>
      <c r="CA3" s="112" t="s">
        <v>234</v>
      </c>
      <c r="CB3" s="112" t="s">
        <v>454</v>
      </c>
      <c r="CC3" s="112" t="s">
        <v>455</v>
      </c>
      <c r="CD3" s="112" t="s">
        <v>456</v>
      </c>
      <c r="CE3" s="445"/>
      <c r="CF3" s="112" t="s">
        <v>234</v>
      </c>
      <c r="CG3" s="112" t="s">
        <v>454</v>
      </c>
      <c r="CH3" s="112" t="s">
        <v>455</v>
      </c>
      <c r="CI3" s="112" t="s">
        <v>456</v>
      </c>
      <c r="CJ3" s="445"/>
      <c r="CK3" s="112" t="s">
        <v>234</v>
      </c>
      <c r="CL3" s="112" t="s">
        <v>454</v>
      </c>
      <c r="CM3" s="112" t="s">
        <v>455</v>
      </c>
      <c r="CN3" s="112" t="s">
        <v>456</v>
      </c>
      <c r="CO3" s="445"/>
      <c r="CP3" s="112" t="s">
        <v>234</v>
      </c>
      <c r="CQ3" s="112" t="s">
        <v>454</v>
      </c>
      <c r="CR3" s="112" t="s">
        <v>455</v>
      </c>
      <c r="CS3" s="112" t="s">
        <v>456</v>
      </c>
      <c r="CT3" s="445"/>
      <c r="CU3" s="112" t="s">
        <v>234</v>
      </c>
      <c r="CV3" s="112" t="s">
        <v>454</v>
      </c>
      <c r="CW3" s="112" t="s">
        <v>455</v>
      </c>
      <c r="CX3" s="112" t="s">
        <v>456</v>
      </c>
      <c r="CY3" s="445"/>
      <c r="CZ3" s="295"/>
      <c r="DA3" s="295"/>
      <c r="DB3" s="295"/>
      <c r="DC3" s="426" t="s">
        <v>612</v>
      </c>
      <c r="DD3" s="276"/>
      <c r="DE3" s="276"/>
      <c r="DF3" s="276"/>
      <c r="DG3" s="277"/>
      <c r="DH3" s="89"/>
      <c r="DI3" s="90" t="s">
        <v>604</v>
      </c>
      <c r="DJ3" s="91" t="s">
        <v>605</v>
      </c>
      <c r="DK3" s="92" t="s">
        <v>606</v>
      </c>
      <c r="DL3" s="92" t="s">
        <v>607</v>
      </c>
      <c r="DM3" s="91" t="s">
        <v>608</v>
      </c>
      <c r="DN3" s="91" t="s">
        <v>609</v>
      </c>
      <c r="DO3" s="91" t="s">
        <v>611</v>
      </c>
      <c r="DP3" s="91" t="s">
        <v>610</v>
      </c>
      <c r="DQ3" s="112" t="s">
        <v>234</v>
      </c>
      <c r="DR3" s="112" t="s">
        <v>454</v>
      </c>
      <c r="DS3" s="112" t="s">
        <v>455</v>
      </c>
      <c r="DT3" s="93" t="s">
        <v>456</v>
      </c>
      <c r="DU3" s="94" t="s">
        <v>457</v>
      </c>
      <c r="DV3" s="87"/>
      <c r="DW3" s="112" t="s">
        <v>234</v>
      </c>
      <c r="DX3" s="112" t="s">
        <v>454</v>
      </c>
      <c r="DY3" s="112" t="s">
        <v>455</v>
      </c>
      <c r="DZ3" s="93" t="s">
        <v>456</v>
      </c>
      <c r="EA3" s="94" t="s">
        <v>457</v>
      </c>
      <c r="EB3" s="87"/>
      <c r="EC3" s="112" t="s">
        <v>234</v>
      </c>
      <c r="ED3" s="112" t="s">
        <v>454</v>
      </c>
      <c r="EE3" s="112" t="s">
        <v>455</v>
      </c>
      <c r="EF3" s="93" t="s">
        <v>456</v>
      </c>
      <c r="EG3" s="94" t="s">
        <v>457</v>
      </c>
      <c r="EH3" s="87"/>
      <c r="EI3" s="112" t="s">
        <v>234</v>
      </c>
      <c r="EJ3" s="112" t="s">
        <v>454</v>
      </c>
      <c r="EK3" s="112" t="s">
        <v>455</v>
      </c>
      <c r="EL3" s="93" t="s">
        <v>456</v>
      </c>
      <c r="EM3" s="94" t="s">
        <v>457</v>
      </c>
      <c r="EN3" s="87"/>
      <c r="EO3" s="112" t="s">
        <v>234</v>
      </c>
      <c r="EP3" s="112" t="s">
        <v>454</v>
      </c>
      <c r="EQ3" s="112" t="s">
        <v>455</v>
      </c>
      <c r="ER3" s="93" t="s">
        <v>456</v>
      </c>
      <c r="ES3" s="136" t="s">
        <v>457</v>
      </c>
      <c r="ET3" s="87"/>
      <c r="EU3" s="112" t="s">
        <v>234</v>
      </c>
      <c r="EV3" s="112" t="s">
        <v>454</v>
      </c>
      <c r="EW3" s="112" t="s">
        <v>455</v>
      </c>
      <c r="EX3" s="93" t="s">
        <v>456</v>
      </c>
      <c r="EY3" s="136" t="s">
        <v>457</v>
      </c>
      <c r="EZ3" s="87"/>
      <c r="FA3" s="112" t="s">
        <v>234</v>
      </c>
      <c r="FB3" s="112" t="s">
        <v>454</v>
      </c>
      <c r="FC3" s="112" t="s">
        <v>455</v>
      </c>
      <c r="FD3" s="93" t="s">
        <v>456</v>
      </c>
      <c r="FE3" s="136" t="s">
        <v>457</v>
      </c>
      <c r="FF3" s="87"/>
      <c r="FG3" s="112" t="s">
        <v>234</v>
      </c>
      <c r="FH3" s="112" t="s">
        <v>454</v>
      </c>
      <c r="FI3" s="112" t="s">
        <v>455</v>
      </c>
      <c r="FJ3" s="93" t="s">
        <v>456</v>
      </c>
      <c r="FK3" s="94" t="s">
        <v>457</v>
      </c>
      <c r="FL3" s="87"/>
      <c r="FM3" s="112" t="s">
        <v>234</v>
      </c>
      <c r="FN3" s="112" t="s">
        <v>454</v>
      </c>
      <c r="FO3" s="112" t="s">
        <v>455</v>
      </c>
      <c r="FP3" s="93" t="s">
        <v>456</v>
      </c>
      <c r="FQ3" s="94" t="s">
        <v>457</v>
      </c>
      <c r="FR3" s="87"/>
      <c r="FS3" s="112" t="s">
        <v>234</v>
      </c>
      <c r="FT3" s="112" t="s">
        <v>454</v>
      </c>
      <c r="FU3" s="112" t="s">
        <v>455</v>
      </c>
      <c r="FV3" s="93" t="s">
        <v>456</v>
      </c>
      <c r="FW3" s="94" t="s">
        <v>457</v>
      </c>
      <c r="FX3" s="87"/>
      <c r="FY3" s="112" t="s">
        <v>234</v>
      </c>
      <c r="FZ3" s="112" t="s">
        <v>454</v>
      </c>
      <c r="GA3" s="112" t="s">
        <v>455</v>
      </c>
      <c r="GB3" s="93" t="s">
        <v>456</v>
      </c>
      <c r="GC3" s="94" t="s">
        <v>457</v>
      </c>
      <c r="GD3" s="87"/>
      <c r="GE3" s="112" t="s">
        <v>234</v>
      </c>
      <c r="GF3" s="112" t="s">
        <v>454</v>
      </c>
      <c r="GG3" s="112" t="s">
        <v>455</v>
      </c>
      <c r="GH3" s="93" t="s">
        <v>456</v>
      </c>
      <c r="GI3" s="94" t="s">
        <v>457</v>
      </c>
      <c r="GJ3" s="87"/>
      <c r="GK3" s="112" t="s">
        <v>234</v>
      </c>
      <c r="GL3" s="112" t="s">
        <v>454</v>
      </c>
      <c r="GM3" s="112" t="s">
        <v>455</v>
      </c>
      <c r="GN3" s="93" t="s">
        <v>456</v>
      </c>
      <c r="GO3" s="94" t="s">
        <v>457</v>
      </c>
      <c r="GP3" s="87"/>
      <c r="GQ3" s="112" t="s">
        <v>234</v>
      </c>
      <c r="GR3" s="112" t="s">
        <v>454</v>
      </c>
      <c r="GS3" s="112" t="s">
        <v>455</v>
      </c>
      <c r="GT3" s="93" t="s">
        <v>456</v>
      </c>
      <c r="GU3" s="94" t="s">
        <v>457</v>
      </c>
      <c r="GV3" s="87"/>
      <c r="GW3" s="112" t="s">
        <v>234</v>
      </c>
      <c r="GX3" s="112" t="s">
        <v>454</v>
      </c>
      <c r="GY3" s="112" t="s">
        <v>455</v>
      </c>
      <c r="GZ3" s="93" t="s">
        <v>456</v>
      </c>
      <c r="HA3" s="94" t="s">
        <v>457</v>
      </c>
      <c r="HB3" s="87"/>
      <c r="HC3" s="85"/>
      <c r="HD3" s="6"/>
      <c r="HE3" s="95" t="s">
        <v>679</v>
      </c>
      <c r="HF3" s="95" t="s">
        <v>488</v>
      </c>
      <c r="HG3" s="220" t="s">
        <v>489</v>
      </c>
      <c r="HH3" s="95" t="s">
        <v>603</v>
      </c>
      <c r="HI3" s="95" t="s">
        <v>423</v>
      </c>
      <c r="HJ3" s="85"/>
      <c r="HK3" s="90" t="s">
        <v>680</v>
      </c>
      <c r="HL3" s="91" t="s">
        <v>681</v>
      </c>
      <c r="HM3" s="92" t="s">
        <v>606</v>
      </c>
      <c r="HN3" s="92" t="s">
        <v>607</v>
      </c>
      <c r="HO3" s="91" t="s">
        <v>608</v>
      </c>
      <c r="HP3" s="91" t="s">
        <v>609</v>
      </c>
      <c r="HQ3" s="92" t="s">
        <v>456</v>
      </c>
      <c r="HR3" s="91" t="s">
        <v>610</v>
      </c>
    </row>
    <row r="4" spans="1:226" x14ac:dyDescent="0.3">
      <c r="A4" s="312">
        <v>1</v>
      </c>
      <c r="B4" s="301" t="s">
        <v>360</v>
      </c>
      <c r="C4" s="310" t="s">
        <v>5</v>
      </c>
      <c r="D4" s="21" t="s">
        <v>6</v>
      </c>
      <c r="E4" s="22" t="s">
        <v>238</v>
      </c>
      <c r="F4" s="9" t="s">
        <v>240</v>
      </c>
      <c r="G4" s="9" t="s">
        <v>238</v>
      </c>
      <c r="H4" s="324"/>
      <c r="I4" s="324">
        <v>1625</v>
      </c>
      <c r="J4" s="9" t="s">
        <v>240</v>
      </c>
      <c r="K4" s="324"/>
      <c r="L4" s="9">
        <v>1625</v>
      </c>
      <c r="M4" s="23">
        <v>1625</v>
      </c>
      <c r="N4" s="23">
        <v>1625</v>
      </c>
      <c r="O4" s="298">
        <v>1625</v>
      </c>
      <c r="P4" s="298">
        <v>1625</v>
      </c>
      <c r="Q4" s="298">
        <v>1625</v>
      </c>
      <c r="R4" s="298">
        <v>1625</v>
      </c>
      <c r="S4" s="298">
        <v>1625</v>
      </c>
      <c r="T4" s="298">
        <v>1625</v>
      </c>
      <c r="U4" s="298">
        <f t="shared" ref="U4:U14" si="0">T4*5%</f>
        <v>81.25</v>
      </c>
      <c r="V4" s="298">
        <f t="shared" ref="V4:V14" si="1">T4+U4</f>
        <v>1706.25</v>
      </c>
      <c r="W4" s="298">
        <v>1706</v>
      </c>
      <c r="X4" s="298">
        <v>1706</v>
      </c>
      <c r="Y4" s="298">
        <v>1706</v>
      </c>
      <c r="Z4" s="298">
        <v>1706</v>
      </c>
      <c r="AA4" s="298">
        <v>1706</v>
      </c>
      <c r="AB4" s="298">
        <v>1706</v>
      </c>
      <c r="AC4" s="9">
        <v>0</v>
      </c>
      <c r="AD4" s="9">
        <v>0</v>
      </c>
      <c r="AE4" s="298">
        <f t="shared" ref="AE4:AE14" si="2">AD4+AC4+AB4</f>
        <v>1706</v>
      </c>
      <c r="AF4" s="298">
        <v>1706</v>
      </c>
      <c r="AG4" s="9">
        <v>0</v>
      </c>
      <c r="AH4" s="9">
        <v>0</v>
      </c>
      <c r="AI4" s="298">
        <f t="shared" ref="AI4:AI14" si="3">AH4+AG4+AF4</f>
        <v>1706</v>
      </c>
      <c r="AJ4" s="298">
        <v>1706</v>
      </c>
      <c r="AK4" s="9">
        <v>0</v>
      </c>
      <c r="AL4" s="9">
        <v>0</v>
      </c>
      <c r="AM4" s="298">
        <f t="shared" ref="AM4:AM14" si="4">AL4+AK4+AJ4</f>
        <v>1706</v>
      </c>
      <c r="AN4" s="298">
        <v>1706</v>
      </c>
      <c r="AO4" s="9">
        <v>0</v>
      </c>
      <c r="AP4" s="9">
        <v>0</v>
      </c>
      <c r="AQ4" s="298">
        <f t="shared" ref="AQ4:AQ14" si="5">AP4+AO4+AN4</f>
        <v>1706</v>
      </c>
      <c r="AR4" s="24">
        <v>1706</v>
      </c>
      <c r="AS4" s="9">
        <v>0</v>
      </c>
      <c r="AT4" s="9">
        <v>0</v>
      </c>
      <c r="AU4" s="298">
        <f t="shared" ref="AU4:AU14" si="6">AT4+AS4+AR4</f>
        <v>1706</v>
      </c>
      <c r="AV4" s="298">
        <v>1706</v>
      </c>
      <c r="AW4" s="9">
        <v>0</v>
      </c>
      <c r="AX4" s="9">
        <v>0</v>
      </c>
      <c r="AY4" s="7">
        <f t="shared" ref="AY4:AY14" si="7">AX4+AW4+AV4</f>
        <v>1706</v>
      </c>
      <c r="AZ4" s="8">
        <f>AY4*5%</f>
        <v>85.300000000000011</v>
      </c>
      <c r="BA4" s="8">
        <v>0.3</v>
      </c>
      <c r="BB4" s="8">
        <f>AZ4-BA4</f>
        <v>85.000000000000014</v>
      </c>
      <c r="BC4" s="8">
        <f>BB4+AY4</f>
        <v>1791</v>
      </c>
      <c r="BD4" s="8"/>
      <c r="BE4" s="8">
        <f>BD4+BC4</f>
        <v>1791</v>
      </c>
      <c r="BF4" s="10">
        <f>BE4-AY4</f>
        <v>85</v>
      </c>
      <c r="BG4" s="11">
        <f>BF4-BB4</f>
        <v>0</v>
      </c>
      <c r="BH4" s="319">
        <v>1791</v>
      </c>
      <c r="BI4" s="319">
        <v>0</v>
      </c>
      <c r="BJ4" s="319">
        <v>0</v>
      </c>
      <c r="BK4" s="319">
        <f>BJ4+BI4+BH4</f>
        <v>1791</v>
      </c>
      <c r="BL4" s="319">
        <v>1791</v>
      </c>
      <c r="BM4" s="319">
        <v>0</v>
      </c>
      <c r="BN4" s="319">
        <v>0</v>
      </c>
      <c r="BO4" s="319">
        <f t="shared" ref="BO4:BO14" si="8">BN4+BM4+BL4</f>
        <v>1791</v>
      </c>
      <c r="BP4" s="319">
        <f>BO4-BK4</f>
        <v>0</v>
      </c>
      <c r="BQ4" s="319">
        <v>1791</v>
      </c>
      <c r="BR4" s="319">
        <v>0</v>
      </c>
      <c r="BS4" s="319">
        <v>0</v>
      </c>
      <c r="BT4" s="319">
        <f t="shared" ref="BT4:BT14" si="9">BS4+BR4+BQ4</f>
        <v>1791</v>
      </c>
      <c r="BU4" s="319">
        <f>BT4-BO4</f>
        <v>0</v>
      </c>
      <c r="BV4" s="319">
        <v>1791</v>
      </c>
      <c r="BW4" s="319">
        <v>0</v>
      </c>
      <c r="BX4" s="319">
        <v>0</v>
      </c>
      <c r="BY4" s="319">
        <f t="shared" ref="BY4:BY14" si="10">BX4+BW4+BV4</f>
        <v>1791</v>
      </c>
      <c r="BZ4" s="319">
        <f>BY4-BT4</f>
        <v>0</v>
      </c>
      <c r="CA4" s="319">
        <v>1791</v>
      </c>
      <c r="CB4" s="319">
        <v>0</v>
      </c>
      <c r="CC4" s="319">
        <v>0</v>
      </c>
      <c r="CD4" s="319">
        <f t="shared" ref="CD4:CD14" si="11">CC4+CB4+CA4</f>
        <v>1791</v>
      </c>
      <c r="CE4" s="319">
        <f>CD4-BY4</f>
        <v>0</v>
      </c>
      <c r="CF4" s="319">
        <v>1791</v>
      </c>
      <c r="CG4" s="319">
        <v>0</v>
      </c>
      <c r="CH4" s="319">
        <v>0</v>
      </c>
      <c r="CI4" s="319">
        <f t="shared" ref="CI4:CI14" si="12">CH4+CG4+CF4</f>
        <v>1791</v>
      </c>
      <c r="CJ4" s="319">
        <f>CI4-CD4</f>
        <v>0</v>
      </c>
      <c r="CK4" s="319">
        <v>1791</v>
      </c>
      <c r="CL4" s="319">
        <v>0</v>
      </c>
      <c r="CM4" s="319">
        <v>0</v>
      </c>
      <c r="CN4" s="319">
        <f t="shared" ref="CN4:CN14" si="13">CM4+CL4+CK4</f>
        <v>1791</v>
      </c>
      <c r="CO4" s="319">
        <f>CN4-CI4</f>
        <v>0</v>
      </c>
      <c r="CP4" s="319">
        <v>1791</v>
      </c>
      <c r="CQ4" s="319"/>
      <c r="CR4" s="319"/>
      <c r="CS4" s="319">
        <f t="shared" ref="CS4:CS14" si="14">CR4+CQ4+CP4</f>
        <v>1791</v>
      </c>
      <c r="CT4" s="319">
        <f>CS4-CN4</f>
        <v>0</v>
      </c>
      <c r="CU4" s="319">
        <v>1791</v>
      </c>
      <c r="CV4" s="319">
        <v>0</v>
      </c>
      <c r="CW4" s="319">
        <v>0</v>
      </c>
      <c r="CX4" s="319">
        <f t="shared" ref="CX4:CX14" si="15">CW4+CV4+CU4</f>
        <v>1791</v>
      </c>
      <c r="CY4" s="319">
        <f>CX4-CS4</f>
        <v>0</v>
      </c>
      <c r="CZ4" s="319"/>
      <c r="DA4" s="319"/>
      <c r="DB4" s="319"/>
      <c r="DC4" s="12">
        <f>CX4*10%</f>
        <v>179.10000000000002</v>
      </c>
      <c r="DD4" s="12">
        <v>0.1</v>
      </c>
      <c r="DE4" s="13">
        <f>DC4-DD4</f>
        <v>179.00000000000003</v>
      </c>
      <c r="DF4" s="14">
        <f>DE4:DE4</f>
        <v>179.00000000000003</v>
      </c>
      <c r="DG4" s="13">
        <f t="shared" ref="DG4:DG14" si="16">DE4+CX4</f>
        <v>1970</v>
      </c>
      <c r="DH4" s="15">
        <f>100/1278396949*CX4</f>
        <v>1.4009733059836956E-4</v>
      </c>
      <c r="DI4" s="16">
        <f t="shared" ref="DI4:DI14" si="17">CX4</f>
        <v>1791</v>
      </c>
      <c r="DJ4" s="132">
        <f>DI4*1.1</f>
        <v>1970.1000000000001</v>
      </c>
      <c r="DK4" s="17">
        <f>DJ4-DI4</f>
        <v>179.10000000000014</v>
      </c>
      <c r="DL4" s="17">
        <f t="shared" ref="DL4:DL14" si="18">DD4</f>
        <v>0.1</v>
      </c>
      <c r="DM4" s="16">
        <f>DK4-DL4</f>
        <v>179.00000000000014</v>
      </c>
      <c r="DN4" s="16">
        <f t="shared" ref="DN4:DN14" si="19">DM4-DE4</f>
        <v>0</v>
      </c>
      <c r="DO4" s="16">
        <f>DM4+DI4</f>
        <v>1970.0000000000002</v>
      </c>
      <c r="DP4" s="16">
        <f t="shared" ref="DP4:DP14" si="20">DO4-DG4</f>
        <v>0</v>
      </c>
      <c r="DQ4" s="9">
        <v>1970</v>
      </c>
      <c r="DR4" s="18" t="s">
        <v>238</v>
      </c>
      <c r="DS4" s="18" t="s">
        <v>238</v>
      </c>
      <c r="DT4" s="324">
        <f>DQ4+DR4+DS4</f>
        <v>1970</v>
      </c>
      <c r="DU4" s="321">
        <f>DT4</f>
        <v>1970</v>
      </c>
      <c r="DV4" s="19">
        <f>DT4-DG4</f>
        <v>0</v>
      </c>
      <c r="DW4" s="9">
        <v>1970</v>
      </c>
      <c r="DX4" s="18"/>
      <c r="DY4" s="18"/>
      <c r="DZ4" s="324">
        <f>DW4+DX4+DY4</f>
        <v>1970</v>
      </c>
      <c r="EA4" s="321">
        <f>DZ4</f>
        <v>1970</v>
      </c>
      <c r="EB4" s="179">
        <f>DZ4-DT4</f>
        <v>0</v>
      </c>
      <c r="EC4" s="9">
        <v>1970</v>
      </c>
      <c r="ED4" s="18" t="s">
        <v>238</v>
      </c>
      <c r="EE4" s="18" t="s">
        <v>238</v>
      </c>
      <c r="EF4" s="324">
        <f>EC4+ED4+EE4</f>
        <v>1970</v>
      </c>
      <c r="EG4" s="321">
        <f>EF4</f>
        <v>1970</v>
      </c>
      <c r="EH4" s="179">
        <f>EF4-DZ4</f>
        <v>0</v>
      </c>
      <c r="EI4" s="9">
        <v>1970</v>
      </c>
      <c r="EJ4" s="18" t="s">
        <v>238</v>
      </c>
      <c r="EK4" s="18" t="s">
        <v>238</v>
      </c>
      <c r="EL4" s="324">
        <f>EI4+EJ4+EK4</f>
        <v>1970</v>
      </c>
      <c r="EM4" s="321">
        <f>EL4</f>
        <v>1970</v>
      </c>
      <c r="EN4" s="179">
        <f>EL4-EF4</f>
        <v>0</v>
      </c>
      <c r="EO4" s="9">
        <v>1970</v>
      </c>
      <c r="EP4" s="18" t="s">
        <v>238</v>
      </c>
      <c r="EQ4" s="18" t="s">
        <v>238</v>
      </c>
      <c r="ER4" s="101">
        <f>EO4+EP4+EQ4</f>
        <v>1970</v>
      </c>
      <c r="ES4" s="137">
        <f>ER4</f>
        <v>1970</v>
      </c>
      <c r="ET4" s="135">
        <f>ER4-EL4</f>
        <v>0</v>
      </c>
      <c r="EU4" s="9">
        <v>1970</v>
      </c>
      <c r="EV4" s="18" t="s">
        <v>238</v>
      </c>
      <c r="EW4" s="18" t="s">
        <v>238</v>
      </c>
      <c r="EX4" s="101">
        <f>EU4+EV4+EW4</f>
        <v>1970</v>
      </c>
      <c r="EY4" s="137">
        <f>EX4</f>
        <v>1970</v>
      </c>
      <c r="EZ4" s="135">
        <f>EX4-ER4</f>
        <v>0</v>
      </c>
      <c r="FA4" s="9">
        <v>1970</v>
      </c>
      <c r="FB4" s="18" t="s">
        <v>238</v>
      </c>
      <c r="FC4" s="18" t="s">
        <v>238</v>
      </c>
      <c r="FD4" s="101">
        <f>FA4+FB4+FC4</f>
        <v>1970</v>
      </c>
      <c r="FE4" s="137">
        <f>FD4</f>
        <v>1970</v>
      </c>
      <c r="FF4" s="135">
        <f>FD4-EX4</f>
        <v>0</v>
      </c>
      <c r="FG4" s="9">
        <v>1970</v>
      </c>
      <c r="FH4" s="18" t="s">
        <v>238</v>
      </c>
      <c r="FI4" s="18" t="s">
        <v>238</v>
      </c>
      <c r="FJ4" s="101">
        <f>FG4+FH4+FI4</f>
        <v>1970</v>
      </c>
      <c r="FK4" s="137">
        <f>FJ4</f>
        <v>1970</v>
      </c>
      <c r="FL4" s="135">
        <f>FJ4-FD4</f>
        <v>0</v>
      </c>
      <c r="FM4" s="9">
        <v>1970</v>
      </c>
      <c r="FN4" s="18" t="s">
        <v>238</v>
      </c>
      <c r="FO4" s="18" t="s">
        <v>238</v>
      </c>
      <c r="FP4" s="101">
        <f>FM4+FN4+FO4</f>
        <v>1970</v>
      </c>
      <c r="FQ4" s="137">
        <f>FP4</f>
        <v>1970</v>
      </c>
      <c r="FR4" s="135">
        <f>FP4-FJ4</f>
        <v>0</v>
      </c>
      <c r="FS4" s="9">
        <v>1970</v>
      </c>
      <c r="FT4" s="18" t="s">
        <v>238</v>
      </c>
      <c r="FU4" s="18" t="s">
        <v>238</v>
      </c>
      <c r="FV4" s="101">
        <f>FS4+FT4+FU4</f>
        <v>1970</v>
      </c>
      <c r="FW4" s="137">
        <f>FV4</f>
        <v>1970</v>
      </c>
      <c r="FX4" s="135">
        <f>FV4-FP4</f>
        <v>0</v>
      </c>
      <c r="FY4" s="9">
        <v>1970</v>
      </c>
      <c r="FZ4" s="18" t="s">
        <v>238</v>
      </c>
      <c r="GA4" s="18" t="s">
        <v>238</v>
      </c>
      <c r="GB4" s="101">
        <f>FY4+FZ4+GA4</f>
        <v>1970</v>
      </c>
      <c r="GC4" s="137">
        <f>GB4</f>
        <v>1970</v>
      </c>
      <c r="GD4" s="135">
        <f>GB4-FV4</f>
        <v>0</v>
      </c>
      <c r="GE4" s="9">
        <v>1970</v>
      </c>
      <c r="GF4" s="18" t="s">
        <v>238</v>
      </c>
      <c r="GG4" s="18" t="s">
        <v>238</v>
      </c>
      <c r="GH4" s="101">
        <f>GE4+GF4+GG4</f>
        <v>1970</v>
      </c>
      <c r="GI4" s="137">
        <f>GH4</f>
        <v>1970</v>
      </c>
      <c r="GJ4" s="135">
        <f>GH4-GB4</f>
        <v>0</v>
      </c>
      <c r="GK4" s="9">
        <v>1970</v>
      </c>
      <c r="GL4" s="18" t="s">
        <v>238</v>
      </c>
      <c r="GM4" s="18" t="s">
        <v>238</v>
      </c>
      <c r="GN4" s="101">
        <f>GK4+GL4+GM4</f>
        <v>1970</v>
      </c>
      <c r="GO4" s="137">
        <f>GN4</f>
        <v>1970</v>
      </c>
      <c r="GP4" s="135">
        <f>GN4-GH4</f>
        <v>0</v>
      </c>
      <c r="GQ4" s="9">
        <v>1970</v>
      </c>
      <c r="GR4" s="18" t="s">
        <v>238</v>
      </c>
      <c r="GS4" s="18" t="s">
        <v>238</v>
      </c>
      <c r="GT4" s="101">
        <f>GQ4+GR4+GS4</f>
        <v>1970</v>
      </c>
      <c r="GU4" s="137">
        <f>GT4</f>
        <v>1970</v>
      </c>
      <c r="GV4" s="135">
        <f>GT4-GN4</f>
        <v>0</v>
      </c>
      <c r="GW4" s="9">
        <v>2068</v>
      </c>
      <c r="GX4" s="18" t="s">
        <v>238</v>
      </c>
      <c r="GY4" s="18" t="s">
        <v>238</v>
      </c>
      <c r="GZ4" s="101">
        <f>GW4+GX4+GY4</f>
        <v>2068</v>
      </c>
      <c r="HA4" s="137">
        <f>GZ4</f>
        <v>2068</v>
      </c>
      <c r="HB4" s="135">
        <f>GZ4-GT4</f>
        <v>98</v>
      </c>
      <c r="HC4" s="102">
        <f>100/1406236643.9*GT4</f>
        <v>1.4009021941971883E-4</v>
      </c>
      <c r="HD4" s="285">
        <f>HB4-HO4</f>
        <v>0</v>
      </c>
      <c r="HE4" s="12">
        <f>GT4*0.05</f>
        <v>98.5</v>
      </c>
      <c r="HF4" s="12">
        <f>IF(ISNUMBER(HE4), HE4-INT(HE4), "")</f>
        <v>0.5</v>
      </c>
      <c r="HG4" s="12">
        <f>HE4-HF4</f>
        <v>98</v>
      </c>
      <c r="HH4" s="14">
        <f>HG4:HG4</f>
        <v>98</v>
      </c>
      <c r="HI4" s="13">
        <f>HG4+GT4</f>
        <v>2068</v>
      </c>
      <c r="HJ4" s="102">
        <f>100/1406236643.9*HI4</f>
        <v>1.4705917449745102E-4</v>
      </c>
      <c r="HK4" s="16">
        <f>GT4</f>
        <v>1970</v>
      </c>
      <c r="HL4" s="103">
        <f>HK4*1.05</f>
        <v>2068.5</v>
      </c>
      <c r="HM4" s="103">
        <f>HL4-HK4</f>
        <v>98.5</v>
      </c>
      <c r="HN4" s="17">
        <f>HF4</f>
        <v>0.5</v>
      </c>
      <c r="HO4" s="56">
        <f>HM4-HN4</f>
        <v>98</v>
      </c>
      <c r="HP4" s="16">
        <f>HO4-HG4</f>
        <v>0</v>
      </c>
      <c r="HQ4" s="16">
        <f>HO4+HK4</f>
        <v>2068</v>
      </c>
      <c r="HR4" s="16">
        <f>HQ4-HI4</f>
        <v>0</v>
      </c>
    </row>
    <row r="5" spans="1:226" ht="10.8" thickBot="1" x14ac:dyDescent="0.35">
      <c r="A5" s="312">
        <v>2</v>
      </c>
      <c r="B5" s="302" t="s">
        <v>511</v>
      </c>
      <c r="C5" s="310" t="s">
        <v>249</v>
      </c>
      <c r="D5" s="21" t="s">
        <v>20</v>
      </c>
      <c r="E5" s="22" t="s">
        <v>238</v>
      </c>
      <c r="F5" s="9" t="s">
        <v>247</v>
      </c>
      <c r="G5" s="9" t="s">
        <v>238</v>
      </c>
      <c r="H5" s="324"/>
      <c r="I5" s="324">
        <v>23192216</v>
      </c>
      <c r="J5" s="9" t="s">
        <v>247</v>
      </c>
      <c r="K5" s="324"/>
      <c r="L5" s="9">
        <v>23192216</v>
      </c>
      <c r="M5" s="23">
        <v>23192216</v>
      </c>
      <c r="N5" s="23">
        <v>23192216</v>
      </c>
      <c r="O5" s="298">
        <v>23192216</v>
      </c>
      <c r="P5" s="298">
        <v>23192216</v>
      </c>
      <c r="Q5" s="298">
        <v>23192216</v>
      </c>
      <c r="R5" s="298">
        <v>23192216</v>
      </c>
      <c r="S5" s="298">
        <v>23192216</v>
      </c>
      <c r="T5" s="298">
        <v>23192216</v>
      </c>
      <c r="U5" s="298">
        <f t="shared" si="0"/>
        <v>1159610.8</v>
      </c>
      <c r="V5" s="298">
        <f t="shared" si="1"/>
        <v>24351826.800000001</v>
      </c>
      <c r="W5" s="298">
        <v>24351826</v>
      </c>
      <c r="X5" s="298">
        <v>24351826</v>
      </c>
      <c r="Y5" s="298">
        <v>24351826</v>
      </c>
      <c r="Z5" s="298">
        <v>24351826</v>
      </c>
      <c r="AA5" s="298">
        <v>24351826</v>
      </c>
      <c r="AB5" s="298">
        <v>24351826</v>
      </c>
      <c r="AC5" s="9">
        <v>0</v>
      </c>
      <c r="AD5" s="9">
        <v>0</v>
      </c>
      <c r="AE5" s="298">
        <f t="shared" si="2"/>
        <v>24351826</v>
      </c>
      <c r="AF5" s="298">
        <v>24351826</v>
      </c>
      <c r="AG5" s="9">
        <v>0</v>
      </c>
      <c r="AH5" s="9">
        <v>0</v>
      </c>
      <c r="AI5" s="298">
        <f t="shared" si="3"/>
        <v>24351826</v>
      </c>
      <c r="AJ5" s="298">
        <v>24351826</v>
      </c>
      <c r="AK5" s="9">
        <v>0</v>
      </c>
      <c r="AL5" s="9">
        <v>0</v>
      </c>
      <c r="AM5" s="298">
        <f t="shared" si="4"/>
        <v>24351826</v>
      </c>
      <c r="AN5" s="298">
        <v>24351826</v>
      </c>
      <c r="AO5" s="9">
        <v>0</v>
      </c>
      <c r="AP5" s="9">
        <v>0</v>
      </c>
      <c r="AQ5" s="298">
        <f t="shared" si="5"/>
        <v>24351826</v>
      </c>
      <c r="AR5" s="24">
        <v>24351826</v>
      </c>
      <c r="AS5" s="9">
        <v>0</v>
      </c>
      <c r="AT5" s="9">
        <v>0</v>
      </c>
      <c r="AU5" s="298">
        <f t="shared" si="6"/>
        <v>24351826</v>
      </c>
      <c r="AV5" s="298">
        <v>24351826</v>
      </c>
      <c r="AW5" s="9">
        <v>0</v>
      </c>
      <c r="AX5" s="9">
        <v>0</v>
      </c>
      <c r="AY5" s="7">
        <f t="shared" si="7"/>
        <v>24351826</v>
      </c>
      <c r="AZ5" s="8">
        <f t="shared" ref="AZ5:AZ14" si="21">AY5*5%</f>
        <v>1217591.3</v>
      </c>
      <c r="BA5" s="8">
        <v>0.3</v>
      </c>
      <c r="BB5" s="8">
        <f t="shared" ref="BB5:BB14" si="22">AZ5-BA5</f>
        <v>1217591</v>
      </c>
      <c r="BC5" s="8">
        <f t="shared" ref="BC5:BC14" si="23">BB5+AY5</f>
        <v>25569417</v>
      </c>
      <c r="BD5" s="8"/>
      <c r="BE5" s="8">
        <f t="shared" ref="BE5:BE14" si="24">BD5+BC5</f>
        <v>25569417</v>
      </c>
      <c r="BF5" s="10">
        <f t="shared" ref="BF5:BF14" si="25">BE5-AY5</f>
        <v>1217591</v>
      </c>
      <c r="BG5" s="11">
        <f t="shared" ref="BG5:BG14" si="26">BF5-BB5</f>
        <v>0</v>
      </c>
      <c r="BH5" s="319">
        <v>25569417</v>
      </c>
      <c r="BI5" s="319">
        <v>0</v>
      </c>
      <c r="BJ5" s="319">
        <v>0</v>
      </c>
      <c r="BK5" s="319">
        <f t="shared" ref="BK5:BK14" si="27">BJ5+BI5+BH5</f>
        <v>25569417</v>
      </c>
      <c r="BL5" s="319">
        <v>25569417</v>
      </c>
      <c r="BM5" s="319">
        <v>0</v>
      </c>
      <c r="BN5" s="319">
        <v>0</v>
      </c>
      <c r="BO5" s="319">
        <f t="shared" si="8"/>
        <v>25569417</v>
      </c>
      <c r="BP5" s="319">
        <f t="shared" ref="BP5:BP14" si="28">BO5-BK5</f>
        <v>0</v>
      </c>
      <c r="BQ5" s="319">
        <v>25569417</v>
      </c>
      <c r="BR5" s="319">
        <v>0</v>
      </c>
      <c r="BS5" s="319">
        <v>0</v>
      </c>
      <c r="BT5" s="319">
        <f t="shared" si="9"/>
        <v>25569417</v>
      </c>
      <c r="BU5" s="319">
        <f t="shared" ref="BU5:BU14" si="29">BT5-BO5</f>
        <v>0</v>
      </c>
      <c r="BV5" s="319">
        <v>25569417</v>
      </c>
      <c r="BW5" s="319">
        <v>0</v>
      </c>
      <c r="BX5" s="319">
        <v>0</v>
      </c>
      <c r="BY5" s="319">
        <f t="shared" si="10"/>
        <v>25569417</v>
      </c>
      <c r="BZ5" s="319">
        <f t="shared" ref="BZ5:BZ14" si="30">BY5-BT5</f>
        <v>0</v>
      </c>
      <c r="CA5" s="319">
        <v>25569417</v>
      </c>
      <c r="CB5" s="319">
        <v>0</v>
      </c>
      <c r="CC5" s="319">
        <v>0</v>
      </c>
      <c r="CD5" s="319">
        <f t="shared" si="11"/>
        <v>25569417</v>
      </c>
      <c r="CE5" s="319">
        <f t="shared" ref="CE5:CE14" si="31">CD5-BY5</f>
        <v>0</v>
      </c>
      <c r="CF5" s="319">
        <v>25569417</v>
      </c>
      <c r="CG5" s="319">
        <v>0</v>
      </c>
      <c r="CH5" s="319">
        <v>0</v>
      </c>
      <c r="CI5" s="319">
        <f t="shared" si="12"/>
        <v>25569417</v>
      </c>
      <c r="CJ5" s="319">
        <f t="shared" ref="CJ5:CJ14" si="32">CI5-CD5</f>
        <v>0</v>
      </c>
      <c r="CK5" s="319">
        <v>25569417</v>
      </c>
      <c r="CL5" s="319">
        <v>0</v>
      </c>
      <c r="CM5" s="319">
        <v>0</v>
      </c>
      <c r="CN5" s="319">
        <f t="shared" si="13"/>
        <v>25569417</v>
      </c>
      <c r="CO5" s="319">
        <f t="shared" ref="CO5:CO14" si="33">CN5-CI5</f>
        <v>0</v>
      </c>
      <c r="CP5" s="319">
        <v>25569417</v>
      </c>
      <c r="CQ5" s="319"/>
      <c r="CR5" s="319"/>
      <c r="CS5" s="319">
        <f t="shared" si="14"/>
        <v>25569417</v>
      </c>
      <c r="CT5" s="319">
        <f t="shared" ref="CT5:CT14" si="34">CS5-CN5</f>
        <v>0</v>
      </c>
      <c r="CU5" s="319">
        <v>25569417</v>
      </c>
      <c r="CV5" s="319">
        <v>0</v>
      </c>
      <c r="CW5" s="319">
        <v>0</v>
      </c>
      <c r="CX5" s="319">
        <f t="shared" si="15"/>
        <v>25569417</v>
      </c>
      <c r="CY5" s="319">
        <f t="shared" ref="CY5:CY14" si="35">CX5-CS5</f>
        <v>0</v>
      </c>
      <c r="CZ5" s="319"/>
      <c r="DA5" s="319"/>
      <c r="DB5" s="319"/>
      <c r="DC5" s="12">
        <f t="shared" ref="DC5:DC14" si="36">CX5*10%</f>
        <v>2556941.7000000002</v>
      </c>
      <c r="DD5" s="12">
        <v>0.7</v>
      </c>
      <c r="DE5" s="13">
        <f t="shared" ref="DE5:DE14" si="37">DC5-DD5</f>
        <v>2556941</v>
      </c>
      <c r="DF5" s="14">
        <f t="shared" ref="DF5:DF14" si="38">DE5:DE5</f>
        <v>2556941</v>
      </c>
      <c r="DG5" s="13">
        <f t="shared" si="16"/>
        <v>28126358</v>
      </c>
      <c r="DH5" s="15">
        <f t="shared" ref="DH5:DH14" si="39">100/1278396949*CX5</f>
        <v>2.0001156151069628</v>
      </c>
      <c r="DI5" s="16">
        <f t="shared" si="17"/>
        <v>25569417</v>
      </c>
      <c r="DJ5" s="132">
        <f t="shared" ref="DJ5:DJ14" si="40">DI5*1.1</f>
        <v>28126358.700000003</v>
      </c>
      <c r="DK5" s="17">
        <f t="shared" ref="DK5:DK14" si="41">DJ5-DI5</f>
        <v>2556941.700000003</v>
      </c>
      <c r="DL5" s="17">
        <f t="shared" si="18"/>
        <v>0.7</v>
      </c>
      <c r="DM5" s="16">
        <f t="shared" ref="DM5:DM14" si="42">DK5-DL5</f>
        <v>2556941.0000000028</v>
      </c>
      <c r="DN5" s="16">
        <f t="shared" si="19"/>
        <v>0</v>
      </c>
      <c r="DO5" s="16">
        <f t="shared" ref="DO5:DO14" si="43">DM5+DI5</f>
        <v>28126358.000000004</v>
      </c>
      <c r="DP5" s="16">
        <f t="shared" si="20"/>
        <v>0</v>
      </c>
      <c r="DQ5" s="9">
        <v>28126358</v>
      </c>
      <c r="DR5" s="18" t="s">
        <v>238</v>
      </c>
      <c r="DS5" s="18" t="s">
        <v>238</v>
      </c>
      <c r="DT5" s="324">
        <f t="shared" ref="DT5:DT14" si="44">DQ5+DR5+DS5</f>
        <v>28126358</v>
      </c>
      <c r="DU5" s="321">
        <f t="shared" ref="DU5:DU14" si="45">DT5</f>
        <v>28126358</v>
      </c>
      <c r="DV5" s="19">
        <f t="shared" ref="DV5:DV14" si="46">DT5-DG5</f>
        <v>0</v>
      </c>
      <c r="DW5" s="9">
        <v>28126358</v>
      </c>
      <c r="DX5" s="18"/>
      <c r="DY5" s="18"/>
      <c r="DZ5" s="324">
        <f t="shared" ref="DZ5:DZ14" si="47">DW5+DX5+DY5</f>
        <v>28126358</v>
      </c>
      <c r="EA5" s="321">
        <f t="shared" ref="EA5:EA14" si="48">DZ5</f>
        <v>28126358</v>
      </c>
      <c r="EB5" s="179">
        <f t="shared" ref="EB5:EB14" si="49">DZ5-DT5</f>
        <v>0</v>
      </c>
      <c r="EC5" s="9">
        <v>28126358</v>
      </c>
      <c r="ED5" s="18" t="s">
        <v>238</v>
      </c>
      <c r="EE5" s="18" t="s">
        <v>238</v>
      </c>
      <c r="EF5" s="324">
        <f t="shared" ref="EF5:EF14" si="50">EC5+ED5+EE5</f>
        <v>28126358</v>
      </c>
      <c r="EG5" s="321">
        <f t="shared" ref="EG5:EG14" si="51">EF5</f>
        <v>28126358</v>
      </c>
      <c r="EH5" s="179">
        <f t="shared" ref="EH5:EH14" si="52">EF5-DZ5</f>
        <v>0</v>
      </c>
      <c r="EI5" s="9">
        <v>28126358</v>
      </c>
      <c r="EJ5" s="18" t="s">
        <v>238</v>
      </c>
      <c r="EK5" s="18" t="s">
        <v>238</v>
      </c>
      <c r="EL5" s="324">
        <f t="shared" ref="EL5:EL14" si="53">EI5+EJ5+EK5</f>
        <v>28126358</v>
      </c>
      <c r="EM5" s="321">
        <f t="shared" ref="EM5:EM14" si="54">EL5</f>
        <v>28126358</v>
      </c>
      <c r="EN5" s="179">
        <f t="shared" ref="EN5:EN14" si="55">EL5-EF5</f>
        <v>0</v>
      </c>
      <c r="EO5" s="9">
        <v>28126358</v>
      </c>
      <c r="EP5" s="18" t="s">
        <v>238</v>
      </c>
      <c r="EQ5" s="18" t="s">
        <v>238</v>
      </c>
      <c r="ER5" s="101">
        <f t="shared" ref="ER5:ER14" si="56">EO5+EP5+EQ5</f>
        <v>28126358</v>
      </c>
      <c r="ES5" s="138">
        <f t="shared" ref="ES5:ES14" si="57">ER5</f>
        <v>28126358</v>
      </c>
      <c r="ET5" s="135">
        <f t="shared" ref="ET5:ET14" si="58">ER5-EL5</f>
        <v>0</v>
      </c>
      <c r="EU5" s="9">
        <v>28126358</v>
      </c>
      <c r="EV5" s="18" t="s">
        <v>238</v>
      </c>
      <c r="EW5" s="18" t="s">
        <v>238</v>
      </c>
      <c r="EX5" s="101">
        <f t="shared" ref="EX5:EX14" si="59">EU5+EV5+EW5</f>
        <v>28126358</v>
      </c>
      <c r="EY5" s="138">
        <f t="shared" ref="EY5:EY14" si="60">EX5</f>
        <v>28126358</v>
      </c>
      <c r="EZ5" s="135">
        <f t="shared" ref="EZ5:EZ14" si="61">EX5-ER5</f>
        <v>0</v>
      </c>
      <c r="FA5" s="9">
        <v>28126358</v>
      </c>
      <c r="FB5" s="18" t="s">
        <v>238</v>
      </c>
      <c r="FC5" s="18" t="s">
        <v>238</v>
      </c>
      <c r="FD5" s="101">
        <f t="shared" ref="FD5:FD14" si="62">FA5+FB5+FC5</f>
        <v>28126358</v>
      </c>
      <c r="FE5" s="138">
        <f t="shared" ref="FE5:FE14" si="63">FD5</f>
        <v>28126358</v>
      </c>
      <c r="FF5" s="135">
        <f t="shared" ref="FF5:FF14" si="64">FD5-EX5</f>
        <v>0</v>
      </c>
      <c r="FG5" s="9">
        <v>28126358</v>
      </c>
      <c r="FH5" s="18" t="s">
        <v>238</v>
      </c>
      <c r="FI5" s="18" t="s">
        <v>238</v>
      </c>
      <c r="FJ5" s="101">
        <f t="shared" ref="FJ5:FJ14" si="65">FG5+FH5+FI5</f>
        <v>28126358</v>
      </c>
      <c r="FK5" s="138">
        <f t="shared" ref="FK5:FK14" si="66">FJ5</f>
        <v>28126358</v>
      </c>
      <c r="FL5" s="135">
        <f t="shared" ref="FL5:FL14" si="67">FJ5-FD5</f>
        <v>0</v>
      </c>
      <c r="FM5" s="9">
        <v>28126358</v>
      </c>
      <c r="FN5" s="18" t="s">
        <v>238</v>
      </c>
      <c r="FO5" s="18" t="s">
        <v>238</v>
      </c>
      <c r="FP5" s="101">
        <f t="shared" ref="FP5:FP14" si="68">FM5+FN5+FO5</f>
        <v>28126358</v>
      </c>
      <c r="FQ5" s="138">
        <f t="shared" ref="FQ5:FQ14" si="69">FP5</f>
        <v>28126358</v>
      </c>
      <c r="FR5" s="135">
        <f t="shared" ref="FR5:FR14" si="70">FP5-FJ5</f>
        <v>0</v>
      </c>
      <c r="FS5" s="9">
        <v>28126358</v>
      </c>
      <c r="FT5" s="18" t="s">
        <v>238</v>
      </c>
      <c r="FU5" s="18" t="s">
        <v>238</v>
      </c>
      <c r="FV5" s="101">
        <f t="shared" ref="FV5:FV14" si="71">FS5+FT5+FU5</f>
        <v>28126358</v>
      </c>
      <c r="FW5" s="138">
        <f t="shared" ref="FW5:FW14" si="72">FV5</f>
        <v>28126358</v>
      </c>
      <c r="FX5" s="135">
        <f t="shared" ref="FX5:FX14" si="73">FV5-FP5</f>
        <v>0</v>
      </c>
      <c r="FY5" s="9">
        <v>28126358</v>
      </c>
      <c r="FZ5" s="18" t="s">
        <v>238</v>
      </c>
      <c r="GA5" s="18" t="s">
        <v>238</v>
      </c>
      <c r="GB5" s="101">
        <f t="shared" ref="GB5:GB14" si="74">FY5+FZ5+GA5</f>
        <v>28126358</v>
      </c>
      <c r="GC5" s="138">
        <f t="shared" ref="GC5:GC14" si="75">GB5</f>
        <v>28126358</v>
      </c>
      <c r="GD5" s="135">
        <f t="shared" ref="GD5:GD14" si="76">GB5-FV5</f>
        <v>0</v>
      </c>
      <c r="GE5" s="9">
        <v>28126358</v>
      </c>
      <c r="GF5" s="18" t="s">
        <v>238</v>
      </c>
      <c r="GG5" s="18" t="s">
        <v>238</v>
      </c>
      <c r="GH5" s="101">
        <f t="shared" ref="GH5:GH14" si="77">GE5+GF5+GG5</f>
        <v>28126358</v>
      </c>
      <c r="GI5" s="138">
        <f t="shared" ref="GI5:GI14" si="78">GH5</f>
        <v>28126358</v>
      </c>
      <c r="GJ5" s="135">
        <f t="shared" ref="GJ5:GJ14" si="79">GH5-GB5</f>
        <v>0</v>
      </c>
      <c r="GK5" s="9">
        <v>28126358</v>
      </c>
      <c r="GL5" s="18" t="s">
        <v>238</v>
      </c>
      <c r="GM5" s="18" t="s">
        <v>238</v>
      </c>
      <c r="GN5" s="101">
        <f t="shared" ref="GN5:GN14" si="80">GK5+GL5+GM5</f>
        <v>28126358</v>
      </c>
      <c r="GO5" s="138">
        <f t="shared" ref="GO5:GO14" si="81">GN5</f>
        <v>28126358</v>
      </c>
      <c r="GP5" s="135">
        <f t="shared" ref="GP5:GP14" si="82">GN5-GH5</f>
        <v>0</v>
      </c>
      <c r="GQ5" s="9">
        <v>28126358</v>
      </c>
      <c r="GR5" s="18" t="s">
        <v>238</v>
      </c>
      <c r="GS5" s="18" t="s">
        <v>238</v>
      </c>
      <c r="GT5" s="101">
        <f t="shared" ref="GT5:GT14" si="83">GQ5+GR5+GS5</f>
        <v>28126358</v>
      </c>
      <c r="GU5" s="138">
        <f t="shared" ref="GU5:GU14" si="84">GT5</f>
        <v>28126358</v>
      </c>
      <c r="GV5" s="135">
        <f t="shared" ref="GV5:GV14" si="85">GT5-GN5</f>
        <v>0</v>
      </c>
      <c r="GW5" s="9">
        <v>29532675</v>
      </c>
      <c r="GX5" s="18" t="s">
        <v>238</v>
      </c>
      <c r="GY5" s="18" t="s">
        <v>238</v>
      </c>
      <c r="GZ5" s="101">
        <f t="shared" ref="GZ5:GZ14" si="86">GW5+GX5+GY5</f>
        <v>29532675</v>
      </c>
      <c r="HA5" s="138">
        <f t="shared" ref="HA5:HA14" si="87">GZ5</f>
        <v>29532675</v>
      </c>
      <c r="HB5" s="135">
        <f t="shared" ref="HB5:HB14" si="88">GZ5-GT5</f>
        <v>1406317</v>
      </c>
      <c r="HC5" s="102">
        <f t="shared" ref="HC5:HC14" si="89">100/1406236643.9*GT5</f>
        <v>2.0001155653287124</v>
      </c>
      <c r="HD5" s="285">
        <f t="shared" ref="HD5:HD14" si="90">HB5-HO5</f>
        <v>-2.0954757928848267E-9</v>
      </c>
      <c r="HE5" s="12">
        <f t="shared" ref="HE5:HE14" si="91">GT5*0.05</f>
        <v>1406317.9000000001</v>
      </c>
      <c r="HF5" s="12">
        <f t="shared" ref="HF5:HF14" si="92">IF(ISNUMBER(HE5), HE5-INT(HE5), "")</f>
        <v>0.90000000013969839</v>
      </c>
      <c r="HG5" s="12">
        <f t="shared" ref="HG5:HG14" si="93">HE5-HF5</f>
        <v>1406317</v>
      </c>
      <c r="HH5" s="14">
        <f t="shared" ref="HH5:HH14" si="94">HG5:HG5</f>
        <v>1406317</v>
      </c>
      <c r="HI5" s="13">
        <f t="shared" ref="HI5:HI14" si="95">HG5+GT5</f>
        <v>29532675</v>
      </c>
      <c r="HJ5" s="102">
        <f t="shared" ref="HJ5:HJ14" si="96">100/1406236643.9*HI5</f>
        <v>2.1001212795945401</v>
      </c>
      <c r="HK5" s="16">
        <f t="shared" ref="HK5:HK14" si="97">GT5</f>
        <v>28126358</v>
      </c>
      <c r="HL5" s="103">
        <f t="shared" ref="HL5:HL14" si="98">HK5*1.05</f>
        <v>29532675.900000002</v>
      </c>
      <c r="HM5" s="103">
        <f t="shared" ref="HM5:HM14" si="99">HL5-HK5</f>
        <v>1406317.9000000022</v>
      </c>
      <c r="HN5" s="17">
        <f t="shared" ref="HN5:HN14" si="100">HF5</f>
        <v>0.90000000013969839</v>
      </c>
      <c r="HO5" s="56">
        <f t="shared" ref="HO5:HO14" si="101">HM5-HN5</f>
        <v>1406317.0000000021</v>
      </c>
      <c r="HP5" s="16">
        <f t="shared" ref="HP5:HP14" si="102">HO5-HG5</f>
        <v>2.0954757928848267E-9</v>
      </c>
      <c r="HQ5" s="16">
        <f t="shared" ref="HQ5:HQ14" si="103">HO5+HK5</f>
        <v>29532675.000000004</v>
      </c>
      <c r="HR5" s="16">
        <f t="shared" ref="HR5:HR14" si="104">HQ5-HI5</f>
        <v>0</v>
      </c>
    </row>
    <row r="6" spans="1:226" x14ac:dyDescent="0.3">
      <c r="A6" s="310">
        <v>3</v>
      </c>
      <c r="B6" s="300" t="s">
        <v>366</v>
      </c>
      <c r="C6" s="310" t="s">
        <v>300</v>
      </c>
      <c r="D6" s="21" t="s">
        <v>25</v>
      </c>
      <c r="E6" s="22">
        <v>0</v>
      </c>
      <c r="F6" s="9">
        <v>23191300</v>
      </c>
      <c r="G6" s="9">
        <v>0</v>
      </c>
      <c r="H6" s="324"/>
      <c r="I6" s="324">
        <v>23191300</v>
      </c>
      <c r="J6" s="324">
        <v>23191300</v>
      </c>
      <c r="K6" s="324"/>
      <c r="L6" s="324">
        <v>23191300</v>
      </c>
      <c r="M6" s="23">
        <v>23191300</v>
      </c>
      <c r="N6" s="23">
        <v>23191300</v>
      </c>
      <c r="O6" s="298">
        <v>23191300</v>
      </c>
      <c r="P6" s="298">
        <v>23191300</v>
      </c>
      <c r="Q6" s="298">
        <v>23191300</v>
      </c>
      <c r="R6" s="298">
        <v>23191300</v>
      </c>
      <c r="S6" s="298">
        <v>23191300</v>
      </c>
      <c r="T6" s="298">
        <v>23191300</v>
      </c>
      <c r="U6" s="298">
        <f t="shared" si="0"/>
        <v>1159565</v>
      </c>
      <c r="V6" s="298">
        <f t="shared" si="1"/>
        <v>24350865</v>
      </c>
      <c r="W6" s="298">
        <v>24350865</v>
      </c>
      <c r="X6" s="298">
        <v>24350865</v>
      </c>
      <c r="Y6" s="298">
        <v>24350865</v>
      </c>
      <c r="Z6" s="298">
        <v>24350865</v>
      </c>
      <c r="AA6" s="298">
        <v>24350865</v>
      </c>
      <c r="AB6" s="298">
        <v>24350865</v>
      </c>
      <c r="AC6" s="9">
        <v>0</v>
      </c>
      <c r="AD6" s="9">
        <v>0</v>
      </c>
      <c r="AE6" s="298">
        <f t="shared" si="2"/>
        <v>24350865</v>
      </c>
      <c r="AF6" s="298">
        <v>24350865</v>
      </c>
      <c r="AG6" s="9">
        <v>0</v>
      </c>
      <c r="AH6" s="9">
        <v>0</v>
      </c>
      <c r="AI6" s="298">
        <f t="shared" si="3"/>
        <v>24350865</v>
      </c>
      <c r="AJ6" s="298">
        <v>24350865</v>
      </c>
      <c r="AK6" s="9">
        <v>0</v>
      </c>
      <c r="AL6" s="9">
        <v>0</v>
      </c>
      <c r="AM6" s="298">
        <f t="shared" si="4"/>
        <v>24350865</v>
      </c>
      <c r="AN6" s="298">
        <v>24350865</v>
      </c>
      <c r="AO6" s="9">
        <v>0</v>
      </c>
      <c r="AP6" s="9">
        <v>0</v>
      </c>
      <c r="AQ6" s="298">
        <f t="shared" si="5"/>
        <v>24350865</v>
      </c>
      <c r="AR6" s="298">
        <v>24350865</v>
      </c>
      <c r="AS6" s="9">
        <v>0</v>
      </c>
      <c r="AT6" s="9">
        <v>0</v>
      </c>
      <c r="AU6" s="298">
        <f t="shared" si="6"/>
        <v>24350865</v>
      </c>
      <c r="AV6" s="298">
        <v>24350865</v>
      </c>
      <c r="AW6" s="9">
        <v>0</v>
      </c>
      <c r="AX6" s="9">
        <v>0</v>
      </c>
      <c r="AY6" s="7">
        <f t="shared" si="7"/>
        <v>24350865</v>
      </c>
      <c r="AZ6" s="8">
        <f t="shared" si="21"/>
        <v>1217543.25</v>
      </c>
      <c r="BA6" s="8">
        <v>0.25</v>
      </c>
      <c r="BB6" s="8">
        <f t="shared" si="22"/>
        <v>1217543</v>
      </c>
      <c r="BC6" s="8">
        <f t="shared" si="23"/>
        <v>25568408</v>
      </c>
      <c r="BD6" s="8"/>
      <c r="BE6" s="8">
        <f t="shared" si="24"/>
        <v>25568408</v>
      </c>
      <c r="BF6" s="10">
        <f t="shared" si="25"/>
        <v>1217543</v>
      </c>
      <c r="BG6" s="11">
        <f t="shared" si="26"/>
        <v>0</v>
      </c>
      <c r="BH6" s="319">
        <v>25568408</v>
      </c>
      <c r="BI6" s="319">
        <v>0</v>
      </c>
      <c r="BJ6" s="319">
        <v>0</v>
      </c>
      <c r="BK6" s="319">
        <f t="shared" si="27"/>
        <v>25568408</v>
      </c>
      <c r="BL6" s="319">
        <v>25568408</v>
      </c>
      <c r="BM6" s="319">
        <v>0</v>
      </c>
      <c r="BN6" s="319">
        <v>0</v>
      </c>
      <c r="BO6" s="319">
        <f t="shared" si="8"/>
        <v>25568408</v>
      </c>
      <c r="BP6" s="319">
        <f t="shared" si="28"/>
        <v>0</v>
      </c>
      <c r="BQ6" s="319">
        <v>25568408</v>
      </c>
      <c r="BR6" s="319">
        <v>0</v>
      </c>
      <c r="BS6" s="319">
        <v>0</v>
      </c>
      <c r="BT6" s="319">
        <f t="shared" si="9"/>
        <v>25568408</v>
      </c>
      <c r="BU6" s="319">
        <f t="shared" si="29"/>
        <v>0</v>
      </c>
      <c r="BV6" s="319">
        <v>25568408</v>
      </c>
      <c r="BW6" s="319">
        <v>0</v>
      </c>
      <c r="BX6" s="319">
        <v>0</v>
      </c>
      <c r="BY6" s="319">
        <f t="shared" si="10"/>
        <v>25568408</v>
      </c>
      <c r="BZ6" s="319">
        <f t="shared" si="30"/>
        <v>0</v>
      </c>
      <c r="CA6" s="319">
        <v>25568408</v>
      </c>
      <c r="CB6" s="319">
        <v>0</v>
      </c>
      <c r="CC6" s="319">
        <v>0</v>
      </c>
      <c r="CD6" s="319">
        <f t="shared" si="11"/>
        <v>25568408</v>
      </c>
      <c r="CE6" s="319">
        <f t="shared" si="31"/>
        <v>0</v>
      </c>
      <c r="CF6" s="319">
        <v>25568408</v>
      </c>
      <c r="CG6" s="319">
        <v>0</v>
      </c>
      <c r="CH6" s="319">
        <v>0</v>
      </c>
      <c r="CI6" s="319">
        <f t="shared" si="12"/>
        <v>25568408</v>
      </c>
      <c r="CJ6" s="319">
        <f t="shared" si="32"/>
        <v>0</v>
      </c>
      <c r="CK6" s="319">
        <v>25568408</v>
      </c>
      <c r="CL6" s="319">
        <v>0</v>
      </c>
      <c r="CM6" s="319">
        <v>0</v>
      </c>
      <c r="CN6" s="319">
        <f t="shared" si="13"/>
        <v>25568408</v>
      </c>
      <c r="CO6" s="319">
        <f t="shared" si="33"/>
        <v>0</v>
      </c>
      <c r="CP6" s="319">
        <v>25568408</v>
      </c>
      <c r="CQ6" s="319"/>
      <c r="CR6" s="319"/>
      <c r="CS6" s="319">
        <f t="shared" si="14"/>
        <v>25568408</v>
      </c>
      <c r="CT6" s="319">
        <f t="shared" si="34"/>
        <v>0</v>
      </c>
      <c r="CU6" s="319">
        <v>25568408</v>
      </c>
      <c r="CV6" s="319">
        <v>0</v>
      </c>
      <c r="CW6" s="319">
        <v>0</v>
      </c>
      <c r="CX6" s="319">
        <f t="shared" si="15"/>
        <v>25568408</v>
      </c>
      <c r="CY6" s="319">
        <f t="shared" si="35"/>
        <v>0</v>
      </c>
      <c r="CZ6" s="319"/>
      <c r="DA6" s="319"/>
      <c r="DB6" s="319"/>
      <c r="DC6" s="12">
        <f t="shared" si="36"/>
        <v>2556840.8000000003</v>
      </c>
      <c r="DD6" s="12">
        <v>0.8</v>
      </c>
      <c r="DE6" s="13">
        <f t="shared" si="37"/>
        <v>2556840.0000000005</v>
      </c>
      <c r="DF6" s="14">
        <f t="shared" si="38"/>
        <v>2556840.0000000005</v>
      </c>
      <c r="DG6" s="13">
        <f t="shared" si="16"/>
        <v>28125248</v>
      </c>
      <c r="DH6" s="15">
        <f t="shared" si="39"/>
        <v>2.0000366881351184</v>
      </c>
      <c r="DI6" s="16">
        <f t="shared" si="17"/>
        <v>25568408</v>
      </c>
      <c r="DJ6" s="132">
        <f t="shared" si="40"/>
        <v>28125248.800000001</v>
      </c>
      <c r="DK6" s="17">
        <f t="shared" si="41"/>
        <v>2556840.8000000007</v>
      </c>
      <c r="DL6" s="17">
        <f t="shared" si="18"/>
        <v>0.8</v>
      </c>
      <c r="DM6" s="16">
        <f t="shared" si="42"/>
        <v>2556840.0000000009</v>
      </c>
      <c r="DN6" s="16">
        <f t="shared" si="19"/>
        <v>0</v>
      </c>
      <c r="DO6" s="16">
        <f t="shared" si="43"/>
        <v>28125248</v>
      </c>
      <c r="DP6" s="16">
        <f t="shared" si="20"/>
        <v>0</v>
      </c>
      <c r="DQ6" s="9">
        <v>28125248</v>
      </c>
      <c r="DR6" s="18" t="s">
        <v>238</v>
      </c>
      <c r="DS6" s="18" t="s">
        <v>238</v>
      </c>
      <c r="DT6" s="324">
        <f t="shared" si="44"/>
        <v>28125248</v>
      </c>
      <c r="DU6" s="321">
        <f t="shared" si="45"/>
        <v>28125248</v>
      </c>
      <c r="DV6" s="19">
        <f t="shared" si="46"/>
        <v>0</v>
      </c>
      <c r="DW6" s="9">
        <v>28125248</v>
      </c>
      <c r="DX6" s="18"/>
      <c r="DY6" s="18"/>
      <c r="DZ6" s="324">
        <f t="shared" si="47"/>
        <v>28125248</v>
      </c>
      <c r="EA6" s="321">
        <f t="shared" si="48"/>
        <v>28125248</v>
      </c>
      <c r="EB6" s="179">
        <f t="shared" si="49"/>
        <v>0</v>
      </c>
      <c r="EC6" s="9">
        <v>28125248</v>
      </c>
      <c r="ED6" s="18" t="s">
        <v>238</v>
      </c>
      <c r="EE6" s="18" t="s">
        <v>238</v>
      </c>
      <c r="EF6" s="324">
        <f t="shared" si="50"/>
        <v>28125248</v>
      </c>
      <c r="EG6" s="321">
        <f t="shared" si="51"/>
        <v>28125248</v>
      </c>
      <c r="EH6" s="179">
        <f t="shared" si="52"/>
        <v>0</v>
      </c>
      <c r="EI6" s="9">
        <v>28125248</v>
      </c>
      <c r="EJ6" s="18" t="s">
        <v>238</v>
      </c>
      <c r="EK6" s="18" t="s">
        <v>238</v>
      </c>
      <c r="EL6" s="324">
        <f t="shared" si="53"/>
        <v>28125248</v>
      </c>
      <c r="EM6" s="321">
        <f t="shared" si="54"/>
        <v>28125248</v>
      </c>
      <c r="EN6" s="179">
        <f t="shared" si="55"/>
        <v>0</v>
      </c>
      <c r="EO6" s="9">
        <v>28125248</v>
      </c>
      <c r="EP6" s="18" t="s">
        <v>238</v>
      </c>
      <c r="EQ6" s="18" t="s">
        <v>238</v>
      </c>
      <c r="ER6" s="324">
        <f t="shared" si="56"/>
        <v>28125248</v>
      </c>
      <c r="ES6" s="317">
        <f t="shared" si="57"/>
        <v>28125248</v>
      </c>
      <c r="ET6" s="179">
        <f t="shared" si="58"/>
        <v>0</v>
      </c>
      <c r="EU6" s="9">
        <v>28125248</v>
      </c>
      <c r="EV6" s="18" t="s">
        <v>238</v>
      </c>
      <c r="EW6" s="18" t="s">
        <v>238</v>
      </c>
      <c r="EX6" s="324">
        <f t="shared" si="59"/>
        <v>28125248</v>
      </c>
      <c r="EY6" s="317">
        <f t="shared" si="60"/>
        <v>28125248</v>
      </c>
      <c r="EZ6" s="179">
        <f t="shared" si="61"/>
        <v>0</v>
      </c>
      <c r="FA6" s="9">
        <v>28125248</v>
      </c>
      <c r="FB6" s="18" t="s">
        <v>238</v>
      </c>
      <c r="FC6" s="18" t="s">
        <v>238</v>
      </c>
      <c r="FD6" s="324">
        <f t="shared" si="62"/>
        <v>28125248</v>
      </c>
      <c r="FE6" s="317">
        <f t="shared" si="63"/>
        <v>28125248</v>
      </c>
      <c r="FF6" s="179">
        <f t="shared" si="64"/>
        <v>0</v>
      </c>
      <c r="FG6" s="9">
        <v>28125248</v>
      </c>
      <c r="FH6" s="18" t="s">
        <v>238</v>
      </c>
      <c r="FI6" s="18" t="s">
        <v>238</v>
      </c>
      <c r="FJ6" s="324">
        <f t="shared" si="65"/>
        <v>28125248</v>
      </c>
      <c r="FK6" s="317">
        <f t="shared" si="66"/>
        <v>28125248</v>
      </c>
      <c r="FL6" s="179">
        <f t="shared" si="67"/>
        <v>0</v>
      </c>
      <c r="FM6" s="9">
        <v>28125248</v>
      </c>
      <c r="FN6" s="18" t="s">
        <v>238</v>
      </c>
      <c r="FO6" s="18" t="s">
        <v>238</v>
      </c>
      <c r="FP6" s="324">
        <f t="shared" si="68"/>
        <v>28125248</v>
      </c>
      <c r="FQ6" s="317">
        <f t="shared" si="69"/>
        <v>28125248</v>
      </c>
      <c r="FR6" s="179">
        <f t="shared" si="70"/>
        <v>0</v>
      </c>
      <c r="FS6" s="9">
        <v>28125248</v>
      </c>
      <c r="FT6" s="18" t="s">
        <v>238</v>
      </c>
      <c r="FU6" s="18" t="s">
        <v>238</v>
      </c>
      <c r="FV6" s="324">
        <f t="shared" si="71"/>
        <v>28125248</v>
      </c>
      <c r="FW6" s="317">
        <f t="shared" si="72"/>
        <v>28125248</v>
      </c>
      <c r="FX6" s="179">
        <f t="shared" si="73"/>
        <v>0</v>
      </c>
      <c r="FY6" s="9">
        <v>28125248</v>
      </c>
      <c r="FZ6" s="18" t="s">
        <v>238</v>
      </c>
      <c r="GA6" s="18" t="s">
        <v>238</v>
      </c>
      <c r="GB6" s="324">
        <f t="shared" si="74"/>
        <v>28125248</v>
      </c>
      <c r="GC6" s="317">
        <f t="shared" si="75"/>
        <v>28125248</v>
      </c>
      <c r="GD6" s="179">
        <f t="shared" si="76"/>
        <v>0</v>
      </c>
      <c r="GE6" s="9">
        <v>28125248</v>
      </c>
      <c r="GF6" s="18" t="s">
        <v>238</v>
      </c>
      <c r="GG6" s="18" t="s">
        <v>238</v>
      </c>
      <c r="GH6" s="324">
        <f t="shared" si="77"/>
        <v>28125248</v>
      </c>
      <c r="GI6" s="317">
        <f t="shared" si="78"/>
        <v>28125248</v>
      </c>
      <c r="GJ6" s="179">
        <f t="shared" si="79"/>
        <v>0</v>
      </c>
      <c r="GK6" s="9">
        <v>28125248</v>
      </c>
      <c r="GL6" s="18" t="s">
        <v>238</v>
      </c>
      <c r="GM6" s="18" t="s">
        <v>238</v>
      </c>
      <c r="GN6" s="324">
        <f t="shared" si="80"/>
        <v>28125248</v>
      </c>
      <c r="GO6" s="317">
        <f t="shared" si="81"/>
        <v>28125248</v>
      </c>
      <c r="GP6" s="179">
        <f t="shared" si="82"/>
        <v>0</v>
      </c>
      <c r="GQ6" s="9">
        <v>28125248</v>
      </c>
      <c r="GR6" s="18" t="s">
        <v>238</v>
      </c>
      <c r="GS6" s="18" t="s">
        <v>238</v>
      </c>
      <c r="GT6" s="324">
        <f t="shared" si="83"/>
        <v>28125248</v>
      </c>
      <c r="GU6" s="317">
        <f t="shared" si="84"/>
        <v>28125248</v>
      </c>
      <c r="GV6" s="179">
        <f t="shared" si="85"/>
        <v>0</v>
      </c>
      <c r="GW6" s="9">
        <v>29531510</v>
      </c>
      <c r="GX6" s="18" t="s">
        <v>238</v>
      </c>
      <c r="GY6" s="18" t="s">
        <v>238</v>
      </c>
      <c r="GZ6" s="324">
        <f t="shared" si="86"/>
        <v>29531510</v>
      </c>
      <c r="HA6" s="317">
        <f t="shared" si="87"/>
        <v>29531510</v>
      </c>
      <c r="HB6" s="179">
        <f t="shared" si="88"/>
        <v>1406262</v>
      </c>
      <c r="HC6" s="102">
        <f t="shared" si="89"/>
        <v>2.0000366312456892</v>
      </c>
      <c r="HD6" s="285">
        <f t="shared" si="90"/>
        <v>-2.0954757928848267E-9</v>
      </c>
      <c r="HE6" s="12">
        <f t="shared" si="91"/>
        <v>1406262.4000000001</v>
      </c>
      <c r="HF6" s="12">
        <f t="shared" si="92"/>
        <v>0.40000000013969839</v>
      </c>
      <c r="HG6" s="12">
        <f t="shared" si="93"/>
        <v>1406262</v>
      </c>
      <c r="HH6" s="14">
        <f t="shared" si="94"/>
        <v>1406262</v>
      </c>
      <c r="HI6" s="13">
        <f t="shared" si="95"/>
        <v>29531510</v>
      </c>
      <c r="HJ6" s="102">
        <f t="shared" si="96"/>
        <v>2.1000384343632592</v>
      </c>
      <c r="HK6" s="16">
        <f t="shared" si="97"/>
        <v>28125248</v>
      </c>
      <c r="HL6" s="103">
        <f t="shared" si="98"/>
        <v>29531510.400000002</v>
      </c>
      <c r="HM6" s="103">
        <f t="shared" si="99"/>
        <v>1406262.4000000022</v>
      </c>
      <c r="HN6" s="17">
        <f t="shared" si="100"/>
        <v>0.40000000013969839</v>
      </c>
      <c r="HO6" s="56">
        <f t="shared" si="101"/>
        <v>1406262.0000000021</v>
      </c>
      <c r="HP6" s="16">
        <f t="shared" si="102"/>
        <v>2.0954757928848267E-9</v>
      </c>
      <c r="HQ6" s="16">
        <f t="shared" si="103"/>
        <v>29531510.000000004</v>
      </c>
      <c r="HR6" s="16">
        <f t="shared" si="104"/>
        <v>0</v>
      </c>
    </row>
    <row r="7" spans="1:226" x14ac:dyDescent="0.3">
      <c r="A7" s="310">
        <v>4</v>
      </c>
      <c r="B7" s="303" t="s">
        <v>388</v>
      </c>
      <c r="C7" s="310" t="s">
        <v>296</v>
      </c>
      <c r="D7" s="21" t="s">
        <v>26</v>
      </c>
      <c r="E7" s="22">
        <v>0</v>
      </c>
      <c r="F7" s="9">
        <v>23210000</v>
      </c>
      <c r="G7" s="9">
        <v>0</v>
      </c>
      <c r="H7" s="324"/>
      <c r="I7" s="324">
        <v>23210000</v>
      </c>
      <c r="J7" s="324">
        <v>23210000</v>
      </c>
      <c r="K7" s="324"/>
      <c r="L7" s="324">
        <v>23210000</v>
      </c>
      <c r="M7" s="23">
        <v>23210000</v>
      </c>
      <c r="N7" s="23">
        <v>23210000</v>
      </c>
      <c r="O7" s="298">
        <v>23210000</v>
      </c>
      <c r="P7" s="298">
        <v>23210000</v>
      </c>
      <c r="Q7" s="298">
        <v>23210000</v>
      </c>
      <c r="R7" s="298">
        <v>23210000</v>
      </c>
      <c r="S7" s="298">
        <v>23210000</v>
      </c>
      <c r="T7" s="298">
        <v>23210000</v>
      </c>
      <c r="U7" s="298">
        <f t="shared" si="0"/>
        <v>1160500</v>
      </c>
      <c r="V7" s="298">
        <f t="shared" si="1"/>
        <v>24370500</v>
      </c>
      <c r="W7" s="298">
        <v>24370500</v>
      </c>
      <c r="X7" s="298">
        <v>24370500</v>
      </c>
      <c r="Y7" s="298">
        <v>24370500</v>
      </c>
      <c r="Z7" s="298">
        <v>24370500</v>
      </c>
      <c r="AA7" s="298">
        <v>24370500</v>
      </c>
      <c r="AB7" s="298">
        <v>24370500</v>
      </c>
      <c r="AC7" s="9">
        <v>0</v>
      </c>
      <c r="AD7" s="9">
        <v>0</v>
      </c>
      <c r="AE7" s="298">
        <f t="shared" si="2"/>
        <v>24370500</v>
      </c>
      <c r="AF7" s="298">
        <v>24370500</v>
      </c>
      <c r="AG7" s="9">
        <v>0</v>
      </c>
      <c r="AH7" s="9">
        <v>0</v>
      </c>
      <c r="AI7" s="298">
        <f t="shared" si="3"/>
        <v>24370500</v>
      </c>
      <c r="AJ7" s="298">
        <v>24370500</v>
      </c>
      <c r="AK7" s="9">
        <v>0</v>
      </c>
      <c r="AL7" s="9">
        <v>0</v>
      </c>
      <c r="AM7" s="298">
        <f t="shared" si="4"/>
        <v>24370500</v>
      </c>
      <c r="AN7" s="298">
        <v>24370500</v>
      </c>
      <c r="AO7" s="9">
        <v>0</v>
      </c>
      <c r="AP7" s="9">
        <v>0</v>
      </c>
      <c r="AQ7" s="298">
        <f t="shared" si="5"/>
        <v>24370500</v>
      </c>
      <c r="AR7" s="298">
        <v>24370500</v>
      </c>
      <c r="AS7" s="9">
        <v>0</v>
      </c>
      <c r="AT7" s="9">
        <v>0</v>
      </c>
      <c r="AU7" s="298">
        <f t="shared" si="6"/>
        <v>24370500</v>
      </c>
      <c r="AV7" s="298">
        <v>24370500</v>
      </c>
      <c r="AW7" s="9">
        <v>0</v>
      </c>
      <c r="AX7" s="9">
        <v>0</v>
      </c>
      <c r="AY7" s="7">
        <f t="shared" si="7"/>
        <v>24370500</v>
      </c>
      <c r="AZ7" s="8">
        <f t="shared" si="21"/>
        <v>1218525</v>
      </c>
      <c r="BA7" s="8"/>
      <c r="BB7" s="8">
        <f t="shared" si="22"/>
        <v>1218525</v>
      </c>
      <c r="BC7" s="8">
        <f t="shared" si="23"/>
        <v>25589025</v>
      </c>
      <c r="BD7" s="8"/>
      <c r="BE7" s="8">
        <f t="shared" si="24"/>
        <v>25589025</v>
      </c>
      <c r="BF7" s="10">
        <f t="shared" si="25"/>
        <v>1218525</v>
      </c>
      <c r="BG7" s="11">
        <f t="shared" si="26"/>
        <v>0</v>
      </c>
      <c r="BH7" s="319">
        <v>25589025</v>
      </c>
      <c r="BI7" s="319">
        <v>0</v>
      </c>
      <c r="BJ7" s="319">
        <v>0</v>
      </c>
      <c r="BK7" s="319">
        <f t="shared" si="27"/>
        <v>25589025</v>
      </c>
      <c r="BL7" s="319">
        <v>25589025</v>
      </c>
      <c r="BM7" s="319">
        <v>0</v>
      </c>
      <c r="BN7" s="319">
        <v>0</v>
      </c>
      <c r="BO7" s="319">
        <f t="shared" si="8"/>
        <v>25589025</v>
      </c>
      <c r="BP7" s="319">
        <f t="shared" si="28"/>
        <v>0</v>
      </c>
      <c r="BQ7" s="319">
        <v>25589025</v>
      </c>
      <c r="BR7" s="319">
        <v>0</v>
      </c>
      <c r="BS7" s="319">
        <v>0</v>
      </c>
      <c r="BT7" s="319">
        <f t="shared" si="9"/>
        <v>25589025</v>
      </c>
      <c r="BU7" s="319">
        <f t="shared" si="29"/>
        <v>0</v>
      </c>
      <c r="BV7" s="319">
        <v>25589025</v>
      </c>
      <c r="BW7" s="319">
        <v>0</v>
      </c>
      <c r="BX7" s="319">
        <v>0</v>
      </c>
      <c r="BY7" s="319">
        <f t="shared" si="10"/>
        <v>25589025</v>
      </c>
      <c r="BZ7" s="319">
        <f t="shared" si="30"/>
        <v>0</v>
      </c>
      <c r="CA7" s="319">
        <v>25589025</v>
      </c>
      <c r="CB7" s="319">
        <v>0</v>
      </c>
      <c r="CC7" s="319">
        <v>0</v>
      </c>
      <c r="CD7" s="319">
        <f t="shared" si="11"/>
        <v>25589025</v>
      </c>
      <c r="CE7" s="319">
        <f t="shared" si="31"/>
        <v>0</v>
      </c>
      <c r="CF7" s="319">
        <v>25589025</v>
      </c>
      <c r="CG7" s="319">
        <v>0</v>
      </c>
      <c r="CH7" s="319">
        <v>0</v>
      </c>
      <c r="CI7" s="319">
        <f t="shared" si="12"/>
        <v>25589025</v>
      </c>
      <c r="CJ7" s="319">
        <f t="shared" si="32"/>
        <v>0</v>
      </c>
      <c r="CK7" s="319">
        <v>25589025</v>
      </c>
      <c r="CL7" s="319">
        <v>0</v>
      </c>
      <c r="CM7" s="319">
        <v>0</v>
      </c>
      <c r="CN7" s="319">
        <f t="shared" si="13"/>
        <v>25589025</v>
      </c>
      <c r="CO7" s="319">
        <f t="shared" si="33"/>
        <v>0</v>
      </c>
      <c r="CP7" s="319">
        <v>25589025</v>
      </c>
      <c r="CQ7" s="319"/>
      <c r="CR7" s="319"/>
      <c r="CS7" s="319">
        <f t="shared" si="14"/>
        <v>25589025</v>
      </c>
      <c r="CT7" s="319">
        <f t="shared" si="34"/>
        <v>0</v>
      </c>
      <c r="CU7" s="319">
        <v>25589025</v>
      </c>
      <c r="CV7" s="319">
        <v>0</v>
      </c>
      <c r="CW7" s="319">
        <v>0</v>
      </c>
      <c r="CX7" s="319">
        <f t="shared" si="15"/>
        <v>25589025</v>
      </c>
      <c r="CY7" s="319">
        <f t="shared" si="35"/>
        <v>0</v>
      </c>
      <c r="CZ7" s="319"/>
      <c r="DA7" s="319"/>
      <c r="DB7" s="319"/>
      <c r="DC7" s="12">
        <f t="shared" si="36"/>
        <v>2558902.5</v>
      </c>
      <c r="DD7" s="12">
        <v>0.5</v>
      </c>
      <c r="DE7" s="13">
        <f t="shared" si="37"/>
        <v>2558902</v>
      </c>
      <c r="DF7" s="14">
        <f t="shared" si="38"/>
        <v>2558902</v>
      </c>
      <c r="DG7" s="13">
        <f t="shared" si="16"/>
        <v>28147927</v>
      </c>
      <c r="DH7" s="15">
        <f t="shared" si="39"/>
        <v>2.0016494110077852</v>
      </c>
      <c r="DI7" s="16">
        <f t="shared" si="17"/>
        <v>25589025</v>
      </c>
      <c r="DJ7" s="132">
        <f t="shared" si="40"/>
        <v>28147927.500000004</v>
      </c>
      <c r="DK7" s="17">
        <f t="shared" si="41"/>
        <v>2558902.5000000037</v>
      </c>
      <c r="DL7" s="17">
        <f t="shared" si="18"/>
        <v>0.5</v>
      </c>
      <c r="DM7" s="16">
        <f t="shared" si="42"/>
        <v>2558902.0000000037</v>
      </c>
      <c r="DN7" s="16">
        <f t="shared" si="19"/>
        <v>3.7252902984619141E-9</v>
      </c>
      <c r="DO7" s="16">
        <f t="shared" si="43"/>
        <v>28147927.000000004</v>
      </c>
      <c r="DP7" s="16">
        <f t="shared" si="20"/>
        <v>0</v>
      </c>
      <c r="DQ7" s="9">
        <v>28147927</v>
      </c>
      <c r="DR7" s="18" t="s">
        <v>238</v>
      </c>
      <c r="DS7" s="18" t="s">
        <v>238</v>
      </c>
      <c r="DT7" s="324">
        <f t="shared" si="44"/>
        <v>28147927</v>
      </c>
      <c r="DU7" s="321">
        <f t="shared" si="45"/>
        <v>28147927</v>
      </c>
      <c r="DV7" s="19">
        <f t="shared" si="46"/>
        <v>0</v>
      </c>
      <c r="DW7" s="9">
        <v>28147927</v>
      </c>
      <c r="DX7" s="18"/>
      <c r="DY7" s="18"/>
      <c r="DZ7" s="324">
        <f t="shared" si="47"/>
        <v>28147927</v>
      </c>
      <c r="EA7" s="321">
        <f t="shared" si="48"/>
        <v>28147927</v>
      </c>
      <c r="EB7" s="179">
        <f t="shared" si="49"/>
        <v>0</v>
      </c>
      <c r="EC7" s="9">
        <v>28147927</v>
      </c>
      <c r="ED7" s="18" t="s">
        <v>238</v>
      </c>
      <c r="EE7" s="18" t="s">
        <v>238</v>
      </c>
      <c r="EF7" s="324">
        <f t="shared" si="50"/>
        <v>28147927</v>
      </c>
      <c r="EG7" s="321">
        <f t="shared" si="51"/>
        <v>28147927</v>
      </c>
      <c r="EH7" s="179">
        <f t="shared" si="52"/>
        <v>0</v>
      </c>
      <c r="EI7" s="9">
        <v>28147927</v>
      </c>
      <c r="EJ7" s="18" t="s">
        <v>238</v>
      </c>
      <c r="EK7" s="18" t="s">
        <v>238</v>
      </c>
      <c r="EL7" s="324">
        <f t="shared" si="53"/>
        <v>28147927</v>
      </c>
      <c r="EM7" s="321">
        <f t="shared" si="54"/>
        <v>28147927</v>
      </c>
      <c r="EN7" s="179">
        <f t="shared" si="55"/>
        <v>0</v>
      </c>
      <c r="EO7" s="9">
        <v>28147927</v>
      </c>
      <c r="EP7" s="18" t="s">
        <v>238</v>
      </c>
      <c r="EQ7" s="18" t="s">
        <v>238</v>
      </c>
      <c r="ER7" s="324">
        <f t="shared" si="56"/>
        <v>28147927</v>
      </c>
      <c r="ES7" s="321">
        <f t="shared" si="57"/>
        <v>28147927</v>
      </c>
      <c r="ET7" s="179">
        <f t="shared" si="58"/>
        <v>0</v>
      </c>
      <c r="EU7" s="9">
        <v>28147927</v>
      </c>
      <c r="EV7" s="18" t="s">
        <v>238</v>
      </c>
      <c r="EW7" s="18" t="s">
        <v>238</v>
      </c>
      <c r="EX7" s="324">
        <f t="shared" si="59"/>
        <v>28147927</v>
      </c>
      <c r="EY7" s="321">
        <f t="shared" si="60"/>
        <v>28147927</v>
      </c>
      <c r="EZ7" s="179">
        <f t="shared" si="61"/>
        <v>0</v>
      </c>
      <c r="FA7" s="9">
        <v>28147927</v>
      </c>
      <c r="FB7" s="18" t="s">
        <v>238</v>
      </c>
      <c r="FC7" s="18" t="s">
        <v>238</v>
      </c>
      <c r="FD7" s="324">
        <f t="shared" si="62"/>
        <v>28147927</v>
      </c>
      <c r="FE7" s="321">
        <f t="shared" si="63"/>
        <v>28147927</v>
      </c>
      <c r="FF7" s="179">
        <f t="shared" si="64"/>
        <v>0</v>
      </c>
      <c r="FG7" s="9">
        <v>28147927</v>
      </c>
      <c r="FH7" s="18" t="s">
        <v>238</v>
      </c>
      <c r="FI7" s="18" t="s">
        <v>238</v>
      </c>
      <c r="FJ7" s="324">
        <f t="shared" si="65"/>
        <v>28147927</v>
      </c>
      <c r="FK7" s="321">
        <f t="shared" si="66"/>
        <v>28147927</v>
      </c>
      <c r="FL7" s="179">
        <f t="shared" si="67"/>
        <v>0</v>
      </c>
      <c r="FM7" s="9">
        <v>28147927</v>
      </c>
      <c r="FN7" s="18" t="s">
        <v>238</v>
      </c>
      <c r="FO7" s="18" t="s">
        <v>238</v>
      </c>
      <c r="FP7" s="324">
        <f t="shared" si="68"/>
        <v>28147927</v>
      </c>
      <c r="FQ7" s="321">
        <f t="shared" si="69"/>
        <v>28147927</v>
      </c>
      <c r="FR7" s="179">
        <f t="shared" si="70"/>
        <v>0</v>
      </c>
      <c r="FS7" s="9">
        <v>28147927</v>
      </c>
      <c r="FT7" s="18" t="s">
        <v>238</v>
      </c>
      <c r="FU7" s="18" t="s">
        <v>238</v>
      </c>
      <c r="FV7" s="324">
        <f t="shared" si="71"/>
        <v>28147927</v>
      </c>
      <c r="FW7" s="321">
        <f t="shared" si="72"/>
        <v>28147927</v>
      </c>
      <c r="FX7" s="179">
        <f t="shared" si="73"/>
        <v>0</v>
      </c>
      <c r="FY7" s="9">
        <v>28147927</v>
      </c>
      <c r="FZ7" s="18" t="s">
        <v>238</v>
      </c>
      <c r="GA7" s="18" t="s">
        <v>238</v>
      </c>
      <c r="GB7" s="324">
        <f t="shared" si="74"/>
        <v>28147927</v>
      </c>
      <c r="GC7" s="321">
        <f t="shared" si="75"/>
        <v>28147927</v>
      </c>
      <c r="GD7" s="179">
        <f t="shared" si="76"/>
        <v>0</v>
      </c>
      <c r="GE7" s="9">
        <v>28147927</v>
      </c>
      <c r="GF7" s="18" t="s">
        <v>238</v>
      </c>
      <c r="GG7" s="18" t="s">
        <v>238</v>
      </c>
      <c r="GH7" s="324">
        <f t="shared" si="77"/>
        <v>28147927</v>
      </c>
      <c r="GI7" s="321">
        <f t="shared" si="78"/>
        <v>28147927</v>
      </c>
      <c r="GJ7" s="179">
        <f t="shared" si="79"/>
        <v>0</v>
      </c>
      <c r="GK7" s="9">
        <v>28147927</v>
      </c>
      <c r="GL7" s="18" t="s">
        <v>238</v>
      </c>
      <c r="GM7" s="18" t="s">
        <v>238</v>
      </c>
      <c r="GN7" s="324">
        <f t="shared" si="80"/>
        <v>28147927</v>
      </c>
      <c r="GO7" s="321">
        <f t="shared" si="81"/>
        <v>28147927</v>
      </c>
      <c r="GP7" s="179">
        <f t="shared" si="82"/>
        <v>0</v>
      </c>
      <c r="GQ7" s="9">
        <v>28147927</v>
      </c>
      <c r="GR7" s="18" t="s">
        <v>238</v>
      </c>
      <c r="GS7" s="18" t="s">
        <v>238</v>
      </c>
      <c r="GT7" s="324">
        <f t="shared" si="83"/>
        <v>28147927</v>
      </c>
      <c r="GU7" s="321">
        <f t="shared" si="84"/>
        <v>28147927</v>
      </c>
      <c r="GV7" s="179">
        <f t="shared" si="85"/>
        <v>0</v>
      </c>
      <c r="GW7" s="9">
        <v>29555323</v>
      </c>
      <c r="GX7" s="18" t="s">
        <v>238</v>
      </c>
      <c r="GY7" s="18" t="s">
        <v>238</v>
      </c>
      <c r="GZ7" s="324">
        <f t="shared" si="86"/>
        <v>29555323</v>
      </c>
      <c r="HA7" s="321">
        <f t="shared" si="87"/>
        <v>29555323</v>
      </c>
      <c r="HB7" s="179">
        <f t="shared" si="88"/>
        <v>1407396</v>
      </c>
      <c r="HC7" s="102">
        <f t="shared" si="89"/>
        <v>2.0016493754518923</v>
      </c>
      <c r="HD7" s="285">
        <f t="shared" si="90"/>
        <v>0</v>
      </c>
      <c r="HE7" s="12">
        <f t="shared" si="91"/>
        <v>1407396.35</v>
      </c>
      <c r="HF7" s="12">
        <f t="shared" si="92"/>
        <v>0.35000000009313226</v>
      </c>
      <c r="HG7" s="12">
        <f t="shared" si="93"/>
        <v>1407396</v>
      </c>
      <c r="HH7" s="14">
        <f t="shared" si="94"/>
        <v>1407396</v>
      </c>
      <c r="HI7" s="13">
        <f t="shared" si="95"/>
        <v>29555323</v>
      </c>
      <c r="HJ7" s="102">
        <f t="shared" si="96"/>
        <v>2.1017318193353614</v>
      </c>
      <c r="HK7" s="16">
        <f t="shared" si="97"/>
        <v>28147927</v>
      </c>
      <c r="HL7" s="103">
        <f t="shared" si="98"/>
        <v>29555323.350000001</v>
      </c>
      <c r="HM7" s="103">
        <f t="shared" si="99"/>
        <v>1407396.3500000015</v>
      </c>
      <c r="HN7" s="17">
        <f t="shared" si="100"/>
        <v>0.35000000009313226</v>
      </c>
      <c r="HO7" s="56">
        <f t="shared" si="101"/>
        <v>1407396.0000000014</v>
      </c>
      <c r="HP7" s="16">
        <f t="shared" si="102"/>
        <v>0</v>
      </c>
      <c r="HQ7" s="16">
        <f t="shared" si="103"/>
        <v>29555323</v>
      </c>
      <c r="HR7" s="16">
        <f t="shared" si="104"/>
        <v>0</v>
      </c>
    </row>
    <row r="8" spans="1:226" x14ac:dyDescent="0.3">
      <c r="A8" s="310">
        <v>5</v>
      </c>
      <c r="B8" s="303" t="s">
        <v>367</v>
      </c>
      <c r="C8" s="310" t="s">
        <v>301</v>
      </c>
      <c r="D8" s="21" t="s">
        <v>27</v>
      </c>
      <c r="E8" s="22">
        <v>0</v>
      </c>
      <c r="F8" s="9">
        <v>23210000</v>
      </c>
      <c r="G8" s="9">
        <v>0</v>
      </c>
      <c r="H8" s="324"/>
      <c r="I8" s="324">
        <v>23210000</v>
      </c>
      <c r="J8" s="324">
        <v>23210000</v>
      </c>
      <c r="K8" s="324"/>
      <c r="L8" s="324">
        <v>23210000</v>
      </c>
      <c r="M8" s="23">
        <v>23210000</v>
      </c>
      <c r="N8" s="23">
        <v>23210000</v>
      </c>
      <c r="O8" s="298">
        <v>23210000</v>
      </c>
      <c r="P8" s="298">
        <v>23210000</v>
      </c>
      <c r="Q8" s="298">
        <v>23210000</v>
      </c>
      <c r="R8" s="298">
        <v>23210000</v>
      </c>
      <c r="S8" s="298">
        <v>23210000</v>
      </c>
      <c r="T8" s="298">
        <v>23210000</v>
      </c>
      <c r="U8" s="298">
        <f t="shared" si="0"/>
        <v>1160500</v>
      </c>
      <c r="V8" s="298">
        <f t="shared" si="1"/>
        <v>24370500</v>
      </c>
      <c r="W8" s="298">
        <v>24370500</v>
      </c>
      <c r="X8" s="298">
        <v>24370500</v>
      </c>
      <c r="Y8" s="298">
        <v>24370500</v>
      </c>
      <c r="Z8" s="298">
        <v>24370500</v>
      </c>
      <c r="AA8" s="298">
        <v>24370500</v>
      </c>
      <c r="AB8" s="298">
        <v>24370500</v>
      </c>
      <c r="AC8" s="9">
        <v>0</v>
      </c>
      <c r="AD8" s="9">
        <v>0</v>
      </c>
      <c r="AE8" s="298">
        <f t="shared" si="2"/>
        <v>24370500</v>
      </c>
      <c r="AF8" s="298">
        <v>24370500</v>
      </c>
      <c r="AG8" s="9">
        <v>0</v>
      </c>
      <c r="AH8" s="9">
        <v>0</v>
      </c>
      <c r="AI8" s="298">
        <f t="shared" si="3"/>
        <v>24370500</v>
      </c>
      <c r="AJ8" s="298">
        <v>24370500</v>
      </c>
      <c r="AK8" s="9">
        <v>0</v>
      </c>
      <c r="AL8" s="9">
        <v>0</v>
      </c>
      <c r="AM8" s="298">
        <f t="shared" si="4"/>
        <v>24370500</v>
      </c>
      <c r="AN8" s="298">
        <v>24370500</v>
      </c>
      <c r="AO8" s="9">
        <v>0</v>
      </c>
      <c r="AP8" s="9">
        <v>0</v>
      </c>
      <c r="AQ8" s="298">
        <f t="shared" si="5"/>
        <v>24370500</v>
      </c>
      <c r="AR8" s="298">
        <v>24370500</v>
      </c>
      <c r="AS8" s="9">
        <v>0</v>
      </c>
      <c r="AT8" s="9">
        <v>0</v>
      </c>
      <c r="AU8" s="298">
        <f t="shared" si="6"/>
        <v>24370500</v>
      </c>
      <c r="AV8" s="298">
        <v>24370500</v>
      </c>
      <c r="AW8" s="9">
        <v>0</v>
      </c>
      <c r="AX8" s="9">
        <v>0</v>
      </c>
      <c r="AY8" s="7">
        <f t="shared" si="7"/>
        <v>24370500</v>
      </c>
      <c r="AZ8" s="8">
        <f t="shared" si="21"/>
        <v>1218525</v>
      </c>
      <c r="BA8" s="8"/>
      <c r="BB8" s="8">
        <f t="shared" si="22"/>
        <v>1218525</v>
      </c>
      <c r="BC8" s="8">
        <f t="shared" si="23"/>
        <v>25589025</v>
      </c>
      <c r="BD8" s="8"/>
      <c r="BE8" s="8">
        <f t="shared" si="24"/>
        <v>25589025</v>
      </c>
      <c r="BF8" s="10">
        <f t="shared" si="25"/>
        <v>1218525</v>
      </c>
      <c r="BG8" s="11">
        <f t="shared" si="26"/>
        <v>0</v>
      </c>
      <c r="BH8" s="319">
        <v>25589025</v>
      </c>
      <c r="BI8" s="319">
        <v>0</v>
      </c>
      <c r="BJ8" s="319">
        <v>0</v>
      </c>
      <c r="BK8" s="319">
        <f t="shared" si="27"/>
        <v>25589025</v>
      </c>
      <c r="BL8" s="319">
        <v>25589025</v>
      </c>
      <c r="BM8" s="319">
        <v>0</v>
      </c>
      <c r="BN8" s="319">
        <v>0</v>
      </c>
      <c r="BO8" s="319">
        <f t="shared" si="8"/>
        <v>25589025</v>
      </c>
      <c r="BP8" s="319">
        <f t="shared" si="28"/>
        <v>0</v>
      </c>
      <c r="BQ8" s="319">
        <v>25589025</v>
      </c>
      <c r="BR8" s="319">
        <v>0</v>
      </c>
      <c r="BS8" s="319">
        <v>0</v>
      </c>
      <c r="BT8" s="319">
        <f t="shared" si="9"/>
        <v>25589025</v>
      </c>
      <c r="BU8" s="319">
        <f t="shared" si="29"/>
        <v>0</v>
      </c>
      <c r="BV8" s="319">
        <v>25589025</v>
      </c>
      <c r="BW8" s="319">
        <v>0</v>
      </c>
      <c r="BX8" s="319">
        <v>0</v>
      </c>
      <c r="BY8" s="319">
        <f t="shared" si="10"/>
        <v>25589025</v>
      </c>
      <c r="BZ8" s="319">
        <f t="shared" si="30"/>
        <v>0</v>
      </c>
      <c r="CA8" s="319">
        <v>25589025</v>
      </c>
      <c r="CB8" s="319">
        <v>0</v>
      </c>
      <c r="CC8" s="319">
        <v>0</v>
      </c>
      <c r="CD8" s="319">
        <f t="shared" si="11"/>
        <v>25589025</v>
      </c>
      <c r="CE8" s="319">
        <f t="shared" si="31"/>
        <v>0</v>
      </c>
      <c r="CF8" s="319">
        <v>25589025</v>
      </c>
      <c r="CG8" s="319">
        <v>0</v>
      </c>
      <c r="CH8" s="319">
        <v>0</v>
      </c>
      <c r="CI8" s="319">
        <f t="shared" si="12"/>
        <v>25589025</v>
      </c>
      <c r="CJ8" s="319">
        <f t="shared" si="32"/>
        <v>0</v>
      </c>
      <c r="CK8" s="319">
        <v>25589025</v>
      </c>
      <c r="CL8" s="319">
        <v>0</v>
      </c>
      <c r="CM8" s="319">
        <v>0</v>
      </c>
      <c r="CN8" s="319">
        <f t="shared" si="13"/>
        <v>25589025</v>
      </c>
      <c r="CO8" s="319">
        <f t="shared" si="33"/>
        <v>0</v>
      </c>
      <c r="CP8" s="319">
        <v>25589025</v>
      </c>
      <c r="CQ8" s="319"/>
      <c r="CR8" s="319"/>
      <c r="CS8" s="319">
        <f t="shared" si="14"/>
        <v>25589025</v>
      </c>
      <c r="CT8" s="319">
        <f t="shared" si="34"/>
        <v>0</v>
      </c>
      <c r="CU8" s="319">
        <v>25589025</v>
      </c>
      <c r="CV8" s="319">
        <v>0</v>
      </c>
      <c r="CW8" s="319">
        <v>0</v>
      </c>
      <c r="CX8" s="319">
        <f t="shared" si="15"/>
        <v>25589025</v>
      </c>
      <c r="CY8" s="319">
        <f t="shared" si="35"/>
        <v>0</v>
      </c>
      <c r="CZ8" s="319"/>
      <c r="DA8" s="319"/>
      <c r="DB8" s="319"/>
      <c r="DC8" s="12">
        <f t="shared" si="36"/>
        <v>2558902.5</v>
      </c>
      <c r="DD8" s="12">
        <v>0.5</v>
      </c>
      <c r="DE8" s="13">
        <f t="shared" si="37"/>
        <v>2558902</v>
      </c>
      <c r="DF8" s="14">
        <f t="shared" si="38"/>
        <v>2558902</v>
      </c>
      <c r="DG8" s="13">
        <f t="shared" si="16"/>
        <v>28147927</v>
      </c>
      <c r="DH8" s="15">
        <f t="shared" si="39"/>
        <v>2.0016494110077852</v>
      </c>
      <c r="DI8" s="16">
        <f t="shared" si="17"/>
        <v>25589025</v>
      </c>
      <c r="DJ8" s="132">
        <f t="shared" si="40"/>
        <v>28147927.500000004</v>
      </c>
      <c r="DK8" s="17">
        <f t="shared" si="41"/>
        <v>2558902.5000000037</v>
      </c>
      <c r="DL8" s="17">
        <f t="shared" si="18"/>
        <v>0.5</v>
      </c>
      <c r="DM8" s="16">
        <f t="shared" si="42"/>
        <v>2558902.0000000037</v>
      </c>
      <c r="DN8" s="16">
        <f t="shared" si="19"/>
        <v>3.7252902984619141E-9</v>
      </c>
      <c r="DO8" s="16">
        <f t="shared" si="43"/>
        <v>28147927.000000004</v>
      </c>
      <c r="DP8" s="16">
        <f t="shared" si="20"/>
        <v>0</v>
      </c>
      <c r="DQ8" s="9">
        <v>28147927</v>
      </c>
      <c r="DR8" s="18" t="s">
        <v>238</v>
      </c>
      <c r="DS8" s="18" t="s">
        <v>238</v>
      </c>
      <c r="DT8" s="324">
        <f t="shared" si="44"/>
        <v>28147927</v>
      </c>
      <c r="DU8" s="321">
        <f t="shared" si="45"/>
        <v>28147927</v>
      </c>
      <c r="DV8" s="19">
        <f t="shared" si="46"/>
        <v>0</v>
      </c>
      <c r="DW8" s="9">
        <v>28147927</v>
      </c>
      <c r="DX8" s="18"/>
      <c r="DY8" s="18"/>
      <c r="DZ8" s="324">
        <f t="shared" si="47"/>
        <v>28147927</v>
      </c>
      <c r="EA8" s="321">
        <f t="shared" si="48"/>
        <v>28147927</v>
      </c>
      <c r="EB8" s="179">
        <f t="shared" si="49"/>
        <v>0</v>
      </c>
      <c r="EC8" s="9">
        <v>28147927</v>
      </c>
      <c r="ED8" s="18" t="s">
        <v>238</v>
      </c>
      <c r="EE8" s="18" t="s">
        <v>238</v>
      </c>
      <c r="EF8" s="324">
        <f t="shared" si="50"/>
        <v>28147927</v>
      </c>
      <c r="EG8" s="321">
        <f t="shared" si="51"/>
        <v>28147927</v>
      </c>
      <c r="EH8" s="179">
        <f t="shared" si="52"/>
        <v>0</v>
      </c>
      <c r="EI8" s="9">
        <v>28147927</v>
      </c>
      <c r="EJ8" s="18" t="s">
        <v>238</v>
      </c>
      <c r="EK8" s="18" t="s">
        <v>238</v>
      </c>
      <c r="EL8" s="324">
        <f t="shared" si="53"/>
        <v>28147927</v>
      </c>
      <c r="EM8" s="321">
        <f t="shared" si="54"/>
        <v>28147927</v>
      </c>
      <c r="EN8" s="179">
        <f t="shared" si="55"/>
        <v>0</v>
      </c>
      <c r="EO8" s="9">
        <v>28147927</v>
      </c>
      <c r="EP8" s="18" t="s">
        <v>238</v>
      </c>
      <c r="EQ8" s="18" t="s">
        <v>238</v>
      </c>
      <c r="ER8" s="324">
        <f t="shared" si="56"/>
        <v>28147927</v>
      </c>
      <c r="ES8" s="321">
        <f t="shared" si="57"/>
        <v>28147927</v>
      </c>
      <c r="ET8" s="179">
        <f t="shared" si="58"/>
        <v>0</v>
      </c>
      <c r="EU8" s="9">
        <v>28147927</v>
      </c>
      <c r="EV8" s="18" t="s">
        <v>238</v>
      </c>
      <c r="EW8" s="18" t="s">
        <v>238</v>
      </c>
      <c r="EX8" s="324">
        <f t="shared" si="59"/>
        <v>28147927</v>
      </c>
      <c r="EY8" s="321">
        <f t="shared" si="60"/>
        <v>28147927</v>
      </c>
      <c r="EZ8" s="179">
        <f t="shared" si="61"/>
        <v>0</v>
      </c>
      <c r="FA8" s="9">
        <v>28147927</v>
      </c>
      <c r="FB8" s="18" t="s">
        <v>238</v>
      </c>
      <c r="FC8" s="18" t="s">
        <v>238</v>
      </c>
      <c r="FD8" s="324">
        <f t="shared" si="62"/>
        <v>28147927</v>
      </c>
      <c r="FE8" s="321">
        <f t="shared" si="63"/>
        <v>28147927</v>
      </c>
      <c r="FF8" s="179">
        <f t="shared" si="64"/>
        <v>0</v>
      </c>
      <c r="FG8" s="9">
        <v>28147927</v>
      </c>
      <c r="FH8" s="18" t="s">
        <v>238</v>
      </c>
      <c r="FI8" s="18" t="s">
        <v>238</v>
      </c>
      <c r="FJ8" s="324">
        <f t="shared" si="65"/>
        <v>28147927</v>
      </c>
      <c r="FK8" s="321">
        <f t="shared" si="66"/>
        <v>28147927</v>
      </c>
      <c r="FL8" s="179">
        <f t="shared" si="67"/>
        <v>0</v>
      </c>
      <c r="FM8" s="9">
        <v>28147927</v>
      </c>
      <c r="FN8" s="18" t="s">
        <v>238</v>
      </c>
      <c r="FO8" s="18" t="s">
        <v>238</v>
      </c>
      <c r="FP8" s="324">
        <f t="shared" si="68"/>
        <v>28147927</v>
      </c>
      <c r="FQ8" s="321">
        <f t="shared" si="69"/>
        <v>28147927</v>
      </c>
      <c r="FR8" s="179">
        <f t="shared" si="70"/>
        <v>0</v>
      </c>
      <c r="FS8" s="9">
        <v>28147927</v>
      </c>
      <c r="FT8" s="18" t="s">
        <v>238</v>
      </c>
      <c r="FU8" s="18" t="s">
        <v>238</v>
      </c>
      <c r="FV8" s="324">
        <f t="shared" si="71"/>
        <v>28147927</v>
      </c>
      <c r="FW8" s="321">
        <f t="shared" si="72"/>
        <v>28147927</v>
      </c>
      <c r="FX8" s="179">
        <f t="shared" si="73"/>
        <v>0</v>
      </c>
      <c r="FY8" s="9">
        <v>28147927</v>
      </c>
      <c r="FZ8" s="18" t="s">
        <v>238</v>
      </c>
      <c r="GA8" s="18" t="s">
        <v>238</v>
      </c>
      <c r="GB8" s="324">
        <f t="shared" si="74"/>
        <v>28147927</v>
      </c>
      <c r="GC8" s="321">
        <f t="shared" si="75"/>
        <v>28147927</v>
      </c>
      <c r="GD8" s="179">
        <f t="shared" si="76"/>
        <v>0</v>
      </c>
      <c r="GE8" s="9">
        <v>28147927</v>
      </c>
      <c r="GF8" s="18" t="s">
        <v>238</v>
      </c>
      <c r="GG8" s="18" t="s">
        <v>238</v>
      </c>
      <c r="GH8" s="324">
        <f t="shared" si="77"/>
        <v>28147927</v>
      </c>
      <c r="GI8" s="321">
        <f t="shared" si="78"/>
        <v>28147927</v>
      </c>
      <c r="GJ8" s="179">
        <f t="shared" si="79"/>
        <v>0</v>
      </c>
      <c r="GK8" s="9">
        <v>28147927</v>
      </c>
      <c r="GL8" s="18" t="s">
        <v>238</v>
      </c>
      <c r="GM8" s="18" t="s">
        <v>238</v>
      </c>
      <c r="GN8" s="324">
        <f t="shared" si="80"/>
        <v>28147927</v>
      </c>
      <c r="GO8" s="321">
        <f t="shared" si="81"/>
        <v>28147927</v>
      </c>
      <c r="GP8" s="179">
        <f t="shared" si="82"/>
        <v>0</v>
      </c>
      <c r="GQ8" s="9">
        <v>28147927</v>
      </c>
      <c r="GR8" s="18" t="s">
        <v>238</v>
      </c>
      <c r="GS8" s="18" t="s">
        <v>238</v>
      </c>
      <c r="GT8" s="324">
        <f t="shared" si="83"/>
        <v>28147927</v>
      </c>
      <c r="GU8" s="321">
        <f t="shared" si="84"/>
        <v>28147927</v>
      </c>
      <c r="GV8" s="179">
        <f t="shared" si="85"/>
        <v>0</v>
      </c>
      <c r="GW8" s="9">
        <v>29555323</v>
      </c>
      <c r="GX8" s="18" t="s">
        <v>238</v>
      </c>
      <c r="GY8" s="18" t="s">
        <v>238</v>
      </c>
      <c r="GZ8" s="324">
        <f t="shared" si="86"/>
        <v>29555323</v>
      </c>
      <c r="HA8" s="321">
        <f t="shared" si="87"/>
        <v>29555323</v>
      </c>
      <c r="HB8" s="179">
        <f t="shared" si="88"/>
        <v>1407396</v>
      </c>
      <c r="HC8" s="102">
        <f t="shared" si="89"/>
        <v>2.0016493754518923</v>
      </c>
      <c r="HD8" s="285">
        <f t="shared" si="90"/>
        <v>0</v>
      </c>
      <c r="HE8" s="12">
        <f t="shared" si="91"/>
        <v>1407396.35</v>
      </c>
      <c r="HF8" s="12">
        <f t="shared" si="92"/>
        <v>0.35000000009313226</v>
      </c>
      <c r="HG8" s="12">
        <f t="shared" si="93"/>
        <v>1407396</v>
      </c>
      <c r="HH8" s="14">
        <f t="shared" si="94"/>
        <v>1407396</v>
      </c>
      <c r="HI8" s="13">
        <f t="shared" si="95"/>
        <v>29555323</v>
      </c>
      <c r="HJ8" s="102">
        <f t="shared" si="96"/>
        <v>2.1017318193353614</v>
      </c>
      <c r="HK8" s="16">
        <f t="shared" si="97"/>
        <v>28147927</v>
      </c>
      <c r="HL8" s="103">
        <f t="shared" si="98"/>
        <v>29555323.350000001</v>
      </c>
      <c r="HM8" s="103">
        <f t="shared" si="99"/>
        <v>1407396.3500000015</v>
      </c>
      <c r="HN8" s="17">
        <f t="shared" si="100"/>
        <v>0.35000000009313226</v>
      </c>
      <c r="HO8" s="56">
        <f t="shared" si="101"/>
        <v>1407396.0000000014</v>
      </c>
      <c r="HP8" s="16">
        <f t="shared" si="102"/>
        <v>0</v>
      </c>
      <c r="HQ8" s="16">
        <f t="shared" si="103"/>
        <v>29555323</v>
      </c>
      <c r="HR8" s="16">
        <f t="shared" si="104"/>
        <v>0</v>
      </c>
    </row>
    <row r="9" spans="1:226" x14ac:dyDescent="0.3">
      <c r="A9" s="310">
        <v>6</v>
      </c>
      <c r="B9" s="303" t="s">
        <v>368</v>
      </c>
      <c r="C9" s="310" t="s">
        <v>302</v>
      </c>
      <c r="D9" s="21" t="s">
        <v>229</v>
      </c>
      <c r="E9" s="22">
        <v>0</v>
      </c>
      <c r="F9" s="9">
        <v>23210000</v>
      </c>
      <c r="G9" s="9">
        <v>0</v>
      </c>
      <c r="H9" s="324"/>
      <c r="I9" s="324">
        <v>23210000</v>
      </c>
      <c r="J9" s="324">
        <v>23210000</v>
      </c>
      <c r="K9" s="324"/>
      <c r="L9" s="324">
        <v>23210000</v>
      </c>
      <c r="M9" s="23">
        <v>23210000</v>
      </c>
      <c r="N9" s="23">
        <v>23210000</v>
      </c>
      <c r="O9" s="298">
        <v>23210000</v>
      </c>
      <c r="P9" s="298">
        <v>23210000</v>
      </c>
      <c r="Q9" s="298">
        <v>23210000</v>
      </c>
      <c r="R9" s="298">
        <v>23210000</v>
      </c>
      <c r="S9" s="298">
        <v>23210000</v>
      </c>
      <c r="T9" s="298">
        <v>23210000</v>
      </c>
      <c r="U9" s="298">
        <f t="shared" si="0"/>
        <v>1160500</v>
      </c>
      <c r="V9" s="298">
        <f t="shared" si="1"/>
        <v>24370500</v>
      </c>
      <c r="W9" s="298">
        <v>24370500</v>
      </c>
      <c r="X9" s="298">
        <v>24370500</v>
      </c>
      <c r="Y9" s="298">
        <v>24370500</v>
      </c>
      <c r="Z9" s="298">
        <v>24370500</v>
      </c>
      <c r="AA9" s="298">
        <v>24370500</v>
      </c>
      <c r="AB9" s="298">
        <v>24370500</v>
      </c>
      <c r="AC9" s="9">
        <v>0</v>
      </c>
      <c r="AD9" s="9">
        <v>0</v>
      </c>
      <c r="AE9" s="298">
        <f t="shared" si="2"/>
        <v>24370500</v>
      </c>
      <c r="AF9" s="298">
        <v>24370500</v>
      </c>
      <c r="AG9" s="9">
        <v>0</v>
      </c>
      <c r="AH9" s="9">
        <v>0</v>
      </c>
      <c r="AI9" s="298">
        <f t="shared" si="3"/>
        <v>24370500</v>
      </c>
      <c r="AJ9" s="298">
        <v>24370500</v>
      </c>
      <c r="AK9" s="9">
        <v>0</v>
      </c>
      <c r="AL9" s="9">
        <v>0</v>
      </c>
      <c r="AM9" s="298">
        <f t="shared" si="4"/>
        <v>24370500</v>
      </c>
      <c r="AN9" s="298">
        <v>24370500</v>
      </c>
      <c r="AO9" s="9">
        <v>0</v>
      </c>
      <c r="AP9" s="9">
        <v>0</v>
      </c>
      <c r="AQ9" s="298">
        <f t="shared" si="5"/>
        <v>24370500</v>
      </c>
      <c r="AR9" s="298">
        <v>24370500</v>
      </c>
      <c r="AS9" s="9">
        <v>0</v>
      </c>
      <c r="AT9" s="9">
        <v>0</v>
      </c>
      <c r="AU9" s="298">
        <f t="shared" si="6"/>
        <v>24370500</v>
      </c>
      <c r="AV9" s="298">
        <v>24370500</v>
      </c>
      <c r="AW9" s="9">
        <v>0</v>
      </c>
      <c r="AX9" s="9">
        <v>0</v>
      </c>
      <c r="AY9" s="7">
        <f t="shared" si="7"/>
        <v>24370500</v>
      </c>
      <c r="AZ9" s="8">
        <f t="shared" si="21"/>
        <v>1218525</v>
      </c>
      <c r="BA9" s="8"/>
      <c r="BB9" s="8">
        <f t="shared" si="22"/>
        <v>1218525</v>
      </c>
      <c r="BC9" s="8">
        <f t="shared" si="23"/>
        <v>25589025</v>
      </c>
      <c r="BD9" s="8"/>
      <c r="BE9" s="8">
        <f t="shared" si="24"/>
        <v>25589025</v>
      </c>
      <c r="BF9" s="10">
        <f t="shared" si="25"/>
        <v>1218525</v>
      </c>
      <c r="BG9" s="11">
        <f t="shared" si="26"/>
        <v>0</v>
      </c>
      <c r="BH9" s="319">
        <v>25589025</v>
      </c>
      <c r="BI9" s="319">
        <v>0</v>
      </c>
      <c r="BJ9" s="319">
        <v>0</v>
      </c>
      <c r="BK9" s="319">
        <f t="shared" si="27"/>
        <v>25589025</v>
      </c>
      <c r="BL9" s="319">
        <v>25589025</v>
      </c>
      <c r="BM9" s="319">
        <v>0</v>
      </c>
      <c r="BN9" s="319">
        <v>0</v>
      </c>
      <c r="BO9" s="319">
        <f t="shared" si="8"/>
        <v>25589025</v>
      </c>
      <c r="BP9" s="319">
        <f t="shared" si="28"/>
        <v>0</v>
      </c>
      <c r="BQ9" s="319">
        <v>25589025</v>
      </c>
      <c r="BR9" s="319">
        <v>0</v>
      </c>
      <c r="BS9" s="319">
        <v>0</v>
      </c>
      <c r="BT9" s="319">
        <f t="shared" si="9"/>
        <v>25589025</v>
      </c>
      <c r="BU9" s="319">
        <f t="shared" si="29"/>
        <v>0</v>
      </c>
      <c r="BV9" s="319">
        <v>25589025</v>
      </c>
      <c r="BW9" s="319">
        <v>0</v>
      </c>
      <c r="BX9" s="319">
        <v>0</v>
      </c>
      <c r="BY9" s="319">
        <f t="shared" si="10"/>
        <v>25589025</v>
      </c>
      <c r="BZ9" s="319">
        <f t="shared" si="30"/>
        <v>0</v>
      </c>
      <c r="CA9" s="319">
        <v>25589025</v>
      </c>
      <c r="CB9" s="319">
        <v>0</v>
      </c>
      <c r="CC9" s="319">
        <v>0</v>
      </c>
      <c r="CD9" s="319">
        <f t="shared" si="11"/>
        <v>25589025</v>
      </c>
      <c r="CE9" s="319">
        <f t="shared" si="31"/>
        <v>0</v>
      </c>
      <c r="CF9" s="319">
        <v>25589025</v>
      </c>
      <c r="CG9" s="319">
        <v>0</v>
      </c>
      <c r="CH9" s="319">
        <v>0</v>
      </c>
      <c r="CI9" s="319">
        <f t="shared" si="12"/>
        <v>25589025</v>
      </c>
      <c r="CJ9" s="319">
        <f t="shared" si="32"/>
        <v>0</v>
      </c>
      <c r="CK9" s="319">
        <v>25589025</v>
      </c>
      <c r="CL9" s="319">
        <v>0</v>
      </c>
      <c r="CM9" s="319">
        <v>0</v>
      </c>
      <c r="CN9" s="319">
        <f t="shared" si="13"/>
        <v>25589025</v>
      </c>
      <c r="CO9" s="319">
        <f t="shared" si="33"/>
        <v>0</v>
      </c>
      <c r="CP9" s="319">
        <v>25589025</v>
      </c>
      <c r="CQ9" s="319"/>
      <c r="CR9" s="319"/>
      <c r="CS9" s="319">
        <f t="shared" si="14"/>
        <v>25589025</v>
      </c>
      <c r="CT9" s="319">
        <f t="shared" si="34"/>
        <v>0</v>
      </c>
      <c r="CU9" s="319">
        <v>25589025</v>
      </c>
      <c r="CV9" s="319">
        <v>0</v>
      </c>
      <c r="CW9" s="319">
        <v>0</v>
      </c>
      <c r="CX9" s="319">
        <f t="shared" si="15"/>
        <v>25589025</v>
      </c>
      <c r="CY9" s="319">
        <f t="shared" si="35"/>
        <v>0</v>
      </c>
      <c r="CZ9" s="319"/>
      <c r="DA9" s="319"/>
      <c r="DB9" s="319"/>
      <c r="DC9" s="12">
        <f t="shared" si="36"/>
        <v>2558902.5</v>
      </c>
      <c r="DD9" s="12">
        <v>0.5</v>
      </c>
      <c r="DE9" s="13">
        <f t="shared" si="37"/>
        <v>2558902</v>
      </c>
      <c r="DF9" s="14">
        <f t="shared" si="38"/>
        <v>2558902</v>
      </c>
      <c r="DG9" s="13">
        <f t="shared" si="16"/>
        <v>28147927</v>
      </c>
      <c r="DH9" s="15">
        <f t="shared" si="39"/>
        <v>2.0016494110077852</v>
      </c>
      <c r="DI9" s="16">
        <f t="shared" si="17"/>
        <v>25589025</v>
      </c>
      <c r="DJ9" s="132">
        <f t="shared" si="40"/>
        <v>28147927.500000004</v>
      </c>
      <c r="DK9" s="17">
        <f t="shared" si="41"/>
        <v>2558902.5000000037</v>
      </c>
      <c r="DL9" s="17">
        <f t="shared" si="18"/>
        <v>0.5</v>
      </c>
      <c r="DM9" s="16">
        <f t="shared" si="42"/>
        <v>2558902.0000000037</v>
      </c>
      <c r="DN9" s="16">
        <f t="shared" si="19"/>
        <v>3.7252902984619141E-9</v>
      </c>
      <c r="DO9" s="16">
        <f t="shared" si="43"/>
        <v>28147927.000000004</v>
      </c>
      <c r="DP9" s="16">
        <f t="shared" si="20"/>
        <v>0</v>
      </c>
      <c r="DQ9" s="9">
        <v>28147927</v>
      </c>
      <c r="DR9" s="18" t="s">
        <v>238</v>
      </c>
      <c r="DS9" s="18" t="s">
        <v>238</v>
      </c>
      <c r="DT9" s="324">
        <f t="shared" si="44"/>
        <v>28147927</v>
      </c>
      <c r="DU9" s="321">
        <f t="shared" si="45"/>
        <v>28147927</v>
      </c>
      <c r="DV9" s="19">
        <f t="shared" si="46"/>
        <v>0</v>
      </c>
      <c r="DW9" s="9">
        <v>28147927</v>
      </c>
      <c r="DX9" s="18"/>
      <c r="DY9" s="18"/>
      <c r="DZ9" s="324">
        <f t="shared" si="47"/>
        <v>28147927</v>
      </c>
      <c r="EA9" s="321">
        <f t="shared" si="48"/>
        <v>28147927</v>
      </c>
      <c r="EB9" s="179">
        <f t="shared" si="49"/>
        <v>0</v>
      </c>
      <c r="EC9" s="9">
        <v>28147927</v>
      </c>
      <c r="ED9" s="18" t="s">
        <v>238</v>
      </c>
      <c r="EE9" s="18" t="s">
        <v>238</v>
      </c>
      <c r="EF9" s="324">
        <f t="shared" si="50"/>
        <v>28147927</v>
      </c>
      <c r="EG9" s="321">
        <f t="shared" si="51"/>
        <v>28147927</v>
      </c>
      <c r="EH9" s="179">
        <f t="shared" si="52"/>
        <v>0</v>
      </c>
      <c r="EI9" s="9">
        <v>28147927</v>
      </c>
      <c r="EJ9" s="18" t="s">
        <v>238</v>
      </c>
      <c r="EK9" s="18" t="s">
        <v>238</v>
      </c>
      <c r="EL9" s="324">
        <f t="shared" si="53"/>
        <v>28147927</v>
      </c>
      <c r="EM9" s="321">
        <f t="shared" si="54"/>
        <v>28147927</v>
      </c>
      <c r="EN9" s="179">
        <f t="shared" si="55"/>
        <v>0</v>
      </c>
      <c r="EO9" s="9">
        <v>28147927</v>
      </c>
      <c r="EP9" s="18" t="s">
        <v>238</v>
      </c>
      <c r="EQ9" s="18" t="s">
        <v>238</v>
      </c>
      <c r="ER9" s="324">
        <f t="shared" si="56"/>
        <v>28147927</v>
      </c>
      <c r="ES9" s="321">
        <f t="shared" si="57"/>
        <v>28147927</v>
      </c>
      <c r="ET9" s="179">
        <f t="shared" si="58"/>
        <v>0</v>
      </c>
      <c r="EU9" s="9">
        <v>28147927</v>
      </c>
      <c r="EV9" s="18" t="s">
        <v>238</v>
      </c>
      <c r="EW9" s="18" t="s">
        <v>238</v>
      </c>
      <c r="EX9" s="324">
        <f t="shared" si="59"/>
        <v>28147927</v>
      </c>
      <c r="EY9" s="321">
        <f t="shared" si="60"/>
        <v>28147927</v>
      </c>
      <c r="EZ9" s="179">
        <f t="shared" si="61"/>
        <v>0</v>
      </c>
      <c r="FA9" s="9">
        <v>28147927</v>
      </c>
      <c r="FB9" s="18" t="s">
        <v>238</v>
      </c>
      <c r="FC9" s="18" t="s">
        <v>238</v>
      </c>
      <c r="FD9" s="324">
        <f t="shared" si="62"/>
        <v>28147927</v>
      </c>
      <c r="FE9" s="321">
        <f t="shared" si="63"/>
        <v>28147927</v>
      </c>
      <c r="FF9" s="179">
        <f t="shared" si="64"/>
        <v>0</v>
      </c>
      <c r="FG9" s="9">
        <v>28147927</v>
      </c>
      <c r="FH9" s="18" t="s">
        <v>238</v>
      </c>
      <c r="FI9" s="18" t="s">
        <v>238</v>
      </c>
      <c r="FJ9" s="324">
        <f t="shared" si="65"/>
        <v>28147927</v>
      </c>
      <c r="FK9" s="321">
        <f t="shared" si="66"/>
        <v>28147927</v>
      </c>
      <c r="FL9" s="179">
        <f t="shared" si="67"/>
        <v>0</v>
      </c>
      <c r="FM9" s="9">
        <v>28147927</v>
      </c>
      <c r="FN9" s="18" t="s">
        <v>238</v>
      </c>
      <c r="FO9" s="18" t="s">
        <v>238</v>
      </c>
      <c r="FP9" s="324">
        <f t="shared" si="68"/>
        <v>28147927</v>
      </c>
      <c r="FQ9" s="321">
        <f t="shared" si="69"/>
        <v>28147927</v>
      </c>
      <c r="FR9" s="179">
        <f t="shared" si="70"/>
        <v>0</v>
      </c>
      <c r="FS9" s="9">
        <v>28147927</v>
      </c>
      <c r="FT9" s="18" t="s">
        <v>238</v>
      </c>
      <c r="FU9" s="18" t="s">
        <v>238</v>
      </c>
      <c r="FV9" s="324">
        <f t="shared" si="71"/>
        <v>28147927</v>
      </c>
      <c r="FW9" s="321">
        <f t="shared" si="72"/>
        <v>28147927</v>
      </c>
      <c r="FX9" s="179">
        <f t="shared" si="73"/>
        <v>0</v>
      </c>
      <c r="FY9" s="9">
        <v>28147927</v>
      </c>
      <c r="FZ9" s="18" t="s">
        <v>238</v>
      </c>
      <c r="GA9" s="18" t="s">
        <v>238</v>
      </c>
      <c r="GB9" s="324">
        <f t="shared" si="74"/>
        <v>28147927</v>
      </c>
      <c r="GC9" s="321">
        <f t="shared" si="75"/>
        <v>28147927</v>
      </c>
      <c r="GD9" s="179">
        <f t="shared" si="76"/>
        <v>0</v>
      </c>
      <c r="GE9" s="9">
        <v>28147927</v>
      </c>
      <c r="GF9" s="18" t="s">
        <v>238</v>
      </c>
      <c r="GG9" s="18" t="s">
        <v>238</v>
      </c>
      <c r="GH9" s="324">
        <f t="shared" si="77"/>
        <v>28147927</v>
      </c>
      <c r="GI9" s="321">
        <f t="shared" si="78"/>
        <v>28147927</v>
      </c>
      <c r="GJ9" s="179">
        <f t="shared" si="79"/>
        <v>0</v>
      </c>
      <c r="GK9" s="9">
        <v>28147927</v>
      </c>
      <c r="GL9" s="18" t="s">
        <v>238</v>
      </c>
      <c r="GM9" s="18" t="s">
        <v>238</v>
      </c>
      <c r="GN9" s="324">
        <f t="shared" si="80"/>
        <v>28147927</v>
      </c>
      <c r="GO9" s="321">
        <f t="shared" si="81"/>
        <v>28147927</v>
      </c>
      <c r="GP9" s="179">
        <f t="shared" si="82"/>
        <v>0</v>
      </c>
      <c r="GQ9" s="9">
        <v>28147927</v>
      </c>
      <c r="GR9" s="18" t="s">
        <v>238</v>
      </c>
      <c r="GS9" s="18" t="s">
        <v>238</v>
      </c>
      <c r="GT9" s="324">
        <f t="shared" si="83"/>
        <v>28147927</v>
      </c>
      <c r="GU9" s="321">
        <f t="shared" si="84"/>
        <v>28147927</v>
      </c>
      <c r="GV9" s="179">
        <f t="shared" si="85"/>
        <v>0</v>
      </c>
      <c r="GW9" s="9">
        <v>29555323</v>
      </c>
      <c r="GX9" s="18" t="s">
        <v>238</v>
      </c>
      <c r="GY9" s="18" t="s">
        <v>238</v>
      </c>
      <c r="GZ9" s="324">
        <f t="shared" si="86"/>
        <v>29555323</v>
      </c>
      <c r="HA9" s="321">
        <f t="shared" si="87"/>
        <v>29555323</v>
      </c>
      <c r="HB9" s="179">
        <f t="shared" si="88"/>
        <v>1407396</v>
      </c>
      <c r="HC9" s="102">
        <f t="shared" si="89"/>
        <v>2.0016493754518923</v>
      </c>
      <c r="HD9" s="285">
        <f t="shared" si="90"/>
        <v>0</v>
      </c>
      <c r="HE9" s="12">
        <f t="shared" si="91"/>
        <v>1407396.35</v>
      </c>
      <c r="HF9" s="12">
        <f t="shared" si="92"/>
        <v>0.35000000009313226</v>
      </c>
      <c r="HG9" s="12">
        <f t="shared" si="93"/>
        <v>1407396</v>
      </c>
      <c r="HH9" s="14">
        <f t="shared" si="94"/>
        <v>1407396</v>
      </c>
      <c r="HI9" s="13">
        <f t="shared" si="95"/>
        <v>29555323</v>
      </c>
      <c r="HJ9" s="102">
        <f t="shared" si="96"/>
        <v>2.1017318193353614</v>
      </c>
      <c r="HK9" s="16">
        <f t="shared" si="97"/>
        <v>28147927</v>
      </c>
      <c r="HL9" s="103">
        <f t="shared" si="98"/>
        <v>29555323.350000001</v>
      </c>
      <c r="HM9" s="103">
        <f t="shared" si="99"/>
        <v>1407396.3500000015</v>
      </c>
      <c r="HN9" s="17">
        <f t="shared" si="100"/>
        <v>0.35000000009313226</v>
      </c>
      <c r="HO9" s="56">
        <f t="shared" si="101"/>
        <v>1407396.0000000014</v>
      </c>
      <c r="HP9" s="16">
        <f t="shared" si="102"/>
        <v>0</v>
      </c>
      <c r="HQ9" s="16">
        <f t="shared" si="103"/>
        <v>29555323</v>
      </c>
      <c r="HR9" s="16">
        <f t="shared" si="104"/>
        <v>0</v>
      </c>
    </row>
    <row r="10" spans="1:226" x14ac:dyDescent="0.3">
      <c r="A10" s="310">
        <v>7</v>
      </c>
      <c r="B10" s="303" t="s">
        <v>369</v>
      </c>
      <c r="C10" s="310" t="s">
        <v>294</v>
      </c>
      <c r="D10" s="21" t="s">
        <v>230</v>
      </c>
      <c r="E10" s="22">
        <v>0</v>
      </c>
      <c r="F10" s="9">
        <v>23200000</v>
      </c>
      <c r="G10" s="9">
        <v>0</v>
      </c>
      <c r="H10" s="324"/>
      <c r="I10" s="324">
        <v>23200000</v>
      </c>
      <c r="J10" s="324">
        <v>23200000</v>
      </c>
      <c r="K10" s="324"/>
      <c r="L10" s="324">
        <v>23200000</v>
      </c>
      <c r="M10" s="23">
        <v>23200000</v>
      </c>
      <c r="N10" s="23">
        <v>23200000</v>
      </c>
      <c r="O10" s="298">
        <v>23200000</v>
      </c>
      <c r="P10" s="298">
        <v>23200000</v>
      </c>
      <c r="Q10" s="298">
        <v>23200000</v>
      </c>
      <c r="R10" s="298">
        <v>23200000</v>
      </c>
      <c r="S10" s="298">
        <v>23200000</v>
      </c>
      <c r="T10" s="298">
        <v>23200000</v>
      </c>
      <c r="U10" s="298">
        <f t="shared" si="0"/>
        <v>1160000</v>
      </c>
      <c r="V10" s="298">
        <f t="shared" si="1"/>
        <v>24360000</v>
      </c>
      <c r="W10" s="298">
        <v>24360000</v>
      </c>
      <c r="X10" s="298">
        <v>24360000</v>
      </c>
      <c r="Y10" s="298">
        <v>24360000</v>
      </c>
      <c r="Z10" s="298">
        <v>24360000</v>
      </c>
      <c r="AA10" s="298">
        <v>24360000</v>
      </c>
      <c r="AB10" s="298">
        <v>24360000</v>
      </c>
      <c r="AC10" s="9">
        <v>0</v>
      </c>
      <c r="AD10" s="9">
        <v>0</v>
      </c>
      <c r="AE10" s="298">
        <f t="shared" si="2"/>
        <v>24360000</v>
      </c>
      <c r="AF10" s="298">
        <v>24360000</v>
      </c>
      <c r="AG10" s="9">
        <v>0</v>
      </c>
      <c r="AH10" s="9">
        <v>0</v>
      </c>
      <c r="AI10" s="298">
        <f t="shared" si="3"/>
        <v>24360000</v>
      </c>
      <c r="AJ10" s="298">
        <v>24360000</v>
      </c>
      <c r="AK10" s="9">
        <v>0</v>
      </c>
      <c r="AL10" s="9">
        <v>0</v>
      </c>
      <c r="AM10" s="298">
        <f t="shared" si="4"/>
        <v>24360000</v>
      </c>
      <c r="AN10" s="298">
        <v>24360000</v>
      </c>
      <c r="AO10" s="9">
        <v>0</v>
      </c>
      <c r="AP10" s="9">
        <v>0</v>
      </c>
      <c r="AQ10" s="298">
        <f t="shared" si="5"/>
        <v>24360000</v>
      </c>
      <c r="AR10" s="298">
        <v>24360000</v>
      </c>
      <c r="AS10" s="9">
        <v>0</v>
      </c>
      <c r="AT10" s="9">
        <v>0</v>
      </c>
      <c r="AU10" s="298">
        <f t="shared" si="6"/>
        <v>24360000</v>
      </c>
      <c r="AV10" s="298">
        <v>24360000</v>
      </c>
      <c r="AW10" s="9">
        <v>0</v>
      </c>
      <c r="AX10" s="9">
        <v>0</v>
      </c>
      <c r="AY10" s="7">
        <f t="shared" si="7"/>
        <v>24360000</v>
      </c>
      <c r="AZ10" s="8">
        <f t="shared" si="21"/>
        <v>1218000</v>
      </c>
      <c r="BA10" s="8"/>
      <c r="BB10" s="8">
        <f t="shared" si="22"/>
        <v>1218000</v>
      </c>
      <c r="BC10" s="8">
        <f t="shared" si="23"/>
        <v>25578000</v>
      </c>
      <c r="BD10" s="8"/>
      <c r="BE10" s="8">
        <f t="shared" si="24"/>
        <v>25578000</v>
      </c>
      <c r="BF10" s="10">
        <f t="shared" si="25"/>
        <v>1218000</v>
      </c>
      <c r="BG10" s="11">
        <f t="shared" si="26"/>
        <v>0</v>
      </c>
      <c r="BH10" s="319">
        <v>25578000</v>
      </c>
      <c r="BI10" s="319">
        <v>0</v>
      </c>
      <c r="BJ10" s="319">
        <v>0</v>
      </c>
      <c r="BK10" s="319">
        <f t="shared" si="27"/>
        <v>25578000</v>
      </c>
      <c r="BL10" s="319">
        <v>25578000</v>
      </c>
      <c r="BM10" s="319">
        <v>0</v>
      </c>
      <c r="BN10" s="319">
        <v>0</v>
      </c>
      <c r="BO10" s="319">
        <f t="shared" si="8"/>
        <v>25578000</v>
      </c>
      <c r="BP10" s="319">
        <f t="shared" si="28"/>
        <v>0</v>
      </c>
      <c r="BQ10" s="319">
        <v>25578000</v>
      </c>
      <c r="BR10" s="319">
        <v>0</v>
      </c>
      <c r="BS10" s="319">
        <v>0</v>
      </c>
      <c r="BT10" s="319">
        <f t="shared" si="9"/>
        <v>25578000</v>
      </c>
      <c r="BU10" s="319">
        <f t="shared" si="29"/>
        <v>0</v>
      </c>
      <c r="BV10" s="319">
        <v>25578000</v>
      </c>
      <c r="BW10" s="319">
        <v>0</v>
      </c>
      <c r="BX10" s="319">
        <v>0</v>
      </c>
      <c r="BY10" s="319">
        <f t="shared" si="10"/>
        <v>25578000</v>
      </c>
      <c r="BZ10" s="319">
        <f t="shared" si="30"/>
        <v>0</v>
      </c>
      <c r="CA10" s="319">
        <v>25578000</v>
      </c>
      <c r="CB10" s="319">
        <v>0</v>
      </c>
      <c r="CC10" s="319">
        <v>0</v>
      </c>
      <c r="CD10" s="319">
        <f t="shared" si="11"/>
        <v>25578000</v>
      </c>
      <c r="CE10" s="319">
        <f t="shared" si="31"/>
        <v>0</v>
      </c>
      <c r="CF10" s="319">
        <v>25578000</v>
      </c>
      <c r="CG10" s="319">
        <v>0</v>
      </c>
      <c r="CH10" s="319">
        <v>0</v>
      </c>
      <c r="CI10" s="319">
        <f t="shared" si="12"/>
        <v>25578000</v>
      </c>
      <c r="CJ10" s="319">
        <f t="shared" si="32"/>
        <v>0</v>
      </c>
      <c r="CK10" s="319">
        <v>25578000</v>
      </c>
      <c r="CL10" s="319">
        <v>0</v>
      </c>
      <c r="CM10" s="319">
        <v>0</v>
      </c>
      <c r="CN10" s="319">
        <f t="shared" si="13"/>
        <v>25578000</v>
      </c>
      <c r="CO10" s="319">
        <f t="shared" si="33"/>
        <v>0</v>
      </c>
      <c r="CP10" s="319">
        <v>25578000</v>
      </c>
      <c r="CQ10" s="319"/>
      <c r="CR10" s="319"/>
      <c r="CS10" s="319">
        <f t="shared" si="14"/>
        <v>25578000</v>
      </c>
      <c r="CT10" s="319">
        <f t="shared" si="34"/>
        <v>0</v>
      </c>
      <c r="CU10" s="319">
        <v>25578000</v>
      </c>
      <c r="CV10" s="319">
        <v>0</v>
      </c>
      <c r="CW10" s="319">
        <v>0</v>
      </c>
      <c r="CX10" s="319">
        <f t="shared" si="15"/>
        <v>25578000</v>
      </c>
      <c r="CY10" s="319">
        <f t="shared" si="35"/>
        <v>0</v>
      </c>
      <c r="CZ10" s="319"/>
      <c r="DA10" s="319"/>
      <c r="DB10" s="319"/>
      <c r="DC10" s="12">
        <f t="shared" si="36"/>
        <v>2557800</v>
      </c>
      <c r="DD10" s="12">
        <v>0</v>
      </c>
      <c r="DE10" s="13">
        <f t="shared" si="37"/>
        <v>2557800</v>
      </c>
      <c r="DF10" s="14">
        <f t="shared" si="38"/>
        <v>2557800</v>
      </c>
      <c r="DG10" s="13">
        <f t="shared" si="16"/>
        <v>28135800</v>
      </c>
      <c r="DH10" s="15">
        <f t="shared" si="39"/>
        <v>2.0007870028169159</v>
      </c>
      <c r="DI10" s="16">
        <f t="shared" si="17"/>
        <v>25578000</v>
      </c>
      <c r="DJ10" s="132">
        <f t="shared" si="40"/>
        <v>28135800.000000004</v>
      </c>
      <c r="DK10" s="17">
        <f t="shared" si="41"/>
        <v>2557800.0000000037</v>
      </c>
      <c r="DL10" s="17">
        <f t="shared" si="18"/>
        <v>0</v>
      </c>
      <c r="DM10" s="16">
        <f t="shared" si="42"/>
        <v>2557800.0000000037</v>
      </c>
      <c r="DN10" s="16">
        <f t="shared" si="19"/>
        <v>3.7252902984619141E-9</v>
      </c>
      <c r="DO10" s="16">
        <f t="shared" si="43"/>
        <v>28135800.000000004</v>
      </c>
      <c r="DP10" s="16">
        <f t="shared" si="20"/>
        <v>0</v>
      </c>
      <c r="DQ10" s="9">
        <v>28135800</v>
      </c>
      <c r="DR10" s="18" t="s">
        <v>238</v>
      </c>
      <c r="DS10" s="18" t="s">
        <v>238</v>
      </c>
      <c r="DT10" s="324">
        <f t="shared" si="44"/>
        <v>28135800</v>
      </c>
      <c r="DU10" s="321">
        <f t="shared" si="45"/>
        <v>28135800</v>
      </c>
      <c r="DV10" s="19">
        <f t="shared" si="46"/>
        <v>0</v>
      </c>
      <c r="DW10" s="9">
        <v>28135800</v>
      </c>
      <c r="DX10" s="18"/>
      <c r="DY10" s="18"/>
      <c r="DZ10" s="324">
        <f t="shared" si="47"/>
        <v>28135800</v>
      </c>
      <c r="EA10" s="321">
        <f t="shared" si="48"/>
        <v>28135800</v>
      </c>
      <c r="EB10" s="179">
        <f t="shared" si="49"/>
        <v>0</v>
      </c>
      <c r="EC10" s="9">
        <v>28135800</v>
      </c>
      <c r="ED10" s="18" t="s">
        <v>238</v>
      </c>
      <c r="EE10" s="18" t="s">
        <v>238</v>
      </c>
      <c r="EF10" s="324">
        <f t="shared" si="50"/>
        <v>28135800</v>
      </c>
      <c r="EG10" s="321">
        <f t="shared" si="51"/>
        <v>28135800</v>
      </c>
      <c r="EH10" s="179">
        <f t="shared" si="52"/>
        <v>0</v>
      </c>
      <c r="EI10" s="9">
        <v>28135800</v>
      </c>
      <c r="EJ10" s="18" t="s">
        <v>238</v>
      </c>
      <c r="EK10" s="18" t="s">
        <v>238</v>
      </c>
      <c r="EL10" s="324">
        <f t="shared" si="53"/>
        <v>28135800</v>
      </c>
      <c r="EM10" s="321">
        <f t="shared" si="54"/>
        <v>28135800</v>
      </c>
      <c r="EN10" s="179">
        <f t="shared" si="55"/>
        <v>0</v>
      </c>
      <c r="EO10" s="9">
        <v>28135800</v>
      </c>
      <c r="EP10" s="18" t="s">
        <v>238</v>
      </c>
      <c r="EQ10" s="18" t="s">
        <v>238</v>
      </c>
      <c r="ER10" s="324">
        <f t="shared" si="56"/>
        <v>28135800</v>
      </c>
      <c r="ES10" s="321">
        <f t="shared" si="57"/>
        <v>28135800</v>
      </c>
      <c r="ET10" s="179">
        <f t="shared" si="58"/>
        <v>0</v>
      </c>
      <c r="EU10" s="9">
        <v>28135800</v>
      </c>
      <c r="EV10" s="18" t="s">
        <v>238</v>
      </c>
      <c r="EW10" s="18" t="s">
        <v>238</v>
      </c>
      <c r="EX10" s="324">
        <f t="shared" si="59"/>
        <v>28135800</v>
      </c>
      <c r="EY10" s="321">
        <f t="shared" si="60"/>
        <v>28135800</v>
      </c>
      <c r="EZ10" s="179">
        <f t="shared" si="61"/>
        <v>0</v>
      </c>
      <c r="FA10" s="9">
        <v>28135800</v>
      </c>
      <c r="FB10" s="18" t="s">
        <v>238</v>
      </c>
      <c r="FC10" s="18" t="s">
        <v>238</v>
      </c>
      <c r="FD10" s="324">
        <f t="shared" si="62"/>
        <v>28135800</v>
      </c>
      <c r="FE10" s="321">
        <f t="shared" si="63"/>
        <v>28135800</v>
      </c>
      <c r="FF10" s="179">
        <f t="shared" si="64"/>
        <v>0</v>
      </c>
      <c r="FG10" s="9">
        <v>28135800</v>
      </c>
      <c r="FH10" s="18" t="s">
        <v>238</v>
      </c>
      <c r="FI10" s="18" t="s">
        <v>238</v>
      </c>
      <c r="FJ10" s="324">
        <f t="shared" si="65"/>
        <v>28135800</v>
      </c>
      <c r="FK10" s="321">
        <f t="shared" si="66"/>
        <v>28135800</v>
      </c>
      <c r="FL10" s="179">
        <f t="shared" si="67"/>
        <v>0</v>
      </c>
      <c r="FM10" s="9">
        <v>28135800</v>
      </c>
      <c r="FN10" s="18" t="s">
        <v>238</v>
      </c>
      <c r="FO10" s="18" t="s">
        <v>238</v>
      </c>
      <c r="FP10" s="324">
        <f t="shared" si="68"/>
        <v>28135800</v>
      </c>
      <c r="FQ10" s="321">
        <f t="shared" si="69"/>
        <v>28135800</v>
      </c>
      <c r="FR10" s="179">
        <f t="shared" si="70"/>
        <v>0</v>
      </c>
      <c r="FS10" s="9">
        <v>28135800</v>
      </c>
      <c r="FT10" s="18" t="s">
        <v>238</v>
      </c>
      <c r="FU10" s="18" t="s">
        <v>238</v>
      </c>
      <c r="FV10" s="324">
        <f t="shared" si="71"/>
        <v>28135800</v>
      </c>
      <c r="FW10" s="321">
        <f t="shared" si="72"/>
        <v>28135800</v>
      </c>
      <c r="FX10" s="179">
        <f t="shared" si="73"/>
        <v>0</v>
      </c>
      <c r="FY10" s="9">
        <v>28135800</v>
      </c>
      <c r="FZ10" s="18" t="s">
        <v>238</v>
      </c>
      <c r="GA10" s="18" t="s">
        <v>238</v>
      </c>
      <c r="GB10" s="324">
        <f t="shared" si="74"/>
        <v>28135800</v>
      </c>
      <c r="GC10" s="321">
        <f t="shared" si="75"/>
        <v>28135800</v>
      </c>
      <c r="GD10" s="179">
        <f t="shared" si="76"/>
        <v>0</v>
      </c>
      <c r="GE10" s="9">
        <v>28135800</v>
      </c>
      <c r="GF10" s="18" t="s">
        <v>238</v>
      </c>
      <c r="GG10" s="18" t="s">
        <v>238</v>
      </c>
      <c r="GH10" s="324">
        <f t="shared" si="77"/>
        <v>28135800</v>
      </c>
      <c r="GI10" s="321">
        <f t="shared" si="78"/>
        <v>28135800</v>
      </c>
      <c r="GJ10" s="179">
        <f t="shared" si="79"/>
        <v>0</v>
      </c>
      <c r="GK10" s="9">
        <v>28135800</v>
      </c>
      <c r="GL10" s="18" t="s">
        <v>238</v>
      </c>
      <c r="GM10" s="18" t="s">
        <v>238</v>
      </c>
      <c r="GN10" s="324">
        <f t="shared" si="80"/>
        <v>28135800</v>
      </c>
      <c r="GO10" s="321">
        <f t="shared" si="81"/>
        <v>28135800</v>
      </c>
      <c r="GP10" s="179">
        <f t="shared" si="82"/>
        <v>0</v>
      </c>
      <c r="GQ10" s="9">
        <v>28135800</v>
      </c>
      <c r="GR10" s="18" t="s">
        <v>238</v>
      </c>
      <c r="GS10" s="18" t="s">
        <v>238</v>
      </c>
      <c r="GT10" s="324">
        <f t="shared" si="83"/>
        <v>28135800</v>
      </c>
      <c r="GU10" s="321">
        <f t="shared" si="84"/>
        <v>28135800</v>
      </c>
      <c r="GV10" s="179">
        <f t="shared" si="85"/>
        <v>0</v>
      </c>
      <c r="GW10" s="9">
        <v>29542590</v>
      </c>
      <c r="GX10" s="18" t="s">
        <v>238</v>
      </c>
      <c r="GY10" s="18" t="s">
        <v>238</v>
      </c>
      <c r="GZ10" s="324">
        <f t="shared" si="86"/>
        <v>29542590</v>
      </c>
      <c r="HA10" s="321">
        <f t="shared" si="87"/>
        <v>29542590</v>
      </c>
      <c r="HB10" s="179">
        <f t="shared" si="88"/>
        <v>1406790</v>
      </c>
      <c r="HC10" s="102">
        <f t="shared" si="89"/>
        <v>2.0007870028169159</v>
      </c>
      <c r="HD10" s="285">
        <f t="shared" si="90"/>
        <v>0</v>
      </c>
      <c r="HE10" s="12">
        <f t="shared" si="91"/>
        <v>1406790</v>
      </c>
      <c r="HF10" s="12">
        <f t="shared" si="92"/>
        <v>0</v>
      </c>
      <c r="HG10" s="12">
        <f t="shared" si="93"/>
        <v>1406790</v>
      </c>
      <c r="HH10" s="14">
        <f t="shared" si="94"/>
        <v>1406790</v>
      </c>
      <c r="HI10" s="13">
        <f t="shared" si="95"/>
        <v>29542590</v>
      </c>
      <c r="HJ10" s="102">
        <f t="shared" si="96"/>
        <v>2.1008263529577618</v>
      </c>
      <c r="HK10" s="16">
        <f t="shared" si="97"/>
        <v>28135800</v>
      </c>
      <c r="HL10" s="103">
        <f t="shared" si="98"/>
        <v>29542590</v>
      </c>
      <c r="HM10" s="103">
        <f t="shared" si="99"/>
        <v>1406790</v>
      </c>
      <c r="HN10" s="17">
        <f t="shared" si="100"/>
        <v>0</v>
      </c>
      <c r="HO10" s="56">
        <f t="shared" si="101"/>
        <v>1406790</v>
      </c>
      <c r="HP10" s="16">
        <f t="shared" si="102"/>
        <v>0</v>
      </c>
      <c r="HQ10" s="16">
        <f t="shared" si="103"/>
        <v>29542590</v>
      </c>
      <c r="HR10" s="16">
        <f t="shared" si="104"/>
        <v>0</v>
      </c>
    </row>
    <row r="11" spans="1:226" x14ac:dyDescent="0.3">
      <c r="A11" s="310">
        <v>8</v>
      </c>
      <c r="B11" s="303" t="s">
        <v>365</v>
      </c>
      <c r="C11" s="310" t="s">
        <v>295</v>
      </c>
      <c r="D11" s="21" t="s">
        <v>24</v>
      </c>
      <c r="E11" s="22">
        <v>0</v>
      </c>
      <c r="F11" s="9">
        <v>23210000</v>
      </c>
      <c r="G11" s="9">
        <v>0</v>
      </c>
      <c r="H11" s="324"/>
      <c r="I11" s="324">
        <v>23210000</v>
      </c>
      <c r="J11" s="324">
        <v>23210000</v>
      </c>
      <c r="K11" s="324"/>
      <c r="L11" s="324">
        <v>23210000</v>
      </c>
      <c r="M11" s="23">
        <v>23210000</v>
      </c>
      <c r="N11" s="23">
        <v>23210000</v>
      </c>
      <c r="O11" s="298">
        <v>23210000</v>
      </c>
      <c r="P11" s="298">
        <v>23210000</v>
      </c>
      <c r="Q11" s="298">
        <v>23210000</v>
      </c>
      <c r="R11" s="298">
        <v>23210000</v>
      </c>
      <c r="S11" s="298">
        <v>23210000</v>
      </c>
      <c r="T11" s="298">
        <v>23210000</v>
      </c>
      <c r="U11" s="298">
        <f>T11*5%</f>
        <v>1160500</v>
      </c>
      <c r="V11" s="298">
        <f>T11+U11</f>
        <v>24370500</v>
      </c>
      <c r="W11" s="298">
        <v>24370500</v>
      </c>
      <c r="X11" s="298">
        <v>24370500</v>
      </c>
      <c r="Y11" s="298">
        <v>24370500</v>
      </c>
      <c r="Z11" s="298">
        <v>24370500</v>
      </c>
      <c r="AA11" s="298">
        <v>24370500</v>
      </c>
      <c r="AB11" s="298">
        <v>24370500</v>
      </c>
      <c r="AC11" s="9">
        <v>0</v>
      </c>
      <c r="AD11" s="9">
        <v>0</v>
      </c>
      <c r="AE11" s="298">
        <f>AD11+AC11+AB11</f>
        <v>24370500</v>
      </c>
      <c r="AF11" s="298">
        <v>24370500</v>
      </c>
      <c r="AG11" s="9">
        <v>0</v>
      </c>
      <c r="AH11" s="9">
        <v>0</v>
      </c>
      <c r="AI11" s="298">
        <f>AH11+AG11+AF11</f>
        <v>24370500</v>
      </c>
      <c r="AJ11" s="298">
        <v>24370500</v>
      </c>
      <c r="AK11" s="9">
        <v>0</v>
      </c>
      <c r="AL11" s="9">
        <v>0</v>
      </c>
      <c r="AM11" s="298">
        <f>AL11+AK11+AJ11</f>
        <v>24370500</v>
      </c>
      <c r="AN11" s="298">
        <v>24370500</v>
      </c>
      <c r="AO11" s="9">
        <v>0</v>
      </c>
      <c r="AP11" s="9">
        <v>0</v>
      </c>
      <c r="AQ11" s="298">
        <f>AP11+AO11+AN11</f>
        <v>24370500</v>
      </c>
      <c r="AR11" s="298">
        <v>24370500</v>
      </c>
      <c r="AS11" s="9">
        <v>0</v>
      </c>
      <c r="AT11" s="9">
        <v>0</v>
      </c>
      <c r="AU11" s="298">
        <f>AT11+AS11+AR11</f>
        <v>24370500</v>
      </c>
      <c r="AV11" s="298">
        <v>24370500</v>
      </c>
      <c r="AW11" s="9">
        <v>0</v>
      </c>
      <c r="AX11" s="9">
        <v>0</v>
      </c>
      <c r="AY11" s="7">
        <f>AX11+AW11+AV11</f>
        <v>24370500</v>
      </c>
      <c r="AZ11" s="8">
        <f>AY11*5%</f>
        <v>1218525</v>
      </c>
      <c r="BA11" s="8"/>
      <c r="BB11" s="8">
        <f>AZ11-BA11</f>
        <v>1218525</v>
      </c>
      <c r="BC11" s="8">
        <f>BB11+AY11</f>
        <v>25589025</v>
      </c>
      <c r="BD11" s="8"/>
      <c r="BE11" s="8">
        <f>BD11+BC11</f>
        <v>25589025</v>
      </c>
      <c r="BF11" s="10">
        <f>BE11-AY11</f>
        <v>1218525</v>
      </c>
      <c r="BG11" s="11">
        <f>BF11-BB11</f>
        <v>0</v>
      </c>
      <c r="BH11" s="319">
        <v>25589025</v>
      </c>
      <c r="BI11" s="319">
        <v>0</v>
      </c>
      <c r="BJ11" s="319">
        <v>0</v>
      </c>
      <c r="BK11" s="319">
        <f t="shared" si="27"/>
        <v>25589025</v>
      </c>
      <c r="BL11" s="319">
        <v>25589025</v>
      </c>
      <c r="BM11" s="319">
        <v>0</v>
      </c>
      <c r="BN11" s="319">
        <v>0</v>
      </c>
      <c r="BO11" s="319">
        <f t="shared" si="8"/>
        <v>25589025</v>
      </c>
      <c r="BP11" s="319">
        <f t="shared" si="28"/>
        <v>0</v>
      </c>
      <c r="BQ11" s="319">
        <v>25589025</v>
      </c>
      <c r="BR11" s="319">
        <v>0</v>
      </c>
      <c r="BS11" s="319">
        <v>0</v>
      </c>
      <c r="BT11" s="319">
        <f t="shared" si="9"/>
        <v>25589025</v>
      </c>
      <c r="BU11" s="319">
        <f t="shared" si="29"/>
        <v>0</v>
      </c>
      <c r="BV11" s="319">
        <v>25589025</v>
      </c>
      <c r="BW11" s="319">
        <v>0</v>
      </c>
      <c r="BX11" s="319">
        <v>0</v>
      </c>
      <c r="BY11" s="319">
        <f t="shared" si="10"/>
        <v>25589025</v>
      </c>
      <c r="BZ11" s="319">
        <f t="shared" si="30"/>
        <v>0</v>
      </c>
      <c r="CA11" s="319">
        <v>25589025</v>
      </c>
      <c r="CB11" s="319">
        <v>0</v>
      </c>
      <c r="CC11" s="319">
        <v>0</v>
      </c>
      <c r="CD11" s="319">
        <f t="shared" si="11"/>
        <v>25589025</v>
      </c>
      <c r="CE11" s="319">
        <f t="shared" si="31"/>
        <v>0</v>
      </c>
      <c r="CF11" s="319">
        <v>25589025</v>
      </c>
      <c r="CG11" s="319">
        <v>0</v>
      </c>
      <c r="CH11" s="319">
        <v>0</v>
      </c>
      <c r="CI11" s="319">
        <f t="shared" si="12"/>
        <v>25589025</v>
      </c>
      <c r="CJ11" s="319">
        <f t="shared" si="32"/>
        <v>0</v>
      </c>
      <c r="CK11" s="319">
        <v>25589025</v>
      </c>
      <c r="CL11" s="319">
        <v>0</v>
      </c>
      <c r="CM11" s="319">
        <v>0</v>
      </c>
      <c r="CN11" s="319">
        <f t="shared" si="13"/>
        <v>25589025</v>
      </c>
      <c r="CO11" s="319">
        <f t="shared" si="33"/>
        <v>0</v>
      </c>
      <c r="CP11" s="319">
        <v>25589025</v>
      </c>
      <c r="CQ11" s="319"/>
      <c r="CR11" s="319"/>
      <c r="CS11" s="319">
        <f t="shared" si="14"/>
        <v>25589025</v>
      </c>
      <c r="CT11" s="319">
        <f t="shared" si="34"/>
        <v>0</v>
      </c>
      <c r="CU11" s="319">
        <v>25589025</v>
      </c>
      <c r="CV11" s="319">
        <v>0</v>
      </c>
      <c r="CW11" s="319">
        <v>0</v>
      </c>
      <c r="CX11" s="319">
        <f t="shared" si="15"/>
        <v>25589025</v>
      </c>
      <c r="CY11" s="319">
        <f t="shared" si="35"/>
        <v>0</v>
      </c>
      <c r="CZ11" s="319"/>
      <c r="DA11" s="319"/>
      <c r="DB11" s="319"/>
      <c r="DC11" s="12">
        <f t="shared" si="36"/>
        <v>2558902.5</v>
      </c>
      <c r="DD11" s="12">
        <v>0.5</v>
      </c>
      <c r="DE11" s="13">
        <f t="shared" si="37"/>
        <v>2558902</v>
      </c>
      <c r="DF11" s="14">
        <f t="shared" si="38"/>
        <v>2558902</v>
      </c>
      <c r="DG11" s="13">
        <f t="shared" si="16"/>
        <v>28147927</v>
      </c>
      <c r="DH11" s="15">
        <f t="shared" si="39"/>
        <v>2.0016494110077852</v>
      </c>
      <c r="DI11" s="16">
        <f t="shared" si="17"/>
        <v>25589025</v>
      </c>
      <c r="DJ11" s="132">
        <f t="shared" si="40"/>
        <v>28147927.500000004</v>
      </c>
      <c r="DK11" s="17">
        <f t="shared" si="41"/>
        <v>2558902.5000000037</v>
      </c>
      <c r="DL11" s="17">
        <f t="shared" si="18"/>
        <v>0.5</v>
      </c>
      <c r="DM11" s="16">
        <f t="shared" si="42"/>
        <v>2558902.0000000037</v>
      </c>
      <c r="DN11" s="16">
        <f t="shared" si="19"/>
        <v>3.7252902984619141E-9</v>
      </c>
      <c r="DO11" s="16">
        <f t="shared" si="43"/>
        <v>28147927.000000004</v>
      </c>
      <c r="DP11" s="16">
        <f t="shared" si="20"/>
        <v>0</v>
      </c>
      <c r="DQ11" s="9">
        <v>28147927</v>
      </c>
      <c r="DR11" s="18" t="s">
        <v>238</v>
      </c>
      <c r="DS11" s="18" t="s">
        <v>238</v>
      </c>
      <c r="DT11" s="324">
        <f t="shared" si="44"/>
        <v>28147927</v>
      </c>
      <c r="DU11" s="321">
        <f t="shared" si="45"/>
        <v>28147927</v>
      </c>
      <c r="DV11" s="19">
        <f t="shared" si="46"/>
        <v>0</v>
      </c>
      <c r="DW11" s="9">
        <v>28147927</v>
      </c>
      <c r="DX11" s="18"/>
      <c r="DY11" s="18"/>
      <c r="DZ11" s="324">
        <f t="shared" si="47"/>
        <v>28147927</v>
      </c>
      <c r="EA11" s="321">
        <f t="shared" si="48"/>
        <v>28147927</v>
      </c>
      <c r="EB11" s="179">
        <f t="shared" si="49"/>
        <v>0</v>
      </c>
      <c r="EC11" s="9">
        <v>28147927</v>
      </c>
      <c r="ED11" s="18" t="s">
        <v>238</v>
      </c>
      <c r="EE11" s="18" t="s">
        <v>238</v>
      </c>
      <c r="EF11" s="324">
        <f t="shared" si="50"/>
        <v>28147927</v>
      </c>
      <c r="EG11" s="321">
        <f t="shared" si="51"/>
        <v>28147927</v>
      </c>
      <c r="EH11" s="179">
        <f t="shared" si="52"/>
        <v>0</v>
      </c>
      <c r="EI11" s="9">
        <v>28147927</v>
      </c>
      <c r="EJ11" s="18" t="s">
        <v>238</v>
      </c>
      <c r="EK11" s="18" t="s">
        <v>238</v>
      </c>
      <c r="EL11" s="324">
        <f t="shared" si="53"/>
        <v>28147927</v>
      </c>
      <c r="EM11" s="321">
        <f t="shared" si="54"/>
        <v>28147927</v>
      </c>
      <c r="EN11" s="179">
        <f t="shared" si="55"/>
        <v>0</v>
      </c>
      <c r="EO11" s="9">
        <v>28147927</v>
      </c>
      <c r="EP11" s="18" t="s">
        <v>238</v>
      </c>
      <c r="EQ11" s="18" t="s">
        <v>238</v>
      </c>
      <c r="ER11" s="324">
        <f t="shared" si="56"/>
        <v>28147927</v>
      </c>
      <c r="ES11" s="321">
        <f t="shared" si="57"/>
        <v>28147927</v>
      </c>
      <c r="ET11" s="179">
        <f t="shared" si="58"/>
        <v>0</v>
      </c>
      <c r="EU11" s="9">
        <v>28147927</v>
      </c>
      <c r="EV11" s="18" t="s">
        <v>238</v>
      </c>
      <c r="EW11" s="18" t="s">
        <v>238</v>
      </c>
      <c r="EX11" s="324">
        <f t="shared" si="59"/>
        <v>28147927</v>
      </c>
      <c r="EY11" s="321">
        <f t="shared" si="60"/>
        <v>28147927</v>
      </c>
      <c r="EZ11" s="179">
        <f t="shared" si="61"/>
        <v>0</v>
      </c>
      <c r="FA11" s="9">
        <v>28147927</v>
      </c>
      <c r="FB11" s="18" t="s">
        <v>238</v>
      </c>
      <c r="FC11" s="18" t="s">
        <v>238</v>
      </c>
      <c r="FD11" s="324">
        <f t="shared" si="62"/>
        <v>28147927</v>
      </c>
      <c r="FE11" s="321">
        <f t="shared" si="63"/>
        <v>28147927</v>
      </c>
      <c r="FF11" s="179">
        <f t="shared" si="64"/>
        <v>0</v>
      </c>
      <c r="FG11" s="9">
        <v>28147927</v>
      </c>
      <c r="FH11" s="18" t="s">
        <v>238</v>
      </c>
      <c r="FI11" s="18" t="s">
        <v>238</v>
      </c>
      <c r="FJ11" s="324">
        <f t="shared" si="65"/>
        <v>28147927</v>
      </c>
      <c r="FK11" s="321">
        <f t="shared" si="66"/>
        <v>28147927</v>
      </c>
      <c r="FL11" s="179">
        <f t="shared" si="67"/>
        <v>0</v>
      </c>
      <c r="FM11" s="9">
        <v>28147927</v>
      </c>
      <c r="FN11" s="18" t="s">
        <v>238</v>
      </c>
      <c r="FO11" s="18" t="s">
        <v>238</v>
      </c>
      <c r="FP11" s="324">
        <f t="shared" si="68"/>
        <v>28147927</v>
      </c>
      <c r="FQ11" s="321">
        <f t="shared" si="69"/>
        <v>28147927</v>
      </c>
      <c r="FR11" s="179">
        <f t="shared" si="70"/>
        <v>0</v>
      </c>
      <c r="FS11" s="9">
        <v>28147927</v>
      </c>
      <c r="FT11" s="18" t="s">
        <v>238</v>
      </c>
      <c r="FU11" s="18" t="s">
        <v>238</v>
      </c>
      <c r="FV11" s="324">
        <f t="shared" si="71"/>
        <v>28147927</v>
      </c>
      <c r="FW11" s="321">
        <f t="shared" si="72"/>
        <v>28147927</v>
      </c>
      <c r="FX11" s="179">
        <f t="shared" si="73"/>
        <v>0</v>
      </c>
      <c r="FY11" s="9">
        <v>28147927</v>
      </c>
      <c r="FZ11" s="18" t="s">
        <v>238</v>
      </c>
      <c r="GA11" s="18" t="s">
        <v>238</v>
      </c>
      <c r="GB11" s="324">
        <f t="shared" si="74"/>
        <v>28147927</v>
      </c>
      <c r="GC11" s="321">
        <f t="shared" si="75"/>
        <v>28147927</v>
      </c>
      <c r="GD11" s="179">
        <f t="shared" si="76"/>
        <v>0</v>
      </c>
      <c r="GE11" s="9">
        <v>28147927</v>
      </c>
      <c r="GF11" s="18" t="s">
        <v>238</v>
      </c>
      <c r="GG11" s="18" t="s">
        <v>238</v>
      </c>
      <c r="GH11" s="324">
        <f t="shared" si="77"/>
        <v>28147927</v>
      </c>
      <c r="GI11" s="321">
        <f t="shared" si="78"/>
        <v>28147927</v>
      </c>
      <c r="GJ11" s="179">
        <f t="shared" si="79"/>
        <v>0</v>
      </c>
      <c r="GK11" s="9">
        <v>28147927</v>
      </c>
      <c r="GL11" s="18" t="s">
        <v>238</v>
      </c>
      <c r="GM11" s="18" t="s">
        <v>238</v>
      </c>
      <c r="GN11" s="324">
        <f t="shared" si="80"/>
        <v>28147927</v>
      </c>
      <c r="GO11" s="321">
        <f t="shared" si="81"/>
        <v>28147927</v>
      </c>
      <c r="GP11" s="179">
        <f t="shared" si="82"/>
        <v>0</v>
      </c>
      <c r="GQ11" s="9">
        <v>28147927</v>
      </c>
      <c r="GR11" s="18" t="s">
        <v>238</v>
      </c>
      <c r="GS11" s="18" t="s">
        <v>238</v>
      </c>
      <c r="GT11" s="324">
        <f t="shared" si="83"/>
        <v>28147927</v>
      </c>
      <c r="GU11" s="321">
        <f t="shared" si="84"/>
        <v>28147927</v>
      </c>
      <c r="GV11" s="179">
        <f t="shared" si="85"/>
        <v>0</v>
      </c>
      <c r="GW11" s="9">
        <v>29555323</v>
      </c>
      <c r="GX11" s="18" t="s">
        <v>238</v>
      </c>
      <c r="GY11" s="18" t="s">
        <v>238</v>
      </c>
      <c r="GZ11" s="324">
        <f t="shared" si="86"/>
        <v>29555323</v>
      </c>
      <c r="HA11" s="321">
        <f t="shared" si="87"/>
        <v>29555323</v>
      </c>
      <c r="HB11" s="179">
        <f t="shared" si="88"/>
        <v>1407396</v>
      </c>
      <c r="HC11" s="102">
        <f t="shared" si="89"/>
        <v>2.0016493754518923</v>
      </c>
      <c r="HD11" s="285">
        <f t="shared" si="90"/>
        <v>0</v>
      </c>
      <c r="HE11" s="12">
        <f t="shared" si="91"/>
        <v>1407396.35</v>
      </c>
      <c r="HF11" s="12">
        <f t="shared" si="92"/>
        <v>0.35000000009313226</v>
      </c>
      <c r="HG11" s="12">
        <f t="shared" si="93"/>
        <v>1407396</v>
      </c>
      <c r="HH11" s="14">
        <f t="shared" si="94"/>
        <v>1407396</v>
      </c>
      <c r="HI11" s="13">
        <f t="shared" si="95"/>
        <v>29555323</v>
      </c>
      <c r="HJ11" s="102">
        <f t="shared" si="96"/>
        <v>2.1017318193353614</v>
      </c>
      <c r="HK11" s="16">
        <f t="shared" si="97"/>
        <v>28147927</v>
      </c>
      <c r="HL11" s="103">
        <f t="shared" si="98"/>
        <v>29555323.350000001</v>
      </c>
      <c r="HM11" s="103">
        <f t="shared" si="99"/>
        <v>1407396.3500000015</v>
      </c>
      <c r="HN11" s="17">
        <f t="shared" si="100"/>
        <v>0.35000000009313226</v>
      </c>
      <c r="HO11" s="56">
        <f t="shared" si="101"/>
        <v>1407396.0000000014</v>
      </c>
      <c r="HP11" s="16">
        <f t="shared" si="102"/>
        <v>0</v>
      </c>
      <c r="HQ11" s="16">
        <f t="shared" si="103"/>
        <v>29555323</v>
      </c>
      <c r="HR11" s="16">
        <f t="shared" si="104"/>
        <v>0</v>
      </c>
    </row>
    <row r="12" spans="1:226" x14ac:dyDescent="0.3">
      <c r="A12" s="310">
        <v>9</v>
      </c>
      <c r="B12" s="104" t="s">
        <v>364</v>
      </c>
      <c r="C12" s="310" t="s">
        <v>297</v>
      </c>
      <c r="D12" s="21" t="s">
        <v>21</v>
      </c>
      <c r="E12" s="22">
        <v>0</v>
      </c>
      <c r="F12" s="9">
        <v>14851100</v>
      </c>
      <c r="G12" s="9">
        <v>0</v>
      </c>
      <c r="H12" s="324"/>
      <c r="I12" s="324">
        <v>14851100</v>
      </c>
      <c r="J12" s="9">
        <v>14851100</v>
      </c>
      <c r="K12" s="324"/>
      <c r="L12" s="9">
        <v>14851100</v>
      </c>
      <c r="M12" s="23">
        <v>14851100</v>
      </c>
      <c r="N12" s="23">
        <v>14851100</v>
      </c>
      <c r="O12" s="298">
        <v>14851100</v>
      </c>
      <c r="P12" s="298">
        <v>14851100</v>
      </c>
      <c r="Q12" s="298">
        <v>14851100</v>
      </c>
      <c r="R12" s="298">
        <v>14851100</v>
      </c>
      <c r="S12" s="298">
        <v>14851100</v>
      </c>
      <c r="T12" s="298">
        <v>14851100</v>
      </c>
      <c r="U12" s="298">
        <f t="shared" si="0"/>
        <v>742555</v>
      </c>
      <c r="V12" s="298">
        <f t="shared" si="1"/>
        <v>15593655</v>
      </c>
      <c r="W12" s="298">
        <v>15593655</v>
      </c>
      <c r="X12" s="298">
        <v>15593655</v>
      </c>
      <c r="Y12" s="298">
        <v>15593655</v>
      </c>
      <c r="Z12" s="298">
        <v>15593655</v>
      </c>
      <c r="AA12" s="298">
        <v>15593655</v>
      </c>
      <c r="AB12" s="298">
        <v>15593655</v>
      </c>
      <c r="AC12" s="9">
        <v>0</v>
      </c>
      <c r="AD12" s="9">
        <v>0</v>
      </c>
      <c r="AE12" s="298">
        <f t="shared" si="2"/>
        <v>15593655</v>
      </c>
      <c r="AF12" s="298">
        <v>15593655</v>
      </c>
      <c r="AG12" s="9">
        <v>0</v>
      </c>
      <c r="AH12" s="9">
        <v>0</v>
      </c>
      <c r="AI12" s="298">
        <f t="shared" si="3"/>
        <v>15593655</v>
      </c>
      <c r="AJ12" s="298">
        <v>15593655</v>
      </c>
      <c r="AK12" s="9">
        <v>0</v>
      </c>
      <c r="AL12" s="9">
        <v>0</v>
      </c>
      <c r="AM12" s="298">
        <f t="shared" si="4"/>
        <v>15593655</v>
      </c>
      <c r="AN12" s="298">
        <v>15593655</v>
      </c>
      <c r="AO12" s="9">
        <v>0</v>
      </c>
      <c r="AP12" s="9">
        <v>0</v>
      </c>
      <c r="AQ12" s="298">
        <f t="shared" si="5"/>
        <v>15593655</v>
      </c>
      <c r="AR12" s="298">
        <v>15593655</v>
      </c>
      <c r="AS12" s="9">
        <v>0</v>
      </c>
      <c r="AT12" s="9">
        <v>0</v>
      </c>
      <c r="AU12" s="298">
        <f t="shared" si="6"/>
        <v>15593655</v>
      </c>
      <c r="AV12" s="298">
        <v>15593655</v>
      </c>
      <c r="AW12" s="9">
        <v>0</v>
      </c>
      <c r="AX12" s="9">
        <v>0</v>
      </c>
      <c r="AY12" s="7">
        <f t="shared" si="7"/>
        <v>15593655</v>
      </c>
      <c r="AZ12" s="8">
        <f t="shared" si="21"/>
        <v>779682.75</v>
      </c>
      <c r="BA12" s="8">
        <v>0.75</v>
      </c>
      <c r="BB12" s="8">
        <f t="shared" si="22"/>
        <v>779682</v>
      </c>
      <c r="BC12" s="8">
        <f t="shared" si="23"/>
        <v>16373337</v>
      </c>
      <c r="BD12" s="8"/>
      <c r="BE12" s="8">
        <f t="shared" si="24"/>
        <v>16373337</v>
      </c>
      <c r="BF12" s="10">
        <f t="shared" si="25"/>
        <v>779682</v>
      </c>
      <c r="BG12" s="11">
        <f t="shared" si="26"/>
        <v>0</v>
      </c>
      <c r="BH12" s="319">
        <v>16373337</v>
      </c>
      <c r="BI12" s="319">
        <v>0</v>
      </c>
      <c r="BJ12" s="319">
        <v>0</v>
      </c>
      <c r="BK12" s="319">
        <f t="shared" si="27"/>
        <v>16373337</v>
      </c>
      <c r="BL12" s="319">
        <v>16373337</v>
      </c>
      <c r="BM12" s="319">
        <v>0</v>
      </c>
      <c r="BN12" s="319">
        <v>0</v>
      </c>
      <c r="BO12" s="319">
        <f t="shared" si="8"/>
        <v>16373337</v>
      </c>
      <c r="BP12" s="319">
        <f t="shared" si="28"/>
        <v>0</v>
      </c>
      <c r="BQ12" s="319">
        <v>16373337</v>
      </c>
      <c r="BR12" s="319">
        <v>0</v>
      </c>
      <c r="BS12" s="319">
        <v>0</v>
      </c>
      <c r="BT12" s="319">
        <f t="shared" si="9"/>
        <v>16373337</v>
      </c>
      <c r="BU12" s="319">
        <f t="shared" si="29"/>
        <v>0</v>
      </c>
      <c r="BV12" s="319">
        <v>16373337</v>
      </c>
      <c r="BW12" s="319">
        <v>0</v>
      </c>
      <c r="BX12" s="319">
        <v>0</v>
      </c>
      <c r="BY12" s="319">
        <f t="shared" si="10"/>
        <v>16373337</v>
      </c>
      <c r="BZ12" s="319">
        <f t="shared" si="30"/>
        <v>0</v>
      </c>
      <c r="CA12" s="319">
        <v>16373337</v>
      </c>
      <c r="CB12" s="319">
        <v>0</v>
      </c>
      <c r="CC12" s="319">
        <v>0</v>
      </c>
      <c r="CD12" s="319">
        <f t="shared" si="11"/>
        <v>16373337</v>
      </c>
      <c r="CE12" s="319">
        <f t="shared" si="31"/>
        <v>0</v>
      </c>
      <c r="CF12" s="319">
        <v>16373337</v>
      </c>
      <c r="CG12" s="319">
        <v>0</v>
      </c>
      <c r="CH12" s="319">
        <v>0</v>
      </c>
      <c r="CI12" s="319">
        <f t="shared" si="12"/>
        <v>16373337</v>
      </c>
      <c r="CJ12" s="319">
        <f t="shared" si="32"/>
        <v>0</v>
      </c>
      <c r="CK12" s="319">
        <v>16373337</v>
      </c>
      <c r="CL12" s="319">
        <v>0</v>
      </c>
      <c r="CM12" s="319">
        <v>0</v>
      </c>
      <c r="CN12" s="319">
        <f t="shared" si="13"/>
        <v>16373337</v>
      </c>
      <c r="CO12" s="319">
        <f t="shared" si="33"/>
        <v>0</v>
      </c>
      <c r="CP12" s="319">
        <v>16373337</v>
      </c>
      <c r="CQ12" s="319"/>
      <c r="CR12" s="319"/>
      <c r="CS12" s="319">
        <f t="shared" si="14"/>
        <v>16373337</v>
      </c>
      <c r="CT12" s="319">
        <f t="shared" si="34"/>
        <v>0</v>
      </c>
      <c r="CU12" s="319">
        <v>16373337</v>
      </c>
      <c r="CV12" s="319">
        <v>0</v>
      </c>
      <c r="CW12" s="319">
        <v>0</v>
      </c>
      <c r="CX12" s="319">
        <f t="shared" si="15"/>
        <v>16373337</v>
      </c>
      <c r="CY12" s="319">
        <f t="shared" si="35"/>
        <v>0</v>
      </c>
      <c r="CZ12" s="319"/>
      <c r="DA12" s="319"/>
      <c r="DB12" s="319"/>
      <c r="DC12" s="12">
        <f t="shared" si="36"/>
        <v>1637333.7000000002</v>
      </c>
      <c r="DD12" s="12">
        <v>0.7</v>
      </c>
      <c r="DE12" s="13">
        <f t="shared" si="37"/>
        <v>1637333.0000000002</v>
      </c>
      <c r="DF12" s="14">
        <f t="shared" si="38"/>
        <v>1637333.0000000002</v>
      </c>
      <c r="DG12" s="13">
        <f t="shared" si="16"/>
        <v>18010670</v>
      </c>
      <c r="DH12" s="15">
        <f t="shared" si="39"/>
        <v>1.2807709696747718</v>
      </c>
      <c r="DI12" s="16">
        <f t="shared" si="17"/>
        <v>16373337</v>
      </c>
      <c r="DJ12" s="132">
        <f t="shared" si="40"/>
        <v>18010670.700000003</v>
      </c>
      <c r="DK12" s="17">
        <f t="shared" si="41"/>
        <v>1637333.700000003</v>
      </c>
      <c r="DL12" s="17">
        <f t="shared" si="18"/>
        <v>0.7</v>
      </c>
      <c r="DM12" s="16">
        <f t="shared" si="42"/>
        <v>1637333.000000003</v>
      </c>
      <c r="DN12" s="16">
        <f t="shared" si="19"/>
        <v>2.7939677238464355E-9</v>
      </c>
      <c r="DO12" s="16">
        <f t="shared" si="43"/>
        <v>18010670.000000004</v>
      </c>
      <c r="DP12" s="16">
        <f t="shared" si="20"/>
        <v>0</v>
      </c>
      <c r="DQ12" s="9">
        <v>18010670</v>
      </c>
      <c r="DR12" s="18" t="s">
        <v>238</v>
      </c>
      <c r="DS12" s="18" t="s">
        <v>238</v>
      </c>
      <c r="DT12" s="324">
        <f t="shared" si="44"/>
        <v>18010670</v>
      </c>
      <c r="DU12" s="321">
        <f t="shared" si="45"/>
        <v>18010670</v>
      </c>
      <c r="DV12" s="19">
        <f t="shared" si="46"/>
        <v>0</v>
      </c>
      <c r="DW12" s="9">
        <v>18010670</v>
      </c>
      <c r="DX12" s="18"/>
      <c r="DY12" s="18"/>
      <c r="DZ12" s="324">
        <f t="shared" si="47"/>
        <v>18010670</v>
      </c>
      <c r="EA12" s="321">
        <f t="shared" si="48"/>
        <v>18010670</v>
      </c>
      <c r="EB12" s="179">
        <f t="shared" si="49"/>
        <v>0</v>
      </c>
      <c r="EC12" s="9">
        <v>18010670</v>
      </c>
      <c r="ED12" s="18" t="s">
        <v>238</v>
      </c>
      <c r="EE12" s="18" t="s">
        <v>238</v>
      </c>
      <c r="EF12" s="324">
        <f t="shared" si="50"/>
        <v>18010670</v>
      </c>
      <c r="EG12" s="321">
        <f t="shared" si="51"/>
        <v>18010670</v>
      </c>
      <c r="EH12" s="179">
        <f t="shared" si="52"/>
        <v>0</v>
      </c>
      <c r="EI12" s="9">
        <v>18010670</v>
      </c>
      <c r="EJ12" s="18" t="s">
        <v>238</v>
      </c>
      <c r="EK12" s="18" t="s">
        <v>238</v>
      </c>
      <c r="EL12" s="324">
        <f t="shared" si="53"/>
        <v>18010670</v>
      </c>
      <c r="EM12" s="321">
        <f t="shared" si="54"/>
        <v>18010670</v>
      </c>
      <c r="EN12" s="179">
        <f t="shared" si="55"/>
        <v>0</v>
      </c>
      <c r="EO12" s="9">
        <v>18010670</v>
      </c>
      <c r="EP12" s="18" t="s">
        <v>238</v>
      </c>
      <c r="EQ12" s="18" t="s">
        <v>238</v>
      </c>
      <c r="ER12" s="324">
        <f t="shared" si="56"/>
        <v>18010670</v>
      </c>
      <c r="ES12" s="321">
        <f t="shared" si="57"/>
        <v>18010670</v>
      </c>
      <c r="ET12" s="179">
        <f t="shared" si="58"/>
        <v>0</v>
      </c>
      <c r="EU12" s="9">
        <v>18010670</v>
      </c>
      <c r="EV12" s="18" t="s">
        <v>238</v>
      </c>
      <c r="EW12" s="18" t="s">
        <v>238</v>
      </c>
      <c r="EX12" s="324">
        <f t="shared" si="59"/>
        <v>18010670</v>
      </c>
      <c r="EY12" s="321">
        <f t="shared" si="60"/>
        <v>18010670</v>
      </c>
      <c r="EZ12" s="179">
        <f t="shared" si="61"/>
        <v>0</v>
      </c>
      <c r="FA12" s="9">
        <v>18010670</v>
      </c>
      <c r="FB12" s="18" t="s">
        <v>238</v>
      </c>
      <c r="FC12" s="18" t="s">
        <v>238</v>
      </c>
      <c r="FD12" s="324">
        <f t="shared" si="62"/>
        <v>18010670</v>
      </c>
      <c r="FE12" s="321">
        <f t="shared" si="63"/>
        <v>18010670</v>
      </c>
      <c r="FF12" s="179">
        <f t="shared" si="64"/>
        <v>0</v>
      </c>
      <c r="FG12" s="9">
        <v>18010670</v>
      </c>
      <c r="FH12" s="18" t="s">
        <v>238</v>
      </c>
      <c r="FI12" s="18" t="s">
        <v>238</v>
      </c>
      <c r="FJ12" s="324">
        <f t="shared" si="65"/>
        <v>18010670</v>
      </c>
      <c r="FK12" s="321">
        <f t="shared" si="66"/>
        <v>18010670</v>
      </c>
      <c r="FL12" s="179">
        <f t="shared" si="67"/>
        <v>0</v>
      </c>
      <c r="FM12" s="9">
        <v>18010670</v>
      </c>
      <c r="FN12" s="18" t="s">
        <v>238</v>
      </c>
      <c r="FO12" s="18" t="s">
        <v>238</v>
      </c>
      <c r="FP12" s="324">
        <f t="shared" si="68"/>
        <v>18010670</v>
      </c>
      <c r="FQ12" s="321">
        <f t="shared" si="69"/>
        <v>18010670</v>
      </c>
      <c r="FR12" s="179">
        <f t="shared" si="70"/>
        <v>0</v>
      </c>
      <c r="FS12" s="9">
        <v>18010670</v>
      </c>
      <c r="FT12" s="18" t="s">
        <v>238</v>
      </c>
      <c r="FU12" s="18" t="s">
        <v>238</v>
      </c>
      <c r="FV12" s="324">
        <f t="shared" si="71"/>
        <v>18010670</v>
      </c>
      <c r="FW12" s="321">
        <f t="shared" si="72"/>
        <v>18010670</v>
      </c>
      <c r="FX12" s="179">
        <f t="shared" si="73"/>
        <v>0</v>
      </c>
      <c r="FY12" s="9">
        <v>18010670</v>
      </c>
      <c r="FZ12" s="18" t="s">
        <v>238</v>
      </c>
      <c r="GA12" s="18" t="s">
        <v>238</v>
      </c>
      <c r="GB12" s="324">
        <f t="shared" si="74"/>
        <v>18010670</v>
      </c>
      <c r="GC12" s="321">
        <f t="shared" si="75"/>
        <v>18010670</v>
      </c>
      <c r="GD12" s="179">
        <f t="shared" si="76"/>
        <v>0</v>
      </c>
      <c r="GE12" s="9">
        <v>18010670</v>
      </c>
      <c r="GF12" s="18" t="s">
        <v>238</v>
      </c>
      <c r="GG12" s="18" t="s">
        <v>238</v>
      </c>
      <c r="GH12" s="324">
        <f t="shared" si="77"/>
        <v>18010670</v>
      </c>
      <c r="GI12" s="321">
        <f t="shared" si="78"/>
        <v>18010670</v>
      </c>
      <c r="GJ12" s="179">
        <f t="shared" si="79"/>
        <v>0</v>
      </c>
      <c r="GK12" s="9">
        <v>18010670</v>
      </c>
      <c r="GL12" s="18" t="s">
        <v>238</v>
      </c>
      <c r="GM12" s="18" t="s">
        <v>238</v>
      </c>
      <c r="GN12" s="324">
        <f t="shared" si="80"/>
        <v>18010670</v>
      </c>
      <c r="GO12" s="321">
        <f t="shared" si="81"/>
        <v>18010670</v>
      </c>
      <c r="GP12" s="179">
        <f t="shared" si="82"/>
        <v>0</v>
      </c>
      <c r="GQ12" s="9">
        <v>18010670</v>
      </c>
      <c r="GR12" s="18" t="s">
        <v>238</v>
      </c>
      <c r="GS12" s="18" t="s">
        <v>238</v>
      </c>
      <c r="GT12" s="324">
        <f t="shared" si="83"/>
        <v>18010670</v>
      </c>
      <c r="GU12" s="321">
        <f t="shared" si="84"/>
        <v>18010670</v>
      </c>
      <c r="GV12" s="179">
        <f t="shared" si="85"/>
        <v>0</v>
      </c>
      <c r="GW12" s="9">
        <v>18911203</v>
      </c>
      <c r="GX12" s="18" t="s">
        <v>238</v>
      </c>
      <c r="GY12" s="18" t="s">
        <v>238</v>
      </c>
      <c r="GZ12" s="324">
        <f t="shared" si="86"/>
        <v>18911203</v>
      </c>
      <c r="HA12" s="321">
        <f t="shared" si="87"/>
        <v>18911203</v>
      </c>
      <c r="HB12" s="179">
        <f t="shared" si="88"/>
        <v>900533</v>
      </c>
      <c r="HC12" s="102">
        <f t="shared" si="89"/>
        <v>1.2807709198965214</v>
      </c>
      <c r="HD12" s="285">
        <f t="shared" si="90"/>
        <v>0</v>
      </c>
      <c r="HE12" s="12">
        <f t="shared" si="91"/>
        <v>900533.5</v>
      </c>
      <c r="HF12" s="12">
        <f t="shared" si="92"/>
        <v>0.5</v>
      </c>
      <c r="HG12" s="12">
        <f t="shared" si="93"/>
        <v>900533</v>
      </c>
      <c r="HH12" s="14">
        <f t="shared" si="94"/>
        <v>900533</v>
      </c>
      <c r="HI12" s="13">
        <f t="shared" si="95"/>
        <v>18911203</v>
      </c>
      <c r="HJ12" s="102">
        <f t="shared" si="96"/>
        <v>1.3448094303354541</v>
      </c>
      <c r="HK12" s="16">
        <f t="shared" si="97"/>
        <v>18010670</v>
      </c>
      <c r="HL12" s="103">
        <f t="shared" si="98"/>
        <v>18911203.5</v>
      </c>
      <c r="HM12" s="103">
        <f t="shared" si="99"/>
        <v>900533.5</v>
      </c>
      <c r="HN12" s="17">
        <f t="shared" si="100"/>
        <v>0.5</v>
      </c>
      <c r="HO12" s="56">
        <f t="shared" si="101"/>
        <v>900533</v>
      </c>
      <c r="HP12" s="16">
        <f t="shared" si="102"/>
        <v>0</v>
      </c>
      <c r="HQ12" s="16">
        <f t="shared" si="103"/>
        <v>18911203</v>
      </c>
      <c r="HR12" s="16">
        <f t="shared" si="104"/>
        <v>0</v>
      </c>
    </row>
    <row r="13" spans="1:226" x14ac:dyDescent="0.3">
      <c r="A13" s="310">
        <v>10</v>
      </c>
      <c r="B13" s="133"/>
      <c r="C13" s="310" t="s">
        <v>298</v>
      </c>
      <c r="D13" s="21" t="s">
        <v>22</v>
      </c>
      <c r="E13" s="22">
        <v>0</v>
      </c>
      <c r="F13" s="9">
        <v>121000</v>
      </c>
      <c r="G13" s="9">
        <v>0</v>
      </c>
      <c r="H13" s="324"/>
      <c r="I13" s="324">
        <v>121000</v>
      </c>
      <c r="J13" s="324">
        <v>121000</v>
      </c>
      <c r="K13" s="324"/>
      <c r="L13" s="324">
        <v>121000</v>
      </c>
      <c r="M13" s="23">
        <v>121000</v>
      </c>
      <c r="N13" s="23">
        <v>121000</v>
      </c>
      <c r="O13" s="298">
        <v>121000</v>
      </c>
      <c r="P13" s="298">
        <v>121000</v>
      </c>
      <c r="Q13" s="298">
        <v>121000</v>
      </c>
      <c r="R13" s="298">
        <v>121000</v>
      </c>
      <c r="S13" s="298">
        <v>121000</v>
      </c>
      <c r="T13" s="298">
        <v>121000</v>
      </c>
      <c r="U13" s="298">
        <f t="shared" si="0"/>
        <v>6050</v>
      </c>
      <c r="V13" s="298">
        <f t="shared" si="1"/>
        <v>127050</v>
      </c>
      <c r="W13" s="298">
        <v>127050</v>
      </c>
      <c r="X13" s="298">
        <v>127050</v>
      </c>
      <c r="Y13" s="298">
        <v>127050</v>
      </c>
      <c r="Z13" s="298">
        <v>127050</v>
      </c>
      <c r="AA13" s="298">
        <v>127050</v>
      </c>
      <c r="AB13" s="298">
        <v>127050</v>
      </c>
      <c r="AC13" s="9">
        <v>0</v>
      </c>
      <c r="AD13" s="9">
        <v>0</v>
      </c>
      <c r="AE13" s="298">
        <f t="shared" si="2"/>
        <v>127050</v>
      </c>
      <c r="AF13" s="298">
        <v>127050</v>
      </c>
      <c r="AG13" s="9">
        <v>0</v>
      </c>
      <c r="AH13" s="9">
        <v>0</v>
      </c>
      <c r="AI13" s="298">
        <f t="shared" si="3"/>
        <v>127050</v>
      </c>
      <c r="AJ13" s="298">
        <v>127050</v>
      </c>
      <c r="AK13" s="9">
        <v>0</v>
      </c>
      <c r="AL13" s="9">
        <v>0</v>
      </c>
      <c r="AM13" s="298">
        <f t="shared" si="4"/>
        <v>127050</v>
      </c>
      <c r="AN13" s="298">
        <v>127050</v>
      </c>
      <c r="AO13" s="9">
        <v>0</v>
      </c>
      <c r="AP13" s="9">
        <v>0</v>
      </c>
      <c r="AQ13" s="298">
        <f t="shared" si="5"/>
        <v>127050</v>
      </c>
      <c r="AR13" s="298">
        <v>127050</v>
      </c>
      <c r="AS13" s="9">
        <v>0</v>
      </c>
      <c r="AT13" s="9">
        <v>0</v>
      </c>
      <c r="AU13" s="298">
        <f t="shared" si="6"/>
        <v>127050</v>
      </c>
      <c r="AV13" s="298">
        <v>127050</v>
      </c>
      <c r="AW13" s="9">
        <v>0</v>
      </c>
      <c r="AX13" s="9">
        <v>0</v>
      </c>
      <c r="AY13" s="7">
        <f t="shared" si="7"/>
        <v>127050</v>
      </c>
      <c r="AZ13" s="8">
        <f t="shared" si="21"/>
        <v>6352.5</v>
      </c>
      <c r="BA13" s="8">
        <v>0.5</v>
      </c>
      <c r="BB13" s="8">
        <f t="shared" si="22"/>
        <v>6352</v>
      </c>
      <c r="BC13" s="8">
        <f t="shared" si="23"/>
        <v>133402</v>
      </c>
      <c r="BD13" s="8"/>
      <c r="BE13" s="8">
        <f t="shared" si="24"/>
        <v>133402</v>
      </c>
      <c r="BF13" s="10">
        <f t="shared" si="25"/>
        <v>6352</v>
      </c>
      <c r="BG13" s="11">
        <f t="shared" si="26"/>
        <v>0</v>
      </c>
      <c r="BH13" s="319">
        <v>133402</v>
      </c>
      <c r="BI13" s="319">
        <v>0</v>
      </c>
      <c r="BJ13" s="319">
        <v>0</v>
      </c>
      <c r="BK13" s="319">
        <f t="shared" si="27"/>
        <v>133402</v>
      </c>
      <c r="BL13" s="319">
        <v>133402</v>
      </c>
      <c r="BM13" s="319">
        <v>0</v>
      </c>
      <c r="BN13" s="319">
        <v>0</v>
      </c>
      <c r="BO13" s="319">
        <f t="shared" si="8"/>
        <v>133402</v>
      </c>
      <c r="BP13" s="319">
        <f t="shared" si="28"/>
        <v>0</v>
      </c>
      <c r="BQ13" s="319">
        <v>133402</v>
      </c>
      <c r="BR13" s="319">
        <v>0</v>
      </c>
      <c r="BS13" s="319">
        <v>0</v>
      </c>
      <c r="BT13" s="319">
        <f t="shared" si="9"/>
        <v>133402</v>
      </c>
      <c r="BU13" s="319">
        <f t="shared" si="29"/>
        <v>0</v>
      </c>
      <c r="BV13" s="319">
        <v>133402</v>
      </c>
      <c r="BW13" s="319">
        <v>0</v>
      </c>
      <c r="BX13" s="319">
        <v>0</v>
      </c>
      <c r="BY13" s="319">
        <f t="shared" si="10"/>
        <v>133402</v>
      </c>
      <c r="BZ13" s="319">
        <f t="shared" si="30"/>
        <v>0</v>
      </c>
      <c r="CA13" s="319">
        <v>133402</v>
      </c>
      <c r="CB13" s="319">
        <v>0</v>
      </c>
      <c r="CC13" s="319">
        <v>0</v>
      </c>
      <c r="CD13" s="319">
        <f t="shared" si="11"/>
        <v>133402</v>
      </c>
      <c r="CE13" s="319">
        <f t="shared" si="31"/>
        <v>0</v>
      </c>
      <c r="CF13" s="319">
        <v>133402</v>
      </c>
      <c r="CG13" s="319">
        <v>0</v>
      </c>
      <c r="CH13" s="319">
        <v>0</v>
      </c>
      <c r="CI13" s="319">
        <f t="shared" si="12"/>
        <v>133402</v>
      </c>
      <c r="CJ13" s="319">
        <f t="shared" si="32"/>
        <v>0</v>
      </c>
      <c r="CK13" s="319">
        <v>133402</v>
      </c>
      <c r="CL13" s="319">
        <v>0</v>
      </c>
      <c r="CM13" s="319">
        <v>0</v>
      </c>
      <c r="CN13" s="319">
        <f t="shared" si="13"/>
        <v>133402</v>
      </c>
      <c r="CO13" s="319">
        <f t="shared" si="33"/>
        <v>0</v>
      </c>
      <c r="CP13" s="319">
        <v>133402</v>
      </c>
      <c r="CQ13" s="319"/>
      <c r="CR13" s="319"/>
      <c r="CS13" s="319">
        <f t="shared" si="14"/>
        <v>133402</v>
      </c>
      <c r="CT13" s="319">
        <f t="shared" si="34"/>
        <v>0</v>
      </c>
      <c r="CU13" s="319">
        <v>133402</v>
      </c>
      <c r="CV13" s="319">
        <v>0</v>
      </c>
      <c r="CW13" s="319">
        <v>0</v>
      </c>
      <c r="CX13" s="319">
        <f t="shared" si="15"/>
        <v>133402</v>
      </c>
      <c r="CY13" s="319">
        <f t="shared" si="35"/>
        <v>0</v>
      </c>
      <c r="CZ13" s="319"/>
      <c r="DA13" s="319"/>
      <c r="DB13" s="319"/>
      <c r="DC13" s="12">
        <f t="shared" si="36"/>
        <v>13340.2</v>
      </c>
      <c r="DD13" s="12">
        <v>0.2</v>
      </c>
      <c r="DE13" s="13">
        <f t="shared" si="37"/>
        <v>13340</v>
      </c>
      <c r="DF13" s="14">
        <f t="shared" si="38"/>
        <v>13340</v>
      </c>
      <c r="DG13" s="13">
        <f t="shared" si="16"/>
        <v>146742</v>
      </c>
      <c r="DH13" s="15">
        <f t="shared" si="39"/>
        <v>1.0435099998036681E-2</v>
      </c>
      <c r="DI13" s="16">
        <f t="shared" si="17"/>
        <v>133402</v>
      </c>
      <c r="DJ13" s="132">
        <f t="shared" si="40"/>
        <v>146742.20000000001</v>
      </c>
      <c r="DK13" s="17">
        <f t="shared" si="41"/>
        <v>13340.200000000012</v>
      </c>
      <c r="DL13" s="17">
        <f t="shared" si="18"/>
        <v>0.2</v>
      </c>
      <c r="DM13" s="16">
        <f t="shared" si="42"/>
        <v>13340.000000000011</v>
      </c>
      <c r="DN13" s="16">
        <f t="shared" si="19"/>
        <v>0</v>
      </c>
      <c r="DO13" s="16">
        <f t="shared" si="43"/>
        <v>146742</v>
      </c>
      <c r="DP13" s="16">
        <f t="shared" si="20"/>
        <v>0</v>
      </c>
      <c r="DQ13" s="9">
        <v>146742</v>
      </c>
      <c r="DR13" s="18" t="s">
        <v>238</v>
      </c>
      <c r="DS13" s="18" t="s">
        <v>238</v>
      </c>
      <c r="DT13" s="324">
        <f t="shared" si="44"/>
        <v>146742</v>
      </c>
      <c r="DU13" s="321">
        <f t="shared" si="45"/>
        <v>146742</v>
      </c>
      <c r="DV13" s="19">
        <f t="shared" si="46"/>
        <v>0</v>
      </c>
      <c r="DW13" s="9">
        <v>146742</v>
      </c>
      <c r="DX13" s="18"/>
      <c r="DY13" s="18"/>
      <c r="DZ13" s="324">
        <f t="shared" si="47"/>
        <v>146742</v>
      </c>
      <c r="EA13" s="321">
        <f t="shared" si="48"/>
        <v>146742</v>
      </c>
      <c r="EB13" s="179">
        <f t="shared" si="49"/>
        <v>0</v>
      </c>
      <c r="EC13" s="9">
        <v>146742</v>
      </c>
      <c r="ED13" s="18" t="s">
        <v>238</v>
      </c>
      <c r="EE13" s="18" t="s">
        <v>238</v>
      </c>
      <c r="EF13" s="324">
        <f t="shared" si="50"/>
        <v>146742</v>
      </c>
      <c r="EG13" s="321">
        <f t="shared" si="51"/>
        <v>146742</v>
      </c>
      <c r="EH13" s="179">
        <f t="shared" si="52"/>
        <v>0</v>
      </c>
      <c r="EI13" s="9">
        <v>146742</v>
      </c>
      <c r="EJ13" s="18" t="s">
        <v>238</v>
      </c>
      <c r="EK13" s="18" t="s">
        <v>238</v>
      </c>
      <c r="EL13" s="324">
        <f t="shared" si="53"/>
        <v>146742</v>
      </c>
      <c r="EM13" s="321">
        <f t="shared" si="54"/>
        <v>146742</v>
      </c>
      <c r="EN13" s="179">
        <f t="shared" si="55"/>
        <v>0</v>
      </c>
      <c r="EO13" s="9">
        <v>146742</v>
      </c>
      <c r="EP13" s="18" t="s">
        <v>238</v>
      </c>
      <c r="EQ13" s="18" t="s">
        <v>238</v>
      </c>
      <c r="ER13" s="324">
        <f t="shared" si="56"/>
        <v>146742</v>
      </c>
      <c r="ES13" s="321">
        <f t="shared" si="57"/>
        <v>146742</v>
      </c>
      <c r="ET13" s="179">
        <f t="shared" si="58"/>
        <v>0</v>
      </c>
      <c r="EU13" s="9">
        <v>146742</v>
      </c>
      <c r="EV13" s="18" t="s">
        <v>238</v>
      </c>
      <c r="EW13" s="18" t="s">
        <v>238</v>
      </c>
      <c r="EX13" s="324">
        <f t="shared" si="59"/>
        <v>146742</v>
      </c>
      <c r="EY13" s="321">
        <f t="shared" si="60"/>
        <v>146742</v>
      </c>
      <c r="EZ13" s="179">
        <f t="shared" si="61"/>
        <v>0</v>
      </c>
      <c r="FA13" s="9">
        <v>146742</v>
      </c>
      <c r="FB13" s="18" t="s">
        <v>238</v>
      </c>
      <c r="FC13" s="18" t="s">
        <v>238</v>
      </c>
      <c r="FD13" s="324">
        <f t="shared" si="62"/>
        <v>146742</v>
      </c>
      <c r="FE13" s="321">
        <f t="shared" si="63"/>
        <v>146742</v>
      </c>
      <c r="FF13" s="179">
        <f t="shared" si="64"/>
        <v>0</v>
      </c>
      <c r="FG13" s="9">
        <v>146742</v>
      </c>
      <c r="FH13" s="18" t="s">
        <v>238</v>
      </c>
      <c r="FI13" s="18" t="s">
        <v>238</v>
      </c>
      <c r="FJ13" s="324">
        <f t="shared" si="65"/>
        <v>146742</v>
      </c>
      <c r="FK13" s="321">
        <f t="shared" si="66"/>
        <v>146742</v>
      </c>
      <c r="FL13" s="179">
        <f t="shared" si="67"/>
        <v>0</v>
      </c>
      <c r="FM13" s="9">
        <v>146742</v>
      </c>
      <c r="FN13" s="18" t="s">
        <v>238</v>
      </c>
      <c r="FO13" s="18" t="s">
        <v>238</v>
      </c>
      <c r="FP13" s="324">
        <f t="shared" si="68"/>
        <v>146742</v>
      </c>
      <c r="FQ13" s="321">
        <f t="shared" si="69"/>
        <v>146742</v>
      </c>
      <c r="FR13" s="179">
        <f t="shared" si="70"/>
        <v>0</v>
      </c>
      <c r="FS13" s="9">
        <v>146742</v>
      </c>
      <c r="FT13" s="18" t="s">
        <v>238</v>
      </c>
      <c r="FU13" s="18" t="s">
        <v>238</v>
      </c>
      <c r="FV13" s="324">
        <f t="shared" si="71"/>
        <v>146742</v>
      </c>
      <c r="FW13" s="321">
        <f t="shared" si="72"/>
        <v>146742</v>
      </c>
      <c r="FX13" s="179">
        <f t="shared" si="73"/>
        <v>0</v>
      </c>
      <c r="FY13" s="9">
        <v>146742</v>
      </c>
      <c r="FZ13" s="18" t="s">
        <v>238</v>
      </c>
      <c r="GA13" s="18" t="s">
        <v>238</v>
      </c>
      <c r="GB13" s="324">
        <f t="shared" si="74"/>
        <v>146742</v>
      </c>
      <c r="GC13" s="321">
        <f t="shared" si="75"/>
        <v>146742</v>
      </c>
      <c r="GD13" s="179">
        <f t="shared" si="76"/>
        <v>0</v>
      </c>
      <c r="GE13" s="9">
        <v>146742</v>
      </c>
      <c r="GF13" s="18" t="s">
        <v>238</v>
      </c>
      <c r="GG13" s="18" t="s">
        <v>238</v>
      </c>
      <c r="GH13" s="324">
        <f t="shared" si="77"/>
        <v>146742</v>
      </c>
      <c r="GI13" s="321">
        <f t="shared" si="78"/>
        <v>146742</v>
      </c>
      <c r="GJ13" s="179">
        <f t="shared" si="79"/>
        <v>0</v>
      </c>
      <c r="GK13" s="9">
        <v>146742</v>
      </c>
      <c r="GL13" s="18" t="s">
        <v>238</v>
      </c>
      <c r="GM13" s="18" t="s">
        <v>238</v>
      </c>
      <c r="GN13" s="324">
        <f t="shared" si="80"/>
        <v>146742</v>
      </c>
      <c r="GO13" s="321">
        <f t="shared" si="81"/>
        <v>146742</v>
      </c>
      <c r="GP13" s="179">
        <f t="shared" si="82"/>
        <v>0</v>
      </c>
      <c r="GQ13" s="9">
        <v>146742</v>
      </c>
      <c r="GR13" s="18" t="s">
        <v>238</v>
      </c>
      <c r="GS13" s="18" t="s">
        <v>238</v>
      </c>
      <c r="GT13" s="324">
        <f t="shared" si="83"/>
        <v>146742</v>
      </c>
      <c r="GU13" s="321">
        <f t="shared" si="84"/>
        <v>146742</v>
      </c>
      <c r="GV13" s="179">
        <f t="shared" si="85"/>
        <v>0</v>
      </c>
      <c r="GW13" s="9">
        <v>154079</v>
      </c>
      <c r="GX13" s="18" t="s">
        <v>238</v>
      </c>
      <c r="GY13" s="18" t="s">
        <v>238</v>
      </c>
      <c r="GZ13" s="324">
        <f t="shared" si="86"/>
        <v>154079</v>
      </c>
      <c r="HA13" s="321">
        <f t="shared" si="87"/>
        <v>154079</v>
      </c>
      <c r="HB13" s="179">
        <f t="shared" si="88"/>
        <v>7337</v>
      </c>
      <c r="HC13" s="102">
        <f t="shared" si="89"/>
        <v>1.043508577567938E-2</v>
      </c>
      <c r="HD13" s="285">
        <f t="shared" si="90"/>
        <v>0</v>
      </c>
      <c r="HE13" s="12">
        <f t="shared" si="91"/>
        <v>7337.1</v>
      </c>
      <c r="HF13" s="12">
        <f t="shared" si="92"/>
        <v>0.1000000000003638</v>
      </c>
      <c r="HG13" s="12">
        <f t="shared" si="93"/>
        <v>7337</v>
      </c>
      <c r="HH13" s="14">
        <f t="shared" si="94"/>
        <v>7337</v>
      </c>
      <c r="HI13" s="13">
        <f t="shared" si="95"/>
        <v>154079</v>
      </c>
      <c r="HJ13" s="102">
        <f t="shared" si="96"/>
        <v>1.0956832953284699E-2</v>
      </c>
      <c r="HK13" s="16">
        <f t="shared" si="97"/>
        <v>146742</v>
      </c>
      <c r="HL13" s="103">
        <f t="shared" si="98"/>
        <v>154079.1</v>
      </c>
      <c r="HM13" s="103">
        <f t="shared" si="99"/>
        <v>7337.1000000000058</v>
      </c>
      <c r="HN13" s="17">
        <f t="shared" si="100"/>
        <v>0.1000000000003638</v>
      </c>
      <c r="HO13" s="56">
        <f t="shared" si="101"/>
        <v>7337.0000000000055</v>
      </c>
      <c r="HP13" s="16">
        <f t="shared" si="102"/>
        <v>0</v>
      </c>
      <c r="HQ13" s="16">
        <f t="shared" si="103"/>
        <v>154079</v>
      </c>
      <c r="HR13" s="16">
        <f t="shared" si="104"/>
        <v>0</v>
      </c>
    </row>
    <row r="14" spans="1:226" x14ac:dyDescent="0.3">
      <c r="A14" s="310">
        <v>11</v>
      </c>
      <c r="B14" s="134"/>
      <c r="C14" s="25" t="s">
        <v>299</v>
      </c>
      <c r="D14" s="21" t="s">
        <v>23</v>
      </c>
      <c r="E14" s="22">
        <v>0</v>
      </c>
      <c r="F14" s="9">
        <v>8800000</v>
      </c>
      <c r="G14" s="9">
        <v>0</v>
      </c>
      <c r="H14" s="324"/>
      <c r="I14" s="324">
        <v>8800000</v>
      </c>
      <c r="J14" s="324">
        <v>8800000</v>
      </c>
      <c r="K14" s="324"/>
      <c r="L14" s="324">
        <v>8800000</v>
      </c>
      <c r="M14" s="23">
        <v>8800000</v>
      </c>
      <c r="N14" s="23">
        <v>8800000</v>
      </c>
      <c r="O14" s="298">
        <v>8800000</v>
      </c>
      <c r="P14" s="298">
        <v>8800000</v>
      </c>
      <c r="Q14" s="298">
        <v>8800000</v>
      </c>
      <c r="R14" s="298">
        <v>8800000</v>
      </c>
      <c r="S14" s="298">
        <v>8800000</v>
      </c>
      <c r="T14" s="298">
        <v>8800000</v>
      </c>
      <c r="U14" s="298">
        <f t="shared" si="0"/>
        <v>440000</v>
      </c>
      <c r="V14" s="298">
        <f t="shared" si="1"/>
        <v>9240000</v>
      </c>
      <c r="W14" s="298">
        <v>9240000</v>
      </c>
      <c r="X14" s="298">
        <v>9240000</v>
      </c>
      <c r="Y14" s="298">
        <v>9240000</v>
      </c>
      <c r="Z14" s="298">
        <v>9240000</v>
      </c>
      <c r="AA14" s="298">
        <v>9240000</v>
      </c>
      <c r="AB14" s="298">
        <v>9240000</v>
      </c>
      <c r="AC14" s="9">
        <v>0</v>
      </c>
      <c r="AD14" s="9">
        <v>0</v>
      </c>
      <c r="AE14" s="298">
        <f t="shared" si="2"/>
        <v>9240000</v>
      </c>
      <c r="AF14" s="298">
        <v>9240000</v>
      </c>
      <c r="AG14" s="9">
        <v>0</v>
      </c>
      <c r="AH14" s="9">
        <v>0</v>
      </c>
      <c r="AI14" s="298">
        <f t="shared" si="3"/>
        <v>9240000</v>
      </c>
      <c r="AJ14" s="298">
        <v>9240000</v>
      </c>
      <c r="AK14" s="9">
        <v>0</v>
      </c>
      <c r="AL14" s="9">
        <v>0</v>
      </c>
      <c r="AM14" s="298">
        <f t="shared" si="4"/>
        <v>9240000</v>
      </c>
      <c r="AN14" s="298">
        <v>9240000</v>
      </c>
      <c r="AO14" s="9">
        <v>0</v>
      </c>
      <c r="AP14" s="9">
        <v>0</v>
      </c>
      <c r="AQ14" s="298">
        <f t="shared" si="5"/>
        <v>9240000</v>
      </c>
      <c r="AR14" s="298">
        <v>9240000</v>
      </c>
      <c r="AS14" s="9">
        <v>0</v>
      </c>
      <c r="AT14" s="9">
        <v>0</v>
      </c>
      <c r="AU14" s="298">
        <f t="shared" si="6"/>
        <v>9240000</v>
      </c>
      <c r="AV14" s="298">
        <v>9240000</v>
      </c>
      <c r="AW14" s="9">
        <v>0</v>
      </c>
      <c r="AX14" s="9">
        <v>0</v>
      </c>
      <c r="AY14" s="7">
        <f t="shared" si="7"/>
        <v>9240000</v>
      </c>
      <c r="AZ14" s="8">
        <f t="shared" si="21"/>
        <v>462000</v>
      </c>
      <c r="BA14" s="8"/>
      <c r="BB14" s="8">
        <f t="shared" si="22"/>
        <v>462000</v>
      </c>
      <c r="BC14" s="8">
        <f t="shared" si="23"/>
        <v>9702000</v>
      </c>
      <c r="BD14" s="8"/>
      <c r="BE14" s="8">
        <f t="shared" si="24"/>
        <v>9702000</v>
      </c>
      <c r="BF14" s="10">
        <f t="shared" si="25"/>
        <v>462000</v>
      </c>
      <c r="BG14" s="11">
        <f t="shared" si="26"/>
        <v>0</v>
      </c>
      <c r="BH14" s="319">
        <v>9702000</v>
      </c>
      <c r="BI14" s="319">
        <v>0</v>
      </c>
      <c r="BJ14" s="319">
        <v>0</v>
      </c>
      <c r="BK14" s="319">
        <f t="shared" si="27"/>
        <v>9702000</v>
      </c>
      <c r="BL14" s="319">
        <v>9702000</v>
      </c>
      <c r="BM14" s="319">
        <v>0</v>
      </c>
      <c r="BN14" s="319">
        <v>0</v>
      </c>
      <c r="BO14" s="319">
        <f t="shared" si="8"/>
        <v>9702000</v>
      </c>
      <c r="BP14" s="319">
        <f t="shared" si="28"/>
        <v>0</v>
      </c>
      <c r="BQ14" s="319">
        <v>9702000</v>
      </c>
      <c r="BR14" s="319">
        <v>0</v>
      </c>
      <c r="BS14" s="319">
        <v>0</v>
      </c>
      <c r="BT14" s="319">
        <f t="shared" si="9"/>
        <v>9702000</v>
      </c>
      <c r="BU14" s="319">
        <f t="shared" si="29"/>
        <v>0</v>
      </c>
      <c r="BV14" s="319">
        <v>9702000</v>
      </c>
      <c r="BW14" s="319">
        <v>0</v>
      </c>
      <c r="BX14" s="319">
        <v>0</v>
      </c>
      <c r="BY14" s="319">
        <f t="shared" si="10"/>
        <v>9702000</v>
      </c>
      <c r="BZ14" s="319">
        <f t="shared" si="30"/>
        <v>0</v>
      </c>
      <c r="CA14" s="319">
        <v>9702000</v>
      </c>
      <c r="CB14" s="319">
        <v>0</v>
      </c>
      <c r="CC14" s="319">
        <v>0</v>
      </c>
      <c r="CD14" s="319">
        <f t="shared" si="11"/>
        <v>9702000</v>
      </c>
      <c r="CE14" s="319">
        <f t="shared" si="31"/>
        <v>0</v>
      </c>
      <c r="CF14" s="319">
        <v>9702000</v>
      </c>
      <c r="CG14" s="319">
        <v>0</v>
      </c>
      <c r="CH14" s="319">
        <v>0</v>
      </c>
      <c r="CI14" s="319">
        <f t="shared" si="12"/>
        <v>9702000</v>
      </c>
      <c r="CJ14" s="319">
        <f t="shared" si="32"/>
        <v>0</v>
      </c>
      <c r="CK14" s="319">
        <v>9702000</v>
      </c>
      <c r="CL14" s="319">
        <v>0</v>
      </c>
      <c r="CM14" s="319">
        <v>0</v>
      </c>
      <c r="CN14" s="319">
        <f t="shared" si="13"/>
        <v>9702000</v>
      </c>
      <c r="CO14" s="319">
        <f t="shared" si="33"/>
        <v>0</v>
      </c>
      <c r="CP14" s="319">
        <v>9702000</v>
      </c>
      <c r="CQ14" s="319"/>
      <c r="CR14" s="319"/>
      <c r="CS14" s="319">
        <f t="shared" si="14"/>
        <v>9702000</v>
      </c>
      <c r="CT14" s="319">
        <f t="shared" si="34"/>
        <v>0</v>
      </c>
      <c r="CU14" s="319">
        <v>9702000</v>
      </c>
      <c r="CV14" s="319">
        <v>0</v>
      </c>
      <c r="CW14" s="319">
        <v>0</v>
      </c>
      <c r="CX14" s="319">
        <f t="shared" si="15"/>
        <v>9702000</v>
      </c>
      <c r="CY14" s="319">
        <f t="shared" si="35"/>
        <v>0</v>
      </c>
      <c r="CZ14" s="319"/>
      <c r="DA14" s="319"/>
      <c r="DB14" s="319"/>
      <c r="DC14" s="12">
        <f t="shared" si="36"/>
        <v>970200</v>
      </c>
      <c r="DD14" s="12">
        <v>0</v>
      </c>
      <c r="DE14" s="13">
        <f t="shared" si="37"/>
        <v>970200</v>
      </c>
      <c r="DF14" s="14">
        <f t="shared" si="38"/>
        <v>970200</v>
      </c>
      <c r="DG14" s="13">
        <f t="shared" si="16"/>
        <v>10672200</v>
      </c>
      <c r="DH14" s="15">
        <f t="shared" si="39"/>
        <v>0.75891920796503709</v>
      </c>
      <c r="DI14" s="16">
        <f t="shared" si="17"/>
        <v>9702000</v>
      </c>
      <c r="DJ14" s="132">
        <f t="shared" si="40"/>
        <v>10672200</v>
      </c>
      <c r="DK14" s="17">
        <f t="shared" si="41"/>
        <v>970200</v>
      </c>
      <c r="DL14" s="17">
        <f t="shared" si="18"/>
        <v>0</v>
      </c>
      <c r="DM14" s="16">
        <f t="shared" si="42"/>
        <v>970200</v>
      </c>
      <c r="DN14" s="16">
        <f t="shared" si="19"/>
        <v>0</v>
      </c>
      <c r="DO14" s="16">
        <f t="shared" si="43"/>
        <v>10672200</v>
      </c>
      <c r="DP14" s="16">
        <f t="shared" si="20"/>
        <v>0</v>
      </c>
      <c r="DQ14" s="9">
        <v>10672200</v>
      </c>
      <c r="DR14" s="18" t="s">
        <v>238</v>
      </c>
      <c r="DS14" s="18" t="s">
        <v>238</v>
      </c>
      <c r="DT14" s="324">
        <f t="shared" si="44"/>
        <v>10672200</v>
      </c>
      <c r="DU14" s="321">
        <f t="shared" si="45"/>
        <v>10672200</v>
      </c>
      <c r="DV14" s="19">
        <f t="shared" si="46"/>
        <v>0</v>
      </c>
      <c r="DW14" s="9">
        <v>10672200</v>
      </c>
      <c r="DX14" s="18"/>
      <c r="DY14" s="18"/>
      <c r="DZ14" s="324">
        <f t="shared" si="47"/>
        <v>10672200</v>
      </c>
      <c r="EA14" s="321">
        <f t="shared" si="48"/>
        <v>10672200</v>
      </c>
      <c r="EB14" s="179">
        <f t="shared" si="49"/>
        <v>0</v>
      </c>
      <c r="EC14" s="9">
        <v>10672200</v>
      </c>
      <c r="ED14" s="18" t="s">
        <v>238</v>
      </c>
      <c r="EE14" s="18" t="s">
        <v>238</v>
      </c>
      <c r="EF14" s="324">
        <f t="shared" si="50"/>
        <v>10672200</v>
      </c>
      <c r="EG14" s="321">
        <f t="shared" si="51"/>
        <v>10672200</v>
      </c>
      <c r="EH14" s="179">
        <f t="shared" si="52"/>
        <v>0</v>
      </c>
      <c r="EI14" s="9">
        <v>10672200</v>
      </c>
      <c r="EJ14" s="18" t="s">
        <v>238</v>
      </c>
      <c r="EK14" s="18" t="s">
        <v>238</v>
      </c>
      <c r="EL14" s="324">
        <f t="shared" si="53"/>
        <v>10672200</v>
      </c>
      <c r="EM14" s="321">
        <f t="shared" si="54"/>
        <v>10672200</v>
      </c>
      <c r="EN14" s="179">
        <f t="shared" si="55"/>
        <v>0</v>
      </c>
      <c r="EO14" s="9">
        <v>10672200</v>
      </c>
      <c r="EP14" s="18" t="s">
        <v>238</v>
      </c>
      <c r="EQ14" s="18" t="s">
        <v>238</v>
      </c>
      <c r="ER14" s="324">
        <f t="shared" si="56"/>
        <v>10672200</v>
      </c>
      <c r="ES14" s="321">
        <f t="shared" si="57"/>
        <v>10672200</v>
      </c>
      <c r="ET14" s="179">
        <f t="shared" si="58"/>
        <v>0</v>
      </c>
      <c r="EU14" s="9">
        <v>10672200</v>
      </c>
      <c r="EV14" s="18" t="s">
        <v>238</v>
      </c>
      <c r="EW14" s="18" t="s">
        <v>238</v>
      </c>
      <c r="EX14" s="324">
        <f t="shared" si="59"/>
        <v>10672200</v>
      </c>
      <c r="EY14" s="321">
        <f t="shared" si="60"/>
        <v>10672200</v>
      </c>
      <c r="EZ14" s="179">
        <f t="shared" si="61"/>
        <v>0</v>
      </c>
      <c r="FA14" s="9">
        <v>10672200</v>
      </c>
      <c r="FB14" s="18" t="s">
        <v>238</v>
      </c>
      <c r="FC14" s="18" t="s">
        <v>238</v>
      </c>
      <c r="FD14" s="324">
        <f t="shared" si="62"/>
        <v>10672200</v>
      </c>
      <c r="FE14" s="321">
        <f t="shared" si="63"/>
        <v>10672200</v>
      </c>
      <c r="FF14" s="179">
        <f t="shared" si="64"/>
        <v>0</v>
      </c>
      <c r="FG14" s="9">
        <v>10672200</v>
      </c>
      <c r="FH14" s="18" t="s">
        <v>238</v>
      </c>
      <c r="FI14" s="18" t="s">
        <v>238</v>
      </c>
      <c r="FJ14" s="324">
        <f t="shared" si="65"/>
        <v>10672200</v>
      </c>
      <c r="FK14" s="321">
        <f t="shared" si="66"/>
        <v>10672200</v>
      </c>
      <c r="FL14" s="179">
        <f t="shared" si="67"/>
        <v>0</v>
      </c>
      <c r="FM14" s="9">
        <v>10672200</v>
      </c>
      <c r="FN14" s="18" t="s">
        <v>238</v>
      </c>
      <c r="FO14" s="18" t="s">
        <v>238</v>
      </c>
      <c r="FP14" s="324">
        <f t="shared" si="68"/>
        <v>10672200</v>
      </c>
      <c r="FQ14" s="321">
        <f t="shared" si="69"/>
        <v>10672200</v>
      </c>
      <c r="FR14" s="179">
        <f t="shared" si="70"/>
        <v>0</v>
      </c>
      <c r="FS14" s="9">
        <v>10672200</v>
      </c>
      <c r="FT14" s="18" t="s">
        <v>238</v>
      </c>
      <c r="FU14" s="18" t="s">
        <v>238</v>
      </c>
      <c r="FV14" s="324">
        <f t="shared" si="71"/>
        <v>10672200</v>
      </c>
      <c r="FW14" s="321">
        <f t="shared" si="72"/>
        <v>10672200</v>
      </c>
      <c r="FX14" s="179">
        <f t="shared" si="73"/>
        <v>0</v>
      </c>
      <c r="FY14" s="9">
        <v>10672200</v>
      </c>
      <c r="FZ14" s="18" t="s">
        <v>238</v>
      </c>
      <c r="GA14" s="18" t="s">
        <v>238</v>
      </c>
      <c r="GB14" s="324">
        <f t="shared" si="74"/>
        <v>10672200</v>
      </c>
      <c r="GC14" s="321">
        <f t="shared" si="75"/>
        <v>10672200</v>
      </c>
      <c r="GD14" s="179">
        <f t="shared" si="76"/>
        <v>0</v>
      </c>
      <c r="GE14" s="9">
        <v>10672200</v>
      </c>
      <c r="GF14" s="18" t="s">
        <v>238</v>
      </c>
      <c r="GG14" s="18" t="s">
        <v>238</v>
      </c>
      <c r="GH14" s="324">
        <f t="shared" si="77"/>
        <v>10672200</v>
      </c>
      <c r="GI14" s="321">
        <f t="shared" si="78"/>
        <v>10672200</v>
      </c>
      <c r="GJ14" s="179">
        <f t="shared" si="79"/>
        <v>0</v>
      </c>
      <c r="GK14" s="9">
        <v>10672200</v>
      </c>
      <c r="GL14" s="18" t="s">
        <v>238</v>
      </c>
      <c r="GM14" s="18" t="s">
        <v>238</v>
      </c>
      <c r="GN14" s="324">
        <f t="shared" si="80"/>
        <v>10672200</v>
      </c>
      <c r="GO14" s="321">
        <f t="shared" si="81"/>
        <v>10672200</v>
      </c>
      <c r="GP14" s="179">
        <f t="shared" si="82"/>
        <v>0</v>
      </c>
      <c r="GQ14" s="9">
        <v>10672200</v>
      </c>
      <c r="GR14" s="18" t="s">
        <v>238</v>
      </c>
      <c r="GS14" s="18" t="s">
        <v>238</v>
      </c>
      <c r="GT14" s="324">
        <f t="shared" si="83"/>
        <v>10672200</v>
      </c>
      <c r="GU14" s="321">
        <f t="shared" si="84"/>
        <v>10672200</v>
      </c>
      <c r="GV14" s="179">
        <f t="shared" si="85"/>
        <v>0</v>
      </c>
      <c r="GW14" s="9">
        <v>11205810</v>
      </c>
      <c r="GX14" s="18" t="s">
        <v>238</v>
      </c>
      <c r="GY14" s="18" t="s">
        <v>238</v>
      </c>
      <c r="GZ14" s="324">
        <f t="shared" si="86"/>
        <v>11205810</v>
      </c>
      <c r="HA14" s="321">
        <f t="shared" si="87"/>
        <v>11205810</v>
      </c>
      <c r="HB14" s="179">
        <f t="shared" si="88"/>
        <v>533610</v>
      </c>
      <c r="HC14" s="102">
        <f t="shared" si="89"/>
        <v>0.75891920796503709</v>
      </c>
      <c r="HD14" s="285">
        <f t="shared" si="90"/>
        <v>0</v>
      </c>
      <c r="HE14" s="12">
        <f t="shared" si="91"/>
        <v>533610</v>
      </c>
      <c r="HF14" s="12">
        <f t="shared" si="92"/>
        <v>0</v>
      </c>
      <c r="HG14" s="12">
        <f t="shared" si="93"/>
        <v>533610</v>
      </c>
      <c r="HH14" s="14">
        <f t="shared" si="94"/>
        <v>533610</v>
      </c>
      <c r="HI14" s="13">
        <f t="shared" si="95"/>
        <v>11205810</v>
      </c>
      <c r="HJ14" s="102">
        <f t="shared" si="96"/>
        <v>0.79686516836328902</v>
      </c>
      <c r="HK14" s="16">
        <f t="shared" si="97"/>
        <v>10672200</v>
      </c>
      <c r="HL14" s="103">
        <f t="shared" si="98"/>
        <v>11205810</v>
      </c>
      <c r="HM14" s="103">
        <f t="shared" si="99"/>
        <v>533610</v>
      </c>
      <c r="HN14" s="17">
        <f t="shared" si="100"/>
        <v>0</v>
      </c>
      <c r="HO14" s="56">
        <f t="shared" si="101"/>
        <v>533610</v>
      </c>
      <c r="HP14" s="16">
        <f t="shared" si="102"/>
        <v>0</v>
      </c>
      <c r="HQ14" s="16">
        <f t="shared" si="103"/>
        <v>11205810</v>
      </c>
      <c r="HR14" s="16">
        <f t="shared" si="104"/>
        <v>0</v>
      </c>
    </row>
    <row r="15" spans="1:226" x14ac:dyDescent="0.3">
      <c r="A15" s="140"/>
      <c r="B15" s="140"/>
      <c r="C15" s="140"/>
      <c r="D15" s="141" t="s">
        <v>216</v>
      </c>
      <c r="E15" s="121">
        <f t="shared" ref="E15:BP15" si="105">SUM(E4:E14)</f>
        <v>0</v>
      </c>
      <c r="F15" s="121">
        <f t="shared" si="105"/>
        <v>163003400</v>
      </c>
      <c r="G15" s="121">
        <f t="shared" si="105"/>
        <v>0</v>
      </c>
      <c r="H15" s="121">
        <f t="shared" si="105"/>
        <v>0</v>
      </c>
      <c r="I15" s="121">
        <f t="shared" si="105"/>
        <v>186197241</v>
      </c>
      <c r="J15" s="121">
        <f t="shared" si="105"/>
        <v>163003400</v>
      </c>
      <c r="K15" s="121">
        <f t="shared" si="105"/>
        <v>0</v>
      </c>
      <c r="L15" s="121">
        <f t="shared" si="105"/>
        <v>186197241</v>
      </c>
      <c r="M15" s="121">
        <f t="shared" si="105"/>
        <v>186197241</v>
      </c>
      <c r="N15" s="121">
        <f t="shared" si="105"/>
        <v>186197241</v>
      </c>
      <c r="O15" s="121">
        <f t="shared" si="105"/>
        <v>186197241</v>
      </c>
      <c r="P15" s="121">
        <f t="shared" si="105"/>
        <v>186197241</v>
      </c>
      <c r="Q15" s="121">
        <f t="shared" si="105"/>
        <v>186197241</v>
      </c>
      <c r="R15" s="121">
        <f t="shared" si="105"/>
        <v>186197241</v>
      </c>
      <c r="S15" s="121">
        <f t="shared" si="105"/>
        <v>186197241</v>
      </c>
      <c r="T15" s="121">
        <f t="shared" si="105"/>
        <v>186197241</v>
      </c>
      <c r="U15" s="121">
        <f t="shared" si="105"/>
        <v>9309862.0500000007</v>
      </c>
      <c r="V15" s="121">
        <f t="shared" si="105"/>
        <v>195507103.05000001</v>
      </c>
      <c r="W15" s="121">
        <f t="shared" si="105"/>
        <v>195507102</v>
      </c>
      <c r="X15" s="121">
        <f t="shared" si="105"/>
        <v>195507102</v>
      </c>
      <c r="Y15" s="121">
        <f t="shared" si="105"/>
        <v>195507102</v>
      </c>
      <c r="Z15" s="121">
        <f t="shared" si="105"/>
        <v>195507102</v>
      </c>
      <c r="AA15" s="121">
        <f t="shared" si="105"/>
        <v>195507102</v>
      </c>
      <c r="AB15" s="121">
        <f t="shared" si="105"/>
        <v>195507102</v>
      </c>
      <c r="AC15" s="121">
        <f t="shared" si="105"/>
        <v>0</v>
      </c>
      <c r="AD15" s="121">
        <f t="shared" si="105"/>
        <v>0</v>
      </c>
      <c r="AE15" s="121">
        <f t="shared" si="105"/>
        <v>195507102</v>
      </c>
      <c r="AF15" s="121">
        <f t="shared" si="105"/>
        <v>195507102</v>
      </c>
      <c r="AG15" s="121">
        <f t="shared" si="105"/>
        <v>0</v>
      </c>
      <c r="AH15" s="121">
        <f t="shared" si="105"/>
        <v>0</v>
      </c>
      <c r="AI15" s="121">
        <f t="shared" si="105"/>
        <v>195507102</v>
      </c>
      <c r="AJ15" s="121">
        <f t="shared" si="105"/>
        <v>195507102</v>
      </c>
      <c r="AK15" s="121">
        <f t="shared" si="105"/>
        <v>0</v>
      </c>
      <c r="AL15" s="121">
        <f t="shared" si="105"/>
        <v>0</v>
      </c>
      <c r="AM15" s="121">
        <f t="shared" si="105"/>
        <v>195507102</v>
      </c>
      <c r="AN15" s="121">
        <f t="shared" si="105"/>
        <v>195507102</v>
      </c>
      <c r="AO15" s="121">
        <f t="shared" si="105"/>
        <v>0</v>
      </c>
      <c r="AP15" s="121">
        <f t="shared" si="105"/>
        <v>0</v>
      </c>
      <c r="AQ15" s="121">
        <f t="shared" si="105"/>
        <v>195507102</v>
      </c>
      <c r="AR15" s="121">
        <f t="shared" si="105"/>
        <v>195507102</v>
      </c>
      <c r="AS15" s="121">
        <f t="shared" si="105"/>
        <v>0</v>
      </c>
      <c r="AT15" s="121">
        <f t="shared" si="105"/>
        <v>0</v>
      </c>
      <c r="AU15" s="121">
        <f t="shared" si="105"/>
        <v>195507102</v>
      </c>
      <c r="AV15" s="121">
        <f t="shared" si="105"/>
        <v>195507102</v>
      </c>
      <c r="AW15" s="121">
        <f t="shared" si="105"/>
        <v>0</v>
      </c>
      <c r="AX15" s="121">
        <f t="shared" si="105"/>
        <v>0</v>
      </c>
      <c r="AY15" s="121">
        <f t="shared" si="105"/>
        <v>195507102</v>
      </c>
      <c r="AZ15" s="121">
        <f t="shared" si="105"/>
        <v>9775355.0999999996</v>
      </c>
      <c r="BA15" s="121">
        <f t="shared" si="105"/>
        <v>2.1</v>
      </c>
      <c r="BB15" s="121">
        <f t="shared" si="105"/>
        <v>9775353</v>
      </c>
      <c r="BC15" s="121">
        <f t="shared" si="105"/>
        <v>205282455</v>
      </c>
      <c r="BD15" s="121">
        <f t="shared" si="105"/>
        <v>0</v>
      </c>
      <c r="BE15" s="121">
        <f t="shared" si="105"/>
        <v>205282455</v>
      </c>
      <c r="BF15" s="121">
        <f t="shared" si="105"/>
        <v>9775353</v>
      </c>
      <c r="BG15" s="121">
        <f t="shared" si="105"/>
        <v>0</v>
      </c>
      <c r="BH15" s="121">
        <f t="shared" si="105"/>
        <v>205282455</v>
      </c>
      <c r="BI15" s="121">
        <f t="shared" si="105"/>
        <v>0</v>
      </c>
      <c r="BJ15" s="121">
        <f t="shared" si="105"/>
        <v>0</v>
      </c>
      <c r="BK15" s="121">
        <f t="shared" si="105"/>
        <v>205282455</v>
      </c>
      <c r="BL15" s="121">
        <f t="shared" si="105"/>
        <v>205282455</v>
      </c>
      <c r="BM15" s="121">
        <f t="shared" si="105"/>
        <v>0</v>
      </c>
      <c r="BN15" s="121">
        <f t="shared" si="105"/>
        <v>0</v>
      </c>
      <c r="BO15" s="121">
        <f t="shared" si="105"/>
        <v>205282455</v>
      </c>
      <c r="BP15" s="121">
        <f t="shared" si="105"/>
        <v>0</v>
      </c>
      <c r="BQ15" s="121">
        <f t="shared" ref="BQ15:EB15" si="106">SUM(BQ4:BQ14)</f>
        <v>205282455</v>
      </c>
      <c r="BR15" s="121">
        <f t="shared" si="106"/>
        <v>0</v>
      </c>
      <c r="BS15" s="121">
        <f t="shared" si="106"/>
        <v>0</v>
      </c>
      <c r="BT15" s="121">
        <f t="shared" si="106"/>
        <v>205282455</v>
      </c>
      <c r="BU15" s="121">
        <f t="shared" si="106"/>
        <v>0</v>
      </c>
      <c r="BV15" s="121">
        <f t="shared" si="106"/>
        <v>205282455</v>
      </c>
      <c r="BW15" s="121">
        <f t="shared" si="106"/>
        <v>0</v>
      </c>
      <c r="BX15" s="121">
        <f t="shared" si="106"/>
        <v>0</v>
      </c>
      <c r="BY15" s="121">
        <f t="shared" si="106"/>
        <v>205282455</v>
      </c>
      <c r="BZ15" s="121">
        <f t="shared" si="106"/>
        <v>0</v>
      </c>
      <c r="CA15" s="121">
        <f t="shared" si="106"/>
        <v>205282455</v>
      </c>
      <c r="CB15" s="121">
        <f t="shared" si="106"/>
        <v>0</v>
      </c>
      <c r="CC15" s="121">
        <f t="shared" si="106"/>
        <v>0</v>
      </c>
      <c r="CD15" s="121">
        <f t="shared" si="106"/>
        <v>205282455</v>
      </c>
      <c r="CE15" s="121">
        <f t="shared" si="106"/>
        <v>0</v>
      </c>
      <c r="CF15" s="121">
        <f t="shared" si="106"/>
        <v>205282455</v>
      </c>
      <c r="CG15" s="121">
        <f t="shared" si="106"/>
        <v>0</v>
      </c>
      <c r="CH15" s="121">
        <f t="shared" si="106"/>
        <v>0</v>
      </c>
      <c r="CI15" s="121">
        <f t="shared" si="106"/>
        <v>205282455</v>
      </c>
      <c r="CJ15" s="121">
        <f t="shared" si="106"/>
        <v>0</v>
      </c>
      <c r="CK15" s="121">
        <f t="shared" si="106"/>
        <v>205282455</v>
      </c>
      <c r="CL15" s="121">
        <f t="shared" si="106"/>
        <v>0</v>
      </c>
      <c r="CM15" s="121">
        <f t="shared" si="106"/>
        <v>0</v>
      </c>
      <c r="CN15" s="121">
        <f t="shared" si="106"/>
        <v>205282455</v>
      </c>
      <c r="CO15" s="121">
        <f t="shared" si="106"/>
        <v>0</v>
      </c>
      <c r="CP15" s="121">
        <f t="shared" si="106"/>
        <v>205282455</v>
      </c>
      <c r="CQ15" s="121">
        <f t="shared" si="106"/>
        <v>0</v>
      </c>
      <c r="CR15" s="121">
        <f t="shared" si="106"/>
        <v>0</v>
      </c>
      <c r="CS15" s="121">
        <f t="shared" si="106"/>
        <v>205282455</v>
      </c>
      <c r="CT15" s="121">
        <f t="shared" si="106"/>
        <v>0</v>
      </c>
      <c r="CU15" s="121">
        <f t="shared" si="106"/>
        <v>205282455</v>
      </c>
      <c r="CV15" s="121">
        <f t="shared" si="106"/>
        <v>0</v>
      </c>
      <c r="CW15" s="121">
        <f t="shared" si="106"/>
        <v>0</v>
      </c>
      <c r="CX15" s="121">
        <f t="shared" si="106"/>
        <v>205282455</v>
      </c>
      <c r="CY15" s="121">
        <f t="shared" si="106"/>
        <v>0</v>
      </c>
      <c r="CZ15" s="121">
        <f t="shared" si="106"/>
        <v>0</v>
      </c>
      <c r="DA15" s="121">
        <f t="shared" si="106"/>
        <v>0</v>
      </c>
      <c r="DB15" s="121">
        <f t="shared" si="106"/>
        <v>0</v>
      </c>
      <c r="DC15" s="121">
        <f t="shared" si="106"/>
        <v>20528245.5</v>
      </c>
      <c r="DD15" s="121">
        <f t="shared" si="106"/>
        <v>4.5</v>
      </c>
      <c r="DE15" s="121">
        <f t="shared" si="106"/>
        <v>20528241</v>
      </c>
      <c r="DF15" s="121">
        <f t="shared" si="106"/>
        <v>20528241</v>
      </c>
      <c r="DG15" s="121">
        <f t="shared" si="106"/>
        <v>225810696</v>
      </c>
      <c r="DH15" s="121">
        <f t="shared" si="106"/>
        <v>16.057802325058578</v>
      </c>
      <c r="DI15" s="121">
        <f t="shared" si="106"/>
        <v>205282455</v>
      </c>
      <c r="DJ15" s="121">
        <f t="shared" si="106"/>
        <v>225810700.5</v>
      </c>
      <c r="DK15" s="121">
        <f t="shared" si="106"/>
        <v>20528245.500000026</v>
      </c>
      <c r="DL15" s="121">
        <f t="shared" si="106"/>
        <v>4.5</v>
      </c>
      <c r="DM15" s="121">
        <f t="shared" si="106"/>
        <v>20528241.000000026</v>
      </c>
      <c r="DN15" s="121">
        <f t="shared" si="106"/>
        <v>2.1420419216156006E-8</v>
      </c>
      <c r="DO15" s="121">
        <f t="shared" si="106"/>
        <v>225810696</v>
      </c>
      <c r="DP15" s="121">
        <f t="shared" si="106"/>
        <v>0</v>
      </c>
      <c r="DQ15" s="121">
        <f t="shared" si="106"/>
        <v>225810696</v>
      </c>
      <c r="DR15" s="121">
        <f t="shared" si="106"/>
        <v>0</v>
      </c>
      <c r="DS15" s="121">
        <f t="shared" si="106"/>
        <v>0</v>
      </c>
      <c r="DT15" s="121">
        <f t="shared" si="106"/>
        <v>225810696</v>
      </c>
      <c r="DU15" s="121">
        <f t="shared" si="106"/>
        <v>225810696</v>
      </c>
      <c r="DV15" s="121">
        <f t="shared" si="106"/>
        <v>0</v>
      </c>
      <c r="DW15" s="121">
        <f t="shared" si="106"/>
        <v>225810696</v>
      </c>
      <c r="DX15" s="121">
        <f t="shared" si="106"/>
        <v>0</v>
      </c>
      <c r="DY15" s="121">
        <f t="shared" si="106"/>
        <v>0</v>
      </c>
      <c r="DZ15" s="121">
        <f t="shared" si="106"/>
        <v>225810696</v>
      </c>
      <c r="EA15" s="121">
        <f t="shared" si="106"/>
        <v>225810696</v>
      </c>
      <c r="EB15" s="121">
        <f t="shared" si="106"/>
        <v>0</v>
      </c>
      <c r="EC15" s="121">
        <f t="shared" ref="EC15:FL15" si="107">SUM(EC4:EC14)</f>
        <v>225810696</v>
      </c>
      <c r="ED15" s="121">
        <f t="shared" si="107"/>
        <v>0</v>
      </c>
      <c r="EE15" s="121">
        <f t="shared" si="107"/>
        <v>0</v>
      </c>
      <c r="EF15" s="121">
        <f t="shared" si="107"/>
        <v>225810696</v>
      </c>
      <c r="EG15" s="121">
        <f t="shared" si="107"/>
        <v>225810696</v>
      </c>
      <c r="EH15" s="121">
        <f t="shared" si="107"/>
        <v>0</v>
      </c>
      <c r="EI15" s="121">
        <f t="shared" si="107"/>
        <v>225810696</v>
      </c>
      <c r="EJ15" s="121">
        <f t="shared" si="107"/>
        <v>0</v>
      </c>
      <c r="EK15" s="121">
        <f t="shared" si="107"/>
        <v>0</v>
      </c>
      <c r="EL15" s="121">
        <f t="shared" si="107"/>
        <v>225810696</v>
      </c>
      <c r="EM15" s="121">
        <f t="shared" si="107"/>
        <v>225810696</v>
      </c>
      <c r="EN15" s="121">
        <f t="shared" si="107"/>
        <v>0</v>
      </c>
      <c r="EO15" s="121">
        <f t="shared" si="107"/>
        <v>225810696</v>
      </c>
      <c r="EP15" s="121">
        <f t="shared" si="107"/>
        <v>0</v>
      </c>
      <c r="EQ15" s="121">
        <f t="shared" si="107"/>
        <v>0</v>
      </c>
      <c r="ER15" s="121">
        <f t="shared" si="107"/>
        <v>225810696</v>
      </c>
      <c r="ES15" s="121">
        <f t="shared" si="107"/>
        <v>225810696</v>
      </c>
      <c r="ET15" s="121">
        <f t="shared" si="107"/>
        <v>0</v>
      </c>
      <c r="EU15" s="121">
        <f t="shared" si="107"/>
        <v>225810696</v>
      </c>
      <c r="EV15" s="121">
        <f t="shared" si="107"/>
        <v>0</v>
      </c>
      <c r="EW15" s="121">
        <f t="shared" si="107"/>
        <v>0</v>
      </c>
      <c r="EX15" s="121">
        <f t="shared" si="107"/>
        <v>225810696</v>
      </c>
      <c r="EY15" s="121">
        <f t="shared" si="107"/>
        <v>225810696</v>
      </c>
      <c r="EZ15" s="121">
        <f t="shared" si="107"/>
        <v>0</v>
      </c>
      <c r="FA15" s="121">
        <f t="shared" si="107"/>
        <v>225810696</v>
      </c>
      <c r="FB15" s="121">
        <f t="shared" si="107"/>
        <v>0</v>
      </c>
      <c r="FC15" s="121">
        <f t="shared" si="107"/>
        <v>0</v>
      </c>
      <c r="FD15" s="121">
        <f t="shared" si="107"/>
        <v>225810696</v>
      </c>
      <c r="FE15" s="121">
        <f t="shared" si="107"/>
        <v>225810696</v>
      </c>
      <c r="FF15" s="121">
        <f t="shared" si="107"/>
        <v>0</v>
      </c>
      <c r="FG15" s="121">
        <f t="shared" si="107"/>
        <v>225810696</v>
      </c>
      <c r="FH15" s="121">
        <f t="shared" si="107"/>
        <v>0</v>
      </c>
      <c r="FI15" s="121">
        <f t="shared" si="107"/>
        <v>0</v>
      </c>
      <c r="FJ15" s="121">
        <f t="shared" si="107"/>
        <v>225810696</v>
      </c>
      <c r="FK15" s="121">
        <f t="shared" si="107"/>
        <v>225810696</v>
      </c>
      <c r="FL15" s="121">
        <f t="shared" si="107"/>
        <v>0</v>
      </c>
      <c r="FM15" s="121">
        <f t="shared" ref="FM15:FR15" si="108">SUM(FM4:FM14)</f>
        <v>225810696</v>
      </c>
      <c r="FN15" s="121">
        <f t="shared" si="108"/>
        <v>0</v>
      </c>
      <c r="FO15" s="121">
        <f t="shared" si="108"/>
        <v>0</v>
      </c>
      <c r="FP15" s="121">
        <f t="shared" si="108"/>
        <v>225810696</v>
      </c>
      <c r="FQ15" s="121">
        <f t="shared" si="108"/>
        <v>225810696</v>
      </c>
      <c r="FR15" s="121">
        <f t="shared" si="108"/>
        <v>0</v>
      </c>
      <c r="FS15" s="121">
        <f t="shared" ref="FS15:FX15" si="109">SUM(FS4:FS14)</f>
        <v>225810696</v>
      </c>
      <c r="FT15" s="121">
        <f t="shared" si="109"/>
        <v>0</v>
      </c>
      <c r="FU15" s="121">
        <f t="shared" si="109"/>
        <v>0</v>
      </c>
      <c r="FV15" s="121">
        <f t="shared" si="109"/>
        <v>225810696</v>
      </c>
      <c r="FW15" s="121">
        <f t="shared" si="109"/>
        <v>225810696</v>
      </c>
      <c r="FX15" s="121">
        <f t="shared" si="109"/>
        <v>0</v>
      </c>
      <c r="FY15" s="121">
        <f t="shared" ref="FY15:GD15" si="110">SUM(FY4:FY14)</f>
        <v>225810696</v>
      </c>
      <c r="FZ15" s="121">
        <f t="shared" si="110"/>
        <v>0</v>
      </c>
      <c r="GA15" s="121">
        <f t="shared" si="110"/>
        <v>0</v>
      </c>
      <c r="GB15" s="121">
        <f t="shared" si="110"/>
        <v>225810696</v>
      </c>
      <c r="GC15" s="121">
        <f t="shared" si="110"/>
        <v>225810696</v>
      </c>
      <c r="GD15" s="121">
        <f t="shared" si="110"/>
        <v>0</v>
      </c>
      <c r="GE15" s="121">
        <f t="shared" ref="GE15:GJ15" si="111">SUM(GE4:GE14)</f>
        <v>225810696</v>
      </c>
      <c r="GF15" s="121">
        <f t="shared" si="111"/>
        <v>0</v>
      </c>
      <c r="GG15" s="121">
        <f t="shared" si="111"/>
        <v>0</v>
      </c>
      <c r="GH15" s="121">
        <f t="shared" si="111"/>
        <v>225810696</v>
      </c>
      <c r="GI15" s="121">
        <f t="shared" si="111"/>
        <v>225810696</v>
      </c>
      <c r="GJ15" s="121">
        <f t="shared" si="111"/>
        <v>0</v>
      </c>
      <c r="GK15" s="121">
        <f t="shared" ref="GK15:GP15" si="112">SUM(GK4:GK14)</f>
        <v>225810696</v>
      </c>
      <c r="GL15" s="121">
        <f t="shared" si="112"/>
        <v>0</v>
      </c>
      <c r="GM15" s="121">
        <f t="shared" si="112"/>
        <v>0</v>
      </c>
      <c r="GN15" s="121">
        <f t="shared" si="112"/>
        <v>225810696</v>
      </c>
      <c r="GO15" s="121">
        <f t="shared" si="112"/>
        <v>225810696</v>
      </c>
      <c r="GP15" s="121">
        <f t="shared" si="112"/>
        <v>0</v>
      </c>
      <c r="GQ15" s="121">
        <f t="shared" ref="GQ15:GV15" si="113">SUM(GQ4:GQ14)</f>
        <v>225810696</v>
      </c>
      <c r="GR15" s="121">
        <f t="shared" si="113"/>
        <v>0</v>
      </c>
      <c r="GS15" s="121">
        <f t="shared" si="113"/>
        <v>0</v>
      </c>
      <c r="GT15" s="121">
        <f t="shared" si="113"/>
        <v>225810696</v>
      </c>
      <c r="GU15" s="121">
        <f t="shared" si="113"/>
        <v>225810696</v>
      </c>
      <c r="GV15" s="121">
        <f t="shared" si="113"/>
        <v>0</v>
      </c>
      <c r="GW15" s="121">
        <f t="shared" ref="GW15:HB15" si="114">SUM(GW4:GW14)</f>
        <v>237101227</v>
      </c>
      <c r="GX15" s="121">
        <f t="shared" si="114"/>
        <v>0</v>
      </c>
      <c r="GY15" s="121">
        <f t="shared" si="114"/>
        <v>0</v>
      </c>
      <c r="GZ15" s="121">
        <f t="shared" si="114"/>
        <v>237101227</v>
      </c>
      <c r="HA15" s="121">
        <f t="shared" si="114"/>
        <v>237101227</v>
      </c>
      <c r="HB15" s="121">
        <f t="shared" si="114"/>
        <v>11290531</v>
      </c>
      <c r="HC15" s="121">
        <f>SUM(HC4:HC14)</f>
        <v>16.057802005055542</v>
      </c>
    </row>
    <row r="16" spans="1:226" x14ac:dyDescent="0.3">
      <c r="A16" s="315"/>
      <c r="B16" s="315"/>
      <c r="C16" s="315"/>
      <c r="D16" s="118"/>
      <c r="E16" s="110"/>
      <c r="F16" s="110"/>
      <c r="G16" s="110"/>
      <c r="H16" s="26"/>
      <c r="I16" s="26"/>
      <c r="J16" s="26"/>
      <c r="K16" s="26"/>
      <c r="L16" s="26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  <c r="X16" s="109"/>
      <c r="Y16" s="109"/>
      <c r="Z16" s="109"/>
      <c r="AA16" s="109"/>
      <c r="AB16" s="109"/>
      <c r="AC16" s="110"/>
      <c r="AD16" s="110"/>
      <c r="AE16" s="109"/>
      <c r="AF16" s="109"/>
      <c r="AG16" s="110"/>
      <c r="AH16" s="110"/>
      <c r="AI16" s="109"/>
      <c r="AJ16" s="109"/>
      <c r="AK16" s="110"/>
      <c r="AL16" s="110"/>
      <c r="AM16" s="109"/>
      <c r="AN16" s="109"/>
      <c r="AO16" s="110"/>
      <c r="AP16" s="110"/>
      <c r="AQ16" s="109"/>
      <c r="AR16" s="109"/>
      <c r="AS16" s="110"/>
      <c r="AT16" s="110"/>
      <c r="AU16" s="109"/>
      <c r="AV16" s="109"/>
      <c r="AW16" s="110"/>
      <c r="AX16" s="110"/>
      <c r="AY16" s="127">
        <f>AY15*10*5%</f>
        <v>97753551</v>
      </c>
      <c r="AZ16" s="109"/>
      <c r="BA16" s="109"/>
      <c r="BB16" s="109"/>
      <c r="BC16" s="109"/>
      <c r="BD16" s="109"/>
      <c r="BE16" s="109"/>
      <c r="BF16" s="119"/>
      <c r="BG16" s="119"/>
      <c r="BH16" s="119"/>
      <c r="BI16" s="119"/>
      <c r="BJ16" s="119"/>
      <c r="BK16" s="119"/>
      <c r="BL16" s="119"/>
      <c r="BM16" s="119"/>
      <c r="BN16" s="119"/>
      <c r="BO16" s="119"/>
      <c r="BP16" s="119"/>
      <c r="BQ16" s="119"/>
      <c r="BR16" s="119"/>
      <c r="BS16" s="119"/>
      <c r="BT16" s="119"/>
      <c r="BU16" s="119"/>
      <c r="BV16" s="119"/>
      <c r="BW16" s="119"/>
      <c r="BX16" s="119"/>
      <c r="BY16" s="119"/>
      <c r="BZ16" s="119"/>
      <c r="CA16" s="119"/>
      <c r="CB16" s="119"/>
      <c r="CC16" s="119"/>
      <c r="CD16" s="119"/>
      <c r="CE16" s="119"/>
      <c r="CF16" s="119"/>
      <c r="CG16" s="119"/>
      <c r="CH16" s="119"/>
      <c r="CI16" s="119"/>
      <c r="CJ16" s="119"/>
      <c r="CK16" s="119"/>
      <c r="CL16" s="119"/>
      <c r="CM16" s="119"/>
      <c r="CN16" s="119"/>
      <c r="CO16" s="119"/>
      <c r="CP16" s="119"/>
      <c r="CQ16" s="119"/>
      <c r="CR16" s="119"/>
      <c r="CS16" s="119"/>
      <c r="CT16" s="119"/>
      <c r="CU16" s="119"/>
      <c r="CV16" s="119"/>
      <c r="CW16" s="119"/>
      <c r="CX16" s="119"/>
      <c r="CY16" s="119"/>
      <c r="CZ16" s="119"/>
      <c r="DA16" s="119"/>
      <c r="DB16" s="119"/>
      <c r="DC16" s="119"/>
      <c r="DD16" s="119"/>
      <c r="DE16" s="119"/>
      <c r="DF16" s="119"/>
      <c r="DG16" s="119"/>
      <c r="DH16" s="120"/>
    </row>
    <row r="18" spans="1:226" s="74" customFormat="1" ht="52.5" customHeight="1" x14ac:dyDescent="0.3">
      <c r="A18" s="85" t="s">
        <v>0</v>
      </c>
      <c r="B18" s="85" t="s">
        <v>1</v>
      </c>
      <c r="C18" s="85" t="s">
        <v>217</v>
      </c>
      <c r="D18" s="86" t="s">
        <v>218</v>
      </c>
      <c r="E18" s="87" t="s">
        <v>233</v>
      </c>
      <c r="F18" s="87" t="s">
        <v>234</v>
      </c>
      <c r="G18" s="87" t="s">
        <v>235</v>
      </c>
      <c r="H18" s="87" t="s">
        <v>383</v>
      </c>
      <c r="I18" s="87" t="s">
        <v>382</v>
      </c>
      <c r="J18" s="87" t="s">
        <v>381</v>
      </c>
      <c r="K18" s="87" t="s">
        <v>380</v>
      </c>
      <c r="L18" s="87" t="s">
        <v>379</v>
      </c>
      <c r="M18" s="87" t="s">
        <v>378</v>
      </c>
      <c r="N18" s="87" t="s">
        <v>377</v>
      </c>
      <c r="O18" s="87" t="s">
        <v>394</v>
      </c>
      <c r="P18" s="87" t="s">
        <v>413</v>
      </c>
      <c r="Q18" s="87" t="s">
        <v>415</v>
      </c>
      <c r="R18" s="87" t="s">
        <v>417</v>
      </c>
      <c r="S18" s="87" t="s">
        <v>420</v>
      </c>
      <c r="T18" s="87" t="s">
        <v>421</v>
      </c>
      <c r="U18" s="87" t="s">
        <v>425</v>
      </c>
      <c r="V18" s="87" t="s">
        <v>426</v>
      </c>
      <c r="W18" s="87" t="s">
        <v>424</v>
      </c>
      <c r="X18" s="87" t="s">
        <v>437</v>
      </c>
      <c r="Y18" s="87" t="s">
        <v>439</v>
      </c>
      <c r="Z18" s="87" t="s">
        <v>447</v>
      </c>
      <c r="AA18" s="87" t="s">
        <v>458</v>
      </c>
      <c r="AB18" s="590" t="s">
        <v>459</v>
      </c>
      <c r="AC18" s="591"/>
      <c r="AD18" s="591"/>
      <c r="AE18" s="592"/>
      <c r="AF18" s="596" t="s">
        <v>462</v>
      </c>
      <c r="AG18" s="597"/>
      <c r="AH18" s="597"/>
      <c r="AI18" s="598"/>
      <c r="AJ18" s="590" t="s">
        <v>466</v>
      </c>
      <c r="AK18" s="591"/>
      <c r="AL18" s="591"/>
      <c r="AM18" s="592"/>
      <c r="AN18" s="596" t="s">
        <v>470</v>
      </c>
      <c r="AO18" s="597"/>
      <c r="AP18" s="597"/>
      <c r="AQ18" s="598"/>
      <c r="AR18" s="590" t="s">
        <v>478</v>
      </c>
      <c r="AS18" s="591"/>
      <c r="AT18" s="591"/>
      <c r="AU18" s="592"/>
      <c r="AV18" s="596" t="s">
        <v>483</v>
      </c>
      <c r="AW18" s="597"/>
      <c r="AX18" s="597"/>
      <c r="AY18" s="598"/>
      <c r="AZ18" s="436" t="s">
        <v>503</v>
      </c>
      <c r="BA18" s="436" t="s">
        <v>488</v>
      </c>
      <c r="BB18" s="436" t="s">
        <v>489</v>
      </c>
      <c r="BC18" s="436" t="s">
        <v>423</v>
      </c>
      <c r="BD18" s="436" t="s">
        <v>507</v>
      </c>
      <c r="BE18" s="436" t="s">
        <v>531</v>
      </c>
      <c r="BF18" s="437" t="s">
        <v>508</v>
      </c>
      <c r="BG18" s="437" t="s">
        <v>509</v>
      </c>
      <c r="BH18" s="590" t="s">
        <v>532</v>
      </c>
      <c r="BI18" s="591"/>
      <c r="BJ18" s="591"/>
      <c r="BK18" s="592"/>
      <c r="BL18" s="596" t="s">
        <v>539</v>
      </c>
      <c r="BM18" s="597"/>
      <c r="BN18" s="597"/>
      <c r="BO18" s="598"/>
      <c r="BP18" s="438" t="s">
        <v>538</v>
      </c>
      <c r="BQ18" s="590" t="s">
        <v>542</v>
      </c>
      <c r="BR18" s="591"/>
      <c r="BS18" s="591"/>
      <c r="BT18" s="592"/>
      <c r="BU18" s="438" t="s">
        <v>541</v>
      </c>
      <c r="BV18" s="590" t="s">
        <v>552</v>
      </c>
      <c r="BW18" s="591"/>
      <c r="BX18" s="591"/>
      <c r="BY18" s="592"/>
      <c r="BZ18" s="438" t="s">
        <v>553</v>
      </c>
      <c r="CA18" s="590" t="s">
        <v>578</v>
      </c>
      <c r="CB18" s="591"/>
      <c r="CC18" s="591"/>
      <c r="CD18" s="592"/>
      <c r="CE18" s="438" t="s">
        <v>579</v>
      </c>
      <c r="CF18" s="590" t="s">
        <v>581</v>
      </c>
      <c r="CG18" s="591"/>
      <c r="CH18" s="591"/>
      <c r="CI18" s="592"/>
      <c r="CJ18" s="438" t="s">
        <v>580</v>
      </c>
      <c r="CK18" s="590" t="s">
        <v>585</v>
      </c>
      <c r="CL18" s="591"/>
      <c r="CM18" s="591"/>
      <c r="CN18" s="592"/>
      <c r="CO18" s="438" t="s">
        <v>586</v>
      </c>
      <c r="CP18" s="590" t="s">
        <v>587</v>
      </c>
      <c r="CQ18" s="591"/>
      <c r="CR18" s="591"/>
      <c r="CS18" s="592"/>
      <c r="CT18" s="438" t="s">
        <v>588</v>
      </c>
      <c r="CU18" s="590" t="s">
        <v>590</v>
      </c>
      <c r="CV18" s="591"/>
      <c r="CW18" s="591"/>
      <c r="CX18" s="592"/>
      <c r="CY18" s="438" t="s">
        <v>592</v>
      </c>
      <c r="CZ18" s="294"/>
      <c r="DA18" s="294"/>
      <c r="DB18" s="294"/>
      <c r="DC18" s="95" t="s">
        <v>602</v>
      </c>
      <c r="DD18" s="95" t="s">
        <v>488</v>
      </c>
      <c r="DE18" s="95" t="s">
        <v>489</v>
      </c>
      <c r="DF18" s="95" t="s">
        <v>603</v>
      </c>
      <c r="DG18" s="95" t="s">
        <v>423</v>
      </c>
      <c r="DH18" s="85" t="s">
        <v>2</v>
      </c>
      <c r="DI18" s="593" t="s">
        <v>613</v>
      </c>
      <c r="DJ18" s="594"/>
      <c r="DK18" s="594"/>
      <c r="DL18" s="594"/>
      <c r="DM18" s="594"/>
      <c r="DN18" s="594"/>
      <c r="DO18" s="594"/>
      <c r="DP18" s="595"/>
      <c r="DQ18" s="584" t="s">
        <v>614</v>
      </c>
      <c r="DR18" s="585"/>
      <c r="DS18" s="585"/>
      <c r="DT18" s="585"/>
      <c r="DU18" s="586"/>
      <c r="DV18" s="87" t="s">
        <v>615</v>
      </c>
      <c r="DW18" s="584" t="s">
        <v>623</v>
      </c>
      <c r="DX18" s="585"/>
      <c r="DY18" s="585"/>
      <c r="DZ18" s="585"/>
      <c r="EA18" s="586"/>
      <c r="EB18" s="87" t="s">
        <v>624</v>
      </c>
      <c r="EC18" s="584" t="s">
        <v>627</v>
      </c>
      <c r="ED18" s="585"/>
      <c r="EE18" s="585"/>
      <c r="EF18" s="585"/>
      <c r="EG18" s="586"/>
      <c r="EH18" s="87" t="s">
        <v>628</v>
      </c>
      <c r="EI18" s="584" t="s">
        <v>631</v>
      </c>
      <c r="EJ18" s="585"/>
      <c r="EK18" s="585"/>
      <c r="EL18" s="585"/>
      <c r="EM18" s="586"/>
      <c r="EN18" s="87" t="s">
        <v>632</v>
      </c>
      <c r="EO18" s="584" t="s">
        <v>638</v>
      </c>
      <c r="EP18" s="585"/>
      <c r="EQ18" s="585"/>
      <c r="ER18" s="585"/>
      <c r="ES18" s="586"/>
      <c r="ET18" s="87" t="s">
        <v>637</v>
      </c>
      <c r="EU18" s="584" t="s">
        <v>641</v>
      </c>
      <c r="EV18" s="585"/>
      <c r="EW18" s="585"/>
      <c r="EX18" s="585"/>
      <c r="EY18" s="586"/>
      <c r="EZ18" s="87" t="s">
        <v>642</v>
      </c>
      <c r="FA18" s="584" t="s">
        <v>645</v>
      </c>
      <c r="FB18" s="585"/>
      <c r="FC18" s="585"/>
      <c r="FD18" s="585"/>
      <c r="FE18" s="586"/>
      <c r="FF18" s="87" t="s">
        <v>646</v>
      </c>
      <c r="FG18" s="584" t="s">
        <v>653</v>
      </c>
      <c r="FH18" s="585"/>
      <c r="FI18" s="585"/>
      <c r="FJ18" s="585"/>
      <c r="FK18" s="586"/>
      <c r="FL18" s="87" t="s">
        <v>654</v>
      </c>
      <c r="FM18" s="584" t="s">
        <v>662</v>
      </c>
      <c r="FN18" s="585"/>
      <c r="FO18" s="585"/>
      <c r="FP18" s="585"/>
      <c r="FQ18" s="586"/>
      <c r="FR18" s="87" t="s">
        <v>657</v>
      </c>
      <c r="FS18" s="584" t="s">
        <v>661</v>
      </c>
      <c r="FT18" s="585"/>
      <c r="FU18" s="585"/>
      <c r="FV18" s="585"/>
      <c r="FW18" s="586"/>
      <c r="FX18" s="87" t="s">
        <v>663</v>
      </c>
      <c r="FY18" s="584" t="s">
        <v>665</v>
      </c>
      <c r="FZ18" s="585"/>
      <c r="GA18" s="585"/>
      <c r="GB18" s="585"/>
      <c r="GC18" s="586"/>
      <c r="GD18" s="87" t="s">
        <v>666</v>
      </c>
      <c r="GE18" s="584" t="s">
        <v>668</v>
      </c>
      <c r="GF18" s="585"/>
      <c r="GG18" s="585"/>
      <c r="GH18" s="585"/>
      <c r="GI18" s="586"/>
      <c r="GJ18" s="87" t="s">
        <v>669</v>
      </c>
      <c r="GK18" s="584" t="s">
        <v>671</v>
      </c>
      <c r="GL18" s="585"/>
      <c r="GM18" s="585"/>
      <c r="GN18" s="585"/>
      <c r="GO18" s="586"/>
      <c r="GP18" s="87" t="s">
        <v>672</v>
      </c>
      <c r="GQ18" s="584" t="s">
        <v>674</v>
      </c>
      <c r="GR18" s="585"/>
      <c r="GS18" s="585"/>
      <c r="GT18" s="585"/>
      <c r="GU18" s="586"/>
      <c r="GV18" s="87" t="s">
        <v>675</v>
      </c>
      <c r="GW18" s="584" t="s">
        <v>696</v>
      </c>
      <c r="GX18" s="585"/>
      <c r="GY18" s="585"/>
      <c r="GZ18" s="585"/>
      <c r="HA18" s="586"/>
      <c r="HB18" s="87" t="s">
        <v>697</v>
      </c>
      <c r="HC18" s="85" t="s">
        <v>2</v>
      </c>
      <c r="HD18" s="6"/>
      <c r="HE18" s="587" t="s">
        <v>678</v>
      </c>
      <c r="HF18" s="588"/>
      <c r="HG18" s="588"/>
      <c r="HH18" s="588"/>
      <c r="HI18" s="589"/>
      <c r="HJ18" s="85" t="s">
        <v>2</v>
      </c>
      <c r="HK18" s="593" t="s">
        <v>698</v>
      </c>
      <c r="HL18" s="594"/>
      <c r="HM18" s="594"/>
      <c r="HN18" s="594"/>
      <c r="HO18" s="594"/>
      <c r="HP18" s="594"/>
      <c r="HQ18" s="594"/>
      <c r="HR18" s="594"/>
    </row>
    <row r="19" spans="1:226" s="74" customFormat="1" ht="31.5" customHeight="1" x14ac:dyDescent="0.3">
      <c r="A19" s="85"/>
      <c r="B19" s="446" t="s">
        <v>554</v>
      </c>
      <c r="C19" s="441"/>
      <c r="D19" s="447"/>
      <c r="E19" s="87"/>
      <c r="F19" s="87"/>
      <c r="G19" s="87"/>
      <c r="H19" s="88"/>
      <c r="I19" s="88"/>
      <c r="J19" s="294"/>
      <c r="K19" s="88"/>
      <c r="L19" s="87"/>
      <c r="M19" s="87"/>
      <c r="N19" s="87"/>
      <c r="O19" s="294"/>
      <c r="P19" s="294"/>
      <c r="Q19" s="294"/>
      <c r="R19" s="294"/>
      <c r="S19" s="294"/>
      <c r="T19" s="294"/>
      <c r="U19" s="294"/>
      <c r="V19" s="294"/>
      <c r="W19" s="294"/>
      <c r="X19" s="294"/>
      <c r="Y19" s="294"/>
      <c r="Z19" s="294"/>
      <c r="AA19" s="294"/>
      <c r="AB19" s="112" t="s">
        <v>234</v>
      </c>
      <c r="AC19" s="112" t="s">
        <v>454</v>
      </c>
      <c r="AD19" s="112" t="s">
        <v>455</v>
      </c>
      <c r="AE19" s="112" t="s">
        <v>456</v>
      </c>
      <c r="AF19" s="14" t="s">
        <v>234</v>
      </c>
      <c r="AG19" s="14" t="s">
        <v>454</v>
      </c>
      <c r="AH19" s="14" t="s">
        <v>455</v>
      </c>
      <c r="AI19" s="14" t="s">
        <v>456</v>
      </c>
      <c r="AJ19" s="112" t="s">
        <v>234</v>
      </c>
      <c r="AK19" s="112" t="s">
        <v>454</v>
      </c>
      <c r="AL19" s="112" t="s">
        <v>455</v>
      </c>
      <c r="AM19" s="112" t="s">
        <v>456</v>
      </c>
      <c r="AN19" s="14" t="s">
        <v>234</v>
      </c>
      <c r="AO19" s="14" t="s">
        <v>454</v>
      </c>
      <c r="AP19" s="14" t="s">
        <v>455</v>
      </c>
      <c r="AQ19" s="14" t="s">
        <v>456</v>
      </c>
      <c r="AR19" s="112" t="s">
        <v>234</v>
      </c>
      <c r="AS19" s="112" t="s">
        <v>454</v>
      </c>
      <c r="AT19" s="112" t="s">
        <v>455</v>
      </c>
      <c r="AU19" s="112" t="s">
        <v>456</v>
      </c>
      <c r="AV19" s="14" t="s">
        <v>234</v>
      </c>
      <c r="AW19" s="14" t="s">
        <v>454</v>
      </c>
      <c r="AX19" s="14" t="s">
        <v>455</v>
      </c>
      <c r="AY19" s="14" t="s">
        <v>456</v>
      </c>
      <c r="AZ19" s="443"/>
      <c r="BA19" s="443"/>
      <c r="BB19" s="443"/>
      <c r="BC19" s="443"/>
      <c r="BD19" s="443"/>
      <c r="BE19" s="443"/>
      <c r="BF19" s="444"/>
      <c r="BG19" s="444"/>
      <c r="BH19" s="112" t="s">
        <v>234</v>
      </c>
      <c r="BI19" s="112" t="s">
        <v>454</v>
      </c>
      <c r="BJ19" s="112" t="s">
        <v>455</v>
      </c>
      <c r="BK19" s="112" t="s">
        <v>456</v>
      </c>
      <c r="BL19" s="14" t="s">
        <v>234</v>
      </c>
      <c r="BM19" s="14" t="s">
        <v>454</v>
      </c>
      <c r="BN19" s="14" t="s">
        <v>455</v>
      </c>
      <c r="BO19" s="14" t="s">
        <v>456</v>
      </c>
      <c r="BP19" s="445"/>
      <c r="BQ19" s="112" t="s">
        <v>234</v>
      </c>
      <c r="BR19" s="112" t="s">
        <v>454</v>
      </c>
      <c r="BS19" s="112" t="s">
        <v>455</v>
      </c>
      <c r="BT19" s="112" t="s">
        <v>456</v>
      </c>
      <c r="BU19" s="445"/>
      <c r="BV19" s="112" t="s">
        <v>234</v>
      </c>
      <c r="BW19" s="112" t="s">
        <v>454</v>
      </c>
      <c r="BX19" s="112" t="s">
        <v>455</v>
      </c>
      <c r="BY19" s="112" t="s">
        <v>456</v>
      </c>
      <c r="BZ19" s="445"/>
      <c r="CA19" s="112" t="s">
        <v>234</v>
      </c>
      <c r="CB19" s="112" t="s">
        <v>454</v>
      </c>
      <c r="CC19" s="112" t="s">
        <v>455</v>
      </c>
      <c r="CD19" s="112" t="s">
        <v>456</v>
      </c>
      <c r="CE19" s="445"/>
      <c r="CF19" s="112" t="s">
        <v>234</v>
      </c>
      <c r="CG19" s="112" t="s">
        <v>454</v>
      </c>
      <c r="CH19" s="112" t="s">
        <v>455</v>
      </c>
      <c r="CI19" s="112" t="s">
        <v>456</v>
      </c>
      <c r="CJ19" s="445"/>
      <c r="CK19" s="112" t="s">
        <v>234</v>
      </c>
      <c r="CL19" s="112" t="s">
        <v>454</v>
      </c>
      <c r="CM19" s="112" t="s">
        <v>455</v>
      </c>
      <c r="CN19" s="112" t="s">
        <v>456</v>
      </c>
      <c r="CO19" s="445"/>
      <c r="CP19" s="112" t="s">
        <v>234</v>
      </c>
      <c r="CQ19" s="112" t="s">
        <v>454</v>
      </c>
      <c r="CR19" s="112" t="s">
        <v>455</v>
      </c>
      <c r="CS19" s="112" t="s">
        <v>456</v>
      </c>
      <c r="CT19" s="445"/>
      <c r="CU19" s="112" t="s">
        <v>234</v>
      </c>
      <c r="CV19" s="112" t="s">
        <v>454</v>
      </c>
      <c r="CW19" s="112" t="s">
        <v>455</v>
      </c>
      <c r="CX19" s="112" t="s">
        <v>456</v>
      </c>
      <c r="CY19" s="445"/>
      <c r="CZ19" s="295"/>
      <c r="DA19" s="295"/>
      <c r="DB19" s="295"/>
      <c r="DC19" s="426" t="s">
        <v>612</v>
      </c>
      <c r="DD19" s="276"/>
      <c r="DE19" s="276"/>
      <c r="DF19" s="276"/>
      <c r="DG19" s="277"/>
      <c r="DH19" s="89"/>
      <c r="DI19" s="90" t="s">
        <v>604</v>
      </c>
      <c r="DJ19" s="91" t="s">
        <v>605</v>
      </c>
      <c r="DK19" s="92" t="s">
        <v>606</v>
      </c>
      <c r="DL19" s="92" t="s">
        <v>607</v>
      </c>
      <c r="DM19" s="91" t="s">
        <v>608</v>
      </c>
      <c r="DN19" s="91" t="s">
        <v>609</v>
      </c>
      <c r="DO19" s="91" t="s">
        <v>611</v>
      </c>
      <c r="DP19" s="91" t="s">
        <v>610</v>
      </c>
      <c r="DQ19" s="112" t="s">
        <v>234</v>
      </c>
      <c r="DR19" s="112" t="s">
        <v>454</v>
      </c>
      <c r="DS19" s="112" t="s">
        <v>455</v>
      </c>
      <c r="DT19" s="93" t="s">
        <v>456</v>
      </c>
      <c r="DU19" s="94" t="s">
        <v>457</v>
      </c>
      <c r="DV19" s="87"/>
      <c r="DW19" s="112" t="s">
        <v>234</v>
      </c>
      <c r="DX19" s="112" t="s">
        <v>454</v>
      </c>
      <c r="DY19" s="112" t="s">
        <v>455</v>
      </c>
      <c r="DZ19" s="93" t="s">
        <v>456</v>
      </c>
      <c r="EA19" s="94" t="s">
        <v>457</v>
      </c>
      <c r="EB19" s="87"/>
      <c r="EC19" s="112" t="s">
        <v>234</v>
      </c>
      <c r="ED19" s="112" t="s">
        <v>454</v>
      </c>
      <c r="EE19" s="112" t="s">
        <v>455</v>
      </c>
      <c r="EF19" s="93" t="s">
        <v>456</v>
      </c>
      <c r="EG19" s="94" t="s">
        <v>457</v>
      </c>
      <c r="EH19" s="87"/>
      <c r="EI19" s="112" t="s">
        <v>234</v>
      </c>
      <c r="EJ19" s="112" t="s">
        <v>454</v>
      </c>
      <c r="EK19" s="112" t="s">
        <v>455</v>
      </c>
      <c r="EL19" s="93" t="s">
        <v>456</v>
      </c>
      <c r="EM19" s="94" t="s">
        <v>457</v>
      </c>
      <c r="EN19" s="87"/>
      <c r="EO19" s="112" t="s">
        <v>234</v>
      </c>
      <c r="EP19" s="112" t="s">
        <v>454</v>
      </c>
      <c r="EQ19" s="112" t="s">
        <v>455</v>
      </c>
      <c r="ER19" s="93" t="s">
        <v>456</v>
      </c>
      <c r="ES19" s="94" t="s">
        <v>457</v>
      </c>
      <c r="ET19" s="87"/>
      <c r="EU19" s="112" t="s">
        <v>234</v>
      </c>
      <c r="EV19" s="112" t="s">
        <v>454</v>
      </c>
      <c r="EW19" s="112" t="s">
        <v>455</v>
      </c>
      <c r="EX19" s="93" t="s">
        <v>456</v>
      </c>
      <c r="EY19" s="94" t="s">
        <v>457</v>
      </c>
      <c r="EZ19" s="87"/>
      <c r="FA19" s="112" t="s">
        <v>234</v>
      </c>
      <c r="FB19" s="112" t="s">
        <v>454</v>
      </c>
      <c r="FC19" s="112" t="s">
        <v>455</v>
      </c>
      <c r="FD19" s="93" t="s">
        <v>456</v>
      </c>
      <c r="FE19" s="94" t="s">
        <v>457</v>
      </c>
      <c r="FF19" s="87"/>
      <c r="FG19" s="112" t="s">
        <v>234</v>
      </c>
      <c r="FH19" s="112" t="s">
        <v>454</v>
      </c>
      <c r="FI19" s="112" t="s">
        <v>455</v>
      </c>
      <c r="FJ19" s="93" t="s">
        <v>456</v>
      </c>
      <c r="FK19" s="94" t="s">
        <v>457</v>
      </c>
      <c r="FL19" s="87"/>
      <c r="FM19" s="112" t="s">
        <v>234</v>
      </c>
      <c r="FN19" s="112" t="s">
        <v>454</v>
      </c>
      <c r="FO19" s="112" t="s">
        <v>455</v>
      </c>
      <c r="FP19" s="93" t="s">
        <v>456</v>
      </c>
      <c r="FQ19" s="94" t="s">
        <v>457</v>
      </c>
      <c r="FR19" s="87"/>
      <c r="FS19" s="112" t="s">
        <v>234</v>
      </c>
      <c r="FT19" s="112" t="s">
        <v>454</v>
      </c>
      <c r="FU19" s="112" t="s">
        <v>455</v>
      </c>
      <c r="FV19" s="93" t="s">
        <v>456</v>
      </c>
      <c r="FW19" s="94" t="s">
        <v>457</v>
      </c>
      <c r="FX19" s="87"/>
      <c r="FY19" s="112" t="s">
        <v>234</v>
      </c>
      <c r="FZ19" s="112" t="s">
        <v>454</v>
      </c>
      <c r="GA19" s="112" t="s">
        <v>455</v>
      </c>
      <c r="GB19" s="93" t="s">
        <v>456</v>
      </c>
      <c r="GC19" s="94" t="s">
        <v>457</v>
      </c>
      <c r="GD19" s="87"/>
      <c r="GE19" s="112" t="s">
        <v>234</v>
      </c>
      <c r="GF19" s="112" t="s">
        <v>454</v>
      </c>
      <c r="GG19" s="112" t="s">
        <v>455</v>
      </c>
      <c r="GH19" s="93" t="s">
        <v>456</v>
      </c>
      <c r="GI19" s="94" t="s">
        <v>457</v>
      </c>
      <c r="GJ19" s="87"/>
      <c r="GK19" s="112" t="s">
        <v>234</v>
      </c>
      <c r="GL19" s="112" t="s">
        <v>454</v>
      </c>
      <c r="GM19" s="112" t="s">
        <v>455</v>
      </c>
      <c r="GN19" s="93" t="s">
        <v>456</v>
      </c>
      <c r="GO19" s="94" t="s">
        <v>457</v>
      </c>
      <c r="GP19" s="87"/>
      <c r="GQ19" s="112" t="s">
        <v>234</v>
      </c>
      <c r="GR19" s="112" t="s">
        <v>454</v>
      </c>
      <c r="GS19" s="112" t="s">
        <v>455</v>
      </c>
      <c r="GT19" s="93" t="s">
        <v>456</v>
      </c>
      <c r="GU19" s="94" t="s">
        <v>457</v>
      </c>
      <c r="GV19" s="87"/>
      <c r="GW19" s="112" t="s">
        <v>234</v>
      </c>
      <c r="GX19" s="112" t="s">
        <v>454</v>
      </c>
      <c r="GY19" s="112" t="s">
        <v>455</v>
      </c>
      <c r="GZ19" s="93" t="s">
        <v>456</v>
      </c>
      <c r="HA19" s="94" t="s">
        <v>457</v>
      </c>
      <c r="HB19" s="87"/>
      <c r="HC19" s="85"/>
      <c r="HD19" s="6"/>
      <c r="HE19" s="95" t="s">
        <v>679</v>
      </c>
      <c r="HF19" s="95" t="s">
        <v>488</v>
      </c>
      <c r="HG19" s="220" t="s">
        <v>489</v>
      </c>
      <c r="HH19" s="95" t="s">
        <v>603</v>
      </c>
      <c r="HI19" s="95" t="s">
        <v>423</v>
      </c>
      <c r="HJ19" s="85"/>
      <c r="HK19" s="90" t="s">
        <v>680</v>
      </c>
      <c r="HL19" s="91" t="s">
        <v>681</v>
      </c>
      <c r="HM19" s="92" t="s">
        <v>606</v>
      </c>
      <c r="HN19" s="92" t="s">
        <v>607</v>
      </c>
      <c r="HO19" s="91" t="s">
        <v>608</v>
      </c>
      <c r="HP19" s="91" t="s">
        <v>609</v>
      </c>
      <c r="HQ19" s="92" t="s">
        <v>456</v>
      </c>
      <c r="HR19" s="91" t="s">
        <v>610</v>
      </c>
    </row>
    <row r="20" spans="1:226" x14ac:dyDescent="0.3">
      <c r="A20" s="326">
        <v>1</v>
      </c>
      <c r="B20" s="105" t="s">
        <v>361</v>
      </c>
      <c r="C20" s="316" t="s">
        <v>7</v>
      </c>
      <c r="D20" s="2" t="s">
        <v>8</v>
      </c>
      <c r="E20" s="160" t="s">
        <v>238</v>
      </c>
      <c r="F20" s="4" t="s">
        <v>241</v>
      </c>
      <c r="G20" s="4" t="s">
        <v>238</v>
      </c>
      <c r="H20" s="325"/>
      <c r="I20" s="325">
        <v>32451678</v>
      </c>
      <c r="J20" s="325">
        <v>32451678</v>
      </c>
      <c r="K20" s="5"/>
      <c r="L20" s="325">
        <v>32451678</v>
      </c>
      <c r="M20" s="6">
        <v>32451678</v>
      </c>
      <c r="N20" s="6">
        <v>32451678</v>
      </c>
      <c r="O20" s="7">
        <v>32451678</v>
      </c>
      <c r="P20" s="7">
        <v>32451678</v>
      </c>
      <c r="Q20" s="7">
        <v>32451678</v>
      </c>
      <c r="R20" s="7">
        <v>32451678</v>
      </c>
      <c r="S20" s="7">
        <v>32451678</v>
      </c>
      <c r="T20" s="7">
        <v>32451678</v>
      </c>
      <c r="U20" s="7">
        <f>T20*5%</f>
        <v>1622583.9000000001</v>
      </c>
      <c r="V20" s="7">
        <f>T20+U20</f>
        <v>34074261.899999999</v>
      </c>
      <c r="W20" s="7">
        <v>34074261</v>
      </c>
      <c r="X20" s="7">
        <v>34074261</v>
      </c>
      <c r="Y20" s="7">
        <v>34074261</v>
      </c>
      <c r="Z20" s="7">
        <v>34074261</v>
      </c>
      <c r="AA20" s="7">
        <v>34074261</v>
      </c>
      <c r="AB20" s="7">
        <v>34074261</v>
      </c>
      <c r="AC20" s="4">
        <v>0</v>
      </c>
      <c r="AD20" s="4">
        <v>0</v>
      </c>
      <c r="AE20" s="7">
        <f>AD20+AC20+AB20</f>
        <v>34074261</v>
      </c>
      <c r="AF20" s="7">
        <v>34074261</v>
      </c>
      <c r="AG20" s="4">
        <v>0</v>
      </c>
      <c r="AH20" s="4">
        <v>0</v>
      </c>
      <c r="AI20" s="7">
        <f>AH20+AG20+AF20</f>
        <v>34074261</v>
      </c>
      <c r="AJ20" s="7">
        <v>34074261</v>
      </c>
      <c r="AK20" s="4">
        <v>0</v>
      </c>
      <c r="AL20" s="4">
        <v>0</v>
      </c>
      <c r="AM20" s="7">
        <f>AL20+AK20+AJ20</f>
        <v>34074261</v>
      </c>
      <c r="AN20" s="7">
        <v>34074261</v>
      </c>
      <c r="AO20" s="4">
        <v>0</v>
      </c>
      <c r="AP20" s="4">
        <v>0</v>
      </c>
      <c r="AQ20" s="7">
        <f>AP20+AO20+AN20</f>
        <v>34074261</v>
      </c>
      <c r="AR20" s="7">
        <v>34074261</v>
      </c>
      <c r="AS20" s="4">
        <v>0</v>
      </c>
      <c r="AT20" s="4">
        <v>0</v>
      </c>
      <c r="AU20" s="7">
        <f>AT20+AS20+AR20</f>
        <v>34074261</v>
      </c>
      <c r="AV20" s="7">
        <v>34074261</v>
      </c>
      <c r="AW20" s="4">
        <v>0</v>
      </c>
      <c r="AX20" s="4">
        <v>0</v>
      </c>
      <c r="AY20" s="7">
        <f>AX20+AW20+AV20</f>
        <v>34074261</v>
      </c>
      <c r="AZ20" s="8">
        <f>AY20*5%</f>
        <v>1703713.05</v>
      </c>
      <c r="BA20" s="8">
        <v>0.05</v>
      </c>
      <c r="BB20" s="8">
        <f>AZ20-BA20</f>
        <v>1703713</v>
      </c>
      <c r="BC20" s="8">
        <f>BB20+AY20</f>
        <v>35777974</v>
      </c>
      <c r="BD20" s="8"/>
      <c r="BE20" s="9">
        <f>BD20+BC20</f>
        <v>35777974</v>
      </c>
      <c r="BF20" s="10">
        <f>BE20-AY20</f>
        <v>1703713</v>
      </c>
      <c r="BG20" s="11">
        <f>BF20-BB20</f>
        <v>0</v>
      </c>
      <c r="BH20" s="319">
        <v>35777974</v>
      </c>
      <c r="BI20" s="319">
        <v>0</v>
      </c>
      <c r="BJ20" s="319">
        <v>0</v>
      </c>
      <c r="BK20" s="319">
        <f>BJ20+BI20+BH20</f>
        <v>35777974</v>
      </c>
      <c r="BL20" s="319">
        <v>35777974</v>
      </c>
      <c r="BM20" s="319">
        <v>0</v>
      </c>
      <c r="BN20" s="319">
        <v>0</v>
      </c>
      <c r="BO20" s="319">
        <f>BN20+BM20+BL20</f>
        <v>35777974</v>
      </c>
      <c r="BP20" s="319">
        <f>BO20-BK20</f>
        <v>0</v>
      </c>
      <c r="BQ20" s="319">
        <v>35777974</v>
      </c>
      <c r="BR20" s="319">
        <v>0</v>
      </c>
      <c r="BS20" s="319">
        <v>0</v>
      </c>
      <c r="BT20" s="319">
        <f>BS20+BR20+BQ20</f>
        <v>35777974</v>
      </c>
      <c r="BU20" s="319">
        <f>BT20-BO20</f>
        <v>0</v>
      </c>
      <c r="BV20" s="319">
        <v>35777974</v>
      </c>
      <c r="BW20" s="324">
        <v>0</v>
      </c>
      <c r="BX20" s="324">
        <v>0</v>
      </c>
      <c r="BY20" s="319">
        <f>BX20+BW20+BV20</f>
        <v>35777974</v>
      </c>
      <c r="BZ20" s="319">
        <f>BY20-BT20</f>
        <v>0</v>
      </c>
      <c r="CA20" s="319">
        <v>35777974</v>
      </c>
      <c r="CB20" s="324">
        <v>0</v>
      </c>
      <c r="CC20" s="324">
        <v>0</v>
      </c>
      <c r="CD20" s="319">
        <f>CC20+CB20+CA20</f>
        <v>35777974</v>
      </c>
      <c r="CE20" s="319">
        <f>CD20-BY20</f>
        <v>0</v>
      </c>
      <c r="CF20" s="319">
        <v>35777974</v>
      </c>
      <c r="CG20" s="319">
        <v>0</v>
      </c>
      <c r="CH20" s="319">
        <v>0</v>
      </c>
      <c r="CI20" s="319">
        <f>CH20+CG20+CF20</f>
        <v>35777974</v>
      </c>
      <c r="CJ20" s="319">
        <f>CI20-CD20</f>
        <v>0</v>
      </c>
      <c r="CK20" s="319">
        <v>35777974</v>
      </c>
      <c r="CL20" s="319">
        <v>0</v>
      </c>
      <c r="CM20" s="319">
        <v>0</v>
      </c>
      <c r="CN20" s="319">
        <f>CM20+CL20+CK20</f>
        <v>35777974</v>
      </c>
      <c r="CO20" s="319">
        <f>CN20-CI20</f>
        <v>0</v>
      </c>
      <c r="CP20" s="319">
        <v>35777974</v>
      </c>
      <c r="CQ20" s="319"/>
      <c r="CR20" s="319"/>
      <c r="CS20" s="319">
        <f>CR20+CQ20+CP20</f>
        <v>35777974</v>
      </c>
      <c r="CT20" s="319">
        <f>CS20-CN20</f>
        <v>0</v>
      </c>
      <c r="CU20" s="319">
        <v>35777974</v>
      </c>
      <c r="CV20" s="319">
        <v>0</v>
      </c>
      <c r="CW20" s="319">
        <v>0</v>
      </c>
      <c r="CX20" s="319">
        <f>CW20+CV20+CU20</f>
        <v>35777974</v>
      </c>
      <c r="CY20" s="319">
        <f>CX20-CS20</f>
        <v>0</v>
      </c>
      <c r="CZ20" s="319"/>
      <c r="DA20" s="319"/>
      <c r="DB20" s="319"/>
      <c r="DC20" s="12">
        <f>CX20*10%</f>
        <v>3577797.4000000004</v>
      </c>
      <c r="DD20" s="12">
        <v>0.4</v>
      </c>
      <c r="DE20" s="13">
        <f>DC20-DD20</f>
        <v>3577797.0000000005</v>
      </c>
      <c r="DF20" s="14">
        <f>DE20:DE20</f>
        <v>3577797.0000000005</v>
      </c>
      <c r="DG20" s="13">
        <f>DE20+CX20</f>
        <v>39355771</v>
      </c>
      <c r="DH20" s="15">
        <f>100/1278396949*CX20</f>
        <v>2.7986592136336519</v>
      </c>
      <c r="DI20" s="16">
        <f>CX20</f>
        <v>35777974</v>
      </c>
      <c r="DJ20" s="132">
        <f>DI20*1.1</f>
        <v>39355771.400000006</v>
      </c>
      <c r="DK20" s="17">
        <f>DJ20-DI20</f>
        <v>3577797.400000006</v>
      </c>
      <c r="DL20" s="17">
        <f>DD20</f>
        <v>0.4</v>
      </c>
      <c r="DM20" s="16">
        <f>DK20-DL20</f>
        <v>3577797.0000000061</v>
      </c>
      <c r="DN20" s="16">
        <f>DM20-DE20</f>
        <v>5.5879354476928711E-9</v>
      </c>
      <c r="DO20" s="16">
        <f>DM20+DI20</f>
        <v>39355771.000000007</v>
      </c>
      <c r="DP20" s="16">
        <f>DO20-DG20</f>
        <v>0</v>
      </c>
      <c r="DQ20" s="9">
        <v>39355771</v>
      </c>
      <c r="DR20" s="18" t="s">
        <v>238</v>
      </c>
      <c r="DS20" s="18" t="s">
        <v>238</v>
      </c>
      <c r="DT20" s="324">
        <f>DQ20+DR20+DS20</f>
        <v>39355771</v>
      </c>
      <c r="DU20" s="321">
        <f>DT20</f>
        <v>39355771</v>
      </c>
      <c r="DV20" s="19">
        <f>DT20-DG20</f>
        <v>0</v>
      </c>
      <c r="DW20" s="9">
        <v>39355771</v>
      </c>
      <c r="DX20" s="18"/>
      <c r="DY20" s="18"/>
      <c r="DZ20" s="324">
        <f>DW20+DX20+DY20</f>
        <v>39355771</v>
      </c>
      <c r="EA20" s="321">
        <f>DZ20</f>
        <v>39355771</v>
      </c>
      <c r="EB20" s="179">
        <f>DZ20-DT20</f>
        <v>0</v>
      </c>
      <c r="EC20" s="9">
        <v>39355771</v>
      </c>
      <c r="ED20" s="18" t="s">
        <v>238</v>
      </c>
      <c r="EE20" s="18" t="s">
        <v>238</v>
      </c>
      <c r="EF20" s="324">
        <f>EC20+ED20+EE20</f>
        <v>39355771</v>
      </c>
      <c r="EG20" s="321">
        <f>EF20</f>
        <v>39355771</v>
      </c>
      <c r="EH20" s="179">
        <f>EF20-DZ20</f>
        <v>0</v>
      </c>
      <c r="EI20" s="9">
        <v>39355771</v>
      </c>
      <c r="EJ20" s="18" t="s">
        <v>238</v>
      </c>
      <c r="EK20" s="18" t="s">
        <v>238</v>
      </c>
      <c r="EL20" s="324">
        <f>EI20+EJ20+EK20</f>
        <v>39355771</v>
      </c>
      <c r="EM20" s="321">
        <f>EL20</f>
        <v>39355771</v>
      </c>
      <c r="EN20" s="179">
        <f>EL20-EF20</f>
        <v>0</v>
      </c>
      <c r="EO20" s="9">
        <v>39355771</v>
      </c>
      <c r="EP20" s="18" t="s">
        <v>238</v>
      </c>
      <c r="EQ20" s="18" t="s">
        <v>238</v>
      </c>
      <c r="ER20" s="324">
        <f>EO20+EP20+EQ20</f>
        <v>39355771</v>
      </c>
      <c r="ES20" s="321">
        <f>ER20</f>
        <v>39355771</v>
      </c>
      <c r="ET20" s="179">
        <f>ER20-EL20</f>
        <v>0</v>
      </c>
      <c r="EU20" s="9">
        <v>39355771</v>
      </c>
      <c r="EV20" s="18" t="s">
        <v>238</v>
      </c>
      <c r="EW20" s="18" t="s">
        <v>238</v>
      </c>
      <c r="EX20" s="324">
        <f>EU20+EV20+EW20</f>
        <v>39355771</v>
      </c>
      <c r="EY20" s="321">
        <f>EX20</f>
        <v>39355771</v>
      </c>
      <c r="EZ20" s="179">
        <f>EX20-ER20</f>
        <v>0</v>
      </c>
      <c r="FA20" s="9">
        <v>39355771</v>
      </c>
      <c r="FB20" s="18" t="s">
        <v>238</v>
      </c>
      <c r="FC20" s="18" t="s">
        <v>238</v>
      </c>
      <c r="FD20" s="324">
        <f>FA20+FB20+FC20</f>
        <v>39355771</v>
      </c>
      <c r="FE20" s="321">
        <f>FD20</f>
        <v>39355771</v>
      </c>
      <c r="FF20" s="179">
        <f>FD20-EX20</f>
        <v>0</v>
      </c>
      <c r="FG20" s="9">
        <v>39355771</v>
      </c>
      <c r="FH20" s="18" t="s">
        <v>238</v>
      </c>
      <c r="FI20" s="18" t="s">
        <v>238</v>
      </c>
      <c r="FJ20" s="324">
        <f>FG20+FH20+FI20</f>
        <v>39355771</v>
      </c>
      <c r="FK20" s="321">
        <f>FJ20</f>
        <v>39355771</v>
      </c>
      <c r="FL20" s="179">
        <f>FJ20-FD20</f>
        <v>0</v>
      </c>
      <c r="FM20" s="9">
        <v>39355771</v>
      </c>
      <c r="FN20" s="18" t="s">
        <v>238</v>
      </c>
      <c r="FO20" s="18" t="s">
        <v>238</v>
      </c>
      <c r="FP20" s="324">
        <f>FM20+FN20+FO20</f>
        <v>39355771</v>
      </c>
      <c r="FQ20" s="321">
        <f>FP20</f>
        <v>39355771</v>
      </c>
      <c r="FR20" s="179">
        <f>FP20-FJ20</f>
        <v>0</v>
      </c>
      <c r="FS20" s="9">
        <v>39355771</v>
      </c>
      <c r="FT20" s="18" t="s">
        <v>238</v>
      </c>
      <c r="FU20" s="18" t="s">
        <v>238</v>
      </c>
      <c r="FV20" s="324">
        <f>FS20+FT20+FU20</f>
        <v>39355771</v>
      </c>
      <c r="FW20" s="321">
        <f>FV20</f>
        <v>39355771</v>
      </c>
      <c r="FX20" s="179">
        <f>FV20-FP20</f>
        <v>0</v>
      </c>
      <c r="FY20" s="9">
        <v>39355771</v>
      </c>
      <c r="FZ20" s="18" t="s">
        <v>238</v>
      </c>
      <c r="GA20" s="18" t="s">
        <v>238</v>
      </c>
      <c r="GB20" s="324">
        <f>FY20+FZ20+GA20</f>
        <v>39355771</v>
      </c>
      <c r="GC20" s="321">
        <f>GB20</f>
        <v>39355771</v>
      </c>
      <c r="GD20" s="179">
        <f>GB20-FV20</f>
        <v>0</v>
      </c>
      <c r="GE20" s="9">
        <v>39355771</v>
      </c>
      <c r="GF20" s="18" t="s">
        <v>238</v>
      </c>
      <c r="GG20" s="18" t="s">
        <v>238</v>
      </c>
      <c r="GH20" s="324">
        <f>GE20+GF20+GG20</f>
        <v>39355771</v>
      </c>
      <c r="GI20" s="321">
        <f>GH20</f>
        <v>39355771</v>
      </c>
      <c r="GJ20" s="179">
        <f>GH20-GB20</f>
        <v>0</v>
      </c>
      <c r="GK20" s="9">
        <v>39355771</v>
      </c>
      <c r="GL20" s="18" t="s">
        <v>238</v>
      </c>
      <c r="GM20" s="18" t="s">
        <v>238</v>
      </c>
      <c r="GN20" s="324">
        <f>GK20+GL20+GM20</f>
        <v>39355771</v>
      </c>
      <c r="GO20" s="321">
        <f>GN20</f>
        <v>39355771</v>
      </c>
      <c r="GP20" s="179">
        <f>GN20-GH20</f>
        <v>0</v>
      </c>
      <c r="GQ20" s="9">
        <v>39355771</v>
      </c>
      <c r="GR20" s="18" t="s">
        <v>238</v>
      </c>
      <c r="GS20" s="18" t="s">
        <v>238</v>
      </c>
      <c r="GT20" s="324">
        <f>GQ20+GR20+GS20</f>
        <v>39355771</v>
      </c>
      <c r="GU20" s="321">
        <f>GT20</f>
        <v>39355771</v>
      </c>
      <c r="GV20" s="179">
        <f>GT20-GN20</f>
        <v>0</v>
      </c>
      <c r="GW20" s="9">
        <v>41323559</v>
      </c>
      <c r="GX20" s="18" t="s">
        <v>238</v>
      </c>
      <c r="GY20" s="18" t="s">
        <v>238</v>
      </c>
      <c r="GZ20" s="324">
        <f>GW20+GX20+GY20</f>
        <v>41323559</v>
      </c>
      <c r="HA20" s="321">
        <f>GZ20</f>
        <v>41323559</v>
      </c>
      <c r="HB20" s="179">
        <f>GZ20-GT20</f>
        <v>1967788</v>
      </c>
      <c r="HC20" s="102">
        <f>100/1406236643.9*GT20</f>
        <v>2.7986591851889373</v>
      </c>
      <c r="HD20" s="285">
        <f>HB20-HO20</f>
        <v>-4.4237822294235229E-9</v>
      </c>
      <c r="HE20" s="12">
        <f>GT20*0.05</f>
        <v>1967788.55</v>
      </c>
      <c r="HF20" s="12">
        <f>IF(ISNUMBER(HE20), HE20-INT(HE20), "")</f>
        <v>0.55000000004656613</v>
      </c>
      <c r="HG20" s="12">
        <f>HE20-HF20</f>
        <v>1967788</v>
      </c>
      <c r="HH20" s="14">
        <f>HG20:HG20</f>
        <v>1967788</v>
      </c>
      <c r="HI20" s="13">
        <f>HG20+GT20</f>
        <v>41323559</v>
      </c>
      <c r="HJ20" s="102">
        <f>100/1406236643.9*HI20</f>
        <v>2.9385921053369017</v>
      </c>
      <c r="HK20" s="16">
        <f>GT20</f>
        <v>39355771</v>
      </c>
      <c r="HL20" s="103">
        <f>HK20*1.05</f>
        <v>41323559.550000004</v>
      </c>
      <c r="HM20" s="103">
        <f>HL20-HK20</f>
        <v>1967788.5500000045</v>
      </c>
      <c r="HN20" s="17">
        <f>HF20</f>
        <v>0.55000000004656613</v>
      </c>
      <c r="HO20" s="56">
        <f>HM20-HN20</f>
        <v>1967788.0000000044</v>
      </c>
      <c r="HP20" s="16">
        <f>HO20-HG20</f>
        <v>4.4237822294235229E-9</v>
      </c>
      <c r="HQ20" s="16">
        <f>HO20+HK20</f>
        <v>41323559.000000007</v>
      </c>
      <c r="HR20" s="16">
        <f>HQ20-HI20</f>
        <v>0</v>
      </c>
    </row>
    <row r="21" spans="1:226" x14ac:dyDescent="0.3">
      <c r="A21" s="326">
        <v>2</v>
      </c>
      <c r="B21" s="240"/>
      <c r="C21" s="316" t="s">
        <v>476</v>
      </c>
      <c r="D21" s="2" t="s">
        <v>475</v>
      </c>
      <c r="E21" s="160"/>
      <c r="F21" s="4"/>
      <c r="G21" s="4"/>
      <c r="H21" s="325"/>
      <c r="I21" s="325"/>
      <c r="J21" s="325"/>
      <c r="K21" s="325"/>
      <c r="L21" s="325"/>
      <c r="M21" s="6"/>
      <c r="N21" s="6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4"/>
      <c r="AD21" s="4"/>
      <c r="AE21" s="7"/>
      <c r="AF21" s="7"/>
      <c r="AG21" s="4"/>
      <c r="AH21" s="4"/>
      <c r="AI21" s="7"/>
      <c r="AJ21" s="7"/>
      <c r="AK21" s="4"/>
      <c r="AL21" s="4"/>
      <c r="AM21" s="7"/>
      <c r="AN21" s="7">
        <v>95000</v>
      </c>
      <c r="AO21" s="4">
        <v>0</v>
      </c>
      <c r="AP21" s="4">
        <v>0</v>
      </c>
      <c r="AQ21" s="7">
        <f>AP21+AO21+AN21</f>
        <v>95000</v>
      </c>
      <c r="AR21" s="7">
        <v>95000</v>
      </c>
      <c r="AS21" s="4">
        <v>0</v>
      </c>
      <c r="AT21" s="4">
        <v>0</v>
      </c>
      <c r="AU21" s="7">
        <f>AT21+AS21+AR21</f>
        <v>95000</v>
      </c>
      <c r="AV21" s="7">
        <v>95000</v>
      </c>
      <c r="AW21" s="4">
        <v>0</v>
      </c>
      <c r="AX21" s="4">
        <v>0</v>
      </c>
      <c r="AY21" s="7">
        <f>AX21+AW21+AV21</f>
        <v>95000</v>
      </c>
      <c r="AZ21" s="8">
        <f>AY21*5%</f>
        <v>4750</v>
      </c>
      <c r="BA21" s="8"/>
      <c r="BB21" s="8">
        <f>AZ21-BA21</f>
        <v>4750</v>
      </c>
      <c r="BC21" s="8">
        <f>BB21+AY21</f>
        <v>99750</v>
      </c>
      <c r="BD21" s="8"/>
      <c r="BE21" s="9">
        <f>BD21+BC21</f>
        <v>99750</v>
      </c>
      <c r="BF21" s="10">
        <f>BE21-AY21</f>
        <v>4750</v>
      </c>
      <c r="BG21" s="11">
        <f>BF21-BB21</f>
        <v>0</v>
      </c>
      <c r="BH21" s="319">
        <v>99750</v>
      </c>
      <c r="BI21" s="319">
        <v>0</v>
      </c>
      <c r="BJ21" s="319">
        <v>0</v>
      </c>
      <c r="BK21" s="319">
        <f>BJ21+BI21+BH21</f>
        <v>99750</v>
      </c>
      <c r="BL21" s="319">
        <v>99750</v>
      </c>
      <c r="BM21" s="319">
        <v>0</v>
      </c>
      <c r="BN21" s="319">
        <v>0</v>
      </c>
      <c r="BO21" s="319">
        <f>BN21+BM21+BL21</f>
        <v>99750</v>
      </c>
      <c r="BP21" s="319">
        <f>BO21-BK21</f>
        <v>0</v>
      </c>
      <c r="BQ21" s="319">
        <v>99750</v>
      </c>
      <c r="BR21" s="319">
        <v>0</v>
      </c>
      <c r="BS21" s="319">
        <v>0</v>
      </c>
      <c r="BT21" s="319">
        <f>BS21+BR21+BQ21</f>
        <v>99750</v>
      </c>
      <c r="BU21" s="319">
        <f>BT21-BO21</f>
        <v>0</v>
      </c>
      <c r="BV21" s="319">
        <v>99750</v>
      </c>
      <c r="BW21" s="324">
        <v>0</v>
      </c>
      <c r="BX21" s="324">
        <v>0</v>
      </c>
      <c r="BY21" s="319">
        <f>BX21+BW21+BV21</f>
        <v>99750</v>
      </c>
      <c r="BZ21" s="319">
        <f>BY21-BT21</f>
        <v>0</v>
      </c>
      <c r="CA21" s="319">
        <v>99750</v>
      </c>
      <c r="CB21" s="324">
        <v>0</v>
      </c>
      <c r="CC21" s="324">
        <v>0</v>
      </c>
      <c r="CD21" s="319">
        <f>CC21+CB21+CA21</f>
        <v>99750</v>
      </c>
      <c r="CE21" s="319">
        <f>CD21-BY21</f>
        <v>0</v>
      </c>
      <c r="CF21" s="319">
        <v>99750</v>
      </c>
      <c r="CG21" s="319">
        <v>0</v>
      </c>
      <c r="CH21" s="319">
        <v>0</v>
      </c>
      <c r="CI21" s="319">
        <f>CH21+CG21+CF21</f>
        <v>99750</v>
      </c>
      <c r="CJ21" s="319">
        <f>CI21-CD21</f>
        <v>0</v>
      </c>
      <c r="CK21" s="319">
        <v>99750</v>
      </c>
      <c r="CL21" s="319">
        <v>0</v>
      </c>
      <c r="CM21" s="319">
        <v>0</v>
      </c>
      <c r="CN21" s="319">
        <f>CM21+CL21+CK21</f>
        <v>99750</v>
      </c>
      <c r="CO21" s="319">
        <f>CN21-CI21</f>
        <v>0</v>
      </c>
      <c r="CP21" s="319">
        <v>99750</v>
      </c>
      <c r="CQ21" s="319"/>
      <c r="CR21" s="319"/>
      <c r="CS21" s="319">
        <f>CR21+CQ21+CP21</f>
        <v>99750</v>
      </c>
      <c r="CT21" s="319">
        <f>CS21-CN21</f>
        <v>0</v>
      </c>
      <c r="CU21" s="319">
        <v>99750</v>
      </c>
      <c r="CV21" s="319">
        <v>0</v>
      </c>
      <c r="CW21" s="319">
        <v>0</v>
      </c>
      <c r="CX21" s="319">
        <f>CW21+CV21+CU21</f>
        <v>99750</v>
      </c>
      <c r="CY21" s="319">
        <f>CX21-CS21</f>
        <v>0</v>
      </c>
      <c r="CZ21" s="319"/>
      <c r="DA21" s="319"/>
      <c r="DB21" s="319"/>
      <c r="DC21" s="12">
        <f>CX21*10%</f>
        <v>9975</v>
      </c>
      <c r="DD21" s="12">
        <v>0</v>
      </c>
      <c r="DE21" s="13">
        <f>DC21-DD21</f>
        <v>9975</v>
      </c>
      <c r="DF21" s="14">
        <f>DE21:DE21</f>
        <v>9975</v>
      </c>
      <c r="DG21" s="13">
        <f>DE21+CX21</f>
        <v>109725</v>
      </c>
      <c r="DH21" s="15">
        <f>100/1278396949*CX21</f>
        <v>7.8027407745323079E-3</v>
      </c>
      <c r="DI21" s="16">
        <f>CX21</f>
        <v>99750</v>
      </c>
      <c r="DJ21" s="132">
        <f>DI21*1.1</f>
        <v>109725.00000000001</v>
      </c>
      <c r="DK21" s="17">
        <f>DJ21-DI21</f>
        <v>9975.0000000000146</v>
      </c>
      <c r="DL21" s="17">
        <f>DD21</f>
        <v>0</v>
      </c>
      <c r="DM21" s="16">
        <f>DK21-DL21</f>
        <v>9975.0000000000146</v>
      </c>
      <c r="DN21" s="16">
        <f>DM21-DE21</f>
        <v>1.4551915228366852E-11</v>
      </c>
      <c r="DO21" s="16">
        <f>DM21+DI21</f>
        <v>109725.00000000001</v>
      </c>
      <c r="DP21" s="16">
        <f>DO21-DG21</f>
        <v>0</v>
      </c>
      <c r="DQ21" s="9">
        <v>109725</v>
      </c>
      <c r="DR21" s="18" t="s">
        <v>238</v>
      </c>
      <c r="DS21" s="18" t="s">
        <v>238</v>
      </c>
      <c r="DT21" s="324">
        <f>DQ21+DR21+DS21</f>
        <v>109725</v>
      </c>
      <c r="DU21" s="321">
        <f>DT21</f>
        <v>109725</v>
      </c>
      <c r="DV21" s="19">
        <f>DT21-DG21</f>
        <v>0</v>
      </c>
      <c r="DW21" s="9">
        <v>109725</v>
      </c>
      <c r="DX21" s="18"/>
      <c r="DY21" s="18"/>
      <c r="DZ21" s="324">
        <f>DW21+DX21+DY21</f>
        <v>109725</v>
      </c>
      <c r="EA21" s="321">
        <f>DZ21</f>
        <v>109725</v>
      </c>
      <c r="EB21" s="179">
        <f>DZ21-DT21</f>
        <v>0</v>
      </c>
      <c r="EC21" s="9">
        <v>109725</v>
      </c>
      <c r="ED21" s="18" t="s">
        <v>238</v>
      </c>
      <c r="EE21" s="18" t="s">
        <v>238</v>
      </c>
      <c r="EF21" s="324">
        <f>EC21+ED21+EE21</f>
        <v>109725</v>
      </c>
      <c r="EG21" s="321">
        <f>EF21</f>
        <v>109725</v>
      </c>
      <c r="EH21" s="179">
        <f>EF21-DZ21</f>
        <v>0</v>
      </c>
      <c r="EI21" s="9">
        <v>109725</v>
      </c>
      <c r="EJ21" s="18" t="s">
        <v>238</v>
      </c>
      <c r="EK21" s="18" t="s">
        <v>238</v>
      </c>
      <c r="EL21" s="324">
        <f>EI21+EJ21+EK21</f>
        <v>109725</v>
      </c>
      <c r="EM21" s="321">
        <f>EL21</f>
        <v>109725</v>
      </c>
      <c r="EN21" s="179">
        <f>EL21-EF21</f>
        <v>0</v>
      </c>
      <c r="EO21" s="9">
        <v>109725</v>
      </c>
      <c r="EP21" s="18" t="s">
        <v>238</v>
      </c>
      <c r="EQ21" s="18" t="s">
        <v>238</v>
      </c>
      <c r="ER21" s="324">
        <f>EO21+EP21+EQ21</f>
        <v>109725</v>
      </c>
      <c r="ES21" s="321">
        <f>ER21</f>
        <v>109725</v>
      </c>
      <c r="ET21" s="179">
        <f>ER21-EL21</f>
        <v>0</v>
      </c>
      <c r="EU21" s="9">
        <v>109725</v>
      </c>
      <c r="EV21" s="18" t="s">
        <v>238</v>
      </c>
      <c r="EW21" s="18" t="s">
        <v>238</v>
      </c>
      <c r="EX21" s="324">
        <f>EU21+EV21+EW21</f>
        <v>109725</v>
      </c>
      <c r="EY21" s="321">
        <f>EX21</f>
        <v>109725</v>
      </c>
      <c r="EZ21" s="179">
        <f>EX21-ER21</f>
        <v>0</v>
      </c>
      <c r="FA21" s="9">
        <v>109725</v>
      </c>
      <c r="FB21" s="18" t="s">
        <v>238</v>
      </c>
      <c r="FC21" s="18" t="s">
        <v>238</v>
      </c>
      <c r="FD21" s="324">
        <f>FA21+FB21+FC21</f>
        <v>109725</v>
      </c>
      <c r="FE21" s="321">
        <f>FD21</f>
        <v>109725</v>
      </c>
      <c r="FF21" s="179">
        <f>FD21-EX21</f>
        <v>0</v>
      </c>
      <c r="FG21" s="9">
        <v>109725</v>
      </c>
      <c r="FH21" s="18" t="s">
        <v>238</v>
      </c>
      <c r="FI21" s="18" t="s">
        <v>238</v>
      </c>
      <c r="FJ21" s="324">
        <f>FG21+FH21+FI21</f>
        <v>109725</v>
      </c>
      <c r="FK21" s="321">
        <f>FJ21</f>
        <v>109725</v>
      </c>
      <c r="FL21" s="179">
        <f>FJ21-FD21</f>
        <v>0</v>
      </c>
      <c r="FM21" s="9">
        <v>109725</v>
      </c>
      <c r="FN21" s="18" t="s">
        <v>238</v>
      </c>
      <c r="FO21" s="18" t="s">
        <v>238</v>
      </c>
      <c r="FP21" s="324">
        <f>FM21+FN21+FO21</f>
        <v>109725</v>
      </c>
      <c r="FQ21" s="321">
        <f>FP21</f>
        <v>109725</v>
      </c>
      <c r="FR21" s="179">
        <f>FP21-FJ21</f>
        <v>0</v>
      </c>
      <c r="FS21" s="9">
        <v>109725</v>
      </c>
      <c r="FT21" s="18" t="s">
        <v>238</v>
      </c>
      <c r="FU21" s="18" t="s">
        <v>238</v>
      </c>
      <c r="FV21" s="324">
        <f>FS21+FT21+FU21</f>
        <v>109725</v>
      </c>
      <c r="FW21" s="321">
        <f>FV21</f>
        <v>109725</v>
      </c>
      <c r="FX21" s="179">
        <f>FV21-FP21</f>
        <v>0</v>
      </c>
      <c r="FY21" s="9">
        <v>109725</v>
      </c>
      <c r="FZ21" s="18" t="s">
        <v>238</v>
      </c>
      <c r="GA21" s="18" t="s">
        <v>238</v>
      </c>
      <c r="GB21" s="324">
        <f>FY21+FZ21+GA21</f>
        <v>109725</v>
      </c>
      <c r="GC21" s="321">
        <f>GB21</f>
        <v>109725</v>
      </c>
      <c r="GD21" s="179">
        <f>GB21-FV21</f>
        <v>0</v>
      </c>
      <c r="GE21" s="9">
        <v>109725</v>
      </c>
      <c r="GF21" s="18" t="s">
        <v>238</v>
      </c>
      <c r="GG21" s="18" t="s">
        <v>238</v>
      </c>
      <c r="GH21" s="324">
        <f>GE21+GF21+GG21</f>
        <v>109725</v>
      </c>
      <c r="GI21" s="321">
        <f>GH21</f>
        <v>109725</v>
      </c>
      <c r="GJ21" s="179">
        <f>GH21-GB21</f>
        <v>0</v>
      </c>
      <c r="GK21" s="9">
        <v>109725</v>
      </c>
      <c r="GL21" s="18" t="s">
        <v>238</v>
      </c>
      <c r="GM21" s="18" t="s">
        <v>238</v>
      </c>
      <c r="GN21" s="324">
        <f>GK21+GL21+GM21</f>
        <v>109725</v>
      </c>
      <c r="GO21" s="321">
        <f>GN21</f>
        <v>109725</v>
      </c>
      <c r="GP21" s="179">
        <f>GN21-GH21</f>
        <v>0</v>
      </c>
      <c r="GQ21" s="9">
        <v>109725</v>
      </c>
      <c r="GR21" s="18" t="s">
        <v>238</v>
      </c>
      <c r="GS21" s="18" t="s">
        <v>238</v>
      </c>
      <c r="GT21" s="324">
        <f>GQ21+GR21+GS21</f>
        <v>109725</v>
      </c>
      <c r="GU21" s="321">
        <f>GT21</f>
        <v>109725</v>
      </c>
      <c r="GV21" s="179">
        <f>GT21-GN21</f>
        <v>0</v>
      </c>
      <c r="GW21" s="9">
        <v>115211</v>
      </c>
      <c r="GX21" s="18" t="s">
        <v>238</v>
      </c>
      <c r="GY21" s="18" t="s">
        <v>238</v>
      </c>
      <c r="GZ21" s="324">
        <f>GW21+GX21+GY21</f>
        <v>115211</v>
      </c>
      <c r="HA21" s="321">
        <f>GZ21</f>
        <v>115211</v>
      </c>
      <c r="HB21" s="179">
        <f>GZ21-GT21</f>
        <v>5486</v>
      </c>
      <c r="HC21" s="102">
        <f>100/1406236643.9*GT21</f>
        <v>7.8027407745323079E-3</v>
      </c>
      <c r="HD21" s="285">
        <f>HB21-HO21</f>
        <v>0</v>
      </c>
      <c r="HE21" s="12">
        <f>GT21*0.05</f>
        <v>5486.25</v>
      </c>
      <c r="HF21" s="12">
        <f>IF(ISNUMBER(HE21), HE21-INT(HE21), "")</f>
        <v>0.25</v>
      </c>
      <c r="HG21" s="12">
        <f>HE21-HF21</f>
        <v>5486</v>
      </c>
      <c r="HH21" s="14">
        <f>HG21:HG21</f>
        <v>5486</v>
      </c>
      <c r="HI21" s="13">
        <f>HG21+GT21</f>
        <v>115211</v>
      </c>
      <c r="HJ21" s="102">
        <f>100/1406236643.9*HI21</f>
        <v>8.1928600353122962E-3</v>
      </c>
      <c r="HK21" s="16">
        <f>GT21</f>
        <v>109725</v>
      </c>
      <c r="HL21" s="103">
        <f>HK21*1.05</f>
        <v>115211.25</v>
      </c>
      <c r="HM21" s="103">
        <f>HL21-HK21</f>
        <v>5486.25</v>
      </c>
      <c r="HN21" s="17">
        <f>HF21</f>
        <v>0.25</v>
      </c>
      <c r="HO21" s="56">
        <f>HM21-HN21</f>
        <v>5486</v>
      </c>
      <c r="HP21" s="16">
        <f>HO21-HG21</f>
        <v>0</v>
      </c>
      <c r="HQ21" s="16">
        <f>HO21+HK21</f>
        <v>115211</v>
      </c>
      <c r="HR21" s="16">
        <f>HQ21-HI21</f>
        <v>0</v>
      </c>
    </row>
    <row r="22" spans="1:226" ht="41.4" thickBot="1" x14ac:dyDescent="0.35">
      <c r="A22" s="305">
        <v>4</v>
      </c>
      <c r="B22" s="240"/>
      <c r="C22" s="314" t="s">
        <v>474</v>
      </c>
      <c r="D22" s="2" t="s">
        <v>473</v>
      </c>
      <c r="E22" s="160"/>
      <c r="F22" s="4"/>
      <c r="G22" s="4"/>
      <c r="H22" s="325"/>
      <c r="I22" s="325"/>
      <c r="J22" s="325"/>
      <c r="K22" s="325"/>
      <c r="L22" s="325"/>
      <c r="M22" s="6"/>
      <c r="N22" s="6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>
        <f>AA22/105*100</f>
        <v>4409324.7619047612</v>
      </c>
      <c r="AA22" s="7">
        <v>4629791</v>
      </c>
      <c r="AB22" s="7"/>
      <c r="AC22" s="4"/>
      <c r="AD22" s="4"/>
      <c r="AE22" s="7"/>
      <c r="AF22" s="7"/>
      <c r="AG22" s="4"/>
      <c r="AH22" s="4"/>
      <c r="AI22" s="7"/>
      <c r="AJ22" s="7">
        <v>4629791</v>
      </c>
      <c r="AK22" s="4">
        <v>0</v>
      </c>
      <c r="AL22" s="4">
        <v>0</v>
      </c>
      <c r="AM22" s="7">
        <f>AL22+AK22+AJ22</f>
        <v>4629791</v>
      </c>
      <c r="AN22" s="7">
        <v>4629791</v>
      </c>
      <c r="AO22" s="4">
        <v>0</v>
      </c>
      <c r="AP22" s="4">
        <v>0</v>
      </c>
      <c r="AQ22" s="7">
        <f>AP22+AO22+AN22</f>
        <v>4629791</v>
      </c>
      <c r="AR22" s="7">
        <v>4629791</v>
      </c>
      <c r="AS22" s="4">
        <v>0</v>
      </c>
      <c r="AT22" s="4">
        <v>0</v>
      </c>
      <c r="AU22" s="7">
        <f>AT22+AS22+AR22</f>
        <v>4629791</v>
      </c>
      <c r="AV22" s="7">
        <v>4629791</v>
      </c>
      <c r="AW22" s="4">
        <v>0</v>
      </c>
      <c r="AX22" s="4">
        <v>0</v>
      </c>
      <c r="AY22" s="7">
        <f>AX22+AW22+AV22</f>
        <v>4629791</v>
      </c>
      <c r="AZ22" s="8">
        <f>AY22*5%</f>
        <v>231489.55000000002</v>
      </c>
      <c r="BA22" s="8">
        <v>0.55000000000000004</v>
      </c>
      <c r="BB22" s="8">
        <f>AZ22-BA22</f>
        <v>231489.00000000003</v>
      </c>
      <c r="BC22" s="8">
        <f>BB22+AY22</f>
        <v>4861280</v>
      </c>
      <c r="BD22" s="8"/>
      <c r="BE22" s="9">
        <f>BD22+BC22</f>
        <v>4861280</v>
      </c>
      <c r="BF22" s="10">
        <f>BE22-AY22</f>
        <v>231489</v>
      </c>
      <c r="BG22" s="11">
        <f>BF22-BB22</f>
        <v>0</v>
      </c>
      <c r="BH22" s="319">
        <v>4861280</v>
      </c>
      <c r="BI22" s="319">
        <v>0</v>
      </c>
      <c r="BJ22" s="319">
        <v>0</v>
      </c>
      <c r="BK22" s="319">
        <f>BJ22+BI22+BH22</f>
        <v>4861280</v>
      </c>
      <c r="BL22" s="319">
        <v>4861280</v>
      </c>
      <c r="BM22" s="319">
        <v>0</v>
      </c>
      <c r="BN22" s="319">
        <v>0</v>
      </c>
      <c r="BO22" s="319">
        <f>BN22+BM22+BL22</f>
        <v>4861280</v>
      </c>
      <c r="BP22" s="319">
        <f>BO22-BK22</f>
        <v>0</v>
      </c>
      <c r="BQ22" s="319">
        <v>4861280</v>
      </c>
      <c r="BR22" s="319">
        <v>0</v>
      </c>
      <c r="BS22" s="319">
        <v>0</v>
      </c>
      <c r="BT22" s="319">
        <f>BS22+BR22+BQ22</f>
        <v>4861280</v>
      </c>
      <c r="BU22" s="319">
        <f>BT22-BO22</f>
        <v>0</v>
      </c>
      <c r="BV22" s="319">
        <v>4861280</v>
      </c>
      <c r="BW22" s="324">
        <v>0</v>
      </c>
      <c r="BX22" s="324">
        <v>0</v>
      </c>
      <c r="BY22" s="319">
        <f>BX22+BW22+BV22</f>
        <v>4861280</v>
      </c>
      <c r="BZ22" s="319">
        <f>BY22-BT22</f>
        <v>0</v>
      </c>
      <c r="CA22" s="319">
        <v>4861280</v>
      </c>
      <c r="CB22" s="324">
        <v>0</v>
      </c>
      <c r="CC22" s="324">
        <v>0</v>
      </c>
      <c r="CD22" s="319">
        <f>CC22+CB22+CA22</f>
        <v>4861280</v>
      </c>
      <c r="CE22" s="319">
        <f>CD22-BY22</f>
        <v>0</v>
      </c>
      <c r="CF22" s="319">
        <v>4861280</v>
      </c>
      <c r="CG22" s="319">
        <v>0</v>
      </c>
      <c r="CH22" s="319">
        <v>0</v>
      </c>
      <c r="CI22" s="319">
        <f>CH22+CG22+CF22</f>
        <v>4861280</v>
      </c>
      <c r="CJ22" s="319">
        <f>CI22-CD22</f>
        <v>0</v>
      </c>
      <c r="CK22" s="319">
        <v>4861280</v>
      </c>
      <c r="CL22" s="319">
        <v>0</v>
      </c>
      <c r="CM22" s="319">
        <v>0</v>
      </c>
      <c r="CN22" s="319">
        <f>CM22+CL22+CK22</f>
        <v>4861280</v>
      </c>
      <c r="CO22" s="319">
        <f>CN22-CI22</f>
        <v>0</v>
      </c>
      <c r="CP22" s="319">
        <v>4861280</v>
      </c>
      <c r="CQ22" s="319"/>
      <c r="CR22" s="319"/>
      <c r="CS22" s="319">
        <f>CR22+CQ22+CP22</f>
        <v>4861280</v>
      </c>
      <c r="CT22" s="319">
        <f>CS22-CN22</f>
        <v>0</v>
      </c>
      <c r="CU22" s="319">
        <v>4861280</v>
      </c>
      <c r="CV22" s="319">
        <v>0</v>
      </c>
      <c r="CW22" s="319">
        <v>0</v>
      </c>
      <c r="CX22" s="319">
        <f>CW22+CV22+CU22</f>
        <v>4861280</v>
      </c>
      <c r="CY22" s="319">
        <f>CX22-CS22</f>
        <v>0</v>
      </c>
      <c r="CZ22" s="319"/>
      <c r="DA22" s="319"/>
      <c r="DB22" s="319"/>
      <c r="DC22" s="12">
        <f>CX22*10%</f>
        <v>486128</v>
      </c>
      <c r="DD22" s="12">
        <v>0</v>
      </c>
      <c r="DE22" s="13">
        <f>DC22-DD22</f>
        <v>486128</v>
      </c>
      <c r="DF22" s="14">
        <f>DE22:DE22</f>
        <v>486128</v>
      </c>
      <c r="DG22" s="13">
        <f>DE22+CX22</f>
        <v>5347408</v>
      </c>
      <c r="DH22" s="15">
        <f>100/1278396949*CX22</f>
        <v>0.38026373606434505</v>
      </c>
      <c r="DI22" s="16">
        <f>CX22</f>
        <v>4861280</v>
      </c>
      <c r="DJ22" s="132">
        <f>DI22*1.1</f>
        <v>5347408</v>
      </c>
      <c r="DK22" s="17">
        <f>DJ22-DI22</f>
        <v>486128</v>
      </c>
      <c r="DL22" s="17">
        <f>DD22</f>
        <v>0</v>
      </c>
      <c r="DM22" s="16">
        <f>DK22-DL22</f>
        <v>486128</v>
      </c>
      <c r="DN22" s="16">
        <f>DM22-DE22</f>
        <v>0</v>
      </c>
      <c r="DO22" s="16">
        <f>DM22+DI22</f>
        <v>5347408</v>
      </c>
      <c r="DP22" s="16">
        <f>DO22-DG22</f>
        <v>0</v>
      </c>
      <c r="DQ22" s="9">
        <v>5347408</v>
      </c>
      <c r="DR22" s="18" t="s">
        <v>238</v>
      </c>
      <c r="DS22" s="18" t="s">
        <v>238</v>
      </c>
      <c r="DT22" s="324">
        <f>DQ22+DR22+DS22</f>
        <v>5347408</v>
      </c>
      <c r="DU22" s="321">
        <f>DT22</f>
        <v>5347408</v>
      </c>
      <c r="DV22" s="19">
        <f>DT22-DG22</f>
        <v>0</v>
      </c>
      <c r="DW22" s="9">
        <v>5347408</v>
      </c>
      <c r="DX22" s="18"/>
      <c r="DY22" s="18"/>
      <c r="DZ22" s="324">
        <f>DW22+DX22+DY22</f>
        <v>5347408</v>
      </c>
      <c r="EA22" s="321">
        <f>DZ22</f>
        <v>5347408</v>
      </c>
      <c r="EB22" s="179">
        <f>DZ22-DT22</f>
        <v>0</v>
      </c>
      <c r="EC22" s="9">
        <v>5347408</v>
      </c>
      <c r="ED22" s="18" t="s">
        <v>238</v>
      </c>
      <c r="EE22" s="18" t="s">
        <v>238</v>
      </c>
      <c r="EF22" s="324">
        <f>EC22+ED22+EE22</f>
        <v>5347408</v>
      </c>
      <c r="EG22" s="321">
        <f>EF22</f>
        <v>5347408</v>
      </c>
      <c r="EH22" s="179">
        <f>EF22-DZ22</f>
        <v>0</v>
      </c>
      <c r="EI22" s="9">
        <v>5347408</v>
      </c>
      <c r="EJ22" s="18" t="s">
        <v>238</v>
      </c>
      <c r="EK22" s="18" t="s">
        <v>238</v>
      </c>
      <c r="EL22" s="324">
        <f>EI22+EJ22+EK22</f>
        <v>5347408</v>
      </c>
      <c r="EM22" s="321">
        <f>EL22</f>
        <v>5347408</v>
      </c>
      <c r="EN22" s="179">
        <f>EL22-EF22</f>
        <v>0</v>
      </c>
      <c r="EO22" s="9">
        <v>5347408</v>
      </c>
      <c r="EP22" s="18" t="s">
        <v>238</v>
      </c>
      <c r="EQ22" s="18" t="s">
        <v>238</v>
      </c>
      <c r="ER22" s="324">
        <f>EO22+EP22+EQ22</f>
        <v>5347408</v>
      </c>
      <c r="ES22" s="321">
        <f>ER22</f>
        <v>5347408</v>
      </c>
      <c r="ET22" s="179">
        <f>ER22-EL22</f>
        <v>0</v>
      </c>
      <c r="EU22" s="9">
        <v>5347408</v>
      </c>
      <c r="EV22" s="18" t="s">
        <v>238</v>
      </c>
      <c r="EW22" s="18" t="s">
        <v>238</v>
      </c>
      <c r="EX22" s="324">
        <f>EU22+EV22+EW22</f>
        <v>5347408</v>
      </c>
      <c r="EY22" s="321">
        <f>EX22</f>
        <v>5347408</v>
      </c>
      <c r="EZ22" s="179">
        <f>EX22-ER22</f>
        <v>0</v>
      </c>
      <c r="FA22" s="9">
        <v>5347408</v>
      </c>
      <c r="FB22" s="18" t="s">
        <v>238</v>
      </c>
      <c r="FC22" s="18" t="s">
        <v>238</v>
      </c>
      <c r="FD22" s="324">
        <f>FA22+FB22+FC22</f>
        <v>5347408</v>
      </c>
      <c r="FE22" s="321">
        <f>FD22</f>
        <v>5347408</v>
      </c>
      <c r="FF22" s="179">
        <f>FD22-EX22</f>
        <v>0</v>
      </c>
      <c r="FG22" s="9">
        <v>5347408</v>
      </c>
      <c r="FH22" s="18" t="s">
        <v>238</v>
      </c>
      <c r="FI22" s="18" t="s">
        <v>238</v>
      </c>
      <c r="FJ22" s="324">
        <f>FG22+FH22+FI22</f>
        <v>5347408</v>
      </c>
      <c r="FK22" s="321">
        <f>FJ22</f>
        <v>5347408</v>
      </c>
      <c r="FL22" s="179">
        <f>FJ22-FD22</f>
        <v>0</v>
      </c>
      <c r="FM22" s="9">
        <v>5347408</v>
      </c>
      <c r="FN22" s="18" t="s">
        <v>238</v>
      </c>
      <c r="FO22" s="18" t="s">
        <v>238</v>
      </c>
      <c r="FP22" s="324">
        <f>FM22+FN22+FO22</f>
        <v>5347408</v>
      </c>
      <c r="FQ22" s="321">
        <f>FP22</f>
        <v>5347408</v>
      </c>
      <c r="FR22" s="179">
        <f>FP22-FJ22</f>
        <v>0</v>
      </c>
      <c r="FS22" s="9">
        <v>5347408</v>
      </c>
      <c r="FT22" s="18" t="s">
        <v>238</v>
      </c>
      <c r="FU22" s="18" t="s">
        <v>238</v>
      </c>
      <c r="FV22" s="324">
        <f>FS22+FT22+FU22</f>
        <v>5347408</v>
      </c>
      <c r="FW22" s="321">
        <f>FV22</f>
        <v>5347408</v>
      </c>
      <c r="FX22" s="179">
        <f>FV22-FP22</f>
        <v>0</v>
      </c>
      <c r="FY22" s="9">
        <v>5347408</v>
      </c>
      <c r="FZ22" s="18" t="s">
        <v>238</v>
      </c>
      <c r="GA22" s="18" t="s">
        <v>238</v>
      </c>
      <c r="GB22" s="324">
        <f>FY22+FZ22+GA22</f>
        <v>5347408</v>
      </c>
      <c r="GC22" s="321">
        <f>GB22</f>
        <v>5347408</v>
      </c>
      <c r="GD22" s="179">
        <f>GB22-FV22</f>
        <v>0</v>
      </c>
      <c r="GE22" s="9">
        <v>5347408</v>
      </c>
      <c r="GF22" s="18" t="s">
        <v>238</v>
      </c>
      <c r="GG22" s="18" t="s">
        <v>238</v>
      </c>
      <c r="GH22" s="324">
        <f>GE22+GF22+GG22</f>
        <v>5347408</v>
      </c>
      <c r="GI22" s="321">
        <f>GH22</f>
        <v>5347408</v>
      </c>
      <c r="GJ22" s="179">
        <f>GH22-GB22</f>
        <v>0</v>
      </c>
      <c r="GK22" s="9">
        <v>5347408</v>
      </c>
      <c r="GL22" s="18" t="s">
        <v>238</v>
      </c>
      <c r="GM22" s="18" t="s">
        <v>238</v>
      </c>
      <c r="GN22" s="324">
        <f>GK22+GL22+GM22</f>
        <v>5347408</v>
      </c>
      <c r="GO22" s="321">
        <f>GN22</f>
        <v>5347408</v>
      </c>
      <c r="GP22" s="179">
        <f>GN22-GH22</f>
        <v>0</v>
      </c>
      <c r="GQ22" s="9">
        <v>5347408</v>
      </c>
      <c r="GR22" s="18" t="s">
        <v>238</v>
      </c>
      <c r="GS22" s="18" t="s">
        <v>238</v>
      </c>
      <c r="GT22" s="324">
        <f>GQ22+GR22+GS22</f>
        <v>5347408</v>
      </c>
      <c r="GU22" s="321">
        <f>GT22</f>
        <v>5347408</v>
      </c>
      <c r="GV22" s="179">
        <f>GT22-GN22</f>
        <v>0</v>
      </c>
      <c r="GW22" s="9">
        <v>5614778</v>
      </c>
      <c r="GX22" s="18" t="s">
        <v>238</v>
      </c>
      <c r="GY22" s="18" t="s">
        <v>238</v>
      </c>
      <c r="GZ22" s="324">
        <f>GW22+GX22+GY22</f>
        <v>5614778</v>
      </c>
      <c r="HA22" s="321">
        <f>GZ22</f>
        <v>5614778</v>
      </c>
      <c r="HB22" s="179">
        <f>GZ22-GT22</f>
        <v>267370</v>
      </c>
      <c r="HC22" s="102">
        <f>100/1406236643.9*GT22</f>
        <v>0.38026373606434505</v>
      </c>
      <c r="HD22" s="285">
        <f>HB22-HO22</f>
        <v>0</v>
      </c>
      <c r="HE22" s="12">
        <f>GT22*0.05</f>
        <v>267370.40000000002</v>
      </c>
      <c r="HF22" s="12">
        <f>IF(ISNUMBER(HE22), HE22-INT(HE22), "")</f>
        <v>0.40000000002328306</v>
      </c>
      <c r="HG22" s="12">
        <f>HE22-HF22</f>
        <v>267370</v>
      </c>
      <c r="HH22" s="14">
        <f>HG22:HG22</f>
        <v>267370</v>
      </c>
      <c r="HI22" s="13">
        <f>HG22+GT22</f>
        <v>5614778</v>
      </c>
      <c r="HJ22" s="102">
        <f>100/1406236643.9*HI22</f>
        <v>0.39927689442284769</v>
      </c>
      <c r="HK22" s="16">
        <f>GT22</f>
        <v>5347408</v>
      </c>
      <c r="HL22" s="103">
        <f>HK22*1.05</f>
        <v>5614778.4000000004</v>
      </c>
      <c r="HM22" s="103">
        <f>HL22-HK22</f>
        <v>267370.40000000037</v>
      </c>
      <c r="HN22" s="17">
        <f>HF22</f>
        <v>0.40000000002328306</v>
      </c>
      <c r="HO22" s="56">
        <f>HM22-HN22</f>
        <v>267370.00000000035</v>
      </c>
      <c r="HP22" s="16">
        <f>HO22-HG22</f>
        <v>0</v>
      </c>
      <c r="HQ22" s="16">
        <f>HO22+HK22</f>
        <v>5614778</v>
      </c>
      <c r="HR22" s="16">
        <f>HQ22-HI22</f>
        <v>0</v>
      </c>
    </row>
    <row r="23" spans="1:226" ht="10.8" thickBot="1" x14ac:dyDescent="0.35">
      <c r="A23" s="197">
        <v>5</v>
      </c>
      <c r="B23" s="198"/>
      <c r="C23" s="286"/>
      <c r="D23" s="287" t="s">
        <v>486</v>
      </c>
      <c r="E23" s="160"/>
      <c r="F23" s="4"/>
      <c r="G23" s="4"/>
      <c r="H23" s="325"/>
      <c r="I23" s="325"/>
      <c r="J23" s="325"/>
      <c r="K23" s="325"/>
      <c r="L23" s="325"/>
      <c r="M23" s="6"/>
      <c r="N23" s="6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4"/>
      <c r="AD23" s="4"/>
      <c r="AE23" s="7"/>
      <c r="AF23" s="7"/>
      <c r="AG23" s="4"/>
      <c r="AH23" s="4"/>
      <c r="AI23" s="7"/>
      <c r="AJ23" s="7"/>
      <c r="AK23" s="4"/>
      <c r="AL23" s="4"/>
      <c r="AM23" s="7"/>
      <c r="AN23" s="7"/>
      <c r="AO23" s="4"/>
      <c r="AP23" s="4"/>
      <c r="AQ23" s="7"/>
      <c r="AR23" s="128">
        <v>14149251</v>
      </c>
      <c r="AS23" s="4"/>
      <c r="AT23" s="4"/>
      <c r="AU23" s="7"/>
      <c r="AV23" s="7"/>
      <c r="AW23" s="4"/>
      <c r="AX23" s="4"/>
      <c r="AY23" s="7"/>
      <c r="AZ23" s="8">
        <f>AY23*5%</f>
        <v>0</v>
      </c>
      <c r="BA23" s="8"/>
      <c r="BB23" s="8">
        <f>AZ23-BA23</f>
        <v>0</v>
      </c>
      <c r="BC23" s="8">
        <f>BB23+AY23</f>
        <v>0</v>
      </c>
      <c r="BD23" s="8"/>
      <c r="BE23" s="9">
        <f>BD23+BC23</f>
        <v>0</v>
      </c>
      <c r="BF23" s="10">
        <f>BE23-AY23</f>
        <v>0</v>
      </c>
      <c r="BG23" s="11">
        <f>BF23-BB23</f>
        <v>0</v>
      </c>
      <c r="BH23" s="319">
        <v>14856713</v>
      </c>
      <c r="BI23" s="319">
        <v>0</v>
      </c>
      <c r="BJ23" s="319">
        <v>0</v>
      </c>
      <c r="BK23" s="319">
        <f>BJ23+BI23+BH23</f>
        <v>14856713</v>
      </c>
      <c r="BL23" s="319">
        <v>14856713</v>
      </c>
      <c r="BM23" s="319">
        <v>0</v>
      </c>
      <c r="BN23" s="319">
        <v>0</v>
      </c>
      <c r="BO23" s="319">
        <f>BN23+BM23+BL23</f>
        <v>14856713</v>
      </c>
      <c r="BP23" s="319">
        <f>BO23-BK23</f>
        <v>0</v>
      </c>
      <c r="BQ23" s="319">
        <v>14856713</v>
      </c>
      <c r="BR23" s="319">
        <v>0</v>
      </c>
      <c r="BS23" s="319">
        <v>0</v>
      </c>
      <c r="BT23" s="319">
        <f>BS23+BR23+BQ23</f>
        <v>14856713</v>
      </c>
      <c r="BU23" s="319">
        <f>BT23-BO23</f>
        <v>0</v>
      </c>
      <c r="BV23" s="319">
        <v>14856713</v>
      </c>
      <c r="BW23" s="324">
        <v>0</v>
      </c>
      <c r="BX23" s="324">
        <v>0</v>
      </c>
      <c r="BY23" s="319">
        <f>BX23+BW23+BV23</f>
        <v>14856713</v>
      </c>
      <c r="BZ23" s="319">
        <f>BY23-BT23</f>
        <v>0</v>
      </c>
      <c r="CA23" s="319">
        <v>14856713</v>
      </c>
      <c r="CB23" s="324">
        <v>0</v>
      </c>
      <c r="CC23" s="324">
        <v>0</v>
      </c>
      <c r="CD23" s="319">
        <f>CC23+CB23+CA23</f>
        <v>14856713</v>
      </c>
      <c r="CE23" s="319">
        <f>CD23-BY23</f>
        <v>0</v>
      </c>
      <c r="CF23" s="319">
        <v>14856713</v>
      </c>
      <c r="CG23" s="319">
        <v>0</v>
      </c>
      <c r="CH23" s="319">
        <v>0</v>
      </c>
      <c r="CI23" s="319">
        <f>CH23+CG23+CF23</f>
        <v>14856713</v>
      </c>
      <c r="CJ23" s="319">
        <f>CI23-CD23</f>
        <v>0</v>
      </c>
      <c r="CK23" s="319">
        <v>14856713</v>
      </c>
      <c r="CL23" s="319">
        <v>0</v>
      </c>
      <c r="CM23" s="319">
        <v>0</v>
      </c>
      <c r="CN23" s="319">
        <f>CM23+CL23+CK23</f>
        <v>14856713</v>
      </c>
      <c r="CO23" s="319">
        <f>CN23-CI23</f>
        <v>0</v>
      </c>
      <c r="CP23" s="319">
        <v>14856713</v>
      </c>
      <c r="CQ23" s="319"/>
      <c r="CR23" s="319"/>
      <c r="CS23" s="319">
        <f>CR23+CQ23+CP23</f>
        <v>14856713</v>
      </c>
      <c r="CT23" s="319">
        <f>CS23-CN23</f>
        <v>0</v>
      </c>
      <c r="CU23" s="319">
        <v>14856713</v>
      </c>
      <c r="CV23" s="319">
        <v>0</v>
      </c>
      <c r="CW23" s="319">
        <v>0</v>
      </c>
      <c r="CX23" s="319">
        <f>CW23+CV23+CU23</f>
        <v>14856713</v>
      </c>
      <c r="CY23" s="319">
        <f>CX23-CS23</f>
        <v>0</v>
      </c>
      <c r="CZ23" s="319"/>
      <c r="DA23" s="319"/>
      <c r="DB23" s="319"/>
      <c r="DC23" s="12">
        <f>CX23*10%</f>
        <v>1485671.3</v>
      </c>
      <c r="DD23" s="12">
        <v>0.3</v>
      </c>
      <c r="DE23" s="13">
        <f>DC23-DD23</f>
        <v>1485671</v>
      </c>
      <c r="DF23" s="14">
        <f>DE23:DE23</f>
        <v>1485671</v>
      </c>
      <c r="DG23" s="13">
        <f>DE23+CX23</f>
        <v>16342384</v>
      </c>
      <c r="DH23" s="15">
        <f>100/1278396949*CX23</f>
        <v>1.1621361433646538</v>
      </c>
      <c r="DI23" s="16">
        <f>CX23</f>
        <v>14856713</v>
      </c>
      <c r="DJ23" s="132">
        <f>DI23*1.1</f>
        <v>16342384.300000001</v>
      </c>
      <c r="DK23" s="17">
        <f>DJ23-DI23</f>
        <v>1485671.3000000007</v>
      </c>
      <c r="DL23" s="17">
        <f>DD23</f>
        <v>0.3</v>
      </c>
      <c r="DM23" s="16">
        <f>DK23-DL23</f>
        <v>1485671.0000000007</v>
      </c>
      <c r="DN23" s="16">
        <f>DM23-DE23</f>
        <v>0</v>
      </c>
      <c r="DO23" s="16">
        <f>DM23+DI23</f>
        <v>16342384</v>
      </c>
      <c r="DP23" s="16">
        <f>DO23-DG23</f>
        <v>0</v>
      </c>
      <c r="DQ23" s="9">
        <v>16342384</v>
      </c>
      <c r="DR23" s="18" t="s">
        <v>238</v>
      </c>
      <c r="DS23" s="18" t="s">
        <v>238</v>
      </c>
      <c r="DT23" s="324">
        <f>DQ23+DR23+DS23</f>
        <v>16342384</v>
      </c>
      <c r="DU23" s="321">
        <f>DT23</f>
        <v>16342384</v>
      </c>
      <c r="DV23" s="19">
        <f>DT23-DG23</f>
        <v>0</v>
      </c>
      <c r="DW23" s="9">
        <v>16342384</v>
      </c>
      <c r="DX23" s="18"/>
      <c r="DY23" s="18"/>
      <c r="DZ23" s="324">
        <f>DW23+DX23+DY23</f>
        <v>16342384</v>
      </c>
      <c r="EA23" s="321">
        <f>DZ23</f>
        <v>16342384</v>
      </c>
      <c r="EB23" s="179">
        <f>DZ23-DT23</f>
        <v>0</v>
      </c>
      <c r="EC23" s="9">
        <v>16342384</v>
      </c>
      <c r="ED23" s="18" t="s">
        <v>238</v>
      </c>
      <c r="EE23" s="18" t="s">
        <v>238</v>
      </c>
      <c r="EF23" s="324">
        <f>EC23+ED23+EE23</f>
        <v>16342384</v>
      </c>
      <c r="EG23" s="321">
        <f>EF23</f>
        <v>16342384</v>
      </c>
      <c r="EH23" s="179">
        <f>EF23-DZ23</f>
        <v>0</v>
      </c>
      <c r="EI23" s="9">
        <v>16342384</v>
      </c>
      <c r="EJ23" s="18" t="s">
        <v>238</v>
      </c>
      <c r="EK23" s="18" t="s">
        <v>238</v>
      </c>
      <c r="EL23" s="324">
        <f>EI23+EJ23+EK23</f>
        <v>16342384</v>
      </c>
      <c r="EM23" s="321">
        <f>EL23</f>
        <v>16342384</v>
      </c>
      <c r="EN23" s="179">
        <f>EL23-EF23</f>
        <v>0</v>
      </c>
      <c r="EO23" s="9">
        <v>16342384</v>
      </c>
      <c r="EP23" s="18" t="s">
        <v>238</v>
      </c>
      <c r="EQ23" s="18" t="s">
        <v>238</v>
      </c>
      <c r="ER23" s="324">
        <f>EO23+EP23+EQ23</f>
        <v>16342384</v>
      </c>
      <c r="ES23" s="321">
        <f>ER23</f>
        <v>16342384</v>
      </c>
      <c r="ET23" s="179">
        <f>ER23-EL23</f>
        <v>0</v>
      </c>
      <c r="EU23" s="9">
        <v>16342384</v>
      </c>
      <c r="EV23" s="18" t="s">
        <v>238</v>
      </c>
      <c r="EW23" s="18" t="s">
        <v>238</v>
      </c>
      <c r="EX23" s="324">
        <f>EU23+EV23+EW23</f>
        <v>16342384</v>
      </c>
      <c r="EY23" s="321">
        <f>EX23</f>
        <v>16342384</v>
      </c>
      <c r="EZ23" s="179">
        <f>EX23-ER23</f>
        <v>0</v>
      </c>
      <c r="FA23" s="9">
        <v>16342384</v>
      </c>
      <c r="FB23" s="18" t="s">
        <v>238</v>
      </c>
      <c r="FC23" s="18" t="s">
        <v>238</v>
      </c>
      <c r="FD23" s="324">
        <f>FA23+FB23+FC23</f>
        <v>16342384</v>
      </c>
      <c r="FE23" s="321">
        <f>FD23</f>
        <v>16342384</v>
      </c>
      <c r="FF23" s="179">
        <f>FD23-EX23</f>
        <v>0</v>
      </c>
      <c r="FG23" s="9">
        <v>16342384</v>
      </c>
      <c r="FH23" s="18" t="s">
        <v>238</v>
      </c>
      <c r="FI23" s="18" t="s">
        <v>238</v>
      </c>
      <c r="FJ23" s="324">
        <f>FG23+FH23+FI23</f>
        <v>16342384</v>
      </c>
      <c r="FK23" s="321">
        <f>FJ23</f>
        <v>16342384</v>
      </c>
      <c r="FL23" s="179">
        <f>FJ23-FD23</f>
        <v>0</v>
      </c>
      <c r="FM23" s="9">
        <v>16342384</v>
      </c>
      <c r="FN23" s="18" t="s">
        <v>238</v>
      </c>
      <c r="FO23" s="18" t="s">
        <v>238</v>
      </c>
      <c r="FP23" s="324">
        <f>FM23+FN23+FO23</f>
        <v>16342384</v>
      </c>
      <c r="FQ23" s="321">
        <f>FP23</f>
        <v>16342384</v>
      </c>
      <c r="FR23" s="179">
        <f>FP23-FJ23</f>
        <v>0</v>
      </c>
      <c r="FS23" s="9">
        <v>16342384</v>
      </c>
      <c r="FT23" s="18" t="s">
        <v>238</v>
      </c>
      <c r="FU23" s="18" t="s">
        <v>238</v>
      </c>
      <c r="FV23" s="324">
        <f>FS23+FT23+FU23</f>
        <v>16342384</v>
      </c>
      <c r="FW23" s="321">
        <f>FV23</f>
        <v>16342384</v>
      </c>
      <c r="FX23" s="179">
        <f>FV23-FP23</f>
        <v>0</v>
      </c>
      <c r="FY23" s="9">
        <v>16342384</v>
      </c>
      <c r="FZ23" s="18" t="s">
        <v>238</v>
      </c>
      <c r="GA23" s="18" t="s">
        <v>238</v>
      </c>
      <c r="GB23" s="324">
        <f>FY23+FZ23+GA23</f>
        <v>16342384</v>
      </c>
      <c r="GC23" s="321">
        <f>GB23</f>
        <v>16342384</v>
      </c>
      <c r="GD23" s="179">
        <f>GB23-FV23</f>
        <v>0</v>
      </c>
      <c r="GE23" s="9">
        <v>16342384</v>
      </c>
      <c r="GF23" s="18" t="s">
        <v>238</v>
      </c>
      <c r="GG23" s="18" t="s">
        <v>238</v>
      </c>
      <c r="GH23" s="324">
        <f>GE23+GF23+GG23</f>
        <v>16342384</v>
      </c>
      <c r="GI23" s="321">
        <f>GH23</f>
        <v>16342384</v>
      </c>
      <c r="GJ23" s="179">
        <f>GH23-GB23</f>
        <v>0</v>
      </c>
      <c r="GK23" s="9">
        <v>16342384</v>
      </c>
      <c r="GL23" s="18" t="s">
        <v>238</v>
      </c>
      <c r="GM23" s="18" t="s">
        <v>238</v>
      </c>
      <c r="GN23" s="324">
        <f>GK23+GL23+GM23</f>
        <v>16342384</v>
      </c>
      <c r="GO23" s="321">
        <f>GN23</f>
        <v>16342384</v>
      </c>
      <c r="GP23" s="179">
        <f>GN23-GH23</f>
        <v>0</v>
      </c>
      <c r="GQ23" s="9">
        <v>16342384</v>
      </c>
      <c r="GR23" s="18" t="s">
        <v>238</v>
      </c>
      <c r="GS23" s="18" t="s">
        <v>238</v>
      </c>
      <c r="GT23" s="324">
        <f>GQ23+GR23+GS23</f>
        <v>16342384</v>
      </c>
      <c r="GU23" s="321">
        <f>GT23</f>
        <v>16342384</v>
      </c>
      <c r="GV23" s="179">
        <f>GT23-GN23</f>
        <v>0</v>
      </c>
      <c r="GW23" s="9">
        <v>17159503</v>
      </c>
      <c r="GX23" s="18" t="s">
        <v>238</v>
      </c>
      <c r="GY23" s="18" t="s">
        <v>238</v>
      </c>
      <c r="GZ23" s="324">
        <f>GW23+GX23+GY23</f>
        <v>17159503</v>
      </c>
      <c r="HA23" s="321">
        <f>GZ23</f>
        <v>17159503</v>
      </c>
      <c r="HB23" s="179">
        <f>GZ23-GT23</f>
        <v>817119</v>
      </c>
      <c r="HC23" s="102">
        <f>100/1406236643.9*GT23</f>
        <v>1.1621361220311177</v>
      </c>
      <c r="HD23" s="285">
        <f>HB23-HO23</f>
        <v>0</v>
      </c>
      <c r="HE23" s="12">
        <f>GT23*0.05</f>
        <v>817119.20000000007</v>
      </c>
      <c r="HF23" s="12">
        <f>IF(ISNUMBER(HE23), HE23-INT(HE23), "")</f>
        <v>0.20000000006984919</v>
      </c>
      <c r="HG23" s="12">
        <f>HE23-HF23</f>
        <v>817119</v>
      </c>
      <c r="HH23" s="14">
        <f>HG23:HG23</f>
        <v>817119</v>
      </c>
      <c r="HI23" s="13">
        <f>HG23+GT23</f>
        <v>17159503</v>
      </c>
      <c r="HJ23" s="102">
        <f>100/1406236643.9*HI23</f>
        <v>1.2202429139103164</v>
      </c>
      <c r="HK23" s="16">
        <f>GT23</f>
        <v>16342384</v>
      </c>
      <c r="HL23" s="103">
        <f>HK23*1.05</f>
        <v>17159503.199999999</v>
      </c>
      <c r="HM23" s="103">
        <f>HL23-HK23</f>
        <v>817119.19999999925</v>
      </c>
      <c r="HN23" s="17">
        <f>HF23</f>
        <v>0.20000000006984919</v>
      </c>
      <c r="HO23" s="56">
        <f>HM23-HN23</f>
        <v>817118.99999999919</v>
      </c>
      <c r="HP23" s="16">
        <f>HO23-HG23</f>
        <v>0</v>
      </c>
      <c r="HQ23" s="16">
        <f>HO23+HK23</f>
        <v>17159503</v>
      </c>
      <c r="HR23" s="16">
        <f>HQ23-HI23</f>
        <v>0</v>
      </c>
    </row>
    <row r="24" spans="1:226" x14ac:dyDescent="0.3">
      <c r="A24" s="140"/>
      <c r="B24" s="140"/>
      <c r="C24" s="140"/>
      <c r="D24" s="141" t="s">
        <v>216</v>
      </c>
      <c r="E24" s="121">
        <f t="shared" ref="E24:BP24" si="115">SUM(E20:E23)</f>
        <v>0</v>
      </c>
      <c r="F24" s="121">
        <f t="shared" si="115"/>
        <v>0</v>
      </c>
      <c r="G24" s="121">
        <f t="shared" si="115"/>
        <v>0</v>
      </c>
      <c r="H24" s="121">
        <f t="shared" si="115"/>
        <v>0</v>
      </c>
      <c r="I24" s="121">
        <f t="shared" si="115"/>
        <v>32451678</v>
      </c>
      <c r="J24" s="121">
        <f t="shared" si="115"/>
        <v>32451678</v>
      </c>
      <c r="K24" s="121">
        <f t="shared" si="115"/>
        <v>0</v>
      </c>
      <c r="L24" s="121">
        <f t="shared" si="115"/>
        <v>32451678</v>
      </c>
      <c r="M24" s="121">
        <f t="shared" si="115"/>
        <v>32451678</v>
      </c>
      <c r="N24" s="121">
        <f t="shared" si="115"/>
        <v>32451678</v>
      </c>
      <c r="O24" s="121">
        <f t="shared" si="115"/>
        <v>32451678</v>
      </c>
      <c r="P24" s="121">
        <f t="shared" si="115"/>
        <v>32451678</v>
      </c>
      <c r="Q24" s="121">
        <f t="shared" si="115"/>
        <v>32451678</v>
      </c>
      <c r="R24" s="121">
        <f t="shared" si="115"/>
        <v>32451678</v>
      </c>
      <c r="S24" s="121">
        <f t="shared" si="115"/>
        <v>32451678</v>
      </c>
      <c r="T24" s="121">
        <f t="shared" si="115"/>
        <v>32451678</v>
      </c>
      <c r="U24" s="121">
        <f t="shared" si="115"/>
        <v>1622583.9000000001</v>
      </c>
      <c r="V24" s="121">
        <f t="shared" si="115"/>
        <v>34074261.899999999</v>
      </c>
      <c r="W24" s="121">
        <f t="shared" si="115"/>
        <v>34074261</v>
      </c>
      <c r="X24" s="121">
        <f t="shared" si="115"/>
        <v>34074261</v>
      </c>
      <c r="Y24" s="121">
        <f t="shared" si="115"/>
        <v>34074261</v>
      </c>
      <c r="Z24" s="121">
        <f t="shared" si="115"/>
        <v>38483585.761904761</v>
      </c>
      <c r="AA24" s="121">
        <f t="shared" si="115"/>
        <v>38704052</v>
      </c>
      <c r="AB24" s="121">
        <f t="shared" si="115"/>
        <v>34074261</v>
      </c>
      <c r="AC24" s="121">
        <f t="shared" si="115"/>
        <v>0</v>
      </c>
      <c r="AD24" s="121">
        <f t="shared" si="115"/>
        <v>0</v>
      </c>
      <c r="AE24" s="121">
        <f t="shared" si="115"/>
        <v>34074261</v>
      </c>
      <c r="AF24" s="121">
        <f t="shared" si="115"/>
        <v>34074261</v>
      </c>
      <c r="AG24" s="121">
        <f t="shared" si="115"/>
        <v>0</v>
      </c>
      <c r="AH24" s="121">
        <f t="shared" si="115"/>
        <v>0</v>
      </c>
      <c r="AI24" s="121">
        <f t="shared" si="115"/>
        <v>34074261</v>
      </c>
      <c r="AJ24" s="121">
        <f t="shared" si="115"/>
        <v>38704052</v>
      </c>
      <c r="AK24" s="121">
        <f t="shared" si="115"/>
        <v>0</v>
      </c>
      <c r="AL24" s="121">
        <f t="shared" si="115"/>
        <v>0</v>
      </c>
      <c r="AM24" s="121">
        <f t="shared" si="115"/>
        <v>38704052</v>
      </c>
      <c r="AN24" s="121">
        <f t="shared" si="115"/>
        <v>38799052</v>
      </c>
      <c r="AO24" s="121">
        <f t="shared" si="115"/>
        <v>0</v>
      </c>
      <c r="AP24" s="121">
        <f t="shared" si="115"/>
        <v>0</v>
      </c>
      <c r="AQ24" s="121">
        <f t="shared" si="115"/>
        <v>38799052</v>
      </c>
      <c r="AR24" s="121">
        <f t="shared" si="115"/>
        <v>52948303</v>
      </c>
      <c r="AS24" s="121">
        <f t="shared" si="115"/>
        <v>0</v>
      </c>
      <c r="AT24" s="121">
        <f t="shared" si="115"/>
        <v>0</v>
      </c>
      <c r="AU24" s="121">
        <f t="shared" si="115"/>
        <v>38799052</v>
      </c>
      <c r="AV24" s="121">
        <f t="shared" si="115"/>
        <v>38799052</v>
      </c>
      <c r="AW24" s="121">
        <f t="shared" si="115"/>
        <v>0</v>
      </c>
      <c r="AX24" s="121">
        <f t="shared" si="115"/>
        <v>0</v>
      </c>
      <c r="AY24" s="121">
        <f t="shared" si="115"/>
        <v>38799052</v>
      </c>
      <c r="AZ24" s="121">
        <f t="shared" si="115"/>
        <v>1939952.6</v>
      </c>
      <c r="BA24" s="121">
        <f t="shared" si="115"/>
        <v>0.60000000000000009</v>
      </c>
      <c r="BB24" s="121">
        <f t="shared" si="115"/>
        <v>1939952</v>
      </c>
      <c r="BC24" s="121">
        <f t="shared" si="115"/>
        <v>40739004</v>
      </c>
      <c r="BD24" s="121">
        <f t="shared" si="115"/>
        <v>0</v>
      </c>
      <c r="BE24" s="121">
        <f t="shared" si="115"/>
        <v>40739004</v>
      </c>
      <c r="BF24" s="121">
        <f t="shared" si="115"/>
        <v>1939952</v>
      </c>
      <c r="BG24" s="121">
        <f t="shared" si="115"/>
        <v>0</v>
      </c>
      <c r="BH24" s="121">
        <f t="shared" si="115"/>
        <v>55595717</v>
      </c>
      <c r="BI24" s="121">
        <f t="shared" si="115"/>
        <v>0</v>
      </c>
      <c r="BJ24" s="121">
        <f t="shared" si="115"/>
        <v>0</v>
      </c>
      <c r="BK24" s="121">
        <f t="shared" si="115"/>
        <v>55595717</v>
      </c>
      <c r="BL24" s="121">
        <f t="shared" si="115"/>
        <v>55595717</v>
      </c>
      <c r="BM24" s="121">
        <f t="shared" si="115"/>
        <v>0</v>
      </c>
      <c r="BN24" s="121">
        <f t="shared" si="115"/>
        <v>0</v>
      </c>
      <c r="BO24" s="121">
        <f t="shared" si="115"/>
        <v>55595717</v>
      </c>
      <c r="BP24" s="121">
        <f t="shared" si="115"/>
        <v>0</v>
      </c>
      <c r="BQ24" s="121">
        <f t="shared" ref="BQ24:EB24" si="116">SUM(BQ20:BQ23)</f>
        <v>55595717</v>
      </c>
      <c r="BR24" s="121">
        <f t="shared" si="116"/>
        <v>0</v>
      </c>
      <c r="BS24" s="121">
        <f t="shared" si="116"/>
        <v>0</v>
      </c>
      <c r="BT24" s="121">
        <f t="shared" si="116"/>
        <v>55595717</v>
      </c>
      <c r="BU24" s="121">
        <f t="shared" si="116"/>
        <v>0</v>
      </c>
      <c r="BV24" s="121">
        <f t="shared" si="116"/>
        <v>55595717</v>
      </c>
      <c r="BW24" s="121">
        <f t="shared" si="116"/>
        <v>0</v>
      </c>
      <c r="BX24" s="121">
        <f t="shared" si="116"/>
        <v>0</v>
      </c>
      <c r="BY24" s="121">
        <f t="shared" si="116"/>
        <v>55595717</v>
      </c>
      <c r="BZ24" s="121">
        <f t="shared" si="116"/>
        <v>0</v>
      </c>
      <c r="CA24" s="121">
        <f t="shared" si="116"/>
        <v>55595717</v>
      </c>
      <c r="CB24" s="121">
        <f t="shared" si="116"/>
        <v>0</v>
      </c>
      <c r="CC24" s="121">
        <f t="shared" si="116"/>
        <v>0</v>
      </c>
      <c r="CD24" s="121">
        <f t="shared" si="116"/>
        <v>55595717</v>
      </c>
      <c r="CE24" s="121">
        <f t="shared" si="116"/>
        <v>0</v>
      </c>
      <c r="CF24" s="121">
        <f t="shared" si="116"/>
        <v>55595717</v>
      </c>
      <c r="CG24" s="121">
        <f t="shared" si="116"/>
        <v>0</v>
      </c>
      <c r="CH24" s="121">
        <f t="shared" si="116"/>
        <v>0</v>
      </c>
      <c r="CI24" s="121">
        <f t="shared" si="116"/>
        <v>55595717</v>
      </c>
      <c r="CJ24" s="121">
        <f t="shared" si="116"/>
        <v>0</v>
      </c>
      <c r="CK24" s="121">
        <f t="shared" si="116"/>
        <v>55595717</v>
      </c>
      <c r="CL24" s="121">
        <f t="shared" si="116"/>
        <v>0</v>
      </c>
      <c r="CM24" s="121">
        <f t="shared" si="116"/>
        <v>0</v>
      </c>
      <c r="CN24" s="121">
        <f t="shared" si="116"/>
        <v>55595717</v>
      </c>
      <c r="CO24" s="121">
        <f t="shared" si="116"/>
        <v>0</v>
      </c>
      <c r="CP24" s="121">
        <f t="shared" si="116"/>
        <v>55595717</v>
      </c>
      <c r="CQ24" s="121">
        <f t="shared" si="116"/>
        <v>0</v>
      </c>
      <c r="CR24" s="121">
        <f t="shared" si="116"/>
        <v>0</v>
      </c>
      <c r="CS24" s="121">
        <f t="shared" si="116"/>
        <v>55595717</v>
      </c>
      <c r="CT24" s="121">
        <f t="shared" si="116"/>
        <v>0</v>
      </c>
      <c r="CU24" s="121">
        <f t="shared" si="116"/>
        <v>55595717</v>
      </c>
      <c r="CV24" s="121">
        <f t="shared" si="116"/>
        <v>0</v>
      </c>
      <c r="CW24" s="121">
        <f t="shared" si="116"/>
        <v>0</v>
      </c>
      <c r="CX24" s="121">
        <f t="shared" si="116"/>
        <v>55595717</v>
      </c>
      <c r="CY24" s="121">
        <f t="shared" si="116"/>
        <v>0</v>
      </c>
      <c r="CZ24" s="121">
        <f t="shared" si="116"/>
        <v>0</v>
      </c>
      <c r="DA24" s="121">
        <f t="shared" si="116"/>
        <v>0</v>
      </c>
      <c r="DB24" s="121">
        <f t="shared" si="116"/>
        <v>0</v>
      </c>
      <c r="DC24" s="121">
        <f t="shared" si="116"/>
        <v>5559571.7000000002</v>
      </c>
      <c r="DD24" s="121">
        <f t="shared" si="116"/>
        <v>0.7</v>
      </c>
      <c r="DE24" s="121">
        <f t="shared" si="116"/>
        <v>5559571</v>
      </c>
      <c r="DF24" s="121">
        <f t="shared" si="116"/>
        <v>5559571</v>
      </c>
      <c r="DG24" s="121">
        <f t="shared" si="116"/>
        <v>61155288</v>
      </c>
      <c r="DH24" s="121">
        <f t="shared" si="116"/>
        <v>4.3488618338371827</v>
      </c>
      <c r="DI24" s="121">
        <f t="shared" si="116"/>
        <v>55595717</v>
      </c>
      <c r="DJ24" s="121">
        <f t="shared" si="116"/>
        <v>61155288.700000003</v>
      </c>
      <c r="DK24" s="121">
        <f t="shared" si="116"/>
        <v>5559571.7000000067</v>
      </c>
      <c r="DL24" s="121">
        <f t="shared" si="116"/>
        <v>0.7</v>
      </c>
      <c r="DM24" s="121">
        <f t="shared" si="116"/>
        <v>5559571.0000000065</v>
      </c>
      <c r="DN24" s="121">
        <f t="shared" si="116"/>
        <v>5.6024873629212379E-9</v>
      </c>
      <c r="DO24" s="121">
        <f t="shared" si="116"/>
        <v>61155288.000000007</v>
      </c>
      <c r="DP24" s="121">
        <f t="shared" si="116"/>
        <v>0</v>
      </c>
      <c r="DQ24" s="121">
        <f t="shared" si="116"/>
        <v>61155288</v>
      </c>
      <c r="DR24" s="121">
        <f t="shared" si="116"/>
        <v>0</v>
      </c>
      <c r="DS24" s="121">
        <f t="shared" si="116"/>
        <v>0</v>
      </c>
      <c r="DT24" s="121">
        <f t="shared" si="116"/>
        <v>61155288</v>
      </c>
      <c r="DU24" s="121">
        <f t="shared" si="116"/>
        <v>61155288</v>
      </c>
      <c r="DV24" s="121">
        <f t="shared" si="116"/>
        <v>0</v>
      </c>
      <c r="DW24" s="121">
        <f t="shared" si="116"/>
        <v>61155288</v>
      </c>
      <c r="DX24" s="121">
        <f t="shared" si="116"/>
        <v>0</v>
      </c>
      <c r="DY24" s="121">
        <f t="shared" si="116"/>
        <v>0</v>
      </c>
      <c r="DZ24" s="121">
        <f t="shared" si="116"/>
        <v>61155288</v>
      </c>
      <c r="EA24" s="121">
        <f t="shared" si="116"/>
        <v>61155288</v>
      </c>
      <c r="EB24" s="121">
        <f t="shared" si="116"/>
        <v>0</v>
      </c>
      <c r="EC24" s="121">
        <f t="shared" ref="EC24:FL24" si="117">SUM(EC20:EC23)</f>
        <v>61155288</v>
      </c>
      <c r="ED24" s="121">
        <f t="shared" si="117"/>
        <v>0</v>
      </c>
      <c r="EE24" s="121">
        <f t="shared" si="117"/>
        <v>0</v>
      </c>
      <c r="EF24" s="121">
        <f t="shared" si="117"/>
        <v>61155288</v>
      </c>
      <c r="EG24" s="121">
        <f t="shared" si="117"/>
        <v>61155288</v>
      </c>
      <c r="EH24" s="121">
        <f t="shared" si="117"/>
        <v>0</v>
      </c>
      <c r="EI24" s="121">
        <f t="shared" si="117"/>
        <v>61155288</v>
      </c>
      <c r="EJ24" s="121">
        <f t="shared" si="117"/>
        <v>0</v>
      </c>
      <c r="EK24" s="121">
        <f t="shared" si="117"/>
        <v>0</v>
      </c>
      <c r="EL24" s="121">
        <f t="shared" si="117"/>
        <v>61155288</v>
      </c>
      <c r="EM24" s="121">
        <f t="shared" si="117"/>
        <v>61155288</v>
      </c>
      <c r="EN24" s="121">
        <f t="shared" si="117"/>
        <v>0</v>
      </c>
      <c r="EO24" s="121">
        <f t="shared" si="117"/>
        <v>61155288</v>
      </c>
      <c r="EP24" s="121">
        <f t="shared" si="117"/>
        <v>0</v>
      </c>
      <c r="EQ24" s="121">
        <f t="shared" si="117"/>
        <v>0</v>
      </c>
      <c r="ER24" s="121">
        <f t="shared" si="117"/>
        <v>61155288</v>
      </c>
      <c r="ES24" s="121">
        <f t="shared" si="117"/>
        <v>61155288</v>
      </c>
      <c r="ET24" s="121">
        <f t="shared" si="117"/>
        <v>0</v>
      </c>
      <c r="EU24" s="121">
        <f t="shared" si="117"/>
        <v>61155288</v>
      </c>
      <c r="EV24" s="121">
        <f t="shared" si="117"/>
        <v>0</v>
      </c>
      <c r="EW24" s="121">
        <f t="shared" si="117"/>
        <v>0</v>
      </c>
      <c r="EX24" s="121">
        <f t="shared" si="117"/>
        <v>61155288</v>
      </c>
      <c r="EY24" s="121">
        <f t="shared" si="117"/>
        <v>61155288</v>
      </c>
      <c r="EZ24" s="121">
        <f t="shared" si="117"/>
        <v>0</v>
      </c>
      <c r="FA24" s="121">
        <f t="shared" si="117"/>
        <v>61155288</v>
      </c>
      <c r="FB24" s="121">
        <f t="shared" si="117"/>
        <v>0</v>
      </c>
      <c r="FC24" s="121">
        <f t="shared" si="117"/>
        <v>0</v>
      </c>
      <c r="FD24" s="121">
        <f t="shared" si="117"/>
        <v>61155288</v>
      </c>
      <c r="FE24" s="121">
        <f t="shared" si="117"/>
        <v>61155288</v>
      </c>
      <c r="FF24" s="121">
        <f t="shared" si="117"/>
        <v>0</v>
      </c>
      <c r="FG24" s="121">
        <f t="shared" si="117"/>
        <v>61155288</v>
      </c>
      <c r="FH24" s="121">
        <f t="shared" si="117"/>
        <v>0</v>
      </c>
      <c r="FI24" s="121">
        <f t="shared" si="117"/>
        <v>0</v>
      </c>
      <c r="FJ24" s="121">
        <f t="shared" si="117"/>
        <v>61155288</v>
      </c>
      <c r="FK24" s="121">
        <f t="shared" si="117"/>
        <v>61155288</v>
      </c>
      <c r="FL24" s="121">
        <f t="shared" si="117"/>
        <v>0</v>
      </c>
      <c r="FM24" s="121">
        <f t="shared" ref="FM24:FR24" si="118">SUM(FM20:FM23)</f>
        <v>61155288</v>
      </c>
      <c r="FN24" s="121">
        <f t="shared" si="118"/>
        <v>0</v>
      </c>
      <c r="FO24" s="121">
        <f t="shared" si="118"/>
        <v>0</v>
      </c>
      <c r="FP24" s="121">
        <f t="shared" si="118"/>
        <v>61155288</v>
      </c>
      <c r="FQ24" s="121">
        <f t="shared" si="118"/>
        <v>61155288</v>
      </c>
      <c r="FR24" s="121">
        <f t="shared" si="118"/>
        <v>0</v>
      </c>
      <c r="FS24" s="121">
        <f t="shared" ref="FS24:FX24" si="119">SUM(FS20:FS23)</f>
        <v>61155288</v>
      </c>
      <c r="FT24" s="121">
        <f t="shared" si="119"/>
        <v>0</v>
      </c>
      <c r="FU24" s="121">
        <f t="shared" si="119"/>
        <v>0</v>
      </c>
      <c r="FV24" s="121">
        <f t="shared" si="119"/>
        <v>61155288</v>
      </c>
      <c r="FW24" s="121">
        <f t="shared" si="119"/>
        <v>61155288</v>
      </c>
      <c r="FX24" s="121">
        <f t="shared" si="119"/>
        <v>0</v>
      </c>
      <c r="FY24" s="121">
        <f t="shared" ref="FY24:GD24" si="120">SUM(FY20:FY23)</f>
        <v>61155288</v>
      </c>
      <c r="FZ24" s="121">
        <f t="shared" si="120"/>
        <v>0</v>
      </c>
      <c r="GA24" s="121">
        <f t="shared" si="120"/>
        <v>0</v>
      </c>
      <c r="GB24" s="121">
        <f t="shared" si="120"/>
        <v>61155288</v>
      </c>
      <c r="GC24" s="121">
        <f t="shared" si="120"/>
        <v>61155288</v>
      </c>
      <c r="GD24" s="121">
        <f t="shared" si="120"/>
        <v>0</v>
      </c>
      <c r="GE24" s="121">
        <f t="shared" ref="GE24:GJ24" si="121">SUM(GE20:GE23)</f>
        <v>61155288</v>
      </c>
      <c r="GF24" s="121">
        <f t="shared" si="121"/>
        <v>0</v>
      </c>
      <c r="GG24" s="121">
        <f t="shared" si="121"/>
        <v>0</v>
      </c>
      <c r="GH24" s="121">
        <f t="shared" si="121"/>
        <v>61155288</v>
      </c>
      <c r="GI24" s="121">
        <f t="shared" si="121"/>
        <v>61155288</v>
      </c>
      <c r="GJ24" s="121">
        <f t="shared" si="121"/>
        <v>0</v>
      </c>
      <c r="GK24" s="121">
        <f t="shared" ref="GK24:GP24" si="122">SUM(GK20:GK23)</f>
        <v>61155288</v>
      </c>
      <c r="GL24" s="121">
        <f t="shared" si="122"/>
        <v>0</v>
      </c>
      <c r="GM24" s="121">
        <f t="shared" si="122"/>
        <v>0</v>
      </c>
      <c r="GN24" s="121">
        <f t="shared" si="122"/>
        <v>61155288</v>
      </c>
      <c r="GO24" s="121">
        <f t="shared" si="122"/>
        <v>61155288</v>
      </c>
      <c r="GP24" s="121">
        <f t="shared" si="122"/>
        <v>0</v>
      </c>
      <c r="GQ24" s="121">
        <f t="shared" ref="GQ24:GV24" si="123">SUM(GQ20:GQ23)</f>
        <v>61155288</v>
      </c>
      <c r="GR24" s="121">
        <f t="shared" si="123"/>
        <v>0</v>
      </c>
      <c r="GS24" s="121">
        <f t="shared" si="123"/>
        <v>0</v>
      </c>
      <c r="GT24" s="121">
        <f t="shared" si="123"/>
        <v>61155288</v>
      </c>
      <c r="GU24" s="121">
        <f t="shared" si="123"/>
        <v>61155288</v>
      </c>
      <c r="GV24" s="121">
        <f t="shared" si="123"/>
        <v>0</v>
      </c>
      <c r="GW24" s="121">
        <f t="shared" ref="GW24:HB24" si="124">SUM(GW20:GW23)</f>
        <v>64213051</v>
      </c>
      <c r="GX24" s="121">
        <f t="shared" si="124"/>
        <v>0</v>
      </c>
      <c r="GY24" s="121">
        <f t="shared" si="124"/>
        <v>0</v>
      </c>
      <c r="GZ24" s="121">
        <f t="shared" si="124"/>
        <v>64213051</v>
      </c>
      <c r="HA24" s="121">
        <f t="shared" si="124"/>
        <v>64213051</v>
      </c>
      <c r="HB24" s="121">
        <f t="shared" si="124"/>
        <v>3057763</v>
      </c>
      <c r="HC24" s="121">
        <f>SUM(HC20:HC23)</f>
        <v>4.3488617840589328</v>
      </c>
    </row>
    <row r="25" spans="1:226" x14ac:dyDescent="0.3">
      <c r="A25" s="100"/>
      <c r="B25" s="100"/>
      <c r="C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27">
        <f>AY24*10*5%</f>
        <v>19399526</v>
      </c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0"/>
      <c r="CL25" s="100"/>
      <c r="CM25" s="100"/>
      <c r="CN25" s="100"/>
      <c r="CO25" s="100"/>
      <c r="CP25" s="100"/>
      <c r="CQ25" s="100"/>
      <c r="CR25" s="100"/>
      <c r="CS25" s="100"/>
      <c r="CT25" s="100"/>
      <c r="CU25" s="100"/>
      <c r="CV25" s="100"/>
      <c r="CW25" s="100"/>
      <c r="CX25" s="100"/>
      <c r="CY25" s="100"/>
      <c r="CZ25" s="100"/>
      <c r="DA25" s="100"/>
      <c r="DB25" s="100"/>
      <c r="DC25" s="100"/>
      <c r="DD25" s="100"/>
      <c r="DE25" s="100"/>
      <c r="DF25" s="100"/>
      <c r="DG25" s="100"/>
      <c r="DH25" s="100"/>
    </row>
    <row r="26" spans="1:226" s="74" customFormat="1" ht="52.5" customHeight="1" x14ac:dyDescent="0.3">
      <c r="A26" s="85" t="s">
        <v>0</v>
      </c>
      <c r="B26" s="85" t="s">
        <v>1</v>
      </c>
      <c r="C26" s="85" t="s">
        <v>217</v>
      </c>
      <c r="D26" s="86" t="s">
        <v>218</v>
      </c>
      <c r="E26" s="87" t="s">
        <v>233</v>
      </c>
      <c r="F26" s="87" t="s">
        <v>234</v>
      </c>
      <c r="G26" s="87" t="s">
        <v>235</v>
      </c>
      <c r="H26" s="87" t="s">
        <v>383</v>
      </c>
      <c r="I26" s="87" t="s">
        <v>382</v>
      </c>
      <c r="J26" s="87" t="s">
        <v>381</v>
      </c>
      <c r="K26" s="87" t="s">
        <v>380</v>
      </c>
      <c r="L26" s="87" t="s">
        <v>379</v>
      </c>
      <c r="M26" s="87" t="s">
        <v>378</v>
      </c>
      <c r="N26" s="87" t="s">
        <v>377</v>
      </c>
      <c r="O26" s="87" t="s">
        <v>394</v>
      </c>
      <c r="P26" s="87" t="s">
        <v>413</v>
      </c>
      <c r="Q26" s="87" t="s">
        <v>415</v>
      </c>
      <c r="R26" s="87" t="s">
        <v>417</v>
      </c>
      <c r="S26" s="87" t="s">
        <v>420</v>
      </c>
      <c r="T26" s="87" t="s">
        <v>421</v>
      </c>
      <c r="U26" s="87" t="s">
        <v>425</v>
      </c>
      <c r="V26" s="87" t="s">
        <v>426</v>
      </c>
      <c r="W26" s="87" t="s">
        <v>424</v>
      </c>
      <c r="X26" s="87" t="s">
        <v>437</v>
      </c>
      <c r="Y26" s="87" t="s">
        <v>439</v>
      </c>
      <c r="Z26" s="87" t="s">
        <v>447</v>
      </c>
      <c r="AA26" s="87" t="s">
        <v>458</v>
      </c>
      <c r="AB26" s="590" t="s">
        <v>459</v>
      </c>
      <c r="AC26" s="591"/>
      <c r="AD26" s="591"/>
      <c r="AE26" s="592"/>
      <c r="AF26" s="596" t="s">
        <v>462</v>
      </c>
      <c r="AG26" s="597"/>
      <c r="AH26" s="597"/>
      <c r="AI26" s="598"/>
      <c r="AJ26" s="590" t="s">
        <v>466</v>
      </c>
      <c r="AK26" s="591"/>
      <c r="AL26" s="591"/>
      <c r="AM26" s="592"/>
      <c r="AN26" s="596" t="s">
        <v>470</v>
      </c>
      <c r="AO26" s="597"/>
      <c r="AP26" s="597"/>
      <c r="AQ26" s="598"/>
      <c r="AR26" s="590" t="s">
        <v>478</v>
      </c>
      <c r="AS26" s="591"/>
      <c r="AT26" s="591"/>
      <c r="AU26" s="592"/>
      <c r="AV26" s="596" t="s">
        <v>483</v>
      </c>
      <c r="AW26" s="597"/>
      <c r="AX26" s="597"/>
      <c r="AY26" s="598"/>
      <c r="AZ26" s="436" t="s">
        <v>503</v>
      </c>
      <c r="BA26" s="436" t="s">
        <v>488</v>
      </c>
      <c r="BB26" s="436" t="s">
        <v>489</v>
      </c>
      <c r="BC26" s="436" t="s">
        <v>423</v>
      </c>
      <c r="BD26" s="436" t="s">
        <v>507</v>
      </c>
      <c r="BE26" s="436" t="s">
        <v>531</v>
      </c>
      <c r="BF26" s="437" t="s">
        <v>508</v>
      </c>
      <c r="BG26" s="437" t="s">
        <v>509</v>
      </c>
      <c r="BH26" s="590" t="s">
        <v>532</v>
      </c>
      <c r="BI26" s="591"/>
      <c r="BJ26" s="591"/>
      <c r="BK26" s="592"/>
      <c r="BL26" s="596" t="s">
        <v>539</v>
      </c>
      <c r="BM26" s="597"/>
      <c r="BN26" s="597"/>
      <c r="BO26" s="598"/>
      <c r="BP26" s="438" t="s">
        <v>538</v>
      </c>
      <c r="BQ26" s="590" t="s">
        <v>542</v>
      </c>
      <c r="BR26" s="591"/>
      <c r="BS26" s="591"/>
      <c r="BT26" s="592"/>
      <c r="BU26" s="438" t="s">
        <v>541</v>
      </c>
      <c r="BV26" s="590" t="s">
        <v>552</v>
      </c>
      <c r="BW26" s="591"/>
      <c r="BX26" s="591"/>
      <c r="BY26" s="592"/>
      <c r="BZ26" s="438" t="s">
        <v>553</v>
      </c>
      <c r="CA26" s="590" t="s">
        <v>578</v>
      </c>
      <c r="CB26" s="591"/>
      <c r="CC26" s="591"/>
      <c r="CD26" s="592"/>
      <c r="CE26" s="438" t="s">
        <v>579</v>
      </c>
      <c r="CF26" s="590" t="s">
        <v>581</v>
      </c>
      <c r="CG26" s="591"/>
      <c r="CH26" s="591"/>
      <c r="CI26" s="592"/>
      <c r="CJ26" s="438" t="s">
        <v>580</v>
      </c>
      <c r="CK26" s="590" t="s">
        <v>585</v>
      </c>
      <c r="CL26" s="591"/>
      <c r="CM26" s="591"/>
      <c r="CN26" s="592"/>
      <c r="CO26" s="438" t="s">
        <v>586</v>
      </c>
      <c r="CP26" s="590" t="s">
        <v>587</v>
      </c>
      <c r="CQ26" s="591"/>
      <c r="CR26" s="591"/>
      <c r="CS26" s="592"/>
      <c r="CT26" s="438" t="s">
        <v>588</v>
      </c>
      <c r="CU26" s="590" t="s">
        <v>590</v>
      </c>
      <c r="CV26" s="591"/>
      <c r="CW26" s="591"/>
      <c r="CX26" s="592"/>
      <c r="CY26" s="438" t="s">
        <v>592</v>
      </c>
      <c r="CZ26" s="294"/>
      <c r="DA26" s="294"/>
      <c r="DB26" s="294"/>
      <c r="DC26" s="95" t="s">
        <v>602</v>
      </c>
      <c r="DD26" s="95" t="s">
        <v>488</v>
      </c>
      <c r="DE26" s="95" t="s">
        <v>489</v>
      </c>
      <c r="DF26" s="95" t="s">
        <v>603</v>
      </c>
      <c r="DG26" s="95" t="s">
        <v>423</v>
      </c>
      <c r="DH26" s="85" t="s">
        <v>2</v>
      </c>
      <c r="DI26" s="593" t="s">
        <v>613</v>
      </c>
      <c r="DJ26" s="594"/>
      <c r="DK26" s="594"/>
      <c r="DL26" s="594"/>
      <c r="DM26" s="594"/>
      <c r="DN26" s="594"/>
      <c r="DO26" s="594"/>
      <c r="DP26" s="595"/>
      <c r="DQ26" s="584" t="s">
        <v>614</v>
      </c>
      <c r="DR26" s="585"/>
      <c r="DS26" s="585"/>
      <c r="DT26" s="585"/>
      <c r="DU26" s="586"/>
      <c r="DV26" s="87" t="s">
        <v>615</v>
      </c>
      <c r="DW26" s="584" t="s">
        <v>623</v>
      </c>
      <c r="DX26" s="585"/>
      <c r="DY26" s="585"/>
      <c r="DZ26" s="585"/>
      <c r="EA26" s="586"/>
      <c r="EB26" s="87" t="s">
        <v>624</v>
      </c>
      <c r="EC26" s="584" t="s">
        <v>627</v>
      </c>
      <c r="ED26" s="585"/>
      <c r="EE26" s="585"/>
      <c r="EF26" s="585"/>
      <c r="EG26" s="586"/>
      <c r="EH26" s="87" t="s">
        <v>628</v>
      </c>
      <c r="EI26" s="584" t="s">
        <v>631</v>
      </c>
      <c r="EJ26" s="585"/>
      <c r="EK26" s="585"/>
      <c r="EL26" s="585"/>
      <c r="EM26" s="586"/>
      <c r="EN26" s="87" t="s">
        <v>632</v>
      </c>
      <c r="EO26" s="584" t="s">
        <v>638</v>
      </c>
      <c r="EP26" s="585"/>
      <c r="EQ26" s="585"/>
      <c r="ER26" s="585"/>
      <c r="ES26" s="586"/>
      <c r="ET26" s="87" t="s">
        <v>637</v>
      </c>
      <c r="EU26" s="584" t="s">
        <v>641</v>
      </c>
      <c r="EV26" s="585"/>
      <c r="EW26" s="585"/>
      <c r="EX26" s="585"/>
      <c r="EY26" s="586"/>
      <c r="EZ26" s="87" t="s">
        <v>642</v>
      </c>
      <c r="FA26" s="584" t="s">
        <v>645</v>
      </c>
      <c r="FB26" s="585"/>
      <c r="FC26" s="585"/>
      <c r="FD26" s="585"/>
      <c r="FE26" s="586"/>
      <c r="FF26" s="87" t="s">
        <v>646</v>
      </c>
      <c r="FG26" s="584" t="s">
        <v>653</v>
      </c>
      <c r="FH26" s="585"/>
      <c r="FI26" s="585"/>
      <c r="FJ26" s="585"/>
      <c r="FK26" s="586"/>
      <c r="FL26" s="87" t="s">
        <v>654</v>
      </c>
      <c r="FM26" s="584" t="s">
        <v>662</v>
      </c>
      <c r="FN26" s="585"/>
      <c r="FO26" s="585"/>
      <c r="FP26" s="585"/>
      <c r="FQ26" s="586"/>
      <c r="FR26" s="87" t="s">
        <v>657</v>
      </c>
      <c r="FS26" s="584" t="s">
        <v>661</v>
      </c>
      <c r="FT26" s="585"/>
      <c r="FU26" s="585"/>
      <c r="FV26" s="585"/>
      <c r="FW26" s="586"/>
      <c r="FX26" s="87" t="s">
        <v>663</v>
      </c>
      <c r="FY26" s="584" t="s">
        <v>665</v>
      </c>
      <c r="FZ26" s="585"/>
      <c r="GA26" s="585"/>
      <c r="GB26" s="585"/>
      <c r="GC26" s="586"/>
      <c r="GD26" s="87" t="s">
        <v>666</v>
      </c>
      <c r="GE26" s="584" t="s">
        <v>668</v>
      </c>
      <c r="GF26" s="585"/>
      <c r="GG26" s="585"/>
      <c r="GH26" s="585"/>
      <c r="GI26" s="586"/>
      <c r="GJ26" s="87" t="s">
        <v>669</v>
      </c>
      <c r="GK26" s="584" t="s">
        <v>671</v>
      </c>
      <c r="GL26" s="585"/>
      <c r="GM26" s="585"/>
      <c r="GN26" s="585"/>
      <c r="GO26" s="586"/>
      <c r="GP26" s="87" t="s">
        <v>672</v>
      </c>
      <c r="GQ26" s="584" t="s">
        <v>674</v>
      </c>
      <c r="GR26" s="585"/>
      <c r="GS26" s="585"/>
      <c r="GT26" s="585"/>
      <c r="GU26" s="586"/>
      <c r="GV26" s="87" t="s">
        <v>675</v>
      </c>
      <c r="GW26" s="584" t="s">
        <v>696</v>
      </c>
      <c r="GX26" s="585"/>
      <c r="GY26" s="585"/>
      <c r="GZ26" s="585"/>
      <c r="HA26" s="586"/>
      <c r="HB26" s="87" t="s">
        <v>697</v>
      </c>
      <c r="HC26" s="85" t="s">
        <v>2</v>
      </c>
      <c r="HD26" s="6"/>
      <c r="HE26" s="587" t="s">
        <v>678</v>
      </c>
      <c r="HF26" s="588"/>
      <c r="HG26" s="588"/>
      <c r="HH26" s="588"/>
      <c r="HI26" s="589"/>
      <c r="HJ26" s="85" t="s">
        <v>2</v>
      </c>
      <c r="HK26" s="593" t="s">
        <v>698</v>
      </c>
      <c r="HL26" s="594"/>
      <c r="HM26" s="594"/>
      <c r="HN26" s="594"/>
      <c r="HO26" s="594"/>
      <c r="HP26" s="594"/>
      <c r="HQ26" s="594"/>
      <c r="HR26" s="594"/>
    </row>
    <row r="27" spans="1:226" s="74" customFormat="1" ht="31.2" thickBot="1" x14ac:dyDescent="0.35">
      <c r="A27" s="89"/>
      <c r="B27" s="440" t="s">
        <v>555</v>
      </c>
      <c r="C27" s="448"/>
      <c r="D27" s="447"/>
      <c r="E27" s="87"/>
      <c r="F27" s="87"/>
      <c r="G27" s="87"/>
      <c r="H27" s="88"/>
      <c r="I27" s="88"/>
      <c r="J27" s="294"/>
      <c r="K27" s="88"/>
      <c r="L27" s="87"/>
      <c r="M27" s="87"/>
      <c r="N27" s="87"/>
      <c r="O27" s="294"/>
      <c r="P27" s="294"/>
      <c r="Q27" s="294"/>
      <c r="R27" s="294"/>
      <c r="S27" s="294"/>
      <c r="T27" s="294"/>
      <c r="U27" s="294"/>
      <c r="V27" s="294"/>
      <c r="W27" s="294"/>
      <c r="X27" s="294"/>
      <c r="Y27" s="294"/>
      <c r="Z27" s="294"/>
      <c r="AA27" s="294"/>
      <c r="AB27" s="112" t="s">
        <v>234</v>
      </c>
      <c r="AC27" s="112" t="s">
        <v>454</v>
      </c>
      <c r="AD27" s="112" t="s">
        <v>455</v>
      </c>
      <c r="AE27" s="112" t="s">
        <v>456</v>
      </c>
      <c r="AF27" s="14" t="s">
        <v>234</v>
      </c>
      <c r="AG27" s="14" t="s">
        <v>454</v>
      </c>
      <c r="AH27" s="14" t="s">
        <v>455</v>
      </c>
      <c r="AI27" s="14" t="s">
        <v>456</v>
      </c>
      <c r="AJ27" s="112" t="s">
        <v>234</v>
      </c>
      <c r="AK27" s="112" t="s">
        <v>454</v>
      </c>
      <c r="AL27" s="112" t="s">
        <v>455</v>
      </c>
      <c r="AM27" s="112" t="s">
        <v>456</v>
      </c>
      <c r="AN27" s="14" t="s">
        <v>234</v>
      </c>
      <c r="AO27" s="14" t="s">
        <v>454</v>
      </c>
      <c r="AP27" s="14" t="s">
        <v>455</v>
      </c>
      <c r="AQ27" s="14" t="s">
        <v>456</v>
      </c>
      <c r="AR27" s="112" t="s">
        <v>234</v>
      </c>
      <c r="AS27" s="112" t="s">
        <v>454</v>
      </c>
      <c r="AT27" s="112" t="s">
        <v>455</v>
      </c>
      <c r="AU27" s="112" t="s">
        <v>456</v>
      </c>
      <c r="AV27" s="14" t="s">
        <v>234</v>
      </c>
      <c r="AW27" s="14" t="s">
        <v>454</v>
      </c>
      <c r="AX27" s="14" t="s">
        <v>455</v>
      </c>
      <c r="AY27" s="14" t="s">
        <v>456</v>
      </c>
      <c r="AZ27" s="443"/>
      <c r="BA27" s="443"/>
      <c r="BB27" s="443"/>
      <c r="BC27" s="443"/>
      <c r="BD27" s="443"/>
      <c r="BE27" s="443"/>
      <c r="BF27" s="444"/>
      <c r="BG27" s="444"/>
      <c r="BH27" s="112" t="s">
        <v>234</v>
      </c>
      <c r="BI27" s="112" t="s">
        <v>454</v>
      </c>
      <c r="BJ27" s="112" t="s">
        <v>455</v>
      </c>
      <c r="BK27" s="112" t="s">
        <v>456</v>
      </c>
      <c r="BL27" s="14" t="s">
        <v>234</v>
      </c>
      <c r="BM27" s="14" t="s">
        <v>454</v>
      </c>
      <c r="BN27" s="14" t="s">
        <v>455</v>
      </c>
      <c r="BO27" s="14" t="s">
        <v>456</v>
      </c>
      <c r="BP27" s="445"/>
      <c r="BQ27" s="112" t="s">
        <v>234</v>
      </c>
      <c r="BR27" s="112" t="s">
        <v>454</v>
      </c>
      <c r="BS27" s="112" t="s">
        <v>455</v>
      </c>
      <c r="BT27" s="112" t="s">
        <v>456</v>
      </c>
      <c r="BU27" s="445"/>
      <c r="BV27" s="112" t="s">
        <v>234</v>
      </c>
      <c r="BW27" s="112" t="s">
        <v>454</v>
      </c>
      <c r="BX27" s="112" t="s">
        <v>455</v>
      </c>
      <c r="BY27" s="112" t="s">
        <v>456</v>
      </c>
      <c r="BZ27" s="445"/>
      <c r="CA27" s="112" t="s">
        <v>234</v>
      </c>
      <c r="CB27" s="112" t="s">
        <v>454</v>
      </c>
      <c r="CC27" s="112" t="s">
        <v>455</v>
      </c>
      <c r="CD27" s="112" t="s">
        <v>456</v>
      </c>
      <c r="CE27" s="445"/>
      <c r="CF27" s="112" t="s">
        <v>234</v>
      </c>
      <c r="CG27" s="112" t="s">
        <v>454</v>
      </c>
      <c r="CH27" s="112" t="s">
        <v>455</v>
      </c>
      <c r="CI27" s="112" t="s">
        <v>456</v>
      </c>
      <c r="CJ27" s="445"/>
      <c r="CK27" s="112" t="s">
        <v>234</v>
      </c>
      <c r="CL27" s="112" t="s">
        <v>454</v>
      </c>
      <c r="CM27" s="112" t="s">
        <v>455</v>
      </c>
      <c r="CN27" s="112" t="s">
        <v>456</v>
      </c>
      <c r="CO27" s="445"/>
      <c r="CP27" s="112" t="s">
        <v>234</v>
      </c>
      <c r="CQ27" s="112" t="s">
        <v>454</v>
      </c>
      <c r="CR27" s="112" t="s">
        <v>455</v>
      </c>
      <c r="CS27" s="112" t="s">
        <v>456</v>
      </c>
      <c r="CT27" s="445"/>
      <c r="CU27" s="112" t="s">
        <v>234</v>
      </c>
      <c r="CV27" s="112" t="s">
        <v>454</v>
      </c>
      <c r="CW27" s="112" t="s">
        <v>455</v>
      </c>
      <c r="CX27" s="112" t="s">
        <v>456</v>
      </c>
      <c r="CY27" s="445"/>
      <c r="CZ27" s="295"/>
      <c r="DA27" s="295"/>
      <c r="DB27" s="295"/>
      <c r="DC27" s="95" t="s">
        <v>602</v>
      </c>
      <c r="DD27" s="95" t="s">
        <v>488</v>
      </c>
      <c r="DE27" s="95" t="s">
        <v>489</v>
      </c>
      <c r="DF27" s="95" t="s">
        <v>603</v>
      </c>
      <c r="DG27" s="95" t="s">
        <v>423</v>
      </c>
      <c r="DH27" s="89"/>
      <c r="DI27" s="90" t="s">
        <v>604</v>
      </c>
      <c r="DJ27" s="91" t="s">
        <v>605</v>
      </c>
      <c r="DK27" s="92" t="s">
        <v>606</v>
      </c>
      <c r="DL27" s="92" t="s">
        <v>607</v>
      </c>
      <c r="DM27" s="91" t="s">
        <v>608</v>
      </c>
      <c r="DN27" s="91" t="s">
        <v>609</v>
      </c>
      <c r="DO27" s="91" t="s">
        <v>611</v>
      </c>
      <c r="DP27" s="91" t="s">
        <v>610</v>
      </c>
      <c r="DQ27" s="112" t="s">
        <v>234</v>
      </c>
      <c r="DR27" s="112" t="s">
        <v>454</v>
      </c>
      <c r="DS27" s="112" t="s">
        <v>455</v>
      </c>
      <c r="DT27" s="93" t="s">
        <v>456</v>
      </c>
      <c r="DU27" s="94" t="s">
        <v>457</v>
      </c>
      <c r="DV27" s="87"/>
      <c r="DW27" s="112" t="s">
        <v>234</v>
      </c>
      <c r="DX27" s="112" t="s">
        <v>454</v>
      </c>
      <c r="DY27" s="112" t="s">
        <v>455</v>
      </c>
      <c r="DZ27" s="93" t="s">
        <v>456</v>
      </c>
      <c r="EA27" s="94" t="s">
        <v>457</v>
      </c>
      <c r="EB27" s="87"/>
      <c r="EC27" s="112" t="s">
        <v>234</v>
      </c>
      <c r="ED27" s="112" t="s">
        <v>454</v>
      </c>
      <c r="EE27" s="112" t="s">
        <v>455</v>
      </c>
      <c r="EF27" s="93" t="s">
        <v>456</v>
      </c>
      <c r="EG27" s="94" t="s">
        <v>457</v>
      </c>
      <c r="EH27" s="87"/>
      <c r="EI27" s="112" t="s">
        <v>234</v>
      </c>
      <c r="EJ27" s="112" t="s">
        <v>454</v>
      </c>
      <c r="EK27" s="112" t="s">
        <v>455</v>
      </c>
      <c r="EL27" s="93" t="s">
        <v>456</v>
      </c>
      <c r="EM27" s="94" t="s">
        <v>457</v>
      </c>
      <c r="EN27" s="87"/>
      <c r="EO27" s="112" t="s">
        <v>234</v>
      </c>
      <c r="EP27" s="112" t="s">
        <v>454</v>
      </c>
      <c r="EQ27" s="112" t="s">
        <v>455</v>
      </c>
      <c r="ER27" s="93" t="s">
        <v>456</v>
      </c>
      <c r="ES27" s="94" t="s">
        <v>457</v>
      </c>
      <c r="ET27" s="87"/>
      <c r="EU27" s="112" t="s">
        <v>234</v>
      </c>
      <c r="EV27" s="112" t="s">
        <v>454</v>
      </c>
      <c r="EW27" s="112" t="s">
        <v>455</v>
      </c>
      <c r="EX27" s="93" t="s">
        <v>456</v>
      </c>
      <c r="EY27" s="94" t="s">
        <v>457</v>
      </c>
      <c r="EZ27" s="87"/>
      <c r="FA27" s="112" t="s">
        <v>234</v>
      </c>
      <c r="FB27" s="112" t="s">
        <v>454</v>
      </c>
      <c r="FC27" s="112" t="s">
        <v>455</v>
      </c>
      <c r="FD27" s="93" t="s">
        <v>456</v>
      </c>
      <c r="FE27" s="94" t="s">
        <v>457</v>
      </c>
      <c r="FF27" s="87"/>
      <c r="FG27" s="112" t="s">
        <v>234</v>
      </c>
      <c r="FH27" s="112" t="s">
        <v>454</v>
      </c>
      <c r="FI27" s="112" t="s">
        <v>455</v>
      </c>
      <c r="FJ27" s="93" t="s">
        <v>456</v>
      </c>
      <c r="FK27" s="94" t="s">
        <v>457</v>
      </c>
      <c r="FL27" s="87"/>
      <c r="FM27" s="112" t="s">
        <v>234</v>
      </c>
      <c r="FN27" s="112" t="s">
        <v>454</v>
      </c>
      <c r="FO27" s="112" t="s">
        <v>455</v>
      </c>
      <c r="FP27" s="93" t="s">
        <v>456</v>
      </c>
      <c r="FQ27" s="94" t="s">
        <v>457</v>
      </c>
      <c r="FR27" s="87"/>
      <c r="FS27" s="112" t="s">
        <v>234</v>
      </c>
      <c r="FT27" s="112" t="s">
        <v>454</v>
      </c>
      <c r="FU27" s="112" t="s">
        <v>455</v>
      </c>
      <c r="FV27" s="93" t="s">
        <v>456</v>
      </c>
      <c r="FW27" s="94" t="s">
        <v>457</v>
      </c>
      <c r="FX27" s="87"/>
      <c r="FY27" s="112" t="s">
        <v>234</v>
      </c>
      <c r="FZ27" s="112" t="s">
        <v>454</v>
      </c>
      <c r="GA27" s="112" t="s">
        <v>455</v>
      </c>
      <c r="GB27" s="93" t="s">
        <v>456</v>
      </c>
      <c r="GC27" s="94" t="s">
        <v>457</v>
      </c>
      <c r="GD27" s="87"/>
      <c r="GE27" s="112" t="s">
        <v>234</v>
      </c>
      <c r="GF27" s="112" t="s">
        <v>454</v>
      </c>
      <c r="GG27" s="112" t="s">
        <v>455</v>
      </c>
      <c r="GH27" s="93" t="s">
        <v>456</v>
      </c>
      <c r="GI27" s="94" t="s">
        <v>457</v>
      </c>
      <c r="GJ27" s="87"/>
      <c r="GK27" s="112" t="s">
        <v>234</v>
      </c>
      <c r="GL27" s="112" t="s">
        <v>454</v>
      </c>
      <c r="GM27" s="112" t="s">
        <v>455</v>
      </c>
      <c r="GN27" s="93" t="s">
        <v>456</v>
      </c>
      <c r="GO27" s="94" t="s">
        <v>457</v>
      </c>
      <c r="GP27" s="87"/>
      <c r="GQ27" s="112" t="s">
        <v>234</v>
      </c>
      <c r="GR27" s="112" t="s">
        <v>454</v>
      </c>
      <c r="GS27" s="112" t="s">
        <v>455</v>
      </c>
      <c r="GT27" s="93" t="s">
        <v>456</v>
      </c>
      <c r="GU27" s="94" t="s">
        <v>457</v>
      </c>
      <c r="GV27" s="87"/>
      <c r="GW27" s="112" t="s">
        <v>234</v>
      </c>
      <c r="GX27" s="112" t="s">
        <v>454</v>
      </c>
      <c r="GY27" s="112" t="s">
        <v>455</v>
      </c>
      <c r="GZ27" s="93" t="s">
        <v>456</v>
      </c>
      <c r="HA27" s="94" t="s">
        <v>457</v>
      </c>
      <c r="HB27" s="87"/>
      <c r="HC27" s="85"/>
      <c r="HD27" s="6"/>
      <c r="HE27" s="95" t="s">
        <v>679</v>
      </c>
      <c r="HF27" s="95" t="s">
        <v>488</v>
      </c>
      <c r="HG27" s="220" t="s">
        <v>489</v>
      </c>
      <c r="HH27" s="95" t="s">
        <v>603</v>
      </c>
      <c r="HI27" s="95" t="s">
        <v>423</v>
      </c>
      <c r="HJ27" s="85"/>
      <c r="HK27" s="90" t="s">
        <v>680</v>
      </c>
      <c r="HL27" s="91" t="s">
        <v>681</v>
      </c>
      <c r="HM27" s="92" t="s">
        <v>606</v>
      </c>
      <c r="HN27" s="92" t="s">
        <v>607</v>
      </c>
      <c r="HO27" s="91" t="s">
        <v>608</v>
      </c>
      <c r="HP27" s="91" t="s">
        <v>609</v>
      </c>
      <c r="HQ27" s="92" t="s">
        <v>456</v>
      </c>
      <c r="HR27" s="91" t="s">
        <v>610</v>
      </c>
    </row>
    <row r="28" spans="1:226" x14ac:dyDescent="0.3">
      <c r="A28" s="142">
        <v>1</v>
      </c>
      <c r="B28" s="449" t="s">
        <v>9</v>
      </c>
      <c r="C28" s="143" t="s">
        <v>248</v>
      </c>
      <c r="D28" s="152" t="s">
        <v>10</v>
      </c>
      <c r="E28" s="160" t="s">
        <v>238</v>
      </c>
      <c r="F28" s="9" t="s">
        <v>242</v>
      </c>
      <c r="G28" s="9" t="s">
        <v>238</v>
      </c>
      <c r="H28" s="324"/>
      <c r="I28" s="324">
        <v>2407</v>
      </c>
      <c r="J28" s="9" t="s">
        <v>242</v>
      </c>
      <c r="K28" s="324"/>
      <c r="L28" s="9">
        <v>2407</v>
      </c>
      <c r="M28" s="23">
        <v>2407</v>
      </c>
      <c r="N28" s="23">
        <v>2407</v>
      </c>
      <c r="O28" s="298">
        <v>2407</v>
      </c>
      <c r="P28" s="298">
        <v>2407</v>
      </c>
      <c r="Q28" s="298">
        <v>2407</v>
      </c>
      <c r="R28" s="298">
        <v>2407</v>
      </c>
      <c r="S28" s="298">
        <v>2407</v>
      </c>
      <c r="T28" s="298">
        <v>2407</v>
      </c>
      <c r="U28" s="298">
        <f>T28*5%</f>
        <v>120.35000000000001</v>
      </c>
      <c r="V28" s="298">
        <f>T28+U28</f>
        <v>2527.35</v>
      </c>
      <c r="W28" s="298">
        <v>2527</v>
      </c>
      <c r="X28" s="298">
        <v>2527</v>
      </c>
      <c r="Y28" s="298">
        <v>2527</v>
      </c>
      <c r="Z28" s="298">
        <v>2527</v>
      </c>
      <c r="AA28" s="298">
        <v>2527</v>
      </c>
      <c r="AB28" s="298">
        <v>2527</v>
      </c>
      <c r="AC28" s="9">
        <v>0</v>
      </c>
      <c r="AD28" s="9">
        <v>0</v>
      </c>
      <c r="AE28" s="298">
        <f>AD28+AC28+AB28</f>
        <v>2527</v>
      </c>
      <c r="AF28" s="298">
        <v>2527</v>
      </c>
      <c r="AG28" s="9">
        <v>0</v>
      </c>
      <c r="AH28" s="9">
        <v>0</v>
      </c>
      <c r="AI28" s="298">
        <f>AH28+AG28+AF28</f>
        <v>2527</v>
      </c>
      <c r="AJ28" s="298">
        <v>2527</v>
      </c>
      <c r="AK28" s="9">
        <v>0</v>
      </c>
      <c r="AL28" s="9">
        <v>0</v>
      </c>
      <c r="AM28" s="298">
        <f>AL28+AK28+AJ28</f>
        <v>2527</v>
      </c>
      <c r="AN28" s="298">
        <v>2527</v>
      </c>
      <c r="AO28" s="9">
        <v>0</v>
      </c>
      <c r="AP28" s="9">
        <v>0</v>
      </c>
      <c r="AQ28" s="298">
        <f>AP28+AO28+AN28</f>
        <v>2527</v>
      </c>
      <c r="AR28" s="24">
        <v>2527</v>
      </c>
      <c r="AS28" s="9">
        <v>0</v>
      </c>
      <c r="AT28" s="9">
        <v>0</v>
      </c>
      <c r="AU28" s="298">
        <f>AT28+AS28+AR28</f>
        <v>2527</v>
      </c>
      <c r="AV28" s="298">
        <v>2527</v>
      </c>
      <c r="AW28" s="9">
        <v>0</v>
      </c>
      <c r="AX28" s="9">
        <v>0</v>
      </c>
      <c r="AY28" s="298">
        <f>AX28+AW28+AV28</f>
        <v>2527</v>
      </c>
      <c r="AZ28" s="8">
        <f>AY28*5%</f>
        <v>126.35000000000001</v>
      </c>
      <c r="BA28" s="8">
        <v>0.35</v>
      </c>
      <c r="BB28" s="8">
        <f>AZ28-BA28</f>
        <v>126.00000000000001</v>
      </c>
      <c r="BC28" s="8">
        <f>BB28+AY28</f>
        <v>2653</v>
      </c>
      <c r="BD28" s="8"/>
      <c r="BE28" s="8">
        <f>BD28+BC28</f>
        <v>2653</v>
      </c>
      <c r="BF28" s="10">
        <f>BE28-AY28</f>
        <v>126</v>
      </c>
      <c r="BG28" s="11">
        <f>BF28-BB28</f>
        <v>0</v>
      </c>
      <c r="BH28" s="319">
        <v>2653</v>
      </c>
      <c r="BI28" s="319">
        <v>0</v>
      </c>
      <c r="BJ28" s="319">
        <v>0</v>
      </c>
      <c r="BK28" s="319">
        <f>BJ28+BI28+BH28</f>
        <v>2653</v>
      </c>
      <c r="BL28" s="319">
        <v>2653</v>
      </c>
      <c r="BM28" s="319">
        <v>0</v>
      </c>
      <c r="BN28" s="319">
        <v>0</v>
      </c>
      <c r="BO28" s="319">
        <f>BN28+BM28+BL28</f>
        <v>2653</v>
      </c>
      <c r="BP28" s="319">
        <f>BO28-BK28</f>
        <v>0</v>
      </c>
      <c r="BQ28" s="319">
        <v>2653</v>
      </c>
      <c r="BR28" s="319">
        <v>0</v>
      </c>
      <c r="BS28" s="319">
        <v>0</v>
      </c>
      <c r="BT28" s="319">
        <f>BS28+BR28+BQ28</f>
        <v>2653</v>
      </c>
      <c r="BU28" s="319">
        <f>BT28-BO28</f>
        <v>0</v>
      </c>
      <c r="BV28" s="319">
        <v>2653</v>
      </c>
      <c r="BW28" s="324">
        <v>0</v>
      </c>
      <c r="BX28" s="324">
        <v>0</v>
      </c>
      <c r="BY28" s="319">
        <f>BX28+BW28+BV28</f>
        <v>2653</v>
      </c>
      <c r="BZ28" s="319">
        <f>BY28-BT28</f>
        <v>0</v>
      </c>
      <c r="CA28" s="319">
        <v>2653</v>
      </c>
      <c r="CB28" s="324">
        <v>0</v>
      </c>
      <c r="CC28" s="324">
        <v>0</v>
      </c>
      <c r="CD28" s="319">
        <f>CC28+CB28+CA28</f>
        <v>2653</v>
      </c>
      <c r="CE28" s="319">
        <f>CD28-BY28</f>
        <v>0</v>
      </c>
      <c r="CF28" s="319">
        <v>2653</v>
      </c>
      <c r="CG28" s="319">
        <v>0</v>
      </c>
      <c r="CH28" s="319">
        <v>0</v>
      </c>
      <c r="CI28" s="319">
        <f>CH28+CG28+CF28</f>
        <v>2653</v>
      </c>
      <c r="CJ28" s="319">
        <f>CI28-CD28</f>
        <v>0</v>
      </c>
      <c r="CK28" s="319">
        <v>2653</v>
      </c>
      <c r="CL28" s="319">
        <v>0</v>
      </c>
      <c r="CM28" s="319">
        <v>0</v>
      </c>
      <c r="CN28" s="319">
        <f>CM28+CL28+CK28</f>
        <v>2653</v>
      </c>
      <c r="CO28" s="319">
        <f>CN28-CI28</f>
        <v>0</v>
      </c>
      <c r="CP28" s="319">
        <v>2653</v>
      </c>
      <c r="CQ28" s="319"/>
      <c r="CR28" s="319"/>
      <c r="CS28" s="319">
        <f>CR28+CQ28+CP28</f>
        <v>2653</v>
      </c>
      <c r="CT28" s="319">
        <f>CS28-CN28</f>
        <v>0</v>
      </c>
      <c r="CU28" s="319">
        <v>2653</v>
      </c>
      <c r="CV28" s="319">
        <v>0</v>
      </c>
      <c r="CW28" s="319">
        <v>0</v>
      </c>
      <c r="CX28" s="319">
        <f>CW28+CV28+CU28</f>
        <v>2653</v>
      </c>
      <c r="CY28" s="319">
        <f>CX28-CS28</f>
        <v>0</v>
      </c>
      <c r="CZ28" s="319"/>
      <c r="DA28" s="319"/>
      <c r="DB28" s="319"/>
      <c r="DC28" s="12">
        <f>CX28*10%</f>
        <v>265.3</v>
      </c>
      <c r="DD28" s="12">
        <v>0.3</v>
      </c>
      <c r="DE28" s="13">
        <f>DC28-DD28</f>
        <v>265</v>
      </c>
      <c r="DF28" s="14">
        <f>DE28:DE28</f>
        <v>265</v>
      </c>
      <c r="DG28" s="13">
        <f>DE28+CX28</f>
        <v>2918</v>
      </c>
      <c r="DH28" s="15">
        <f>100/1278396949*CX28</f>
        <v>2.07525526564754E-4</v>
      </c>
      <c r="DI28" s="16">
        <f>CX28</f>
        <v>2653</v>
      </c>
      <c r="DJ28" s="132">
        <f>DI28*1.1</f>
        <v>2918.3</v>
      </c>
      <c r="DK28" s="17">
        <f>DJ28-DI28</f>
        <v>265.30000000000018</v>
      </c>
      <c r="DL28" s="17">
        <f>DD28</f>
        <v>0.3</v>
      </c>
      <c r="DM28" s="16">
        <f>DK28-DL28</f>
        <v>265.00000000000017</v>
      </c>
      <c r="DN28" s="16">
        <f>DM28-DE28</f>
        <v>0</v>
      </c>
      <c r="DO28" s="16">
        <f>DM28+DI28</f>
        <v>2918</v>
      </c>
      <c r="DP28" s="16">
        <f>DO28-DG28</f>
        <v>0</v>
      </c>
      <c r="DQ28" s="9">
        <v>2918</v>
      </c>
      <c r="DR28" s="18" t="s">
        <v>238</v>
      </c>
      <c r="DS28" s="18" t="s">
        <v>238</v>
      </c>
      <c r="DT28" s="324">
        <f>DQ28+DR28+DS28</f>
        <v>2918</v>
      </c>
      <c r="DU28" s="321">
        <f>DT28</f>
        <v>2918</v>
      </c>
      <c r="DV28" s="19">
        <f>DT28-DG28</f>
        <v>0</v>
      </c>
      <c r="DW28" s="9">
        <v>2918</v>
      </c>
      <c r="DX28" s="18"/>
      <c r="DY28" s="18"/>
      <c r="DZ28" s="324">
        <f>DW28+DX28+DY28</f>
        <v>2918</v>
      </c>
      <c r="EA28" s="321">
        <f>DZ28</f>
        <v>2918</v>
      </c>
      <c r="EB28" s="179">
        <f>DZ28-DT28</f>
        <v>0</v>
      </c>
      <c r="EC28" s="9">
        <v>2918</v>
      </c>
      <c r="ED28" s="18" t="s">
        <v>238</v>
      </c>
      <c r="EE28" s="18" t="s">
        <v>238</v>
      </c>
      <c r="EF28" s="324">
        <f>EC28+ED28+EE28</f>
        <v>2918</v>
      </c>
      <c r="EG28" s="321">
        <f>EF28</f>
        <v>2918</v>
      </c>
      <c r="EH28" s="179">
        <f>EF28-DZ28</f>
        <v>0</v>
      </c>
      <c r="EI28" s="9">
        <v>2918</v>
      </c>
      <c r="EJ28" s="18" t="s">
        <v>238</v>
      </c>
      <c r="EK28" s="18" t="s">
        <v>238</v>
      </c>
      <c r="EL28" s="324">
        <f>EI28+EJ28+EK28</f>
        <v>2918</v>
      </c>
      <c r="EM28" s="321">
        <f>EL28</f>
        <v>2918</v>
      </c>
      <c r="EN28" s="179">
        <f>EL28-EF28</f>
        <v>0</v>
      </c>
      <c r="EO28" s="9">
        <v>2918</v>
      </c>
      <c r="EP28" s="18" t="s">
        <v>238</v>
      </c>
      <c r="EQ28" s="18" t="s">
        <v>238</v>
      </c>
      <c r="ER28" s="324">
        <f>EO28+EP28+EQ28</f>
        <v>2918</v>
      </c>
      <c r="ES28" s="321">
        <f>ER28</f>
        <v>2918</v>
      </c>
      <c r="ET28" s="179">
        <f>ER28-EL28</f>
        <v>0</v>
      </c>
      <c r="EU28" s="9">
        <v>2918</v>
      </c>
      <c r="EV28" s="18" t="s">
        <v>238</v>
      </c>
      <c r="EW28" s="18" t="s">
        <v>238</v>
      </c>
      <c r="EX28" s="324">
        <f>EU28+EV28+EW28</f>
        <v>2918</v>
      </c>
      <c r="EY28" s="321">
        <f>EX28</f>
        <v>2918</v>
      </c>
      <c r="EZ28" s="179">
        <f>EX28-ER28</f>
        <v>0</v>
      </c>
      <c r="FA28" s="9">
        <v>2918</v>
      </c>
      <c r="FB28" s="18" t="s">
        <v>238</v>
      </c>
      <c r="FC28" s="18" t="s">
        <v>238</v>
      </c>
      <c r="FD28" s="324">
        <f>FA28+FB28+FC28</f>
        <v>2918</v>
      </c>
      <c r="FE28" s="321">
        <f>FD28</f>
        <v>2918</v>
      </c>
      <c r="FF28" s="179">
        <f>FD28-EX28</f>
        <v>0</v>
      </c>
      <c r="FG28" s="9">
        <v>2918</v>
      </c>
      <c r="FH28" s="18" t="s">
        <v>238</v>
      </c>
      <c r="FI28" s="18" t="s">
        <v>238</v>
      </c>
      <c r="FJ28" s="324">
        <f>FG28+FH28+FI28</f>
        <v>2918</v>
      </c>
      <c r="FK28" s="321">
        <f>FJ28</f>
        <v>2918</v>
      </c>
      <c r="FL28" s="179">
        <f>FJ28-FD28</f>
        <v>0</v>
      </c>
      <c r="FM28" s="9">
        <v>2918</v>
      </c>
      <c r="FN28" s="18" t="s">
        <v>238</v>
      </c>
      <c r="FO28" s="18" t="s">
        <v>238</v>
      </c>
      <c r="FP28" s="324">
        <f>FM28+FN28+FO28</f>
        <v>2918</v>
      </c>
      <c r="FQ28" s="321">
        <f>FP28</f>
        <v>2918</v>
      </c>
      <c r="FR28" s="179">
        <f>FP28-FJ28</f>
        <v>0</v>
      </c>
      <c r="FS28" s="9">
        <v>2918</v>
      </c>
      <c r="FT28" s="18" t="s">
        <v>238</v>
      </c>
      <c r="FU28" s="18" t="s">
        <v>238</v>
      </c>
      <c r="FV28" s="324">
        <f>FS28+FT28+FU28</f>
        <v>2918</v>
      </c>
      <c r="FW28" s="321">
        <f>FV28</f>
        <v>2918</v>
      </c>
      <c r="FX28" s="179">
        <f>FV28-FP28</f>
        <v>0</v>
      </c>
      <c r="FY28" s="9">
        <v>2918</v>
      </c>
      <c r="FZ28" s="18" t="s">
        <v>238</v>
      </c>
      <c r="GA28" s="18" t="s">
        <v>238</v>
      </c>
      <c r="GB28" s="324">
        <f>FY28+FZ28+GA28</f>
        <v>2918</v>
      </c>
      <c r="GC28" s="321">
        <f>GB28</f>
        <v>2918</v>
      </c>
      <c r="GD28" s="179">
        <f>GB28-FV28</f>
        <v>0</v>
      </c>
      <c r="GE28" s="9">
        <v>2918</v>
      </c>
      <c r="GF28" s="18" t="s">
        <v>238</v>
      </c>
      <c r="GG28" s="18" t="s">
        <v>238</v>
      </c>
      <c r="GH28" s="324">
        <f>GE28+GF28+GG28</f>
        <v>2918</v>
      </c>
      <c r="GI28" s="321">
        <f>GH28</f>
        <v>2918</v>
      </c>
      <c r="GJ28" s="179">
        <f>GH28-GB28</f>
        <v>0</v>
      </c>
      <c r="GK28" s="9">
        <v>2918</v>
      </c>
      <c r="GL28" s="18" t="s">
        <v>238</v>
      </c>
      <c r="GM28" s="18" t="s">
        <v>238</v>
      </c>
      <c r="GN28" s="324">
        <f>GK28+GL28+GM28</f>
        <v>2918</v>
      </c>
      <c r="GO28" s="321">
        <f>GN28</f>
        <v>2918</v>
      </c>
      <c r="GP28" s="179">
        <f>GN28-GH28</f>
        <v>0</v>
      </c>
      <c r="GQ28" s="9">
        <v>2918</v>
      </c>
      <c r="GR28" s="18" t="s">
        <v>238</v>
      </c>
      <c r="GS28" s="18" t="s">
        <v>238</v>
      </c>
      <c r="GT28" s="324">
        <f>GQ28+GR28+GS28</f>
        <v>2918</v>
      </c>
      <c r="GU28" s="321">
        <f>GT28</f>
        <v>2918</v>
      </c>
      <c r="GV28" s="179">
        <f>GT28-GN28</f>
        <v>0</v>
      </c>
      <c r="GW28" s="9">
        <v>3063</v>
      </c>
      <c r="GX28" s="18" t="s">
        <v>238</v>
      </c>
      <c r="GY28" s="18" t="s">
        <v>238</v>
      </c>
      <c r="GZ28" s="324">
        <f>GW28+GX28+GY28</f>
        <v>3063</v>
      </c>
      <c r="HA28" s="321">
        <f>GZ28</f>
        <v>3063</v>
      </c>
      <c r="HB28" s="179">
        <f>GZ28-GT28</f>
        <v>145</v>
      </c>
      <c r="HC28" s="102">
        <f>100/1406236643.9*GT28</f>
        <v>2.0750419302880178E-4</v>
      </c>
      <c r="HD28" s="285">
        <f>HB28-HO28</f>
        <v>0</v>
      </c>
      <c r="HE28" s="12">
        <f>GT28*0.05</f>
        <v>145.9</v>
      </c>
      <c r="HF28" s="12">
        <f>IF(ISNUMBER(HE28), HE28-INT(HE28), "")</f>
        <v>0.90000000000000568</v>
      </c>
      <c r="HG28" s="12">
        <f>HE28-HF28</f>
        <v>145</v>
      </c>
      <c r="HH28" s="14">
        <f>HG28:HG28</f>
        <v>145</v>
      </c>
      <c r="HI28" s="13">
        <f>HG28+GT28</f>
        <v>3063</v>
      </c>
      <c r="HJ28" s="102">
        <f>100/1406236643.9*HI28</f>
        <v>2.1781540207238515E-4</v>
      </c>
      <c r="HK28" s="16">
        <f>GT28</f>
        <v>2918</v>
      </c>
      <c r="HL28" s="103">
        <f>HK28*1.05</f>
        <v>3063.9</v>
      </c>
      <c r="HM28" s="103">
        <f>HL28-HK28</f>
        <v>145.90000000000009</v>
      </c>
      <c r="HN28" s="17">
        <f>HF28</f>
        <v>0.90000000000000568</v>
      </c>
      <c r="HO28" s="56">
        <f>HM28-HN28</f>
        <v>145.00000000000009</v>
      </c>
      <c r="HP28" s="16">
        <f>HO28-HG28</f>
        <v>0</v>
      </c>
      <c r="HQ28" s="16">
        <f>HO28+HK28</f>
        <v>3063</v>
      </c>
      <c r="HR28" s="16">
        <f>HQ28-HI28</f>
        <v>0</v>
      </c>
    </row>
    <row r="29" spans="1:226" ht="10.8" thickBot="1" x14ac:dyDescent="0.35">
      <c r="A29" s="146">
        <v>2</v>
      </c>
      <c r="B29" s="450"/>
      <c r="C29" s="147" t="s">
        <v>11</v>
      </c>
      <c r="D29" s="157" t="s">
        <v>12</v>
      </c>
      <c r="E29" s="160" t="s">
        <v>238</v>
      </c>
      <c r="F29" s="9" t="s">
        <v>243</v>
      </c>
      <c r="G29" s="9" t="s">
        <v>238</v>
      </c>
      <c r="H29" s="324"/>
      <c r="I29" s="324">
        <v>32706352</v>
      </c>
      <c r="J29" s="324">
        <v>32706352</v>
      </c>
      <c r="K29" s="324"/>
      <c r="L29" s="324">
        <v>32706352</v>
      </c>
      <c r="M29" s="23">
        <v>32706352</v>
      </c>
      <c r="N29" s="23">
        <v>32706352</v>
      </c>
      <c r="O29" s="298">
        <v>32706352</v>
      </c>
      <c r="P29" s="298">
        <v>32706352</v>
      </c>
      <c r="Q29" s="298">
        <v>32706352</v>
      </c>
      <c r="R29" s="298">
        <v>32706352</v>
      </c>
      <c r="S29" s="298">
        <v>32706352</v>
      </c>
      <c r="T29" s="298">
        <v>32706352</v>
      </c>
      <c r="U29" s="298">
        <f>T29*5%</f>
        <v>1635317.6</v>
      </c>
      <c r="V29" s="298">
        <f>T29+U29</f>
        <v>34341669.600000001</v>
      </c>
      <c r="W29" s="298">
        <v>34341669</v>
      </c>
      <c r="X29" s="298">
        <v>34341669</v>
      </c>
      <c r="Y29" s="298">
        <v>34341669</v>
      </c>
      <c r="Z29" s="298">
        <v>34341669</v>
      </c>
      <c r="AA29" s="298">
        <v>34341669</v>
      </c>
      <c r="AB29" s="298">
        <v>34341669</v>
      </c>
      <c r="AC29" s="9">
        <v>0</v>
      </c>
      <c r="AD29" s="9">
        <v>0</v>
      </c>
      <c r="AE29" s="298">
        <f>AD29+AC29+AB29</f>
        <v>34341669</v>
      </c>
      <c r="AF29" s="298">
        <v>34341669</v>
      </c>
      <c r="AG29" s="9">
        <v>0</v>
      </c>
      <c r="AH29" s="9">
        <v>0</v>
      </c>
      <c r="AI29" s="298">
        <f>AH29+AG29+AF29</f>
        <v>34341669</v>
      </c>
      <c r="AJ29" s="298">
        <v>34341669</v>
      </c>
      <c r="AK29" s="9">
        <v>0</v>
      </c>
      <c r="AL29" s="9">
        <v>0</v>
      </c>
      <c r="AM29" s="298">
        <f>AL29+AK29+AJ29</f>
        <v>34341669</v>
      </c>
      <c r="AN29" s="298">
        <v>34341669</v>
      </c>
      <c r="AO29" s="9">
        <v>0</v>
      </c>
      <c r="AP29" s="9">
        <v>0</v>
      </c>
      <c r="AQ29" s="298">
        <f>AP29+AO29+AN29</f>
        <v>34341669</v>
      </c>
      <c r="AR29" s="24">
        <v>34341669</v>
      </c>
      <c r="AS29" s="9">
        <v>0</v>
      </c>
      <c r="AT29" s="9">
        <v>0</v>
      </c>
      <c r="AU29" s="298">
        <f>AT29+AS29+AR29</f>
        <v>34341669</v>
      </c>
      <c r="AV29" s="298">
        <v>34341669</v>
      </c>
      <c r="AW29" s="9">
        <v>0</v>
      </c>
      <c r="AX29" s="9">
        <v>0</v>
      </c>
      <c r="AY29" s="298">
        <f>AX29+AW29+AV29</f>
        <v>34341669</v>
      </c>
      <c r="AZ29" s="8">
        <f>AY29*5%</f>
        <v>1717083.4500000002</v>
      </c>
      <c r="BA29" s="8">
        <v>0.45</v>
      </c>
      <c r="BB29" s="8">
        <f>AZ29-BA29</f>
        <v>1717083.0000000002</v>
      </c>
      <c r="BC29" s="8">
        <f>BB29+AY29</f>
        <v>36058752</v>
      </c>
      <c r="BD29" s="8"/>
      <c r="BE29" s="8">
        <f>BD29+BC29</f>
        <v>36058752</v>
      </c>
      <c r="BF29" s="10">
        <f>BE29-AY29</f>
        <v>1717083</v>
      </c>
      <c r="BG29" s="11">
        <f>BF29-BB29</f>
        <v>0</v>
      </c>
      <c r="BH29" s="319">
        <v>36058752</v>
      </c>
      <c r="BI29" s="319">
        <v>0</v>
      </c>
      <c r="BJ29" s="319">
        <v>0</v>
      </c>
      <c r="BK29" s="319">
        <f>BJ29+BI29+BH29</f>
        <v>36058752</v>
      </c>
      <c r="BL29" s="319">
        <v>36058752</v>
      </c>
      <c r="BM29" s="319">
        <v>0</v>
      </c>
      <c r="BN29" s="319">
        <v>0</v>
      </c>
      <c r="BO29" s="319">
        <f>BN29+BM29+BL29</f>
        <v>36058752</v>
      </c>
      <c r="BP29" s="319">
        <f>BO29-BK29</f>
        <v>0</v>
      </c>
      <c r="BQ29" s="319">
        <v>36058752</v>
      </c>
      <c r="BR29" s="319">
        <v>0</v>
      </c>
      <c r="BS29" s="319">
        <v>0</v>
      </c>
      <c r="BT29" s="319">
        <f>BS29+BR29+BQ29</f>
        <v>36058752</v>
      </c>
      <c r="BU29" s="319">
        <f>BT29-BO29</f>
        <v>0</v>
      </c>
      <c r="BV29" s="319">
        <v>36058752</v>
      </c>
      <c r="BW29" s="324">
        <v>0</v>
      </c>
      <c r="BX29" s="324">
        <v>0</v>
      </c>
      <c r="BY29" s="319">
        <f>BX29+BW29+BV29</f>
        <v>36058752</v>
      </c>
      <c r="BZ29" s="319">
        <f>BY29-BT29</f>
        <v>0</v>
      </c>
      <c r="CA29" s="319">
        <v>36058752</v>
      </c>
      <c r="CB29" s="324">
        <v>0</v>
      </c>
      <c r="CC29" s="324">
        <v>0</v>
      </c>
      <c r="CD29" s="319">
        <f>CC29+CB29+CA29</f>
        <v>36058752</v>
      </c>
      <c r="CE29" s="319">
        <f>CD29-BY29</f>
        <v>0</v>
      </c>
      <c r="CF29" s="319">
        <v>36058752</v>
      </c>
      <c r="CG29" s="319">
        <v>0</v>
      </c>
      <c r="CH29" s="319">
        <v>0</v>
      </c>
      <c r="CI29" s="319">
        <f>CH29+CG29+CF29</f>
        <v>36058752</v>
      </c>
      <c r="CJ29" s="319">
        <f>CI29-CD29</f>
        <v>0</v>
      </c>
      <c r="CK29" s="319">
        <v>36058752</v>
      </c>
      <c r="CL29" s="319">
        <v>0</v>
      </c>
      <c r="CM29" s="319">
        <v>0</v>
      </c>
      <c r="CN29" s="319">
        <f>CM29+CL29+CK29</f>
        <v>36058752</v>
      </c>
      <c r="CO29" s="319">
        <f>CN29-CI29</f>
        <v>0</v>
      </c>
      <c r="CP29" s="319">
        <v>36058752</v>
      </c>
      <c r="CQ29" s="319"/>
      <c r="CR29" s="319"/>
      <c r="CS29" s="319">
        <f>CR29+CQ29+CP29</f>
        <v>36058752</v>
      </c>
      <c r="CT29" s="319">
        <f>CS29-CN29</f>
        <v>0</v>
      </c>
      <c r="CU29" s="319">
        <v>36058752</v>
      </c>
      <c r="CV29" s="319">
        <v>0</v>
      </c>
      <c r="CW29" s="319">
        <v>0</v>
      </c>
      <c r="CX29" s="319">
        <f>CW29+CV29+CU29</f>
        <v>36058752</v>
      </c>
      <c r="CY29" s="319">
        <f>CX29-CS29</f>
        <v>0</v>
      </c>
      <c r="CZ29" s="319"/>
      <c r="DA29" s="319"/>
      <c r="DB29" s="319"/>
      <c r="DC29" s="12">
        <f>CX29*10%</f>
        <v>3605875.2</v>
      </c>
      <c r="DD29" s="12">
        <v>0.2</v>
      </c>
      <c r="DE29" s="13">
        <f>DC29-DD29</f>
        <v>3605875</v>
      </c>
      <c r="DF29" s="14">
        <f>DE29:DE29</f>
        <v>3605875</v>
      </c>
      <c r="DG29" s="13">
        <f>DE29+CX29</f>
        <v>39664627</v>
      </c>
      <c r="DH29" s="15">
        <f>100/1278396949*CX29</f>
        <v>2.8206225013448463</v>
      </c>
      <c r="DI29" s="16">
        <f>CX29</f>
        <v>36058752</v>
      </c>
      <c r="DJ29" s="132">
        <f>DI29*1.1</f>
        <v>39664627.200000003</v>
      </c>
      <c r="DK29" s="17">
        <f>DJ29-DI29</f>
        <v>3605875.200000003</v>
      </c>
      <c r="DL29" s="17">
        <f>DD29</f>
        <v>0.2</v>
      </c>
      <c r="DM29" s="16">
        <f>DK29-DL29</f>
        <v>3605875.0000000028</v>
      </c>
      <c r="DN29" s="16">
        <f>DM29-DE29</f>
        <v>0</v>
      </c>
      <c r="DO29" s="16">
        <f>DM29+DI29</f>
        <v>39664627</v>
      </c>
      <c r="DP29" s="16">
        <f>DO29-DG29</f>
        <v>0</v>
      </c>
      <c r="DQ29" s="9">
        <v>39664627</v>
      </c>
      <c r="DR29" s="18" t="s">
        <v>238</v>
      </c>
      <c r="DS29" s="18" t="s">
        <v>238</v>
      </c>
      <c r="DT29" s="324">
        <f>DQ29+DR29+DS29</f>
        <v>39664627</v>
      </c>
      <c r="DU29" s="321">
        <f>DT29</f>
        <v>39664627</v>
      </c>
      <c r="DV29" s="19">
        <f>DT29-DG29</f>
        <v>0</v>
      </c>
      <c r="DW29" s="9">
        <v>39664627</v>
      </c>
      <c r="DX29" s="18"/>
      <c r="DY29" s="18"/>
      <c r="DZ29" s="324">
        <f>DW29+DX29+DY29</f>
        <v>39664627</v>
      </c>
      <c r="EA29" s="321">
        <f>DZ29</f>
        <v>39664627</v>
      </c>
      <c r="EB29" s="179">
        <f>DZ29-DT29</f>
        <v>0</v>
      </c>
      <c r="EC29" s="9">
        <v>39664627</v>
      </c>
      <c r="ED29" s="18" t="s">
        <v>238</v>
      </c>
      <c r="EE29" s="18" t="s">
        <v>238</v>
      </c>
      <c r="EF29" s="324">
        <f>EC29+ED29+EE29</f>
        <v>39664627</v>
      </c>
      <c r="EG29" s="321">
        <f>EF29</f>
        <v>39664627</v>
      </c>
      <c r="EH29" s="179">
        <f>EF29-DZ29</f>
        <v>0</v>
      </c>
      <c r="EI29" s="9">
        <v>39664627</v>
      </c>
      <c r="EJ29" s="18" t="s">
        <v>238</v>
      </c>
      <c r="EK29" s="18" t="s">
        <v>238</v>
      </c>
      <c r="EL29" s="324">
        <f>EI29+EJ29+EK29</f>
        <v>39664627</v>
      </c>
      <c r="EM29" s="321">
        <f>EL29</f>
        <v>39664627</v>
      </c>
      <c r="EN29" s="179">
        <f>EL29-EF29</f>
        <v>0</v>
      </c>
      <c r="EO29" s="9">
        <v>39664627</v>
      </c>
      <c r="EP29" s="18" t="s">
        <v>238</v>
      </c>
      <c r="EQ29" s="18" t="s">
        <v>238</v>
      </c>
      <c r="ER29" s="324">
        <f>EO29+EP29+EQ29</f>
        <v>39664627</v>
      </c>
      <c r="ES29" s="321">
        <f>ER29</f>
        <v>39664627</v>
      </c>
      <c r="ET29" s="179">
        <f>ER29-EL29</f>
        <v>0</v>
      </c>
      <c r="EU29" s="9">
        <v>39664627</v>
      </c>
      <c r="EV29" s="18" t="s">
        <v>238</v>
      </c>
      <c r="EW29" s="18" t="s">
        <v>238</v>
      </c>
      <c r="EX29" s="324">
        <f>EU29+EV29+EW29</f>
        <v>39664627</v>
      </c>
      <c r="EY29" s="321">
        <f>EX29</f>
        <v>39664627</v>
      </c>
      <c r="EZ29" s="179">
        <f>EX29-ER29</f>
        <v>0</v>
      </c>
      <c r="FA29" s="9">
        <v>39664627</v>
      </c>
      <c r="FB29" s="18" t="s">
        <v>238</v>
      </c>
      <c r="FC29" s="18" t="s">
        <v>238</v>
      </c>
      <c r="FD29" s="324">
        <f>FA29+FB29+FC29</f>
        <v>39664627</v>
      </c>
      <c r="FE29" s="321">
        <f>FD29</f>
        <v>39664627</v>
      </c>
      <c r="FF29" s="179">
        <f>FD29-EX29</f>
        <v>0</v>
      </c>
      <c r="FG29" s="9">
        <v>39664627</v>
      </c>
      <c r="FH29" s="18" t="s">
        <v>238</v>
      </c>
      <c r="FI29" s="18" t="s">
        <v>238</v>
      </c>
      <c r="FJ29" s="324">
        <f>FG29+FH29+FI29</f>
        <v>39664627</v>
      </c>
      <c r="FK29" s="321">
        <f>FJ29</f>
        <v>39664627</v>
      </c>
      <c r="FL29" s="179">
        <f>FJ29-FD29</f>
        <v>0</v>
      </c>
      <c r="FM29" s="9">
        <v>39664627</v>
      </c>
      <c r="FN29" s="18" t="s">
        <v>238</v>
      </c>
      <c r="FO29" s="18" t="s">
        <v>238</v>
      </c>
      <c r="FP29" s="324">
        <f>FM29+FN29+FO29</f>
        <v>39664627</v>
      </c>
      <c r="FQ29" s="321">
        <f>FP29</f>
        <v>39664627</v>
      </c>
      <c r="FR29" s="179">
        <f>FP29-FJ29</f>
        <v>0</v>
      </c>
      <c r="FS29" s="9">
        <v>39664627</v>
      </c>
      <c r="FT29" s="18" t="s">
        <v>238</v>
      </c>
      <c r="FU29" s="18" t="s">
        <v>238</v>
      </c>
      <c r="FV29" s="324">
        <f>FS29+FT29+FU29</f>
        <v>39664627</v>
      </c>
      <c r="FW29" s="321">
        <f>FV29</f>
        <v>39664627</v>
      </c>
      <c r="FX29" s="179">
        <f>FV29-FP29</f>
        <v>0</v>
      </c>
      <c r="FY29" s="9">
        <v>39664627</v>
      </c>
      <c r="FZ29" s="18" t="s">
        <v>238</v>
      </c>
      <c r="GA29" s="18" t="s">
        <v>238</v>
      </c>
      <c r="GB29" s="324">
        <f>FY29+FZ29+GA29</f>
        <v>39664627</v>
      </c>
      <c r="GC29" s="321">
        <f>GB29</f>
        <v>39664627</v>
      </c>
      <c r="GD29" s="179">
        <f>GB29-FV29</f>
        <v>0</v>
      </c>
      <c r="GE29" s="9">
        <v>39664627</v>
      </c>
      <c r="GF29" s="18" t="s">
        <v>238</v>
      </c>
      <c r="GG29" s="18" t="s">
        <v>238</v>
      </c>
      <c r="GH29" s="324">
        <f>GE29+GF29+GG29</f>
        <v>39664627</v>
      </c>
      <c r="GI29" s="321">
        <f>GH29</f>
        <v>39664627</v>
      </c>
      <c r="GJ29" s="179">
        <f>GH29-GB29</f>
        <v>0</v>
      </c>
      <c r="GK29" s="9">
        <v>39664627</v>
      </c>
      <c r="GL29" s="18" t="s">
        <v>238</v>
      </c>
      <c r="GM29" s="18" t="s">
        <v>238</v>
      </c>
      <c r="GN29" s="324">
        <f>GK29+GL29+GM29</f>
        <v>39664627</v>
      </c>
      <c r="GO29" s="321">
        <f>GN29</f>
        <v>39664627</v>
      </c>
      <c r="GP29" s="179">
        <f>GN29-GH29</f>
        <v>0</v>
      </c>
      <c r="GQ29" s="9">
        <v>39664627</v>
      </c>
      <c r="GR29" s="18" t="s">
        <v>238</v>
      </c>
      <c r="GS29" s="18" t="s">
        <v>238</v>
      </c>
      <c r="GT29" s="324">
        <f>GQ29+GR29+GS29</f>
        <v>39664627</v>
      </c>
      <c r="GU29" s="321">
        <f>GT29</f>
        <v>39664627</v>
      </c>
      <c r="GV29" s="179">
        <f>GT29-GN29</f>
        <v>0</v>
      </c>
      <c r="GW29" s="9">
        <v>41647858</v>
      </c>
      <c r="GX29" s="18" t="s">
        <v>238</v>
      </c>
      <c r="GY29" s="18" t="s">
        <v>238</v>
      </c>
      <c r="GZ29" s="324">
        <f>GW29+GX29+GY29</f>
        <v>41647858</v>
      </c>
      <c r="HA29" s="321">
        <f>GZ29</f>
        <v>41647858</v>
      </c>
      <c r="HB29" s="179">
        <f>GZ29-GT29</f>
        <v>1983231</v>
      </c>
      <c r="HC29" s="102">
        <f>100/1406236643.9*GT29</f>
        <v>2.8206224871224892</v>
      </c>
      <c r="HD29" s="285">
        <f>HB29-HO29</f>
        <v>0</v>
      </c>
      <c r="HE29" s="12">
        <f>GT29*0.05</f>
        <v>1983231.35</v>
      </c>
      <c r="HF29" s="12">
        <f>IF(ISNUMBER(HE29), HE29-INT(HE29), "")</f>
        <v>0.35000000009313226</v>
      </c>
      <c r="HG29" s="12">
        <f>HE29-HF29</f>
        <v>1983231</v>
      </c>
      <c r="HH29" s="14">
        <f>HG29:HG29</f>
        <v>1983231</v>
      </c>
      <c r="HI29" s="13">
        <f>HG29+GT29</f>
        <v>41647858</v>
      </c>
      <c r="HJ29" s="102">
        <f>100/1406236643.9*HI29</f>
        <v>2.9616535865894882</v>
      </c>
      <c r="HK29" s="16">
        <f>GT29</f>
        <v>39664627</v>
      </c>
      <c r="HL29" s="103">
        <f>HK29*1.05</f>
        <v>41647858.350000001</v>
      </c>
      <c r="HM29" s="103">
        <f>HL29-HK29</f>
        <v>1983231.3500000015</v>
      </c>
      <c r="HN29" s="17">
        <f>HF29</f>
        <v>0.35000000009313226</v>
      </c>
      <c r="HO29" s="56">
        <f>HM29-HN29</f>
        <v>1983231.0000000014</v>
      </c>
      <c r="HP29" s="16">
        <f>HO29-HG29</f>
        <v>0</v>
      </c>
      <c r="HQ29" s="16">
        <f>HO29+HK29</f>
        <v>41647858</v>
      </c>
      <c r="HR29" s="16">
        <f>HQ29-HI29</f>
        <v>0</v>
      </c>
    </row>
    <row r="30" spans="1:226" x14ac:dyDescent="0.3">
      <c r="A30" s="140"/>
      <c r="B30" s="140"/>
      <c r="C30" s="140"/>
      <c r="D30" s="141" t="s">
        <v>216</v>
      </c>
      <c r="E30" s="121">
        <f t="shared" ref="E30:BP30" si="125">SUM(E28:E29)</f>
        <v>0</v>
      </c>
      <c r="F30" s="121">
        <f t="shared" si="125"/>
        <v>0</v>
      </c>
      <c r="G30" s="121">
        <f t="shared" si="125"/>
        <v>0</v>
      </c>
      <c r="H30" s="121">
        <f t="shared" si="125"/>
        <v>0</v>
      </c>
      <c r="I30" s="121">
        <f t="shared" si="125"/>
        <v>32708759</v>
      </c>
      <c r="J30" s="121">
        <f t="shared" si="125"/>
        <v>32706352</v>
      </c>
      <c r="K30" s="121">
        <f t="shared" si="125"/>
        <v>0</v>
      </c>
      <c r="L30" s="121">
        <f t="shared" si="125"/>
        <v>32708759</v>
      </c>
      <c r="M30" s="121">
        <f t="shared" si="125"/>
        <v>32708759</v>
      </c>
      <c r="N30" s="121">
        <f t="shared" si="125"/>
        <v>32708759</v>
      </c>
      <c r="O30" s="121">
        <f t="shared" si="125"/>
        <v>32708759</v>
      </c>
      <c r="P30" s="121">
        <f t="shared" si="125"/>
        <v>32708759</v>
      </c>
      <c r="Q30" s="121">
        <f t="shared" si="125"/>
        <v>32708759</v>
      </c>
      <c r="R30" s="121">
        <f t="shared" si="125"/>
        <v>32708759</v>
      </c>
      <c r="S30" s="121">
        <f t="shared" si="125"/>
        <v>32708759</v>
      </c>
      <c r="T30" s="121">
        <f t="shared" si="125"/>
        <v>32708759</v>
      </c>
      <c r="U30" s="121">
        <f t="shared" si="125"/>
        <v>1635437.9500000002</v>
      </c>
      <c r="V30" s="121">
        <f t="shared" si="125"/>
        <v>34344196.950000003</v>
      </c>
      <c r="W30" s="121">
        <f t="shared" si="125"/>
        <v>34344196</v>
      </c>
      <c r="X30" s="121">
        <f t="shared" si="125"/>
        <v>34344196</v>
      </c>
      <c r="Y30" s="121">
        <f t="shared" si="125"/>
        <v>34344196</v>
      </c>
      <c r="Z30" s="121">
        <f t="shared" si="125"/>
        <v>34344196</v>
      </c>
      <c r="AA30" s="121">
        <f t="shared" si="125"/>
        <v>34344196</v>
      </c>
      <c r="AB30" s="121">
        <f t="shared" si="125"/>
        <v>34344196</v>
      </c>
      <c r="AC30" s="121">
        <f t="shared" si="125"/>
        <v>0</v>
      </c>
      <c r="AD30" s="121">
        <f t="shared" si="125"/>
        <v>0</v>
      </c>
      <c r="AE30" s="121">
        <f t="shared" si="125"/>
        <v>34344196</v>
      </c>
      <c r="AF30" s="121">
        <f t="shared" si="125"/>
        <v>34344196</v>
      </c>
      <c r="AG30" s="121">
        <f t="shared" si="125"/>
        <v>0</v>
      </c>
      <c r="AH30" s="121">
        <f t="shared" si="125"/>
        <v>0</v>
      </c>
      <c r="AI30" s="121">
        <f t="shared" si="125"/>
        <v>34344196</v>
      </c>
      <c r="AJ30" s="121">
        <f t="shared" si="125"/>
        <v>34344196</v>
      </c>
      <c r="AK30" s="121">
        <f t="shared" si="125"/>
        <v>0</v>
      </c>
      <c r="AL30" s="121">
        <f t="shared" si="125"/>
        <v>0</v>
      </c>
      <c r="AM30" s="121">
        <f t="shared" si="125"/>
        <v>34344196</v>
      </c>
      <c r="AN30" s="121">
        <f t="shared" si="125"/>
        <v>34344196</v>
      </c>
      <c r="AO30" s="121">
        <f t="shared" si="125"/>
        <v>0</v>
      </c>
      <c r="AP30" s="121">
        <f t="shared" si="125"/>
        <v>0</v>
      </c>
      <c r="AQ30" s="121">
        <f t="shared" si="125"/>
        <v>34344196</v>
      </c>
      <c r="AR30" s="121">
        <f t="shared" si="125"/>
        <v>34344196</v>
      </c>
      <c r="AS30" s="121">
        <f t="shared" si="125"/>
        <v>0</v>
      </c>
      <c r="AT30" s="121">
        <f t="shared" si="125"/>
        <v>0</v>
      </c>
      <c r="AU30" s="121">
        <f t="shared" si="125"/>
        <v>34344196</v>
      </c>
      <c r="AV30" s="121">
        <f t="shared" si="125"/>
        <v>34344196</v>
      </c>
      <c r="AW30" s="121">
        <f t="shared" si="125"/>
        <v>0</v>
      </c>
      <c r="AX30" s="121">
        <f t="shared" si="125"/>
        <v>0</v>
      </c>
      <c r="AY30" s="121">
        <f t="shared" si="125"/>
        <v>34344196</v>
      </c>
      <c r="AZ30" s="121">
        <f t="shared" si="125"/>
        <v>1717209.8000000003</v>
      </c>
      <c r="BA30" s="121">
        <f t="shared" si="125"/>
        <v>0.8</v>
      </c>
      <c r="BB30" s="121">
        <f t="shared" si="125"/>
        <v>1717209.0000000002</v>
      </c>
      <c r="BC30" s="121">
        <f t="shared" si="125"/>
        <v>36061405</v>
      </c>
      <c r="BD30" s="121">
        <f t="shared" si="125"/>
        <v>0</v>
      </c>
      <c r="BE30" s="121">
        <f t="shared" si="125"/>
        <v>36061405</v>
      </c>
      <c r="BF30" s="121">
        <f t="shared" si="125"/>
        <v>1717209</v>
      </c>
      <c r="BG30" s="121">
        <f t="shared" si="125"/>
        <v>0</v>
      </c>
      <c r="BH30" s="121">
        <f t="shared" si="125"/>
        <v>36061405</v>
      </c>
      <c r="BI30" s="121">
        <f t="shared" si="125"/>
        <v>0</v>
      </c>
      <c r="BJ30" s="121">
        <f t="shared" si="125"/>
        <v>0</v>
      </c>
      <c r="BK30" s="121">
        <f t="shared" si="125"/>
        <v>36061405</v>
      </c>
      <c r="BL30" s="121">
        <f t="shared" si="125"/>
        <v>36061405</v>
      </c>
      <c r="BM30" s="121">
        <f t="shared" si="125"/>
        <v>0</v>
      </c>
      <c r="BN30" s="121">
        <f t="shared" si="125"/>
        <v>0</v>
      </c>
      <c r="BO30" s="121">
        <f t="shared" si="125"/>
        <v>36061405</v>
      </c>
      <c r="BP30" s="121">
        <f t="shared" si="125"/>
        <v>0</v>
      </c>
      <c r="BQ30" s="121">
        <f t="shared" ref="BQ30:EB30" si="126">SUM(BQ28:BQ29)</f>
        <v>36061405</v>
      </c>
      <c r="BR30" s="121">
        <f t="shared" si="126"/>
        <v>0</v>
      </c>
      <c r="BS30" s="121">
        <f t="shared" si="126"/>
        <v>0</v>
      </c>
      <c r="BT30" s="121">
        <f t="shared" si="126"/>
        <v>36061405</v>
      </c>
      <c r="BU30" s="121">
        <f t="shared" si="126"/>
        <v>0</v>
      </c>
      <c r="BV30" s="121">
        <f t="shared" si="126"/>
        <v>36061405</v>
      </c>
      <c r="BW30" s="121">
        <f t="shared" si="126"/>
        <v>0</v>
      </c>
      <c r="BX30" s="121">
        <f t="shared" si="126"/>
        <v>0</v>
      </c>
      <c r="BY30" s="121">
        <f t="shared" si="126"/>
        <v>36061405</v>
      </c>
      <c r="BZ30" s="121">
        <f t="shared" si="126"/>
        <v>0</v>
      </c>
      <c r="CA30" s="121">
        <f t="shared" si="126"/>
        <v>36061405</v>
      </c>
      <c r="CB30" s="121">
        <f t="shared" si="126"/>
        <v>0</v>
      </c>
      <c r="CC30" s="121">
        <f t="shared" si="126"/>
        <v>0</v>
      </c>
      <c r="CD30" s="121">
        <f t="shared" si="126"/>
        <v>36061405</v>
      </c>
      <c r="CE30" s="121">
        <f t="shared" si="126"/>
        <v>0</v>
      </c>
      <c r="CF30" s="121">
        <f t="shared" si="126"/>
        <v>36061405</v>
      </c>
      <c r="CG30" s="121">
        <f t="shared" si="126"/>
        <v>0</v>
      </c>
      <c r="CH30" s="121">
        <f t="shared" si="126"/>
        <v>0</v>
      </c>
      <c r="CI30" s="121">
        <f t="shared" si="126"/>
        <v>36061405</v>
      </c>
      <c r="CJ30" s="121">
        <f t="shared" si="126"/>
        <v>0</v>
      </c>
      <c r="CK30" s="121">
        <f t="shared" si="126"/>
        <v>36061405</v>
      </c>
      <c r="CL30" s="121">
        <f t="shared" si="126"/>
        <v>0</v>
      </c>
      <c r="CM30" s="121">
        <f t="shared" si="126"/>
        <v>0</v>
      </c>
      <c r="CN30" s="121">
        <f t="shared" si="126"/>
        <v>36061405</v>
      </c>
      <c r="CO30" s="121">
        <f t="shared" si="126"/>
        <v>0</v>
      </c>
      <c r="CP30" s="121">
        <f t="shared" si="126"/>
        <v>36061405</v>
      </c>
      <c r="CQ30" s="121">
        <f t="shared" si="126"/>
        <v>0</v>
      </c>
      <c r="CR30" s="121">
        <f t="shared" si="126"/>
        <v>0</v>
      </c>
      <c r="CS30" s="121">
        <f t="shared" si="126"/>
        <v>36061405</v>
      </c>
      <c r="CT30" s="121">
        <f t="shared" si="126"/>
        <v>0</v>
      </c>
      <c r="CU30" s="121">
        <f t="shared" si="126"/>
        <v>36061405</v>
      </c>
      <c r="CV30" s="121">
        <f t="shared" si="126"/>
        <v>0</v>
      </c>
      <c r="CW30" s="121">
        <f t="shared" si="126"/>
        <v>0</v>
      </c>
      <c r="CX30" s="121">
        <f t="shared" si="126"/>
        <v>36061405</v>
      </c>
      <c r="CY30" s="121">
        <f t="shared" si="126"/>
        <v>0</v>
      </c>
      <c r="CZ30" s="121">
        <f t="shared" si="126"/>
        <v>0</v>
      </c>
      <c r="DA30" s="121">
        <f t="shared" si="126"/>
        <v>0</v>
      </c>
      <c r="DB30" s="121">
        <f t="shared" si="126"/>
        <v>0</v>
      </c>
      <c r="DC30" s="121">
        <f t="shared" si="126"/>
        <v>3606140.5</v>
      </c>
      <c r="DD30" s="121">
        <f t="shared" si="126"/>
        <v>0.5</v>
      </c>
      <c r="DE30" s="121">
        <f t="shared" si="126"/>
        <v>3606140</v>
      </c>
      <c r="DF30" s="121">
        <f t="shared" si="126"/>
        <v>3606140</v>
      </c>
      <c r="DG30" s="121">
        <f t="shared" si="126"/>
        <v>39667545</v>
      </c>
      <c r="DH30" s="121">
        <f t="shared" si="126"/>
        <v>2.8208300268714108</v>
      </c>
      <c r="DI30" s="121">
        <f t="shared" si="126"/>
        <v>36061405</v>
      </c>
      <c r="DJ30" s="121">
        <f t="shared" si="126"/>
        <v>39667545.5</v>
      </c>
      <c r="DK30" s="121">
        <f t="shared" si="126"/>
        <v>3606140.5000000028</v>
      </c>
      <c r="DL30" s="121">
        <f t="shared" si="126"/>
        <v>0.5</v>
      </c>
      <c r="DM30" s="121">
        <f t="shared" si="126"/>
        <v>3606140.0000000028</v>
      </c>
      <c r="DN30" s="121">
        <f t="shared" si="126"/>
        <v>0</v>
      </c>
      <c r="DO30" s="121">
        <f t="shared" si="126"/>
        <v>39667545</v>
      </c>
      <c r="DP30" s="121">
        <f t="shared" si="126"/>
        <v>0</v>
      </c>
      <c r="DQ30" s="121">
        <f t="shared" si="126"/>
        <v>39667545</v>
      </c>
      <c r="DR30" s="121">
        <f t="shared" si="126"/>
        <v>0</v>
      </c>
      <c r="DS30" s="121">
        <f t="shared" si="126"/>
        <v>0</v>
      </c>
      <c r="DT30" s="121">
        <f t="shared" si="126"/>
        <v>39667545</v>
      </c>
      <c r="DU30" s="121">
        <f t="shared" si="126"/>
        <v>39667545</v>
      </c>
      <c r="DV30" s="121">
        <f t="shared" si="126"/>
        <v>0</v>
      </c>
      <c r="DW30" s="121">
        <f t="shared" si="126"/>
        <v>39667545</v>
      </c>
      <c r="DX30" s="121">
        <f t="shared" si="126"/>
        <v>0</v>
      </c>
      <c r="DY30" s="121">
        <f t="shared" si="126"/>
        <v>0</v>
      </c>
      <c r="DZ30" s="121">
        <f t="shared" si="126"/>
        <v>39667545</v>
      </c>
      <c r="EA30" s="121">
        <f t="shared" si="126"/>
        <v>39667545</v>
      </c>
      <c r="EB30" s="121">
        <f t="shared" si="126"/>
        <v>0</v>
      </c>
      <c r="EC30" s="121">
        <f t="shared" ref="EC30:FL30" si="127">SUM(EC28:EC29)</f>
        <v>39667545</v>
      </c>
      <c r="ED30" s="121">
        <f t="shared" si="127"/>
        <v>0</v>
      </c>
      <c r="EE30" s="121">
        <f t="shared" si="127"/>
        <v>0</v>
      </c>
      <c r="EF30" s="121">
        <f t="shared" si="127"/>
        <v>39667545</v>
      </c>
      <c r="EG30" s="121">
        <f t="shared" si="127"/>
        <v>39667545</v>
      </c>
      <c r="EH30" s="121">
        <f t="shared" si="127"/>
        <v>0</v>
      </c>
      <c r="EI30" s="121">
        <f t="shared" si="127"/>
        <v>39667545</v>
      </c>
      <c r="EJ30" s="121">
        <f t="shared" si="127"/>
        <v>0</v>
      </c>
      <c r="EK30" s="121">
        <f t="shared" si="127"/>
        <v>0</v>
      </c>
      <c r="EL30" s="121">
        <f t="shared" si="127"/>
        <v>39667545</v>
      </c>
      <c r="EM30" s="121">
        <f t="shared" si="127"/>
        <v>39667545</v>
      </c>
      <c r="EN30" s="121">
        <f t="shared" si="127"/>
        <v>0</v>
      </c>
      <c r="EO30" s="121">
        <f t="shared" si="127"/>
        <v>39667545</v>
      </c>
      <c r="EP30" s="121">
        <f t="shared" si="127"/>
        <v>0</v>
      </c>
      <c r="EQ30" s="121">
        <f t="shared" si="127"/>
        <v>0</v>
      </c>
      <c r="ER30" s="121">
        <f t="shared" si="127"/>
        <v>39667545</v>
      </c>
      <c r="ES30" s="121">
        <f t="shared" si="127"/>
        <v>39667545</v>
      </c>
      <c r="ET30" s="121">
        <f t="shared" si="127"/>
        <v>0</v>
      </c>
      <c r="EU30" s="121">
        <f t="shared" si="127"/>
        <v>39667545</v>
      </c>
      <c r="EV30" s="121">
        <f t="shared" si="127"/>
        <v>0</v>
      </c>
      <c r="EW30" s="121">
        <f t="shared" si="127"/>
        <v>0</v>
      </c>
      <c r="EX30" s="121">
        <f t="shared" si="127"/>
        <v>39667545</v>
      </c>
      <c r="EY30" s="121">
        <f t="shared" si="127"/>
        <v>39667545</v>
      </c>
      <c r="EZ30" s="121">
        <f t="shared" si="127"/>
        <v>0</v>
      </c>
      <c r="FA30" s="121">
        <f t="shared" si="127"/>
        <v>39667545</v>
      </c>
      <c r="FB30" s="121">
        <f t="shared" si="127"/>
        <v>0</v>
      </c>
      <c r="FC30" s="121">
        <f t="shared" si="127"/>
        <v>0</v>
      </c>
      <c r="FD30" s="121">
        <f t="shared" si="127"/>
        <v>39667545</v>
      </c>
      <c r="FE30" s="121">
        <f t="shared" si="127"/>
        <v>39667545</v>
      </c>
      <c r="FF30" s="121">
        <f t="shared" si="127"/>
        <v>0</v>
      </c>
      <c r="FG30" s="121">
        <f t="shared" si="127"/>
        <v>39667545</v>
      </c>
      <c r="FH30" s="121">
        <f t="shared" si="127"/>
        <v>0</v>
      </c>
      <c r="FI30" s="121">
        <f t="shared" si="127"/>
        <v>0</v>
      </c>
      <c r="FJ30" s="121">
        <f t="shared" si="127"/>
        <v>39667545</v>
      </c>
      <c r="FK30" s="121">
        <f t="shared" si="127"/>
        <v>39667545</v>
      </c>
      <c r="FL30" s="121">
        <f t="shared" si="127"/>
        <v>0</v>
      </c>
      <c r="FM30" s="121">
        <f t="shared" ref="FM30:FR30" si="128">SUM(FM28:FM29)</f>
        <v>39667545</v>
      </c>
      <c r="FN30" s="121">
        <f t="shared" si="128"/>
        <v>0</v>
      </c>
      <c r="FO30" s="121">
        <f t="shared" si="128"/>
        <v>0</v>
      </c>
      <c r="FP30" s="121">
        <f t="shared" si="128"/>
        <v>39667545</v>
      </c>
      <c r="FQ30" s="121">
        <f t="shared" si="128"/>
        <v>39667545</v>
      </c>
      <c r="FR30" s="121">
        <f t="shared" si="128"/>
        <v>0</v>
      </c>
      <c r="FS30" s="121">
        <f t="shared" ref="FS30:FX30" si="129">SUM(FS28:FS29)</f>
        <v>39667545</v>
      </c>
      <c r="FT30" s="121">
        <f t="shared" si="129"/>
        <v>0</v>
      </c>
      <c r="FU30" s="121">
        <f t="shared" si="129"/>
        <v>0</v>
      </c>
      <c r="FV30" s="121">
        <f t="shared" si="129"/>
        <v>39667545</v>
      </c>
      <c r="FW30" s="121">
        <f t="shared" si="129"/>
        <v>39667545</v>
      </c>
      <c r="FX30" s="121">
        <f t="shared" si="129"/>
        <v>0</v>
      </c>
      <c r="FY30" s="121">
        <f t="shared" ref="FY30:GD30" si="130">SUM(FY28:FY29)</f>
        <v>39667545</v>
      </c>
      <c r="FZ30" s="121">
        <f t="shared" si="130"/>
        <v>0</v>
      </c>
      <c r="GA30" s="121">
        <f t="shared" si="130"/>
        <v>0</v>
      </c>
      <c r="GB30" s="121">
        <f t="shared" si="130"/>
        <v>39667545</v>
      </c>
      <c r="GC30" s="121">
        <f t="shared" si="130"/>
        <v>39667545</v>
      </c>
      <c r="GD30" s="121">
        <f t="shared" si="130"/>
        <v>0</v>
      </c>
      <c r="GE30" s="121">
        <f t="shared" ref="GE30:GJ30" si="131">SUM(GE28:GE29)</f>
        <v>39667545</v>
      </c>
      <c r="GF30" s="121">
        <f t="shared" si="131"/>
        <v>0</v>
      </c>
      <c r="GG30" s="121">
        <f t="shared" si="131"/>
        <v>0</v>
      </c>
      <c r="GH30" s="121">
        <f t="shared" si="131"/>
        <v>39667545</v>
      </c>
      <c r="GI30" s="121">
        <f t="shared" si="131"/>
        <v>39667545</v>
      </c>
      <c r="GJ30" s="121">
        <f t="shared" si="131"/>
        <v>0</v>
      </c>
      <c r="GK30" s="121">
        <f t="shared" ref="GK30:GP30" si="132">SUM(GK28:GK29)</f>
        <v>39667545</v>
      </c>
      <c r="GL30" s="121">
        <f t="shared" si="132"/>
        <v>0</v>
      </c>
      <c r="GM30" s="121">
        <f t="shared" si="132"/>
        <v>0</v>
      </c>
      <c r="GN30" s="121">
        <f t="shared" si="132"/>
        <v>39667545</v>
      </c>
      <c r="GO30" s="121">
        <f t="shared" si="132"/>
        <v>39667545</v>
      </c>
      <c r="GP30" s="121">
        <f t="shared" si="132"/>
        <v>0</v>
      </c>
      <c r="GQ30" s="121">
        <f t="shared" ref="GQ30:GV30" si="133">SUM(GQ28:GQ29)</f>
        <v>39667545</v>
      </c>
      <c r="GR30" s="121">
        <f t="shared" si="133"/>
        <v>0</v>
      </c>
      <c r="GS30" s="121">
        <f t="shared" si="133"/>
        <v>0</v>
      </c>
      <c r="GT30" s="121">
        <f t="shared" si="133"/>
        <v>39667545</v>
      </c>
      <c r="GU30" s="121">
        <f t="shared" si="133"/>
        <v>39667545</v>
      </c>
      <c r="GV30" s="121">
        <f t="shared" si="133"/>
        <v>0</v>
      </c>
      <c r="GW30" s="121">
        <f t="shared" ref="GW30:HB30" si="134">SUM(GW28:GW29)</f>
        <v>41650921</v>
      </c>
      <c r="GX30" s="121">
        <f t="shared" si="134"/>
        <v>0</v>
      </c>
      <c r="GY30" s="121">
        <f t="shared" si="134"/>
        <v>0</v>
      </c>
      <c r="GZ30" s="121">
        <f t="shared" si="134"/>
        <v>41650921</v>
      </c>
      <c r="HA30" s="121">
        <f t="shared" si="134"/>
        <v>41650921</v>
      </c>
      <c r="HB30" s="121">
        <f t="shared" si="134"/>
        <v>1983376</v>
      </c>
      <c r="HC30" s="121">
        <f>SUM(HC28:HC29)</f>
        <v>2.8208299913155179</v>
      </c>
    </row>
    <row r="31" spans="1:226" x14ac:dyDescent="0.3">
      <c r="A31" s="100"/>
      <c r="B31" s="100"/>
      <c r="C31" s="100"/>
      <c r="D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100"/>
      <c r="AY31" s="127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100"/>
      <c r="BY31" s="100"/>
      <c r="BZ31" s="100"/>
      <c r="CA31" s="100"/>
      <c r="CB31" s="100"/>
      <c r="CC31" s="100"/>
      <c r="CD31" s="100"/>
      <c r="CE31" s="100"/>
      <c r="CF31" s="100"/>
      <c r="CG31" s="100"/>
      <c r="CH31" s="100"/>
      <c r="CI31" s="100"/>
      <c r="CJ31" s="100"/>
      <c r="CK31" s="100"/>
      <c r="CL31" s="100"/>
      <c r="CM31" s="100"/>
      <c r="CN31" s="100"/>
      <c r="CO31" s="100"/>
      <c r="CP31" s="100"/>
      <c r="CQ31" s="100"/>
      <c r="CR31" s="100"/>
      <c r="CS31" s="100"/>
      <c r="CT31" s="100"/>
      <c r="CU31" s="100"/>
      <c r="CV31" s="100"/>
      <c r="CW31" s="100"/>
      <c r="CX31" s="100"/>
      <c r="CY31" s="100"/>
      <c r="CZ31" s="100"/>
      <c r="DA31" s="100"/>
      <c r="DB31" s="100"/>
      <c r="DC31" s="100"/>
      <c r="DD31" s="100"/>
      <c r="DE31" s="100"/>
      <c r="DF31" s="100"/>
      <c r="DG31" s="100"/>
      <c r="DH31" s="100"/>
    </row>
    <row r="32" spans="1:226" x14ac:dyDescent="0.3">
      <c r="A32" s="100"/>
      <c r="B32" s="100"/>
      <c r="C32" s="100"/>
      <c r="D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100"/>
      <c r="AY32" s="127"/>
      <c r="AZ32" s="100"/>
      <c r="BA32" s="100"/>
      <c r="BB32" s="100"/>
      <c r="BC32" s="100"/>
      <c r="BD32" s="100"/>
      <c r="BE32" s="100"/>
      <c r="BF32" s="100"/>
      <c r="BG32" s="100"/>
      <c r="BH32" s="100"/>
      <c r="BI32" s="100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</row>
    <row r="33" spans="1:226" x14ac:dyDescent="0.3">
      <c r="A33" s="100"/>
      <c r="B33" s="100"/>
      <c r="C33" s="100"/>
      <c r="D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27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  <c r="BU33" s="100"/>
      <c r="BV33" s="100"/>
      <c r="BW33" s="100"/>
      <c r="BX33" s="100"/>
      <c r="BY33" s="100"/>
      <c r="BZ33" s="100"/>
      <c r="CA33" s="100"/>
      <c r="CB33" s="100"/>
      <c r="CC33" s="100"/>
      <c r="CD33" s="100"/>
      <c r="CE33" s="100"/>
      <c r="CF33" s="100"/>
      <c r="CG33" s="100"/>
      <c r="CH33" s="100"/>
      <c r="CI33" s="100"/>
      <c r="CJ33" s="100"/>
      <c r="CK33" s="100"/>
      <c r="CL33" s="100"/>
      <c r="CM33" s="100"/>
      <c r="CN33" s="100"/>
      <c r="CO33" s="100"/>
      <c r="CP33" s="100"/>
      <c r="CQ33" s="100"/>
      <c r="CR33" s="100"/>
      <c r="CS33" s="100"/>
      <c r="CT33" s="100"/>
      <c r="CU33" s="100"/>
      <c r="CV33" s="100"/>
      <c r="CW33" s="100"/>
      <c r="CX33" s="100"/>
      <c r="CY33" s="100"/>
      <c r="CZ33" s="100"/>
      <c r="DA33" s="100"/>
      <c r="DB33" s="100"/>
      <c r="DC33" s="100"/>
      <c r="DD33" s="100"/>
      <c r="DE33" s="100"/>
      <c r="DF33" s="100"/>
      <c r="DG33" s="100"/>
      <c r="DH33" s="100"/>
    </row>
    <row r="34" spans="1:226" x14ac:dyDescent="0.3">
      <c r="A34" s="100"/>
      <c r="B34" s="100"/>
      <c r="C34" s="100"/>
      <c r="D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0"/>
      <c r="AW34" s="100"/>
      <c r="AX34" s="100"/>
      <c r="AY34" s="127"/>
      <c r="AZ34" s="100"/>
      <c r="BA34" s="100"/>
      <c r="BB34" s="100"/>
      <c r="BC34" s="100"/>
      <c r="BD34" s="100"/>
      <c r="BE34" s="100"/>
      <c r="BF34" s="100"/>
      <c r="BG34" s="100"/>
      <c r="BH34" s="100"/>
      <c r="BI34" s="100"/>
      <c r="BJ34" s="100"/>
      <c r="BK34" s="100"/>
      <c r="BL34" s="100"/>
      <c r="BM34" s="100"/>
      <c r="BN34" s="100"/>
      <c r="BO34" s="100"/>
      <c r="BP34" s="100"/>
      <c r="BQ34" s="100"/>
      <c r="BR34" s="100"/>
      <c r="BS34" s="100"/>
      <c r="BT34" s="100"/>
      <c r="BU34" s="100"/>
      <c r="BV34" s="100"/>
      <c r="BW34" s="100"/>
      <c r="BX34" s="100"/>
      <c r="BY34" s="100"/>
      <c r="BZ34" s="100"/>
      <c r="CA34" s="100"/>
      <c r="CB34" s="100"/>
      <c r="CC34" s="100"/>
      <c r="CD34" s="100"/>
      <c r="CE34" s="100"/>
      <c r="CF34" s="100"/>
      <c r="CG34" s="100"/>
      <c r="CH34" s="100"/>
      <c r="CI34" s="100"/>
      <c r="CJ34" s="100"/>
      <c r="CK34" s="100"/>
      <c r="CL34" s="100"/>
      <c r="CM34" s="100"/>
      <c r="CN34" s="100"/>
      <c r="CO34" s="100"/>
      <c r="CP34" s="100"/>
      <c r="CQ34" s="100"/>
      <c r="CR34" s="100"/>
      <c r="CS34" s="100"/>
      <c r="CT34" s="100"/>
      <c r="CU34" s="100"/>
      <c r="CV34" s="100"/>
      <c r="CW34" s="100"/>
      <c r="CX34" s="100"/>
      <c r="CY34" s="100"/>
      <c r="CZ34" s="100"/>
      <c r="DA34" s="100"/>
      <c r="DB34" s="100"/>
      <c r="DC34" s="100"/>
      <c r="DD34" s="100"/>
      <c r="DE34" s="100"/>
      <c r="DF34" s="100"/>
      <c r="DG34" s="100"/>
      <c r="DH34" s="100"/>
    </row>
    <row r="35" spans="1:226" x14ac:dyDescent="0.3">
      <c r="A35" s="100"/>
      <c r="B35" s="100"/>
      <c r="C35" s="100"/>
      <c r="D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100"/>
      <c r="AW35" s="100"/>
      <c r="AX35" s="100"/>
      <c r="AY35" s="127"/>
      <c r="AZ35" s="100"/>
      <c r="BA35" s="100"/>
      <c r="BB35" s="100"/>
      <c r="BC35" s="100"/>
      <c r="BD35" s="100"/>
      <c r="BE35" s="100"/>
      <c r="BF35" s="100"/>
      <c r="BG35" s="100"/>
      <c r="BH35" s="100"/>
      <c r="BI35" s="100"/>
      <c r="BJ35" s="100"/>
      <c r="BK35" s="100"/>
      <c r="BL35" s="100"/>
      <c r="BM35" s="100"/>
      <c r="BN35" s="100"/>
      <c r="BO35" s="100"/>
      <c r="BP35" s="100"/>
      <c r="BQ35" s="100"/>
      <c r="BR35" s="100"/>
      <c r="BS35" s="100"/>
      <c r="BT35" s="100"/>
      <c r="BU35" s="100"/>
      <c r="BV35" s="100"/>
      <c r="BW35" s="100"/>
      <c r="BX35" s="100"/>
      <c r="BY35" s="100"/>
      <c r="BZ35" s="100"/>
      <c r="CA35" s="100"/>
      <c r="CB35" s="100"/>
      <c r="CC35" s="100"/>
      <c r="CD35" s="100"/>
      <c r="CE35" s="100"/>
      <c r="CF35" s="100"/>
      <c r="CG35" s="100"/>
      <c r="CH35" s="100"/>
      <c r="CI35" s="100"/>
      <c r="CJ35" s="100"/>
      <c r="CK35" s="100"/>
      <c r="CL35" s="100"/>
      <c r="CM35" s="100"/>
      <c r="CN35" s="100"/>
      <c r="CO35" s="100"/>
      <c r="CP35" s="100"/>
      <c r="CQ35" s="100"/>
      <c r="CR35" s="100"/>
      <c r="CS35" s="100"/>
      <c r="CT35" s="100"/>
      <c r="CU35" s="100"/>
      <c r="CV35" s="100"/>
      <c r="CW35" s="100"/>
      <c r="CX35" s="100"/>
      <c r="CY35" s="100"/>
      <c r="CZ35" s="100"/>
      <c r="DA35" s="100"/>
      <c r="DB35" s="100"/>
      <c r="DC35" s="100"/>
      <c r="DD35" s="100"/>
      <c r="DE35" s="100"/>
      <c r="DF35" s="100"/>
      <c r="DG35" s="100"/>
      <c r="DH35" s="100"/>
    </row>
    <row r="36" spans="1:226" x14ac:dyDescent="0.3">
      <c r="A36" s="100"/>
      <c r="B36" s="100"/>
      <c r="C36" s="100"/>
      <c r="D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100"/>
      <c r="AY36" s="127"/>
      <c r="AZ36" s="100"/>
      <c r="BA36" s="100"/>
      <c r="BB36" s="100"/>
      <c r="BC36" s="100"/>
      <c r="BD36" s="100"/>
      <c r="BE36" s="100"/>
      <c r="BF36" s="100"/>
      <c r="BG36" s="100"/>
      <c r="BH36" s="100"/>
      <c r="BI36" s="100"/>
      <c r="BJ36" s="100"/>
      <c r="BK36" s="100"/>
      <c r="BL36" s="100"/>
      <c r="BM36" s="100"/>
      <c r="BN36" s="100"/>
      <c r="BO36" s="100"/>
      <c r="BP36" s="100"/>
      <c r="BQ36" s="100"/>
      <c r="BR36" s="100"/>
      <c r="BS36" s="100"/>
      <c r="BT36" s="100"/>
      <c r="BU36" s="100"/>
      <c r="BV36" s="100"/>
      <c r="BW36" s="100"/>
      <c r="BX36" s="100"/>
      <c r="BY36" s="100"/>
      <c r="BZ36" s="100"/>
      <c r="CA36" s="100"/>
      <c r="CB36" s="100"/>
      <c r="CC36" s="100"/>
      <c r="CD36" s="100"/>
      <c r="CE36" s="100"/>
      <c r="CF36" s="100"/>
      <c r="CG36" s="100"/>
      <c r="CH36" s="100"/>
      <c r="CI36" s="100"/>
      <c r="CJ36" s="100"/>
      <c r="CK36" s="100"/>
      <c r="CL36" s="100"/>
      <c r="CM36" s="100"/>
      <c r="CN36" s="100"/>
      <c r="CO36" s="100"/>
      <c r="CP36" s="100"/>
      <c r="CQ36" s="100"/>
      <c r="CR36" s="100"/>
      <c r="CS36" s="100"/>
      <c r="CT36" s="100"/>
      <c r="CU36" s="100"/>
      <c r="CV36" s="100"/>
      <c r="CW36" s="100"/>
      <c r="CX36" s="100"/>
      <c r="CY36" s="100"/>
      <c r="CZ36" s="100"/>
      <c r="DA36" s="100"/>
      <c r="DB36" s="100"/>
      <c r="DC36" s="100"/>
      <c r="DD36" s="100"/>
      <c r="DE36" s="100"/>
      <c r="DF36" s="100"/>
      <c r="DG36" s="100"/>
      <c r="DH36" s="100"/>
    </row>
    <row r="37" spans="1:226" x14ac:dyDescent="0.3">
      <c r="A37" s="100"/>
      <c r="B37" s="100"/>
      <c r="C37" s="100"/>
      <c r="D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100"/>
      <c r="AY37" s="127"/>
      <c r="AZ37" s="100"/>
      <c r="BA37" s="100"/>
      <c r="BB37" s="100"/>
      <c r="BC37" s="100"/>
      <c r="BD37" s="100"/>
      <c r="BE37" s="100"/>
      <c r="BF37" s="100"/>
      <c r="BG37" s="100"/>
      <c r="BH37" s="100"/>
      <c r="BI37" s="100"/>
      <c r="BJ37" s="100"/>
      <c r="BK37" s="100"/>
      <c r="BL37" s="100"/>
      <c r="BM37" s="100"/>
      <c r="BN37" s="100"/>
      <c r="BO37" s="100"/>
      <c r="BP37" s="100"/>
      <c r="BQ37" s="100"/>
      <c r="BR37" s="100"/>
      <c r="BS37" s="100"/>
      <c r="BT37" s="100"/>
      <c r="BU37" s="100"/>
      <c r="BV37" s="100"/>
      <c r="BW37" s="100"/>
      <c r="BX37" s="100"/>
      <c r="BY37" s="100"/>
      <c r="BZ37" s="100"/>
      <c r="CA37" s="100"/>
      <c r="CB37" s="100"/>
      <c r="CC37" s="100"/>
      <c r="CD37" s="100"/>
      <c r="CE37" s="100"/>
      <c r="CF37" s="100"/>
      <c r="CG37" s="100"/>
      <c r="CH37" s="100"/>
      <c r="CI37" s="100"/>
      <c r="CJ37" s="100"/>
      <c r="CK37" s="100"/>
      <c r="CL37" s="100"/>
      <c r="CM37" s="100"/>
      <c r="CN37" s="100"/>
      <c r="CO37" s="100"/>
      <c r="CP37" s="100"/>
      <c r="CQ37" s="100"/>
      <c r="CR37" s="100"/>
      <c r="CS37" s="100"/>
      <c r="CT37" s="100"/>
      <c r="CU37" s="100"/>
      <c r="CV37" s="100"/>
      <c r="CW37" s="100"/>
      <c r="CX37" s="100"/>
      <c r="CY37" s="100"/>
      <c r="CZ37" s="100"/>
      <c r="DA37" s="100"/>
      <c r="DB37" s="100"/>
      <c r="DC37" s="100"/>
      <c r="DD37" s="100"/>
      <c r="DE37" s="100"/>
      <c r="DF37" s="100"/>
      <c r="DG37" s="100"/>
      <c r="DH37" s="100"/>
    </row>
    <row r="38" spans="1:226" s="74" customFormat="1" ht="52.5" customHeight="1" x14ac:dyDescent="0.3">
      <c r="A38" s="85" t="s">
        <v>0</v>
      </c>
      <c r="B38" s="85" t="s">
        <v>1</v>
      </c>
      <c r="C38" s="85" t="s">
        <v>217</v>
      </c>
      <c r="D38" s="86" t="s">
        <v>218</v>
      </c>
      <c r="E38" s="87" t="s">
        <v>233</v>
      </c>
      <c r="F38" s="87" t="s">
        <v>234</v>
      </c>
      <c r="G38" s="87" t="s">
        <v>235</v>
      </c>
      <c r="H38" s="87" t="s">
        <v>383</v>
      </c>
      <c r="I38" s="87" t="s">
        <v>382</v>
      </c>
      <c r="J38" s="87" t="s">
        <v>381</v>
      </c>
      <c r="K38" s="87" t="s">
        <v>380</v>
      </c>
      <c r="L38" s="87" t="s">
        <v>379</v>
      </c>
      <c r="M38" s="87" t="s">
        <v>378</v>
      </c>
      <c r="N38" s="87" t="s">
        <v>377</v>
      </c>
      <c r="O38" s="87" t="s">
        <v>394</v>
      </c>
      <c r="P38" s="87" t="s">
        <v>413</v>
      </c>
      <c r="Q38" s="87" t="s">
        <v>415</v>
      </c>
      <c r="R38" s="87" t="s">
        <v>417</v>
      </c>
      <c r="S38" s="87" t="s">
        <v>420</v>
      </c>
      <c r="T38" s="87" t="s">
        <v>421</v>
      </c>
      <c r="U38" s="87" t="s">
        <v>425</v>
      </c>
      <c r="V38" s="87" t="s">
        <v>426</v>
      </c>
      <c r="W38" s="87" t="s">
        <v>424</v>
      </c>
      <c r="X38" s="87" t="s">
        <v>437</v>
      </c>
      <c r="Y38" s="87" t="s">
        <v>439</v>
      </c>
      <c r="Z38" s="87" t="s">
        <v>447</v>
      </c>
      <c r="AA38" s="87" t="s">
        <v>458</v>
      </c>
      <c r="AB38" s="590" t="s">
        <v>459</v>
      </c>
      <c r="AC38" s="591"/>
      <c r="AD38" s="591"/>
      <c r="AE38" s="592"/>
      <c r="AF38" s="596" t="s">
        <v>462</v>
      </c>
      <c r="AG38" s="597"/>
      <c r="AH38" s="597"/>
      <c r="AI38" s="598"/>
      <c r="AJ38" s="590" t="s">
        <v>466</v>
      </c>
      <c r="AK38" s="591"/>
      <c r="AL38" s="591"/>
      <c r="AM38" s="592"/>
      <c r="AN38" s="596" t="s">
        <v>470</v>
      </c>
      <c r="AO38" s="597"/>
      <c r="AP38" s="597"/>
      <c r="AQ38" s="598"/>
      <c r="AR38" s="590" t="s">
        <v>478</v>
      </c>
      <c r="AS38" s="591"/>
      <c r="AT38" s="591"/>
      <c r="AU38" s="592"/>
      <c r="AV38" s="596" t="s">
        <v>483</v>
      </c>
      <c r="AW38" s="597"/>
      <c r="AX38" s="597"/>
      <c r="AY38" s="598"/>
      <c r="AZ38" s="436" t="s">
        <v>503</v>
      </c>
      <c r="BA38" s="436" t="s">
        <v>488</v>
      </c>
      <c r="BB38" s="436" t="s">
        <v>489</v>
      </c>
      <c r="BC38" s="436" t="s">
        <v>423</v>
      </c>
      <c r="BD38" s="436" t="s">
        <v>507</v>
      </c>
      <c r="BE38" s="436" t="s">
        <v>531</v>
      </c>
      <c r="BF38" s="437" t="s">
        <v>508</v>
      </c>
      <c r="BG38" s="437" t="s">
        <v>509</v>
      </c>
      <c r="BH38" s="590" t="s">
        <v>532</v>
      </c>
      <c r="BI38" s="591"/>
      <c r="BJ38" s="591"/>
      <c r="BK38" s="592"/>
      <c r="BL38" s="596" t="s">
        <v>539</v>
      </c>
      <c r="BM38" s="597"/>
      <c r="BN38" s="597"/>
      <c r="BO38" s="598"/>
      <c r="BP38" s="438" t="s">
        <v>538</v>
      </c>
      <c r="BQ38" s="590" t="s">
        <v>542</v>
      </c>
      <c r="BR38" s="591"/>
      <c r="BS38" s="591"/>
      <c r="BT38" s="592"/>
      <c r="BU38" s="438" t="s">
        <v>541</v>
      </c>
      <c r="BV38" s="590" t="s">
        <v>552</v>
      </c>
      <c r="BW38" s="591"/>
      <c r="BX38" s="591"/>
      <c r="BY38" s="592"/>
      <c r="BZ38" s="438" t="s">
        <v>553</v>
      </c>
      <c r="CA38" s="590" t="s">
        <v>578</v>
      </c>
      <c r="CB38" s="591"/>
      <c r="CC38" s="591"/>
      <c r="CD38" s="592"/>
      <c r="CE38" s="438" t="s">
        <v>579</v>
      </c>
      <c r="CF38" s="590" t="s">
        <v>581</v>
      </c>
      <c r="CG38" s="591"/>
      <c r="CH38" s="591"/>
      <c r="CI38" s="592"/>
      <c r="CJ38" s="438" t="s">
        <v>580</v>
      </c>
      <c r="CK38" s="590" t="s">
        <v>585</v>
      </c>
      <c r="CL38" s="591"/>
      <c r="CM38" s="591"/>
      <c r="CN38" s="592"/>
      <c r="CO38" s="438" t="s">
        <v>586</v>
      </c>
      <c r="CP38" s="590" t="s">
        <v>587</v>
      </c>
      <c r="CQ38" s="591"/>
      <c r="CR38" s="591"/>
      <c r="CS38" s="592"/>
      <c r="CT38" s="438" t="s">
        <v>588</v>
      </c>
      <c r="CU38" s="590" t="s">
        <v>590</v>
      </c>
      <c r="CV38" s="591"/>
      <c r="CW38" s="591"/>
      <c r="CX38" s="592"/>
      <c r="CY38" s="438" t="s">
        <v>592</v>
      </c>
      <c r="CZ38" s="294"/>
      <c r="DA38" s="294"/>
      <c r="DB38" s="294"/>
      <c r="DC38" s="95" t="s">
        <v>602</v>
      </c>
      <c r="DD38" s="95" t="s">
        <v>488</v>
      </c>
      <c r="DE38" s="95" t="s">
        <v>489</v>
      </c>
      <c r="DF38" s="95" t="s">
        <v>603</v>
      </c>
      <c r="DG38" s="95" t="s">
        <v>423</v>
      </c>
      <c r="DH38" s="85" t="s">
        <v>2</v>
      </c>
      <c r="DI38" s="593" t="s">
        <v>613</v>
      </c>
      <c r="DJ38" s="594"/>
      <c r="DK38" s="594"/>
      <c r="DL38" s="594"/>
      <c r="DM38" s="594"/>
      <c r="DN38" s="594"/>
      <c r="DO38" s="594"/>
      <c r="DP38" s="595"/>
      <c r="DQ38" s="584" t="s">
        <v>614</v>
      </c>
      <c r="DR38" s="585"/>
      <c r="DS38" s="585"/>
      <c r="DT38" s="585"/>
      <c r="DU38" s="586"/>
      <c r="DV38" s="87" t="s">
        <v>615</v>
      </c>
      <c r="DW38" s="584" t="s">
        <v>623</v>
      </c>
      <c r="DX38" s="585"/>
      <c r="DY38" s="585"/>
      <c r="DZ38" s="585"/>
      <c r="EA38" s="586"/>
      <c r="EB38" s="87" t="s">
        <v>624</v>
      </c>
      <c r="EC38" s="584" t="s">
        <v>627</v>
      </c>
      <c r="ED38" s="585"/>
      <c r="EE38" s="585"/>
      <c r="EF38" s="585"/>
      <c r="EG38" s="586"/>
      <c r="EH38" s="87" t="s">
        <v>628</v>
      </c>
      <c r="EI38" s="584" t="s">
        <v>631</v>
      </c>
      <c r="EJ38" s="585"/>
      <c r="EK38" s="585"/>
      <c r="EL38" s="585"/>
      <c r="EM38" s="586"/>
      <c r="EN38" s="87" t="s">
        <v>632</v>
      </c>
      <c r="EO38" s="584" t="s">
        <v>638</v>
      </c>
      <c r="EP38" s="585"/>
      <c r="EQ38" s="585"/>
      <c r="ER38" s="585"/>
      <c r="ES38" s="586"/>
      <c r="ET38" s="87" t="s">
        <v>637</v>
      </c>
      <c r="EU38" s="584" t="s">
        <v>641</v>
      </c>
      <c r="EV38" s="585"/>
      <c r="EW38" s="585"/>
      <c r="EX38" s="585"/>
      <c r="EY38" s="586"/>
      <c r="EZ38" s="87" t="s">
        <v>642</v>
      </c>
      <c r="FA38" s="584" t="s">
        <v>645</v>
      </c>
      <c r="FB38" s="585"/>
      <c r="FC38" s="585"/>
      <c r="FD38" s="585"/>
      <c r="FE38" s="586"/>
      <c r="FF38" s="87" t="s">
        <v>646</v>
      </c>
      <c r="FG38" s="584" t="s">
        <v>653</v>
      </c>
      <c r="FH38" s="585"/>
      <c r="FI38" s="585"/>
      <c r="FJ38" s="585"/>
      <c r="FK38" s="586"/>
      <c r="FL38" s="87" t="s">
        <v>654</v>
      </c>
      <c r="FM38" s="584" t="s">
        <v>662</v>
      </c>
      <c r="FN38" s="585"/>
      <c r="FO38" s="585"/>
      <c r="FP38" s="585"/>
      <c r="FQ38" s="586"/>
      <c r="FR38" s="87" t="s">
        <v>657</v>
      </c>
      <c r="FS38" s="584" t="s">
        <v>661</v>
      </c>
      <c r="FT38" s="585"/>
      <c r="FU38" s="585"/>
      <c r="FV38" s="585"/>
      <c r="FW38" s="586"/>
      <c r="FX38" s="87" t="s">
        <v>663</v>
      </c>
      <c r="FY38" s="584" t="s">
        <v>665</v>
      </c>
      <c r="FZ38" s="585"/>
      <c r="GA38" s="585"/>
      <c r="GB38" s="585"/>
      <c r="GC38" s="586"/>
      <c r="GD38" s="87" t="s">
        <v>666</v>
      </c>
      <c r="GE38" s="584" t="s">
        <v>668</v>
      </c>
      <c r="GF38" s="585"/>
      <c r="GG38" s="585"/>
      <c r="GH38" s="585"/>
      <c r="GI38" s="586"/>
      <c r="GJ38" s="87" t="s">
        <v>669</v>
      </c>
      <c r="GK38" s="584" t="s">
        <v>671</v>
      </c>
      <c r="GL38" s="585"/>
      <c r="GM38" s="585"/>
      <c r="GN38" s="585"/>
      <c r="GO38" s="586"/>
      <c r="GP38" s="87" t="s">
        <v>672</v>
      </c>
      <c r="GQ38" s="584" t="s">
        <v>674</v>
      </c>
      <c r="GR38" s="585"/>
      <c r="GS38" s="585"/>
      <c r="GT38" s="585"/>
      <c r="GU38" s="586"/>
      <c r="GV38" s="87" t="s">
        <v>675</v>
      </c>
      <c r="GW38" s="584" t="s">
        <v>696</v>
      </c>
      <c r="GX38" s="585"/>
      <c r="GY38" s="585"/>
      <c r="GZ38" s="585"/>
      <c r="HA38" s="586"/>
      <c r="HB38" s="87" t="s">
        <v>697</v>
      </c>
      <c r="HC38" s="85" t="s">
        <v>2</v>
      </c>
      <c r="HD38" s="6"/>
      <c r="HE38" s="587" t="s">
        <v>678</v>
      </c>
      <c r="HF38" s="588"/>
      <c r="HG38" s="588"/>
      <c r="HH38" s="588"/>
      <c r="HI38" s="589"/>
      <c r="HJ38" s="85" t="s">
        <v>2</v>
      </c>
      <c r="HK38" s="593" t="s">
        <v>698</v>
      </c>
      <c r="HL38" s="594"/>
      <c r="HM38" s="594"/>
      <c r="HN38" s="594"/>
      <c r="HO38" s="594"/>
      <c r="HP38" s="594"/>
      <c r="HQ38" s="594"/>
      <c r="HR38" s="594"/>
    </row>
    <row r="39" spans="1:226" s="74" customFormat="1" ht="30.6" x14ac:dyDescent="0.3">
      <c r="A39" s="85"/>
      <c r="B39" s="446" t="s">
        <v>3</v>
      </c>
      <c r="C39" s="441"/>
      <c r="D39" s="442"/>
      <c r="E39" s="87"/>
      <c r="F39" s="87"/>
      <c r="G39" s="87"/>
      <c r="H39" s="88"/>
      <c r="I39" s="88"/>
      <c r="J39" s="294"/>
      <c r="K39" s="88"/>
      <c r="L39" s="87"/>
      <c r="M39" s="87"/>
      <c r="N39" s="87"/>
      <c r="O39" s="294"/>
      <c r="P39" s="294"/>
      <c r="Q39" s="294"/>
      <c r="R39" s="294"/>
      <c r="S39" s="294"/>
      <c r="T39" s="294"/>
      <c r="U39" s="294"/>
      <c r="V39" s="294"/>
      <c r="W39" s="294"/>
      <c r="X39" s="294"/>
      <c r="Y39" s="294"/>
      <c r="Z39" s="294"/>
      <c r="AA39" s="294"/>
      <c r="AB39" s="112" t="s">
        <v>234</v>
      </c>
      <c r="AC39" s="112" t="s">
        <v>454</v>
      </c>
      <c r="AD39" s="112" t="s">
        <v>455</v>
      </c>
      <c r="AE39" s="112" t="s">
        <v>456</v>
      </c>
      <c r="AF39" s="14" t="s">
        <v>234</v>
      </c>
      <c r="AG39" s="14" t="s">
        <v>454</v>
      </c>
      <c r="AH39" s="14" t="s">
        <v>455</v>
      </c>
      <c r="AI39" s="14" t="s">
        <v>456</v>
      </c>
      <c r="AJ39" s="112" t="s">
        <v>234</v>
      </c>
      <c r="AK39" s="112" t="s">
        <v>454</v>
      </c>
      <c r="AL39" s="112" t="s">
        <v>455</v>
      </c>
      <c r="AM39" s="112" t="s">
        <v>456</v>
      </c>
      <c r="AN39" s="14" t="s">
        <v>234</v>
      </c>
      <c r="AO39" s="14" t="s">
        <v>454</v>
      </c>
      <c r="AP39" s="14" t="s">
        <v>455</v>
      </c>
      <c r="AQ39" s="14" t="s">
        <v>456</v>
      </c>
      <c r="AR39" s="112" t="s">
        <v>234</v>
      </c>
      <c r="AS39" s="112" t="s">
        <v>454</v>
      </c>
      <c r="AT39" s="112" t="s">
        <v>455</v>
      </c>
      <c r="AU39" s="112" t="s">
        <v>456</v>
      </c>
      <c r="AV39" s="14" t="s">
        <v>234</v>
      </c>
      <c r="AW39" s="14" t="s">
        <v>454</v>
      </c>
      <c r="AX39" s="14" t="s">
        <v>455</v>
      </c>
      <c r="AY39" s="14" t="s">
        <v>456</v>
      </c>
      <c r="AZ39" s="443"/>
      <c r="BA39" s="443"/>
      <c r="BB39" s="443"/>
      <c r="BC39" s="443"/>
      <c r="BD39" s="443"/>
      <c r="BE39" s="443"/>
      <c r="BF39" s="444"/>
      <c r="BG39" s="444"/>
      <c r="BH39" s="112" t="s">
        <v>234</v>
      </c>
      <c r="BI39" s="112" t="s">
        <v>454</v>
      </c>
      <c r="BJ39" s="112" t="s">
        <v>455</v>
      </c>
      <c r="BK39" s="112" t="s">
        <v>456</v>
      </c>
      <c r="BL39" s="14" t="s">
        <v>234</v>
      </c>
      <c r="BM39" s="14" t="s">
        <v>454</v>
      </c>
      <c r="BN39" s="14" t="s">
        <v>455</v>
      </c>
      <c r="BO39" s="14" t="s">
        <v>456</v>
      </c>
      <c r="BP39" s="445"/>
      <c r="BQ39" s="112" t="s">
        <v>234</v>
      </c>
      <c r="BR39" s="112" t="s">
        <v>454</v>
      </c>
      <c r="BS39" s="112" t="s">
        <v>455</v>
      </c>
      <c r="BT39" s="112" t="s">
        <v>456</v>
      </c>
      <c r="BU39" s="445"/>
      <c r="BV39" s="112" t="s">
        <v>234</v>
      </c>
      <c r="BW39" s="112" t="s">
        <v>454</v>
      </c>
      <c r="BX39" s="112" t="s">
        <v>455</v>
      </c>
      <c r="BY39" s="112" t="s">
        <v>456</v>
      </c>
      <c r="BZ39" s="445"/>
      <c r="CA39" s="112" t="s">
        <v>234</v>
      </c>
      <c r="CB39" s="112" t="s">
        <v>454</v>
      </c>
      <c r="CC39" s="112" t="s">
        <v>455</v>
      </c>
      <c r="CD39" s="112" t="s">
        <v>456</v>
      </c>
      <c r="CE39" s="445"/>
      <c r="CF39" s="112" t="s">
        <v>234</v>
      </c>
      <c r="CG39" s="112" t="s">
        <v>454</v>
      </c>
      <c r="CH39" s="112" t="s">
        <v>455</v>
      </c>
      <c r="CI39" s="112" t="s">
        <v>456</v>
      </c>
      <c r="CJ39" s="445"/>
      <c r="CK39" s="112" t="s">
        <v>234</v>
      </c>
      <c r="CL39" s="112" t="s">
        <v>454</v>
      </c>
      <c r="CM39" s="112" t="s">
        <v>455</v>
      </c>
      <c r="CN39" s="112" t="s">
        <v>456</v>
      </c>
      <c r="CO39" s="445"/>
      <c r="CP39" s="112" t="s">
        <v>234</v>
      </c>
      <c r="CQ39" s="112" t="s">
        <v>454</v>
      </c>
      <c r="CR39" s="112" t="s">
        <v>455</v>
      </c>
      <c r="CS39" s="112" t="s">
        <v>456</v>
      </c>
      <c r="CT39" s="445"/>
      <c r="CU39" s="112" t="s">
        <v>234</v>
      </c>
      <c r="CV39" s="112" t="s">
        <v>454</v>
      </c>
      <c r="CW39" s="112" t="s">
        <v>455</v>
      </c>
      <c r="CX39" s="112" t="s">
        <v>456</v>
      </c>
      <c r="CY39" s="445"/>
      <c r="CZ39" s="295"/>
      <c r="DA39" s="295"/>
      <c r="DB39" s="295"/>
      <c r="DC39" s="95" t="s">
        <v>602</v>
      </c>
      <c r="DD39" s="95" t="s">
        <v>488</v>
      </c>
      <c r="DE39" s="95" t="s">
        <v>489</v>
      </c>
      <c r="DF39" s="95" t="s">
        <v>603</v>
      </c>
      <c r="DG39" s="95" t="s">
        <v>423</v>
      </c>
      <c r="DH39" s="89"/>
      <c r="DI39" s="90" t="s">
        <v>604</v>
      </c>
      <c r="DJ39" s="91" t="s">
        <v>605</v>
      </c>
      <c r="DK39" s="92" t="s">
        <v>606</v>
      </c>
      <c r="DL39" s="92" t="s">
        <v>607</v>
      </c>
      <c r="DM39" s="91" t="s">
        <v>608</v>
      </c>
      <c r="DN39" s="91" t="s">
        <v>609</v>
      </c>
      <c r="DO39" s="91" t="s">
        <v>611</v>
      </c>
      <c r="DP39" s="91" t="s">
        <v>610</v>
      </c>
      <c r="DQ39" s="112" t="s">
        <v>234</v>
      </c>
      <c r="DR39" s="112" t="s">
        <v>454</v>
      </c>
      <c r="DS39" s="112" t="s">
        <v>455</v>
      </c>
      <c r="DT39" s="93" t="s">
        <v>456</v>
      </c>
      <c r="DU39" s="94" t="s">
        <v>457</v>
      </c>
      <c r="DV39" s="87"/>
      <c r="DW39" s="112" t="s">
        <v>234</v>
      </c>
      <c r="DX39" s="112" t="s">
        <v>454</v>
      </c>
      <c r="DY39" s="112" t="s">
        <v>455</v>
      </c>
      <c r="DZ39" s="93" t="s">
        <v>456</v>
      </c>
      <c r="EA39" s="94" t="s">
        <v>457</v>
      </c>
      <c r="EB39" s="87"/>
      <c r="EC39" s="112" t="s">
        <v>234</v>
      </c>
      <c r="ED39" s="112" t="s">
        <v>454</v>
      </c>
      <c r="EE39" s="112" t="s">
        <v>455</v>
      </c>
      <c r="EF39" s="93" t="s">
        <v>456</v>
      </c>
      <c r="EG39" s="94" t="s">
        <v>457</v>
      </c>
      <c r="EH39" s="87"/>
      <c r="EI39" s="112" t="s">
        <v>234</v>
      </c>
      <c r="EJ39" s="112" t="s">
        <v>454</v>
      </c>
      <c r="EK39" s="112" t="s">
        <v>455</v>
      </c>
      <c r="EL39" s="93" t="s">
        <v>456</v>
      </c>
      <c r="EM39" s="94" t="s">
        <v>457</v>
      </c>
      <c r="EN39" s="87"/>
      <c r="EO39" s="112" t="s">
        <v>234</v>
      </c>
      <c r="EP39" s="112" t="s">
        <v>454</v>
      </c>
      <c r="EQ39" s="112" t="s">
        <v>455</v>
      </c>
      <c r="ER39" s="93" t="s">
        <v>456</v>
      </c>
      <c r="ES39" s="94" t="s">
        <v>457</v>
      </c>
      <c r="ET39" s="87"/>
      <c r="EU39" s="112" t="s">
        <v>234</v>
      </c>
      <c r="EV39" s="112" t="s">
        <v>454</v>
      </c>
      <c r="EW39" s="112" t="s">
        <v>455</v>
      </c>
      <c r="EX39" s="93" t="s">
        <v>456</v>
      </c>
      <c r="EY39" s="94" t="s">
        <v>457</v>
      </c>
      <c r="EZ39" s="87"/>
      <c r="FA39" s="112" t="s">
        <v>234</v>
      </c>
      <c r="FB39" s="112" t="s">
        <v>454</v>
      </c>
      <c r="FC39" s="112" t="s">
        <v>455</v>
      </c>
      <c r="FD39" s="93" t="s">
        <v>456</v>
      </c>
      <c r="FE39" s="94" t="s">
        <v>457</v>
      </c>
      <c r="FF39" s="87"/>
      <c r="FG39" s="112" t="s">
        <v>234</v>
      </c>
      <c r="FH39" s="112" t="s">
        <v>454</v>
      </c>
      <c r="FI39" s="112" t="s">
        <v>455</v>
      </c>
      <c r="FJ39" s="93" t="s">
        <v>456</v>
      </c>
      <c r="FK39" s="94" t="s">
        <v>457</v>
      </c>
      <c r="FL39" s="87"/>
      <c r="FM39" s="112" t="s">
        <v>234</v>
      </c>
      <c r="FN39" s="112" t="s">
        <v>454</v>
      </c>
      <c r="FO39" s="112" t="s">
        <v>455</v>
      </c>
      <c r="FP39" s="93" t="s">
        <v>456</v>
      </c>
      <c r="FQ39" s="94" t="s">
        <v>457</v>
      </c>
      <c r="FR39" s="87"/>
      <c r="FS39" s="112" t="s">
        <v>234</v>
      </c>
      <c r="FT39" s="112" t="s">
        <v>454</v>
      </c>
      <c r="FU39" s="112" t="s">
        <v>455</v>
      </c>
      <c r="FV39" s="93" t="s">
        <v>456</v>
      </c>
      <c r="FW39" s="94" t="s">
        <v>457</v>
      </c>
      <c r="FX39" s="87"/>
      <c r="FY39" s="112" t="s">
        <v>234</v>
      </c>
      <c r="FZ39" s="112" t="s">
        <v>454</v>
      </c>
      <c r="GA39" s="112" t="s">
        <v>455</v>
      </c>
      <c r="GB39" s="93" t="s">
        <v>456</v>
      </c>
      <c r="GC39" s="94" t="s">
        <v>457</v>
      </c>
      <c r="GD39" s="87"/>
      <c r="GE39" s="112" t="s">
        <v>234</v>
      </c>
      <c r="GF39" s="112" t="s">
        <v>454</v>
      </c>
      <c r="GG39" s="112" t="s">
        <v>455</v>
      </c>
      <c r="GH39" s="93" t="s">
        <v>456</v>
      </c>
      <c r="GI39" s="94" t="s">
        <v>457</v>
      </c>
      <c r="GJ39" s="87"/>
      <c r="GK39" s="112" t="s">
        <v>234</v>
      </c>
      <c r="GL39" s="112" t="s">
        <v>454</v>
      </c>
      <c r="GM39" s="112" t="s">
        <v>455</v>
      </c>
      <c r="GN39" s="93" t="s">
        <v>456</v>
      </c>
      <c r="GO39" s="94" t="s">
        <v>457</v>
      </c>
      <c r="GP39" s="87"/>
      <c r="GQ39" s="112" t="s">
        <v>234</v>
      </c>
      <c r="GR39" s="112" t="s">
        <v>454</v>
      </c>
      <c r="GS39" s="112" t="s">
        <v>455</v>
      </c>
      <c r="GT39" s="93" t="s">
        <v>456</v>
      </c>
      <c r="GU39" s="94" t="s">
        <v>457</v>
      </c>
      <c r="GV39" s="87"/>
      <c r="GW39" s="112" t="s">
        <v>234</v>
      </c>
      <c r="GX39" s="112" t="s">
        <v>454</v>
      </c>
      <c r="GY39" s="112" t="s">
        <v>455</v>
      </c>
      <c r="GZ39" s="93" t="s">
        <v>456</v>
      </c>
      <c r="HA39" s="94" t="s">
        <v>457</v>
      </c>
      <c r="HB39" s="87"/>
      <c r="HC39" s="85"/>
      <c r="HD39" s="6"/>
      <c r="HE39" s="95" t="s">
        <v>679</v>
      </c>
      <c r="HF39" s="95" t="s">
        <v>488</v>
      </c>
      <c r="HG39" s="220" t="s">
        <v>489</v>
      </c>
      <c r="HH39" s="95" t="s">
        <v>603</v>
      </c>
      <c r="HI39" s="95" t="s">
        <v>423</v>
      </c>
      <c r="HJ39" s="85"/>
      <c r="HK39" s="90" t="s">
        <v>680</v>
      </c>
      <c r="HL39" s="91" t="s">
        <v>681</v>
      </c>
      <c r="HM39" s="92" t="s">
        <v>606</v>
      </c>
      <c r="HN39" s="92" t="s">
        <v>607</v>
      </c>
      <c r="HO39" s="91" t="s">
        <v>608</v>
      </c>
      <c r="HP39" s="91" t="s">
        <v>609</v>
      </c>
      <c r="HQ39" s="92" t="s">
        <v>456</v>
      </c>
      <c r="HR39" s="91" t="s">
        <v>610</v>
      </c>
    </row>
    <row r="40" spans="1:226" x14ac:dyDescent="0.3">
      <c r="A40" s="310">
        <v>1</v>
      </c>
      <c r="B40" s="104" t="s">
        <v>3</v>
      </c>
      <c r="C40" s="310" t="s">
        <v>237</v>
      </c>
      <c r="D40" s="2" t="s">
        <v>4</v>
      </c>
      <c r="E40" s="9" t="s">
        <v>238</v>
      </c>
      <c r="F40" s="9" t="s">
        <v>238</v>
      </c>
      <c r="G40" s="9" t="s">
        <v>238</v>
      </c>
      <c r="H40" s="26"/>
      <c r="I40" s="26"/>
      <c r="J40" s="319" t="s">
        <v>238</v>
      </c>
      <c r="K40" s="26"/>
      <c r="L40" s="324">
        <v>0</v>
      </c>
      <c r="M40" s="23">
        <v>0</v>
      </c>
      <c r="N40" s="23">
        <v>0</v>
      </c>
      <c r="O40" s="298">
        <v>0</v>
      </c>
      <c r="P40" s="298">
        <v>0</v>
      </c>
      <c r="Q40" s="298">
        <v>0</v>
      </c>
      <c r="R40" s="298">
        <v>0</v>
      </c>
      <c r="S40" s="298">
        <v>0</v>
      </c>
      <c r="T40" s="298">
        <v>0</v>
      </c>
      <c r="U40" s="298">
        <f>T40*5%</f>
        <v>0</v>
      </c>
      <c r="V40" s="298">
        <f>T40+U40</f>
        <v>0</v>
      </c>
      <c r="W40" s="298">
        <v>0</v>
      </c>
      <c r="X40" s="298">
        <v>0</v>
      </c>
      <c r="Y40" s="298">
        <v>0</v>
      </c>
      <c r="Z40" s="298">
        <v>0</v>
      </c>
      <c r="AA40" s="298">
        <v>0</v>
      </c>
      <c r="AB40" s="9">
        <v>0</v>
      </c>
      <c r="AC40" s="9">
        <v>0</v>
      </c>
      <c r="AD40" s="9">
        <v>0</v>
      </c>
      <c r="AE40" s="298">
        <f>AD40+AC40+AB40</f>
        <v>0</v>
      </c>
      <c r="AF40" s="9">
        <v>0</v>
      </c>
      <c r="AG40" s="9">
        <v>0</v>
      </c>
      <c r="AH40" s="9">
        <v>0</v>
      </c>
      <c r="AI40" s="298">
        <f>AH40+AG40+AF40</f>
        <v>0</v>
      </c>
      <c r="AJ40" s="9">
        <v>0</v>
      </c>
      <c r="AK40" s="9">
        <v>0</v>
      </c>
      <c r="AL40" s="9">
        <v>0</v>
      </c>
      <c r="AM40" s="298">
        <f>AL40+AK40+AJ40</f>
        <v>0</v>
      </c>
      <c r="AN40" s="9">
        <v>0</v>
      </c>
      <c r="AO40" s="9">
        <v>0</v>
      </c>
      <c r="AP40" s="9">
        <v>0</v>
      </c>
      <c r="AQ40" s="298">
        <f>AP40+AO40+AN40</f>
        <v>0</v>
      </c>
      <c r="AR40" s="9">
        <v>0</v>
      </c>
      <c r="AS40" s="9">
        <v>0</v>
      </c>
      <c r="AT40" s="9">
        <v>0</v>
      </c>
      <c r="AU40" s="298">
        <f>AT40+AS40+AR40</f>
        <v>0</v>
      </c>
      <c r="AV40" s="9">
        <v>0</v>
      </c>
      <c r="AW40" s="9">
        <v>0</v>
      </c>
      <c r="AX40" s="9">
        <v>0</v>
      </c>
      <c r="AY40" s="298">
        <f>AX40+AW40+AV40</f>
        <v>0</v>
      </c>
      <c r="AZ40" s="8">
        <f>AY40*5%</f>
        <v>0</v>
      </c>
      <c r="BA40" s="8"/>
      <c r="BB40" s="8">
        <f>AZ40-BA40</f>
        <v>0</v>
      </c>
      <c r="BC40" s="8">
        <f>BB40+AY40</f>
        <v>0</v>
      </c>
      <c r="BD40" s="8"/>
      <c r="BE40" s="8">
        <f>BD40+BC40</f>
        <v>0</v>
      </c>
      <c r="BF40" s="10">
        <f>BE40-AY40</f>
        <v>0</v>
      </c>
      <c r="BG40" s="10">
        <f>BF40-BB40</f>
        <v>0</v>
      </c>
      <c r="BH40" s="324">
        <v>0</v>
      </c>
      <c r="BI40" s="324">
        <v>0</v>
      </c>
      <c r="BJ40" s="324">
        <v>0</v>
      </c>
      <c r="BK40" s="324">
        <f>BJ40+BI40+BH40</f>
        <v>0</v>
      </c>
      <c r="BL40" s="324">
        <v>0</v>
      </c>
      <c r="BM40" s="319">
        <v>0</v>
      </c>
      <c r="BN40" s="319">
        <v>0</v>
      </c>
      <c r="BO40" s="319">
        <f>BN40+BM40+BL40</f>
        <v>0</v>
      </c>
      <c r="BP40" s="324">
        <f>BK40-BE40</f>
        <v>0</v>
      </c>
      <c r="BQ40" s="324">
        <v>0</v>
      </c>
      <c r="BR40" s="319">
        <v>0</v>
      </c>
      <c r="BS40" s="319">
        <v>0</v>
      </c>
      <c r="BT40" s="324">
        <f>BS40+BR40+BQ40</f>
        <v>0</v>
      </c>
      <c r="BU40" s="324">
        <f>BT40-BO40</f>
        <v>0</v>
      </c>
      <c r="BV40" s="324">
        <v>0</v>
      </c>
      <c r="BW40" s="324">
        <v>0</v>
      </c>
      <c r="BX40" s="324">
        <v>0</v>
      </c>
      <c r="BY40" s="324">
        <f>BX40+BW40+BV40</f>
        <v>0</v>
      </c>
      <c r="BZ40" s="324">
        <f>BY40-BT40</f>
        <v>0</v>
      </c>
      <c r="CA40" s="324">
        <v>0</v>
      </c>
      <c r="CB40" s="324">
        <v>0</v>
      </c>
      <c r="CC40" s="324">
        <v>0</v>
      </c>
      <c r="CD40" s="324">
        <f>CC40+CB40+CA40</f>
        <v>0</v>
      </c>
      <c r="CE40" s="324">
        <f>CD40-BY40</f>
        <v>0</v>
      </c>
      <c r="CF40" s="324">
        <v>0</v>
      </c>
      <c r="CG40" s="319">
        <v>0</v>
      </c>
      <c r="CH40" s="319">
        <v>0</v>
      </c>
      <c r="CI40" s="324">
        <f>CH40+CG40+CF40</f>
        <v>0</v>
      </c>
      <c r="CJ40" s="324">
        <f>CI40-CD40</f>
        <v>0</v>
      </c>
      <c r="CK40" s="324">
        <v>0</v>
      </c>
      <c r="CL40" s="319">
        <v>0</v>
      </c>
      <c r="CM40" s="319">
        <v>0</v>
      </c>
      <c r="CN40" s="324">
        <f>CM40+CL40+CK40</f>
        <v>0</v>
      </c>
      <c r="CO40" s="324">
        <f>CN40-CI40</f>
        <v>0</v>
      </c>
      <c r="CP40" s="324">
        <v>0</v>
      </c>
      <c r="CQ40" s="319">
        <v>0</v>
      </c>
      <c r="CR40" s="319">
        <v>0</v>
      </c>
      <c r="CS40" s="324">
        <f>CR40+CQ40+CP40</f>
        <v>0</v>
      </c>
      <c r="CT40" s="324">
        <f>CS40-CN40</f>
        <v>0</v>
      </c>
      <c r="CU40" s="324">
        <v>0</v>
      </c>
      <c r="CV40" s="324">
        <v>0</v>
      </c>
      <c r="CW40" s="324">
        <v>0</v>
      </c>
      <c r="CX40" s="324">
        <f>CW40+CV40+CU40</f>
        <v>0</v>
      </c>
      <c r="CY40" s="324">
        <f>CX40-CS40</f>
        <v>0</v>
      </c>
      <c r="CZ40" s="324"/>
      <c r="DA40" s="324"/>
      <c r="DB40" s="324"/>
      <c r="DC40" s="12">
        <f>CX40*10%</f>
        <v>0</v>
      </c>
      <c r="DD40" s="12">
        <v>0</v>
      </c>
      <c r="DE40" s="13">
        <f>DC40-DD40</f>
        <v>0</v>
      </c>
      <c r="DF40" s="14">
        <f>DE40:DE40</f>
        <v>0</v>
      </c>
      <c r="DG40" s="13">
        <f>DE40+CX40</f>
        <v>0</v>
      </c>
      <c r="DH40" s="15">
        <f>100/1278396949*CX40</f>
        <v>0</v>
      </c>
      <c r="DI40" s="16">
        <f>CX40</f>
        <v>0</v>
      </c>
      <c r="DJ40" s="132">
        <f>DI40*1.1</f>
        <v>0</v>
      </c>
      <c r="DK40" s="17">
        <f>DJ40-DI40</f>
        <v>0</v>
      </c>
      <c r="DL40" s="17">
        <f>DD40</f>
        <v>0</v>
      </c>
      <c r="DM40" s="16">
        <f>DK40-DL40</f>
        <v>0</v>
      </c>
      <c r="DN40" s="16">
        <f>DM40-DE40</f>
        <v>0</v>
      </c>
      <c r="DO40" s="16">
        <f>DM40+DI40</f>
        <v>0</v>
      </c>
      <c r="DP40" s="16">
        <f>DO40-DG40</f>
        <v>0</v>
      </c>
      <c r="DQ40" s="9">
        <v>0</v>
      </c>
      <c r="DR40" s="18" t="s">
        <v>238</v>
      </c>
      <c r="DS40" s="18" t="s">
        <v>238</v>
      </c>
      <c r="DT40" s="324">
        <f>DQ40+DR40+DS40</f>
        <v>0</v>
      </c>
      <c r="DU40" s="321">
        <f>DT40</f>
        <v>0</v>
      </c>
      <c r="DV40" s="19">
        <f>DT40-DG40</f>
        <v>0</v>
      </c>
      <c r="DW40" s="9"/>
      <c r="DX40" s="18"/>
      <c r="DY40" s="18"/>
      <c r="DZ40" s="324">
        <f>DW40+DX40+DY40</f>
        <v>0</v>
      </c>
      <c r="EA40" s="321">
        <f>DZ40</f>
        <v>0</v>
      </c>
      <c r="EB40" s="179">
        <f>DZ40-DT40</f>
        <v>0</v>
      </c>
      <c r="EC40" s="9">
        <v>0</v>
      </c>
      <c r="ED40" s="18" t="s">
        <v>238</v>
      </c>
      <c r="EE40" s="18" t="s">
        <v>238</v>
      </c>
      <c r="EF40" s="324">
        <f>EC40+ED40+EE40</f>
        <v>0</v>
      </c>
      <c r="EG40" s="321">
        <f>EF40</f>
        <v>0</v>
      </c>
      <c r="EH40" s="179">
        <f>EF40-DZ40</f>
        <v>0</v>
      </c>
      <c r="EI40" s="9">
        <v>0</v>
      </c>
      <c r="EJ40" s="18" t="s">
        <v>238</v>
      </c>
      <c r="EK40" s="18" t="s">
        <v>238</v>
      </c>
      <c r="EL40" s="324">
        <f>EI40+EJ40+EK40</f>
        <v>0</v>
      </c>
      <c r="EM40" s="321">
        <f>EL40</f>
        <v>0</v>
      </c>
      <c r="EN40" s="179">
        <f>EL40-EF40</f>
        <v>0</v>
      </c>
      <c r="EO40" s="9">
        <v>0</v>
      </c>
      <c r="EP40" s="18" t="s">
        <v>238</v>
      </c>
      <c r="EQ40" s="18" t="s">
        <v>238</v>
      </c>
      <c r="ER40" s="324">
        <f>EO40+EP40+EQ40</f>
        <v>0</v>
      </c>
      <c r="ES40" s="321">
        <f>ER40</f>
        <v>0</v>
      </c>
      <c r="ET40" s="179">
        <f>ER40-EL40</f>
        <v>0</v>
      </c>
      <c r="EU40" s="9">
        <v>0</v>
      </c>
      <c r="EV40" s="18" t="s">
        <v>238</v>
      </c>
      <c r="EW40" s="18" t="s">
        <v>238</v>
      </c>
      <c r="EX40" s="324">
        <f>EU40+EV40+EW40</f>
        <v>0</v>
      </c>
      <c r="EY40" s="321">
        <f>EX40</f>
        <v>0</v>
      </c>
      <c r="EZ40" s="179">
        <f>EX40-ER40</f>
        <v>0</v>
      </c>
      <c r="FA40" s="9">
        <v>0</v>
      </c>
      <c r="FB40" s="18" t="s">
        <v>238</v>
      </c>
      <c r="FC40" s="18" t="s">
        <v>238</v>
      </c>
      <c r="FD40" s="324">
        <f>FA40+FB40+FC40</f>
        <v>0</v>
      </c>
      <c r="FE40" s="321">
        <f>FD40</f>
        <v>0</v>
      </c>
      <c r="FF40" s="179">
        <f>FD40-EX40</f>
        <v>0</v>
      </c>
      <c r="FG40" s="9">
        <v>0</v>
      </c>
      <c r="FH40" s="18" t="s">
        <v>238</v>
      </c>
      <c r="FI40" s="18" t="s">
        <v>238</v>
      </c>
      <c r="FJ40" s="324">
        <f>FG40+FH40+FI40</f>
        <v>0</v>
      </c>
      <c r="FK40" s="321">
        <f>FJ40</f>
        <v>0</v>
      </c>
      <c r="FL40" s="179">
        <f>FJ40-FD40</f>
        <v>0</v>
      </c>
      <c r="FM40" s="9">
        <v>0</v>
      </c>
      <c r="FN40" s="9">
        <v>0</v>
      </c>
      <c r="FO40" s="9">
        <v>0</v>
      </c>
      <c r="FP40" s="324">
        <f>FM40+FN40+FO40</f>
        <v>0</v>
      </c>
      <c r="FQ40" s="321">
        <f>FP40</f>
        <v>0</v>
      </c>
      <c r="FR40" s="179">
        <f>FP40-FJ40</f>
        <v>0</v>
      </c>
      <c r="FS40" s="9">
        <v>0</v>
      </c>
      <c r="FT40" s="9">
        <v>0</v>
      </c>
      <c r="FU40" s="9">
        <v>0</v>
      </c>
      <c r="FV40" s="324">
        <f>FS40+FT40+FU40</f>
        <v>0</v>
      </c>
      <c r="FW40" s="321">
        <f>FV40</f>
        <v>0</v>
      </c>
      <c r="FX40" s="179">
        <f>FV40-FP40</f>
        <v>0</v>
      </c>
      <c r="FY40" s="9">
        <v>0</v>
      </c>
      <c r="FZ40" s="9">
        <v>0</v>
      </c>
      <c r="GA40" s="9">
        <v>0</v>
      </c>
      <c r="GB40" s="324">
        <f>FY40+FZ40+GA40</f>
        <v>0</v>
      </c>
      <c r="GC40" s="321">
        <f>GB40</f>
        <v>0</v>
      </c>
      <c r="GD40" s="179">
        <f>GB40-FV40</f>
        <v>0</v>
      </c>
      <c r="GE40" s="9">
        <v>0</v>
      </c>
      <c r="GF40" s="9">
        <v>0</v>
      </c>
      <c r="GG40" s="9">
        <v>0</v>
      </c>
      <c r="GH40" s="324">
        <f>GE40+GF40+GG40</f>
        <v>0</v>
      </c>
      <c r="GI40" s="321">
        <f>GH40</f>
        <v>0</v>
      </c>
      <c r="GJ40" s="179">
        <f>GH40-GB40</f>
        <v>0</v>
      </c>
      <c r="GK40" s="9">
        <v>0</v>
      </c>
      <c r="GL40" s="9">
        <v>0</v>
      </c>
      <c r="GM40" s="9">
        <v>0</v>
      </c>
      <c r="GN40" s="324">
        <f>GK40+GL40+GM40</f>
        <v>0</v>
      </c>
      <c r="GO40" s="321">
        <f>GN40</f>
        <v>0</v>
      </c>
      <c r="GP40" s="179">
        <f>GN40-GH40</f>
        <v>0</v>
      </c>
      <c r="GQ40" s="9">
        <v>0</v>
      </c>
      <c r="GR40" s="9">
        <v>0</v>
      </c>
      <c r="GS40" s="9">
        <v>0</v>
      </c>
      <c r="GT40" s="324">
        <f>GQ40+GR40+GS40</f>
        <v>0</v>
      </c>
      <c r="GU40" s="321">
        <f>GT40</f>
        <v>0</v>
      </c>
      <c r="GV40" s="179">
        <f>GT40-GN40</f>
        <v>0</v>
      </c>
      <c r="GW40" s="9">
        <v>0</v>
      </c>
      <c r="GX40" s="9">
        <v>0</v>
      </c>
      <c r="GY40" s="9">
        <v>0</v>
      </c>
      <c r="GZ40" s="324">
        <f>GW40+GX40+GY40</f>
        <v>0</v>
      </c>
      <c r="HA40" s="321">
        <f>GZ40</f>
        <v>0</v>
      </c>
      <c r="HB40" s="179">
        <f>GZ40-GT40</f>
        <v>0</v>
      </c>
      <c r="HC40" s="102">
        <f>100/1406236643.9*FK40</f>
        <v>0</v>
      </c>
      <c r="HD40" s="285">
        <f>HB40-HO40</f>
        <v>0</v>
      </c>
      <c r="HE40" s="12">
        <f>GT40*0.05</f>
        <v>0</v>
      </c>
      <c r="HF40" s="12">
        <f>IF(ISNUMBER(HE40), HE40-INT(HE40), "")</f>
        <v>0</v>
      </c>
      <c r="HG40" s="12">
        <f>HE40-HF40</f>
        <v>0</v>
      </c>
      <c r="HH40" s="14">
        <f>HG40:HG40</f>
        <v>0</v>
      </c>
      <c r="HI40" s="13">
        <f>HG40+GT40</f>
        <v>0</v>
      </c>
      <c r="HJ40" s="102">
        <f>100/1406236643.9*HI40</f>
        <v>0</v>
      </c>
      <c r="HK40" s="16">
        <f>GT40</f>
        <v>0</v>
      </c>
      <c r="HL40" s="103">
        <f>HK40*1.05</f>
        <v>0</v>
      </c>
      <c r="HM40" s="103">
        <f>HL40-HK40</f>
        <v>0</v>
      </c>
      <c r="HN40" s="17">
        <f>HF40</f>
        <v>0</v>
      </c>
      <c r="HO40" s="56">
        <f>HM40-HN40</f>
        <v>0</v>
      </c>
      <c r="HP40" s="16">
        <f>HO40-HG40</f>
        <v>0</v>
      </c>
      <c r="HQ40" s="16">
        <f>HO40+HK40</f>
        <v>0</v>
      </c>
      <c r="HR40" s="16">
        <f>HQ40-HI40</f>
        <v>0</v>
      </c>
    </row>
    <row r="41" spans="1:226" x14ac:dyDescent="0.3">
      <c r="A41" s="310">
        <v>2</v>
      </c>
      <c r="B41" s="104" t="s">
        <v>3</v>
      </c>
      <c r="C41" s="310" t="s">
        <v>236</v>
      </c>
      <c r="D41" s="2" t="s">
        <v>4</v>
      </c>
      <c r="E41" s="3" t="s">
        <v>238</v>
      </c>
      <c r="F41" s="9" t="s">
        <v>239</v>
      </c>
      <c r="G41" s="9" t="s">
        <v>238</v>
      </c>
      <c r="H41" s="324"/>
      <c r="I41" s="324">
        <v>6813065</v>
      </c>
      <c r="J41" s="9" t="s">
        <v>239</v>
      </c>
      <c r="K41" s="324"/>
      <c r="L41" s="9">
        <v>6813065</v>
      </c>
      <c r="M41" s="23">
        <v>6813065</v>
      </c>
      <c r="N41" s="23">
        <v>6813065</v>
      </c>
      <c r="O41" s="298">
        <v>6813065</v>
      </c>
      <c r="P41" s="298">
        <v>6813065</v>
      </c>
      <c r="Q41" s="298">
        <v>6813065</v>
      </c>
      <c r="R41" s="298">
        <v>6813065</v>
      </c>
      <c r="S41" s="298">
        <v>6813065</v>
      </c>
      <c r="T41" s="298">
        <v>6813065</v>
      </c>
      <c r="U41" s="298">
        <f>T41*5%</f>
        <v>340653.25</v>
      </c>
      <c r="V41" s="298">
        <f>T41+U41</f>
        <v>7153718.25</v>
      </c>
      <c r="W41" s="298">
        <v>7153718</v>
      </c>
      <c r="X41" s="298">
        <v>7153718</v>
      </c>
      <c r="Y41" s="298">
        <v>7153718</v>
      </c>
      <c r="Z41" s="298">
        <v>7153718</v>
      </c>
      <c r="AA41" s="298">
        <v>7153718</v>
      </c>
      <c r="AB41" s="298">
        <v>7153718</v>
      </c>
      <c r="AC41" s="9">
        <v>0</v>
      </c>
      <c r="AD41" s="9">
        <v>0</v>
      </c>
      <c r="AE41" s="298">
        <f>AD41+AC41+AB41</f>
        <v>7153718</v>
      </c>
      <c r="AF41" s="298">
        <v>7153718</v>
      </c>
      <c r="AG41" s="9">
        <v>0</v>
      </c>
      <c r="AH41" s="9">
        <v>0</v>
      </c>
      <c r="AI41" s="298">
        <f>AH41+AG41+AF41</f>
        <v>7153718</v>
      </c>
      <c r="AJ41" s="298">
        <v>7153718</v>
      </c>
      <c r="AK41" s="9">
        <v>0</v>
      </c>
      <c r="AL41" s="9">
        <v>0</v>
      </c>
      <c r="AM41" s="298">
        <f>AL41+AK41+AJ41</f>
        <v>7153718</v>
      </c>
      <c r="AN41" s="298">
        <v>7153718</v>
      </c>
      <c r="AO41" s="9">
        <v>0</v>
      </c>
      <c r="AP41" s="9">
        <v>0</v>
      </c>
      <c r="AQ41" s="298">
        <f>AP41+AO41+AN41</f>
        <v>7153718</v>
      </c>
      <c r="AR41" s="24">
        <v>7153718</v>
      </c>
      <c r="AS41" s="9">
        <v>0</v>
      </c>
      <c r="AT41" s="9">
        <v>0</v>
      </c>
      <c r="AU41" s="298">
        <f>AT41+AS41+AR41</f>
        <v>7153718</v>
      </c>
      <c r="AV41" s="298">
        <v>7153718</v>
      </c>
      <c r="AW41" s="9">
        <v>0</v>
      </c>
      <c r="AX41" s="9">
        <v>0</v>
      </c>
      <c r="AY41" s="298">
        <f>AX41+AW41+AV41</f>
        <v>7153718</v>
      </c>
      <c r="AZ41" s="8">
        <f>AY41*5%</f>
        <v>357685.9</v>
      </c>
      <c r="BA41" s="8">
        <v>0.9</v>
      </c>
      <c r="BB41" s="8">
        <f>AZ41-BA41</f>
        <v>357685</v>
      </c>
      <c r="BC41" s="8">
        <f>BB41+AY41</f>
        <v>7511403</v>
      </c>
      <c r="BD41" s="8"/>
      <c r="BE41" s="8">
        <f>BD41+BC41</f>
        <v>7511403</v>
      </c>
      <c r="BF41" s="10">
        <f>BE41-AY41</f>
        <v>357685</v>
      </c>
      <c r="BG41" s="10">
        <f>BF41-BB41</f>
        <v>0</v>
      </c>
      <c r="BH41" s="324">
        <v>7511403</v>
      </c>
      <c r="BI41" s="324">
        <v>0</v>
      </c>
      <c r="BJ41" s="324">
        <v>0</v>
      </c>
      <c r="BK41" s="324">
        <f>BJ41+BI41+BH41</f>
        <v>7511403</v>
      </c>
      <c r="BL41" s="324">
        <v>7511403</v>
      </c>
      <c r="BM41" s="319">
        <v>0</v>
      </c>
      <c r="BN41" s="319">
        <v>0</v>
      </c>
      <c r="BO41" s="324">
        <f>BN41+BM41+BL41</f>
        <v>7511403</v>
      </c>
      <c r="BP41" s="324">
        <f>BK41-BE41</f>
        <v>0</v>
      </c>
      <c r="BQ41" s="324">
        <v>7511403</v>
      </c>
      <c r="BR41" s="324">
        <v>0</v>
      </c>
      <c r="BS41" s="324">
        <v>0</v>
      </c>
      <c r="BT41" s="324">
        <f>BS41+BR41+BQ41</f>
        <v>7511403</v>
      </c>
      <c r="BU41" s="324">
        <f>BT41-BO41</f>
        <v>0</v>
      </c>
      <c r="BV41" s="324">
        <v>7511403</v>
      </c>
      <c r="BW41" s="324">
        <v>0</v>
      </c>
      <c r="BX41" s="324">
        <v>0</v>
      </c>
      <c r="BY41" s="324">
        <f>BX41+BW41+BV41</f>
        <v>7511403</v>
      </c>
      <c r="BZ41" s="324">
        <f>BY41-BT41</f>
        <v>0</v>
      </c>
      <c r="CA41" s="324">
        <v>7511403</v>
      </c>
      <c r="CB41" s="324">
        <v>0</v>
      </c>
      <c r="CC41" s="324">
        <v>0</v>
      </c>
      <c r="CD41" s="324">
        <f>CC41+CB41+CA41</f>
        <v>7511403</v>
      </c>
      <c r="CE41" s="324">
        <f>CD41-BY41</f>
        <v>0</v>
      </c>
      <c r="CF41" s="324">
        <v>7511403</v>
      </c>
      <c r="CG41" s="324">
        <v>0</v>
      </c>
      <c r="CH41" s="324">
        <v>0</v>
      </c>
      <c r="CI41" s="324">
        <f>CH41+CG41+CF41</f>
        <v>7511403</v>
      </c>
      <c r="CJ41" s="324">
        <f>CI41-CD41</f>
        <v>0</v>
      </c>
      <c r="CK41" s="324">
        <v>7511403</v>
      </c>
      <c r="CL41" s="319">
        <v>0</v>
      </c>
      <c r="CM41" s="319">
        <v>0</v>
      </c>
      <c r="CN41" s="324">
        <f>CM41+CL41+CK41</f>
        <v>7511403</v>
      </c>
      <c r="CO41" s="324">
        <f>CN41-CI41</f>
        <v>0</v>
      </c>
      <c r="CP41" s="324">
        <v>7511403</v>
      </c>
      <c r="CQ41" s="324"/>
      <c r="CR41" s="324"/>
      <c r="CS41" s="324">
        <f>CR41+CQ41+CP41</f>
        <v>7511403</v>
      </c>
      <c r="CT41" s="324">
        <f>CS41-CN41</f>
        <v>0</v>
      </c>
      <c r="CU41" s="324">
        <v>7511403</v>
      </c>
      <c r="CV41" s="324">
        <v>0</v>
      </c>
      <c r="CW41" s="324">
        <v>0</v>
      </c>
      <c r="CX41" s="324">
        <f>CW41+CV41+CU41</f>
        <v>7511403</v>
      </c>
      <c r="CY41" s="324">
        <f>CX41-CS41</f>
        <v>0</v>
      </c>
      <c r="CZ41" s="324"/>
      <c r="DA41" s="324"/>
      <c r="DB41" s="324"/>
      <c r="DC41" s="12">
        <f>CX41*10%</f>
        <v>751140.3</v>
      </c>
      <c r="DD41" s="12">
        <v>0.3</v>
      </c>
      <c r="DE41" s="13">
        <f>DC41-DD41</f>
        <v>751140</v>
      </c>
      <c r="DF41" s="14">
        <f>DE41:DE41</f>
        <v>751140</v>
      </c>
      <c r="DG41" s="13">
        <f>DE41+CX41</f>
        <v>8262543</v>
      </c>
      <c r="DH41" s="8">
        <f>100/1278396949*CX41</f>
        <v>0.5875642151583389</v>
      </c>
      <c r="DI41" s="16">
        <f>CX41</f>
        <v>7511403</v>
      </c>
      <c r="DJ41" s="132">
        <f>DI41*1.1</f>
        <v>8262543.3000000007</v>
      </c>
      <c r="DK41" s="17">
        <f>DJ41-DI41</f>
        <v>751140.30000000075</v>
      </c>
      <c r="DL41" s="17">
        <f>DD41</f>
        <v>0.3</v>
      </c>
      <c r="DM41" s="16">
        <f>DK41-DL41</f>
        <v>751140.0000000007</v>
      </c>
      <c r="DN41" s="16">
        <f>DM41-DE41</f>
        <v>0</v>
      </c>
      <c r="DO41" s="16">
        <f>DM41+DI41</f>
        <v>8262543.0000000009</v>
      </c>
      <c r="DP41" s="16">
        <f>DO41-DG41</f>
        <v>0</v>
      </c>
      <c r="DQ41" s="9">
        <v>8262543</v>
      </c>
      <c r="DR41" s="18" t="s">
        <v>238</v>
      </c>
      <c r="DS41" s="18" t="s">
        <v>238</v>
      </c>
      <c r="DT41" s="324">
        <f>DQ41+DR41+DS41</f>
        <v>8262543</v>
      </c>
      <c r="DU41" s="321">
        <f>DT41</f>
        <v>8262543</v>
      </c>
      <c r="DV41" s="19">
        <f>DT41-DG41</f>
        <v>0</v>
      </c>
      <c r="DW41" s="9">
        <v>8262543</v>
      </c>
      <c r="DX41" s="18"/>
      <c r="DY41" s="18"/>
      <c r="DZ41" s="324">
        <f>DW41+DX41+DY41</f>
        <v>8262543</v>
      </c>
      <c r="EA41" s="321">
        <f>DZ41</f>
        <v>8262543</v>
      </c>
      <c r="EB41" s="179">
        <f>DZ41-DT41</f>
        <v>0</v>
      </c>
      <c r="EC41" s="9">
        <v>8262543</v>
      </c>
      <c r="ED41" s="18" t="s">
        <v>238</v>
      </c>
      <c r="EE41" s="18" t="s">
        <v>238</v>
      </c>
      <c r="EF41" s="324">
        <f>EC41+ED41+EE41</f>
        <v>8262543</v>
      </c>
      <c r="EG41" s="321">
        <f>EF41</f>
        <v>8262543</v>
      </c>
      <c r="EH41" s="179">
        <f>EF41-DZ41</f>
        <v>0</v>
      </c>
      <c r="EI41" s="9">
        <v>8262543</v>
      </c>
      <c r="EJ41" s="18" t="s">
        <v>238</v>
      </c>
      <c r="EK41" s="18" t="s">
        <v>238</v>
      </c>
      <c r="EL41" s="324">
        <f>EI41+EJ41+EK41</f>
        <v>8262543</v>
      </c>
      <c r="EM41" s="321">
        <f>EL41</f>
        <v>8262543</v>
      </c>
      <c r="EN41" s="179">
        <f>EL41-EF41</f>
        <v>0</v>
      </c>
      <c r="EO41" s="9">
        <v>8262543</v>
      </c>
      <c r="EP41" s="18" t="s">
        <v>238</v>
      </c>
      <c r="EQ41" s="18" t="s">
        <v>238</v>
      </c>
      <c r="ER41" s="324">
        <f>EO41+EP41+EQ41</f>
        <v>8262543</v>
      </c>
      <c r="ES41" s="321">
        <f>ER41</f>
        <v>8262543</v>
      </c>
      <c r="ET41" s="179">
        <f>ER41-EL41</f>
        <v>0</v>
      </c>
      <c r="EU41" s="9">
        <v>8262543</v>
      </c>
      <c r="EV41" s="18" t="s">
        <v>238</v>
      </c>
      <c r="EW41" s="18" t="s">
        <v>238</v>
      </c>
      <c r="EX41" s="324">
        <f>EU41+EV41+EW41</f>
        <v>8262543</v>
      </c>
      <c r="EY41" s="321">
        <f>EX41</f>
        <v>8262543</v>
      </c>
      <c r="EZ41" s="179">
        <f>EX41-ER41</f>
        <v>0</v>
      </c>
      <c r="FA41" s="9">
        <v>8262543</v>
      </c>
      <c r="FB41" s="18" t="s">
        <v>238</v>
      </c>
      <c r="FC41" s="18" t="s">
        <v>238</v>
      </c>
      <c r="FD41" s="324">
        <f>FA41+FB41+FC41</f>
        <v>8262543</v>
      </c>
      <c r="FE41" s="321">
        <f>FD41</f>
        <v>8262543</v>
      </c>
      <c r="FF41" s="179">
        <f>FD41-EX41</f>
        <v>0</v>
      </c>
      <c r="FG41" s="9">
        <v>8262543</v>
      </c>
      <c r="FH41" s="18" t="s">
        <v>238</v>
      </c>
      <c r="FI41" s="18" t="s">
        <v>238</v>
      </c>
      <c r="FJ41" s="324">
        <f>FG41+FH41+FI41</f>
        <v>8262543</v>
      </c>
      <c r="FK41" s="321">
        <f>FJ41</f>
        <v>8262543</v>
      </c>
      <c r="FL41" s="179">
        <f>FJ41-FD41</f>
        <v>0</v>
      </c>
      <c r="FM41" s="9">
        <v>8262543</v>
      </c>
      <c r="FN41" s="9">
        <v>0</v>
      </c>
      <c r="FO41" s="9">
        <v>0</v>
      </c>
      <c r="FP41" s="324">
        <f>FM41+FN41+FO41</f>
        <v>8262543</v>
      </c>
      <c r="FQ41" s="321">
        <f>FP41</f>
        <v>8262543</v>
      </c>
      <c r="FR41" s="179">
        <f>FP41-FJ41</f>
        <v>0</v>
      </c>
      <c r="FS41" s="9">
        <v>8262543</v>
      </c>
      <c r="FT41" s="9">
        <v>0</v>
      </c>
      <c r="FU41" s="9">
        <v>0</v>
      </c>
      <c r="FV41" s="324">
        <f>FS41+FT41+FU41</f>
        <v>8262543</v>
      </c>
      <c r="FW41" s="321">
        <f>FV41</f>
        <v>8262543</v>
      </c>
      <c r="FX41" s="179">
        <f>FV41-FP41</f>
        <v>0</v>
      </c>
      <c r="FY41" s="9">
        <v>8262543</v>
      </c>
      <c r="FZ41" s="9">
        <v>0</v>
      </c>
      <c r="GA41" s="9">
        <v>0</v>
      </c>
      <c r="GB41" s="324">
        <f>FY41+FZ41+GA41</f>
        <v>8262543</v>
      </c>
      <c r="GC41" s="321">
        <f>GB41</f>
        <v>8262543</v>
      </c>
      <c r="GD41" s="179">
        <f>GB41-FV41</f>
        <v>0</v>
      </c>
      <c r="GE41" s="9">
        <v>8262543</v>
      </c>
      <c r="GF41" s="9">
        <v>0</v>
      </c>
      <c r="GG41" s="9">
        <v>0</v>
      </c>
      <c r="GH41" s="324">
        <f>GE41+GF41+GG41</f>
        <v>8262543</v>
      </c>
      <c r="GI41" s="321">
        <f>GH41</f>
        <v>8262543</v>
      </c>
      <c r="GJ41" s="179">
        <f>GH41-GB41</f>
        <v>0</v>
      </c>
      <c r="GK41" s="9">
        <v>8262543</v>
      </c>
      <c r="GL41" s="9">
        <v>0</v>
      </c>
      <c r="GM41" s="9">
        <v>0</v>
      </c>
      <c r="GN41" s="324">
        <f>GK41+GL41+GM41</f>
        <v>8262543</v>
      </c>
      <c r="GO41" s="321">
        <f>GN41</f>
        <v>8262543</v>
      </c>
      <c r="GP41" s="179">
        <f>GN41-GH41</f>
        <v>0</v>
      </c>
      <c r="GQ41" s="9">
        <v>8262543</v>
      </c>
      <c r="GR41" s="9">
        <v>0</v>
      </c>
      <c r="GS41" s="9">
        <v>0</v>
      </c>
      <c r="GT41" s="324">
        <f>GQ41+GR41+GS41</f>
        <v>8262543</v>
      </c>
      <c r="GU41" s="321">
        <f>GT41</f>
        <v>8262543</v>
      </c>
      <c r="GV41" s="179">
        <f>GT41-GN41</f>
        <v>0</v>
      </c>
      <c r="GW41" s="9">
        <v>8675670</v>
      </c>
      <c r="GX41" s="9">
        <v>0</v>
      </c>
      <c r="GY41" s="9">
        <v>0</v>
      </c>
      <c r="GZ41" s="324">
        <f>GW41+GX41+GY41</f>
        <v>8675670</v>
      </c>
      <c r="HA41" s="321">
        <f>GZ41</f>
        <v>8675670</v>
      </c>
      <c r="HB41" s="179">
        <f>GZ41-GT41</f>
        <v>413127</v>
      </c>
      <c r="HC41" s="102">
        <f>100/1406236643.9*FK41</f>
        <v>0.58756419382480296</v>
      </c>
      <c r="HD41" s="285">
        <f>HB41-HO41</f>
        <v>0</v>
      </c>
      <c r="HE41" s="12">
        <f>GT41*0.05</f>
        <v>413127.15</v>
      </c>
      <c r="HF41" s="12">
        <f>IF(ISNUMBER(HE41), HE41-INT(HE41), "")</f>
        <v>0.15000000002328306</v>
      </c>
      <c r="HG41" s="12">
        <f>HE41-HF41</f>
        <v>413127</v>
      </c>
      <c r="HH41" s="14">
        <f>HG41:HG41</f>
        <v>413127</v>
      </c>
      <c r="HI41" s="13">
        <f>HG41+GT41</f>
        <v>8675670</v>
      </c>
      <c r="HJ41" s="102">
        <f>100/1406236643.9*HI41</f>
        <v>0.6169423928492751</v>
      </c>
      <c r="HK41" s="16">
        <f>GT41</f>
        <v>8262543</v>
      </c>
      <c r="HL41" s="103">
        <f>HK41*1.05</f>
        <v>8675670.1500000004</v>
      </c>
      <c r="HM41" s="103">
        <f>HL41-HK41</f>
        <v>413127.15000000037</v>
      </c>
      <c r="HN41" s="17">
        <f>HF41</f>
        <v>0.15000000002328306</v>
      </c>
      <c r="HO41" s="56">
        <f>HM41-HN41</f>
        <v>413127.00000000035</v>
      </c>
      <c r="HP41" s="16">
        <f>HO41-HG41</f>
        <v>0</v>
      </c>
      <c r="HQ41" s="16">
        <f>HO41+HK41</f>
        <v>8675670</v>
      </c>
      <c r="HR41" s="16">
        <f>HQ41-HI41</f>
        <v>0</v>
      </c>
    </row>
    <row r="42" spans="1:226" x14ac:dyDescent="0.3">
      <c r="A42" s="140"/>
      <c r="B42" s="140"/>
      <c r="C42" s="140"/>
      <c r="D42" s="141" t="s">
        <v>216</v>
      </c>
      <c r="E42" s="121">
        <f t="shared" ref="E42:BP42" si="135">SUM(E40:E41)</f>
        <v>0</v>
      </c>
      <c r="F42" s="121">
        <f t="shared" si="135"/>
        <v>0</v>
      </c>
      <c r="G42" s="121">
        <f t="shared" si="135"/>
        <v>0</v>
      </c>
      <c r="H42" s="121">
        <f t="shared" si="135"/>
        <v>0</v>
      </c>
      <c r="I42" s="121">
        <f t="shared" si="135"/>
        <v>6813065</v>
      </c>
      <c r="J42" s="121">
        <f t="shared" si="135"/>
        <v>0</v>
      </c>
      <c r="K42" s="121">
        <f t="shared" si="135"/>
        <v>0</v>
      </c>
      <c r="L42" s="121">
        <f t="shared" si="135"/>
        <v>6813065</v>
      </c>
      <c r="M42" s="121">
        <f t="shared" si="135"/>
        <v>6813065</v>
      </c>
      <c r="N42" s="121">
        <f t="shared" si="135"/>
        <v>6813065</v>
      </c>
      <c r="O42" s="121">
        <f t="shared" si="135"/>
        <v>6813065</v>
      </c>
      <c r="P42" s="121">
        <f t="shared" si="135"/>
        <v>6813065</v>
      </c>
      <c r="Q42" s="121">
        <f t="shared" si="135"/>
        <v>6813065</v>
      </c>
      <c r="R42" s="121">
        <f t="shared" si="135"/>
        <v>6813065</v>
      </c>
      <c r="S42" s="121">
        <f t="shared" si="135"/>
        <v>6813065</v>
      </c>
      <c r="T42" s="121">
        <f t="shared" si="135"/>
        <v>6813065</v>
      </c>
      <c r="U42" s="121">
        <f t="shared" si="135"/>
        <v>340653.25</v>
      </c>
      <c r="V42" s="121">
        <f t="shared" si="135"/>
        <v>7153718.25</v>
      </c>
      <c r="W42" s="121">
        <f t="shared" si="135"/>
        <v>7153718</v>
      </c>
      <c r="X42" s="121">
        <f t="shared" si="135"/>
        <v>7153718</v>
      </c>
      <c r="Y42" s="121">
        <f t="shared" si="135"/>
        <v>7153718</v>
      </c>
      <c r="Z42" s="121">
        <f t="shared" si="135"/>
        <v>7153718</v>
      </c>
      <c r="AA42" s="121">
        <f t="shared" si="135"/>
        <v>7153718</v>
      </c>
      <c r="AB42" s="121">
        <f t="shared" si="135"/>
        <v>7153718</v>
      </c>
      <c r="AC42" s="121">
        <f t="shared" si="135"/>
        <v>0</v>
      </c>
      <c r="AD42" s="121">
        <f t="shared" si="135"/>
        <v>0</v>
      </c>
      <c r="AE42" s="121">
        <f t="shared" si="135"/>
        <v>7153718</v>
      </c>
      <c r="AF42" s="121">
        <f t="shared" si="135"/>
        <v>7153718</v>
      </c>
      <c r="AG42" s="121">
        <f t="shared" si="135"/>
        <v>0</v>
      </c>
      <c r="AH42" s="121">
        <f t="shared" si="135"/>
        <v>0</v>
      </c>
      <c r="AI42" s="121">
        <f t="shared" si="135"/>
        <v>7153718</v>
      </c>
      <c r="AJ42" s="121">
        <f t="shared" si="135"/>
        <v>7153718</v>
      </c>
      <c r="AK42" s="121">
        <f t="shared" si="135"/>
        <v>0</v>
      </c>
      <c r="AL42" s="121">
        <f t="shared" si="135"/>
        <v>0</v>
      </c>
      <c r="AM42" s="121">
        <f t="shared" si="135"/>
        <v>7153718</v>
      </c>
      <c r="AN42" s="121">
        <f t="shared" si="135"/>
        <v>7153718</v>
      </c>
      <c r="AO42" s="121">
        <f t="shared" si="135"/>
        <v>0</v>
      </c>
      <c r="AP42" s="121">
        <f t="shared" si="135"/>
        <v>0</v>
      </c>
      <c r="AQ42" s="121">
        <f t="shared" si="135"/>
        <v>7153718</v>
      </c>
      <c r="AR42" s="121">
        <f t="shared" si="135"/>
        <v>7153718</v>
      </c>
      <c r="AS42" s="121">
        <f t="shared" si="135"/>
        <v>0</v>
      </c>
      <c r="AT42" s="121">
        <f t="shared" si="135"/>
        <v>0</v>
      </c>
      <c r="AU42" s="121">
        <f t="shared" si="135"/>
        <v>7153718</v>
      </c>
      <c r="AV42" s="121">
        <f t="shared" si="135"/>
        <v>7153718</v>
      </c>
      <c r="AW42" s="121">
        <f t="shared" si="135"/>
        <v>0</v>
      </c>
      <c r="AX42" s="121">
        <f t="shared" si="135"/>
        <v>0</v>
      </c>
      <c r="AY42" s="121">
        <f t="shared" si="135"/>
        <v>7153718</v>
      </c>
      <c r="AZ42" s="121">
        <f t="shared" si="135"/>
        <v>357685.9</v>
      </c>
      <c r="BA42" s="121">
        <f t="shared" si="135"/>
        <v>0.9</v>
      </c>
      <c r="BB42" s="121">
        <f t="shared" si="135"/>
        <v>357685</v>
      </c>
      <c r="BC42" s="121">
        <f t="shared" si="135"/>
        <v>7511403</v>
      </c>
      <c r="BD42" s="121">
        <f t="shared" si="135"/>
        <v>0</v>
      </c>
      <c r="BE42" s="121">
        <f t="shared" si="135"/>
        <v>7511403</v>
      </c>
      <c r="BF42" s="121">
        <f t="shared" si="135"/>
        <v>357685</v>
      </c>
      <c r="BG42" s="121">
        <f t="shared" si="135"/>
        <v>0</v>
      </c>
      <c r="BH42" s="121">
        <f t="shared" si="135"/>
        <v>7511403</v>
      </c>
      <c r="BI42" s="121">
        <f t="shared" si="135"/>
        <v>0</v>
      </c>
      <c r="BJ42" s="121">
        <f t="shared" si="135"/>
        <v>0</v>
      </c>
      <c r="BK42" s="121">
        <f t="shared" si="135"/>
        <v>7511403</v>
      </c>
      <c r="BL42" s="121">
        <f t="shared" si="135"/>
        <v>7511403</v>
      </c>
      <c r="BM42" s="121">
        <f t="shared" si="135"/>
        <v>0</v>
      </c>
      <c r="BN42" s="121">
        <f t="shared" si="135"/>
        <v>0</v>
      </c>
      <c r="BO42" s="121">
        <f t="shared" si="135"/>
        <v>7511403</v>
      </c>
      <c r="BP42" s="121">
        <f t="shared" si="135"/>
        <v>0</v>
      </c>
      <c r="BQ42" s="121">
        <f t="shared" ref="BQ42:EB42" si="136">SUM(BQ40:BQ41)</f>
        <v>7511403</v>
      </c>
      <c r="BR42" s="121">
        <f t="shared" si="136"/>
        <v>0</v>
      </c>
      <c r="BS42" s="121">
        <f t="shared" si="136"/>
        <v>0</v>
      </c>
      <c r="BT42" s="121">
        <f t="shared" si="136"/>
        <v>7511403</v>
      </c>
      <c r="BU42" s="121">
        <f t="shared" si="136"/>
        <v>0</v>
      </c>
      <c r="BV42" s="121">
        <f t="shared" si="136"/>
        <v>7511403</v>
      </c>
      <c r="BW42" s="121">
        <f t="shared" si="136"/>
        <v>0</v>
      </c>
      <c r="BX42" s="121">
        <f t="shared" si="136"/>
        <v>0</v>
      </c>
      <c r="BY42" s="121">
        <f t="shared" si="136"/>
        <v>7511403</v>
      </c>
      <c r="BZ42" s="121">
        <f t="shared" si="136"/>
        <v>0</v>
      </c>
      <c r="CA42" s="121">
        <f t="shared" si="136"/>
        <v>7511403</v>
      </c>
      <c r="CB42" s="121">
        <f t="shared" si="136"/>
        <v>0</v>
      </c>
      <c r="CC42" s="121">
        <f t="shared" si="136"/>
        <v>0</v>
      </c>
      <c r="CD42" s="121">
        <f t="shared" si="136"/>
        <v>7511403</v>
      </c>
      <c r="CE42" s="121">
        <f t="shared" si="136"/>
        <v>0</v>
      </c>
      <c r="CF42" s="121">
        <f t="shared" si="136"/>
        <v>7511403</v>
      </c>
      <c r="CG42" s="121">
        <f t="shared" si="136"/>
        <v>0</v>
      </c>
      <c r="CH42" s="121">
        <f t="shared" si="136"/>
        <v>0</v>
      </c>
      <c r="CI42" s="121">
        <f t="shared" si="136"/>
        <v>7511403</v>
      </c>
      <c r="CJ42" s="121">
        <f t="shared" si="136"/>
        <v>0</v>
      </c>
      <c r="CK42" s="121">
        <f t="shared" si="136"/>
        <v>7511403</v>
      </c>
      <c r="CL42" s="121">
        <f t="shared" si="136"/>
        <v>0</v>
      </c>
      <c r="CM42" s="121">
        <f t="shared" si="136"/>
        <v>0</v>
      </c>
      <c r="CN42" s="121">
        <f t="shared" si="136"/>
        <v>7511403</v>
      </c>
      <c r="CO42" s="121">
        <f t="shared" si="136"/>
        <v>0</v>
      </c>
      <c r="CP42" s="121">
        <f t="shared" si="136"/>
        <v>7511403</v>
      </c>
      <c r="CQ42" s="121">
        <f t="shared" si="136"/>
        <v>0</v>
      </c>
      <c r="CR42" s="121">
        <f t="shared" si="136"/>
        <v>0</v>
      </c>
      <c r="CS42" s="121">
        <f t="shared" si="136"/>
        <v>7511403</v>
      </c>
      <c r="CT42" s="121">
        <f t="shared" si="136"/>
        <v>0</v>
      </c>
      <c r="CU42" s="121">
        <f t="shared" si="136"/>
        <v>7511403</v>
      </c>
      <c r="CV42" s="121">
        <f t="shared" si="136"/>
        <v>0</v>
      </c>
      <c r="CW42" s="121">
        <f t="shared" si="136"/>
        <v>0</v>
      </c>
      <c r="CX42" s="121">
        <f t="shared" si="136"/>
        <v>7511403</v>
      </c>
      <c r="CY42" s="121">
        <f t="shared" si="136"/>
        <v>0</v>
      </c>
      <c r="CZ42" s="121">
        <f t="shared" si="136"/>
        <v>0</v>
      </c>
      <c r="DA42" s="121">
        <f t="shared" si="136"/>
        <v>0</v>
      </c>
      <c r="DB42" s="121">
        <f t="shared" si="136"/>
        <v>0</v>
      </c>
      <c r="DC42" s="121">
        <f t="shared" si="136"/>
        <v>751140.3</v>
      </c>
      <c r="DD42" s="121">
        <f t="shared" si="136"/>
        <v>0.3</v>
      </c>
      <c r="DE42" s="121">
        <f t="shared" si="136"/>
        <v>751140</v>
      </c>
      <c r="DF42" s="121">
        <f t="shared" si="136"/>
        <v>751140</v>
      </c>
      <c r="DG42" s="121">
        <f t="shared" si="136"/>
        <v>8262543</v>
      </c>
      <c r="DH42" s="121">
        <f t="shared" si="136"/>
        <v>0.5875642151583389</v>
      </c>
      <c r="DI42" s="121">
        <f t="shared" si="136"/>
        <v>7511403</v>
      </c>
      <c r="DJ42" s="121">
        <f t="shared" si="136"/>
        <v>8262543.3000000007</v>
      </c>
      <c r="DK42" s="121">
        <f t="shared" si="136"/>
        <v>751140.30000000075</v>
      </c>
      <c r="DL42" s="121">
        <f t="shared" si="136"/>
        <v>0.3</v>
      </c>
      <c r="DM42" s="121">
        <f t="shared" si="136"/>
        <v>751140.0000000007</v>
      </c>
      <c r="DN42" s="121">
        <f t="shared" si="136"/>
        <v>0</v>
      </c>
      <c r="DO42" s="121">
        <f t="shared" si="136"/>
        <v>8262543.0000000009</v>
      </c>
      <c r="DP42" s="121">
        <f t="shared" si="136"/>
        <v>0</v>
      </c>
      <c r="DQ42" s="121">
        <f t="shared" si="136"/>
        <v>8262543</v>
      </c>
      <c r="DR42" s="121">
        <f t="shared" si="136"/>
        <v>0</v>
      </c>
      <c r="DS42" s="121">
        <f t="shared" si="136"/>
        <v>0</v>
      </c>
      <c r="DT42" s="121">
        <f t="shared" si="136"/>
        <v>8262543</v>
      </c>
      <c r="DU42" s="121">
        <f t="shared" si="136"/>
        <v>8262543</v>
      </c>
      <c r="DV42" s="121">
        <f t="shared" si="136"/>
        <v>0</v>
      </c>
      <c r="DW42" s="121">
        <f t="shared" si="136"/>
        <v>8262543</v>
      </c>
      <c r="DX42" s="121">
        <f t="shared" si="136"/>
        <v>0</v>
      </c>
      <c r="DY42" s="121">
        <f t="shared" si="136"/>
        <v>0</v>
      </c>
      <c r="DZ42" s="121">
        <f t="shared" si="136"/>
        <v>8262543</v>
      </c>
      <c r="EA42" s="121">
        <f t="shared" si="136"/>
        <v>8262543</v>
      </c>
      <c r="EB42" s="121">
        <f t="shared" si="136"/>
        <v>0</v>
      </c>
      <c r="EC42" s="121">
        <f t="shared" ref="EC42:FL42" si="137">SUM(EC40:EC41)</f>
        <v>8262543</v>
      </c>
      <c r="ED42" s="121">
        <f t="shared" si="137"/>
        <v>0</v>
      </c>
      <c r="EE42" s="121">
        <f t="shared" si="137"/>
        <v>0</v>
      </c>
      <c r="EF42" s="121">
        <f t="shared" si="137"/>
        <v>8262543</v>
      </c>
      <c r="EG42" s="121">
        <f t="shared" si="137"/>
        <v>8262543</v>
      </c>
      <c r="EH42" s="121">
        <f t="shared" si="137"/>
        <v>0</v>
      </c>
      <c r="EI42" s="121">
        <f t="shared" si="137"/>
        <v>8262543</v>
      </c>
      <c r="EJ42" s="121">
        <f t="shared" si="137"/>
        <v>0</v>
      </c>
      <c r="EK42" s="121">
        <f t="shared" si="137"/>
        <v>0</v>
      </c>
      <c r="EL42" s="121">
        <f t="shared" si="137"/>
        <v>8262543</v>
      </c>
      <c r="EM42" s="121">
        <f t="shared" si="137"/>
        <v>8262543</v>
      </c>
      <c r="EN42" s="121">
        <f t="shared" si="137"/>
        <v>0</v>
      </c>
      <c r="EO42" s="121">
        <f t="shared" si="137"/>
        <v>8262543</v>
      </c>
      <c r="EP42" s="121">
        <f t="shared" si="137"/>
        <v>0</v>
      </c>
      <c r="EQ42" s="121">
        <f t="shared" si="137"/>
        <v>0</v>
      </c>
      <c r="ER42" s="121">
        <f t="shared" si="137"/>
        <v>8262543</v>
      </c>
      <c r="ES42" s="121">
        <f t="shared" si="137"/>
        <v>8262543</v>
      </c>
      <c r="ET42" s="121">
        <f t="shared" si="137"/>
        <v>0</v>
      </c>
      <c r="EU42" s="121">
        <f t="shared" si="137"/>
        <v>8262543</v>
      </c>
      <c r="EV42" s="121">
        <f t="shared" si="137"/>
        <v>0</v>
      </c>
      <c r="EW42" s="121">
        <f t="shared" si="137"/>
        <v>0</v>
      </c>
      <c r="EX42" s="121">
        <f t="shared" si="137"/>
        <v>8262543</v>
      </c>
      <c r="EY42" s="121">
        <f t="shared" si="137"/>
        <v>8262543</v>
      </c>
      <c r="EZ42" s="121">
        <f t="shared" si="137"/>
        <v>0</v>
      </c>
      <c r="FA42" s="121">
        <f t="shared" si="137"/>
        <v>8262543</v>
      </c>
      <c r="FB42" s="121">
        <f t="shared" si="137"/>
        <v>0</v>
      </c>
      <c r="FC42" s="121">
        <f t="shared" si="137"/>
        <v>0</v>
      </c>
      <c r="FD42" s="121">
        <f t="shared" si="137"/>
        <v>8262543</v>
      </c>
      <c r="FE42" s="121">
        <f t="shared" si="137"/>
        <v>8262543</v>
      </c>
      <c r="FF42" s="121">
        <f t="shared" si="137"/>
        <v>0</v>
      </c>
      <c r="FG42" s="121">
        <f t="shared" si="137"/>
        <v>8262543</v>
      </c>
      <c r="FH42" s="121">
        <f t="shared" si="137"/>
        <v>0</v>
      </c>
      <c r="FI42" s="121">
        <f t="shared" si="137"/>
        <v>0</v>
      </c>
      <c r="FJ42" s="121">
        <f t="shared" si="137"/>
        <v>8262543</v>
      </c>
      <c r="FK42" s="121">
        <f t="shared" si="137"/>
        <v>8262543</v>
      </c>
      <c r="FL42" s="121">
        <f t="shared" si="137"/>
        <v>0</v>
      </c>
      <c r="FM42" s="121">
        <f t="shared" ref="FM42:FR42" si="138">SUM(FM40:FM41)</f>
        <v>8262543</v>
      </c>
      <c r="FN42" s="121">
        <f t="shared" si="138"/>
        <v>0</v>
      </c>
      <c r="FO42" s="121">
        <f t="shared" si="138"/>
        <v>0</v>
      </c>
      <c r="FP42" s="121">
        <f t="shared" si="138"/>
        <v>8262543</v>
      </c>
      <c r="FQ42" s="121">
        <f t="shared" si="138"/>
        <v>8262543</v>
      </c>
      <c r="FR42" s="121">
        <f t="shared" si="138"/>
        <v>0</v>
      </c>
      <c r="FS42" s="121">
        <f t="shared" ref="FS42:FX42" si="139">SUM(FS40:FS41)</f>
        <v>8262543</v>
      </c>
      <c r="FT42" s="121">
        <f t="shared" si="139"/>
        <v>0</v>
      </c>
      <c r="FU42" s="121">
        <f t="shared" si="139"/>
        <v>0</v>
      </c>
      <c r="FV42" s="121">
        <f t="shared" si="139"/>
        <v>8262543</v>
      </c>
      <c r="FW42" s="121">
        <f t="shared" si="139"/>
        <v>8262543</v>
      </c>
      <c r="FX42" s="121">
        <f t="shared" si="139"/>
        <v>0</v>
      </c>
      <c r="FY42" s="121">
        <f t="shared" ref="FY42:GD42" si="140">SUM(FY40:FY41)</f>
        <v>8262543</v>
      </c>
      <c r="FZ42" s="121">
        <f t="shared" si="140"/>
        <v>0</v>
      </c>
      <c r="GA42" s="121">
        <f t="shared" si="140"/>
        <v>0</v>
      </c>
      <c r="GB42" s="121">
        <f t="shared" si="140"/>
        <v>8262543</v>
      </c>
      <c r="GC42" s="121">
        <f t="shared" si="140"/>
        <v>8262543</v>
      </c>
      <c r="GD42" s="121">
        <f t="shared" si="140"/>
        <v>0</v>
      </c>
      <c r="GE42" s="121">
        <f t="shared" ref="GE42:GJ42" si="141">SUM(GE40:GE41)</f>
        <v>8262543</v>
      </c>
      <c r="GF42" s="121">
        <f t="shared" si="141"/>
        <v>0</v>
      </c>
      <c r="GG42" s="121">
        <f t="shared" si="141"/>
        <v>0</v>
      </c>
      <c r="GH42" s="121">
        <f t="shared" si="141"/>
        <v>8262543</v>
      </c>
      <c r="GI42" s="121">
        <f t="shared" si="141"/>
        <v>8262543</v>
      </c>
      <c r="GJ42" s="121">
        <f t="shared" si="141"/>
        <v>0</v>
      </c>
      <c r="GK42" s="121">
        <f t="shared" ref="GK42:GP42" si="142">SUM(GK40:GK41)</f>
        <v>8262543</v>
      </c>
      <c r="GL42" s="121">
        <f t="shared" si="142"/>
        <v>0</v>
      </c>
      <c r="GM42" s="121">
        <f t="shared" si="142"/>
        <v>0</v>
      </c>
      <c r="GN42" s="121">
        <f t="shared" si="142"/>
        <v>8262543</v>
      </c>
      <c r="GO42" s="121">
        <f t="shared" si="142"/>
        <v>8262543</v>
      </c>
      <c r="GP42" s="121">
        <f t="shared" si="142"/>
        <v>0</v>
      </c>
      <c r="GQ42" s="121">
        <f t="shared" ref="GQ42:GV42" si="143">SUM(GQ40:GQ41)</f>
        <v>8262543</v>
      </c>
      <c r="GR42" s="121">
        <f t="shared" si="143"/>
        <v>0</v>
      </c>
      <c r="GS42" s="121">
        <f t="shared" si="143"/>
        <v>0</v>
      </c>
      <c r="GT42" s="121">
        <f t="shared" si="143"/>
        <v>8262543</v>
      </c>
      <c r="GU42" s="121">
        <f t="shared" si="143"/>
        <v>8262543</v>
      </c>
      <c r="GV42" s="121">
        <f t="shared" si="143"/>
        <v>0</v>
      </c>
      <c r="GW42" s="121">
        <f t="shared" ref="GW42:HB42" si="144">SUM(GW40:GW41)</f>
        <v>8675670</v>
      </c>
      <c r="GX42" s="121">
        <f t="shared" si="144"/>
        <v>0</v>
      </c>
      <c r="GY42" s="121">
        <f t="shared" si="144"/>
        <v>0</v>
      </c>
      <c r="GZ42" s="121">
        <f t="shared" si="144"/>
        <v>8675670</v>
      </c>
      <c r="HA42" s="121">
        <f t="shared" si="144"/>
        <v>8675670</v>
      </c>
      <c r="HB42" s="121">
        <f t="shared" si="144"/>
        <v>413127</v>
      </c>
      <c r="HC42" s="121">
        <f>SUM(HC40:HC41)</f>
        <v>0.58756419382480296</v>
      </c>
    </row>
    <row r="43" spans="1:226" x14ac:dyDescent="0.3">
      <c r="A43" s="100"/>
      <c r="B43" s="100"/>
      <c r="C43" s="100"/>
      <c r="D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27"/>
      <c r="AZ43" s="100"/>
      <c r="BA43" s="100"/>
      <c r="BB43" s="100"/>
      <c r="BC43" s="100"/>
      <c r="BD43" s="100"/>
      <c r="BE43" s="100"/>
      <c r="BF43" s="100"/>
      <c r="BG43" s="100"/>
      <c r="BH43" s="100"/>
      <c r="BI43" s="100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</row>
    <row r="44" spans="1:226" x14ac:dyDescent="0.3">
      <c r="A44" s="100"/>
      <c r="B44" s="100"/>
      <c r="C44" s="100"/>
      <c r="D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27"/>
      <c r="AZ44" s="100"/>
      <c r="BA44" s="100"/>
      <c r="BB44" s="100"/>
      <c r="BC44" s="100"/>
      <c r="BD44" s="100"/>
      <c r="BE44" s="100"/>
      <c r="BF44" s="100"/>
      <c r="BG44" s="100"/>
      <c r="BH44" s="100"/>
      <c r="BI44" s="100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</row>
    <row r="45" spans="1:226" s="74" customFormat="1" ht="52.5" customHeight="1" x14ac:dyDescent="0.3">
      <c r="A45" s="85" t="s">
        <v>0</v>
      </c>
      <c r="B45" s="85" t="s">
        <v>1</v>
      </c>
      <c r="C45" s="85" t="s">
        <v>217</v>
      </c>
      <c r="D45" s="86" t="s">
        <v>218</v>
      </c>
      <c r="E45" s="87" t="s">
        <v>233</v>
      </c>
      <c r="F45" s="87" t="s">
        <v>234</v>
      </c>
      <c r="G45" s="87" t="s">
        <v>235</v>
      </c>
      <c r="H45" s="87" t="s">
        <v>383</v>
      </c>
      <c r="I45" s="87" t="s">
        <v>382</v>
      </c>
      <c r="J45" s="87" t="s">
        <v>381</v>
      </c>
      <c r="K45" s="87" t="s">
        <v>380</v>
      </c>
      <c r="L45" s="87" t="s">
        <v>379</v>
      </c>
      <c r="M45" s="87" t="s">
        <v>378</v>
      </c>
      <c r="N45" s="87" t="s">
        <v>377</v>
      </c>
      <c r="O45" s="87" t="s">
        <v>394</v>
      </c>
      <c r="P45" s="87" t="s">
        <v>413</v>
      </c>
      <c r="Q45" s="87" t="s">
        <v>415</v>
      </c>
      <c r="R45" s="87" t="s">
        <v>417</v>
      </c>
      <c r="S45" s="87" t="s">
        <v>420</v>
      </c>
      <c r="T45" s="87" t="s">
        <v>421</v>
      </c>
      <c r="U45" s="87" t="s">
        <v>425</v>
      </c>
      <c r="V45" s="87" t="s">
        <v>426</v>
      </c>
      <c r="W45" s="87" t="s">
        <v>424</v>
      </c>
      <c r="X45" s="87" t="s">
        <v>437</v>
      </c>
      <c r="Y45" s="87" t="s">
        <v>439</v>
      </c>
      <c r="Z45" s="87" t="s">
        <v>447</v>
      </c>
      <c r="AA45" s="87" t="s">
        <v>458</v>
      </c>
      <c r="AB45" s="590" t="s">
        <v>459</v>
      </c>
      <c r="AC45" s="591"/>
      <c r="AD45" s="591"/>
      <c r="AE45" s="592"/>
      <c r="AF45" s="596" t="s">
        <v>462</v>
      </c>
      <c r="AG45" s="597"/>
      <c r="AH45" s="597"/>
      <c r="AI45" s="598"/>
      <c r="AJ45" s="590" t="s">
        <v>466</v>
      </c>
      <c r="AK45" s="591"/>
      <c r="AL45" s="591"/>
      <c r="AM45" s="592"/>
      <c r="AN45" s="596" t="s">
        <v>470</v>
      </c>
      <c r="AO45" s="597"/>
      <c r="AP45" s="597"/>
      <c r="AQ45" s="598"/>
      <c r="AR45" s="590" t="s">
        <v>478</v>
      </c>
      <c r="AS45" s="591"/>
      <c r="AT45" s="591"/>
      <c r="AU45" s="592"/>
      <c r="AV45" s="596" t="s">
        <v>483</v>
      </c>
      <c r="AW45" s="597"/>
      <c r="AX45" s="597"/>
      <c r="AY45" s="598"/>
      <c r="AZ45" s="436" t="s">
        <v>503</v>
      </c>
      <c r="BA45" s="436" t="s">
        <v>488</v>
      </c>
      <c r="BB45" s="436" t="s">
        <v>489</v>
      </c>
      <c r="BC45" s="436" t="s">
        <v>423</v>
      </c>
      <c r="BD45" s="436" t="s">
        <v>507</v>
      </c>
      <c r="BE45" s="436" t="s">
        <v>531</v>
      </c>
      <c r="BF45" s="437" t="s">
        <v>508</v>
      </c>
      <c r="BG45" s="437" t="s">
        <v>509</v>
      </c>
      <c r="BH45" s="590" t="s">
        <v>532</v>
      </c>
      <c r="BI45" s="591"/>
      <c r="BJ45" s="591"/>
      <c r="BK45" s="592"/>
      <c r="BL45" s="596" t="s">
        <v>539</v>
      </c>
      <c r="BM45" s="597"/>
      <c r="BN45" s="597"/>
      <c r="BO45" s="598"/>
      <c r="BP45" s="438" t="s">
        <v>538</v>
      </c>
      <c r="BQ45" s="590" t="s">
        <v>542</v>
      </c>
      <c r="BR45" s="591"/>
      <c r="BS45" s="591"/>
      <c r="BT45" s="592"/>
      <c r="BU45" s="438" t="s">
        <v>541</v>
      </c>
      <c r="BV45" s="590" t="s">
        <v>552</v>
      </c>
      <c r="BW45" s="591"/>
      <c r="BX45" s="591"/>
      <c r="BY45" s="592"/>
      <c r="BZ45" s="438" t="s">
        <v>553</v>
      </c>
      <c r="CA45" s="590" t="s">
        <v>578</v>
      </c>
      <c r="CB45" s="591"/>
      <c r="CC45" s="591"/>
      <c r="CD45" s="592"/>
      <c r="CE45" s="438" t="s">
        <v>579</v>
      </c>
      <c r="CF45" s="590" t="s">
        <v>581</v>
      </c>
      <c r="CG45" s="591"/>
      <c r="CH45" s="591"/>
      <c r="CI45" s="592"/>
      <c r="CJ45" s="438" t="s">
        <v>580</v>
      </c>
      <c r="CK45" s="590" t="s">
        <v>585</v>
      </c>
      <c r="CL45" s="591"/>
      <c r="CM45" s="591"/>
      <c r="CN45" s="592"/>
      <c r="CO45" s="438" t="s">
        <v>586</v>
      </c>
      <c r="CP45" s="590" t="s">
        <v>587</v>
      </c>
      <c r="CQ45" s="591"/>
      <c r="CR45" s="591"/>
      <c r="CS45" s="592"/>
      <c r="CT45" s="438" t="s">
        <v>588</v>
      </c>
      <c r="CU45" s="590" t="s">
        <v>590</v>
      </c>
      <c r="CV45" s="591"/>
      <c r="CW45" s="591"/>
      <c r="CX45" s="592"/>
      <c r="CY45" s="438" t="s">
        <v>592</v>
      </c>
      <c r="CZ45" s="294"/>
      <c r="DA45" s="294"/>
      <c r="DB45" s="294"/>
      <c r="DC45" s="95" t="s">
        <v>602</v>
      </c>
      <c r="DD45" s="95" t="s">
        <v>488</v>
      </c>
      <c r="DE45" s="95" t="s">
        <v>489</v>
      </c>
      <c r="DF45" s="95" t="s">
        <v>603</v>
      </c>
      <c r="DG45" s="95" t="s">
        <v>423</v>
      </c>
      <c r="DH45" s="85" t="s">
        <v>2</v>
      </c>
      <c r="DI45" s="593" t="s">
        <v>613</v>
      </c>
      <c r="DJ45" s="594"/>
      <c r="DK45" s="594"/>
      <c r="DL45" s="594"/>
      <c r="DM45" s="594"/>
      <c r="DN45" s="594"/>
      <c r="DO45" s="594"/>
      <c r="DP45" s="595"/>
      <c r="DQ45" s="584" t="s">
        <v>614</v>
      </c>
      <c r="DR45" s="585"/>
      <c r="DS45" s="585"/>
      <c r="DT45" s="585"/>
      <c r="DU45" s="586"/>
      <c r="DV45" s="87" t="s">
        <v>615</v>
      </c>
      <c r="DW45" s="584" t="s">
        <v>623</v>
      </c>
      <c r="DX45" s="585"/>
      <c r="DY45" s="585"/>
      <c r="DZ45" s="585"/>
      <c r="EA45" s="586"/>
      <c r="EB45" s="87" t="s">
        <v>624</v>
      </c>
      <c r="EC45" s="584" t="s">
        <v>627</v>
      </c>
      <c r="ED45" s="585"/>
      <c r="EE45" s="585"/>
      <c r="EF45" s="585"/>
      <c r="EG45" s="586"/>
      <c r="EH45" s="87" t="s">
        <v>628</v>
      </c>
      <c r="EI45" s="584" t="s">
        <v>631</v>
      </c>
      <c r="EJ45" s="585"/>
      <c r="EK45" s="585"/>
      <c r="EL45" s="585"/>
      <c r="EM45" s="586"/>
      <c r="EN45" s="87" t="s">
        <v>632</v>
      </c>
      <c r="EO45" s="584" t="s">
        <v>638</v>
      </c>
      <c r="EP45" s="585"/>
      <c r="EQ45" s="585"/>
      <c r="ER45" s="585"/>
      <c r="ES45" s="586"/>
      <c r="ET45" s="87" t="s">
        <v>637</v>
      </c>
      <c r="EU45" s="584" t="s">
        <v>641</v>
      </c>
      <c r="EV45" s="585"/>
      <c r="EW45" s="585"/>
      <c r="EX45" s="585"/>
      <c r="EY45" s="586"/>
      <c r="EZ45" s="87" t="s">
        <v>642</v>
      </c>
      <c r="FA45" s="584" t="s">
        <v>645</v>
      </c>
      <c r="FB45" s="585"/>
      <c r="FC45" s="585"/>
      <c r="FD45" s="585"/>
      <c r="FE45" s="586"/>
      <c r="FF45" s="87" t="s">
        <v>646</v>
      </c>
      <c r="FG45" s="584" t="s">
        <v>653</v>
      </c>
      <c r="FH45" s="585"/>
      <c r="FI45" s="585"/>
      <c r="FJ45" s="585"/>
      <c r="FK45" s="586"/>
      <c r="FL45" s="87" t="s">
        <v>654</v>
      </c>
      <c r="FM45" s="584" t="s">
        <v>662</v>
      </c>
      <c r="FN45" s="585"/>
      <c r="FO45" s="585"/>
      <c r="FP45" s="585"/>
      <c r="FQ45" s="586"/>
      <c r="FR45" s="87" t="s">
        <v>657</v>
      </c>
      <c r="FS45" s="584" t="s">
        <v>661</v>
      </c>
      <c r="FT45" s="585"/>
      <c r="FU45" s="585"/>
      <c r="FV45" s="585"/>
      <c r="FW45" s="586"/>
      <c r="FX45" s="87" t="s">
        <v>663</v>
      </c>
      <c r="FY45" s="584" t="s">
        <v>665</v>
      </c>
      <c r="FZ45" s="585"/>
      <c r="GA45" s="585"/>
      <c r="GB45" s="585"/>
      <c r="GC45" s="586"/>
      <c r="GD45" s="87" t="s">
        <v>666</v>
      </c>
      <c r="GE45" s="584" t="s">
        <v>668</v>
      </c>
      <c r="GF45" s="585"/>
      <c r="GG45" s="585"/>
      <c r="GH45" s="585"/>
      <c r="GI45" s="586"/>
      <c r="GJ45" s="87" t="s">
        <v>669</v>
      </c>
      <c r="GK45" s="584" t="s">
        <v>671</v>
      </c>
      <c r="GL45" s="585"/>
      <c r="GM45" s="585"/>
      <c r="GN45" s="585"/>
      <c r="GO45" s="586"/>
      <c r="GP45" s="87" t="s">
        <v>672</v>
      </c>
      <c r="GQ45" s="584" t="s">
        <v>674</v>
      </c>
      <c r="GR45" s="585"/>
      <c r="GS45" s="585"/>
      <c r="GT45" s="585"/>
      <c r="GU45" s="586"/>
      <c r="GV45" s="87" t="s">
        <v>675</v>
      </c>
      <c r="GW45" s="584" t="s">
        <v>696</v>
      </c>
      <c r="GX45" s="585"/>
      <c r="GY45" s="585"/>
      <c r="GZ45" s="585"/>
      <c r="HA45" s="586"/>
      <c r="HB45" s="87" t="s">
        <v>697</v>
      </c>
      <c r="HC45" s="85" t="s">
        <v>2</v>
      </c>
      <c r="HD45" s="6"/>
      <c r="HE45" s="587" t="s">
        <v>678</v>
      </c>
      <c r="HF45" s="588"/>
      <c r="HG45" s="588"/>
      <c r="HH45" s="588"/>
      <c r="HI45" s="589"/>
      <c r="HJ45" s="85" t="s">
        <v>2</v>
      </c>
      <c r="HK45" s="593" t="s">
        <v>698</v>
      </c>
      <c r="HL45" s="594"/>
      <c r="HM45" s="594"/>
      <c r="HN45" s="594"/>
      <c r="HO45" s="594"/>
      <c r="HP45" s="594"/>
      <c r="HQ45" s="594"/>
      <c r="HR45" s="594"/>
    </row>
    <row r="46" spans="1:226" s="74" customFormat="1" ht="32.25" customHeight="1" thickBot="1" x14ac:dyDescent="0.35">
      <c r="A46" s="85"/>
      <c r="B46" s="446" t="s">
        <v>556</v>
      </c>
      <c r="C46" s="448"/>
      <c r="D46" s="447"/>
      <c r="E46" s="87"/>
      <c r="F46" s="87"/>
      <c r="G46" s="87"/>
      <c r="H46" s="88"/>
      <c r="I46" s="88"/>
      <c r="J46" s="294"/>
      <c r="K46" s="88"/>
      <c r="L46" s="87"/>
      <c r="M46" s="87"/>
      <c r="N46" s="87"/>
      <c r="O46" s="294"/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112" t="s">
        <v>234</v>
      </c>
      <c r="AC46" s="112" t="s">
        <v>454</v>
      </c>
      <c r="AD46" s="112" t="s">
        <v>455</v>
      </c>
      <c r="AE46" s="112" t="s">
        <v>456</v>
      </c>
      <c r="AF46" s="14" t="s">
        <v>234</v>
      </c>
      <c r="AG46" s="14" t="s">
        <v>454</v>
      </c>
      <c r="AH46" s="14" t="s">
        <v>455</v>
      </c>
      <c r="AI46" s="14" t="s">
        <v>456</v>
      </c>
      <c r="AJ46" s="112" t="s">
        <v>234</v>
      </c>
      <c r="AK46" s="112" t="s">
        <v>454</v>
      </c>
      <c r="AL46" s="112" t="s">
        <v>455</v>
      </c>
      <c r="AM46" s="112" t="s">
        <v>456</v>
      </c>
      <c r="AN46" s="14" t="s">
        <v>234</v>
      </c>
      <c r="AO46" s="14" t="s">
        <v>454</v>
      </c>
      <c r="AP46" s="14" t="s">
        <v>455</v>
      </c>
      <c r="AQ46" s="14" t="s">
        <v>456</v>
      </c>
      <c r="AR46" s="112" t="s">
        <v>234</v>
      </c>
      <c r="AS46" s="112" t="s">
        <v>454</v>
      </c>
      <c r="AT46" s="112" t="s">
        <v>455</v>
      </c>
      <c r="AU46" s="112" t="s">
        <v>456</v>
      </c>
      <c r="AV46" s="14" t="s">
        <v>234</v>
      </c>
      <c r="AW46" s="14" t="s">
        <v>454</v>
      </c>
      <c r="AX46" s="14" t="s">
        <v>455</v>
      </c>
      <c r="AY46" s="14" t="s">
        <v>456</v>
      </c>
      <c r="AZ46" s="443"/>
      <c r="BA46" s="443"/>
      <c r="BB46" s="443"/>
      <c r="BC46" s="443"/>
      <c r="BD46" s="443"/>
      <c r="BE46" s="443"/>
      <c r="BF46" s="444"/>
      <c r="BG46" s="444"/>
      <c r="BH46" s="112" t="s">
        <v>234</v>
      </c>
      <c r="BI46" s="112" t="s">
        <v>454</v>
      </c>
      <c r="BJ46" s="112" t="s">
        <v>455</v>
      </c>
      <c r="BK46" s="112" t="s">
        <v>456</v>
      </c>
      <c r="BL46" s="14" t="s">
        <v>234</v>
      </c>
      <c r="BM46" s="14" t="s">
        <v>454</v>
      </c>
      <c r="BN46" s="14" t="s">
        <v>455</v>
      </c>
      <c r="BO46" s="14" t="s">
        <v>456</v>
      </c>
      <c r="BP46" s="445"/>
      <c r="BQ46" s="112" t="s">
        <v>234</v>
      </c>
      <c r="BR46" s="112" t="s">
        <v>454</v>
      </c>
      <c r="BS46" s="112" t="s">
        <v>455</v>
      </c>
      <c r="BT46" s="112" t="s">
        <v>456</v>
      </c>
      <c r="BU46" s="445"/>
      <c r="BV46" s="112" t="s">
        <v>234</v>
      </c>
      <c r="BW46" s="112" t="s">
        <v>454</v>
      </c>
      <c r="BX46" s="112" t="s">
        <v>455</v>
      </c>
      <c r="BY46" s="112" t="s">
        <v>456</v>
      </c>
      <c r="BZ46" s="445"/>
      <c r="CA46" s="112" t="s">
        <v>234</v>
      </c>
      <c r="CB46" s="112" t="s">
        <v>454</v>
      </c>
      <c r="CC46" s="112" t="s">
        <v>455</v>
      </c>
      <c r="CD46" s="112" t="s">
        <v>456</v>
      </c>
      <c r="CE46" s="445"/>
      <c r="CF46" s="112" t="s">
        <v>234</v>
      </c>
      <c r="CG46" s="112" t="s">
        <v>454</v>
      </c>
      <c r="CH46" s="112" t="s">
        <v>455</v>
      </c>
      <c r="CI46" s="112" t="s">
        <v>456</v>
      </c>
      <c r="CJ46" s="445"/>
      <c r="CK46" s="112" t="s">
        <v>234</v>
      </c>
      <c r="CL46" s="112" t="s">
        <v>454</v>
      </c>
      <c r="CM46" s="112" t="s">
        <v>455</v>
      </c>
      <c r="CN46" s="112" t="s">
        <v>456</v>
      </c>
      <c r="CO46" s="445"/>
      <c r="CP46" s="112" t="s">
        <v>234</v>
      </c>
      <c r="CQ46" s="112" t="s">
        <v>454</v>
      </c>
      <c r="CR46" s="112" t="s">
        <v>455</v>
      </c>
      <c r="CS46" s="112" t="s">
        <v>456</v>
      </c>
      <c r="CT46" s="445"/>
      <c r="CU46" s="112" t="s">
        <v>234</v>
      </c>
      <c r="CV46" s="112" t="s">
        <v>454</v>
      </c>
      <c r="CW46" s="112" t="s">
        <v>455</v>
      </c>
      <c r="CX46" s="112" t="s">
        <v>456</v>
      </c>
      <c r="CY46" s="445"/>
      <c r="CZ46" s="311"/>
      <c r="DA46" s="311"/>
      <c r="DB46" s="311"/>
      <c r="DC46" s="426" t="s">
        <v>612</v>
      </c>
      <c r="DD46" s="276"/>
      <c r="DE46" s="276"/>
      <c r="DF46" s="276"/>
      <c r="DG46" s="277"/>
      <c r="DH46" s="89"/>
      <c r="DI46" s="90" t="s">
        <v>604</v>
      </c>
      <c r="DJ46" s="91" t="s">
        <v>605</v>
      </c>
      <c r="DK46" s="92" t="s">
        <v>606</v>
      </c>
      <c r="DL46" s="92" t="s">
        <v>607</v>
      </c>
      <c r="DM46" s="91" t="s">
        <v>608</v>
      </c>
      <c r="DN46" s="91" t="s">
        <v>609</v>
      </c>
      <c r="DO46" s="91" t="s">
        <v>611</v>
      </c>
      <c r="DP46" s="91" t="s">
        <v>610</v>
      </c>
      <c r="DQ46" s="112" t="s">
        <v>234</v>
      </c>
      <c r="DR46" s="112" t="s">
        <v>454</v>
      </c>
      <c r="DS46" s="112" t="s">
        <v>455</v>
      </c>
      <c r="DT46" s="93" t="s">
        <v>456</v>
      </c>
      <c r="DU46" s="94" t="s">
        <v>457</v>
      </c>
      <c r="DV46" s="87"/>
      <c r="DW46" s="112" t="s">
        <v>234</v>
      </c>
      <c r="DX46" s="112" t="s">
        <v>454</v>
      </c>
      <c r="DY46" s="112" t="s">
        <v>455</v>
      </c>
      <c r="DZ46" s="93" t="s">
        <v>456</v>
      </c>
      <c r="EA46" s="94" t="s">
        <v>457</v>
      </c>
      <c r="EB46" s="87"/>
      <c r="EC46" s="112" t="s">
        <v>234</v>
      </c>
      <c r="ED46" s="112" t="s">
        <v>454</v>
      </c>
      <c r="EE46" s="112" t="s">
        <v>455</v>
      </c>
      <c r="EF46" s="93" t="s">
        <v>456</v>
      </c>
      <c r="EG46" s="94" t="s">
        <v>457</v>
      </c>
      <c r="EH46" s="87"/>
      <c r="EI46" s="112" t="s">
        <v>234</v>
      </c>
      <c r="EJ46" s="112" t="s">
        <v>454</v>
      </c>
      <c r="EK46" s="112" t="s">
        <v>455</v>
      </c>
      <c r="EL46" s="93" t="s">
        <v>456</v>
      </c>
      <c r="EM46" s="94" t="s">
        <v>457</v>
      </c>
      <c r="EN46" s="87"/>
      <c r="EO46" s="112" t="s">
        <v>234</v>
      </c>
      <c r="EP46" s="112" t="s">
        <v>454</v>
      </c>
      <c r="EQ46" s="112" t="s">
        <v>455</v>
      </c>
      <c r="ER46" s="93" t="s">
        <v>456</v>
      </c>
      <c r="ES46" s="94" t="s">
        <v>457</v>
      </c>
      <c r="ET46" s="87"/>
      <c r="EU46" s="112" t="s">
        <v>234</v>
      </c>
      <c r="EV46" s="112" t="s">
        <v>454</v>
      </c>
      <c r="EW46" s="112" t="s">
        <v>455</v>
      </c>
      <c r="EX46" s="93" t="s">
        <v>456</v>
      </c>
      <c r="EY46" s="94" t="s">
        <v>457</v>
      </c>
      <c r="EZ46" s="87"/>
      <c r="FA46" s="112" t="s">
        <v>234</v>
      </c>
      <c r="FB46" s="112" t="s">
        <v>454</v>
      </c>
      <c r="FC46" s="112" t="s">
        <v>455</v>
      </c>
      <c r="FD46" s="93" t="s">
        <v>456</v>
      </c>
      <c r="FE46" s="94" t="s">
        <v>457</v>
      </c>
      <c r="FF46" s="87"/>
      <c r="FG46" s="112" t="s">
        <v>234</v>
      </c>
      <c r="FH46" s="112" t="s">
        <v>454</v>
      </c>
      <c r="FI46" s="112" t="s">
        <v>455</v>
      </c>
      <c r="FJ46" s="93" t="s">
        <v>456</v>
      </c>
      <c r="FK46" s="94" t="s">
        <v>457</v>
      </c>
      <c r="FL46" s="87"/>
      <c r="FM46" s="112" t="s">
        <v>234</v>
      </c>
      <c r="FN46" s="112" t="s">
        <v>454</v>
      </c>
      <c r="FO46" s="112" t="s">
        <v>455</v>
      </c>
      <c r="FP46" s="93" t="s">
        <v>456</v>
      </c>
      <c r="FQ46" s="94" t="s">
        <v>457</v>
      </c>
      <c r="FR46" s="87"/>
      <c r="FS46" s="112" t="s">
        <v>234</v>
      </c>
      <c r="FT46" s="112" t="s">
        <v>454</v>
      </c>
      <c r="FU46" s="112" t="s">
        <v>455</v>
      </c>
      <c r="FV46" s="93" t="s">
        <v>456</v>
      </c>
      <c r="FW46" s="94" t="s">
        <v>457</v>
      </c>
      <c r="FX46" s="87"/>
      <c r="FY46" s="112" t="s">
        <v>234</v>
      </c>
      <c r="FZ46" s="112" t="s">
        <v>454</v>
      </c>
      <c r="GA46" s="112" t="s">
        <v>455</v>
      </c>
      <c r="GB46" s="93" t="s">
        <v>456</v>
      </c>
      <c r="GC46" s="94" t="s">
        <v>457</v>
      </c>
      <c r="GD46" s="87"/>
      <c r="GE46" s="112" t="s">
        <v>234</v>
      </c>
      <c r="GF46" s="112" t="s">
        <v>454</v>
      </c>
      <c r="GG46" s="112" t="s">
        <v>455</v>
      </c>
      <c r="GH46" s="93" t="s">
        <v>456</v>
      </c>
      <c r="GI46" s="94" t="s">
        <v>457</v>
      </c>
      <c r="GJ46" s="87"/>
      <c r="GK46" s="112" t="s">
        <v>234</v>
      </c>
      <c r="GL46" s="112" t="s">
        <v>454</v>
      </c>
      <c r="GM46" s="112" t="s">
        <v>455</v>
      </c>
      <c r="GN46" s="93" t="s">
        <v>456</v>
      </c>
      <c r="GO46" s="94" t="s">
        <v>457</v>
      </c>
      <c r="GP46" s="87"/>
      <c r="GQ46" s="112" t="s">
        <v>234</v>
      </c>
      <c r="GR46" s="112" t="s">
        <v>454</v>
      </c>
      <c r="GS46" s="112" t="s">
        <v>455</v>
      </c>
      <c r="GT46" s="93" t="s">
        <v>456</v>
      </c>
      <c r="GU46" s="94" t="s">
        <v>457</v>
      </c>
      <c r="GV46" s="87"/>
      <c r="GW46" s="112" t="s">
        <v>234</v>
      </c>
      <c r="GX46" s="112" t="s">
        <v>454</v>
      </c>
      <c r="GY46" s="112" t="s">
        <v>455</v>
      </c>
      <c r="GZ46" s="93" t="s">
        <v>456</v>
      </c>
      <c r="HA46" s="94" t="s">
        <v>457</v>
      </c>
      <c r="HB46" s="87"/>
      <c r="HC46" s="85"/>
      <c r="HD46" s="6"/>
      <c r="HE46" s="95" t="s">
        <v>679</v>
      </c>
      <c r="HF46" s="95" t="s">
        <v>488</v>
      </c>
      <c r="HG46" s="220" t="s">
        <v>489</v>
      </c>
      <c r="HH46" s="95" t="s">
        <v>603</v>
      </c>
      <c r="HI46" s="95" t="s">
        <v>423</v>
      </c>
      <c r="HJ46" s="85"/>
      <c r="HK46" s="90" t="s">
        <v>680</v>
      </c>
      <c r="HL46" s="91" t="s">
        <v>681</v>
      </c>
      <c r="HM46" s="92" t="s">
        <v>606</v>
      </c>
      <c r="HN46" s="92" t="s">
        <v>607</v>
      </c>
      <c r="HO46" s="91" t="s">
        <v>608</v>
      </c>
      <c r="HP46" s="91" t="s">
        <v>609</v>
      </c>
      <c r="HQ46" s="92" t="s">
        <v>456</v>
      </c>
      <c r="HR46" s="91" t="s">
        <v>610</v>
      </c>
    </row>
    <row r="47" spans="1:226" x14ac:dyDescent="0.3">
      <c r="A47" s="326">
        <v>1</v>
      </c>
      <c r="B47" s="217" t="s">
        <v>13</v>
      </c>
      <c r="C47" s="151" t="s">
        <v>14</v>
      </c>
      <c r="D47" s="152" t="s">
        <v>15</v>
      </c>
      <c r="E47" s="160" t="s">
        <v>238</v>
      </c>
      <c r="F47" s="4" t="s">
        <v>244</v>
      </c>
      <c r="G47" s="4" t="s">
        <v>238</v>
      </c>
      <c r="H47" s="325"/>
      <c r="I47" s="325">
        <v>1111</v>
      </c>
      <c r="J47" s="4" t="s">
        <v>244</v>
      </c>
      <c r="K47" s="325"/>
      <c r="L47" s="4">
        <v>1111</v>
      </c>
      <c r="M47" s="6">
        <v>1111</v>
      </c>
      <c r="N47" s="6">
        <v>1111</v>
      </c>
      <c r="O47" s="7">
        <v>1111</v>
      </c>
      <c r="P47" s="7">
        <v>1111</v>
      </c>
      <c r="Q47" s="7">
        <v>1111</v>
      </c>
      <c r="R47" s="7">
        <v>1111</v>
      </c>
      <c r="S47" s="7">
        <v>1111</v>
      </c>
      <c r="T47" s="7">
        <v>1111</v>
      </c>
      <c r="U47" s="7">
        <f>T47*5%</f>
        <v>55.550000000000004</v>
      </c>
      <c r="V47" s="7">
        <f>T47+U47</f>
        <v>1166.55</v>
      </c>
      <c r="W47" s="7">
        <v>1166</v>
      </c>
      <c r="X47" s="7">
        <v>1166</v>
      </c>
      <c r="Y47" s="7">
        <v>1166</v>
      </c>
      <c r="Z47" s="7">
        <v>1166</v>
      </c>
      <c r="AA47" s="7">
        <v>1166</v>
      </c>
      <c r="AB47" s="7">
        <v>1166</v>
      </c>
      <c r="AC47" s="4">
        <v>0</v>
      </c>
      <c r="AD47" s="4">
        <v>0</v>
      </c>
      <c r="AE47" s="7">
        <f>AD47+AC47+AB47</f>
        <v>1166</v>
      </c>
      <c r="AF47" s="7">
        <v>1166</v>
      </c>
      <c r="AG47" s="4">
        <v>0</v>
      </c>
      <c r="AH47" s="4">
        <v>0</v>
      </c>
      <c r="AI47" s="7">
        <f>AH47+AG47+AF47</f>
        <v>1166</v>
      </c>
      <c r="AJ47" s="7">
        <v>1166</v>
      </c>
      <c r="AK47" s="4">
        <v>0</v>
      </c>
      <c r="AL47" s="4">
        <v>0</v>
      </c>
      <c r="AM47" s="7">
        <f>AL47+AK47+AJ47</f>
        <v>1166</v>
      </c>
      <c r="AN47" s="7">
        <v>1166</v>
      </c>
      <c r="AO47" s="4">
        <v>0</v>
      </c>
      <c r="AP47" s="4">
        <v>0</v>
      </c>
      <c r="AQ47" s="7">
        <f>AP47+AO47+AN47</f>
        <v>1166</v>
      </c>
      <c r="AR47" s="7">
        <v>1166</v>
      </c>
      <c r="AS47" s="4">
        <v>0</v>
      </c>
      <c r="AT47" s="4">
        <v>0</v>
      </c>
      <c r="AU47" s="7">
        <f>AT47+AS47+AR47</f>
        <v>1166</v>
      </c>
      <c r="AV47" s="7">
        <v>1166</v>
      </c>
      <c r="AW47" s="4">
        <v>0</v>
      </c>
      <c r="AX47" s="4">
        <v>0</v>
      </c>
      <c r="AY47" s="7">
        <f>AX47+AW47+AV47</f>
        <v>1166</v>
      </c>
      <c r="AZ47" s="8">
        <f>AY47*5%</f>
        <v>58.300000000000004</v>
      </c>
      <c r="BA47" s="8">
        <v>0.3</v>
      </c>
      <c r="BB47" s="8">
        <f>AZ47-BA47</f>
        <v>58.000000000000007</v>
      </c>
      <c r="BC47" s="8">
        <f>BB47+AY47</f>
        <v>1224</v>
      </c>
      <c r="BD47" s="8"/>
      <c r="BE47" s="8">
        <f>BD47+BC47</f>
        <v>1224</v>
      </c>
      <c r="BF47" s="10">
        <f>BE47-AY47</f>
        <v>58</v>
      </c>
      <c r="BG47" s="11">
        <f>BF47-BB47</f>
        <v>0</v>
      </c>
      <c r="BH47" s="319">
        <v>1224</v>
      </c>
      <c r="BI47" s="319">
        <v>0</v>
      </c>
      <c r="BJ47" s="319">
        <v>0</v>
      </c>
      <c r="BK47" s="319">
        <f>BJ47+BI47+BH47</f>
        <v>1224</v>
      </c>
      <c r="BL47" s="319">
        <v>1224</v>
      </c>
      <c r="BM47" s="319">
        <v>0</v>
      </c>
      <c r="BN47" s="319">
        <v>0</v>
      </c>
      <c r="BO47" s="319">
        <f>BN47+BM47+BL47</f>
        <v>1224</v>
      </c>
      <c r="BP47" s="319">
        <f>BO47-BK47</f>
        <v>0</v>
      </c>
      <c r="BQ47" s="319">
        <v>1224</v>
      </c>
      <c r="BR47" s="319">
        <v>0</v>
      </c>
      <c r="BS47" s="319">
        <v>0</v>
      </c>
      <c r="BT47" s="319">
        <f>BS47+BR47+BQ47</f>
        <v>1224</v>
      </c>
      <c r="BU47" s="324">
        <f>BT47-BO47</f>
        <v>0</v>
      </c>
      <c r="BV47" s="319">
        <v>1224</v>
      </c>
      <c r="BW47" s="319">
        <v>0</v>
      </c>
      <c r="BX47" s="319">
        <v>0</v>
      </c>
      <c r="BY47" s="319">
        <f>BX47+BW47+BV47</f>
        <v>1224</v>
      </c>
      <c r="BZ47" s="324">
        <f>BY47-BT47</f>
        <v>0</v>
      </c>
      <c r="CA47" s="319">
        <v>1224</v>
      </c>
      <c r="CB47" s="319">
        <v>0</v>
      </c>
      <c r="CC47" s="319">
        <v>0</v>
      </c>
      <c r="CD47" s="319">
        <f>CC47+CB47+CA47</f>
        <v>1224</v>
      </c>
      <c r="CE47" s="324">
        <f>CD47-BY47</f>
        <v>0</v>
      </c>
      <c r="CF47" s="319">
        <v>1224</v>
      </c>
      <c r="CG47" s="319">
        <v>0</v>
      </c>
      <c r="CH47" s="319">
        <v>0</v>
      </c>
      <c r="CI47" s="319">
        <f>CH47+CG47+CF47</f>
        <v>1224</v>
      </c>
      <c r="CJ47" s="324">
        <f>CI47-CD47</f>
        <v>0</v>
      </c>
      <c r="CK47" s="319">
        <v>1224</v>
      </c>
      <c r="CL47" s="319">
        <v>0</v>
      </c>
      <c r="CM47" s="319">
        <v>0</v>
      </c>
      <c r="CN47" s="319">
        <f>CM47+CL47+CK47</f>
        <v>1224</v>
      </c>
      <c r="CO47" s="324">
        <f>CN47-CI47</f>
        <v>0</v>
      </c>
      <c r="CP47" s="319">
        <v>1224</v>
      </c>
      <c r="CQ47" s="319">
        <v>0</v>
      </c>
      <c r="CR47" s="319">
        <v>0</v>
      </c>
      <c r="CS47" s="319">
        <f>CR47+CQ47+CP47</f>
        <v>1224</v>
      </c>
      <c r="CT47" s="324">
        <f>CS47-CN47</f>
        <v>0</v>
      </c>
      <c r="CU47" s="319">
        <v>1224</v>
      </c>
      <c r="CV47" s="319">
        <v>0</v>
      </c>
      <c r="CW47" s="319">
        <v>0</v>
      </c>
      <c r="CX47" s="319">
        <f>CW47+CV47+CU47</f>
        <v>1224</v>
      </c>
      <c r="CY47" s="324">
        <f>CX47-CS47</f>
        <v>0</v>
      </c>
      <c r="CZ47" s="324"/>
      <c r="DA47" s="324"/>
      <c r="DB47" s="324"/>
      <c r="DC47" s="12">
        <f>CX47*10%</f>
        <v>122.4</v>
      </c>
      <c r="DD47" s="12">
        <v>0.4</v>
      </c>
      <c r="DE47" s="13">
        <f>DC47-DD47</f>
        <v>122</v>
      </c>
      <c r="DF47" s="14">
        <f>DE47:DE47</f>
        <v>122</v>
      </c>
      <c r="DG47" s="13">
        <f>DE47+CX47</f>
        <v>1346</v>
      </c>
      <c r="DH47" s="15">
        <f>100/1278396949*CX47</f>
        <v>9.5744909353659603E-5</v>
      </c>
      <c r="DI47" s="16">
        <f>CX47</f>
        <v>1224</v>
      </c>
      <c r="DJ47" s="132">
        <f>DI47*1.1</f>
        <v>1346.4</v>
      </c>
      <c r="DK47" s="17">
        <f>DJ47-DI47</f>
        <v>122.40000000000009</v>
      </c>
      <c r="DL47" s="17">
        <f>DD47</f>
        <v>0.4</v>
      </c>
      <c r="DM47" s="16">
        <f>DK47-DL47</f>
        <v>122.00000000000009</v>
      </c>
      <c r="DN47" s="16">
        <f>DM47-DE47</f>
        <v>0</v>
      </c>
      <c r="DO47" s="16">
        <f>DM47+DI47</f>
        <v>1346</v>
      </c>
      <c r="DP47" s="16">
        <f>DO47-DG47</f>
        <v>0</v>
      </c>
      <c r="DQ47" s="9">
        <v>1346</v>
      </c>
      <c r="DR47" s="18" t="s">
        <v>238</v>
      </c>
      <c r="DS47" s="18" t="s">
        <v>238</v>
      </c>
      <c r="DT47" s="324">
        <f>DQ47+DR47+DS47</f>
        <v>1346</v>
      </c>
      <c r="DU47" s="321">
        <f>DT47</f>
        <v>1346</v>
      </c>
      <c r="DV47" s="19">
        <f>DT47-DG47</f>
        <v>0</v>
      </c>
      <c r="DW47" s="9">
        <v>1346</v>
      </c>
      <c r="DX47" s="18"/>
      <c r="DY47" s="18"/>
      <c r="DZ47" s="324">
        <f>DW47+DX47+DY47</f>
        <v>1346</v>
      </c>
      <c r="EA47" s="321">
        <f>DZ47</f>
        <v>1346</v>
      </c>
      <c r="EB47" s="179">
        <f>DZ47-DT47</f>
        <v>0</v>
      </c>
      <c r="EC47" s="9">
        <v>1346</v>
      </c>
      <c r="ED47" s="18" t="s">
        <v>238</v>
      </c>
      <c r="EE47" s="18" t="s">
        <v>238</v>
      </c>
      <c r="EF47" s="324">
        <f>EC47+ED47+EE47</f>
        <v>1346</v>
      </c>
      <c r="EG47" s="321">
        <f>EF47</f>
        <v>1346</v>
      </c>
      <c r="EH47" s="179">
        <f>EF47-DZ47</f>
        <v>0</v>
      </c>
      <c r="EI47" s="9">
        <v>1346</v>
      </c>
      <c r="EJ47" s="18" t="s">
        <v>238</v>
      </c>
      <c r="EK47" s="18" t="s">
        <v>238</v>
      </c>
      <c r="EL47" s="324">
        <f>EI47+EJ47+EK47</f>
        <v>1346</v>
      </c>
      <c r="EM47" s="321">
        <f>EL47</f>
        <v>1346</v>
      </c>
      <c r="EN47" s="179">
        <f>EL47-EF47</f>
        <v>0</v>
      </c>
      <c r="EO47" s="9">
        <v>1346</v>
      </c>
      <c r="EP47" s="18" t="s">
        <v>238</v>
      </c>
      <c r="EQ47" s="18" t="s">
        <v>238</v>
      </c>
      <c r="ER47" s="324">
        <f>EO47+EP47+EQ47</f>
        <v>1346</v>
      </c>
      <c r="ES47" s="321">
        <f>ER47</f>
        <v>1346</v>
      </c>
      <c r="ET47" s="179">
        <f>ER47-EL47</f>
        <v>0</v>
      </c>
      <c r="EU47" s="9">
        <v>1346</v>
      </c>
      <c r="EV47" s="18" t="s">
        <v>238</v>
      </c>
      <c r="EW47" s="18" t="s">
        <v>238</v>
      </c>
      <c r="EX47" s="324">
        <f>EU47+EV47+EW47</f>
        <v>1346</v>
      </c>
      <c r="EY47" s="321">
        <f>EX47</f>
        <v>1346</v>
      </c>
      <c r="EZ47" s="179">
        <f>EX47-ER47</f>
        <v>0</v>
      </c>
      <c r="FA47" s="9">
        <v>1346</v>
      </c>
      <c r="FB47" s="18" t="s">
        <v>238</v>
      </c>
      <c r="FC47" s="18" t="s">
        <v>238</v>
      </c>
      <c r="FD47" s="324">
        <f>FA47+FB47+FC47</f>
        <v>1346</v>
      </c>
      <c r="FE47" s="321">
        <f>FD47</f>
        <v>1346</v>
      </c>
      <c r="FF47" s="179">
        <f>FD47-EX47</f>
        <v>0</v>
      </c>
      <c r="FG47" s="9">
        <v>1346</v>
      </c>
      <c r="FH47" s="18" t="s">
        <v>238</v>
      </c>
      <c r="FI47" s="18" t="s">
        <v>238</v>
      </c>
      <c r="FJ47" s="324">
        <f>FG47+FH47+FI47</f>
        <v>1346</v>
      </c>
      <c r="FK47" s="321">
        <f>FJ47</f>
        <v>1346</v>
      </c>
      <c r="FL47" s="179">
        <f>FJ47-FD47</f>
        <v>0</v>
      </c>
      <c r="FM47" s="9">
        <v>1346</v>
      </c>
      <c r="FN47" s="18" t="s">
        <v>238</v>
      </c>
      <c r="FO47" s="18" t="s">
        <v>238</v>
      </c>
      <c r="FP47" s="324">
        <f>FM47+FN47+FO47</f>
        <v>1346</v>
      </c>
      <c r="FQ47" s="321">
        <f>FP47</f>
        <v>1346</v>
      </c>
      <c r="FR47" s="179">
        <f>FP47-FJ47</f>
        <v>0</v>
      </c>
      <c r="FS47" s="9">
        <v>1346</v>
      </c>
      <c r="FT47" s="18" t="s">
        <v>238</v>
      </c>
      <c r="FU47" s="18" t="s">
        <v>238</v>
      </c>
      <c r="FV47" s="324">
        <f>FS47+FT47+FU47</f>
        <v>1346</v>
      </c>
      <c r="FW47" s="321">
        <f>FV47</f>
        <v>1346</v>
      </c>
      <c r="FX47" s="179">
        <f>FV47-FP47</f>
        <v>0</v>
      </c>
      <c r="FY47" s="9">
        <v>1346</v>
      </c>
      <c r="FZ47" s="18" t="s">
        <v>238</v>
      </c>
      <c r="GA47" s="18" t="s">
        <v>238</v>
      </c>
      <c r="GB47" s="324">
        <f>FY47+FZ47+GA47</f>
        <v>1346</v>
      </c>
      <c r="GC47" s="321">
        <f>GB47</f>
        <v>1346</v>
      </c>
      <c r="GD47" s="179">
        <f>GB47-FV47</f>
        <v>0</v>
      </c>
      <c r="GE47" s="9">
        <v>1346</v>
      </c>
      <c r="GF47" s="18" t="s">
        <v>238</v>
      </c>
      <c r="GG47" s="18" t="s">
        <v>238</v>
      </c>
      <c r="GH47" s="324">
        <f>GE47+GF47+GG47</f>
        <v>1346</v>
      </c>
      <c r="GI47" s="321">
        <f>GH47</f>
        <v>1346</v>
      </c>
      <c r="GJ47" s="179">
        <f>GH47-GB47</f>
        <v>0</v>
      </c>
      <c r="GK47" s="9">
        <v>1346</v>
      </c>
      <c r="GL47" s="18" t="s">
        <v>238</v>
      </c>
      <c r="GM47" s="18" t="s">
        <v>238</v>
      </c>
      <c r="GN47" s="324">
        <f>GK47+GL47+GM47</f>
        <v>1346</v>
      </c>
      <c r="GO47" s="321">
        <f>GN47</f>
        <v>1346</v>
      </c>
      <c r="GP47" s="179">
        <f>GN47-GH47</f>
        <v>0</v>
      </c>
      <c r="GQ47" s="9">
        <v>1346</v>
      </c>
      <c r="GR47" s="18" t="s">
        <v>238</v>
      </c>
      <c r="GS47" s="18" t="s">
        <v>238</v>
      </c>
      <c r="GT47" s="324">
        <f>GQ47+GR47+GS47</f>
        <v>1346</v>
      </c>
      <c r="GU47" s="321">
        <f>GT47</f>
        <v>1346</v>
      </c>
      <c r="GV47" s="179">
        <f>GT47-GN47</f>
        <v>0</v>
      </c>
      <c r="GW47" s="9">
        <v>1413</v>
      </c>
      <c r="GX47" s="18" t="s">
        <v>238</v>
      </c>
      <c r="GY47" s="18" t="s">
        <v>238</v>
      </c>
      <c r="GZ47" s="324">
        <f>GW47+GX47+GY47</f>
        <v>1413</v>
      </c>
      <c r="HA47" s="321">
        <f>GZ47</f>
        <v>1413</v>
      </c>
      <c r="HB47" s="179">
        <f>GZ47-GT47</f>
        <v>67</v>
      </c>
      <c r="HC47" s="102">
        <f>100/1406236643.9*GT47</f>
        <v>9.5716464639056617E-5</v>
      </c>
      <c r="HD47" s="285">
        <f>HB47-HO47</f>
        <v>0</v>
      </c>
      <c r="HE47" s="12">
        <f>GT47*0.05</f>
        <v>67.3</v>
      </c>
      <c r="HF47" s="12">
        <f>IF(ISNUMBER(HE47), HE47-INT(HE47), "")</f>
        <v>0.29999999999999716</v>
      </c>
      <c r="HG47" s="12">
        <f>HE47-HF47</f>
        <v>67</v>
      </c>
      <c r="HH47" s="14">
        <f>HG47:HG47</f>
        <v>67</v>
      </c>
      <c r="HI47" s="13">
        <f>HG47+GT47</f>
        <v>1413</v>
      </c>
      <c r="HJ47" s="102">
        <f>100/1406236643.9*HI47</f>
        <v>1.004809543350572E-4</v>
      </c>
      <c r="HK47" s="16">
        <f>GT47</f>
        <v>1346</v>
      </c>
      <c r="HL47" s="103">
        <f>HK47*1.05</f>
        <v>1413.3</v>
      </c>
      <c r="HM47" s="103">
        <f>HL47-HK47</f>
        <v>67.299999999999955</v>
      </c>
      <c r="HN47" s="17">
        <f>HF47</f>
        <v>0.29999999999999716</v>
      </c>
      <c r="HO47" s="56">
        <f>HM47-HN47</f>
        <v>66.999999999999957</v>
      </c>
      <c r="HP47" s="16">
        <f>HO47-HG47</f>
        <v>0</v>
      </c>
      <c r="HQ47" s="16">
        <f>HO47+HK47</f>
        <v>1413</v>
      </c>
      <c r="HR47" s="16">
        <f>HQ47-HI47</f>
        <v>0</v>
      </c>
    </row>
    <row r="48" spans="1:226" x14ac:dyDescent="0.3">
      <c r="A48" s="326">
        <v>2</v>
      </c>
      <c r="B48" s="217" t="s">
        <v>362</v>
      </c>
      <c r="C48" s="326" t="s">
        <v>16</v>
      </c>
      <c r="D48" s="154" t="s">
        <v>17</v>
      </c>
      <c r="E48" s="160" t="s">
        <v>238</v>
      </c>
      <c r="F48" s="4" t="s">
        <v>245</v>
      </c>
      <c r="G48" s="4" t="s">
        <v>238</v>
      </c>
      <c r="H48" s="325"/>
      <c r="I48" s="325">
        <v>999</v>
      </c>
      <c r="J48" s="4" t="s">
        <v>245</v>
      </c>
      <c r="K48" s="325"/>
      <c r="L48" s="4">
        <v>999</v>
      </c>
      <c r="M48" s="6">
        <v>999</v>
      </c>
      <c r="N48" s="6">
        <v>999</v>
      </c>
      <c r="O48" s="7">
        <v>999</v>
      </c>
      <c r="P48" s="7">
        <v>999</v>
      </c>
      <c r="Q48" s="7">
        <v>999</v>
      </c>
      <c r="R48" s="7">
        <v>999</v>
      </c>
      <c r="S48" s="7">
        <v>999</v>
      </c>
      <c r="T48" s="7">
        <v>999</v>
      </c>
      <c r="U48" s="7">
        <f>T48*5%</f>
        <v>49.95</v>
      </c>
      <c r="V48" s="7">
        <f>T48+U48</f>
        <v>1048.95</v>
      </c>
      <c r="W48" s="7">
        <v>1048</v>
      </c>
      <c r="X48" s="7">
        <v>1048</v>
      </c>
      <c r="Y48" s="7">
        <v>1048</v>
      </c>
      <c r="Z48" s="7">
        <v>1048</v>
      </c>
      <c r="AA48" s="7">
        <v>1048</v>
      </c>
      <c r="AB48" s="7">
        <v>1048</v>
      </c>
      <c r="AC48" s="4">
        <v>0</v>
      </c>
      <c r="AD48" s="4">
        <v>0</v>
      </c>
      <c r="AE48" s="7">
        <f>AD48+AC48+AB48</f>
        <v>1048</v>
      </c>
      <c r="AF48" s="7">
        <v>1048</v>
      </c>
      <c r="AG48" s="4">
        <v>0</v>
      </c>
      <c r="AH48" s="4">
        <v>0</v>
      </c>
      <c r="AI48" s="7">
        <f>AH48+AG48+AF48</f>
        <v>1048</v>
      </c>
      <c r="AJ48" s="7">
        <v>1048</v>
      </c>
      <c r="AK48" s="4">
        <v>0</v>
      </c>
      <c r="AL48" s="4">
        <v>0</v>
      </c>
      <c r="AM48" s="7">
        <f>AL48+AK48+AJ48</f>
        <v>1048</v>
      </c>
      <c r="AN48" s="7">
        <v>1048</v>
      </c>
      <c r="AO48" s="4">
        <v>0</v>
      </c>
      <c r="AP48" s="4">
        <v>0</v>
      </c>
      <c r="AQ48" s="6">
        <f>AP48+AO48+AN48</f>
        <v>1048</v>
      </c>
      <c r="AR48" s="7">
        <v>1048</v>
      </c>
      <c r="AS48" s="4">
        <v>0</v>
      </c>
      <c r="AT48" s="4">
        <v>0</v>
      </c>
      <c r="AU48" s="6">
        <f>AT48+AS48+AR48</f>
        <v>1048</v>
      </c>
      <c r="AV48" s="7">
        <v>1048</v>
      </c>
      <c r="AW48" s="4">
        <v>0</v>
      </c>
      <c r="AX48" s="4">
        <v>0</v>
      </c>
      <c r="AY48" s="7">
        <f>AX48+AW48+AV48</f>
        <v>1048</v>
      </c>
      <c r="AZ48" s="8">
        <f>AY48*5%</f>
        <v>52.400000000000006</v>
      </c>
      <c r="BA48" s="8">
        <v>0.4</v>
      </c>
      <c r="BB48" s="8">
        <f>AZ48-BA48</f>
        <v>52.000000000000007</v>
      </c>
      <c r="BC48" s="8">
        <f>BB48+AY48</f>
        <v>1100</v>
      </c>
      <c r="BD48" s="8"/>
      <c r="BE48" s="8">
        <f>BD48+BC48</f>
        <v>1100</v>
      </c>
      <c r="BF48" s="10">
        <f>BE48-AY48</f>
        <v>52</v>
      </c>
      <c r="BG48" s="11">
        <f>BF48-BB48</f>
        <v>0</v>
      </c>
      <c r="BH48" s="319">
        <v>1100</v>
      </c>
      <c r="BI48" s="319">
        <v>0</v>
      </c>
      <c r="BJ48" s="319">
        <v>0</v>
      </c>
      <c r="BK48" s="319">
        <f>BJ48+BI48+BH48</f>
        <v>1100</v>
      </c>
      <c r="BL48" s="319">
        <v>1100</v>
      </c>
      <c r="BM48" s="319">
        <v>0</v>
      </c>
      <c r="BN48" s="319">
        <v>0</v>
      </c>
      <c r="BO48" s="319">
        <f>BN48+BM48+BL48</f>
        <v>1100</v>
      </c>
      <c r="BP48" s="319">
        <f>BO48-BK48</f>
        <v>0</v>
      </c>
      <c r="BQ48" s="319">
        <v>1100</v>
      </c>
      <c r="BR48" s="324">
        <v>0</v>
      </c>
      <c r="BS48" s="324">
        <v>0</v>
      </c>
      <c r="BT48" s="319">
        <f>BS48+BR48+BQ48</f>
        <v>1100</v>
      </c>
      <c r="BU48" s="324">
        <f>BT48-BO48</f>
        <v>0</v>
      </c>
      <c r="BV48" s="319">
        <v>1100</v>
      </c>
      <c r="BW48" s="319">
        <v>0</v>
      </c>
      <c r="BX48" s="319">
        <v>0</v>
      </c>
      <c r="BY48" s="319">
        <f>BX48+BW48+BV48</f>
        <v>1100</v>
      </c>
      <c r="BZ48" s="324">
        <f>BY48-BT48</f>
        <v>0</v>
      </c>
      <c r="CA48" s="319">
        <v>1100</v>
      </c>
      <c r="CB48" s="319">
        <v>0</v>
      </c>
      <c r="CC48" s="319">
        <v>0</v>
      </c>
      <c r="CD48" s="319">
        <f>CC48+CB48+CA48</f>
        <v>1100</v>
      </c>
      <c r="CE48" s="324">
        <f>CD48-BY48</f>
        <v>0</v>
      </c>
      <c r="CF48" s="319">
        <v>1100</v>
      </c>
      <c r="CG48" s="319">
        <v>0</v>
      </c>
      <c r="CH48" s="319">
        <v>0</v>
      </c>
      <c r="CI48" s="319">
        <f>CH48+CG48+CF48</f>
        <v>1100</v>
      </c>
      <c r="CJ48" s="324">
        <f>CI48-CD48</f>
        <v>0</v>
      </c>
      <c r="CK48" s="319">
        <v>1100</v>
      </c>
      <c r="CL48" s="319">
        <v>0</v>
      </c>
      <c r="CM48" s="319">
        <v>0</v>
      </c>
      <c r="CN48" s="319">
        <f>CM48+CL48+CK48</f>
        <v>1100</v>
      </c>
      <c r="CO48" s="324">
        <f>CN48-CI48</f>
        <v>0</v>
      </c>
      <c r="CP48" s="319">
        <v>1100</v>
      </c>
      <c r="CQ48" s="319">
        <v>0</v>
      </c>
      <c r="CR48" s="319">
        <v>0</v>
      </c>
      <c r="CS48" s="319">
        <f>CR48+CQ48+CP48</f>
        <v>1100</v>
      </c>
      <c r="CT48" s="324">
        <f>CS48-CN48</f>
        <v>0</v>
      </c>
      <c r="CU48" s="319">
        <v>1100</v>
      </c>
      <c r="CV48" s="324">
        <v>0</v>
      </c>
      <c r="CW48" s="324">
        <v>0</v>
      </c>
      <c r="CX48" s="319">
        <f>CW48+CV48+CU48</f>
        <v>1100</v>
      </c>
      <c r="CY48" s="324">
        <f>CX48-CS48</f>
        <v>0</v>
      </c>
      <c r="CZ48" s="324"/>
      <c r="DA48" s="324"/>
      <c r="DB48" s="324"/>
      <c r="DC48" s="12">
        <f>CX48*10%</f>
        <v>110</v>
      </c>
      <c r="DD48" s="12">
        <v>0</v>
      </c>
      <c r="DE48" s="13">
        <f>DC48-DD48</f>
        <v>110</v>
      </c>
      <c r="DF48" s="14">
        <f>DE48:DE48</f>
        <v>110</v>
      </c>
      <c r="DG48" s="13">
        <f>DE48+CX48</f>
        <v>1210</v>
      </c>
      <c r="DH48" s="15">
        <f>100/1278396949*CX48</f>
        <v>8.6045261674040489E-5</v>
      </c>
      <c r="DI48" s="16">
        <f>CX48</f>
        <v>1100</v>
      </c>
      <c r="DJ48" s="132">
        <f>DI48*1.1</f>
        <v>1210</v>
      </c>
      <c r="DK48" s="17">
        <f>DJ48-DI48</f>
        <v>110</v>
      </c>
      <c r="DL48" s="17">
        <f>DD48</f>
        <v>0</v>
      </c>
      <c r="DM48" s="16">
        <f>DK48-DL48</f>
        <v>110</v>
      </c>
      <c r="DN48" s="16">
        <f>DM48-DE48</f>
        <v>0</v>
      </c>
      <c r="DO48" s="16">
        <f>DM48+DI48</f>
        <v>1210</v>
      </c>
      <c r="DP48" s="16">
        <f>DO48-DG48</f>
        <v>0</v>
      </c>
      <c r="DQ48" s="9">
        <v>1210</v>
      </c>
      <c r="DR48" s="18" t="s">
        <v>238</v>
      </c>
      <c r="DS48" s="18" t="s">
        <v>238</v>
      </c>
      <c r="DT48" s="324">
        <f>DQ48+DR48+DS48</f>
        <v>1210</v>
      </c>
      <c r="DU48" s="321">
        <f>DT48</f>
        <v>1210</v>
      </c>
      <c r="DV48" s="19">
        <f>DT48-DG48</f>
        <v>0</v>
      </c>
      <c r="DW48" s="9">
        <v>1210</v>
      </c>
      <c r="DX48" s="18"/>
      <c r="DY48" s="18"/>
      <c r="DZ48" s="324">
        <f>DW48+DX48+DY48</f>
        <v>1210</v>
      </c>
      <c r="EA48" s="321">
        <f>DZ48</f>
        <v>1210</v>
      </c>
      <c r="EB48" s="179">
        <f>DZ48-DT48</f>
        <v>0</v>
      </c>
      <c r="EC48" s="9">
        <v>1210</v>
      </c>
      <c r="ED48" s="18" t="s">
        <v>238</v>
      </c>
      <c r="EE48" s="18" t="s">
        <v>238</v>
      </c>
      <c r="EF48" s="324">
        <f>EC48+ED48+EE48</f>
        <v>1210</v>
      </c>
      <c r="EG48" s="321">
        <f>EF48</f>
        <v>1210</v>
      </c>
      <c r="EH48" s="179">
        <f>EF48-DZ48</f>
        <v>0</v>
      </c>
      <c r="EI48" s="9">
        <v>1210</v>
      </c>
      <c r="EJ48" s="18" t="s">
        <v>238</v>
      </c>
      <c r="EK48" s="18" t="s">
        <v>238</v>
      </c>
      <c r="EL48" s="324">
        <f>EI48+EJ48+EK48</f>
        <v>1210</v>
      </c>
      <c r="EM48" s="321">
        <f>EL48</f>
        <v>1210</v>
      </c>
      <c r="EN48" s="179">
        <f>EL48-EF48</f>
        <v>0</v>
      </c>
      <c r="EO48" s="9">
        <v>1210</v>
      </c>
      <c r="EP48" s="18" t="s">
        <v>238</v>
      </c>
      <c r="EQ48" s="18" t="s">
        <v>238</v>
      </c>
      <c r="ER48" s="324">
        <f>EO48+EP48+EQ48</f>
        <v>1210</v>
      </c>
      <c r="ES48" s="321">
        <f>ER48</f>
        <v>1210</v>
      </c>
      <c r="ET48" s="179">
        <f>ER48-EL48</f>
        <v>0</v>
      </c>
      <c r="EU48" s="9">
        <v>1210</v>
      </c>
      <c r="EV48" s="18" t="s">
        <v>238</v>
      </c>
      <c r="EW48" s="18" t="s">
        <v>238</v>
      </c>
      <c r="EX48" s="324">
        <f>EU48+EV48+EW48</f>
        <v>1210</v>
      </c>
      <c r="EY48" s="321">
        <f>EX48</f>
        <v>1210</v>
      </c>
      <c r="EZ48" s="179">
        <f>EX48-ER48</f>
        <v>0</v>
      </c>
      <c r="FA48" s="9">
        <v>1210</v>
      </c>
      <c r="FB48" s="18" t="s">
        <v>238</v>
      </c>
      <c r="FC48" s="18" t="s">
        <v>238</v>
      </c>
      <c r="FD48" s="324">
        <f>FA48+FB48+FC48</f>
        <v>1210</v>
      </c>
      <c r="FE48" s="321">
        <f>FD48</f>
        <v>1210</v>
      </c>
      <c r="FF48" s="179">
        <f>FD48-EX48</f>
        <v>0</v>
      </c>
      <c r="FG48" s="9">
        <v>1210</v>
      </c>
      <c r="FH48" s="18" t="s">
        <v>238</v>
      </c>
      <c r="FI48" s="18" t="s">
        <v>238</v>
      </c>
      <c r="FJ48" s="324">
        <f>FG48+FH48+FI48</f>
        <v>1210</v>
      </c>
      <c r="FK48" s="321">
        <f>FJ48</f>
        <v>1210</v>
      </c>
      <c r="FL48" s="179">
        <f>FJ48-FD48</f>
        <v>0</v>
      </c>
      <c r="FM48" s="9">
        <v>1210</v>
      </c>
      <c r="FN48" s="18" t="s">
        <v>238</v>
      </c>
      <c r="FO48" s="18" t="s">
        <v>238</v>
      </c>
      <c r="FP48" s="324">
        <f>FM48+FN48+FO48</f>
        <v>1210</v>
      </c>
      <c r="FQ48" s="321">
        <f>FP48</f>
        <v>1210</v>
      </c>
      <c r="FR48" s="179">
        <f>FP48-FJ48</f>
        <v>0</v>
      </c>
      <c r="FS48" s="9">
        <v>1210</v>
      </c>
      <c r="FT48" s="18" t="s">
        <v>238</v>
      </c>
      <c r="FU48" s="18" t="s">
        <v>238</v>
      </c>
      <c r="FV48" s="324">
        <f>FS48+FT48+FU48</f>
        <v>1210</v>
      </c>
      <c r="FW48" s="321">
        <f>FV48</f>
        <v>1210</v>
      </c>
      <c r="FX48" s="179">
        <f>FV48-FP48</f>
        <v>0</v>
      </c>
      <c r="FY48" s="9">
        <v>1210</v>
      </c>
      <c r="FZ48" s="18" t="s">
        <v>238</v>
      </c>
      <c r="GA48" s="18" t="s">
        <v>238</v>
      </c>
      <c r="GB48" s="324">
        <f>FY48+FZ48+GA48</f>
        <v>1210</v>
      </c>
      <c r="GC48" s="321">
        <f>GB48</f>
        <v>1210</v>
      </c>
      <c r="GD48" s="179">
        <f>GB48-FV48</f>
        <v>0</v>
      </c>
      <c r="GE48" s="9">
        <v>1210</v>
      </c>
      <c r="GF48" s="18" t="s">
        <v>238</v>
      </c>
      <c r="GG48" s="18" t="s">
        <v>238</v>
      </c>
      <c r="GH48" s="324">
        <f>GE48+GF48+GG48</f>
        <v>1210</v>
      </c>
      <c r="GI48" s="321">
        <f>GH48</f>
        <v>1210</v>
      </c>
      <c r="GJ48" s="179">
        <f>GH48-GB48</f>
        <v>0</v>
      </c>
      <c r="GK48" s="9">
        <v>1210</v>
      </c>
      <c r="GL48" s="18" t="s">
        <v>238</v>
      </c>
      <c r="GM48" s="18" t="s">
        <v>238</v>
      </c>
      <c r="GN48" s="324">
        <f>GK48+GL48+GM48</f>
        <v>1210</v>
      </c>
      <c r="GO48" s="321">
        <f>GN48</f>
        <v>1210</v>
      </c>
      <c r="GP48" s="179">
        <f>GN48-GH48</f>
        <v>0</v>
      </c>
      <c r="GQ48" s="9">
        <v>1210</v>
      </c>
      <c r="GR48" s="18" t="s">
        <v>238</v>
      </c>
      <c r="GS48" s="18" t="s">
        <v>238</v>
      </c>
      <c r="GT48" s="324">
        <f>GQ48+GR48+GS48</f>
        <v>1210</v>
      </c>
      <c r="GU48" s="321">
        <f>GT48</f>
        <v>1210</v>
      </c>
      <c r="GV48" s="179">
        <f>GT48-GN48</f>
        <v>0</v>
      </c>
      <c r="GW48" s="9">
        <v>1270</v>
      </c>
      <c r="GX48" s="18" t="s">
        <v>238</v>
      </c>
      <c r="GY48" s="18" t="s">
        <v>238</v>
      </c>
      <c r="GZ48" s="324">
        <f>GW48+GX48+GY48</f>
        <v>1270</v>
      </c>
      <c r="HA48" s="321">
        <f>GZ48</f>
        <v>1270</v>
      </c>
      <c r="HB48" s="179">
        <f>GZ48-GT48</f>
        <v>60</v>
      </c>
      <c r="HC48" s="102">
        <f>100/1406236643.9*GT48</f>
        <v>8.6045261674040489E-5</v>
      </c>
      <c r="HD48" s="285">
        <f>HB48-HO48</f>
        <v>0</v>
      </c>
      <c r="HE48" s="12">
        <f>GT48*0.05</f>
        <v>60.5</v>
      </c>
      <c r="HF48" s="12">
        <f>IF(ISNUMBER(HE48), HE48-INT(HE48), "")</f>
        <v>0.5</v>
      </c>
      <c r="HG48" s="12">
        <f>HE48-HF48</f>
        <v>60</v>
      </c>
      <c r="HH48" s="14">
        <f>HG48:HG48</f>
        <v>60</v>
      </c>
      <c r="HI48" s="13">
        <f>HG48+GT48</f>
        <v>1270</v>
      </c>
      <c r="HJ48" s="102">
        <f>100/1406236643.9*HI48</f>
        <v>9.0311968864488783E-5</v>
      </c>
      <c r="HK48" s="16">
        <f>GT48</f>
        <v>1210</v>
      </c>
      <c r="HL48" s="103">
        <f>HK48*1.05</f>
        <v>1270.5</v>
      </c>
      <c r="HM48" s="103">
        <f>HL48-HK48</f>
        <v>60.5</v>
      </c>
      <c r="HN48" s="17">
        <f>HF48</f>
        <v>0.5</v>
      </c>
      <c r="HO48" s="56">
        <f>HM48-HN48</f>
        <v>60</v>
      </c>
      <c r="HP48" s="16">
        <f>HO48-HG48</f>
        <v>0</v>
      </c>
      <c r="HQ48" s="16">
        <f>HO48+HK48</f>
        <v>1270</v>
      </c>
      <c r="HR48" s="16">
        <f>HQ48-HI48</f>
        <v>0</v>
      </c>
    </row>
    <row r="49" spans="1:226" ht="10.8" thickBot="1" x14ac:dyDescent="0.35">
      <c r="A49" s="326">
        <v>3</v>
      </c>
      <c r="B49" s="217" t="s">
        <v>363</v>
      </c>
      <c r="C49" s="156" t="s">
        <v>18</v>
      </c>
      <c r="D49" s="157" t="s">
        <v>19</v>
      </c>
      <c r="E49" s="160" t="s">
        <v>238</v>
      </c>
      <c r="F49" s="4" t="s">
        <v>246</v>
      </c>
      <c r="G49" s="4" t="s">
        <v>238</v>
      </c>
      <c r="H49" s="325"/>
      <c r="I49" s="325">
        <v>1054</v>
      </c>
      <c r="J49" s="4" t="s">
        <v>246</v>
      </c>
      <c r="K49" s="325"/>
      <c r="L49" s="4">
        <v>1054</v>
      </c>
      <c r="M49" s="6">
        <v>1054</v>
      </c>
      <c r="N49" s="6">
        <v>1054</v>
      </c>
      <c r="O49" s="7">
        <v>1054</v>
      </c>
      <c r="P49" s="7">
        <v>1054</v>
      </c>
      <c r="Q49" s="7">
        <v>1054</v>
      </c>
      <c r="R49" s="7">
        <v>1054</v>
      </c>
      <c r="S49" s="7">
        <v>1054</v>
      </c>
      <c r="T49" s="7">
        <v>1054</v>
      </c>
      <c r="U49" s="7">
        <f>T49*5%</f>
        <v>52.7</v>
      </c>
      <c r="V49" s="7">
        <f>T49+U49</f>
        <v>1106.7</v>
      </c>
      <c r="W49" s="7">
        <v>1106</v>
      </c>
      <c r="X49" s="7">
        <v>1106</v>
      </c>
      <c r="Y49" s="7">
        <v>1106</v>
      </c>
      <c r="Z49" s="7">
        <v>1106</v>
      </c>
      <c r="AA49" s="7">
        <v>1106</v>
      </c>
      <c r="AB49" s="7">
        <v>1106</v>
      </c>
      <c r="AC49" s="4">
        <v>0</v>
      </c>
      <c r="AD49" s="4">
        <v>0</v>
      </c>
      <c r="AE49" s="7">
        <f>AD49+AC49+AB49</f>
        <v>1106</v>
      </c>
      <c r="AF49" s="7">
        <v>1106</v>
      </c>
      <c r="AG49" s="4">
        <v>0</v>
      </c>
      <c r="AH49" s="4">
        <v>0</v>
      </c>
      <c r="AI49" s="7">
        <f>AH49+AG49+AF49</f>
        <v>1106</v>
      </c>
      <c r="AJ49" s="7">
        <v>1106</v>
      </c>
      <c r="AK49" s="4">
        <v>0</v>
      </c>
      <c r="AL49" s="4">
        <v>0</v>
      </c>
      <c r="AM49" s="7">
        <f>AL49+AK49+AJ49</f>
        <v>1106</v>
      </c>
      <c r="AN49" s="7">
        <v>1106</v>
      </c>
      <c r="AO49" s="4">
        <v>0</v>
      </c>
      <c r="AP49" s="4">
        <v>0</v>
      </c>
      <c r="AQ49" s="6">
        <f>AP49+AO49+AN49</f>
        <v>1106</v>
      </c>
      <c r="AR49" s="7">
        <v>1106</v>
      </c>
      <c r="AS49" s="4">
        <v>0</v>
      </c>
      <c r="AT49" s="4">
        <v>0</v>
      </c>
      <c r="AU49" s="6">
        <f>AT49+AS49+AR49</f>
        <v>1106</v>
      </c>
      <c r="AV49" s="7">
        <v>1106</v>
      </c>
      <c r="AW49" s="4">
        <v>0</v>
      </c>
      <c r="AX49" s="4">
        <v>0</v>
      </c>
      <c r="AY49" s="7">
        <f>AX49+AW49+AV49</f>
        <v>1106</v>
      </c>
      <c r="AZ49" s="8">
        <f>AY49*5%</f>
        <v>55.300000000000004</v>
      </c>
      <c r="BA49" s="8">
        <v>0.3</v>
      </c>
      <c r="BB49" s="8">
        <f>AZ49-BA49</f>
        <v>55.000000000000007</v>
      </c>
      <c r="BC49" s="8">
        <f>BB49+AY49</f>
        <v>1161</v>
      </c>
      <c r="BD49" s="8"/>
      <c r="BE49" s="8">
        <f>BD49+BC49</f>
        <v>1161</v>
      </c>
      <c r="BF49" s="10">
        <f>BE49-AY49</f>
        <v>55</v>
      </c>
      <c r="BG49" s="10">
        <f>BF49-BB49</f>
        <v>0</v>
      </c>
      <c r="BH49" s="324">
        <v>1161</v>
      </c>
      <c r="BI49" s="324">
        <v>0</v>
      </c>
      <c r="BJ49" s="324">
        <v>0</v>
      </c>
      <c r="BK49" s="324">
        <f>BJ49+BI49+BH49</f>
        <v>1161</v>
      </c>
      <c r="BL49" s="324">
        <v>1161</v>
      </c>
      <c r="BM49" s="319">
        <v>0</v>
      </c>
      <c r="BN49" s="319">
        <v>0</v>
      </c>
      <c r="BO49" s="324">
        <f>BN49+BM49+BL49</f>
        <v>1161</v>
      </c>
      <c r="BP49" s="319">
        <f>BO49-BK49</f>
        <v>0</v>
      </c>
      <c r="BQ49" s="324">
        <v>1161</v>
      </c>
      <c r="BR49" s="324">
        <v>0</v>
      </c>
      <c r="BS49" s="324">
        <v>0</v>
      </c>
      <c r="BT49" s="324">
        <f>BS49+BR49+BQ49</f>
        <v>1161</v>
      </c>
      <c r="BU49" s="324">
        <f>BT49-BO49</f>
        <v>0</v>
      </c>
      <c r="BV49" s="324">
        <v>1161</v>
      </c>
      <c r="BW49" s="324">
        <v>0</v>
      </c>
      <c r="BX49" s="324">
        <v>0</v>
      </c>
      <c r="BY49" s="324">
        <f>BX49+BW49+BV49</f>
        <v>1161</v>
      </c>
      <c r="BZ49" s="324">
        <f>BY49-BT49</f>
        <v>0</v>
      </c>
      <c r="CA49" s="324">
        <v>1161</v>
      </c>
      <c r="CB49" s="324">
        <v>0</v>
      </c>
      <c r="CC49" s="324">
        <v>0</v>
      </c>
      <c r="CD49" s="324">
        <f>CC49+CB49+CA49</f>
        <v>1161</v>
      </c>
      <c r="CE49" s="324">
        <f>CD49-BY49</f>
        <v>0</v>
      </c>
      <c r="CF49" s="324">
        <v>1161</v>
      </c>
      <c r="CG49" s="324">
        <v>0</v>
      </c>
      <c r="CH49" s="324">
        <v>0</v>
      </c>
      <c r="CI49" s="324">
        <f>CH49+CG49+CF49</f>
        <v>1161</v>
      </c>
      <c r="CJ49" s="324">
        <f>CI49-CD49</f>
        <v>0</v>
      </c>
      <c r="CK49" s="324">
        <v>1161</v>
      </c>
      <c r="CL49" s="319">
        <v>0</v>
      </c>
      <c r="CM49" s="319">
        <v>0</v>
      </c>
      <c r="CN49" s="324">
        <f>CM49+CL49+CK49</f>
        <v>1161</v>
      </c>
      <c r="CO49" s="324">
        <f>CN49-CI49</f>
        <v>0</v>
      </c>
      <c r="CP49" s="324">
        <v>1161</v>
      </c>
      <c r="CQ49" s="324">
        <v>0</v>
      </c>
      <c r="CR49" s="324">
        <v>0</v>
      </c>
      <c r="CS49" s="324">
        <f>CR49+CQ49+CP49</f>
        <v>1161</v>
      </c>
      <c r="CT49" s="324">
        <f>CS49-CN49</f>
        <v>0</v>
      </c>
      <c r="CU49" s="324">
        <v>1161</v>
      </c>
      <c r="CV49" s="324">
        <v>0</v>
      </c>
      <c r="CW49" s="324">
        <v>0</v>
      </c>
      <c r="CX49" s="324">
        <f>CW49+CV49+CU49</f>
        <v>1161</v>
      </c>
      <c r="CY49" s="324">
        <f>CX49-CS49</f>
        <v>0</v>
      </c>
      <c r="CZ49" s="324"/>
      <c r="DA49" s="324"/>
      <c r="DB49" s="324"/>
      <c r="DC49" s="12">
        <f>CX49*10%</f>
        <v>116.10000000000001</v>
      </c>
      <c r="DD49" s="12">
        <v>0.1</v>
      </c>
      <c r="DE49" s="13">
        <f>DC49-DD49</f>
        <v>116.00000000000001</v>
      </c>
      <c r="DF49" s="14">
        <f>DE49:DE49</f>
        <v>116.00000000000001</v>
      </c>
      <c r="DG49" s="13">
        <f>DE49+CX49</f>
        <v>1277</v>
      </c>
      <c r="DH49" s="15">
        <f>100/1278396949*CX49</f>
        <v>9.081686254869182E-5</v>
      </c>
      <c r="DI49" s="16">
        <f>CX49</f>
        <v>1161</v>
      </c>
      <c r="DJ49" s="132">
        <f>DI49*1.1</f>
        <v>1277.1000000000001</v>
      </c>
      <c r="DK49" s="17">
        <f>DJ49-DI49</f>
        <v>116.10000000000014</v>
      </c>
      <c r="DL49" s="17">
        <f>DD49</f>
        <v>0.1</v>
      </c>
      <c r="DM49" s="16">
        <f>DK49-DL49</f>
        <v>116.00000000000014</v>
      </c>
      <c r="DN49" s="16">
        <f>DM49-DE49</f>
        <v>1.2789769243681803E-13</v>
      </c>
      <c r="DO49" s="16">
        <f>DM49+DI49</f>
        <v>1277.0000000000002</v>
      </c>
      <c r="DP49" s="16">
        <f>DO49-DG49</f>
        <v>0</v>
      </c>
      <c r="DQ49" s="9">
        <v>1277</v>
      </c>
      <c r="DR49" s="18" t="s">
        <v>238</v>
      </c>
      <c r="DS49" s="18" t="s">
        <v>238</v>
      </c>
      <c r="DT49" s="324">
        <f>DQ49+DR49+DS49</f>
        <v>1277</v>
      </c>
      <c r="DU49" s="321">
        <f>DT49</f>
        <v>1277</v>
      </c>
      <c r="DV49" s="19">
        <f>DT49-DG49</f>
        <v>0</v>
      </c>
      <c r="DW49" s="9">
        <v>1277</v>
      </c>
      <c r="DX49" s="18"/>
      <c r="DY49" s="18"/>
      <c r="DZ49" s="324">
        <f>DW49+DX49+DY49</f>
        <v>1277</v>
      </c>
      <c r="EA49" s="321">
        <f>DZ49</f>
        <v>1277</v>
      </c>
      <c r="EB49" s="179">
        <f>DZ49-DT49</f>
        <v>0</v>
      </c>
      <c r="EC49" s="9">
        <v>1277</v>
      </c>
      <c r="ED49" s="18" t="s">
        <v>238</v>
      </c>
      <c r="EE49" s="18" t="s">
        <v>238</v>
      </c>
      <c r="EF49" s="324">
        <f>EC49+ED49+EE49</f>
        <v>1277</v>
      </c>
      <c r="EG49" s="321">
        <f>EF49</f>
        <v>1277</v>
      </c>
      <c r="EH49" s="179">
        <f>EF49-DZ49</f>
        <v>0</v>
      </c>
      <c r="EI49" s="9">
        <v>1277</v>
      </c>
      <c r="EJ49" s="18" t="s">
        <v>238</v>
      </c>
      <c r="EK49" s="18" t="s">
        <v>238</v>
      </c>
      <c r="EL49" s="324">
        <f>EI49+EJ49+EK49</f>
        <v>1277</v>
      </c>
      <c r="EM49" s="321">
        <f>EL49</f>
        <v>1277</v>
      </c>
      <c r="EN49" s="179">
        <f>EL49-EF49</f>
        <v>0</v>
      </c>
      <c r="EO49" s="9">
        <v>1277</v>
      </c>
      <c r="EP49" s="18" t="s">
        <v>238</v>
      </c>
      <c r="EQ49" s="18" t="s">
        <v>238</v>
      </c>
      <c r="ER49" s="324">
        <f>EO49+EP49+EQ49</f>
        <v>1277</v>
      </c>
      <c r="ES49" s="321">
        <f>ER49</f>
        <v>1277</v>
      </c>
      <c r="ET49" s="179">
        <f>ER49-EL49</f>
        <v>0</v>
      </c>
      <c r="EU49" s="9">
        <v>1277</v>
      </c>
      <c r="EV49" s="18" t="s">
        <v>238</v>
      </c>
      <c r="EW49" s="18" t="s">
        <v>238</v>
      </c>
      <c r="EX49" s="324">
        <f>EU49+EV49+EW49</f>
        <v>1277</v>
      </c>
      <c r="EY49" s="321">
        <f>EX49</f>
        <v>1277</v>
      </c>
      <c r="EZ49" s="179">
        <f>EX49-ER49</f>
        <v>0</v>
      </c>
      <c r="FA49" s="9">
        <v>1277</v>
      </c>
      <c r="FB49" s="18" t="s">
        <v>238</v>
      </c>
      <c r="FC49" s="18" t="s">
        <v>238</v>
      </c>
      <c r="FD49" s="324">
        <f>FA49+FB49+FC49</f>
        <v>1277</v>
      </c>
      <c r="FE49" s="321">
        <f>FD49</f>
        <v>1277</v>
      </c>
      <c r="FF49" s="179">
        <f>FD49-EX49</f>
        <v>0</v>
      </c>
      <c r="FG49" s="9">
        <v>1277</v>
      </c>
      <c r="FH49" s="18" t="s">
        <v>238</v>
      </c>
      <c r="FI49" s="18" t="s">
        <v>238</v>
      </c>
      <c r="FJ49" s="324">
        <f>FG49+FH49+FI49</f>
        <v>1277</v>
      </c>
      <c r="FK49" s="321">
        <f>FJ49</f>
        <v>1277</v>
      </c>
      <c r="FL49" s="179">
        <f>FJ49-FD49</f>
        <v>0</v>
      </c>
      <c r="FM49" s="9">
        <v>1277</v>
      </c>
      <c r="FN49" s="18" t="s">
        <v>238</v>
      </c>
      <c r="FO49" s="18" t="s">
        <v>238</v>
      </c>
      <c r="FP49" s="324">
        <f>FM49+FN49+FO49</f>
        <v>1277</v>
      </c>
      <c r="FQ49" s="321">
        <f>FP49</f>
        <v>1277</v>
      </c>
      <c r="FR49" s="179">
        <f>FP49-FJ49</f>
        <v>0</v>
      </c>
      <c r="FS49" s="9">
        <v>1277</v>
      </c>
      <c r="FT49" s="18" t="s">
        <v>238</v>
      </c>
      <c r="FU49" s="18" t="s">
        <v>238</v>
      </c>
      <c r="FV49" s="324">
        <f>FS49+FT49+FU49</f>
        <v>1277</v>
      </c>
      <c r="FW49" s="321">
        <f>FV49</f>
        <v>1277</v>
      </c>
      <c r="FX49" s="179">
        <f>FV49-FP49</f>
        <v>0</v>
      </c>
      <c r="FY49" s="9">
        <v>1277</v>
      </c>
      <c r="FZ49" s="18" t="s">
        <v>238</v>
      </c>
      <c r="GA49" s="18" t="s">
        <v>238</v>
      </c>
      <c r="GB49" s="324">
        <f>FY49+FZ49+GA49</f>
        <v>1277</v>
      </c>
      <c r="GC49" s="321">
        <f>GB49</f>
        <v>1277</v>
      </c>
      <c r="GD49" s="179">
        <f>GB49-FV49</f>
        <v>0</v>
      </c>
      <c r="GE49" s="9">
        <v>1277</v>
      </c>
      <c r="GF49" s="18" t="s">
        <v>238</v>
      </c>
      <c r="GG49" s="18" t="s">
        <v>238</v>
      </c>
      <c r="GH49" s="324">
        <f>GE49+GF49+GG49</f>
        <v>1277</v>
      </c>
      <c r="GI49" s="321">
        <f>GH49</f>
        <v>1277</v>
      </c>
      <c r="GJ49" s="179">
        <f>GH49-GB49</f>
        <v>0</v>
      </c>
      <c r="GK49" s="9">
        <v>1277</v>
      </c>
      <c r="GL49" s="18" t="s">
        <v>238</v>
      </c>
      <c r="GM49" s="18" t="s">
        <v>238</v>
      </c>
      <c r="GN49" s="324">
        <f>GK49+GL49+GM49</f>
        <v>1277</v>
      </c>
      <c r="GO49" s="321">
        <f>GN49</f>
        <v>1277</v>
      </c>
      <c r="GP49" s="179">
        <f>GN49-GH49</f>
        <v>0</v>
      </c>
      <c r="GQ49" s="9">
        <v>1277</v>
      </c>
      <c r="GR49" s="18" t="s">
        <v>238</v>
      </c>
      <c r="GS49" s="18" t="s">
        <v>238</v>
      </c>
      <c r="GT49" s="324">
        <f>GQ49+GR49+GS49</f>
        <v>1277</v>
      </c>
      <c r="GU49" s="321">
        <f>GT49</f>
        <v>1277</v>
      </c>
      <c r="GV49" s="179">
        <f>GT49-GN49</f>
        <v>0</v>
      </c>
      <c r="GW49" s="9">
        <v>1340</v>
      </c>
      <c r="GX49" s="18" t="s">
        <v>238</v>
      </c>
      <c r="GY49" s="18" t="s">
        <v>238</v>
      </c>
      <c r="GZ49" s="324">
        <f>GW49+GX49+GY49</f>
        <v>1340</v>
      </c>
      <c r="HA49" s="321">
        <f>GZ49</f>
        <v>1340</v>
      </c>
      <c r="HB49" s="179">
        <f>GZ49-GT49</f>
        <v>63</v>
      </c>
      <c r="HC49" s="102">
        <f>100/1406236643.9*GT49</f>
        <v>9.0809751370041087E-5</v>
      </c>
      <c r="HD49" s="285">
        <f>HB49-HO49</f>
        <v>-1.3500311979441904E-13</v>
      </c>
      <c r="HE49" s="12">
        <f>GT49*0.05</f>
        <v>63.85</v>
      </c>
      <c r="HF49" s="12">
        <f>IF(ISNUMBER(HE49), HE49-INT(HE49), "")</f>
        <v>0.85000000000000142</v>
      </c>
      <c r="HG49" s="12">
        <f>HE49-HF49</f>
        <v>63</v>
      </c>
      <c r="HH49" s="14">
        <f>HG49:HG49</f>
        <v>63</v>
      </c>
      <c r="HI49" s="13">
        <f>HG49+GT49</f>
        <v>1340</v>
      </c>
      <c r="HJ49" s="102">
        <f>100/1406236643.9*HI49</f>
        <v>9.5289793920011779E-5</v>
      </c>
      <c r="HK49" s="16">
        <f>GT49</f>
        <v>1277</v>
      </c>
      <c r="HL49" s="103">
        <f>HK49*1.05</f>
        <v>1340.8500000000001</v>
      </c>
      <c r="HM49" s="103">
        <f>HL49-HK49</f>
        <v>63.850000000000136</v>
      </c>
      <c r="HN49" s="17">
        <f>HF49</f>
        <v>0.85000000000000142</v>
      </c>
      <c r="HO49" s="56">
        <f>HM49-HN49</f>
        <v>63.000000000000135</v>
      </c>
      <c r="HP49" s="16">
        <f>HO49-HG49</f>
        <v>1.3500311979441904E-13</v>
      </c>
      <c r="HQ49" s="16">
        <f>HO49+HK49</f>
        <v>1340.0000000000002</v>
      </c>
      <c r="HR49" s="16">
        <f>HQ49-HI49</f>
        <v>0</v>
      </c>
    </row>
    <row r="50" spans="1:226" x14ac:dyDescent="0.3"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</row>
    <row r="51" spans="1:226" x14ac:dyDescent="0.3">
      <c r="A51" s="140"/>
      <c r="B51" s="140"/>
      <c r="C51" s="140"/>
      <c r="D51" s="141" t="s">
        <v>216</v>
      </c>
      <c r="E51" s="121">
        <f t="shared" ref="E51:BP51" si="145">SUM(E47:E50)</f>
        <v>0</v>
      </c>
      <c r="F51" s="121">
        <f t="shared" si="145"/>
        <v>0</v>
      </c>
      <c r="G51" s="121">
        <f t="shared" si="145"/>
        <v>0</v>
      </c>
      <c r="H51" s="121">
        <f t="shared" si="145"/>
        <v>0</v>
      </c>
      <c r="I51" s="121">
        <f t="shared" si="145"/>
        <v>3164</v>
      </c>
      <c r="J51" s="121">
        <f t="shared" si="145"/>
        <v>0</v>
      </c>
      <c r="K51" s="121">
        <f t="shared" si="145"/>
        <v>0</v>
      </c>
      <c r="L51" s="121">
        <f t="shared" si="145"/>
        <v>3164</v>
      </c>
      <c r="M51" s="121">
        <f t="shared" si="145"/>
        <v>3164</v>
      </c>
      <c r="N51" s="121">
        <f t="shared" si="145"/>
        <v>3164</v>
      </c>
      <c r="O51" s="121">
        <f t="shared" si="145"/>
        <v>3164</v>
      </c>
      <c r="P51" s="121">
        <f t="shared" si="145"/>
        <v>3164</v>
      </c>
      <c r="Q51" s="121">
        <f t="shared" si="145"/>
        <v>3164</v>
      </c>
      <c r="R51" s="121">
        <f t="shared" si="145"/>
        <v>3164</v>
      </c>
      <c r="S51" s="121">
        <f t="shared" si="145"/>
        <v>3164</v>
      </c>
      <c r="T51" s="121">
        <f t="shared" si="145"/>
        <v>3164</v>
      </c>
      <c r="U51" s="121">
        <f t="shared" si="145"/>
        <v>158.19999999999999</v>
      </c>
      <c r="V51" s="121">
        <f t="shared" si="145"/>
        <v>3322.2</v>
      </c>
      <c r="W51" s="121">
        <f t="shared" si="145"/>
        <v>3320</v>
      </c>
      <c r="X51" s="121">
        <f t="shared" si="145"/>
        <v>3320</v>
      </c>
      <c r="Y51" s="121">
        <f t="shared" si="145"/>
        <v>3320</v>
      </c>
      <c r="Z51" s="121">
        <f t="shared" si="145"/>
        <v>3320</v>
      </c>
      <c r="AA51" s="121">
        <f t="shared" si="145"/>
        <v>3320</v>
      </c>
      <c r="AB51" s="121">
        <f t="shared" si="145"/>
        <v>3320</v>
      </c>
      <c r="AC51" s="121">
        <f t="shared" si="145"/>
        <v>0</v>
      </c>
      <c r="AD51" s="121">
        <f t="shared" si="145"/>
        <v>0</v>
      </c>
      <c r="AE51" s="121">
        <f t="shared" si="145"/>
        <v>3320</v>
      </c>
      <c r="AF51" s="121">
        <f t="shared" si="145"/>
        <v>3320</v>
      </c>
      <c r="AG51" s="121">
        <f t="shared" si="145"/>
        <v>0</v>
      </c>
      <c r="AH51" s="121">
        <f t="shared" si="145"/>
        <v>0</v>
      </c>
      <c r="AI51" s="121">
        <f t="shared" si="145"/>
        <v>3320</v>
      </c>
      <c r="AJ51" s="121">
        <f t="shared" si="145"/>
        <v>3320</v>
      </c>
      <c r="AK51" s="121">
        <f t="shared" si="145"/>
        <v>0</v>
      </c>
      <c r="AL51" s="121">
        <f t="shared" si="145"/>
        <v>0</v>
      </c>
      <c r="AM51" s="121">
        <f t="shared" si="145"/>
        <v>3320</v>
      </c>
      <c r="AN51" s="121">
        <f t="shared" si="145"/>
        <v>3320</v>
      </c>
      <c r="AO51" s="121">
        <f t="shared" si="145"/>
        <v>0</v>
      </c>
      <c r="AP51" s="121">
        <f t="shared" si="145"/>
        <v>0</v>
      </c>
      <c r="AQ51" s="121">
        <f t="shared" si="145"/>
        <v>3320</v>
      </c>
      <c r="AR51" s="121">
        <f t="shared" si="145"/>
        <v>3320</v>
      </c>
      <c r="AS51" s="121">
        <f t="shared" si="145"/>
        <v>0</v>
      </c>
      <c r="AT51" s="121">
        <f t="shared" si="145"/>
        <v>0</v>
      </c>
      <c r="AU51" s="121">
        <f t="shared" si="145"/>
        <v>3320</v>
      </c>
      <c r="AV51" s="121">
        <f t="shared" si="145"/>
        <v>3320</v>
      </c>
      <c r="AW51" s="121">
        <f t="shared" si="145"/>
        <v>0</v>
      </c>
      <c r="AX51" s="121">
        <f t="shared" si="145"/>
        <v>0</v>
      </c>
      <c r="AY51" s="121">
        <f t="shared" si="145"/>
        <v>3320</v>
      </c>
      <c r="AZ51" s="121">
        <f t="shared" si="145"/>
        <v>166.00000000000003</v>
      </c>
      <c r="BA51" s="121">
        <f t="shared" si="145"/>
        <v>1</v>
      </c>
      <c r="BB51" s="121">
        <f t="shared" si="145"/>
        <v>165.00000000000003</v>
      </c>
      <c r="BC51" s="121">
        <f t="shared" si="145"/>
        <v>3485</v>
      </c>
      <c r="BD51" s="121">
        <f t="shared" si="145"/>
        <v>0</v>
      </c>
      <c r="BE51" s="121">
        <f t="shared" si="145"/>
        <v>3485</v>
      </c>
      <c r="BF51" s="121">
        <f t="shared" si="145"/>
        <v>165</v>
      </c>
      <c r="BG51" s="121">
        <f t="shared" si="145"/>
        <v>0</v>
      </c>
      <c r="BH51" s="121">
        <f t="shared" si="145"/>
        <v>3485</v>
      </c>
      <c r="BI51" s="121">
        <f t="shared" si="145"/>
        <v>0</v>
      </c>
      <c r="BJ51" s="121">
        <f t="shared" si="145"/>
        <v>0</v>
      </c>
      <c r="BK51" s="121">
        <f t="shared" si="145"/>
        <v>3485</v>
      </c>
      <c r="BL51" s="121">
        <f t="shared" si="145"/>
        <v>3485</v>
      </c>
      <c r="BM51" s="121">
        <f t="shared" si="145"/>
        <v>0</v>
      </c>
      <c r="BN51" s="121">
        <f t="shared" si="145"/>
        <v>0</v>
      </c>
      <c r="BO51" s="121">
        <f t="shared" si="145"/>
        <v>3485</v>
      </c>
      <c r="BP51" s="121">
        <f t="shared" si="145"/>
        <v>0</v>
      </c>
      <c r="BQ51" s="121">
        <f t="shared" ref="BQ51:EB51" si="146">SUM(BQ47:BQ50)</f>
        <v>3485</v>
      </c>
      <c r="BR51" s="121">
        <f t="shared" si="146"/>
        <v>0</v>
      </c>
      <c r="BS51" s="121">
        <f t="shared" si="146"/>
        <v>0</v>
      </c>
      <c r="BT51" s="121">
        <f t="shared" si="146"/>
        <v>3485</v>
      </c>
      <c r="BU51" s="121">
        <f t="shared" si="146"/>
        <v>0</v>
      </c>
      <c r="BV51" s="121">
        <f t="shared" si="146"/>
        <v>3485</v>
      </c>
      <c r="BW51" s="121">
        <f t="shared" si="146"/>
        <v>0</v>
      </c>
      <c r="BX51" s="121">
        <f t="shared" si="146"/>
        <v>0</v>
      </c>
      <c r="BY51" s="121">
        <f t="shared" si="146"/>
        <v>3485</v>
      </c>
      <c r="BZ51" s="121">
        <f t="shared" si="146"/>
        <v>0</v>
      </c>
      <c r="CA51" s="121">
        <f t="shared" si="146"/>
        <v>3485</v>
      </c>
      <c r="CB51" s="121">
        <f t="shared" si="146"/>
        <v>0</v>
      </c>
      <c r="CC51" s="121">
        <f t="shared" si="146"/>
        <v>0</v>
      </c>
      <c r="CD51" s="121">
        <f t="shared" si="146"/>
        <v>3485</v>
      </c>
      <c r="CE51" s="121">
        <f t="shared" si="146"/>
        <v>0</v>
      </c>
      <c r="CF51" s="121">
        <f t="shared" si="146"/>
        <v>3485</v>
      </c>
      <c r="CG51" s="121">
        <f t="shared" si="146"/>
        <v>0</v>
      </c>
      <c r="CH51" s="121">
        <f t="shared" si="146"/>
        <v>0</v>
      </c>
      <c r="CI51" s="121">
        <f t="shared" si="146"/>
        <v>3485</v>
      </c>
      <c r="CJ51" s="121">
        <f t="shared" si="146"/>
        <v>0</v>
      </c>
      <c r="CK51" s="121">
        <f t="shared" si="146"/>
        <v>3485</v>
      </c>
      <c r="CL51" s="121">
        <f t="shared" si="146"/>
        <v>0</v>
      </c>
      <c r="CM51" s="121">
        <f t="shared" si="146"/>
        <v>0</v>
      </c>
      <c r="CN51" s="121">
        <f t="shared" si="146"/>
        <v>3485</v>
      </c>
      <c r="CO51" s="121">
        <f t="shared" si="146"/>
        <v>0</v>
      </c>
      <c r="CP51" s="121">
        <f t="shared" si="146"/>
        <v>3485</v>
      </c>
      <c r="CQ51" s="121">
        <f t="shared" si="146"/>
        <v>0</v>
      </c>
      <c r="CR51" s="121">
        <f t="shared" si="146"/>
        <v>0</v>
      </c>
      <c r="CS51" s="121">
        <f t="shared" si="146"/>
        <v>3485</v>
      </c>
      <c r="CT51" s="121">
        <f t="shared" si="146"/>
        <v>0</v>
      </c>
      <c r="CU51" s="121">
        <f t="shared" si="146"/>
        <v>3485</v>
      </c>
      <c r="CV51" s="121">
        <f t="shared" si="146"/>
        <v>0</v>
      </c>
      <c r="CW51" s="121">
        <f t="shared" si="146"/>
        <v>0</v>
      </c>
      <c r="CX51" s="121">
        <f t="shared" si="146"/>
        <v>3485</v>
      </c>
      <c r="CY51" s="121">
        <f t="shared" si="146"/>
        <v>0</v>
      </c>
      <c r="CZ51" s="121">
        <f t="shared" si="146"/>
        <v>0</v>
      </c>
      <c r="DA51" s="121">
        <f t="shared" si="146"/>
        <v>0</v>
      </c>
      <c r="DB51" s="121">
        <f t="shared" si="146"/>
        <v>0</v>
      </c>
      <c r="DC51" s="121">
        <f t="shared" si="146"/>
        <v>348.5</v>
      </c>
      <c r="DD51" s="121">
        <f t="shared" si="146"/>
        <v>0.5</v>
      </c>
      <c r="DE51" s="121">
        <f t="shared" si="146"/>
        <v>348</v>
      </c>
      <c r="DF51" s="121">
        <f t="shared" si="146"/>
        <v>348</v>
      </c>
      <c r="DG51" s="121">
        <f t="shared" si="146"/>
        <v>3833</v>
      </c>
      <c r="DH51" s="121">
        <f t="shared" si="146"/>
        <v>2.726070335763919E-4</v>
      </c>
      <c r="DI51" s="121">
        <f t="shared" si="146"/>
        <v>3485</v>
      </c>
      <c r="DJ51" s="121">
        <f t="shared" si="146"/>
        <v>3833.5</v>
      </c>
      <c r="DK51" s="121">
        <f t="shared" si="146"/>
        <v>348.50000000000023</v>
      </c>
      <c r="DL51" s="121">
        <f t="shared" si="146"/>
        <v>0.5</v>
      </c>
      <c r="DM51" s="121">
        <f t="shared" si="146"/>
        <v>348.00000000000023</v>
      </c>
      <c r="DN51" s="121">
        <f t="shared" si="146"/>
        <v>1.2789769243681803E-13</v>
      </c>
      <c r="DO51" s="121">
        <f t="shared" si="146"/>
        <v>3833</v>
      </c>
      <c r="DP51" s="121">
        <f t="shared" si="146"/>
        <v>0</v>
      </c>
      <c r="DQ51" s="121">
        <f t="shared" si="146"/>
        <v>3833</v>
      </c>
      <c r="DR51" s="121">
        <f t="shared" si="146"/>
        <v>0</v>
      </c>
      <c r="DS51" s="121">
        <f t="shared" si="146"/>
        <v>0</v>
      </c>
      <c r="DT51" s="121">
        <f t="shared" si="146"/>
        <v>3833</v>
      </c>
      <c r="DU51" s="121">
        <f t="shared" si="146"/>
        <v>3833</v>
      </c>
      <c r="DV51" s="121">
        <f t="shared" si="146"/>
        <v>0</v>
      </c>
      <c r="DW51" s="121">
        <f t="shared" si="146"/>
        <v>3833</v>
      </c>
      <c r="DX51" s="121">
        <f t="shared" si="146"/>
        <v>0</v>
      </c>
      <c r="DY51" s="121">
        <f t="shared" si="146"/>
        <v>0</v>
      </c>
      <c r="DZ51" s="121">
        <f t="shared" si="146"/>
        <v>3833</v>
      </c>
      <c r="EA51" s="121">
        <f t="shared" si="146"/>
        <v>3833</v>
      </c>
      <c r="EB51" s="121">
        <f t="shared" si="146"/>
        <v>0</v>
      </c>
      <c r="EC51" s="121">
        <f t="shared" ref="EC51:FL51" si="147">SUM(EC47:EC50)</f>
        <v>3833</v>
      </c>
      <c r="ED51" s="121">
        <f t="shared" si="147"/>
        <v>0</v>
      </c>
      <c r="EE51" s="121">
        <f t="shared" si="147"/>
        <v>0</v>
      </c>
      <c r="EF51" s="121">
        <f t="shared" si="147"/>
        <v>3833</v>
      </c>
      <c r="EG51" s="121">
        <f t="shared" si="147"/>
        <v>3833</v>
      </c>
      <c r="EH51" s="121">
        <f t="shared" si="147"/>
        <v>0</v>
      </c>
      <c r="EI51" s="121">
        <f t="shared" si="147"/>
        <v>3833</v>
      </c>
      <c r="EJ51" s="121">
        <f t="shared" si="147"/>
        <v>0</v>
      </c>
      <c r="EK51" s="121">
        <f t="shared" si="147"/>
        <v>0</v>
      </c>
      <c r="EL51" s="121">
        <f t="shared" si="147"/>
        <v>3833</v>
      </c>
      <c r="EM51" s="121">
        <f t="shared" si="147"/>
        <v>3833</v>
      </c>
      <c r="EN51" s="121">
        <f t="shared" si="147"/>
        <v>0</v>
      </c>
      <c r="EO51" s="121">
        <f t="shared" si="147"/>
        <v>3833</v>
      </c>
      <c r="EP51" s="121">
        <f t="shared" si="147"/>
        <v>0</v>
      </c>
      <c r="EQ51" s="121">
        <f t="shared" si="147"/>
        <v>0</v>
      </c>
      <c r="ER51" s="121">
        <f t="shared" si="147"/>
        <v>3833</v>
      </c>
      <c r="ES51" s="121">
        <f t="shared" si="147"/>
        <v>3833</v>
      </c>
      <c r="ET51" s="121">
        <f t="shared" si="147"/>
        <v>0</v>
      </c>
      <c r="EU51" s="121">
        <f t="shared" si="147"/>
        <v>3833</v>
      </c>
      <c r="EV51" s="121">
        <f t="shared" si="147"/>
        <v>0</v>
      </c>
      <c r="EW51" s="121">
        <f t="shared" si="147"/>
        <v>0</v>
      </c>
      <c r="EX51" s="121">
        <f t="shared" si="147"/>
        <v>3833</v>
      </c>
      <c r="EY51" s="121">
        <f t="shared" si="147"/>
        <v>3833</v>
      </c>
      <c r="EZ51" s="121">
        <f t="shared" si="147"/>
        <v>0</v>
      </c>
      <c r="FA51" s="121">
        <f t="shared" si="147"/>
        <v>3833</v>
      </c>
      <c r="FB51" s="121">
        <f t="shared" si="147"/>
        <v>0</v>
      </c>
      <c r="FC51" s="121">
        <f t="shared" si="147"/>
        <v>0</v>
      </c>
      <c r="FD51" s="121">
        <f t="shared" si="147"/>
        <v>3833</v>
      </c>
      <c r="FE51" s="121">
        <f t="shared" si="147"/>
        <v>3833</v>
      </c>
      <c r="FF51" s="121">
        <f t="shared" si="147"/>
        <v>0</v>
      </c>
      <c r="FG51" s="121">
        <f t="shared" si="147"/>
        <v>3833</v>
      </c>
      <c r="FH51" s="121">
        <f t="shared" si="147"/>
        <v>0</v>
      </c>
      <c r="FI51" s="121">
        <f t="shared" si="147"/>
        <v>0</v>
      </c>
      <c r="FJ51" s="121">
        <f t="shared" si="147"/>
        <v>3833</v>
      </c>
      <c r="FK51" s="121">
        <f t="shared" si="147"/>
        <v>3833</v>
      </c>
      <c r="FL51" s="121">
        <f t="shared" si="147"/>
        <v>0</v>
      </c>
      <c r="FM51" s="121">
        <f t="shared" ref="FM51:FR51" si="148">SUM(FM47:FM50)</f>
        <v>3833</v>
      </c>
      <c r="FN51" s="121">
        <f t="shared" si="148"/>
        <v>0</v>
      </c>
      <c r="FO51" s="121">
        <f t="shared" si="148"/>
        <v>0</v>
      </c>
      <c r="FP51" s="121">
        <f t="shared" si="148"/>
        <v>3833</v>
      </c>
      <c r="FQ51" s="121">
        <f t="shared" si="148"/>
        <v>3833</v>
      </c>
      <c r="FR51" s="121">
        <f t="shared" si="148"/>
        <v>0</v>
      </c>
      <c r="FS51" s="121">
        <f t="shared" ref="FS51:FX51" si="149">SUM(FS47:FS50)</f>
        <v>3833</v>
      </c>
      <c r="FT51" s="121">
        <f t="shared" si="149"/>
        <v>0</v>
      </c>
      <c r="FU51" s="121">
        <f t="shared" si="149"/>
        <v>0</v>
      </c>
      <c r="FV51" s="121">
        <f t="shared" si="149"/>
        <v>3833</v>
      </c>
      <c r="FW51" s="121">
        <f t="shared" si="149"/>
        <v>3833</v>
      </c>
      <c r="FX51" s="121">
        <f t="shared" si="149"/>
        <v>0</v>
      </c>
      <c r="FY51" s="121">
        <f t="shared" ref="FY51:GD51" si="150">SUM(FY47:FY50)</f>
        <v>3833</v>
      </c>
      <c r="FZ51" s="121">
        <f t="shared" si="150"/>
        <v>0</v>
      </c>
      <c r="GA51" s="121">
        <f t="shared" si="150"/>
        <v>0</v>
      </c>
      <c r="GB51" s="121">
        <f t="shared" si="150"/>
        <v>3833</v>
      </c>
      <c r="GC51" s="121">
        <f t="shared" si="150"/>
        <v>3833</v>
      </c>
      <c r="GD51" s="121">
        <f t="shared" si="150"/>
        <v>0</v>
      </c>
      <c r="GE51" s="121">
        <f t="shared" ref="GE51:GJ51" si="151">SUM(GE47:GE50)</f>
        <v>3833</v>
      </c>
      <c r="GF51" s="121">
        <f t="shared" si="151"/>
        <v>0</v>
      </c>
      <c r="GG51" s="121">
        <f t="shared" si="151"/>
        <v>0</v>
      </c>
      <c r="GH51" s="121">
        <f t="shared" si="151"/>
        <v>3833</v>
      </c>
      <c r="GI51" s="121">
        <f t="shared" si="151"/>
        <v>3833</v>
      </c>
      <c r="GJ51" s="121">
        <f t="shared" si="151"/>
        <v>0</v>
      </c>
      <c r="GK51" s="121">
        <f t="shared" ref="GK51:GP51" si="152">SUM(GK47:GK50)</f>
        <v>3833</v>
      </c>
      <c r="GL51" s="121">
        <f t="shared" si="152"/>
        <v>0</v>
      </c>
      <c r="GM51" s="121">
        <f t="shared" si="152"/>
        <v>0</v>
      </c>
      <c r="GN51" s="121">
        <f t="shared" si="152"/>
        <v>3833</v>
      </c>
      <c r="GO51" s="121">
        <f t="shared" si="152"/>
        <v>3833</v>
      </c>
      <c r="GP51" s="121">
        <f t="shared" si="152"/>
        <v>0</v>
      </c>
      <c r="GQ51" s="121">
        <f t="shared" ref="GQ51:GV51" si="153">SUM(GQ47:GQ50)</f>
        <v>3833</v>
      </c>
      <c r="GR51" s="121">
        <f t="shared" si="153"/>
        <v>0</v>
      </c>
      <c r="GS51" s="121">
        <f t="shared" si="153"/>
        <v>0</v>
      </c>
      <c r="GT51" s="121">
        <f t="shared" si="153"/>
        <v>3833</v>
      </c>
      <c r="GU51" s="121">
        <f t="shared" si="153"/>
        <v>3833</v>
      </c>
      <c r="GV51" s="121">
        <f t="shared" si="153"/>
        <v>0</v>
      </c>
      <c r="GW51" s="121">
        <f t="shared" ref="GW51:HB51" si="154">SUM(GW47:GW50)</f>
        <v>4023</v>
      </c>
      <c r="GX51" s="121">
        <f t="shared" si="154"/>
        <v>0</v>
      </c>
      <c r="GY51" s="121">
        <f t="shared" si="154"/>
        <v>0</v>
      </c>
      <c r="GZ51" s="121">
        <f t="shared" si="154"/>
        <v>4023</v>
      </c>
      <c r="HA51" s="121">
        <f t="shared" si="154"/>
        <v>4023</v>
      </c>
      <c r="HB51" s="121">
        <f t="shared" si="154"/>
        <v>190</v>
      </c>
      <c r="HC51" s="121">
        <f>SUM(HC47:HC50)</f>
        <v>2.7257147768313821E-4</v>
      </c>
    </row>
    <row r="52" spans="1:226" x14ac:dyDescent="0.3">
      <c r="A52" s="100"/>
      <c r="B52" s="100"/>
      <c r="C52" s="100"/>
      <c r="D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27"/>
      <c r="AZ52" s="100"/>
      <c r="BA52" s="100"/>
      <c r="BB52" s="100"/>
      <c r="BC52" s="100"/>
      <c r="BD52" s="100"/>
      <c r="BE52" s="100"/>
      <c r="BF52" s="100"/>
      <c r="BG52" s="100"/>
      <c r="BH52" s="100"/>
      <c r="BI52" s="100"/>
      <c r="BJ52" s="100"/>
      <c r="BK52" s="100"/>
      <c r="BL52" s="100"/>
      <c r="BM52" s="100"/>
      <c r="BN52" s="100"/>
      <c r="BO52" s="100"/>
      <c r="BP52" s="100"/>
      <c r="BQ52" s="100"/>
      <c r="BR52" s="100"/>
      <c r="BS52" s="100"/>
      <c r="BT52" s="100"/>
      <c r="BU52" s="100"/>
      <c r="BV52" s="100"/>
      <c r="BW52" s="100"/>
      <c r="BX52" s="100"/>
      <c r="BY52" s="100"/>
      <c r="BZ52" s="100"/>
      <c r="CA52" s="100"/>
      <c r="CB52" s="100"/>
      <c r="CC52" s="100"/>
      <c r="CD52" s="100"/>
      <c r="CE52" s="100"/>
      <c r="CF52" s="100"/>
      <c r="CG52" s="100"/>
      <c r="CH52" s="100"/>
      <c r="CI52" s="100"/>
      <c r="CJ52" s="100"/>
      <c r="CK52" s="100"/>
      <c r="CL52" s="100"/>
      <c r="CM52" s="100"/>
      <c r="CN52" s="100"/>
      <c r="CO52" s="100"/>
      <c r="CP52" s="100"/>
      <c r="CQ52" s="100"/>
      <c r="CR52" s="100"/>
      <c r="CS52" s="100"/>
      <c r="CT52" s="100"/>
      <c r="CU52" s="100"/>
      <c r="CV52" s="100"/>
      <c r="CW52" s="100"/>
      <c r="CX52" s="100"/>
      <c r="CY52" s="100"/>
      <c r="CZ52" s="100"/>
      <c r="DA52" s="100"/>
      <c r="DB52" s="100"/>
      <c r="DC52" s="100"/>
      <c r="DD52" s="100"/>
      <c r="DE52" s="100"/>
      <c r="DF52" s="100"/>
      <c r="DG52" s="100"/>
      <c r="DH52" s="100"/>
    </row>
    <row r="53" spans="1:226" s="74" customFormat="1" ht="52.5" customHeight="1" x14ac:dyDescent="0.3">
      <c r="A53" s="85" t="s">
        <v>0</v>
      </c>
      <c r="B53" s="85" t="s">
        <v>1</v>
      </c>
      <c r="C53" s="85" t="s">
        <v>217</v>
      </c>
      <c r="D53" s="86" t="s">
        <v>218</v>
      </c>
      <c r="E53" s="87" t="s">
        <v>233</v>
      </c>
      <c r="F53" s="87" t="s">
        <v>234</v>
      </c>
      <c r="G53" s="87" t="s">
        <v>235</v>
      </c>
      <c r="H53" s="87" t="s">
        <v>383</v>
      </c>
      <c r="I53" s="87" t="s">
        <v>382</v>
      </c>
      <c r="J53" s="87" t="s">
        <v>381</v>
      </c>
      <c r="K53" s="87" t="s">
        <v>380</v>
      </c>
      <c r="L53" s="87" t="s">
        <v>379</v>
      </c>
      <c r="M53" s="87" t="s">
        <v>378</v>
      </c>
      <c r="N53" s="87" t="s">
        <v>377</v>
      </c>
      <c r="O53" s="87" t="s">
        <v>394</v>
      </c>
      <c r="P53" s="87" t="s">
        <v>413</v>
      </c>
      <c r="Q53" s="87" t="s">
        <v>415</v>
      </c>
      <c r="R53" s="87" t="s">
        <v>417</v>
      </c>
      <c r="S53" s="87" t="s">
        <v>420</v>
      </c>
      <c r="T53" s="87" t="s">
        <v>421</v>
      </c>
      <c r="U53" s="87" t="s">
        <v>425</v>
      </c>
      <c r="V53" s="87" t="s">
        <v>426</v>
      </c>
      <c r="W53" s="87" t="s">
        <v>424</v>
      </c>
      <c r="X53" s="87" t="s">
        <v>437</v>
      </c>
      <c r="Y53" s="87" t="s">
        <v>439</v>
      </c>
      <c r="Z53" s="87" t="s">
        <v>447</v>
      </c>
      <c r="AA53" s="87" t="s">
        <v>458</v>
      </c>
      <c r="AB53" s="590" t="s">
        <v>459</v>
      </c>
      <c r="AC53" s="591"/>
      <c r="AD53" s="591"/>
      <c r="AE53" s="592"/>
      <c r="AF53" s="596" t="s">
        <v>462</v>
      </c>
      <c r="AG53" s="597"/>
      <c r="AH53" s="597"/>
      <c r="AI53" s="598"/>
      <c r="AJ53" s="590" t="s">
        <v>466</v>
      </c>
      <c r="AK53" s="591"/>
      <c r="AL53" s="591"/>
      <c r="AM53" s="592"/>
      <c r="AN53" s="596" t="s">
        <v>470</v>
      </c>
      <c r="AO53" s="597"/>
      <c r="AP53" s="597"/>
      <c r="AQ53" s="598"/>
      <c r="AR53" s="590" t="s">
        <v>478</v>
      </c>
      <c r="AS53" s="591"/>
      <c r="AT53" s="591"/>
      <c r="AU53" s="592"/>
      <c r="AV53" s="596" t="s">
        <v>483</v>
      </c>
      <c r="AW53" s="597"/>
      <c r="AX53" s="597"/>
      <c r="AY53" s="598"/>
      <c r="AZ53" s="436" t="s">
        <v>503</v>
      </c>
      <c r="BA53" s="436" t="s">
        <v>488</v>
      </c>
      <c r="BB53" s="436" t="s">
        <v>489</v>
      </c>
      <c r="BC53" s="436" t="s">
        <v>423</v>
      </c>
      <c r="BD53" s="436" t="s">
        <v>507</v>
      </c>
      <c r="BE53" s="436" t="s">
        <v>531</v>
      </c>
      <c r="BF53" s="437" t="s">
        <v>508</v>
      </c>
      <c r="BG53" s="437" t="s">
        <v>509</v>
      </c>
      <c r="BH53" s="590" t="s">
        <v>532</v>
      </c>
      <c r="BI53" s="591"/>
      <c r="BJ53" s="591"/>
      <c r="BK53" s="592"/>
      <c r="BL53" s="596" t="s">
        <v>539</v>
      </c>
      <c r="BM53" s="597"/>
      <c r="BN53" s="597"/>
      <c r="BO53" s="598"/>
      <c r="BP53" s="438" t="s">
        <v>538</v>
      </c>
      <c r="BQ53" s="590" t="s">
        <v>542</v>
      </c>
      <c r="BR53" s="591"/>
      <c r="BS53" s="591"/>
      <c r="BT53" s="592"/>
      <c r="BU53" s="438" t="s">
        <v>541</v>
      </c>
      <c r="BV53" s="590" t="s">
        <v>552</v>
      </c>
      <c r="BW53" s="591"/>
      <c r="BX53" s="591"/>
      <c r="BY53" s="592"/>
      <c r="BZ53" s="438" t="s">
        <v>553</v>
      </c>
      <c r="CA53" s="590" t="s">
        <v>578</v>
      </c>
      <c r="CB53" s="591"/>
      <c r="CC53" s="591"/>
      <c r="CD53" s="592"/>
      <c r="CE53" s="438" t="s">
        <v>579</v>
      </c>
      <c r="CF53" s="590" t="s">
        <v>581</v>
      </c>
      <c r="CG53" s="591"/>
      <c r="CH53" s="591"/>
      <c r="CI53" s="592"/>
      <c r="CJ53" s="438" t="s">
        <v>580</v>
      </c>
      <c r="CK53" s="590" t="s">
        <v>585</v>
      </c>
      <c r="CL53" s="591"/>
      <c r="CM53" s="591"/>
      <c r="CN53" s="592"/>
      <c r="CO53" s="438" t="s">
        <v>586</v>
      </c>
      <c r="CP53" s="590" t="s">
        <v>587</v>
      </c>
      <c r="CQ53" s="591"/>
      <c r="CR53" s="591"/>
      <c r="CS53" s="592"/>
      <c r="CT53" s="438" t="s">
        <v>588</v>
      </c>
      <c r="CU53" s="590" t="s">
        <v>590</v>
      </c>
      <c r="CV53" s="591"/>
      <c r="CW53" s="591"/>
      <c r="CX53" s="592"/>
      <c r="CY53" s="438" t="s">
        <v>592</v>
      </c>
      <c r="CZ53" s="294"/>
      <c r="DA53" s="294"/>
      <c r="DB53" s="294"/>
      <c r="DC53" s="95" t="s">
        <v>602</v>
      </c>
      <c r="DD53" s="95" t="s">
        <v>488</v>
      </c>
      <c r="DE53" s="95" t="s">
        <v>489</v>
      </c>
      <c r="DF53" s="95" t="s">
        <v>603</v>
      </c>
      <c r="DG53" s="95" t="s">
        <v>423</v>
      </c>
      <c r="DH53" s="85" t="s">
        <v>2</v>
      </c>
      <c r="DI53" s="593" t="s">
        <v>613</v>
      </c>
      <c r="DJ53" s="594"/>
      <c r="DK53" s="594"/>
      <c r="DL53" s="594"/>
      <c r="DM53" s="594"/>
      <c r="DN53" s="594"/>
      <c r="DO53" s="594"/>
      <c r="DP53" s="595"/>
      <c r="DQ53" s="584" t="s">
        <v>614</v>
      </c>
      <c r="DR53" s="585"/>
      <c r="DS53" s="585"/>
      <c r="DT53" s="585"/>
      <c r="DU53" s="586"/>
      <c r="DV53" s="87" t="s">
        <v>615</v>
      </c>
      <c r="DW53" s="584" t="s">
        <v>623</v>
      </c>
      <c r="DX53" s="585"/>
      <c r="DY53" s="585"/>
      <c r="DZ53" s="585"/>
      <c r="EA53" s="586"/>
      <c r="EB53" s="87" t="s">
        <v>624</v>
      </c>
      <c r="EC53" s="584" t="s">
        <v>627</v>
      </c>
      <c r="ED53" s="585"/>
      <c r="EE53" s="585"/>
      <c r="EF53" s="585"/>
      <c r="EG53" s="586"/>
      <c r="EH53" s="87" t="s">
        <v>628</v>
      </c>
      <c r="EI53" s="584" t="s">
        <v>631</v>
      </c>
      <c r="EJ53" s="585"/>
      <c r="EK53" s="585"/>
      <c r="EL53" s="585"/>
      <c r="EM53" s="586"/>
      <c r="EN53" s="87" t="s">
        <v>632</v>
      </c>
      <c r="EO53" s="584" t="s">
        <v>638</v>
      </c>
      <c r="EP53" s="585"/>
      <c r="EQ53" s="585"/>
      <c r="ER53" s="585"/>
      <c r="ES53" s="586"/>
      <c r="ET53" s="87" t="s">
        <v>637</v>
      </c>
      <c r="EU53" s="584" t="s">
        <v>641</v>
      </c>
      <c r="EV53" s="585"/>
      <c r="EW53" s="585"/>
      <c r="EX53" s="585"/>
      <c r="EY53" s="586"/>
      <c r="EZ53" s="87" t="s">
        <v>642</v>
      </c>
      <c r="FA53" s="584" t="s">
        <v>645</v>
      </c>
      <c r="FB53" s="585"/>
      <c r="FC53" s="585"/>
      <c r="FD53" s="585"/>
      <c r="FE53" s="586"/>
      <c r="FF53" s="87" t="s">
        <v>646</v>
      </c>
      <c r="FG53" s="584" t="s">
        <v>653</v>
      </c>
      <c r="FH53" s="585"/>
      <c r="FI53" s="585"/>
      <c r="FJ53" s="585"/>
      <c r="FK53" s="586"/>
      <c r="FL53" s="87" t="s">
        <v>654</v>
      </c>
      <c r="FM53" s="584" t="s">
        <v>662</v>
      </c>
      <c r="FN53" s="585"/>
      <c r="FO53" s="585"/>
      <c r="FP53" s="585"/>
      <c r="FQ53" s="586"/>
      <c r="FR53" s="87" t="s">
        <v>657</v>
      </c>
      <c r="FS53" s="584" t="s">
        <v>661</v>
      </c>
      <c r="FT53" s="585"/>
      <c r="FU53" s="585"/>
      <c r="FV53" s="585"/>
      <c r="FW53" s="586"/>
      <c r="FX53" s="87" t="s">
        <v>663</v>
      </c>
      <c r="FY53" s="584" t="s">
        <v>665</v>
      </c>
      <c r="FZ53" s="585"/>
      <c r="GA53" s="585"/>
      <c r="GB53" s="585"/>
      <c r="GC53" s="586"/>
      <c r="GD53" s="87" t="s">
        <v>666</v>
      </c>
      <c r="GE53" s="584" t="s">
        <v>668</v>
      </c>
      <c r="GF53" s="585"/>
      <c r="GG53" s="585"/>
      <c r="GH53" s="585"/>
      <c r="GI53" s="586"/>
      <c r="GJ53" s="87" t="s">
        <v>669</v>
      </c>
      <c r="GK53" s="584" t="s">
        <v>671</v>
      </c>
      <c r="GL53" s="585"/>
      <c r="GM53" s="585"/>
      <c r="GN53" s="585"/>
      <c r="GO53" s="586"/>
      <c r="GP53" s="87" t="s">
        <v>672</v>
      </c>
      <c r="GQ53" s="584" t="s">
        <v>674</v>
      </c>
      <c r="GR53" s="585"/>
      <c r="GS53" s="585"/>
      <c r="GT53" s="585"/>
      <c r="GU53" s="586"/>
      <c r="GV53" s="87" t="s">
        <v>675</v>
      </c>
      <c r="GW53" s="584" t="s">
        <v>696</v>
      </c>
      <c r="GX53" s="585"/>
      <c r="GY53" s="585"/>
      <c r="GZ53" s="585"/>
      <c r="HA53" s="586"/>
      <c r="HB53" s="87" t="s">
        <v>697</v>
      </c>
      <c r="HC53" s="85" t="s">
        <v>2</v>
      </c>
      <c r="HD53" s="6"/>
      <c r="HE53" s="587" t="s">
        <v>678</v>
      </c>
      <c r="HF53" s="588"/>
      <c r="HG53" s="588"/>
      <c r="HH53" s="588"/>
      <c r="HI53" s="589"/>
      <c r="HJ53" s="85" t="s">
        <v>2</v>
      </c>
      <c r="HK53" s="593" t="s">
        <v>698</v>
      </c>
      <c r="HL53" s="594"/>
      <c r="HM53" s="594"/>
      <c r="HN53" s="594"/>
      <c r="HO53" s="594"/>
      <c r="HP53" s="594"/>
      <c r="HQ53" s="594"/>
      <c r="HR53" s="594"/>
    </row>
    <row r="54" spans="1:226" s="74" customFormat="1" ht="31.2" thickBot="1" x14ac:dyDescent="0.35">
      <c r="A54" s="89"/>
      <c r="B54" s="440" t="s">
        <v>557</v>
      </c>
      <c r="C54" s="448"/>
      <c r="D54" s="447"/>
      <c r="E54" s="87"/>
      <c r="F54" s="87"/>
      <c r="G54" s="87"/>
      <c r="H54" s="88"/>
      <c r="I54" s="88"/>
      <c r="J54" s="294"/>
      <c r="K54" s="88"/>
      <c r="L54" s="87"/>
      <c r="M54" s="87"/>
      <c r="N54" s="87"/>
      <c r="O54" s="294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94"/>
      <c r="AA54" s="294"/>
      <c r="AB54" s="112" t="s">
        <v>234</v>
      </c>
      <c r="AC54" s="112" t="s">
        <v>454</v>
      </c>
      <c r="AD54" s="112" t="s">
        <v>455</v>
      </c>
      <c r="AE54" s="112" t="s">
        <v>456</v>
      </c>
      <c r="AF54" s="14" t="s">
        <v>234</v>
      </c>
      <c r="AG54" s="14" t="s">
        <v>454</v>
      </c>
      <c r="AH54" s="14" t="s">
        <v>455</v>
      </c>
      <c r="AI54" s="14" t="s">
        <v>456</v>
      </c>
      <c r="AJ54" s="112" t="s">
        <v>234</v>
      </c>
      <c r="AK54" s="112" t="s">
        <v>454</v>
      </c>
      <c r="AL54" s="112" t="s">
        <v>455</v>
      </c>
      <c r="AM54" s="112" t="s">
        <v>456</v>
      </c>
      <c r="AN54" s="14" t="s">
        <v>234</v>
      </c>
      <c r="AO54" s="14" t="s">
        <v>454</v>
      </c>
      <c r="AP54" s="14" t="s">
        <v>455</v>
      </c>
      <c r="AQ54" s="14" t="s">
        <v>456</v>
      </c>
      <c r="AR54" s="112" t="s">
        <v>234</v>
      </c>
      <c r="AS54" s="112" t="s">
        <v>454</v>
      </c>
      <c r="AT54" s="112" t="s">
        <v>455</v>
      </c>
      <c r="AU54" s="112" t="s">
        <v>456</v>
      </c>
      <c r="AV54" s="14" t="s">
        <v>234</v>
      </c>
      <c r="AW54" s="14" t="s">
        <v>454</v>
      </c>
      <c r="AX54" s="14" t="s">
        <v>455</v>
      </c>
      <c r="AY54" s="14" t="s">
        <v>456</v>
      </c>
      <c r="AZ54" s="443"/>
      <c r="BA54" s="443"/>
      <c r="BB54" s="443"/>
      <c r="BC54" s="443"/>
      <c r="BD54" s="443"/>
      <c r="BE54" s="443"/>
      <c r="BF54" s="444"/>
      <c r="BG54" s="444"/>
      <c r="BH54" s="112" t="s">
        <v>234</v>
      </c>
      <c r="BI54" s="112" t="s">
        <v>454</v>
      </c>
      <c r="BJ54" s="112" t="s">
        <v>455</v>
      </c>
      <c r="BK54" s="112" t="s">
        <v>456</v>
      </c>
      <c r="BL54" s="14" t="s">
        <v>234</v>
      </c>
      <c r="BM54" s="14" t="s">
        <v>454</v>
      </c>
      <c r="BN54" s="14" t="s">
        <v>455</v>
      </c>
      <c r="BO54" s="14" t="s">
        <v>456</v>
      </c>
      <c r="BP54" s="445"/>
      <c r="BQ54" s="112" t="s">
        <v>234</v>
      </c>
      <c r="BR54" s="112" t="s">
        <v>454</v>
      </c>
      <c r="BS54" s="112" t="s">
        <v>455</v>
      </c>
      <c r="BT54" s="112" t="s">
        <v>456</v>
      </c>
      <c r="BU54" s="445"/>
      <c r="BV54" s="112" t="s">
        <v>234</v>
      </c>
      <c r="BW54" s="112" t="s">
        <v>454</v>
      </c>
      <c r="BX54" s="112" t="s">
        <v>455</v>
      </c>
      <c r="BY54" s="112" t="s">
        <v>456</v>
      </c>
      <c r="BZ54" s="445"/>
      <c r="CA54" s="112" t="s">
        <v>234</v>
      </c>
      <c r="CB54" s="112" t="s">
        <v>454</v>
      </c>
      <c r="CC54" s="112" t="s">
        <v>455</v>
      </c>
      <c r="CD54" s="112" t="s">
        <v>456</v>
      </c>
      <c r="CE54" s="445"/>
      <c r="CF54" s="112" t="s">
        <v>234</v>
      </c>
      <c r="CG54" s="112" t="s">
        <v>454</v>
      </c>
      <c r="CH54" s="112" t="s">
        <v>455</v>
      </c>
      <c r="CI54" s="112" t="s">
        <v>456</v>
      </c>
      <c r="CJ54" s="445"/>
      <c r="CK54" s="112" t="s">
        <v>234</v>
      </c>
      <c r="CL54" s="112" t="s">
        <v>454</v>
      </c>
      <c r="CM54" s="112" t="s">
        <v>455</v>
      </c>
      <c r="CN54" s="112" t="s">
        <v>456</v>
      </c>
      <c r="CO54" s="445"/>
      <c r="CP54" s="112" t="s">
        <v>234</v>
      </c>
      <c r="CQ54" s="112" t="s">
        <v>454</v>
      </c>
      <c r="CR54" s="112" t="s">
        <v>455</v>
      </c>
      <c r="CS54" s="96" t="s">
        <v>456</v>
      </c>
      <c r="CT54" s="445"/>
      <c r="CU54" s="96" t="s">
        <v>234</v>
      </c>
      <c r="CV54" s="96" t="s">
        <v>454</v>
      </c>
      <c r="CW54" s="96" t="s">
        <v>455</v>
      </c>
      <c r="CX54" s="96" t="s">
        <v>456</v>
      </c>
      <c r="CY54" s="451"/>
      <c r="CZ54" s="311"/>
      <c r="DA54" s="311"/>
      <c r="DB54" s="311"/>
      <c r="DC54" s="95" t="s">
        <v>602</v>
      </c>
      <c r="DD54" s="95" t="s">
        <v>488</v>
      </c>
      <c r="DE54" s="95" t="s">
        <v>489</v>
      </c>
      <c r="DF54" s="95" t="s">
        <v>603</v>
      </c>
      <c r="DG54" s="95" t="s">
        <v>423</v>
      </c>
      <c r="DH54" s="89"/>
      <c r="DI54" s="90" t="s">
        <v>604</v>
      </c>
      <c r="DJ54" s="91" t="s">
        <v>605</v>
      </c>
      <c r="DK54" s="92" t="s">
        <v>606</v>
      </c>
      <c r="DL54" s="92" t="s">
        <v>607</v>
      </c>
      <c r="DM54" s="91" t="s">
        <v>608</v>
      </c>
      <c r="DN54" s="91" t="s">
        <v>609</v>
      </c>
      <c r="DO54" s="91" t="s">
        <v>611</v>
      </c>
      <c r="DP54" s="91" t="s">
        <v>610</v>
      </c>
      <c r="DQ54" s="112" t="s">
        <v>234</v>
      </c>
      <c r="DR54" s="112" t="s">
        <v>454</v>
      </c>
      <c r="DS54" s="112" t="s">
        <v>455</v>
      </c>
      <c r="DT54" s="93" t="s">
        <v>456</v>
      </c>
      <c r="DU54" s="94" t="s">
        <v>457</v>
      </c>
      <c r="DV54" s="87"/>
      <c r="DW54" s="112" t="s">
        <v>234</v>
      </c>
      <c r="DX54" s="112" t="s">
        <v>454</v>
      </c>
      <c r="DY54" s="112" t="s">
        <v>455</v>
      </c>
      <c r="DZ54" s="93" t="s">
        <v>456</v>
      </c>
      <c r="EA54" s="94" t="s">
        <v>457</v>
      </c>
      <c r="EB54" s="87"/>
      <c r="EC54" s="112" t="s">
        <v>234</v>
      </c>
      <c r="ED54" s="112" t="s">
        <v>454</v>
      </c>
      <c r="EE54" s="112" t="s">
        <v>455</v>
      </c>
      <c r="EF54" s="93" t="s">
        <v>456</v>
      </c>
      <c r="EG54" s="94" t="s">
        <v>457</v>
      </c>
      <c r="EH54" s="87"/>
      <c r="EI54" s="112" t="s">
        <v>234</v>
      </c>
      <c r="EJ54" s="112" t="s">
        <v>454</v>
      </c>
      <c r="EK54" s="112" t="s">
        <v>455</v>
      </c>
      <c r="EL54" s="93" t="s">
        <v>456</v>
      </c>
      <c r="EM54" s="94" t="s">
        <v>457</v>
      </c>
      <c r="EN54" s="87"/>
      <c r="EO54" s="112" t="s">
        <v>234</v>
      </c>
      <c r="EP54" s="112" t="s">
        <v>454</v>
      </c>
      <c r="EQ54" s="112" t="s">
        <v>455</v>
      </c>
      <c r="ER54" s="93" t="s">
        <v>456</v>
      </c>
      <c r="ES54" s="94" t="s">
        <v>457</v>
      </c>
      <c r="ET54" s="87"/>
      <c r="EU54" s="112" t="s">
        <v>234</v>
      </c>
      <c r="EV54" s="112" t="s">
        <v>454</v>
      </c>
      <c r="EW54" s="112" t="s">
        <v>455</v>
      </c>
      <c r="EX54" s="93" t="s">
        <v>456</v>
      </c>
      <c r="EY54" s="94" t="s">
        <v>457</v>
      </c>
      <c r="EZ54" s="87"/>
      <c r="FA54" s="112" t="s">
        <v>234</v>
      </c>
      <c r="FB54" s="112" t="s">
        <v>454</v>
      </c>
      <c r="FC54" s="112" t="s">
        <v>455</v>
      </c>
      <c r="FD54" s="93" t="s">
        <v>456</v>
      </c>
      <c r="FE54" s="136" t="s">
        <v>457</v>
      </c>
      <c r="FF54" s="87"/>
      <c r="FG54" s="112" t="s">
        <v>234</v>
      </c>
      <c r="FH54" s="112" t="s">
        <v>454</v>
      </c>
      <c r="FI54" s="112" t="s">
        <v>455</v>
      </c>
      <c r="FJ54" s="93" t="s">
        <v>456</v>
      </c>
      <c r="FK54" s="94" t="s">
        <v>457</v>
      </c>
      <c r="FL54" s="87"/>
      <c r="FM54" s="112" t="s">
        <v>234</v>
      </c>
      <c r="FN54" s="112" t="s">
        <v>454</v>
      </c>
      <c r="FO54" s="112" t="s">
        <v>455</v>
      </c>
      <c r="FP54" s="93" t="s">
        <v>456</v>
      </c>
      <c r="FQ54" s="94" t="s">
        <v>457</v>
      </c>
      <c r="FR54" s="87"/>
      <c r="FS54" s="112" t="s">
        <v>234</v>
      </c>
      <c r="FT54" s="112" t="s">
        <v>454</v>
      </c>
      <c r="FU54" s="112" t="s">
        <v>455</v>
      </c>
      <c r="FV54" s="93" t="s">
        <v>456</v>
      </c>
      <c r="FW54" s="94" t="s">
        <v>457</v>
      </c>
      <c r="FX54" s="87"/>
      <c r="FY54" s="112" t="s">
        <v>234</v>
      </c>
      <c r="FZ54" s="112" t="s">
        <v>454</v>
      </c>
      <c r="GA54" s="112" t="s">
        <v>455</v>
      </c>
      <c r="GB54" s="93" t="s">
        <v>456</v>
      </c>
      <c r="GC54" s="94" t="s">
        <v>457</v>
      </c>
      <c r="GD54" s="87"/>
      <c r="GE54" s="112" t="s">
        <v>234</v>
      </c>
      <c r="GF54" s="112" t="s">
        <v>454</v>
      </c>
      <c r="GG54" s="112" t="s">
        <v>455</v>
      </c>
      <c r="GH54" s="93" t="s">
        <v>456</v>
      </c>
      <c r="GI54" s="94" t="s">
        <v>457</v>
      </c>
      <c r="GJ54" s="87"/>
      <c r="GK54" s="112" t="s">
        <v>234</v>
      </c>
      <c r="GL54" s="112" t="s">
        <v>454</v>
      </c>
      <c r="GM54" s="112" t="s">
        <v>455</v>
      </c>
      <c r="GN54" s="93" t="s">
        <v>456</v>
      </c>
      <c r="GO54" s="94" t="s">
        <v>457</v>
      </c>
      <c r="GP54" s="87"/>
      <c r="GQ54" s="112" t="s">
        <v>234</v>
      </c>
      <c r="GR54" s="112" t="s">
        <v>454</v>
      </c>
      <c r="GS54" s="112" t="s">
        <v>455</v>
      </c>
      <c r="GT54" s="93" t="s">
        <v>456</v>
      </c>
      <c r="GU54" s="94" t="s">
        <v>457</v>
      </c>
      <c r="GV54" s="87"/>
      <c r="GW54" s="112" t="s">
        <v>234</v>
      </c>
      <c r="GX54" s="112" t="s">
        <v>454</v>
      </c>
      <c r="GY54" s="112" t="s">
        <v>455</v>
      </c>
      <c r="GZ54" s="93" t="s">
        <v>456</v>
      </c>
      <c r="HA54" s="94" t="s">
        <v>457</v>
      </c>
      <c r="HB54" s="87"/>
      <c r="HC54" s="85"/>
      <c r="HD54" s="6"/>
      <c r="HE54" s="95" t="s">
        <v>679</v>
      </c>
      <c r="HF54" s="95" t="s">
        <v>488</v>
      </c>
      <c r="HG54" s="220" t="s">
        <v>489</v>
      </c>
      <c r="HH54" s="95" t="s">
        <v>603</v>
      </c>
      <c r="HI54" s="95" t="s">
        <v>423</v>
      </c>
      <c r="HJ54" s="85"/>
      <c r="HK54" s="90" t="s">
        <v>680</v>
      </c>
      <c r="HL54" s="91" t="s">
        <v>681</v>
      </c>
      <c r="HM54" s="92" t="s">
        <v>606</v>
      </c>
      <c r="HN54" s="92" t="s">
        <v>607</v>
      </c>
      <c r="HO54" s="91" t="s">
        <v>608</v>
      </c>
      <c r="HP54" s="91" t="s">
        <v>609</v>
      </c>
      <c r="HQ54" s="92" t="s">
        <v>456</v>
      </c>
      <c r="HR54" s="91" t="s">
        <v>610</v>
      </c>
    </row>
    <row r="55" spans="1:226" x14ac:dyDescent="0.3">
      <c r="A55" s="142">
        <v>1</v>
      </c>
      <c r="B55" s="452" t="s">
        <v>187</v>
      </c>
      <c r="C55" s="208" t="s">
        <v>262</v>
      </c>
      <c r="D55" s="205" t="s">
        <v>188</v>
      </c>
      <c r="E55" s="27">
        <v>0</v>
      </c>
      <c r="F55" s="9">
        <v>11540529</v>
      </c>
      <c r="G55" s="9">
        <v>0</v>
      </c>
      <c r="H55" s="324"/>
      <c r="I55" s="324">
        <v>11540529</v>
      </c>
      <c r="J55" s="324">
        <v>11540529</v>
      </c>
      <c r="K55" s="324"/>
      <c r="L55" s="324">
        <v>11540529</v>
      </c>
      <c r="M55" s="23">
        <v>11540529</v>
      </c>
      <c r="N55" s="23">
        <v>11540529</v>
      </c>
      <c r="O55" s="298">
        <v>11540529</v>
      </c>
      <c r="P55" s="298">
        <v>11540529</v>
      </c>
      <c r="Q55" s="298">
        <v>11540529</v>
      </c>
      <c r="R55" s="298">
        <v>11540529</v>
      </c>
      <c r="S55" s="298">
        <v>11540529</v>
      </c>
      <c r="T55" s="298">
        <v>11540529</v>
      </c>
      <c r="U55" s="298">
        <f>T55*5%</f>
        <v>577026.45000000007</v>
      </c>
      <c r="V55" s="298">
        <f>T55+U55</f>
        <v>12117555.449999999</v>
      </c>
      <c r="W55" s="298">
        <v>12117555</v>
      </c>
      <c r="X55" s="298">
        <v>12117555</v>
      </c>
      <c r="Y55" s="298">
        <v>12117555</v>
      </c>
      <c r="Z55" s="298">
        <v>12117555</v>
      </c>
      <c r="AA55" s="298">
        <v>12117555</v>
      </c>
      <c r="AB55" s="298">
        <v>12117555</v>
      </c>
      <c r="AC55" s="9">
        <v>0</v>
      </c>
      <c r="AD55" s="9">
        <v>0</v>
      </c>
      <c r="AE55" s="298">
        <f>AD55+AC55+AB55</f>
        <v>12117555</v>
      </c>
      <c r="AF55" s="298">
        <v>12117555</v>
      </c>
      <c r="AG55" s="9">
        <v>0</v>
      </c>
      <c r="AH55" s="9">
        <v>0</v>
      </c>
      <c r="AI55" s="298">
        <f>AH55+AG55+AF55</f>
        <v>12117555</v>
      </c>
      <c r="AJ55" s="298">
        <v>12117555</v>
      </c>
      <c r="AK55" s="9">
        <v>0</v>
      </c>
      <c r="AL55" s="9">
        <v>0</v>
      </c>
      <c r="AM55" s="298">
        <f t="shared" ref="AM55:AM82" si="155">AL55+AK55+AJ55</f>
        <v>12117555</v>
      </c>
      <c r="AN55" s="298">
        <v>12117555</v>
      </c>
      <c r="AO55" s="9">
        <v>0</v>
      </c>
      <c r="AP55" s="9">
        <v>0</v>
      </c>
      <c r="AQ55" s="298">
        <f t="shared" ref="AQ55:AQ82" si="156">AP55+AO55+AN55</f>
        <v>12117555</v>
      </c>
      <c r="AR55" s="28">
        <v>12117555</v>
      </c>
      <c r="AS55" s="9">
        <v>0</v>
      </c>
      <c r="AT55" s="9">
        <v>0</v>
      </c>
      <c r="AU55" s="298">
        <f t="shared" ref="AU55:AU66" si="157">AT55+AS55+AR55</f>
        <v>12117555</v>
      </c>
      <c r="AV55" s="298">
        <v>12117555</v>
      </c>
      <c r="AW55" s="9">
        <v>0</v>
      </c>
      <c r="AX55" s="9">
        <v>0</v>
      </c>
      <c r="AY55" s="7">
        <f t="shared" ref="AY55:AY82" si="158">AX55+AW55+AV55</f>
        <v>12117555</v>
      </c>
      <c r="AZ55" s="8">
        <f>AY55*5%</f>
        <v>605877.75</v>
      </c>
      <c r="BA55" s="8">
        <v>0.75</v>
      </c>
      <c r="BB55" s="8">
        <f>AZ55-BA55</f>
        <v>605877</v>
      </c>
      <c r="BC55" s="8">
        <f>BB55+AY55</f>
        <v>12723432</v>
      </c>
      <c r="BD55" s="8"/>
      <c r="BE55" s="8">
        <f>BD55+BC55</f>
        <v>12723432</v>
      </c>
      <c r="BF55" s="10">
        <f>BE55-AY55</f>
        <v>605877</v>
      </c>
      <c r="BG55" s="11">
        <f>BF55-BB55</f>
        <v>0</v>
      </c>
      <c r="BH55" s="11">
        <v>12723432</v>
      </c>
      <c r="BI55" s="11">
        <v>0</v>
      </c>
      <c r="BJ55" s="11"/>
      <c r="BK55" s="319">
        <f t="shared" ref="BK55:BK82" si="159">BJ55+BI55+BH55</f>
        <v>12723432</v>
      </c>
      <c r="BL55" s="319">
        <v>12723432</v>
      </c>
      <c r="BM55" s="319">
        <v>0</v>
      </c>
      <c r="BN55" s="319">
        <v>0</v>
      </c>
      <c r="BO55" s="319">
        <f t="shared" ref="BO55:BO62" si="160">BN55+BM55+BL55</f>
        <v>12723432</v>
      </c>
      <c r="BP55" s="319">
        <f>BO55-BK55</f>
        <v>0</v>
      </c>
      <c r="BQ55" s="319">
        <v>12723432</v>
      </c>
      <c r="BR55" s="319">
        <v>0</v>
      </c>
      <c r="BS55" s="319">
        <v>0</v>
      </c>
      <c r="BT55" s="319">
        <f t="shared" ref="BT55:BT82" si="161">BS55+BR55+BQ55</f>
        <v>12723432</v>
      </c>
      <c r="BU55" s="319">
        <f t="shared" ref="BU55:BU82" si="162">BT55-BO55</f>
        <v>0</v>
      </c>
      <c r="BV55" s="319">
        <v>12723432</v>
      </c>
      <c r="BW55" s="319">
        <v>0</v>
      </c>
      <c r="BX55" s="319">
        <v>0</v>
      </c>
      <c r="BY55" s="319">
        <f t="shared" ref="BY55:BY82" si="163">BX55+BW55+BV55</f>
        <v>12723432</v>
      </c>
      <c r="BZ55" s="319">
        <f t="shared" ref="BZ55:BZ82" si="164">BY55-BT55</f>
        <v>0</v>
      </c>
      <c r="CA55" s="319">
        <v>12723432</v>
      </c>
      <c r="CB55" s="319">
        <v>0</v>
      </c>
      <c r="CC55" s="319">
        <v>0</v>
      </c>
      <c r="CD55" s="319">
        <f t="shared" ref="CD55:CD82" si="165">CC55+CB55+CA55</f>
        <v>12723432</v>
      </c>
      <c r="CE55" s="319">
        <f t="shared" ref="CE55:CE82" si="166">CD55-BY55</f>
        <v>0</v>
      </c>
      <c r="CF55" s="319">
        <v>12723432</v>
      </c>
      <c r="CG55" s="319">
        <v>0</v>
      </c>
      <c r="CH55" s="319">
        <v>0</v>
      </c>
      <c r="CI55" s="319">
        <f t="shared" ref="CI55:CI82" si="167">CH55+CG55+CF55</f>
        <v>12723432</v>
      </c>
      <c r="CJ55" s="319">
        <f t="shared" ref="CJ55:CJ82" si="168">CI55-CD55</f>
        <v>0</v>
      </c>
      <c r="CK55" s="319">
        <v>12723432</v>
      </c>
      <c r="CL55" s="319">
        <v>0</v>
      </c>
      <c r="CM55" s="319">
        <v>0</v>
      </c>
      <c r="CN55" s="319">
        <f>CM55+CL55+CK55</f>
        <v>12723432</v>
      </c>
      <c r="CO55" s="319">
        <f>CN55-CI55</f>
        <v>0</v>
      </c>
      <c r="CP55" s="319">
        <v>12723432</v>
      </c>
      <c r="CQ55" s="319">
        <v>0</v>
      </c>
      <c r="CR55" s="29">
        <v>0</v>
      </c>
      <c r="CS55" s="30">
        <f>CR55+CQ55+CP55</f>
        <v>12723432</v>
      </c>
      <c r="CT55" s="31">
        <f>CS55-CN55</f>
        <v>0</v>
      </c>
      <c r="CU55" s="32">
        <v>12723432</v>
      </c>
      <c r="CV55" s="33">
        <v>0</v>
      </c>
      <c r="CW55" s="34">
        <v>0</v>
      </c>
      <c r="CX55" s="30">
        <f>CW55+CV55+CU55</f>
        <v>12723432</v>
      </c>
      <c r="CY55" s="30">
        <f>CX55-CS55</f>
        <v>0</v>
      </c>
      <c r="CZ55" s="26"/>
      <c r="DA55" s="26"/>
      <c r="DB55" s="26"/>
      <c r="DC55" s="12">
        <f>CX55*10%</f>
        <v>1272343.2000000002</v>
      </c>
      <c r="DD55" s="12">
        <v>0.2</v>
      </c>
      <c r="DE55" s="13">
        <f>DC55-DD55</f>
        <v>1272343.0000000002</v>
      </c>
      <c r="DF55" s="14">
        <f t="shared" ref="DF55:DF82" si="169">DE55:DE55</f>
        <v>1272343.0000000002</v>
      </c>
      <c r="DG55" s="13">
        <f t="shared" ref="DG55:DG82" si="170">DE55+CX55</f>
        <v>13995775</v>
      </c>
      <c r="DH55" s="35">
        <f t="shared" ref="DH55:DH82" si="171">100/1278396949*CX55</f>
        <v>0.99526457802896395</v>
      </c>
      <c r="DI55" s="16">
        <f t="shared" ref="DI55:DI82" si="172">CX55</f>
        <v>12723432</v>
      </c>
      <c r="DJ55" s="132">
        <f>DI55*1.1</f>
        <v>13995775.200000001</v>
      </c>
      <c r="DK55" s="17">
        <f>DJ55-DI55</f>
        <v>1272343.2000000011</v>
      </c>
      <c r="DL55" s="17">
        <f t="shared" ref="DL55:DL82" si="173">DD55</f>
        <v>0.2</v>
      </c>
      <c r="DM55" s="16">
        <f>DK55-DL55</f>
        <v>1272343.0000000012</v>
      </c>
      <c r="DN55" s="16">
        <f t="shared" ref="DN55:DN82" si="174">DM55-DE55</f>
        <v>0</v>
      </c>
      <c r="DO55" s="16">
        <f>DM55+DI55</f>
        <v>13995775.000000002</v>
      </c>
      <c r="DP55" s="16">
        <f t="shared" ref="DP55:DP82" si="175">DO55-DG55</f>
        <v>0</v>
      </c>
      <c r="DQ55" s="9">
        <v>13995775</v>
      </c>
      <c r="DR55" s="18" t="s">
        <v>238</v>
      </c>
      <c r="DS55" s="18" t="s">
        <v>238</v>
      </c>
      <c r="DT55" s="324">
        <f>DQ55+DR55+DS55</f>
        <v>13995775</v>
      </c>
      <c r="DU55" s="321">
        <f>DT55</f>
        <v>13995775</v>
      </c>
      <c r="DV55" s="19">
        <f>DT55-DG55</f>
        <v>0</v>
      </c>
      <c r="DW55" s="9">
        <v>13995775</v>
      </c>
      <c r="DX55" s="18"/>
      <c r="DY55" s="18"/>
      <c r="DZ55" s="324">
        <f>DW55+DX55+DY55</f>
        <v>13995775</v>
      </c>
      <c r="EA55" s="321">
        <f>DZ55</f>
        <v>13995775</v>
      </c>
      <c r="EB55" s="179">
        <f t="shared" ref="EB55:EB82" si="176">DZ55-DT55</f>
        <v>0</v>
      </c>
      <c r="EC55" s="9">
        <v>13995775</v>
      </c>
      <c r="ED55" s="18" t="s">
        <v>238</v>
      </c>
      <c r="EE55" s="18" t="s">
        <v>238</v>
      </c>
      <c r="EF55" s="324">
        <f>EC55+ED55+EE55</f>
        <v>13995775</v>
      </c>
      <c r="EG55" s="321">
        <f>EF55</f>
        <v>13995775</v>
      </c>
      <c r="EH55" s="179">
        <f t="shared" ref="EH55:EH82" si="177">EF55-DZ55</f>
        <v>0</v>
      </c>
      <c r="EI55" s="9">
        <v>13995775</v>
      </c>
      <c r="EJ55" s="18" t="s">
        <v>238</v>
      </c>
      <c r="EK55" s="18" t="s">
        <v>238</v>
      </c>
      <c r="EL55" s="324">
        <f>EI55+EJ55+EK55</f>
        <v>13995775</v>
      </c>
      <c r="EM55" s="321">
        <f>EL55</f>
        <v>13995775</v>
      </c>
      <c r="EN55" s="179">
        <f t="shared" ref="EN55:EN82" si="178">EL55-EF55</f>
        <v>0</v>
      </c>
      <c r="EO55" s="9">
        <v>13995775</v>
      </c>
      <c r="EP55" s="18" t="s">
        <v>238</v>
      </c>
      <c r="EQ55" s="18" t="s">
        <v>238</v>
      </c>
      <c r="ER55" s="324">
        <f>EO55+EP55+EQ55</f>
        <v>13995775</v>
      </c>
      <c r="ES55" s="321">
        <f>ER55</f>
        <v>13995775</v>
      </c>
      <c r="ET55" s="179">
        <f t="shared" ref="ET55:ET82" si="179">ER55-EL55</f>
        <v>0</v>
      </c>
      <c r="EU55" s="9">
        <v>13995775</v>
      </c>
      <c r="EV55" s="18" t="s">
        <v>238</v>
      </c>
      <c r="EW55" s="18" t="s">
        <v>238</v>
      </c>
      <c r="EX55" s="324">
        <f>EU55+EV55+EW55</f>
        <v>13995775</v>
      </c>
      <c r="EY55" s="321">
        <f>EX55</f>
        <v>13995775</v>
      </c>
      <c r="EZ55" s="179">
        <f t="shared" ref="EZ55:EZ82" si="180">EX55-ER55</f>
        <v>0</v>
      </c>
      <c r="FA55" s="9">
        <v>13995775</v>
      </c>
      <c r="FB55" s="18" t="s">
        <v>238</v>
      </c>
      <c r="FC55" s="18" t="s">
        <v>238</v>
      </c>
      <c r="FD55" s="101">
        <f>FA55+FB55+FC55</f>
        <v>13995775</v>
      </c>
      <c r="FE55" s="137">
        <f>FD55</f>
        <v>13995775</v>
      </c>
      <c r="FF55" s="135">
        <f t="shared" ref="FF55:FF82" si="181">FD55-EX55</f>
        <v>0</v>
      </c>
      <c r="FG55" s="9">
        <v>13995775</v>
      </c>
      <c r="FH55" s="18" t="s">
        <v>238</v>
      </c>
      <c r="FI55" s="18" t="s">
        <v>238</v>
      </c>
      <c r="FJ55" s="324">
        <f>FG55+FH55+FI55</f>
        <v>13995775</v>
      </c>
      <c r="FK55" s="321">
        <f>FJ55</f>
        <v>13995775</v>
      </c>
      <c r="FL55" s="179">
        <f t="shared" ref="FL55:FL82" si="182">FJ55-FD55</f>
        <v>0</v>
      </c>
      <c r="FM55" s="9">
        <v>13995775</v>
      </c>
      <c r="FN55" s="18" t="s">
        <v>238</v>
      </c>
      <c r="FO55" s="18" t="s">
        <v>238</v>
      </c>
      <c r="FP55" s="324">
        <f>FM55+FN55+FO55</f>
        <v>13995775</v>
      </c>
      <c r="FQ55" s="321">
        <f>FP55</f>
        <v>13995775</v>
      </c>
      <c r="FR55" s="179">
        <f t="shared" ref="FR55:FR82" si="183">FP55-FJ55</f>
        <v>0</v>
      </c>
      <c r="FS55" s="9">
        <v>13995775</v>
      </c>
      <c r="FT55" s="18" t="s">
        <v>238</v>
      </c>
      <c r="FU55" s="18" t="s">
        <v>238</v>
      </c>
      <c r="FV55" s="324">
        <f>FS55+FT55+FU55</f>
        <v>13995775</v>
      </c>
      <c r="FW55" s="321">
        <f>FV55</f>
        <v>13995775</v>
      </c>
      <c r="FX55" s="179">
        <f t="shared" ref="FX55:FX82" si="184">FV55-FP55</f>
        <v>0</v>
      </c>
      <c r="FY55" s="9">
        <v>13995775</v>
      </c>
      <c r="FZ55" s="18" t="s">
        <v>238</v>
      </c>
      <c r="GA55" s="18" t="s">
        <v>238</v>
      </c>
      <c r="GB55" s="324">
        <f>FY55+FZ55+GA55</f>
        <v>13995775</v>
      </c>
      <c r="GC55" s="321">
        <f>GB55</f>
        <v>13995775</v>
      </c>
      <c r="GD55" s="179">
        <f t="shared" ref="GD55:GD82" si="185">GB55-FV55</f>
        <v>0</v>
      </c>
      <c r="GE55" s="9">
        <v>13995775</v>
      </c>
      <c r="GF55" s="18" t="s">
        <v>238</v>
      </c>
      <c r="GG55" s="18" t="s">
        <v>238</v>
      </c>
      <c r="GH55" s="324">
        <f>GE55+GF55+GG55</f>
        <v>13995775</v>
      </c>
      <c r="GI55" s="321">
        <f>GH55</f>
        <v>13995775</v>
      </c>
      <c r="GJ55" s="179">
        <f t="shared" ref="GJ55:GJ82" si="186">GH55-GB55</f>
        <v>0</v>
      </c>
      <c r="GK55" s="9">
        <v>13995775</v>
      </c>
      <c r="GL55" s="18" t="s">
        <v>238</v>
      </c>
      <c r="GM55" s="18" t="s">
        <v>238</v>
      </c>
      <c r="GN55" s="324">
        <f>GK55+GL55+GM55</f>
        <v>13995775</v>
      </c>
      <c r="GO55" s="321">
        <f>GN55</f>
        <v>13995775</v>
      </c>
      <c r="GP55" s="179">
        <f t="shared" ref="GP55:GP82" si="187">GN55-GH55</f>
        <v>0</v>
      </c>
      <c r="GQ55" s="9">
        <v>13995775</v>
      </c>
      <c r="GR55" s="18" t="s">
        <v>238</v>
      </c>
      <c r="GS55" s="18" t="s">
        <v>238</v>
      </c>
      <c r="GT55" s="324">
        <f>GQ55+GR55+GS55</f>
        <v>13995775</v>
      </c>
      <c r="GU55" s="321">
        <f>GT55</f>
        <v>13995775</v>
      </c>
      <c r="GV55" s="179">
        <f t="shared" ref="GV55:GV82" si="188">GT55-GN55</f>
        <v>0</v>
      </c>
      <c r="GW55" s="9">
        <v>14695563</v>
      </c>
      <c r="GX55" s="18" t="s">
        <v>238</v>
      </c>
      <c r="GY55" s="18" t="s">
        <v>238</v>
      </c>
      <c r="GZ55" s="324">
        <f>GW55+GX55+GY55</f>
        <v>14695563</v>
      </c>
      <c r="HA55" s="321">
        <f>GZ55</f>
        <v>14695563</v>
      </c>
      <c r="HB55" s="179">
        <f t="shared" ref="HB55:HB82" si="189">GZ55-GT55</f>
        <v>699788</v>
      </c>
      <c r="HC55" s="102">
        <f t="shared" ref="HC55:HC82" si="190">100/1406236643.9*GT55</f>
        <v>0.99526456380660666</v>
      </c>
      <c r="HD55" s="285">
        <f>HB55-HO55</f>
        <v>0</v>
      </c>
      <c r="HE55" s="12">
        <f>GT55*0.05</f>
        <v>699788.75</v>
      </c>
      <c r="HF55" s="12">
        <f t="shared" ref="HF55:HF82" si="191">IF(ISNUMBER(HE55), HE55-INT(HE55), "")</f>
        <v>0.75</v>
      </c>
      <c r="HG55" s="12">
        <f>HE55-HF55</f>
        <v>699788</v>
      </c>
      <c r="HH55" s="14">
        <f>HG55:HG55</f>
        <v>699788</v>
      </c>
      <c r="HI55" s="13">
        <f>HG55+GT55</f>
        <v>14695563</v>
      </c>
      <c r="HJ55" s="102">
        <f>100/1406236643.9*HI55</f>
        <v>1.0450277386630971</v>
      </c>
      <c r="HK55" s="16">
        <f>GT55</f>
        <v>13995775</v>
      </c>
      <c r="HL55" s="103">
        <f>HK55*1.05</f>
        <v>14695563.75</v>
      </c>
      <c r="HM55" s="103">
        <f>HL55-HK55</f>
        <v>699788.75</v>
      </c>
      <c r="HN55" s="17">
        <f>HF55</f>
        <v>0.75</v>
      </c>
      <c r="HO55" s="56">
        <f>HM55-HN55</f>
        <v>699788</v>
      </c>
      <c r="HP55" s="16">
        <f>HO55-HG55</f>
        <v>0</v>
      </c>
      <c r="HQ55" s="16">
        <f>HO55+HK55</f>
        <v>14695563</v>
      </c>
      <c r="HR55" s="16">
        <f>HQ55-HI55</f>
        <v>0</v>
      </c>
    </row>
    <row r="56" spans="1:226" x14ac:dyDescent="0.3">
      <c r="A56" s="145">
        <v>2</v>
      </c>
      <c r="B56" s="428"/>
      <c r="C56" s="313" t="s">
        <v>263</v>
      </c>
      <c r="D56" s="206" t="s">
        <v>189</v>
      </c>
      <c r="E56" s="27">
        <v>0</v>
      </c>
      <c r="F56" s="9">
        <v>3223247</v>
      </c>
      <c r="G56" s="9">
        <v>0</v>
      </c>
      <c r="H56" s="324"/>
      <c r="I56" s="324">
        <v>3223247</v>
      </c>
      <c r="J56" s="324">
        <v>3223247</v>
      </c>
      <c r="K56" s="324"/>
      <c r="L56" s="324">
        <v>3223247</v>
      </c>
      <c r="M56" s="23">
        <v>3223247</v>
      </c>
      <c r="N56" s="23">
        <v>3223247</v>
      </c>
      <c r="O56" s="298">
        <v>3223247</v>
      </c>
      <c r="P56" s="298">
        <v>3223247</v>
      </c>
      <c r="Q56" s="298">
        <v>3223247</v>
      </c>
      <c r="R56" s="298">
        <v>3223247</v>
      </c>
      <c r="S56" s="298">
        <v>3223247</v>
      </c>
      <c r="T56" s="298">
        <v>3223247</v>
      </c>
      <c r="U56" s="298">
        <f t="shared" ref="U56:U82" si="192">T56*5%</f>
        <v>161162.35</v>
      </c>
      <c r="V56" s="298">
        <f t="shared" ref="V56:V82" si="193">T56+U56</f>
        <v>3384409.35</v>
      </c>
      <c r="W56" s="298">
        <v>3384409</v>
      </c>
      <c r="X56" s="298">
        <v>3384409</v>
      </c>
      <c r="Y56" s="298">
        <v>3384409</v>
      </c>
      <c r="Z56" s="298">
        <v>3384409</v>
      </c>
      <c r="AA56" s="298">
        <v>3384409</v>
      </c>
      <c r="AB56" s="298">
        <v>3384409</v>
      </c>
      <c r="AC56" s="9">
        <v>0</v>
      </c>
      <c r="AD56" s="9">
        <v>0</v>
      </c>
      <c r="AE56" s="298">
        <f t="shared" ref="AE56:AE82" si="194">AD56+AC56+AB56</f>
        <v>3384409</v>
      </c>
      <c r="AF56" s="298">
        <v>3384409</v>
      </c>
      <c r="AG56" s="9">
        <v>0</v>
      </c>
      <c r="AH56" s="9">
        <v>0</v>
      </c>
      <c r="AI56" s="298">
        <f t="shared" ref="AI56:AI82" si="195">AH56+AG56+AF56</f>
        <v>3384409</v>
      </c>
      <c r="AJ56" s="298">
        <v>3384409</v>
      </c>
      <c r="AK56" s="9">
        <v>0</v>
      </c>
      <c r="AL56" s="9">
        <v>0</v>
      </c>
      <c r="AM56" s="298">
        <f t="shared" si="155"/>
        <v>3384409</v>
      </c>
      <c r="AN56" s="298">
        <v>3384409</v>
      </c>
      <c r="AO56" s="9">
        <v>0</v>
      </c>
      <c r="AP56" s="9">
        <v>0</v>
      </c>
      <c r="AQ56" s="298">
        <f t="shared" si="156"/>
        <v>3384409</v>
      </c>
      <c r="AR56" s="28">
        <v>3384409</v>
      </c>
      <c r="AS56" s="9">
        <v>0</v>
      </c>
      <c r="AT56" s="9">
        <v>0</v>
      </c>
      <c r="AU56" s="298">
        <f t="shared" si="157"/>
        <v>3384409</v>
      </c>
      <c r="AV56" s="298">
        <v>3384409</v>
      </c>
      <c r="AW56" s="9">
        <v>0</v>
      </c>
      <c r="AX56" s="9">
        <v>0</v>
      </c>
      <c r="AY56" s="7">
        <f t="shared" si="158"/>
        <v>3384409</v>
      </c>
      <c r="AZ56" s="8">
        <f t="shared" ref="AZ56:AZ82" si="196">AY56*5%</f>
        <v>169220.45</v>
      </c>
      <c r="BA56" s="8">
        <v>0.45</v>
      </c>
      <c r="BB56" s="8">
        <f t="shared" ref="BB56:BB82" si="197">AZ56-BA56</f>
        <v>169220</v>
      </c>
      <c r="BC56" s="8">
        <f t="shared" ref="BC56:BC82" si="198">BB56+AY56</f>
        <v>3553629</v>
      </c>
      <c r="BD56" s="8"/>
      <c r="BE56" s="8">
        <f t="shared" ref="BE56:BE82" si="199">BD56+BC56</f>
        <v>3553629</v>
      </c>
      <c r="BF56" s="10">
        <f t="shared" ref="BF56:BF82" si="200">BE56-AY56</f>
        <v>169220</v>
      </c>
      <c r="BG56" s="11">
        <f t="shared" ref="BG56:BG82" si="201">BF56-BB56</f>
        <v>0</v>
      </c>
      <c r="BH56" s="11">
        <v>3553629</v>
      </c>
      <c r="BI56" s="11"/>
      <c r="BJ56" s="11"/>
      <c r="BK56" s="319">
        <f t="shared" si="159"/>
        <v>3553629</v>
      </c>
      <c r="BL56" s="319">
        <v>3553629</v>
      </c>
      <c r="BM56" s="319">
        <v>0</v>
      </c>
      <c r="BN56" s="319">
        <v>0</v>
      </c>
      <c r="BO56" s="319">
        <f t="shared" si="160"/>
        <v>3553629</v>
      </c>
      <c r="BP56" s="319">
        <f>BO56-BK56</f>
        <v>0</v>
      </c>
      <c r="BQ56" s="319">
        <v>3553629</v>
      </c>
      <c r="BR56" s="319">
        <v>0</v>
      </c>
      <c r="BS56" s="319">
        <v>0</v>
      </c>
      <c r="BT56" s="319">
        <f t="shared" si="161"/>
        <v>3553629</v>
      </c>
      <c r="BU56" s="319">
        <f t="shared" si="162"/>
        <v>0</v>
      </c>
      <c r="BV56" s="319">
        <v>3553629</v>
      </c>
      <c r="BW56" s="319">
        <v>0</v>
      </c>
      <c r="BX56" s="319">
        <v>0</v>
      </c>
      <c r="BY56" s="319">
        <f t="shared" si="163"/>
        <v>3553629</v>
      </c>
      <c r="BZ56" s="319">
        <f t="shared" si="164"/>
        <v>0</v>
      </c>
      <c r="CA56" s="319">
        <v>3553629</v>
      </c>
      <c r="CB56" s="319">
        <v>0</v>
      </c>
      <c r="CC56" s="319">
        <v>0</v>
      </c>
      <c r="CD56" s="319">
        <f t="shared" si="165"/>
        <v>3553629</v>
      </c>
      <c r="CE56" s="319">
        <f t="shared" si="166"/>
        <v>0</v>
      </c>
      <c r="CF56" s="319">
        <v>3553629</v>
      </c>
      <c r="CG56" s="319">
        <v>0</v>
      </c>
      <c r="CH56" s="319">
        <v>0</v>
      </c>
      <c r="CI56" s="319">
        <f t="shared" si="167"/>
        <v>3553629</v>
      </c>
      <c r="CJ56" s="319">
        <f t="shared" si="168"/>
        <v>0</v>
      </c>
      <c r="CK56" s="319">
        <v>3553629</v>
      </c>
      <c r="CL56" s="319">
        <v>0</v>
      </c>
      <c r="CM56" s="319">
        <v>0</v>
      </c>
      <c r="CN56" s="319">
        <f>CM56+CL56+CK56</f>
        <v>3553629</v>
      </c>
      <c r="CO56" s="319">
        <f>CN56-CI56</f>
        <v>0</v>
      </c>
      <c r="CP56" s="319">
        <v>3553629</v>
      </c>
      <c r="CQ56" s="319">
        <v>0</v>
      </c>
      <c r="CR56" s="29">
        <v>0</v>
      </c>
      <c r="CS56" s="36">
        <f>CR56+CQ56+CP56</f>
        <v>3553629</v>
      </c>
      <c r="CT56" s="31">
        <f>CS56-CN56</f>
        <v>0</v>
      </c>
      <c r="CU56" s="37">
        <v>3553629</v>
      </c>
      <c r="CV56" s="319">
        <v>0</v>
      </c>
      <c r="CW56" s="38">
        <v>0</v>
      </c>
      <c r="CX56" s="36">
        <f>CW56+CV56+CU56</f>
        <v>3553629</v>
      </c>
      <c r="CY56" s="36">
        <f>CX56-CS56</f>
        <v>0</v>
      </c>
      <c r="CZ56" s="31"/>
      <c r="DA56" s="31"/>
      <c r="DB56" s="31"/>
      <c r="DC56" s="12">
        <f t="shared" ref="DC56:DC82" si="202">CX56*10%</f>
        <v>355362.9</v>
      </c>
      <c r="DD56" s="12">
        <v>0.9</v>
      </c>
      <c r="DE56" s="13">
        <f t="shared" ref="DE56:DE82" si="203">DC56-DD56</f>
        <v>355362</v>
      </c>
      <c r="DF56" s="14">
        <f t="shared" si="169"/>
        <v>355362</v>
      </c>
      <c r="DG56" s="13">
        <f t="shared" si="170"/>
        <v>3908991</v>
      </c>
      <c r="DH56" s="39">
        <f t="shared" si="171"/>
        <v>0.27797539745223532</v>
      </c>
      <c r="DI56" s="16">
        <f t="shared" si="172"/>
        <v>3553629</v>
      </c>
      <c r="DJ56" s="132">
        <f t="shared" ref="DJ56:DJ82" si="204">DI56*1.1</f>
        <v>3908991.9000000004</v>
      </c>
      <c r="DK56" s="17">
        <f t="shared" ref="DK56:DK82" si="205">DJ56-DI56</f>
        <v>355362.90000000037</v>
      </c>
      <c r="DL56" s="17">
        <f t="shared" si="173"/>
        <v>0.9</v>
      </c>
      <c r="DM56" s="16">
        <f t="shared" ref="DM56:DM82" si="206">DK56-DL56</f>
        <v>355362.00000000035</v>
      </c>
      <c r="DN56" s="16">
        <f t="shared" si="174"/>
        <v>0</v>
      </c>
      <c r="DO56" s="16">
        <f t="shared" ref="DO56:DO82" si="207">DM56+DI56</f>
        <v>3908991.0000000005</v>
      </c>
      <c r="DP56" s="16">
        <f t="shared" si="175"/>
        <v>0</v>
      </c>
      <c r="DQ56" s="9">
        <v>3908991</v>
      </c>
      <c r="DR56" s="18" t="s">
        <v>238</v>
      </c>
      <c r="DS56" s="18" t="s">
        <v>238</v>
      </c>
      <c r="DT56" s="324">
        <f t="shared" ref="DT56:DT82" si="208">DQ56+DR56+DS56</f>
        <v>3908991</v>
      </c>
      <c r="DU56" s="321">
        <f t="shared" ref="DU56:DU82" si="209">DT56</f>
        <v>3908991</v>
      </c>
      <c r="DV56" s="19">
        <f t="shared" ref="DV56:DV82" si="210">DT56-DG56</f>
        <v>0</v>
      </c>
      <c r="DW56" s="9">
        <v>3908991</v>
      </c>
      <c r="DX56" s="18"/>
      <c r="DY56" s="18"/>
      <c r="DZ56" s="324">
        <f t="shared" ref="DZ56:DZ82" si="211">DW56+DX56+DY56</f>
        <v>3908991</v>
      </c>
      <c r="EA56" s="321">
        <f t="shared" ref="EA56:EA82" si="212">DZ56</f>
        <v>3908991</v>
      </c>
      <c r="EB56" s="179">
        <f t="shared" si="176"/>
        <v>0</v>
      </c>
      <c r="EC56" s="9">
        <v>3908991</v>
      </c>
      <c r="ED56" s="18" t="s">
        <v>238</v>
      </c>
      <c r="EE56" s="18" t="s">
        <v>238</v>
      </c>
      <c r="EF56" s="324">
        <f t="shared" ref="EF56:EF82" si="213">EC56+ED56+EE56</f>
        <v>3908991</v>
      </c>
      <c r="EG56" s="321">
        <f t="shared" ref="EG56:EG82" si="214">EF56</f>
        <v>3908991</v>
      </c>
      <c r="EH56" s="179">
        <f t="shared" si="177"/>
        <v>0</v>
      </c>
      <c r="EI56" s="9">
        <v>3908991</v>
      </c>
      <c r="EJ56" s="18" t="s">
        <v>238</v>
      </c>
      <c r="EK56" s="18" t="s">
        <v>238</v>
      </c>
      <c r="EL56" s="324">
        <f t="shared" ref="EL56:EL82" si="215">EI56+EJ56+EK56</f>
        <v>3908991</v>
      </c>
      <c r="EM56" s="321">
        <f t="shared" ref="EM56:EM82" si="216">EL56</f>
        <v>3908991</v>
      </c>
      <c r="EN56" s="179">
        <f t="shared" si="178"/>
        <v>0</v>
      </c>
      <c r="EO56" s="9">
        <v>3908991</v>
      </c>
      <c r="EP56" s="18" t="s">
        <v>238</v>
      </c>
      <c r="EQ56" s="18" t="s">
        <v>238</v>
      </c>
      <c r="ER56" s="324">
        <f t="shared" ref="ER56:ER82" si="217">EO56+EP56+EQ56</f>
        <v>3908991</v>
      </c>
      <c r="ES56" s="321">
        <f t="shared" ref="ES56:ES82" si="218">ER56</f>
        <v>3908991</v>
      </c>
      <c r="ET56" s="179">
        <f t="shared" si="179"/>
        <v>0</v>
      </c>
      <c r="EU56" s="9">
        <v>3908991</v>
      </c>
      <c r="EV56" s="18" t="s">
        <v>238</v>
      </c>
      <c r="EW56" s="18" t="s">
        <v>238</v>
      </c>
      <c r="EX56" s="324">
        <f t="shared" ref="EX56:EX82" si="219">EU56+EV56+EW56</f>
        <v>3908991</v>
      </c>
      <c r="EY56" s="321">
        <f t="shared" ref="EY56:EY82" si="220">EX56</f>
        <v>3908991</v>
      </c>
      <c r="EZ56" s="179">
        <f t="shared" si="180"/>
        <v>0</v>
      </c>
      <c r="FA56" s="9">
        <v>3908991</v>
      </c>
      <c r="FB56" s="18" t="s">
        <v>238</v>
      </c>
      <c r="FC56" s="18" t="s">
        <v>238</v>
      </c>
      <c r="FD56" s="101">
        <f t="shared" ref="FD56:FD82" si="221">FA56+FB56+FC56</f>
        <v>3908991</v>
      </c>
      <c r="FE56" s="218">
        <f t="shared" ref="FE56:FE82" si="222">FD56</f>
        <v>3908991</v>
      </c>
      <c r="FF56" s="135">
        <f t="shared" si="181"/>
        <v>0</v>
      </c>
      <c r="FG56" s="9">
        <v>3908991</v>
      </c>
      <c r="FH56" s="18" t="s">
        <v>238</v>
      </c>
      <c r="FI56" s="18" t="s">
        <v>238</v>
      </c>
      <c r="FJ56" s="324">
        <f t="shared" ref="FJ56:FJ82" si="223">FG56+FH56+FI56</f>
        <v>3908991</v>
      </c>
      <c r="FK56" s="321">
        <f t="shared" ref="FK56:FK82" si="224">FJ56</f>
        <v>3908991</v>
      </c>
      <c r="FL56" s="179">
        <f t="shared" si="182"/>
        <v>0</v>
      </c>
      <c r="FM56" s="9">
        <v>3908991</v>
      </c>
      <c r="FN56" s="18" t="s">
        <v>238</v>
      </c>
      <c r="FO56" s="18" t="s">
        <v>238</v>
      </c>
      <c r="FP56" s="324">
        <f t="shared" ref="FP56:FP82" si="225">FM56+FN56+FO56</f>
        <v>3908991</v>
      </c>
      <c r="FQ56" s="321">
        <f t="shared" ref="FQ56:FQ82" si="226">FP56</f>
        <v>3908991</v>
      </c>
      <c r="FR56" s="179">
        <f t="shared" si="183"/>
        <v>0</v>
      </c>
      <c r="FS56" s="9">
        <v>3908991</v>
      </c>
      <c r="FT56" s="18" t="s">
        <v>238</v>
      </c>
      <c r="FU56" s="18" t="s">
        <v>238</v>
      </c>
      <c r="FV56" s="324">
        <f t="shared" ref="FV56:FV82" si="227">FS56+FT56+FU56</f>
        <v>3908991</v>
      </c>
      <c r="FW56" s="321">
        <f t="shared" ref="FW56:FW82" si="228">FV56</f>
        <v>3908991</v>
      </c>
      <c r="FX56" s="179">
        <f t="shared" si="184"/>
        <v>0</v>
      </c>
      <c r="FY56" s="9">
        <v>3908991</v>
      </c>
      <c r="FZ56" s="18" t="s">
        <v>238</v>
      </c>
      <c r="GA56" s="18" t="s">
        <v>238</v>
      </c>
      <c r="GB56" s="324">
        <f t="shared" ref="GB56:GB82" si="229">FY56+FZ56+GA56</f>
        <v>3908991</v>
      </c>
      <c r="GC56" s="321">
        <f t="shared" ref="GC56:GC82" si="230">GB56</f>
        <v>3908991</v>
      </c>
      <c r="GD56" s="179">
        <f t="shared" si="185"/>
        <v>0</v>
      </c>
      <c r="GE56" s="9">
        <v>3908991</v>
      </c>
      <c r="GF56" s="18" t="s">
        <v>238</v>
      </c>
      <c r="GG56" s="18" t="s">
        <v>238</v>
      </c>
      <c r="GH56" s="324">
        <f t="shared" ref="GH56:GH82" si="231">GE56+GF56+GG56</f>
        <v>3908991</v>
      </c>
      <c r="GI56" s="321">
        <f t="shared" ref="GI56:GI82" si="232">GH56</f>
        <v>3908991</v>
      </c>
      <c r="GJ56" s="179">
        <f t="shared" si="186"/>
        <v>0</v>
      </c>
      <c r="GK56" s="9">
        <v>3908991</v>
      </c>
      <c r="GL56" s="18" t="s">
        <v>238</v>
      </c>
      <c r="GM56" s="18" t="s">
        <v>238</v>
      </c>
      <c r="GN56" s="324">
        <f t="shared" ref="GN56:GN82" si="233">GK56+GL56+GM56</f>
        <v>3908991</v>
      </c>
      <c r="GO56" s="321">
        <f t="shared" ref="GO56:GO82" si="234">GN56</f>
        <v>3908991</v>
      </c>
      <c r="GP56" s="179">
        <f t="shared" si="187"/>
        <v>0</v>
      </c>
      <c r="GQ56" s="9">
        <v>3908991</v>
      </c>
      <c r="GR56" s="18" t="s">
        <v>238</v>
      </c>
      <c r="GS56" s="18" t="s">
        <v>238</v>
      </c>
      <c r="GT56" s="324">
        <f t="shared" ref="GT56:GT82" si="235">GQ56+GR56+GS56</f>
        <v>3908991</v>
      </c>
      <c r="GU56" s="321">
        <f t="shared" ref="GU56:GU82" si="236">GT56</f>
        <v>3908991</v>
      </c>
      <c r="GV56" s="179">
        <f t="shared" si="188"/>
        <v>0</v>
      </c>
      <c r="GW56" s="9">
        <v>4104440</v>
      </c>
      <c r="GX56" s="18" t="s">
        <v>238</v>
      </c>
      <c r="GY56" s="18" t="s">
        <v>238</v>
      </c>
      <c r="GZ56" s="324">
        <f t="shared" ref="GZ56:GZ82" si="237">GW56+GX56+GY56</f>
        <v>4104440</v>
      </c>
      <c r="HA56" s="321">
        <f t="shared" ref="HA56:HA82" si="238">GZ56</f>
        <v>4104440</v>
      </c>
      <c r="HB56" s="179">
        <f t="shared" si="189"/>
        <v>195449</v>
      </c>
      <c r="HC56" s="102">
        <f t="shared" si="190"/>
        <v>0.27797533345162745</v>
      </c>
      <c r="HD56" s="285">
        <f t="shared" ref="HD56:HD82" si="239">HB56-HO56</f>
        <v>-2.6193447411060333E-10</v>
      </c>
      <c r="HE56" s="12">
        <f t="shared" ref="HE56:HE82" si="240">GT56*0.05</f>
        <v>195449.55000000002</v>
      </c>
      <c r="HF56" s="12">
        <f t="shared" si="191"/>
        <v>0.5500000000174623</v>
      </c>
      <c r="HG56" s="12">
        <f t="shared" ref="HG56:HG82" si="241">HE56-HF56</f>
        <v>195449</v>
      </c>
      <c r="HH56" s="14">
        <f t="shared" ref="HH56:HH82" si="242">HG56:HG56</f>
        <v>195449</v>
      </c>
      <c r="HI56" s="13">
        <f t="shared" ref="HI56:HI82" si="243">HG56+GT56</f>
        <v>4104440</v>
      </c>
      <c r="HJ56" s="102">
        <f t="shared" ref="HJ56:HJ82" si="244">100/1406236643.9*HI56</f>
        <v>0.29187406101272623</v>
      </c>
      <c r="HK56" s="16">
        <f t="shared" ref="HK56:HK82" si="245">GT56</f>
        <v>3908991</v>
      </c>
      <c r="HL56" s="103">
        <f t="shared" ref="HL56:HL82" si="246">HK56*1.05</f>
        <v>4104440.5500000003</v>
      </c>
      <c r="HM56" s="103">
        <f t="shared" ref="HM56:HM82" si="247">HL56-HK56</f>
        <v>195449.55000000028</v>
      </c>
      <c r="HN56" s="17">
        <f t="shared" ref="HN56:HN82" si="248">HF56</f>
        <v>0.5500000000174623</v>
      </c>
      <c r="HO56" s="56">
        <f t="shared" ref="HO56:HO82" si="249">HM56-HN56</f>
        <v>195449.00000000026</v>
      </c>
      <c r="HP56" s="16">
        <f t="shared" ref="HP56:HP82" si="250">HO56-HG56</f>
        <v>2.6193447411060333E-10</v>
      </c>
      <c r="HQ56" s="16">
        <f t="shared" ref="HQ56:HQ82" si="251">HO56+HK56</f>
        <v>4104440.0000000005</v>
      </c>
      <c r="HR56" s="16">
        <f t="shared" ref="HR56:HR82" si="252">HQ56-HI56</f>
        <v>0</v>
      </c>
    </row>
    <row r="57" spans="1:226" x14ac:dyDescent="0.3">
      <c r="A57" s="145">
        <v>4</v>
      </c>
      <c r="B57" s="428"/>
      <c r="C57" s="209" t="s">
        <v>265</v>
      </c>
      <c r="D57" s="206" t="s">
        <v>191</v>
      </c>
      <c r="E57" s="27">
        <v>0</v>
      </c>
      <c r="F57" s="9">
        <v>628100</v>
      </c>
      <c r="G57" s="9">
        <v>0</v>
      </c>
      <c r="H57" s="324"/>
      <c r="I57" s="324">
        <v>628100</v>
      </c>
      <c r="J57" s="324">
        <v>628100</v>
      </c>
      <c r="K57" s="324"/>
      <c r="L57" s="324">
        <v>628100</v>
      </c>
      <c r="M57" s="23">
        <v>628100</v>
      </c>
      <c r="N57" s="23">
        <v>628100</v>
      </c>
      <c r="O57" s="298">
        <v>628100</v>
      </c>
      <c r="P57" s="298">
        <v>628100</v>
      </c>
      <c r="Q57" s="298">
        <v>628100</v>
      </c>
      <c r="R57" s="298">
        <v>628100</v>
      </c>
      <c r="S57" s="298">
        <v>628100</v>
      </c>
      <c r="T57" s="298">
        <v>628100</v>
      </c>
      <c r="U57" s="298">
        <f>T57*5%</f>
        <v>31405</v>
      </c>
      <c r="V57" s="298">
        <f>T57+U57</f>
        <v>659505</v>
      </c>
      <c r="W57" s="298">
        <v>659505</v>
      </c>
      <c r="X57" s="298">
        <v>659505</v>
      </c>
      <c r="Y57" s="298">
        <v>659505</v>
      </c>
      <c r="Z57" s="298">
        <v>659505</v>
      </c>
      <c r="AA57" s="298">
        <v>659505</v>
      </c>
      <c r="AB57" s="298">
        <v>659505</v>
      </c>
      <c r="AC57" s="9">
        <v>0</v>
      </c>
      <c r="AD57" s="9">
        <v>0</v>
      </c>
      <c r="AE57" s="298">
        <f>AD57+AC57+AB57</f>
        <v>659505</v>
      </c>
      <c r="AF57" s="298">
        <v>659505</v>
      </c>
      <c r="AG57" s="9">
        <v>0</v>
      </c>
      <c r="AH57" s="9">
        <v>0</v>
      </c>
      <c r="AI57" s="298">
        <f>AH57+AG57+AF57</f>
        <v>659505</v>
      </c>
      <c r="AJ57" s="298">
        <v>659505</v>
      </c>
      <c r="AK57" s="9">
        <v>0</v>
      </c>
      <c r="AL57" s="9">
        <v>0</v>
      </c>
      <c r="AM57" s="298">
        <f>AL57+AK57+AJ57</f>
        <v>659505</v>
      </c>
      <c r="AN57" s="298">
        <v>659505</v>
      </c>
      <c r="AO57" s="9">
        <v>0</v>
      </c>
      <c r="AP57" s="9">
        <v>0</v>
      </c>
      <c r="AQ57" s="298">
        <f>AP57+AO57+AN57</f>
        <v>659505</v>
      </c>
      <c r="AR57" s="28">
        <v>659505</v>
      </c>
      <c r="AS57" s="9">
        <v>0</v>
      </c>
      <c r="AT57" s="9">
        <v>0</v>
      </c>
      <c r="AU57" s="298">
        <f>AT57+AS57+AR57</f>
        <v>659505</v>
      </c>
      <c r="AV57" s="298">
        <v>659505</v>
      </c>
      <c r="AW57" s="9">
        <v>0</v>
      </c>
      <c r="AX57" s="9">
        <v>0</v>
      </c>
      <c r="AY57" s="7">
        <f>AX57+AW57+AV57</f>
        <v>659505</v>
      </c>
      <c r="AZ57" s="8">
        <f>AY57*5%</f>
        <v>32975.25</v>
      </c>
      <c r="BA57" s="8">
        <v>0.25</v>
      </c>
      <c r="BB57" s="8">
        <f>AZ57-BA57</f>
        <v>32975</v>
      </c>
      <c r="BC57" s="8">
        <f>BB57+AY57</f>
        <v>692480</v>
      </c>
      <c r="BD57" s="8"/>
      <c r="BE57" s="8">
        <f>BD57+BC57</f>
        <v>692480</v>
      </c>
      <c r="BF57" s="10">
        <f>BE57-AY57</f>
        <v>32975</v>
      </c>
      <c r="BG57" s="11">
        <f>BF57-BB57</f>
        <v>0</v>
      </c>
      <c r="BH57" s="11">
        <v>692480</v>
      </c>
      <c r="BI57" s="11"/>
      <c r="BJ57" s="11"/>
      <c r="BK57" s="319">
        <f>BJ57+BI57+BH57</f>
        <v>692480</v>
      </c>
      <c r="BL57" s="319">
        <v>692480</v>
      </c>
      <c r="BM57" s="319">
        <v>0</v>
      </c>
      <c r="BN57" s="319">
        <v>0</v>
      </c>
      <c r="BO57" s="319">
        <f>BN57+BM57+BL57</f>
        <v>692480</v>
      </c>
      <c r="BP57" s="319">
        <f>BO57-BK57</f>
        <v>0</v>
      </c>
      <c r="BQ57" s="319">
        <v>692480</v>
      </c>
      <c r="BR57" s="319">
        <v>0</v>
      </c>
      <c r="BS57" s="319">
        <v>0</v>
      </c>
      <c r="BT57" s="319">
        <f>BS57+BR57+BQ57</f>
        <v>692480</v>
      </c>
      <c r="BU57" s="319">
        <f>BT57-BO57</f>
        <v>0</v>
      </c>
      <c r="BV57" s="319">
        <v>692480</v>
      </c>
      <c r="BW57" s="319">
        <v>0</v>
      </c>
      <c r="BX57" s="319">
        <v>0</v>
      </c>
      <c r="BY57" s="319">
        <f>BX57+BW57+BV57</f>
        <v>692480</v>
      </c>
      <c r="BZ57" s="319">
        <f>BY57-BT57</f>
        <v>0</v>
      </c>
      <c r="CA57" s="319">
        <v>692480</v>
      </c>
      <c r="CB57" s="319">
        <v>0</v>
      </c>
      <c r="CC57" s="319">
        <v>0</v>
      </c>
      <c r="CD57" s="319">
        <f>CC57+CB57+CA57</f>
        <v>692480</v>
      </c>
      <c r="CE57" s="319">
        <f>CD57-BY57</f>
        <v>0</v>
      </c>
      <c r="CF57" s="319">
        <v>692480</v>
      </c>
      <c r="CG57" s="319">
        <v>0</v>
      </c>
      <c r="CH57" s="319">
        <v>0</v>
      </c>
      <c r="CI57" s="319">
        <f>CH57+CG57+CF57</f>
        <v>692480</v>
      </c>
      <c r="CJ57" s="319">
        <f>CI57-CD57</f>
        <v>0</v>
      </c>
      <c r="CK57" s="319">
        <v>692480</v>
      </c>
      <c r="CL57" s="319">
        <v>0</v>
      </c>
      <c r="CM57" s="319">
        <v>0</v>
      </c>
      <c r="CN57" s="319">
        <f>CM57+CL57+CK57</f>
        <v>692480</v>
      </c>
      <c r="CO57" s="319">
        <f>CN57-CI57</f>
        <v>0</v>
      </c>
      <c r="CP57" s="319">
        <v>692480</v>
      </c>
      <c r="CQ57" s="319">
        <v>0</v>
      </c>
      <c r="CR57" s="29">
        <v>0</v>
      </c>
      <c r="CS57" s="36">
        <f>CR57+CQ57+CP57</f>
        <v>692480</v>
      </c>
      <c r="CT57" s="31">
        <f>CS57-CN57</f>
        <v>0</v>
      </c>
      <c r="CU57" s="37">
        <v>692480</v>
      </c>
      <c r="CV57" s="319">
        <v>0</v>
      </c>
      <c r="CW57" s="38">
        <v>0</v>
      </c>
      <c r="CX57" s="36">
        <f>CW57+CV57+CU57</f>
        <v>692480</v>
      </c>
      <c r="CY57" s="36">
        <f>CX57-CS57</f>
        <v>0</v>
      </c>
      <c r="CZ57" s="31"/>
      <c r="DA57" s="31"/>
      <c r="DB57" s="31"/>
      <c r="DC57" s="12">
        <f t="shared" si="202"/>
        <v>69248</v>
      </c>
      <c r="DD57" s="12">
        <v>0</v>
      </c>
      <c r="DE57" s="13">
        <f t="shared" si="203"/>
        <v>69248</v>
      </c>
      <c r="DF57" s="14">
        <f t="shared" si="169"/>
        <v>69248</v>
      </c>
      <c r="DG57" s="13">
        <f t="shared" si="170"/>
        <v>761728</v>
      </c>
      <c r="DH57" s="39">
        <f t="shared" si="171"/>
        <v>5.4167838912763236E-2</v>
      </c>
      <c r="DI57" s="16">
        <f t="shared" si="172"/>
        <v>692480</v>
      </c>
      <c r="DJ57" s="132">
        <f t="shared" si="204"/>
        <v>761728.00000000012</v>
      </c>
      <c r="DK57" s="17">
        <f t="shared" si="205"/>
        <v>69248.000000000116</v>
      </c>
      <c r="DL57" s="17">
        <f t="shared" si="173"/>
        <v>0</v>
      </c>
      <c r="DM57" s="16">
        <f t="shared" si="206"/>
        <v>69248.000000000116</v>
      </c>
      <c r="DN57" s="16">
        <f t="shared" si="174"/>
        <v>1.1641532182693481E-10</v>
      </c>
      <c r="DO57" s="16">
        <f t="shared" si="207"/>
        <v>761728.00000000012</v>
      </c>
      <c r="DP57" s="16">
        <f t="shared" si="175"/>
        <v>0</v>
      </c>
      <c r="DQ57" s="9">
        <v>761728</v>
      </c>
      <c r="DR57" s="18" t="s">
        <v>238</v>
      </c>
      <c r="DS57" s="18" t="s">
        <v>238</v>
      </c>
      <c r="DT57" s="324">
        <f t="shared" si="208"/>
        <v>761728</v>
      </c>
      <c r="DU57" s="321">
        <f t="shared" si="209"/>
        <v>761728</v>
      </c>
      <c r="DV57" s="19">
        <f t="shared" si="210"/>
        <v>0</v>
      </c>
      <c r="DW57" s="9">
        <v>761728</v>
      </c>
      <c r="DX57" s="18"/>
      <c r="DY57" s="18"/>
      <c r="DZ57" s="324">
        <f t="shared" si="211"/>
        <v>761728</v>
      </c>
      <c r="EA57" s="321">
        <f t="shared" si="212"/>
        <v>761728</v>
      </c>
      <c r="EB57" s="179">
        <f t="shared" si="176"/>
        <v>0</v>
      </c>
      <c r="EC57" s="9">
        <v>761728</v>
      </c>
      <c r="ED57" s="18" t="s">
        <v>238</v>
      </c>
      <c r="EE57" s="18" t="s">
        <v>238</v>
      </c>
      <c r="EF57" s="324">
        <f t="shared" si="213"/>
        <v>761728</v>
      </c>
      <c r="EG57" s="321">
        <f t="shared" si="214"/>
        <v>761728</v>
      </c>
      <c r="EH57" s="179">
        <f t="shared" si="177"/>
        <v>0</v>
      </c>
      <c r="EI57" s="9">
        <v>761728</v>
      </c>
      <c r="EJ57" s="18" t="s">
        <v>238</v>
      </c>
      <c r="EK57" s="18" t="s">
        <v>238</v>
      </c>
      <c r="EL57" s="324">
        <f t="shared" si="215"/>
        <v>761728</v>
      </c>
      <c r="EM57" s="321">
        <f t="shared" si="216"/>
        <v>761728</v>
      </c>
      <c r="EN57" s="179">
        <f t="shared" si="178"/>
        <v>0</v>
      </c>
      <c r="EO57" s="9">
        <v>761728</v>
      </c>
      <c r="EP57" s="18" t="s">
        <v>238</v>
      </c>
      <c r="EQ57" s="18" t="s">
        <v>238</v>
      </c>
      <c r="ER57" s="324">
        <f t="shared" si="217"/>
        <v>761728</v>
      </c>
      <c r="ES57" s="321">
        <f t="shared" si="218"/>
        <v>761728</v>
      </c>
      <c r="ET57" s="179">
        <f t="shared" si="179"/>
        <v>0</v>
      </c>
      <c r="EU57" s="9">
        <v>761728</v>
      </c>
      <c r="EV57" s="18" t="s">
        <v>238</v>
      </c>
      <c r="EW57" s="18" t="s">
        <v>238</v>
      </c>
      <c r="EX57" s="324">
        <f t="shared" si="219"/>
        <v>761728</v>
      </c>
      <c r="EY57" s="321">
        <f t="shared" si="220"/>
        <v>761728</v>
      </c>
      <c r="EZ57" s="179">
        <f t="shared" si="180"/>
        <v>0</v>
      </c>
      <c r="FA57" s="9">
        <v>761728</v>
      </c>
      <c r="FB57" s="18" t="s">
        <v>238</v>
      </c>
      <c r="FC57" s="18" t="s">
        <v>238</v>
      </c>
      <c r="FD57" s="101">
        <f t="shared" si="221"/>
        <v>761728</v>
      </c>
      <c r="FE57" s="218">
        <f t="shared" si="222"/>
        <v>761728</v>
      </c>
      <c r="FF57" s="135">
        <f t="shared" si="181"/>
        <v>0</v>
      </c>
      <c r="FG57" s="9">
        <v>761728</v>
      </c>
      <c r="FH57" s="18" t="s">
        <v>238</v>
      </c>
      <c r="FI57" s="18" t="s">
        <v>238</v>
      </c>
      <c r="FJ57" s="324">
        <f t="shared" si="223"/>
        <v>761728</v>
      </c>
      <c r="FK57" s="321">
        <f t="shared" si="224"/>
        <v>761728</v>
      </c>
      <c r="FL57" s="179">
        <f t="shared" si="182"/>
        <v>0</v>
      </c>
      <c r="FM57" s="9">
        <v>761728</v>
      </c>
      <c r="FN57" s="18" t="s">
        <v>238</v>
      </c>
      <c r="FO57" s="18" t="s">
        <v>238</v>
      </c>
      <c r="FP57" s="324">
        <f t="shared" si="225"/>
        <v>761728</v>
      </c>
      <c r="FQ57" s="321">
        <f t="shared" si="226"/>
        <v>761728</v>
      </c>
      <c r="FR57" s="179">
        <f t="shared" si="183"/>
        <v>0</v>
      </c>
      <c r="FS57" s="9">
        <v>761728</v>
      </c>
      <c r="FT57" s="18" t="s">
        <v>238</v>
      </c>
      <c r="FU57" s="18" t="s">
        <v>238</v>
      </c>
      <c r="FV57" s="324">
        <f t="shared" si="227"/>
        <v>761728</v>
      </c>
      <c r="FW57" s="321">
        <f t="shared" si="228"/>
        <v>761728</v>
      </c>
      <c r="FX57" s="179">
        <f t="shared" si="184"/>
        <v>0</v>
      </c>
      <c r="FY57" s="9">
        <v>761728</v>
      </c>
      <c r="FZ57" s="18" t="s">
        <v>238</v>
      </c>
      <c r="GA57" s="18" t="s">
        <v>238</v>
      </c>
      <c r="GB57" s="324">
        <f t="shared" si="229"/>
        <v>761728</v>
      </c>
      <c r="GC57" s="321">
        <f t="shared" si="230"/>
        <v>761728</v>
      </c>
      <c r="GD57" s="179">
        <f t="shared" si="185"/>
        <v>0</v>
      </c>
      <c r="GE57" s="9">
        <v>761728</v>
      </c>
      <c r="GF57" s="18" t="s">
        <v>238</v>
      </c>
      <c r="GG57" s="18" t="s">
        <v>238</v>
      </c>
      <c r="GH57" s="324">
        <f t="shared" si="231"/>
        <v>761728</v>
      </c>
      <c r="GI57" s="321">
        <f t="shared" si="232"/>
        <v>761728</v>
      </c>
      <c r="GJ57" s="179">
        <f t="shared" si="186"/>
        <v>0</v>
      </c>
      <c r="GK57" s="9">
        <v>761728</v>
      </c>
      <c r="GL57" s="18" t="s">
        <v>238</v>
      </c>
      <c r="GM57" s="18" t="s">
        <v>238</v>
      </c>
      <c r="GN57" s="324">
        <f t="shared" si="233"/>
        <v>761728</v>
      </c>
      <c r="GO57" s="321">
        <f t="shared" si="234"/>
        <v>761728</v>
      </c>
      <c r="GP57" s="179">
        <f t="shared" si="187"/>
        <v>0</v>
      </c>
      <c r="GQ57" s="9">
        <v>761728</v>
      </c>
      <c r="GR57" s="18" t="s">
        <v>238</v>
      </c>
      <c r="GS57" s="18" t="s">
        <v>238</v>
      </c>
      <c r="GT57" s="324">
        <f t="shared" si="235"/>
        <v>761728</v>
      </c>
      <c r="GU57" s="321">
        <f t="shared" si="236"/>
        <v>761728</v>
      </c>
      <c r="GV57" s="179">
        <f t="shared" si="188"/>
        <v>0</v>
      </c>
      <c r="GW57" s="9">
        <v>799814</v>
      </c>
      <c r="GX57" s="18" t="s">
        <v>238</v>
      </c>
      <c r="GY57" s="18" t="s">
        <v>238</v>
      </c>
      <c r="GZ57" s="324">
        <f t="shared" si="237"/>
        <v>799814</v>
      </c>
      <c r="HA57" s="321">
        <f t="shared" si="238"/>
        <v>799814</v>
      </c>
      <c r="HB57" s="179">
        <f t="shared" si="189"/>
        <v>38086</v>
      </c>
      <c r="HC57" s="102">
        <f t="shared" si="190"/>
        <v>5.4167838912763236E-2</v>
      </c>
      <c r="HD57" s="285">
        <f t="shared" si="239"/>
        <v>0</v>
      </c>
      <c r="HE57" s="12">
        <f t="shared" si="240"/>
        <v>38086.400000000001</v>
      </c>
      <c r="HF57" s="12">
        <f t="shared" si="191"/>
        <v>0.40000000000145519</v>
      </c>
      <c r="HG57" s="12">
        <f t="shared" si="241"/>
        <v>38086</v>
      </c>
      <c r="HH57" s="14">
        <f t="shared" si="242"/>
        <v>38086</v>
      </c>
      <c r="HI57" s="13">
        <f t="shared" si="243"/>
        <v>799814</v>
      </c>
      <c r="HJ57" s="102">
        <f t="shared" si="244"/>
        <v>5.6876202413686794E-2</v>
      </c>
      <c r="HK57" s="16">
        <f t="shared" si="245"/>
        <v>761728</v>
      </c>
      <c r="HL57" s="103">
        <f t="shared" si="246"/>
        <v>799814.4</v>
      </c>
      <c r="HM57" s="103">
        <f t="shared" si="247"/>
        <v>38086.400000000023</v>
      </c>
      <c r="HN57" s="17">
        <f t="shared" si="248"/>
        <v>0.40000000000145519</v>
      </c>
      <c r="HO57" s="56">
        <f t="shared" si="249"/>
        <v>38086.000000000022</v>
      </c>
      <c r="HP57" s="16">
        <f t="shared" si="250"/>
        <v>0</v>
      </c>
      <c r="HQ57" s="16">
        <f t="shared" si="251"/>
        <v>799814</v>
      </c>
      <c r="HR57" s="16">
        <f t="shared" si="252"/>
        <v>0</v>
      </c>
    </row>
    <row r="58" spans="1:226" x14ac:dyDescent="0.3">
      <c r="A58" s="145">
        <v>6</v>
      </c>
      <c r="B58" s="428"/>
      <c r="C58" s="313" t="s">
        <v>267</v>
      </c>
      <c r="D58" s="206" t="s">
        <v>193</v>
      </c>
      <c r="E58" s="27">
        <v>0</v>
      </c>
      <c r="F58" s="9">
        <v>4851000</v>
      </c>
      <c r="G58" s="9">
        <v>0</v>
      </c>
      <c r="H58" s="324"/>
      <c r="I58" s="324">
        <v>4851000</v>
      </c>
      <c r="J58" s="324">
        <v>4851000</v>
      </c>
      <c r="K58" s="324"/>
      <c r="L58" s="324">
        <v>4851000</v>
      </c>
      <c r="M58" s="23">
        <v>4851000</v>
      </c>
      <c r="N58" s="23">
        <v>4851000</v>
      </c>
      <c r="O58" s="298">
        <v>4851000</v>
      </c>
      <c r="P58" s="298">
        <v>4851000</v>
      </c>
      <c r="Q58" s="298">
        <v>4851000</v>
      </c>
      <c r="R58" s="298">
        <v>4851000</v>
      </c>
      <c r="S58" s="298">
        <v>4851000</v>
      </c>
      <c r="T58" s="298">
        <v>4851000</v>
      </c>
      <c r="U58" s="298">
        <f>T58*5%</f>
        <v>242550</v>
      </c>
      <c r="V58" s="298">
        <f>T58+U58</f>
        <v>5093550</v>
      </c>
      <c r="W58" s="298">
        <v>5093550</v>
      </c>
      <c r="X58" s="298">
        <v>5093550</v>
      </c>
      <c r="Y58" s="298">
        <v>5093550</v>
      </c>
      <c r="Z58" s="298">
        <v>5093550</v>
      </c>
      <c r="AA58" s="298">
        <v>5093550</v>
      </c>
      <c r="AB58" s="298">
        <v>5093550</v>
      </c>
      <c r="AC58" s="9">
        <v>0</v>
      </c>
      <c r="AD58" s="9">
        <v>0</v>
      </c>
      <c r="AE58" s="298">
        <f>AD58+AC58+AB58</f>
        <v>5093550</v>
      </c>
      <c r="AF58" s="298">
        <v>5093550</v>
      </c>
      <c r="AG58" s="9">
        <v>0</v>
      </c>
      <c r="AH58" s="9">
        <v>0</v>
      </c>
      <c r="AI58" s="298">
        <f>AH58+AG58+AF58</f>
        <v>5093550</v>
      </c>
      <c r="AJ58" s="298">
        <v>5093550</v>
      </c>
      <c r="AK58" s="9">
        <v>0</v>
      </c>
      <c r="AL58" s="9">
        <v>0</v>
      </c>
      <c r="AM58" s="298">
        <f>AL58+AK58+AJ58</f>
        <v>5093550</v>
      </c>
      <c r="AN58" s="298">
        <v>5093550</v>
      </c>
      <c r="AO58" s="9">
        <v>0</v>
      </c>
      <c r="AP58" s="9">
        <v>0</v>
      </c>
      <c r="AQ58" s="298">
        <f>AP58+AO58+AN58</f>
        <v>5093550</v>
      </c>
      <c r="AR58" s="28">
        <v>5093550</v>
      </c>
      <c r="AS58" s="9">
        <v>0</v>
      </c>
      <c r="AT58" s="9">
        <v>0</v>
      </c>
      <c r="AU58" s="298">
        <f>AT58+AS58+AR58</f>
        <v>5093550</v>
      </c>
      <c r="AV58" s="298">
        <v>5093550</v>
      </c>
      <c r="AW58" s="9">
        <v>0</v>
      </c>
      <c r="AX58" s="9">
        <v>0</v>
      </c>
      <c r="AY58" s="7">
        <f>AX58+AW58+AV58</f>
        <v>5093550</v>
      </c>
      <c r="AZ58" s="8">
        <f>AY58*5%</f>
        <v>254677.5</v>
      </c>
      <c r="BA58" s="8">
        <v>0.5</v>
      </c>
      <c r="BB58" s="8">
        <f>AZ58-BA58</f>
        <v>254677</v>
      </c>
      <c r="BC58" s="8">
        <f>BB58+AY58</f>
        <v>5348227</v>
      </c>
      <c r="BD58" s="8"/>
      <c r="BE58" s="8">
        <f>BD58+BC58</f>
        <v>5348227</v>
      </c>
      <c r="BF58" s="10">
        <f>BE58-AY58</f>
        <v>254677</v>
      </c>
      <c r="BG58" s="11">
        <f>BF58-BB58</f>
        <v>0</v>
      </c>
      <c r="BH58" s="11">
        <v>5348227</v>
      </c>
      <c r="BI58" s="11"/>
      <c r="BJ58" s="11"/>
      <c r="BK58" s="319">
        <f>BJ58+BI58+BH58</f>
        <v>5348227</v>
      </c>
      <c r="BL58" s="319">
        <v>5348227</v>
      </c>
      <c r="BM58" s="319">
        <v>0</v>
      </c>
      <c r="BN58" s="319">
        <v>0</v>
      </c>
      <c r="BO58" s="319">
        <f>BN58+BM58+BL58</f>
        <v>5348227</v>
      </c>
      <c r="BP58" s="319">
        <f>BO58-BK58</f>
        <v>0</v>
      </c>
      <c r="BQ58" s="319">
        <v>5348227</v>
      </c>
      <c r="BR58" s="319">
        <v>0</v>
      </c>
      <c r="BS58" s="319">
        <v>0</v>
      </c>
      <c r="BT58" s="319">
        <f>BS58+BR58+BQ58</f>
        <v>5348227</v>
      </c>
      <c r="BU58" s="319">
        <f>BT58-BO58</f>
        <v>0</v>
      </c>
      <c r="BV58" s="319">
        <v>5348227</v>
      </c>
      <c r="BW58" s="319">
        <v>0</v>
      </c>
      <c r="BX58" s="319">
        <v>0</v>
      </c>
      <c r="BY58" s="319">
        <f>BX58+BW58+BV58</f>
        <v>5348227</v>
      </c>
      <c r="BZ58" s="319">
        <f>BY58-BT58</f>
        <v>0</v>
      </c>
      <c r="CA58" s="319">
        <v>5348227</v>
      </c>
      <c r="CB58" s="319">
        <v>0</v>
      </c>
      <c r="CC58" s="319">
        <v>0</v>
      </c>
      <c r="CD58" s="319">
        <f>CC58+CB58+CA58</f>
        <v>5348227</v>
      </c>
      <c r="CE58" s="319">
        <f>CD58-BY58</f>
        <v>0</v>
      </c>
      <c r="CF58" s="319">
        <v>5348227</v>
      </c>
      <c r="CG58" s="319">
        <v>0</v>
      </c>
      <c r="CH58" s="319">
        <v>0</v>
      </c>
      <c r="CI58" s="319">
        <f>CH58+CG58+CF58</f>
        <v>5348227</v>
      </c>
      <c r="CJ58" s="319">
        <f>CI58-CD58</f>
        <v>0</v>
      </c>
      <c r="CK58" s="319">
        <v>5348227</v>
      </c>
      <c r="CL58" s="319">
        <v>0</v>
      </c>
      <c r="CM58" s="319">
        <v>0</v>
      </c>
      <c r="CN58" s="319">
        <f>CM58+CL58+CK58</f>
        <v>5348227</v>
      </c>
      <c r="CO58" s="319">
        <f>CN58-CI58</f>
        <v>0</v>
      </c>
      <c r="CP58" s="319">
        <v>5348227</v>
      </c>
      <c r="CQ58" s="319">
        <v>0</v>
      </c>
      <c r="CR58" s="29">
        <v>0</v>
      </c>
      <c r="CS58" s="36">
        <f>CR58+CQ58+CP58</f>
        <v>5348227</v>
      </c>
      <c r="CT58" s="31">
        <f>CS58-CN58</f>
        <v>0</v>
      </c>
      <c r="CU58" s="37">
        <v>5348227</v>
      </c>
      <c r="CV58" s="319">
        <v>0</v>
      </c>
      <c r="CW58" s="38">
        <v>0</v>
      </c>
      <c r="CX58" s="36">
        <f>CW58+CV58+CU58</f>
        <v>5348227</v>
      </c>
      <c r="CY58" s="36">
        <f>CX58-CS58</f>
        <v>0</v>
      </c>
      <c r="CZ58" s="31"/>
      <c r="DA58" s="31"/>
      <c r="DB58" s="31"/>
      <c r="DC58" s="12">
        <f t="shared" si="202"/>
        <v>534822.70000000007</v>
      </c>
      <c r="DD58" s="12">
        <v>0.7</v>
      </c>
      <c r="DE58" s="13">
        <f t="shared" si="203"/>
        <v>534822.00000000012</v>
      </c>
      <c r="DF58" s="14">
        <f t="shared" si="169"/>
        <v>534822.00000000012</v>
      </c>
      <c r="DG58" s="13">
        <f t="shared" si="170"/>
        <v>5883049</v>
      </c>
      <c r="DH58" s="39">
        <f t="shared" si="171"/>
        <v>0.4183541742792441</v>
      </c>
      <c r="DI58" s="16">
        <f t="shared" si="172"/>
        <v>5348227</v>
      </c>
      <c r="DJ58" s="132">
        <f t="shared" si="204"/>
        <v>5883049.7000000002</v>
      </c>
      <c r="DK58" s="17">
        <f t="shared" si="205"/>
        <v>534822.70000000019</v>
      </c>
      <c r="DL58" s="17">
        <f t="shared" si="173"/>
        <v>0.7</v>
      </c>
      <c r="DM58" s="16">
        <f t="shared" si="206"/>
        <v>534822.00000000023</v>
      </c>
      <c r="DN58" s="16">
        <f t="shared" si="174"/>
        <v>0</v>
      </c>
      <c r="DO58" s="16">
        <f t="shared" si="207"/>
        <v>5883049</v>
      </c>
      <c r="DP58" s="16">
        <f t="shared" si="175"/>
        <v>0</v>
      </c>
      <c r="DQ58" s="9">
        <v>5883049</v>
      </c>
      <c r="DR58" s="18" t="s">
        <v>238</v>
      </c>
      <c r="DS58" s="18" t="s">
        <v>238</v>
      </c>
      <c r="DT58" s="324">
        <f t="shared" si="208"/>
        <v>5883049</v>
      </c>
      <c r="DU58" s="321">
        <f t="shared" si="209"/>
        <v>5883049</v>
      </c>
      <c r="DV58" s="19">
        <f t="shared" si="210"/>
        <v>0</v>
      </c>
      <c r="DW58" s="9">
        <v>5883049</v>
      </c>
      <c r="DX58" s="18"/>
      <c r="DY58" s="18"/>
      <c r="DZ58" s="324">
        <f t="shared" si="211"/>
        <v>5883049</v>
      </c>
      <c r="EA58" s="321">
        <f t="shared" si="212"/>
        <v>5883049</v>
      </c>
      <c r="EB58" s="179">
        <f t="shared" si="176"/>
        <v>0</v>
      </c>
      <c r="EC58" s="9">
        <v>5883049</v>
      </c>
      <c r="ED58" s="18" t="s">
        <v>238</v>
      </c>
      <c r="EE58" s="18" t="s">
        <v>238</v>
      </c>
      <c r="EF58" s="324">
        <f t="shared" si="213"/>
        <v>5883049</v>
      </c>
      <c r="EG58" s="321">
        <f t="shared" si="214"/>
        <v>5883049</v>
      </c>
      <c r="EH58" s="179">
        <f t="shared" si="177"/>
        <v>0</v>
      </c>
      <c r="EI58" s="9">
        <v>5883049</v>
      </c>
      <c r="EJ58" s="18" t="s">
        <v>238</v>
      </c>
      <c r="EK58" s="18" t="s">
        <v>238</v>
      </c>
      <c r="EL58" s="324">
        <f t="shared" si="215"/>
        <v>5883049</v>
      </c>
      <c r="EM58" s="321">
        <f t="shared" si="216"/>
        <v>5883049</v>
      </c>
      <c r="EN58" s="179">
        <f t="shared" si="178"/>
        <v>0</v>
      </c>
      <c r="EO58" s="9">
        <v>5883049</v>
      </c>
      <c r="EP58" s="18" t="s">
        <v>238</v>
      </c>
      <c r="EQ58" s="18" t="s">
        <v>238</v>
      </c>
      <c r="ER58" s="324">
        <f t="shared" si="217"/>
        <v>5883049</v>
      </c>
      <c r="ES58" s="321">
        <f t="shared" si="218"/>
        <v>5883049</v>
      </c>
      <c r="ET58" s="179">
        <f t="shared" si="179"/>
        <v>0</v>
      </c>
      <c r="EU58" s="9">
        <v>5883049</v>
      </c>
      <c r="EV58" s="18" t="s">
        <v>238</v>
      </c>
      <c r="EW58" s="18" t="s">
        <v>238</v>
      </c>
      <c r="EX58" s="324">
        <f t="shared" si="219"/>
        <v>5883049</v>
      </c>
      <c r="EY58" s="321">
        <f t="shared" si="220"/>
        <v>5883049</v>
      </c>
      <c r="EZ58" s="179">
        <f t="shared" si="180"/>
        <v>0</v>
      </c>
      <c r="FA58" s="9">
        <v>5883049</v>
      </c>
      <c r="FB58" s="18" t="s">
        <v>238</v>
      </c>
      <c r="FC58" s="18" t="s">
        <v>238</v>
      </c>
      <c r="FD58" s="101">
        <f t="shared" si="221"/>
        <v>5883049</v>
      </c>
      <c r="FE58" s="218">
        <f t="shared" si="222"/>
        <v>5883049</v>
      </c>
      <c r="FF58" s="135">
        <f t="shared" si="181"/>
        <v>0</v>
      </c>
      <c r="FG58" s="9">
        <v>5883049</v>
      </c>
      <c r="FH58" s="18" t="s">
        <v>238</v>
      </c>
      <c r="FI58" s="18" t="s">
        <v>238</v>
      </c>
      <c r="FJ58" s="324">
        <f t="shared" si="223"/>
        <v>5883049</v>
      </c>
      <c r="FK58" s="321">
        <f t="shared" si="224"/>
        <v>5883049</v>
      </c>
      <c r="FL58" s="179">
        <f t="shared" si="182"/>
        <v>0</v>
      </c>
      <c r="FM58" s="9">
        <v>5883049</v>
      </c>
      <c r="FN58" s="18" t="s">
        <v>238</v>
      </c>
      <c r="FO58" s="18" t="s">
        <v>238</v>
      </c>
      <c r="FP58" s="324">
        <f t="shared" si="225"/>
        <v>5883049</v>
      </c>
      <c r="FQ58" s="321">
        <f t="shared" si="226"/>
        <v>5883049</v>
      </c>
      <c r="FR58" s="179">
        <f t="shared" si="183"/>
        <v>0</v>
      </c>
      <c r="FS58" s="9">
        <v>5883049</v>
      </c>
      <c r="FT58" s="18" t="s">
        <v>238</v>
      </c>
      <c r="FU58" s="18" t="s">
        <v>238</v>
      </c>
      <c r="FV58" s="324">
        <f t="shared" si="227"/>
        <v>5883049</v>
      </c>
      <c r="FW58" s="321">
        <f t="shared" si="228"/>
        <v>5883049</v>
      </c>
      <c r="FX58" s="179">
        <f t="shared" si="184"/>
        <v>0</v>
      </c>
      <c r="FY58" s="9">
        <v>5883049</v>
      </c>
      <c r="FZ58" s="18" t="s">
        <v>238</v>
      </c>
      <c r="GA58" s="18" t="s">
        <v>238</v>
      </c>
      <c r="GB58" s="324">
        <f t="shared" si="229"/>
        <v>5883049</v>
      </c>
      <c r="GC58" s="321">
        <f t="shared" si="230"/>
        <v>5883049</v>
      </c>
      <c r="GD58" s="179">
        <f t="shared" si="185"/>
        <v>0</v>
      </c>
      <c r="GE58" s="9">
        <v>5883049</v>
      </c>
      <c r="GF58" s="18" t="s">
        <v>238</v>
      </c>
      <c r="GG58" s="18" t="s">
        <v>238</v>
      </c>
      <c r="GH58" s="324">
        <f t="shared" si="231"/>
        <v>5883049</v>
      </c>
      <c r="GI58" s="321">
        <f t="shared" si="232"/>
        <v>5883049</v>
      </c>
      <c r="GJ58" s="179">
        <f t="shared" si="186"/>
        <v>0</v>
      </c>
      <c r="GK58" s="9">
        <v>5883049</v>
      </c>
      <c r="GL58" s="18" t="s">
        <v>238</v>
      </c>
      <c r="GM58" s="18" t="s">
        <v>238</v>
      </c>
      <c r="GN58" s="324">
        <f t="shared" si="233"/>
        <v>5883049</v>
      </c>
      <c r="GO58" s="321">
        <f t="shared" si="234"/>
        <v>5883049</v>
      </c>
      <c r="GP58" s="179">
        <f t="shared" si="187"/>
        <v>0</v>
      </c>
      <c r="GQ58" s="9">
        <v>5883049</v>
      </c>
      <c r="GR58" s="18" t="s">
        <v>238</v>
      </c>
      <c r="GS58" s="18" t="s">
        <v>238</v>
      </c>
      <c r="GT58" s="324">
        <f t="shared" si="235"/>
        <v>5883049</v>
      </c>
      <c r="GU58" s="321">
        <f t="shared" si="236"/>
        <v>5883049</v>
      </c>
      <c r="GV58" s="179">
        <f t="shared" si="188"/>
        <v>0</v>
      </c>
      <c r="GW58" s="9">
        <v>6177201</v>
      </c>
      <c r="GX58" s="18" t="s">
        <v>238</v>
      </c>
      <c r="GY58" s="18" t="s">
        <v>238</v>
      </c>
      <c r="GZ58" s="324">
        <f t="shared" si="237"/>
        <v>6177201</v>
      </c>
      <c r="HA58" s="321">
        <f t="shared" si="238"/>
        <v>6177201</v>
      </c>
      <c r="HB58" s="179">
        <f t="shared" si="189"/>
        <v>294152</v>
      </c>
      <c r="HC58" s="102">
        <f t="shared" si="190"/>
        <v>0.41835412450099357</v>
      </c>
      <c r="HD58" s="285">
        <f t="shared" si="239"/>
        <v>0</v>
      </c>
      <c r="HE58" s="12">
        <f t="shared" si="240"/>
        <v>294152.45</v>
      </c>
      <c r="HF58" s="12">
        <f t="shared" si="191"/>
        <v>0.45000000001164153</v>
      </c>
      <c r="HG58" s="12">
        <f t="shared" si="241"/>
        <v>294152</v>
      </c>
      <c r="HH58" s="14">
        <f t="shared" si="242"/>
        <v>294152</v>
      </c>
      <c r="HI58" s="13">
        <f t="shared" si="243"/>
        <v>6177201</v>
      </c>
      <c r="HJ58" s="102">
        <f t="shared" si="244"/>
        <v>0.43927179872573935</v>
      </c>
      <c r="HK58" s="16">
        <f t="shared" si="245"/>
        <v>5883049</v>
      </c>
      <c r="HL58" s="103">
        <f t="shared" si="246"/>
        <v>6177201.4500000002</v>
      </c>
      <c r="HM58" s="103">
        <f t="shared" si="247"/>
        <v>294152.45000000019</v>
      </c>
      <c r="HN58" s="17">
        <f t="shared" si="248"/>
        <v>0.45000000001164153</v>
      </c>
      <c r="HO58" s="56">
        <f t="shared" si="249"/>
        <v>294152.00000000017</v>
      </c>
      <c r="HP58" s="16">
        <f t="shared" si="250"/>
        <v>0</v>
      </c>
      <c r="HQ58" s="16">
        <f t="shared" si="251"/>
        <v>6177201</v>
      </c>
      <c r="HR58" s="16">
        <f t="shared" si="252"/>
        <v>0</v>
      </c>
    </row>
    <row r="59" spans="1:226" x14ac:dyDescent="0.3">
      <c r="A59" s="145">
        <v>7</v>
      </c>
      <c r="B59" s="428"/>
      <c r="C59" s="313" t="s">
        <v>268</v>
      </c>
      <c r="D59" s="206" t="s">
        <v>194</v>
      </c>
      <c r="E59" s="27">
        <v>0</v>
      </c>
      <c r="F59" s="9">
        <v>1064659</v>
      </c>
      <c r="G59" s="9">
        <v>0</v>
      </c>
      <c r="H59" s="324"/>
      <c r="I59" s="324">
        <v>1064659</v>
      </c>
      <c r="J59" s="324">
        <v>1064659</v>
      </c>
      <c r="K59" s="324"/>
      <c r="L59" s="324">
        <v>1064659</v>
      </c>
      <c r="M59" s="23">
        <v>1064659</v>
      </c>
      <c r="N59" s="23">
        <v>1064659</v>
      </c>
      <c r="O59" s="298">
        <v>1064659</v>
      </c>
      <c r="P59" s="298">
        <v>1064659</v>
      </c>
      <c r="Q59" s="298">
        <v>1064659</v>
      </c>
      <c r="R59" s="298">
        <v>1064659</v>
      </c>
      <c r="S59" s="298">
        <v>1064659</v>
      </c>
      <c r="T59" s="298">
        <v>1064659</v>
      </c>
      <c r="U59" s="298">
        <f>T59*5%</f>
        <v>53232.950000000004</v>
      </c>
      <c r="V59" s="298">
        <f>T59+U59</f>
        <v>1117891.95</v>
      </c>
      <c r="W59" s="298">
        <v>1117891</v>
      </c>
      <c r="X59" s="298">
        <v>1117891</v>
      </c>
      <c r="Y59" s="298">
        <v>1117891</v>
      </c>
      <c r="Z59" s="298">
        <v>1117891</v>
      </c>
      <c r="AA59" s="298">
        <v>1117891</v>
      </c>
      <c r="AB59" s="298">
        <v>1117891</v>
      </c>
      <c r="AC59" s="9">
        <v>0</v>
      </c>
      <c r="AD59" s="9">
        <v>0</v>
      </c>
      <c r="AE59" s="298">
        <f>AD59+AC59+AB59</f>
        <v>1117891</v>
      </c>
      <c r="AF59" s="298">
        <v>1117891</v>
      </c>
      <c r="AG59" s="9">
        <v>0</v>
      </c>
      <c r="AH59" s="9">
        <v>0</v>
      </c>
      <c r="AI59" s="298">
        <f>AH59+AG59+AF59</f>
        <v>1117891</v>
      </c>
      <c r="AJ59" s="298">
        <v>1117891</v>
      </c>
      <c r="AK59" s="9">
        <v>0</v>
      </c>
      <c r="AL59" s="9">
        <v>0</v>
      </c>
      <c r="AM59" s="298">
        <f>AL59+AK59+AJ59</f>
        <v>1117891</v>
      </c>
      <c r="AN59" s="298">
        <v>1117891</v>
      </c>
      <c r="AO59" s="9">
        <v>0</v>
      </c>
      <c r="AP59" s="9">
        <v>0</v>
      </c>
      <c r="AQ59" s="298">
        <f>AP59+AO59+AN59</f>
        <v>1117891</v>
      </c>
      <c r="AR59" s="28">
        <v>1117891</v>
      </c>
      <c r="AS59" s="9">
        <v>0</v>
      </c>
      <c r="AT59" s="9">
        <v>0</v>
      </c>
      <c r="AU59" s="298">
        <f>AT59+AS59+AR59</f>
        <v>1117891</v>
      </c>
      <c r="AV59" s="298">
        <v>1117891</v>
      </c>
      <c r="AW59" s="9">
        <v>0</v>
      </c>
      <c r="AX59" s="9">
        <v>0</v>
      </c>
      <c r="AY59" s="7">
        <f>AX59+AW59+AV59</f>
        <v>1117891</v>
      </c>
      <c r="AZ59" s="8">
        <f>AY59*5%</f>
        <v>55894.55</v>
      </c>
      <c r="BA59" s="8">
        <v>0.55000000000000004</v>
      </c>
      <c r="BB59" s="8">
        <f>AZ59-BA59</f>
        <v>55894</v>
      </c>
      <c r="BC59" s="8">
        <f>BB59+AY59</f>
        <v>1173785</v>
      </c>
      <c r="BD59" s="8"/>
      <c r="BE59" s="8">
        <f>BD59+BC59</f>
        <v>1173785</v>
      </c>
      <c r="BF59" s="10">
        <f>BE59-AY59</f>
        <v>55894</v>
      </c>
      <c r="BG59" s="11">
        <f>BF59-BB59</f>
        <v>0</v>
      </c>
      <c r="BH59" s="11">
        <v>1173785</v>
      </c>
      <c r="BI59" s="11"/>
      <c r="BJ59" s="11"/>
      <c r="BK59" s="319">
        <f>BJ59+BI59+BH59</f>
        <v>1173785</v>
      </c>
      <c r="BL59" s="319">
        <v>1173785</v>
      </c>
      <c r="BM59" s="319">
        <v>0</v>
      </c>
      <c r="BN59" s="319">
        <v>0</v>
      </c>
      <c r="BO59" s="319">
        <f>BN59+BM59+BL59</f>
        <v>1173785</v>
      </c>
      <c r="BP59" s="319">
        <f>BO59-BK59</f>
        <v>0</v>
      </c>
      <c r="BQ59" s="319">
        <v>1173785</v>
      </c>
      <c r="BR59" s="319">
        <v>0</v>
      </c>
      <c r="BS59" s="319">
        <v>0</v>
      </c>
      <c r="BT59" s="319">
        <f>BS59+BR59+BQ59</f>
        <v>1173785</v>
      </c>
      <c r="BU59" s="319">
        <f>BT59-BO59</f>
        <v>0</v>
      </c>
      <c r="BV59" s="319">
        <v>1173785</v>
      </c>
      <c r="BW59" s="319">
        <v>0</v>
      </c>
      <c r="BX59" s="319">
        <v>0</v>
      </c>
      <c r="BY59" s="319">
        <f>BX59+BW59+BV59</f>
        <v>1173785</v>
      </c>
      <c r="BZ59" s="319">
        <f>BY59-BT59</f>
        <v>0</v>
      </c>
      <c r="CA59" s="319">
        <v>1173785</v>
      </c>
      <c r="CB59" s="319">
        <v>0</v>
      </c>
      <c r="CC59" s="319">
        <v>0</v>
      </c>
      <c r="CD59" s="319">
        <f>CC59+CB59+CA59</f>
        <v>1173785</v>
      </c>
      <c r="CE59" s="319">
        <f>CD59-BY59</f>
        <v>0</v>
      </c>
      <c r="CF59" s="319">
        <v>1173785</v>
      </c>
      <c r="CG59" s="319">
        <v>0</v>
      </c>
      <c r="CH59" s="319">
        <v>0</v>
      </c>
      <c r="CI59" s="319">
        <f>CH59+CG59+CF59</f>
        <v>1173785</v>
      </c>
      <c r="CJ59" s="319">
        <f>CI59-CD59</f>
        <v>0</v>
      </c>
      <c r="CK59" s="319">
        <v>1173785</v>
      </c>
      <c r="CL59" s="319">
        <v>0</v>
      </c>
      <c r="CM59" s="319">
        <v>0</v>
      </c>
      <c r="CN59" s="319">
        <f>CM59+CL59+CK59</f>
        <v>1173785</v>
      </c>
      <c r="CO59" s="319">
        <f>CN59-CI59</f>
        <v>0</v>
      </c>
      <c r="CP59" s="319">
        <v>1173785</v>
      </c>
      <c r="CQ59" s="319">
        <v>0</v>
      </c>
      <c r="CR59" s="29">
        <v>0</v>
      </c>
      <c r="CS59" s="36">
        <f>CR59+CQ59+CP59</f>
        <v>1173785</v>
      </c>
      <c r="CT59" s="31">
        <f>CS59-CN59</f>
        <v>0</v>
      </c>
      <c r="CU59" s="37">
        <v>1173785</v>
      </c>
      <c r="CV59" s="319">
        <v>0</v>
      </c>
      <c r="CW59" s="38">
        <v>0</v>
      </c>
      <c r="CX59" s="36">
        <f>CW59+CV59+CU59</f>
        <v>1173785</v>
      </c>
      <c r="CY59" s="36">
        <f>CX59-CS59</f>
        <v>0</v>
      </c>
      <c r="CZ59" s="31"/>
      <c r="DA59" s="31"/>
      <c r="DB59" s="31"/>
      <c r="DC59" s="12">
        <f t="shared" si="202"/>
        <v>117378.5</v>
      </c>
      <c r="DD59" s="12">
        <v>0.5</v>
      </c>
      <c r="DE59" s="13">
        <f t="shared" si="203"/>
        <v>117378</v>
      </c>
      <c r="DF59" s="14">
        <f t="shared" si="169"/>
        <v>117378</v>
      </c>
      <c r="DG59" s="13">
        <f t="shared" si="170"/>
        <v>1291163</v>
      </c>
      <c r="DH59" s="39">
        <f t="shared" si="171"/>
        <v>9.1816943158239642E-2</v>
      </c>
      <c r="DI59" s="16">
        <f t="shared" si="172"/>
        <v>1173785</v>
      </c>
      <c r="DJ59" s="132">
        <f t="shared" si="204"/>
        <v>1291163.5</v>
      </c>
      <c r="DK59" s="17">
        <f t="shared" si="205"/>
        <v>117378.5</v>
      </c>
      <c r="DL59" s="17">
        <f t="shared" si="173"/>
        <v>0.5</v>
      </c>
      <c r="DM59" s="16">
        <f t="shared" si="206"/>
        <v>117378</v>
      </c>
      <c r="DN59" s="16">
        <f t="shared" si="174"/>
        <v>0</v>
      </c>
      <c r="DO59" s="16">
        <f t="shared" si="207"/>
        <v>1291163</v>
      </c>
      <c r="DP59" s="16">
        <f t="shared" si="175"/>
        <v>0</v>
      </c>
      <c r="DQ59" s="9">
        <v>1291163</v>
      </c>
      <c r="DR59" s="18" t="s">
        <v>238</v>
      </c>
      <c r="DS59" s="18" t="s">
        <v>238</v>
      </c>
      <c r="DT59" s="324">
        <f t="shared" si="208"/>
        <v>1291163</v>
      </c>
      <c r="DU59" s="321">
        <f t="shared" si="209"/>
        <v>1291163</v>
      </c>
      <c r="DV59" s="19">
        <f t="shared" si="210"/>
        <v>0</v>
      </c>
      <c r="DW59" s="9">
        <v>1291163</v>
      </c>
      <c r="DX59" s="18"/>
      <c r="DY59" s="18"/>
      <c r="DZ59" s="324">
        <f t="shared" si="211"/>
        <v>1291163</v>
      </c>
      <c r="EA59" s="321">
        <f t="shared" si="212"/>
        <v>1291163</v>
      </c>
      <c r="EB59" s="179">
        <f t="shared" si="176"/>
        <v>0</v>
      </c>
      <c r="EC59" s="9">
        <v>1291163</v>
      </c>
      <c r="ED59" s="18" t="s">
        <v>238</v>
      </c>
      <c r="EE59" s="18" t="s">
        <v>238</v>
      </c>
      <c r="EF59" s="324">
        <f t="shared" si="213"/>
        <v>1291163</v>
      </c>
      <c r="EG59" s="321">
        <f t="shared" si="214"/>
        <v>1291163</v>
      </c>
      <c r="EH59" s="179">
        <f t="shared" si="177"/>
        <v>0</v>
      </c>
      <c r="EI59" s="9">
        <v>1291163</v>
      </c>
      <c r="EJ59" s="18" t="s">
        <v>238</v>
      </c>
      <c r="EK59" s="18" t="s">
        <v>238</v>
      </c>
      <c r="EL59" s="324">
        <f t="shared" si="215"/>
        <v>1291163</v>
      </c>
      <c r="EM59" s="321">
        <f t="shared" si="216"/>
        <v>1291163</v>
      </c>
      <c r="EN59" s="179">
        <f t="shared" si="178"/>
        <v>0</v>
      </c>
      <c r="EO59" s="9">
        <v>1291163</v>
      </c>
      <c r="EP59" s="18" t="s">
        <v>238</v>
      </c>
      <c r="EQ59" s="18" t="s">
        <v>238</v>
      </c>
      <c r="ER59" s="324">
        <f t="shared" si="217"/>
        <v>1291163</v>
      </c>
      <c r="ES59" s="321">
        <f t="shared" si="218"/>
        <v>1291163</v>
      </c>
      <c r="ET59" s="179">
        <f t="shared" si="179"/>
        <v>0</v>
      </c>
      <c r="EU59" s="9">
        <v>1291163</v>
      </c>
      <c r="EV59" s="18" t="s">
        <v>238</v>
      </c>
      <c r="EW59" s="18" t="s">
        <v>238</v>
      </c>
      <c r="EX59" s="324">
        <f t="shared" si="219"/>
        <v>1291163</v>
      </c>
      <c r="EY59" s="321">
        <f t="shared" si="220"/>
        <v>1291163</v>
      </c>
      <c r="EZ59" s="179">
        <f t="shared" si="180"/>
        <v>0</v>
      </c>
      <c r="FA59" s="9">
        <v>1291163</v>
      </c>
      <c r="FB59" s="18" t="s">
        <v>238</v>
      </c>
      <c r="FC59" s="18" t="s">
        <v>238</v>
      </c>
      <c r="FD59" s="101">
        <f t="shared" si="221"/>
        <v>1291163</v>
      </c>
      <c r="FE59" s="218">
        <f t="shared" si="222"/>
        <v>1291163</v>
      </c>
      <c r="FF59" s="135">
        <f t="shared" si="181"/>
        <v>0</v>
      </c>
      <c r="FG59" s="9">
        <v>1291163</v>
      </c>
      <c r="FH59" s="18" t="s">
        <v>238</v>
      </c>
      <c r="FI59" s="18" t="s">
        <v>238</v>
      </c>
      <c r="FJ59" s="324">
        <f t="shared" si="223"/>
        <v>1291163</v>
      </c>
      <c r="FK59" s="321">
        <f t="shared" si="224"/>
        <v>1291163</v>
      </c>
      <c r="FL59" s="179">
        <f t="shared" si="182"/>
        <v>0</v>
      </c>
      <c r="FM59" s="9">
        <v>1291163</v>
      </c>
      <c r="FN59" s="18" t="s">
        <v>238</v>
      </c>
      <c r="FO59" s="18" t="s">
        <v>238</v>
      </c>
      <c r="FP59" s="324">
        <f t="shared" si="225"/>
        <v>1291163</v>
      </c>
      <c r="FQ59" s="321">
        <f t="shared" si="226"/>
        <v>1291163</v>
      </c>
      <c r="FR59" s="179">
        <f t="shared" si="183"/>
        <v>0</v>
      </c>
      <c r="FS59" s="9">
        <v>1291163</v>
      </c>
      <c r="FT59" s="18" t="s">
        <v>238</v>
      </c>
      <c r="FU59" s="18" t="s">
        <v>238</v>
      </c>
      <c r="FV59" s="324">
        <f t="shared" si="227"/>
        <v>1291163</v>
      </c>
      <c r="FW59" s="321">
        <f t="shared" si="228"/>
        <v>1291163</v>
      </c>
      <c r="FX59" s="179">
        <f t="shared" si="184"/>
        <v>0</v>
      </c>
      <c r="FY59" s="9">
        <v>1291163</v>
      </c>
      <c r="FZ59" s="18" t="s">
        <v>238</v>
      </c>
      <c r="GA59" s="18" t="s">
        <v>238</v>
      </c>
      <c r="GB59" s="324">
        <f t="shared" si="229"/>
        <v>1291163</v>
      </c>
      <c r="GC59" s="321">
        <f t="shared" si="230"/>
        <v>1291163</v>
      </c>
      <c r="GD59" s="179">
        <f t="shared" si="185"/>
        <v>0</v>
      </c>
      <c r="GE59" s="9">
        <v>1291163</v>
      </c>
      <c r="GF59" s="18" t="s">
        <v>238</v>
      </c>
      <c r="GG59" s="18" t="s">
        <v>238</v>
      </c>
      <c r="GH59" s="324">
        <f t="shared" si="231"/>
        <v>1291163</v>
      </c>
      <c r="GI59" s="321">
        <f t="shared" si="232"/>
        <v>1291163</v>
      </c>
      <c r="GJ59" s="179">
        <f t="shared" si="186"/>
        <v>0</v>
      </c>
      <c r="GK59" s="9">
        <v>1291163</v>
      </c>
      <c r="GL59" s="18" t="s">
        <v>238</v>
      </c>
      <c r="GM59" s="18" t="s">
        <v>238</v>
      </c>
      <c r="GN59" s="324">
        <f t="shared" si="233"/>
        <v>1291163</v>
      </c>
      <c r="GO59" s="321">
        <f t="shared" si="234"/>
        <v>1291163</v>
      </c>
      <c r="GP59" s="179">
        <f t="shared" si="187"/>
        <v>0</v>
      </c>
      <c r="GQ59" s="9">
        <v>1291163</v>
      </c>
      <c r="GR59" s="18" t="s">
        <v>238</v>
      </c>
      <c r="GS59" s="18" t="s">
        <v>238</v>
      </c>
      <c r="GT59" s="324">
        <f t="shared" si="235"/>
        <v>1291163</v>
      </c>
      <c r="GU59" s="321">
        <f t="shared" si="236"/>
        <v>1291163</v>
      </c>
      <c r="GV59" s="179">
        <f t="shared" si="188"/>
        <v>0</v>
      </c>
      <c r="GW59" s="9">
        <v>1355721</v>
      </c>
      <c r="GX59" s="18" t="s">
        <v>238</v>
      </c>
      <c r="GY59" s="18" t="s">
        <v>238</v>
      </c>
      <c r="GZ59" s="324">
        <f t="shared" si="237"/>
        <v>1355721</v>
      </c>
      <c r="HA59" s="321">
        <f t="shared" si="238"/>
        <v>1355721</v>
      </c>
      <c r="HB59" s="179">
        <f t="shared" si="189"/>
        <v>64558</v>
      </c>
      <c r="HC59" s="102">
        <f t="shared" si="190"/>
        <v>9.1816907602346398E-2</v>
      </c>
      <c r="HD59" s="285">
        <f t="shared" si="239"/>
        <v>-1.3824319466948509E-10</v>
      </c>
      <c r="HE59" s="12">
        <f t="shared" si="240"/>
        <v>64558.15</v>
      </c>
      <c r="HF59" s="12">
        <f t="shared" si="191"/>
        <v>0.15000000000145519</v>
      </c>
      <c r="HG59" s="12">
        <f t="shared" si="241"/>
        <v>64558</v>
      </c>
      <c r="HH59" s="14">
        <f t="shared" si="242"/>
        <v>64558</v>
      </c>
      <c r="HI59" s="13">
        <f t="shared" si="243"/>
        <v>1355721</v>
      </c>
      <c r="HJ59" s="102">
        <f t="shared" si="244"/>
        <v>9.6407742315695738E-2</v>
      </c>
      <c r="HK59" s="16">
        <f t="shared" si="245"/>
        <v>1291163</v>
      </c>
      <c r="HL59" s="103">
        <f t="shared" si="246"/>
        <v>1355721.1500000001</v>
      </c>
      <c r="HM59" s="103">
        <f t="shared" si="247"/>
        <v>64558.15000000014</v>
      </c>
      <c r="HN59" s="17">
        <f t="shared" si="248"/>
        <v>0.15000000000145519</v>
      </c>
      <c r="HO59" s="56">
        <f t="shared" si="249"/>
        <v>64558.000000000138</v>
      </c>
      <c r="HP59" s="16">
        <f t="shared" si="250"/>
        <v>1.3824319466948509E-10</v>
      </c>
      <c r="HQ59" s="16">
        <f t="shared" si="251"/>
        <v>1355721.0000000002</v>
      </c>
      <c r="HR59" s="16">
        <f t="shared" si="252"/>
        <v>0</v>
      </c>
    </row>
    <row r="60" spans="1:226" x14ac:dyDescent="0.3">
      <c r="A60" s="145">
        <v>3</v>
      </c>
      <c r="B60" s="428"/>
      <c r="C60" s="313" t="s">
        <v>264</v>
      </c>
      <c r="D60" s="234" t="s">
        <v>190</v>
      </c>
      <c r="E60" s="27">
        <v>0</v>
      </c>
      <c r="F60" s="9">
        <v>2759471</v>
      </c>
      <c r="G60" s="9">
        <v>0</v>
      </c>
      <c r="H60" s="324"/>
      <c r="I60" s="324">
        <v>2759471</v>
      </c>
      <c r="J60" s="324">
        <v>2759471</v>
      </c>
      <c r="K60" s="324"/>
      <c r="L60" s="324">
        <v>2759471</v>
      </c>
      <c r="M60" s="23">
        <v>2759471</v>
      </c>
      <c r="N60" s="23">
        <v>2759471</v>
      </c>
      <c r="O60" s="298">
        <v>2759471</v>
      </c>
      <c r="P60" s="298">
        <v>2759471</v>
      </c>
      <c r="Q60" s="298">
        <v>2759471</v>
      </c>
      <c r="R60" s="298">
        <v>2759471</v>
      </c>
      <c r="S60" s="298">
        <v>2759471</v>
      </c>
      <c r="T60" s="298">
        <v>2759471</v>
      </c>
      <c r="U60" s="298">
        <f t="shared" si="192"/>
        <v>137973.55000000002</v>
      </c>
      <c r="V60" s="298">
        <f t="shared" si="193"/>
        <v>2897444.55</v>
      </c>
      <c r="W60" s="298">
        <v>2897444</v>
      </c>
      <c r="X60" s="298">
        <v>2897444</v>
      </c>
      <c r="Y60" s="298">
        <v>2897444</v>
      </c>
      <c r="Z60" s="298">
        <v>2897444</v>
      </c>
      <c r="AA60" s="298">
        <v>2897444</v>
      </c>
      <c r="AB60" s="298">
        <v>2897444</v>
      </c>
      <c r="AC60" s="9">
        <v>0</v>
      </c>
      <c r="AD60" s="9">
        <v>0</v>
      </c>
      <c r="AE60" s="298">
        <f t="shared" si="194"/>
        <v>2897444</v>
      </c>
      <c r="AF60" s="298">
        <v>2897444</v>
      </c>
      <c r="AG60" s="9">
        <v>0</v>
      </c>
      <c r="AH60" s="9">
        <v>0</v>
      </c>
      <c r="AI60" s="298">
        <f t="shared" si="195"/>
        <v>2897444</v>
      </c>
      <c r="AJ60" s="298">
        <v>2897444</v>
      </c>
      <c r="AK60" s="9">
        <v>0</v>
      </c>
      <c r="AL60" s="9">
        <v>0</v>
      </c>
      <c r="AM60" s="298">
        <f t="shared" si="155"/>
        <v>2897444</v>
      </c>
      <c r="AN60" s="298">
        <v>2897444</v>
      </c>
      <c r="AO60" s="9">
        <v>0</v>
      </c>
      <c r="AP60" s="9">
        <v>0</v>
      </c>
      <c r="AQ60" s="298">
        <f t="shared" si="156"/>
        <v>2897444</v>
      </c>
      <c r="AR60" s="28">
        <v>2897444</v>
      </c>
      <c r="AS60" s="9">
        <v>0</v>
      </c>
      <c r="AT60" s="9">
        <v>0</v>
      </c>
      <c r="AU60" s="298">
        <f t="shared" si="157"/>
        <v>2897444</v>
      </c>
      <c r="AV60" s="298">
        <v>2897444</v>
      </c>
      <c r="AW60" s="9">
        <v>0</v>
      </c>
      <c r="AX60" s="9">
        <v>0</v>
      </c>
      <c r="AY60" s="7">
        <f t="shared" si="158"/>
        <v>2897444</v>
      </c>
      <c r="AZ60" s="8">
        <f t="shared" si="196"/>
        <v>144872.20000000001</v>
      </c>
      <c r="BA60" s="8">
        <v>0.2</v>
      </c>
      <c r="BB60" s="8">
        <f t="shared" si="197"/>
        <v>144872</v>
      </c>
      <c r="BC60" s="8">
        <f t="shared" si="198"/>
        <v>3042316</v>
      </c>
      <c r="BD60" s="8"/>
      <c r="BE60" s="8">
        <f t="shared" si="199"/>
        <v>3042316</v>
      </c>
      <c r="BF60" s="10">
        <f t="shared" si="200"/>
        <v>144872</v>
      </c>
      <c r="BG60" s="11">
        <f t="shared" si="201"/>
        <v>0</v>
      </c>
      <c r="BH60" s="11">
        <v>3042316</v>
      </c>
      <c r="BI60" s="11"/>
      <c r="BJ60" s="11"/>
      <c r="BK60" s="319">
        <f t="shared" si="159"/>
        <v>3042316</v>
      </c>
      <c r="BL60" s="319">
        <v>3042316</v>
      </c>
      <c r="BM60" s="319">
        <v>0</v>
      </c>
      <c r="BN60" s="319">
        <v>0</v>
      </c>
      <c r="BO60" s="319">
        <f t="shared" si="160"/>
        <v>3042316</v>
      </c>
      <c r="BP60" s="319">
        <f t="shared" ref="BP60:BP82" si="253">BO60-BK60</f>
        <v>0</v>
      </c>
      <c r="BQ60" s="319">
        <v>3042316</v>
      </c>
      <c r="BR60" s="319">
        <v>0</v>
      </c>
      <c r="BS60" s="319">
        <v>0</v>
      </c>
      <c r="BT60" s="319">
        <f t="shared" si="161"/>
        <v>3042316</v>
      </c>
      <c r="BU60" s="319">
        <f t="shared" si="162"/>
        <v>0</v>
      </c>
      <c r="BV60" s="319">
        <v>3042316</v>
      </c>
      <c r="BW60" s="319">
        <v>0</v>
      </c>
      <c r="BX60" s="319">
        <v>0</v>
      </c>
      <c r="BY60" s="319">
        <f t="shared" si="163"/>
        <v>3042316</v>
      </c>
      <c r="BZ60" s="319">
        <f t="shared" si="164"/>
        <v>0</v>
      </c>
      <c r="CA60" s="319">
        <v>3042316</v>
      </c>
      <c r="CB60" s="319">
        <v>0</v>
      </c>
      <c r="CC60" s="319">
        <v>0</v>
      </c>
      <c r="CD60" s="319">
        <f t="shared" si="165"/>
        <v>3042316</v>
      </c>
      <c r="CE60" s="319">
        <f t="shared" si="166"/>
        <v>0</v>
      </c>
      <c r="CF60" s="319">
        <v>3042316</v>
      </c>
      <c r="CG60" s="319">
        <v>0</v>
      </c>
      <c r="CH60" s="319">
        <v>0</v>
      </c>
      <c r="CI60" s="319">
        <f t="shared" si="167"/>
        <v>3042316</v>
      </c>
      <c r="CJ60" s="319">
        <f t="shared" si="168"/>
        <v>0</v>
      </c>
      <c r="CK60" s="319">
        <v>3042316</v>
      </c>
      <c r="CL60" s="319">
        <v>0</v>
      </c>
      <c r="CM60" s="319">
        <v>0</v>
      </c>
      <c r="CN60" s="319">
        <f t="shared" ref="CN60:CN67" si="254">CM60+CL60+CK60</f>
        <v>3042316</v>
      </c>
      <c r="CO60" s="319">
        <f t="shared" ref="CO60:CO67" si="255">CN60-CI60</f>
        <v>0</v>
      </c>
      <c r="CP60" s="319">
        <v>3042316</v>
      </c>
      <c r="CQ60" s="319">
        <v>0</v>
      </c>
      <c r="CR60" s="29">
        <v>0</v>
      </c>
      <c r="CS60" s="36">
        <f t="shared" ref="CS60:CS67" si="256">CR60+CQ60+CP60</f>
        <v>3042316</v>
      </c>
      <c r="CT60" s="31">
        <f t="shared" ref="CT60:CT67" si="257">CS60-CN60</f>
        <v>0</v>
      </c>
      <c r="CU60" s="37">
        <v>3042316</v>
      </c>
      <c r="CV60" s="319">
        <v>0</v>
      </c>
      <c r="CW60" s="38">
        <v>0</v>
      </c>
      <c r="CX60" s="36">
        <f t="shared" ref="CX60:CX67" si="258">CW60+CV60+CU60</f>
        <v>3042316</v>
      </c>
      <c r="CY60" s="36">
        <f t="shared" ref="CY60:CY67" si="259">CX60-CS60</f>
        <v>0</v>
      </c>
      <c r="CZ60" s="31"/>
      <c r="DA60" s="31"/>
      <c r="DB60" s="31"/>
      <c r="DC60" s="12">
        <f t="shared" si="202"/>
        <v>304231.60000000003</v>
      </c>
      <c r="DD60" s="12">
        <v>0.6</v>
      </c>
      <c r="DE60" s="13">
        <f t="shared" si="203"/>
        <v>304231.00000000006</v>
      </c>
      <c r="DF60" s="14">
        <f t="shared" si="169"/>
        <v>304231.00000000006</v>
      </c>
      <c r="DG60" s="13">
        <f t="shared" si="170"/>
        <v>3346547</v>
      </c>
      <c r="DH60" s="39">
        <f t="shared" si="171"/>
        <v>0.23797897846829105</v>
      </c>
      <c r="DI60" s="16">
        <f t="shared" si="172"/>
        <v>3042316</v>
      </c>
      <c r="DJ60" s="132">
        <f t="shared" si="204"/>
        <v>3346547.6</v>
      </c>
      <c r="DK60" s="17">
        <f t="shared" si="205"/>
        <v>304231.60000000009</v>
      </c>
      <c r="DL60" s="17">
        <f t="shared" si="173"/>
        <v>0.6</v>
      </c>
      <c r="DM60" s="16">
        <f t="shared" si="206"/>
        <v>304231.00000000012</v>
      </c>
      <c r="DN60" s="16">
        <f t="shared" si="174"/>
        <v>0</v>
      </c>
      <c r="DO60" s="16">
        <f t="shared" si="207"/>
        <v>3346547</v>
      </c>
      <c r="DP60" s="16">
        <f t="shared" si="175"/>
        <v>0</v>
      </c>
      <c r="DQ60" s="9">
        <v>3346547</v>
      </c>
      <c r="DR60" s="18" t="s">
        <v>238</v>
      </c>
      <c r="DS60" s="18" t="s">
        <v>238</v>
      </c>
      <c r="DT60" s="324">
        <f t="shared" si="208"/>
        <v>3346547</v>
      </c>
      <c r="DU60" s="321">
        <f t="shared" si="209"/>
        <v>3346547</v>
      </c>
      <c r="DV60" s="19">
        <f t="shared" si="210"/>
        <v>0</v>
      </c>
      <c r="DW60" s="9">
        <v>3346547</v>
      </c>
      <c r="DX60" s="18"/>
      <c r="DY60" s="18"/>
      <c r="DZ60" s="324">
        <f t="shared" si="211"/>
        <v>3346547</v>
      </c>
      <c r="EA60" s="321">
        <f t="shared" si="212"/>
        <v>3346547</v>
      </c>
      <c r="EB60" s="179">
        <f t="shared" si="176"/>
        <v>0</v>
      </c>
      <c r="EC60" s="9">
        <v>3346547</v>
      </c>
      <c r="ED60" s="18" t="s">
        <v>238</v>
      </c>
      <c r="EE60" s="18" t="s">
        <v>238</v>
      </c>
      <c r="EF60" s="324">
        <f t="shared" si="213"/>
        <v>3346547</v>
      </c>
      <c r="EG60" s="321">
        <f t="shared" si="214"/>
        <v>3346547</v>
      </c>
      <c r="EH60" s="179">
        <f t="shared" si="177"/>
        <v>0</v>
      </c>
      <c r="EI60" s="9">
        <v>3346547</v>
      </c>
      <c r="EJ60" s="18" t="s">
        <v>238</v>
      </c>
      <c r="EK60" s="18" t="s">
        <v>238</v>
      </c>
      <c r="EL60" s="324">
        <f t="shared" si="215"/>
        <v>3346547</v>
      </c>
      <c r="EM60" s="321">
        <f t="shared" si="216"/>
        <v>3346547</v>
      </c>
      <c r="EN60" s="179">
        <f t="shared" si="178"/>
        <v>0</v>
      </c>
      <c r="EO60" s="9">
        <v>3346547</v>
      </c>
      <c r="EP60" s="18" t="s">
        <v>238</v>
      </c>
      <c r="EQ60" s="18" t="s">
        <v>238</v>
      </c>
      <c r="ER60" s="324">
        <f t="shared" si="217"/>
        <v>3346547</v>
      </c>
      <c r="ES60" s="321">
        <f t="shared" si="218"/>
        <v>3346547</v>
      </c>
      <c r="ET60" s="179">
        <f t="shared" si="179"/>
        <v>0</v>
      </c>
      <c r="EU60" s="9">
        <v>3346547</v>
      </c>
      <c r="EV60" s="18" t="s">
        <v>238</v>
      </c>
      <c r="EW60" s="18" t="s">
        <v>238</v>
      </c>
      <c r="EX60" s="324">
        <f t="shared" si="219"/>
        <v>3346547</v>
      </c>
      <c r="EY60" s="321">
        <f t="shared" si="220"/>
        <v>3346547</v>
      </c>
      <c r="EZ60" s="179">
        <f t="shared" si="180"/>
        <v>0</v>
      </c>
      <c r="FA60" s="9">
        <v>3346547</v>
      </c>
      <c r="FB60" s="18" t="s">
        <v>238</v>
      </c>
      <c r="FC60" s="18" t="s">
        <v>238</v>
      </c>
      <c r="FD60" s="101">
        <f t="shared" si="221"/>
        <v>3346547</v>
      </c>
      <c r="FE60" s="218">
        <f t="shared" si="222"/>
        <v>3346547</v>
      </c>
      <c r="FF60" s="135">
        <f t="shared" si="181"/>
        <v>0</v>
      </c>
      <c r="FG60" s="9">
        <v>3346547</v>
      </c>
      <c r="FH60" s="18" t="s">
        <v>238</v>
      </c>
      <c r="FI60" s="18" t="s">
        <v>238</v>
      </c>
      <c r="FJ60" s="324">
        <f t="shared" si="223"/>
        <v>3346547</v>
      </c>
      <c r="FK60" s="321">
        <f t="shared" si="224"/>
        <v>3346547</v>
      </c>
      <c r="FL60" s="179">
        <f t="shared" si="182"/>
        <v>0</v>
      </c>
      <c r="FM60" s="9">
        <v>3346547</v>
      </c>
      <c r="FN60" s="18" t="s">
        <v>238</v>
      </c>
      <c r="FO60" s="18" t="s">
        <v>238</v>
      </c>
      <c r="FP60" s="324">
        <f t="shared" si="225"/>
        <v>3346547</v>
      </c>
      <c r="FQ60" s="321">
        <f t="shared" si="226"/>
        <v>3346547</v>
      </c>
      <c r="FR60" s="179">
        <f t="shared" si="183"/>
        <v>0</v>
      </c>
      <c r="FS60" s="9">
        <v>3346547</v>
      </c>
      <c r="FT60" s="18" t="s">
        <v>238</v>
      </c>
      <c r="FU60" s="18" t="s">
        <v>238</v>
      </c>
      <c r="FV60" s="324">
        <f t="shared" si="227"/>
        <v>3346547</v>
      </c>
      <c r="FW60" s="321">
        <f t="shared" si="228"/>
        <v>3346547</v>
      </c>
      <c r="FX60" s="179">
        <f t="shared" si="184"/>
        <v>0</v>
      </c>
      <c r="FY60" s="9">
        <v>3346547</v>
      </c>
      <c r="FZ60" s="18" t="s">
        <v>238</v>
      </c>
      <c r="GA60" s="18" t="s">
        <v>238</v>
      </c>
      <c r="GB60" s="324">
        <f t="shared" si="229"/>
        <v>3346547</v>
      </c>
      <c r="GC60" s="321">
        <f t="shared" si="230"/>
        <v>3346547</v>
      </c>
      <c r="GD60" s="179">
        <f t="shared" si="185"/>
        <v>0</v>
      </c>
      <c r="GE60" s="9">
        <v>3346547</v>
      </c>
      <c r="GF60" s="18" t="s">
        <v>238</v>
      </c>
      <c r="GG60" s="18" t="s">
        <v>238</v>
      </c>
      <c r="GH60" s="324">
        <f t="shared" si="231"/>
        <v>3346547</v>
      </c>
      <c r="GI60" s="321">
        <f t="shared" si="232"/>
        <v>3346547</v>
      </c>
      <c r="GJ60" s="179">
        <f t="shared" si="186"/>
        <v>0</v>
      </c>
      <c r="GK60" s="9">
        <v>3346547</v>
      </c>
      <c r="GL60" s="18" t="s">
        <v>238</v>
      </c>
      <c r="GM60" s="18" t="s">
        <v>238</v>
      </c>
      <c r="GN60" s="324">
        <f t="shared" si="233"/>
        <v>3346547</v>
      </c>
      <c r="GO60" s="321">
        <f t="shared" si="234"/>
        <v>3346547</v>
      </c>
      <c r="GP60" s="179">
        <f t="shared" si="187"/>
        <v>0</v>
      </c>
      <c r="GQ60" s="9">
        <v>3346547</v>
      </c>
      <c r="GR60" s="18" t="s">
        <v>238</v>
      </c>
      <c r="GS60" s="18" t="s">
        <v>238</v>
      </c>
      <c r="GT60" s="324">
        <f t="shared" si="235"/>
        <v>3346547</v>
      </c>
      <c r="GU60" s="321">
        <f t="shared" si="236"/>
        <v>3346547</v>
      </c>
      <c r="GV60" s="179">
        <f t="shared" si="188"/>
        <v>0</v>
      </c>
      <c r="GW60" s="9">
        <v>3513874</v>
      </c>
      <c r="GX60" s="18" t="s">
        <v>238</v>
      </c>
      <c r="GY60" s="18" t="s">
        <v>238</v>
      </c>
      <c r="GZ60" s="324">
        <f t="shared" si="237"/>
        <v>3513874</v>
      </c>
      <c r="HA60" s="321">
        <f t="shared" si="238"/>
        <v>3513874</v>
      </c>
      <c r="HB60" s="179">
        <f t="shared" si="189"/>
        <v>167327</v>
      </c>
      <c r="HC60" s="102">
        <f t="shared" si="190"/>
        <v>0.23797893580121915</v>
      </c>
      <c r="HD60" s="285">
        <f t="shared" si="239"/>
        <v>0</v>
      </c>
      <c r="HE60" s="12">
        <f t="shared" si="240"/>
        <v>167327.35</v>
      </c>
      <c r="HF60" s="12">
        <f t="shared" si="191"/>
        <v>0.35000000000582077</v>
      </c>
      <c r="HG60" s="12">
        <f t="shared" si="241"/>
        <v>167327</v>
      </c>
      <c r="HH60" s="14">
        <f t="shared" si="242"/>
        <v>167327</v>
      </c>
      <c r="HI60" s="13">
        <f t="shared" si="243"/>
        <v>3513874</v>
      </c>
      <c r="HJ60" s="102">
        <f t="shared" si="244"/>
        <v>0.24987785770215484</v>
      </c>
      <c r="HK60" s="16">
        <f t="shared" si="245"/>
        <v>3346547</v>
      </c>
      <c r="HL60" s="103">
        <f t="shared" si="246"/>
        <v>3513874.35</v>
      </c>
      <c r="HM60" s="103">
        <f t="shared" si="247"/>
        <v>167327.35000000009</v>
      </c>
      <c r="HN60" s="17">
        <f t="shared" si="248"/>
        <v>0.35000000000582077</v>
      </c>
      <c r="HO60" s="56">
        <f t="shared" si="249"/>
        <v>167327.00000000009</v>
      </c>
      <c r="HP60" s="16">
        <f t="shared" si="250"/>
        <v>0</v>
      </c>
      <c r="HQ60" s="16">
        <f t="shared" si="251"/>
        <v>3513874</v>
      </c>
      <c r="HR60" s="16">
        <f t="shared" si="252"/>
        <v>0</v>
      </c>
    </row>
    <row r="61" spans="1:226" x14ac:dyDescent="0.3">
      <c r="A61" s="145">
        <v>5</v>
      </c>
      <c r="B61" s="428"/>
      <c r="C61" s="313" t="s">
        <v>266</v>
      </c>
      <c r="D61" s="236" t="s">
        <v>192</v>
      </c>
      <c r="E61" s="27">
        <v>0</v>
      </c>
      <c r="F61" s="9">
        <v>1115936</v>
      </c>
      <c r="G61" s="9">
        <v>0</v>
      </c>
      <c r="H61" s="324"/>
      <c r="I61" s="324">
        <v>1115936</v>
      </c>
      <c r="J61" s="324">
        <v>1115936</v>
      </c>
      <c r="K61" s="324"/>
      <c r="L61" s="324">
        <v>1115936</v>
      </c>
      <c r="M61" s="23">
        <v>1115936</v>
      </c>
      <c r="N61" s="23">
        <v>1115936</v>
      </c>
      <c r="O61" s="298">
        <v>1115936</v>
      </c>
      <c r="P61" s="298">
        <v>1115936</v>
      </c>
      <c r="Q61" s="298">
        <v>1115936</v>
      </c>
      <c r="R61" s="298">
        <v>1115936</v>
      </c>
      <c r="S61" s="298">
        <v>1115936</v>
      </c>
      <c r="T61" s="298">
        <v>1115936</v>
      </c>
      <c r="U61" s="298">
        <f t="shared" si="192"/>
        <v>55796.800000000003</v>
      </c>
      <c r="V61" s="298">
        <f t="shared" si="193"/>
        <v>1171732.8</v>
      </c>
      <c r="W61" s="298">
        <v>1171732</v>
      </c>
      <c r="X61" s="298">
        <v>1171732</v>
      </c>
      <c r="Y61" s="298">
        <v>1171732</v>
      </c>
      <c r="Z61" s="298">
        <v>1171732</v>
      </c>
      <c r="AA61" s="298">
        <v>1171732</v>
      </c>
      <c r="AB61" s="298">
        <v>1171732</v>
      </c>
      <c r="AC61" s="9">
        <v>0</v>
      </c>
      <c r="AD61" s="9">
        <v>0</v>
      </c>
      <c r="AE61" s="298">
        <f t="shared" si="194"/>
        <v>1171732</v>
      </c>
      <c r="AF61" s="298">
        <v>1171732</v>
      </c>
      <c r="AG61" s="9">
        <v>0</v>
      </c>
      <c r="AH61" s="9">
        <v>0</v>
      </c>
      <c r="AI61" s="298">
        <f t="shared" si="195"/>
        <v>1171732</v>
      </c>
      <c r="AJ61" s="298">
        <v>1171732</v>
      </c>
      <c r="AK61" s="9">
        <v>0</v>
      </c>
      <c r="AL61" s="9">
        <v>0</v>
      </c>
      <c r="AM61" s="298">
        <f t="shared" si="155"/>
        <v>1171732</v>
      </c>
      <c r="AN61" s="298">
        <v>1171732</v>
      </c>
      <c r="AO61" s="9">
        <v>0</v>
      </c>
      <c r="AP61" s="9">
        <v>0</v>
      </c>
      <c r="AQ61" s="298">
        <f t="shared" si="156"/>
        <v>1171732</v>
      </c>
      <c r="AR61" s="28">
        <v>1171732</v>
      </c>
      <c r="AS61" s="9">
        <v>0</v>
      </c>
      <c r="AT61" s="9">
        <v>0</v>
      </c>
      <c r="AU61" s="298">
        <f t="shared" si="157"/>
        <v>1171732</v>
      </c>
      <c r="AV61" s="298">
        <v>1171732</v>
      </c>
      <c r="AW61" s="9">
        <v>0</v>
      </c>
      <c r="AX61" s="9">
        <v>0</v>
      </c>
      <c r="AY61" s="7">
        <f t="shared" si="158"/>
        <v>1171732</v>
      </c>
      <c r="AZ61" s="8">
        <f t="shared" si="196"/>
        <v>58586.600000000006</v>
      </c>
      <c r="BA61" s="8">
        <v>0.6</v>
      </c>
      <c r="BB61" s="8">
        <f t="shared" si="197"/>
        <v>58586.000000000007</v>
      </c>
      <c r="BC61" s="8">
        <f t="shared" si="198"/>
        <v>1230318</v>
      </c>
      <c r="BD61" s="8"/>
      <c r="BE61" s="8">
        <f t="shared" si="199"/>
        <v>1230318</v>
      </c>
      <c r="BF61" s="10">
        <f t="shared" si="200"/>
        <v>58586</v>
      </c>
      <c r="BG61" s="11">
        <f t="shared" si="201"/>
        <v>0</v>
      </c>
      <c r="BH61" s="11">
        <v>1230318</v>
      </c>
      <c r="BI61" s="11"/>
      <c r="BJ61" s="11"/>
      <c r="BK61" s="319">
        <f t="shared" si="159"/>
        <v>1230318</v>
      </c>
      <c r="BL61" s="319">
        <v>1230318</v>
      </c>
      <c r="BM61" s="319">
        <v>0</v>
      </c>
      <c r="BN61" s="319">
        <v>0</v>
      </c>
      <c r="BO61" s="319">
        <f t="shared" si="160"/>
        <v>1230318</v>
      </c>
      <c r="BP61" s="319">
        <f t="shared" si="253"/>
        <v>0</v>
      </c>
      <c r="BQ61" s="319">
        <v>1230318</v>
      </c>
      <c r="BR61" s="319">
        <v>0</v>
      </c>
      <c r="BS61" s="319">
        <v>0</v>
      </c>
      <c r="BT61" s="319">
        <f t="shared" si="161"/>
        <v>1230318</v>
      </c>
      <c r="BU61" s="319">
        <f t="shared" si="162"/>
        <v>0</v>
      </c>
      <c r="BV61" s="319">
        <v>1230318</v>
      </c>
      <c r="BW61" s="319">
        <v>0</v>
      </c>
      <c r="BX61" s="319">
        <v>0</v>
      </c>
      <c r="BY61" s="319">
        <f t="shared" si="163"/>
        <v>1230318</v>
      </c>
      <c r="BZ61" s="319">
        <f t="shared" si="164"/>
        <v>0</v>
      </c>
      <c r="CA61" s="319">
        <v>1230318</v>
      </c>
      <c r="CB61" s="319">
        <v>0</v>
      </c>
      <c r="CC61" s="319">
        <v>0</v>
      </c>
      <c r="CD61" s="319">
        <f t="shared" si="165"/>
        <v>1230318</v>
      </c>
      <c r="CE61" s="319">
        <f t="shared" si="166"/>
        <v>0</v>
      </c>
      <c r="CF61" s="319">
        <v>1230318</v>
      </c>
      <c r="CG61" s="319">
        <v>0</v>
      </c>
      <c r="CH61" s="319">
        <v>0</v>
      </c>
      <c r="CI61" s="319">
        <f t="shared" si="167"/>
        <v>1230318</v>
      </c>
      <c r="CJ61" s="319">
        <f t="shared" si="168"/>
        <v>0</v>
      </c>
      <c r="CK61" s="319">
        <v>1230318</v>
      </c>
      <c r="CL61" s="319">
        <v>0</v>
      </c>
      <c r="CM61" s="319">
        <v>0</v>
      </c>
      <c r="CN61" s="319">
        <f t="shared" si="254"/>
        <v>1230318</v>
      </c>
      <c r="CO61" s="319">
        <f t="shared" si="255"/>
        <v>0</v>
      </c>
      <c r="CP61" s="319">
        <v>1230318</v>
      </c>
      <c r="CQ61" s="319">
        <v>0</v>
      </c>
      <c r="CR61" s="29">
        <v>0</v>
      </c>
      <c r="CS61" s="36">
        <f t="shared" si="256"/>
        <v>1230318</v>
      </c>
      <c r="CT61" s="31">
        <f t="shared" si="257"/>
        <v>0</v>
      </c>
      <c r="CU61" s="37">
        <v>1230318</v>
      </c>
      <c r="CV61" s="319">
        <v>0</v>
      </c>
      <c r="CW61" s="38">
        <v>0</v>
      </c>
      <c r="CX61" s="36">
        <f t="shared" si="258"/>
        <v>1230318</v>
      </c>
      <c r="CY61" s="36">
        <f t="shared" si="259"/>
        <v>0</v>
      </c>
      <c r="CZ61" s="31"/>
      <c r="DA61" s="31"/>
      <c r="DB61" s="31"/>
      <c r="DC61" s="12">
        <f t="shared" si="202"/>
        <v>123031.8</v>
      </c>
      <c r="DD61" s="12">
        <v>0.8</v>
      </c>
      <c r="DE61" s="13">
        <f t="shared" si="203"/>
        <v>123031</v>
      </c>
      <c r="DF61" s="14">
        <f t="shared" si="169"/>
        <v>123031</v>
      </c>
      <c r="DG61" s="13">
        <f t="shared" si="170"/>
        <v>1353349</v>
      </c>
      <c r="DH61" s="39">
        <f t="shared" si="171"/>
        <v>9.6239122047529227E-2</v>
      </c>
      <c r="DI61" s="16">
        <f t="shared" si="172"/>
        <v>1230318</v>
      </c>
      <c r="DJ61" s="132">
        <f t="shared" si="204"/>
        <v>1353349.8</v>
      </c>
      <c r="DK61" s="17">
        <f t="shared" si="205"/>
        <v>123031.80000000005</v>
      </c>
      <c r="DL61" s="17">
        <f t="shared" si="173"/>
        <v>0.8</v>
      </c>
      <c r="DM61" s="16">
        <f t="shared" si="206"/>
        <v>123031.00000000004</v>
      </c>
      <c r="DN61" s="16">
        <f t="shared" si="174"/>
        <v>0</v>
      </c>
      <c r="DO61" s="16">
        <f t="shared" si="207"/>
        <v>1353349</v>
      </c>
      <c r="DP61" s="16">
        <f t="shared" si="175"/>
        <v>0</v>
      </c>
      <c r="DQ61" s="9">
        <v>1353349</v>
      </c>
      <c r="DR61" s="18" t="s">
        <v>238</v>
      </c>
      <c r="DS61" s="18" t="s">
        <v>238</v>
      </c>
      <c r="DT61" s="324">
        <f t="shared" si="208"/>
        <v>1353349</v>
      </c>
      <c r="DU61" s="321">
        <f t="shared" si="209"/>
        <v>1353349</v>
      </c>
      <c r="DV61" s="19">
        <f t="shared" si="210"/>
        <v>0</v>
      </c>
      <c r="DW61" s="9">
        <v>1353349</v>
      </c>
      <c r="DX61" s="18"/>
      <c r="DY61" s="18"/>
      <c r="DZ61" s="324">
        <f t="shared" si="211"/>
        <v>1353349</v>
      </c>
      <c r="EA61" s="321">
        <f t="shared" si="212"/>
        <v>1353349</v>
      </c>
      <c r="EB61" s="179">
        <f t="shared" si="176"/>
        <v>0</v>
      </c>
      <c r="EC61" s="9">
        <v>1353349</v>
      </c>
      <c r="ED61" s="18" t="s">
        <v>238</v>
      </c>
      <c r="EE61" s="18" t="s">
        <v>238</v>
      </c>
      <c r="EF61" s="324">
        <f t="shared" si="213"/>
        <v>1353349</v>
      </c>
      <c r="EG61" s="321">
        <f t="shared" si="214"/>
        <v>1353349</v>
      </c>
      <c r="EH61" s="179">
        <f t="shared" si="177"/>
        <v>0</v>
      </c>
      <c r="EI61" s="9">
        <v>1353349</v>
      </c>
      <c r="EJ61" s="18" t="s">
        <v>238</v>
      </c>
      <c r="EK61" s="18" t="s">
        <v>238</v>
      </c>
      <c r="EL61" s="324">
        <f t="shared" si="215"/>
        <v>1353349</v>
      </c>
      <c r="EM61" s="321">
        <f t="shared" si="216"/>
        <v>1353349</v>
      </c>
      <c r="EN61" s="179">
        <f t="shared" si="178"/>
        <v>0</v>
      </c>
      <c r="EO61" s="9">
        <v>1353349</v>
      </c>
      <c r="EP61" s="18" t="s">
        <v>238</v>
      </c>
      <c r="EQ61" s="18" t="s">
        <v>238</v>
      </c>
      <c r="ER61" s="324">
        <f t="shared" si="217"/>
        <v>1353349</v>
      </c>
      <c r="ES61" s="321">
        <f t="shared" si="218"/>
        <v>1353349</v>
      </c>
      <c r="ET61" s="179">
        <f t="shared" si="179"/>
        <v>0</v>
      </c>
      <c r="EU61" s="9">
        <v>1353349</v>
      </c>
      <c r="EV61" s="18" t="s">
        <v>238</v>
      </c>
      <c r="EW61" s="18" t="s">
        <v>238</v>
      </c>
      <c r="EX61" s="324">
        <f t="shared" si="219"/>
        <v>1353349</v>
      </c>
      <c r="EY61" s="321">
        <f t="shared" si="220"/>
        <v>1353349</v>
      </c>
      <c r="EZ61" s="179">
        <f t="shared" si="180"/>
        <v>0</v>
      </c>
      <c r="FA61" s="9">
        <v>1353349</v>
      </c>
      <c r="FB61" s="18" t="s">
        <v>238</v>
      </c>
      <c r="FC61" s="18" t="s">
        <v>238</v>
      </c>
      <c r="FD61" s="101">
        <f t="shared" si="221"/>
        <v>1353349</v>
      </c>
      <c r="FE61" s="218">
        <f t="shared" si="222"/>
        <v>1353349</v>
      </c>
      <c r="FF61" s="135">
        <f t="shared" si="181"/>
        <v>0</v>
      </c>
      <c r="FG61" s="9">
        <v>1353349</v>
      </c>
      <c r="FH61" s="18" t="s">
        <v>238</v>
      </c>
      <c r="FI61" s="18" t="s">
        <v>238</v>
      </c>
      <c r="FJ61" s="324">
        <f t="shared" si="223"/>
        <v>1353349</v>
      </c>
      <c r="FK61" s="321">
        <f t="shared" si="224"/>
        <v>1353349</v>
      </c>
      <c r="FL61" s="179">
        <f t="shared" si="182"/>
        <v>0</v>
      </c>
      <c r="FM61" s="9">
        <v>1353349</v>
      </c>
      <c r="FN61" s="18" t="s">
        <v>238</v>
      </c>
      <c r="FO61" s="18" t="s">
        <v>238</v>
      </c>
      <c r="FP61" s="324">
        <f t="shared" si="225"/>
        <v>1353349</v>
      </c>
      <c r="FQ61" s="321">
        <f t="shared" si="226"/>
        <v>1353349</v>
      </c>
      <c r="FR61" s="179">
        <f t="shared" si="183"/>
        <v>0</v>
      </c>
      <c r="FS61" s="9">
        <v>1353349</v>
      </c>
      <c r="FT61" s="18" t="s">
        <v>238</v>
      </c>
      <c r="FU61" s="18" t="s">
        <v>238</v>
      </c>
      <c r="FV61" s="324">
        <f t="shared" si="227"/>
        <v>1353349</v>
      </c>
      <c r="FW61" s="321">
        <f t="shared" si="228"/>
        <v>1353349</v>
      </c>
      <c r="FX61" s="179">
        <f t="shared" si="184"/>
        <v>0</v>
      </c>
      <c r="FY61" s="9">
        <v>1353349</v>
      </c>
      <c r="FZ61" s="18" t="s">
        <v>238</v>
      </c>
      <c r="GA61" s="18" t="s">
        <v>238</v>
      </c>
      <c r="GB61" s="324">
        <f t="shared" si="229"/>
        <v>1353349</v>
      </c>
      <c r="GC61" s="321">
        <f t="shared" si="230"/>
        <v>1353349</v>
      </c>
      <c r="GD61" s="179">
        <f t="shared" si="185"/>
        <v>0</v>
      </c>
      <c r="GE61" s="9">
        <v>1353349</v>
      </c>
      <c r="GF61" s="18" t="s">
        <v>238</v>
      </c>
      <c r="GG61" s="18" t="s">
        <v>238</v>
      </c>
      <c r="GH61" s="324">
        <f t="shared" si="231"/>
        <v>1353349</v>
      </c>
      <c r="GI61" s="321">
        <f t="shared" si="232"/>
        <v>1353349</v>
      </c>
      <c r="GJ61" s="179">
        <f t="shared" si="186"/>
        <v>0</v>
      </c>
      <c r="GK61" s="9">
        <v>1353349</v>
      </c>
      <c r="GL61" s="18" t="s">
        <v>238</v>
      </c>
      <c r="GM61" s="18" t="s">
        <v>238</v>
      </c>
      <c r="GN61" s="324">
        <f t="shared" si="233"/>
        <v>1353349</v>
      </c>
      <c r="GO61" s="321">
        <f t="shared" si="234"/>
        <v>1353349</v>
      </c>
      <c r="GP61" s="179">
        <f t="shared" si="187"/>
        <v>0</v>
      </c>
      <c r="GQ61" s="9">
        <v>1353349</v>
      </c>
      <c r="GR61" s="18" t="s">
        <v>238</v>
      </c>
      <c r="GS61" s="18" t="s">
        <v>238</v>
      </c>
      <c r="GT61" s="324">
        <f t="shared" si="235"/>
        <v>1353349</v>
      </c>
      <c r="GU61" s="321">
        <f t="shared" si="236"/>
        <v>1353349</v>
      </c>
      <c r="GV61" s="179">
        <f t="shared" si="188"/>
        <v>0</v>
      </c>
      <c r="GW61" s="9">
        <v>1421016</v>
      </c>
      <c r="GX61" s="18" t="s">
        <v>238</v>
      </c>
      <c r="GY61" s="18" t="s">
        <v>238</v>
      </c>
      <c r="GZ61" s="324">
        <f t="shared" si="237"/>
        <v>1421016</v>
      </c>
      <c r="HA61" s="321">
        <f t="shared" si="238"/>
        <v>1421016</v>
      </c>
      <c r="HB61" s="179">
        <f t="shared" si="189"/>
        <v>67667</v>
      </c>
      <c r="HC61" s="102">
        <f t="shared" si="190"/>
        <v>9.6239065158100018E-2</v>
      </c>
      <c r="HD61" s="285">
        <f t="shared" si="239"/>
        <v>0</v>
      </c>
      <c r="HE61" s="12">
        <f t="shared" si="240"/>
        <v>67667.45</v>
      </c>
      <c r="HF61" s="12">
        <f t="shared" si="191"/>
        <v>0.44999999999708962</v>
      </c>
      <c r="HG61" s="12">
        <f t="shared" si="241"/>
        <v>67667</v>
      </c>
      <c r="HH61" s="14">
        <f t="shared" si="242"/>
        <v>67667</v>
      </c>
      <c r="HI61" s="13">
        <f t="shared" si="243"/>
        <v>1421016</v>
      </c>
      <c r="HJ61" s="102">
        <f t="shared" si="244"/>
        <v>0.10105098641570109</v>
      </c>
      <c r="HK61" s="16">
        <f t="shared" si="245"/>
        <v>1353349</v>
      </c>
      <c r="HL61" s="103">
        <f t="shared" si="246"/>
        <v>1421016.45</v>
      </c>
      <c r="HM61" s="103">
        <f t="shared" si="247"/>
        <v>67667.449999999953</v>
      </c>
      <c r="HN61" s="17">
        <f t="shared" si="248"/>
        <v>0.44999999999708962</v>
      </c>
      <c r="HO61" s="56">
        <f t="shared" si="249"/>
        <v>67666.999999999956</v>
      </c>
      <c r="HP61" s="16">
        <f t="shared" si="250"/>
        <v>0</v>
      </c>
      <c r="HQ61" s="16">
        <f t="shared" si="251"/>
        <v>1421016</v>
      </c>
      <c r="HR61" s="16">
        <f t="shared" si="252"/>
        <v>0</v>
      </c>
    </row>
    <row r="62" spans="1:226" x14ac:dyDescent="0.3">
      <c r="A62" s="145">
        <v>8</v>
      </c>
      <c r="B62" s="280" t="s">
        <v>204</v>
      </c>
      <c r="C62" s="312" t="s">
        <v>320</v>
      </c>
      <c r="D62" s="236" t="s">
        <v>205</v>
      </c>
      <c r="E62" s="27"/>
      <c r="F62" s="9"/>
      <c r="G62" s="9"/>
      <c r="H62" s="324"/>
      <c r="I62" s="324">
        <v>146685</v>
      </c>
      <c r="J62" s="324"/>
      <c r="K62" s="324"/>
      <c r="L62" s="324">
        <v>146685</v>
      </c>
      <c r="M62" s="23">
        <v>146685</v>
      </c>
      <c r="N62" s="23">
        <v>146685</v>
      </c>
      <c r="O62" s="298">
        <v>146685</v>
      </c>
      <c r="P62" s="298">
        <v>146685</v>
      </c>
      <c r="Q62" s="298">
        <v>146685</v>
      </c>
      <c r="R62" s="298">
        <v>146685</v>
      </c>
      <c r="S62" s="298">
        <v>146685</v>
      </c>
      <c r="T62" s="298">
        <v>146685</v>
      </c>
      <c r="U62" s="298">
        <f>T62*5%</f>
        <v>7334.25</v>
      </c>
      <c r="V62" s="298">
        <f>T62+U62</f>
        <v>154019.25</v>
      </c>
      <c r="W62" s="298">
        <v>154019</v>
      </c>
      <c r="X62" s="298">
        <v>154019</v>
      </c>
      <c r="Y62" s="298">
        <v>154019</v>
      </c>
      <c r="Z62" s="298">
        <v>154019</v>
      </c>
      <c r="AA62" s="298">
        <v>154019</v>
      </c>
      <c r="AB62" s="298">
        <v>154019</v>
      </c>
      <c r="AC62" s="9">
        <v>0</v>
      </c>
      <c r="AD62" s="9">
        <v>0</v>
      </c>
      <c r="AE62" s="298">
        <f>AD62+AC62+AB62</f>
        <v>154019</v>
      </c>
      <c r="AF62" s="298">
        <v>154019</v>
      </c>
      <c r="AG62" s="9">
        <v>0</v>
      </c>
      <c r="AH62" s="9">
        <v>0</v>
      </c>
      <c r="AI62" s="298">
        <f>AH62+AG62+AF62</f>
        <v>154019</v>
      </c>
      <c r="AJ62" s="298">
        <v>154019</v>
      </c>
      <c r="AK62" s="9">
        <v>0</v>
      </c>
      <c r="AL62" s="9">
        <v>0</v>
      </c>
      <c r="AM62" s="298">
        <f>AL62+AK62+AJ62</f>
        <v>154019</v>
      </c>
      <c r="AN62" s="298">
        <v>154019</v>
      </c>
      <c r="AO62" s="9">
        <v>0</v>
      </c>
      <c r="AP62" s="9">
        <v>0</v>
      </c>
      <c r="AQ62" s="298">
        <f>AP62+AO62+AN62</f>
        <v>154019</v>
      </c>
      <c r="AR62" s="28">
        <v>154019</v>
      </c>
      <c r="AS62" s="9">
        <v>0</v>
      </c>
      <c r="AT62" s="9">
        <v>0</v>
      </c>
      <c r="AU62" s="298">
        <f t="shared" si="157"/>
        <v>154019</v>
      </c>
      <c r="AV62" s="298">
        <v>154019</v>
      </c>
      <c r="AW62" s="9">
        <v>0</v>
      </c>
      <c r="AX62" s="9">
        <v>0</v>
      </c>
      <c r="AY62" s="7">
        <f t="shared" si="158"/>
        <v>154019</v>
      </c>
      <c r="AZ62" s="8">
        <f t="shared" si="196"/>
        <v>7700.9500000000007</v>
      </c>
      <c r="BA62" s="8">
        <v>0.95</v>
      </c>
      <c r="BB62" s="8">
        <f t="shared" si="197"/>
        <v>7700.0000000000009</v>
      </c>
      <c r="BC62" s="8">
        <f t="shared" si="198"/>
        <v>161719</v>
      </c>
      <c r="BD62" s="8"/>
      <c r="BE62" s="8">
        <f t="shared" si="199"/>
        <v>161719</v>
      </c>
      <c r="BF62" s="10">
        <f t="shared" si="200"/>
        <v>7700</v>
      </c>
      <c r="BG62" s="11">
        <f t="shared" si="201"/>
        <v>0</v>
      </c>
      <c r="BH62" s="11">
        <v>161719</v>
      </c>
      <c r="BI62" s="11"/>
      <c r="BJ62" s="11"/>
      <c r="BK62" s="319">
        <f t="shared" si="159"/>
        <v>161719</v>
      </c>
      <c r="BL62" s="319">
        <v>161719</v>
      </c>
      <c r="BM62" s="319">
        <v>0</v>
      </c>
      <c r="BN62" s="319">
        <v>0</v>
      </c>
      <c r="BO62" s="319">
        <f t="shared" si="160"/>
        <v>161719</v>
      </c>
      <c r="BP62" s="319">
        <f t="shared" si="253"/>
        <v>0</v>
      </c>
      <c r="BQ62" s="319">
        <v>161719</v>
      </c>
      <c r="BR62" s="319">
        <v>0</v>
      </c>
      <c r="BS62" s="319">
        <v>0</v>
      </c>
      <c r="BT62" s="319">
        <f t="shared" si="161"/>
        <v>161719</v>
      </c>
      <c r="BU62" s="319">
        <f t="shared" si="162"/>
        <v>0</v>
      </c>
      <c r="BV62" s="319">
        <v>161719</v>
      </c>
      <c r="BW62" s="319">
        <v>0</v>
      </c>
      <c r="BX62" s="319">
        <v>0</v>
      </c>
      <c r="BY62" s="319">
        <f t="shared" si="163"/>
        <v>161719</v>
      </c>
      <c r="BZ62" s="319">
        <f t="shared" si="164"/>
        <v>0</v>
      </c>
      <c r="CA62" s="319">
        <v>161719</v>
      </c>
      <c r="CB62" s="319">
        <v>0</v>
      </c>
      <c r="CC62" s="319">
        <v>0</v>
      </c>
      <c r="CD62" s="319">
        <f t="shared" si="165"/>
        <v>161719</v>
      </c>
      <c r="CE62" s="319">
        <f t="shared" si="166"/>
        <v>0</v>
      </c>
      <c r="CF62" s="319">
        <v>161719</v>
      </c>
      <c r="CG62" s="319">
        <v>0</v>
      </c>
      <c r="CH62" s="319">
        <v>0</v>
      </c>
      <c r="CI62" s="319">
        <f t="shared" si="167"/>
        <v>161719</v>
      </c>
      <c r="CJ62" s="319">
        <f t="shared" si="168"/>
        <v>0</v>
      </c>
      <c r="CK62" s="319">
        <v>161719</v>
      </c>
      <c r="CL62" s="319">
        <v>0</v>
      </c>
      <c r="CM62" s="319">
        <v>0</v>
      </c>
      <c r="CN62" s="319">
        <f t="shared" si="254"/>
        <v>161719</v>
      </c>
      <c r="CO62" s="319">
        <f t="shared" si="255"/>
        <v>0</v>
      </c>
      <c r="CP62" s="319">
        <v>161719</v>
      </c>
      <c r="CQ62" s="319">
        <v>0</v>
      </c>
      <c r="CR62" s="29">
        <v>0</v>
      </c>
      <c r="CS62" s="36">
        <f t="shared" si="256"/>
        <v>161719</v>
      </c>
      <c r="CT62" s="31">
        <f t="shared" si="257"/>
        <v>0</v>
      </c>
      <c r="CU62" s="37">
        <v>161719</v>
      </c>
      <c r="CV62" s="319">
        <v>0</v>
      </c>
      <c r="CW62" s="38">
        <v>0</v>
      </c>
      <c r="CX62" s="36">
        <f t="shared" si="258"/>
        <v>161719</v>
      </c>
      <c r="CY62" s="36">
        <f t="shared" si="259"/>
        <v>0</v>
      </c>
      <c r="CZ62" s="31"/>
      <c r="DA62" s="31"/>
      <c r="DB62" s="31"/>
      <c r="DC62" s="12">
        <f t="shared" si="202"/>
        <v>16171.900000000001</v>
      </c>
      <c r="DD62" s="12">
        <v>0.9</v>
      </c>
      <c r="DE62" s="13">
        <f t="shared" si="203"/>
        <v>16171.000000000002</v>
      </c>
      <c r="DF62" s="14">
        <f t="shared" si="169"/>
        <v>16171.000000000002</v>
      </c>
      <c r="DG62" s="13">
        <f t="shared" si="170"/>
        <v>177890</v>
      </c>
      <c r="DH62" s="39">
        <f t="shared" si="171"/>
        <v>1.2650139702421959E-2</v>
      </c>
      <c r="DI62" s="16">
        <f t="shared" si="172"/>
        <v>161719</v>
      </c>
      <c r="DJ62" s="132">
        <f t="shared" si="204"/>
        <v>177890.90000000002</v>
      </c>
      <c r="DK62" s="17">
        <f t="shared" si="205"/>
        <v>16171.900000000023</v>
      </c>
      <c r="DL62" s="17">
        <f t="shared" si="173"/>
        <v>0.9</v>
      </c>
      <c r="DM62" s="16">
        <f t="shared" si="206"/>
        <v>16171.000000000024</v>
      </c>
      <c r="DN62" s="16">
        <f t="shared" si="174"/>
        <v>2.1827872842550278E-11</v>
      </c>
      <c r="DO62" s="16">
        <f t="shared" si="207"/>
        <v>177890.00000000003</v>
      </c>
      <c r="DP62" s="16">
        <f t="shared" si="175"/>
        <v>0</v>
      </c>
      <c r="DQ62" s="9">
        <v>177890</v>
      </c>
      <c r="DR62" s="18" t="s">
        <v>238</v>
      </c>
      <c r="DS62" s="18" t="s">
        <v>238</v>
      </c>
      <c r="DT62" s="324">
        <f t="shared" si="208"/>
        <v>177890</v>
      </c>
      <c r="DU62" s="321">
        <f t="shared" si="209"/>
        <v>177890</v>
      </c>
      <c r="DV62" s="19">
        <f t="shared" si="210"/>
        <v>0</v>
      </c>
      <c r="DW62" s="9">
        <v>177890</v>
      </c>
      <c r="DX62" s="18"/>
      <c r="DY62" s="18"/>
      <c r="DZ62" s="324">
        <f t="shared" si="211"/>
        <v>177890</v>
      </c>
      <c r="EA62" s="321">
        <f t="shared" si="212"/>
        <v>177890</v>
      </c>
      <c r="EB62" s="179">
        <f t="shared" si="176"/>
        <v>0</v>
      </c>
      <c r="EC62" s="9">
        <v>177890</v>
      </c>
      <c r="ED62" s="18" t="s">
        <v>238</v>
      </c>
      <c r="EE62" s="18" t="s">
        <v>238</v>
      </c>
      <c r="EF62" s="324">
        <f t="shared" si="213"/>
        <v>177890</v>
      </c>
      <c r="EG62" s="321">
        <f t="shared" si="214"/>
        <v>177890</v>
      </c>
      <c r="EH62" s="179">
        <f t="shared" si="177"/>
        <v>0</v>
      </c>
      <c r="EI62" s="9">
        <v>177890</v>
      </c>
      <c r="EJ62" s="18" t="s">
        <v>238</v>
      </c>
      <c r="EK62" s="18" t="s">
        <v>238</v>
      </c>
      <c r="EL62" s="324">
        <f t="shared" si="215"/>
        <v>177890</v>
      </c>
      <c r="EM62" s="321">
        <f t="shared" si="216"/>
        <v>177890</v>
      </c>
      <c r="EN62" s="179">
        <f t="shared" si="178"/>
        <v>0</v>
      </c>
      <c r="EO62" s="9">
        <v>177890</v>
      </c>
      <c r="EP62" s="18" t="s">
        <v>238</v>
      </c>
      <c r="EQ62" s="18" t="s">
        <v>238</v>
      </c>
      <c r="ER62" s="324">
        <f t="shared" si="217"/>
        <v>177890</v>
      </c>
      <c r="ES62" s="321">
        <f t="shared" si="218"/>
        <v>177890</v>
      </c>
      <c r="ET62" s="179">
        <f t="shared" si="179"/>
        <v>0</v>
      </c>
      <c r="EU62" s="9">
        <v>177890</v>
      </c>
      <c r="EV62" s="18" t="s">
        <v>238</v>
      </c>
      <c r="EW62" s="18" t="s">
        <v>238</v>
      </c>
      <c r="EX62" s="324">
        <f t="shared" si="219"/>
        <v>177890</v>
      </c>
      <c r="EY62" s="321">
        <f t="shared" si="220"/>
        <v>177890</v>
      </c>
      <c r="EZ62" s="179">
        <f t="shared" si="180"/>
        <v>0</v>
      </c>
      <c r="FA62" s="9">
        <v>177890</v>
      </c>
      <c r="FB62" s="18" t="s">
        <v>238</v>
      </c>
      <c r="FC62" s="18" t="s">
        <v>238</v>
      </c>
      <c r="FD62" s="101">
        <f t="shared" si="221"/>
        <v>177890</v>
      </c>
      <c r="FE62" s="218">
        <f t="shared" si="222"/>
        <v>177890</v>
      </c>
      <c r="FF62" s="135">
        <f t="shared" si="181"/>
        <v>0</v>
      </c>
      <c r="FG62" s="9">
        <v>177890</v>
      </c>
      <c r="FH62" s="18" t="s">
        <v>238</v>
      </c>
      <c r="FI62" s="18" t="s">
        <v>238</v>
      </c>
      <c r="FJ62" s="324">
        <f t="shared" si="223"/>
        <v>177890</v>
      </c>
      <c r="FK62" s="321">
        <f t="shared" si="224"/>
        <v>177890</v>
      </c>
      <c r="FL62" s="179">
        <f t="shared" si="182"/>
        <v>0</v>
      </c>
      <c r="FM62" s="9">
        <v>177890</v>
      </c>
      <c r="FN62" s="18" t="s">
        <v>238</v>
      </c>
      <c r="FO62" s="18" t="s">
        <v>238</v>
      </c>
      <c r="FP62" s="324">
        <f t="shared" si="225"/>
        <v>177890</v>
      </c>
      <c r="FQ62" s="321">
        <f t="shared" si="226"/>
        <v>177890</v>
      </c>
      <c r="FR62" s="179">
        <f t="shared" si="183"/>
        <v>0</v>
      </c>
      <c r="FS62" s="9">
        <v>177890</v>
      </c>
      <c r="FT62" s="18" t="s">
        <v>238</v>
      </c>
      <c r="FU62" s="18" t="s">
        <v>238</v>
      </c>
      <c r="FV62" s="324">
        <f t="shared" si="227"/>
        <v>177890</v>
      </c>
      <c r="FW62" s="321">
        <f t="shared" si="228"/>
        <v>177890</v>
      </c>
      <c r="FX62" s="179">
        <f t="shared" si="184"/>
        <v>0</v>
      </c>
      <c r="FY62" s="9">
        <v>177890</v>
      </c>
      <c r="FZ62" s="18" t="s">
        <v>238</v>
      </c>
      <c r="GA62" s="18" t="s">
        <v>238</v>
      </c>
      <c r="GB62" s="324">
        <f t="shared" si="229"/>
        <v>177890</v>
      </c>
      <c r="GC62" s="321">
        <f t="shared" si="230"/>
        <v>177890</v>
      </c>
      <c r="GD62" s="179">
        <f t="shared" si="185"/>
        <v>0</v>
      </c>
      <c r="GE62" s="9">
        <v>177890</v>
      </c>
      <c r="GF62" s="18" t="s">
        <v>238</v>
      </c>
      <c r="GG62" s="18" t="s">
        <v>238</v>
      </c>
      <c r="GH62" s="324">
        <f t="shared" si="231"/>
        <v>177890</v>
      </c>
      <c r="GI62" s="321">
        <f t="shared" si="232"/>
        <v>177890</v>
      </c>
      <c r="GJ62" s="179">
        <f t="shared" si="186"/>
        <v>0</v>
      </c>
      <c r="GK62" s="9">
        <v>177890</v>
      </c>
      <c r="GL62" s="18" t="s">
        <v>238</v>
      </c>
      <c r="GM62" s="18" t="s">
        <v>238</v>
      </c>
      <c r="GN62" s="324">
        <f t="shared" si="233"/>
        <v>177890</v>
      </c>
      <c r="GO62" s="321">
        <f t="shared" si="234"/>
        <v>177890</v>
      </c>
      <c r="GP62" s="179">
        <f t="shared" si="187"/>
        <v>0</v>
      </c>
      <c r="GQ62" s="9">
        <v>177890</v>
      </c>
      <c r="GR62" s="18" t="s">
        <v>238</v>
      </c>
      <c r="GS62" s="18" t="s">
        <v>238</v>
      </c>
      <c r="GT62" s="324">
        <f t="shared" si="235"/>
        <v>177890</v>
      </c>
      <c r="GU62" s="321">
        <f t="shared" si="236"/>
        <v>177890</v>
      </c>
      <c r="GV62" s="179">
        <f t="shared" si="188"/>
        <v>0</v>
      </c>
      <c r="GW62" s="9">
        <v>186784</v>
      </c>
      <c r="GX62" s="18" t="s">
        <v>238</v>
      </c>
      <c r="GY62" s="18" t="s">
        <v>238</v>
      </c>
      <c r="GZ62" s="324">
        <f t="shared" si="237"/>
        <v>186784</v>
      </c>
      <c r="HA62" s="321">
        <f t="shared" si="238"/>
        <v>186784</v>
      </c>
      <c r="HB62" s="179">
        <f t="shared" si="189"/>
        <v>8894</v>
      </c>
      <c r="HC62" s="102">
        <f t="shared" si="190"/>
        <v>1.2650075701814102E-2</v>
      </c>
      <c r="HD62" s="285">
        <f t="shared" si="239"/>
        <v>0</v>
      </c>
      <c r="HE62" s="12">
        <f t="shared" si="240"/>
        <v>8894.5</v>
      </c>
      <c r="HF62" s="12">
        <f t="shared" si="191"/>
        <v>0.5</v>
      </c>
      <c r="HG62" s="12">
        <f t="shared" si="241"/>
        <v>8894</v>
      </c>
      <c r="HH62" s="14">
        <f t="shared" si="242"/>
        <v>8894</v>
      </c>
      <c r="HI62" s="13">
        <f t="shared" si="243"/>
        <v>186784</v>
      </c>
      <c r="HJ62" s="102">
        <f t="shared" si="244"/>
        <v>1.3282543931011553E-2</v>
      </c>
      <c r="HK62" s="16">
        <f t="shared" si="245"/>
        <v>177890</v>
      </c>
      <c r="HL62" s="103">
        <f t="shared" si="246"/>
        <v>186784.5</v>
      </c>
      <c r="HM62" s="103">
        <f t="shared" si="247"/>
        <v>8894.5</v>
      </c>
      <c r="HN62" s="17">
        <f t="shared" si="248"/>
        <v>0.5</v>
      </c>
      <c r="HO62" s="56">
        <f t="shared" si="249"/>
        <v>8894</v>
      </c>
      <c r="HP62" s="16">
        <f t="shared" si="250"/>
        <v>0</v>
      </c>
      <c r="HQ62" s="16">
        <f t="shared" si="251"/>
        <v>186784</v>
      </c>
      <c r="HR62" s="16">
        <f t="shared" si="252"/>
        <v>0</v>
      </c>
    </row>
    <row r="63" spans="1:226" x14ac:dyDescent="0.3">
      <c r="A63" s="145">
        <v>9</v>
      </c>
      <c r="B63" s="280"/>
      <c r="C63" s="312" t="s">
        <v>335</v>
      </c>
      <c r="D63" s="236" t="s">
        <v>206</v>
      </c>
      <c r="E63" s="27"/>
      <c r="F63" s="9"/>
      <c r="G63" s="9"/>
      <c r="H63" s="324"/>
      <c r="I63" s="324">
        <v>2865</v>
      </c>
      <c r="J63" s="324"/>
      <c r="K63" s="324"/>
      <c r="L63" s="324">
        <v>2865</v>
      </c>
      <c r="M63" s="23">
        <v>2865</v>
      </c>
      <c r="N63" s="23">
        <v>2865</v>
      </c>
      <c r="O63" s="298">
        <v>2865</v>
      </c>
      <c r="P63" s="298">
        <v>2865</v>
      </c>
      <c r="Q63" s="298">
        <v>2865</v>
      </c>
      <c r="R63" s="298">
        <v>2865</v>
      </c>
      <c r="S63" s="298">
        <v>2865</v>
      </c>
      <c r="T63" s="298">
        <v>2865</v>
      </c>
      <c r="U63" s="298">
        <f>T63*5%</f>
        <v>143.25</v>
      </c>
      <c r="V63" s="298">
        <f>T63+U63</f>
        <v>3008.25</v>
      </c>
      <c r="W63" s="298">
        <v>3008</v>
      </c>
      <c r="X63" s="298">
        <v>3008</v>
      </c>
      <c r="Y63" s="298">
        <v>3008</v>
      </c>
      <c r="Z63" s="298">
        <v>3008</v>
      </c>
      <c r="AA63" s="298">
        <v>3008</v>
      </c>
      <c r="AB63" s="298">
        <v>3008</v>
      </c>
      <c r="AC63" s="9">
        <v>0</v>
      </c>
      <c r="AD63" s="9">
        <v>0</v>
      </c>
      <c r="AE63" s="298">
        <f>AD63+AC63+AB63</f>
        <v>3008</v>
      </c>
      <c r="AF63" s="298">
        <v>3008</v>
      </c>
      <c r="AG63" s="9">
        <v>0</v>
      </c>
      <c r="AH63" s="9">
        <v>0</v>
      </c>
      <c r="AI63" s="298">
        <f>AH63+AG63+AF63</f>
        <v>3008</v>
      </c>
      <c r="AJ63" s="298">
        <v>3008</v>
      </c>
      <c r="AK63" s="9">
        <v>0</v>
      </c>
      <c r="AL63" s="9">
        <v>0</v>
      </c>
      <c r="AM63" s="298">
        <f>AL63+AK63+AJ63</f>
        <v>3008</v>
      </c>
      <c r="AN63" s="298">
        <v>3008</v>
      </c>
      <c r="AO63" s="9">
        <v>0</v>
      </c>
      <c r="AP63" s="9">
        <v>0</v>
      </c>
      <c r="AQ63" s="298">
        <f>AP63+AO63+AN63</f>
        <v>3008</v>
      </c>
      <c r="AR63" s="28">
        <v>3008</v>
      </c>
      <c r="AS63" s="9">
        <v>0</v>
      </c>
      <c r="AT63" s="9">
        <v>0</v>
      </c>
      <c r="AU63" s="298">
        <f t="shared" si="157"/>
        <v>3008</v>
      </c>
      <c r="AV63" s="298">
        <v>3008</v>
      </c>
      <c r="AW63" s="9">
        <v>0</v>
      </c>
      <c r="AX63" s="9">
        <v>0</v>
      </c>
      <c r="AY63" s="7">
        <f t="shared" si="158"/>
        <v>3008</v>
      </c>
      <c r="AZ63" s="8">
        <f t="shared" si="196"/>
        <v>150.4</v>
      </c>
      <c r="BA63" s="8">
        <v>0.4</v>
      </c>
      <c r="BB63" s="8">
        <f t="shared" si="197"/>
        <v>150</v>
      </c>
      <c r="BC63" s="8">
        <f t="shared" si="198"/>
        <v>3158</v>
      </c>
      <c r="BD63" s="8"/>
      <c r="BE63" s="8">
        <f t="shared" si="199"/>
        <v>3158</v>
      </c>
      <c r="BF63" s="10">
        <f t="shared" si="200"/>
        <v>150</v>
      </c>
      <c r="BG63" s="11">
        <f t="shared" si="201"/>
        <v>0</v>
      </c>
      <c r="BH63" s="11">
        <v>3158</v>
      </c>
      <c r="BI63" s="11"/>
      <c r="BJ63" s="11"/>
      <c r="BK63" s="319">
        <f t="shared" si="159"/>
        <v>3158</v>
      </c>
      <c r="BL63" s="319">
        <v>3158</v>
      </c>
      <c r="BM63" s="319">
        <v>0</v>
      </c>
      <c r="BN63" s="319">
        <v>0</v>
      </c>
      <c r="BO63" s="319">
        <f t="shared" ref="BO63:BO82" si="260">BN63+BM63+BL63</f>
        <v>3158</v>
      </c>
      <c r="BP63" s="319">
        <f t="shared" si="253"/>
        <v>0</v>
      </c>
      <c r="BQ63" s="319">
        <v>3158</v>
      </c>
      <c r="BR63" s="319">
        <v>0</v>
      </c>
      <c r="BS63" s="319">
        <v>0</v>
      </c>
      <c r="BT63" s="319">
        <f t="shared" si="161"/>
        <v>3158</v>
      </c>
      <c r="BU63" s="319">
        <f t="shared" si="162"/>
        <v>0</v>
      </c>
      <c r="BV63" s="319">
        <v>3158</v>
      </c>
      <c r="BW63" s="319">
        <v>0</v>
      </c>
      <c r="BX63" s="319">
        <v>0</v>
      </c>
      <c r="BY63" s="319">
        <f t="shared" si="163"/>
        <v>3158</v>
      </c>
      <c r="BZ63" s="319">
        <f t="shared" si="164"/>
        <v>0</v>
      </c>
      <c r="CA63" s="319">
        <v>3158</v>
      </c>
      <c r="CB63" s="319">
        <v>0</v>
      </c>
      <c r="CC63" s="319">
        <v>0</v>
      </c>
      <c r="CD63" s="319">
        <f t="shared" si="165"/>
        <v>3158</v>
      </c>
      <c r="CE63" s="319">
        <f t="shared" si="166"/>
        <v>0</v>
      </c>
      <c r="CF63" s="319">
        <v>3158</v>
      </c>
      <c r="CG63" s="319">
        <v>0</v>
      </c>
      <c r="CH63" s="319">
        <v>0</v>
      </c>
      <c r="CI63" s="319">
        <f t="shared" si="167"/>
        <v>3158</v>
      </c>
      <c r="CJ63" s="319">
        <f t="shared" si="168"/>
        <v>0</v>
      </c>
      <c r="CK63" s="319">
        <v>3158</v>
      </c>
      <c r="CL63" s="319">
        <v>0</v>
      </c>
      <c r="CM63" s="319">
        <v>0</v>
      </c>
      <c r="CN63" s="319">
        <f t="shared" si="254"/>
        <v>3158</v>
      </c>
      <c r="CO63" s="319">
        <f t="shared" si="255"/>
        <v>0</v>
      </c>
      <c r="CP63" s="319">
        <v>3158</v>
      </c>
      <c r="CQ63" s="319">
        <v>0</v>
      </c>
      <c r="CR63" s="29">
        <v>0</v>
      </c>
      <c r="CS63" s="36">
        <f t="shared" si="256"/>
        <v>3158</v>
      </c>
      <c r="CT63" s="31">
        <f t="shared" si="257"/>
        <v>0</v>
      </c>
      <c r="CU63" s="37">
        <v>3158</v>
      </c>
      <c r="CV63" s="319">
        <v>0</v>
      </c>
      <c r="CW63" s="38">
        <v>0</v>
      </c>
      <c r="CX63" s="36">
        <f t="shared" si="258"/>
        <v>3158</v>
      </c>
      <c r="CY63" s="36">
        <f t="shared" si="259"/>
        <v>0</v>
      </c>
      <c r="CZ63" s="31"/>
      <c r="DA63" s="31"/>
      <c r="DB63" s="31"/>
      <c r="DC63" s="12">
        <f t="shared" si="202"/>
        <v>315.8</v>
      </c>
      <c r="DD63" s="12">
        <v>0.8</v>
      </c>
      <c r="DE63" s="13">
        <f t="shared" si="203"/>
        <v>315</v>
      </c>
      <c r="DF63" s="14">
        <f t="shared" si="169"/>
        <v>315</v>
      </c>
      <c r="DG63" s="13">
        <f t="shared" si="170"/>
        <v>3473</v>
      </c>
      <c r="DH63" s="39">
        <f t="shared" si="171"/>
        <v>2.4702812396965441E-4</v>
      </c>
      <c r="DI63" s="16">
        <f t="shared" si="172"/>
        <v>3158</v>
      </c>
      <c r="DJ63" s="132">
        <f t="shared" si="204"/>
        <v>3473.8</v>
      </c>
      <c r="DK63" s="17">
        <f t="shared" si="205"/>
        <v>315.80000000000018</v>
      </c>
      <c r="DL63" s="17">
        <f t="shared" si="173"/>
        <v>0.8</v>
      </c>
      <c r="DM63" s="16">
        <f t="shared" si="206"/>
        <v>315.00000000000017</v>
      </c>
      <c r="DN63" s="16">
        <f t="shared" si="174"/>
        <v>0</v>
      </c>
      <c r="DO63" s="16">
        <f t="shared" si="207"/>
        <v>3473</v>
      </c>
      <c r="DP63" s="16">
        <f t="shared" si="175"/>
        <v>0</v>
      </c>
      <c r="DQ63" s="9">
        <v>3473</v>
      </c>
      <c r="DR63" s="18" t="s">
        <v>238</v>
      </c>
      <c r="DS63" s="18" t="s">
        <v>238</v>
      </c>
      <c r="DT63" s="324">
        <f t="shared" si="208"/>
        <v>3473</v>
      </c>
      <c r="DU63" s="321">
        <f t="shared" si="209"/>
        <v>3473</v>
      </c>
      <c r="DV63" s="19">
        <f t="shared" si="210"/>
        <v>0</v>
      </c>
      <c r="DW63" s="9">
        <v>3473</v>
      </c>
      <c r="DX63" s="18"/>
      <c r="DY63" s="18"/>
      <c r="DZ63" s="324">
        <f t="shared" si="211"/>
        <v>3473</v>
      </c>
      <c r="EA63" s="321">
        <f t="shared" si="212"/>
        <v>3473</v>
      </c>
      <c r="EB63" s="179">
        <f t="shared" si="176"/>
        <v>0</v>
      </c>
      <c r="EC63" s="9">
        <v>3473</v>
      </c>
      <c r="ED63" s="18" t="s">
        <v>238</v>
      </c>
      <c r="EE63" s="18" t="s">
        <v>238</v>
      </c>
      <c r="EF63" s="324">
        <f t="shared" si="213"/>
        <v>3473</v>
      </c>
      <c r="EG63" s="321">
        <f t="shared" si="214"/>
        <v>3473</v>
      </c>
      <c r="EH63" s="179">
        <f t="shared" si="177"/>
        <v>0</v>
      </c>
      <c r="EI63" s="9">
        <v>3473</v>
      </c>
      <c r="EJ63" s="18" t="s">
        <v>238</v>
      </c>
      <c r="EK63" s="18" t="s">
        <v>238</v>
      </c>
      <c r="EL63" s="324">
        <f t="shared" si="215"/>
        <v>3473</v>
      </c>
      <c r="EM63" s="321">
        <f t="shared" si="216"/>
        <v>3473</v>
      </c>
      <c r="EN63" s="179">
        <f t="shared" si="178"/>
        <v>0</v>
      </c>
      <c r="EO63" s="9">
        <v>3473</v>
      </c>
      <c r="EP63" s="18" t="s">
        <v>238</v>
      </c>
      <c r="EQ63" s="18" t="s">
        <v>238</v>
      </c>
      <c r="ER63" s="324">
        <f t="shared" si="217"/>
        <v>3473</v>
      </c>
      <c r="ES63" s="321">
        <f t="shared" si="218"/>
        <v>3473</v>
      </c>
      <c r="ET63" s="179">
        <f t="shared" si="179"/>
        <v>0</v>
      </c>
      <c r="EU63" s="9">
        <v>3473</v>
      </c>
      <c r="EV63" s="18" t="s">
        <v>238</v>
      </c>
      <c r="EW63" s="18" t="s">
        <v>238</v>
      </c>
      <c r="EX63" s="324">
        <f t="shared" si="219"/>
        <v>3473</v>
      </c>
      <c r="EY63" s="321">
        <f t="shared" si="220"/>
        <v>3473</v>
      </c>
      <c r="EZ63" s="179">
        <f t="shared" si="180"/>
        <v>0</v>
      </c>
      <c r="FA63" s="9">
        <v>3473</v>
      </c>
      <c r="FB63" s="18" t="s">
        <v>238</v>
      </c>
      <c r="FC63" s="18" t="s">
        <v>238</v>
      </c>
      <c r="FD63" s="101">
        <f t="shared" si="221"/>
        <v>3473</v>
      </c>
      <c r="FE63" s="218">
        <f t="shared" si="222"/>
        <v>3473</v>
      </c>
      <c r="FF63" s="135">
        <f t="shared" si="181"/>
        <v>0</v>
      </c>
      <c r="FG63" s="9">
        <v>3473</v>
      </c>
      <c r="FH63" s="18" t="s">
        <v>238</v>
      </c>
      <c r="FI63" s="18" t="s">
        <v>238</v>
      </c>
      <c r="FJ63" s="324">
        <f t="shared" si="223"/>
        <v>3473</v>
      </c>
      <c r="FK63" s="321">
        <f t="shared" si="224"/>
        <v>3473</v>
      </c>
      <c r="FL63" s="179">
        <f t="shared" si="182"/>
        <v>0</v>
      </c>
      <c r="FM63" s="9">
        <v>3473</v>
      </c>
      <c r="FN63" s="18" t="s">
        <v>238</v>
      </c>
      <c r="FO63" s="18" t="s">
        <v>238</v>
      </c>
      <c r="FP63" s="324">
        <f t="shared" si="225"/>
        <v>3473</v>
      </c>
      <c r="FQ63" s="321">
        <f t="shared" si="226"/>
        <v>3473</v>
      </c>
      <c r="FR63" s="179">
        <f t="shared" si="183"/>
        <v>0</v>
      </c>
      <c r="FS63" s="9">
        <v>3473</v>
      </c>
      <c r="FT63" s="18" t="s">
        <v>238</v>
      </c>
      <c r="FU63" s="18" t="s">
        <v>238</v>
      </c>
      <c r="FV63" s="324">
        <f t="shared" si="227"/>
        <v>3473</v>
      </c>
      <c r="FW63" s="321">
        <f t="shared" si="228"/>
        <v>3473</v>
      </c>
      <c r="FX63" s="179">
        <f t="shared" si="184"/>
        <v>0</v>
      </c>
      <c r="FY63" s="9">
        <v>3473</v>
      </c>
      <c r="FZ63" s="18" t="s">
        <v>238</v>
      </c>
      <c r="GA63" s="18" t="s">
        <v>238</v>
      </c>
      <c r="GB63" s="324">
        <f t="shared" si="229"/>
        <v>3473</v>
      </c>
      <c r="GC63" s="321">
        <f t="shared" si="230"/>
        <v>3473</v>
      </c>
      <c r="GD63" s="179">
        <f t="shared" si="185"/>
        <v>0</v>
      </c>
      <c r="GE63" s="9">
        <v>3473</v>
      </c>
      <c r="GF63" s="18" t="s">
        <v>238</v>
      </c>
      <c r="GG63" s="18" t="s">
        <v>238</v>
      </c>
      <c r="GH63" s="324">
        <f t="shared" si="231"/>
        <v>3473</v>
      </c>
      <c r="GI63" s="321">
        <f t="shared" si="232"/>
        <v>3473</v>
      </c>
      <c r="GJ63" s="179">
        <f t="shared" si="186"/>
        <v>0</v>
      </c>
      <c r="GK63" s="9">
        <v>3473</v>
      </c>
      <c r="GL63" s="18" t="s">
        <v>238</v>
      </c>
      <c r="GM63" s="18" t="s">
        <v>238</v>
      </c>
      <c r="GN63" s="324">
        <f t="shared" si="233"/>
        <v>3473</v>
      </c>
      <c r="GO63" s="321">
        <f t="shared" si="234"/>
        <v>3473</v>
      </c>
      <c r="GP63" s="179">
        <f t="shared" si="187"/>
        <v>0</v>
      </c>
      <c r="GQ63" s="9">
        <v>3473</v>
      </c>
      <c r="GR63" s="18" t="s">
        <v>238</v>
      </c>
      <c r="GS63" s="18" t="s">
        <v>238</v>
      </c>
      <c r="GT63" s="324">
        <f t="shared" si="235"/>
        <v>3473</v>
      </c>
      <c r="GU63" s="321">
        <f t="shared" si="236"/>
        <v>3473</v>
      </c>
      <c r="GV63" s="179">
        <f t="shared" si="188"/>
        <v>0</v>
      </c>
      <c r="GW63" s="9">
        <v>3646</v>
      </c>
      <c r="GX63" s="18" t="s">
        <v>238</v>
      </c>
      <c r="GY63" s="18" t="s">
        <v>238</v>
      </c>
      <c r="GZ63" s="324">
        <f t="shared" si="237"/>
        <v>3646</v>
      </c>
      <c r="HA63" s="321">
        <f t="shared" si="238"/>
        <v>3646</v>
      </c>
      <c r="HB63" s="179">
        <f t="shared" si="189"/>
        <v>173</v>
      </c>
      <c r="HC63" s="102">
        <f t="shared" si="190"/>
        <v>2.4697123454044844E-4</v>
      </c>
      <c r="HD63" s="285">
        <f t="shared" si="239"/>
        <v>0</v>
      </c>
      <c r="HE63" s="12">
        <f t="shared" si="240"/>
        <v>173.65</v>
      </c>
      <c r="HF63" s="12">
        <f t="shared" si="191"/>
        <v>0.65000000000000568</v>
      </c>
      <c r="HG63" s="12">
        <f t="shared" si="241"/>
        <v>173</v>
      </c>
      <c r="HH63" s="14">
        <f t="shared" si="242"/>
        <v>173</v>
      </c>
      <c r="HI63" s="13">
        <f t="shared" si="243"/>
        <v>3646</v>
      </c>
      <c r="HJ63" s="102">
        <f t="shared" si="244"/>
        <v>2.5927357360624103E-4</v>
      </c>
      <c r="HK63" s="16">
        <f t="shared" si="245"/>
        <v>3473</v>
      </c>
      <c r="HL63" s="103">
        <f t="shared" si="246"/>
        <v>3646.65</v>
      </c>
      <c r="HM63" s="103">
        <f t="shared" si="247"/>
        <v>173.65000000000009</v>
      </c>
      <c r="HN63" s="17">
        <f t="shared" si="248"/>
        <v>0.65000000000000568</v>
      </c>
      <c r="HO63" s="56">
        <f t="shared" si="249"/>
        <v>173.00000000000009</v>
      </c>
      <c r="HP63" s="16">
        <f t="shared" si="250"/>
        <v>0</v>
      </c>
      <c r="HQ63" s="16">
        <f t="shared" si="251"/>
        <v>3646</v>
      </c>
      <c r="HR63" s="16">
        <f t="shared" si="252"/>
        <v>0</v>
      </c>
    </row>
    <row r="64" spans="1:226" x14ac:dyDescent="0.3">
      <c r="A64" s="145">
        <v>10</v>
      </c>
      <c r="B64" s="280"/>
      <c r="C64" s="312" t="s">
        <v>354</v>
      </c>
      <c r="D64" s="236" t="s">
        <v>207</v>
      </c>
      <c r="E64" s="27"/>
      <c r="F64" s="9"/>
      <c r="G64" s="9"/>
      <c r="H64" s="324"/>
      <c r="I64" s="324">
        <v>13750</v>
      </c>
      <c r="J64" s="324"/>
      <c r="K64" s="324"/>
      <c r="L64" s="324">
        <v>13750</v>
      </c>
      <c r="M64" s="23">
        <v>13750</v>
      </c>
      <c r="N64" s="23">
        <v>13750</v>
      </c>
      <c r="O64" s="298">
        <v>13750</v>
      </c>
      <c r="P64" s="298">
        <v>13750</v>
      </c>
      <c r="Q64" s="298">
        <v>13750</v>
      </c>
      <c r="R64" s="298">
        <v>13750</v>
      </c>
      <c r="S64" s="298">
        <v>13750</v>
      </c>
      <c r="T64" s="298">
        <v>13750</v>
      </c>
      <c r="U64" s="298">
        <f>T64*5%</f>
        <v>687.5</v>
      </c>
      <c r="V64" s="298">
        <f>T64+U64</f>
        <v>14437.5</v>
      </c>
      <c r="W64" s="298">
        <v>14437</v>
      </c>
      <c r="X64" s="298">
        <v>14437</v>
      </c>
      <c r="Y64" s="298">
        <v>14437</v>
      </c>
      <c r="Z64" s="298">
        <v>14437</v>
      </c>
      <c r="AA64" s="298">
        <v>14437</v>
      </c>
      <c r="AB64" s="298">
        <v>14437</v>
      </c>
      <c r="AC64" s="9">
        <v>0</v>
      </c>
      <c r="AD64" s="9">
        <v>0</v>
      </c>
      <c r="AE64" s="298">
        <f>AD64+AC64+AB64</f>
        <v>14437</v>
      </c>
      <c r="AF64" s="298">
        <v>14437</v>
      </c>
      <c r="AG64" s="9">
        <v>0</v>
      </c>
      <c r="AH64" s="9">
        <v>0</v>
      </c>
      <c r="AI64" s="298">
        <f>AH64+AG64+AF64</f>
        <v>14437</v>
      </c>
      <c r="AJ64" s="298">
        <v>14437</v>
      </c>
      <c r="AK64" s="9">
        <v>0</v>
      </c>
      <c r="AL64" s="9">
        <v>0</v>
      </c>
      <c r="AM64" s="298">
        <f>AL64+AK64+AJ64</f>
        <v>14437</v>
      </c>
      <c r="AN64" s="298">
        <v>14437</v>
      </c>
      <c r="AO64" s="9">
        <v>0</v>
      </c>
      <c r="AP64" s="9">
        <v>0</v>
      </c>
      <c r="AQ64" s="298">
        <f>AP64+AO64+AN64</f>
        <v>14437</v>
      </c>
      <c r="AR64" s="28">
        <v>14437</v>
      </c>
      <c r="AS64" s="9">
        <v>0</v>
      </c>
      <c r="AT64" s="9">
        <v>0</v>
      </c>
      <c r="AU64" s="298">
        <f t="shared" si="157"/>
        <v>14437</v>
      </c>
      <c r="AV64" s="325">
        <v>14437</v>
      </c>
      <c r="AW64" s="9">
        <v>0</v>
      </c>
      <c r="AX64" s="9">
        <v>0</v>
      </c>
      <c r="AY64" s="7">
        <f t="shared" si="158"/>
        <v>14437</v>
      </c>
      <c r="AZ64" s="8">
        <f t="shared" si="196"/>
        <v>721.85</v>
      </c>
      <c r="BA64" s="8">
        <v>0.85</v>
      </c>
      <c r="BB64" s="8">
        <f t="shared" si="197"/>
        <v>721</v>
      </c>
      <c r="BC64" s="8">
        <f t="shared" si="198"/>
        <v>15158</v>
      </c>
      <c r="BD64" s="8"/>
      <c r="BE64" s="8">
        <f t="shared" si="199"/>
        <v>15158</v>
      </c>
      <c r="BF64" s="10">
        <f t="shared" si="200"/>
        <v>721</v>
      </c>
      <c r="BG64" s="11">
        <f t="shared" si="201"/>
        <v>0</v>
      </c>
      <c r="BH64" s="4">
        <v>15158</v>
      </c>
      <c r="BI64" s="4">
        <v>0</v>
      </c>
      <c r="BJ64" s="4">
        <v>0</v>
      </c>
      <c r="BK64" s="319">
        <f t="shared" si="159"/>
        <v>15158</v>
      </c>
      <c r="BL64" s="319">
        <v>15158</v>
      </c>
      <c r="BM64" s="319">
        <v>0</v>
      </c>
      <c r="BN64" s="319">
        <v>0</v>
      </c>
      <c r="BO64" s="319">
        <f t="shared" si="260"/>
        <v>15158</v>
      </c>
      <c r="BP64" s="319">
        <f t="shared" si="253"/>
        <v>0</v>
      </c>
      <c r="BQ64" s="319">
        <v>15158</v>
      </c>
      <c r="BR64" s="319">
        <v>0</v>
      </c>
      <c r="BS64" s="319">
        <v>0</v>
      </c>
      <c r="BT64" s="319">
        <f t="shared" si="161"/>
        <v>15158</v>
      </c>
      <c r="BU64" s="319">
        <f t="shared" si="162"/>
        <v>0</v>
      </c>
      <c r="BV64" s="319">
        <v>15158</v>
      </c>
      <c r="BW64" s="319">
        <v>0</v>
      </c>
      <c r="BX64" s="319">
        <v>0</v>
      </c>
      <c r="BY64" s="319">
        <f t="shared" si="163"/>
        <v>15158</v>
      </c>
      <c r="BZ64" s="319">
        <f t="shared" si="164"/>
        <v>0</v>
      </c>
      <c r="CA64" s="319">
        <v>15158</v>
      </c>
      <c r="CB64" s="319">
        <v>0</v>
      </c>
      <c r="CC64" s="319">
        <v>0</v>
      </c>
      <c r="CD64" s="319">
        <f t="shared" si="165"/>
        <v>15158</v>
      </c>
      <c r="CE64" s="319">
        <f t="shared" si="166"/>
        <v>0</v>
      </c>
      <c r="CF64" s="319">
        <v>15158</v>
      </c>
      <c r="CG64" s="319">
        <v>0</v>
      </c>
      <c r="CH64" s="319">
        <v>0</v>
      </c>
      <c r="CI64" s="319">
        <f t="shared" si="167"/>
        <v>15158</v>
      </c>
      <c r="CJ64" s="319">
        <f t="shared" si="168"/>
        <v>0</v>
      </c>
      <c r="CK64" s="319">
        <v>15158</v>
      </c>
      <c r="CL64" s="319">
        <v>0</v>
      </c>
      <c r="CM64" s="319">
        <v>0</v>
      </c>
      <c r="CN64" s="319">
        <f t="shared" si="254"/>
        <v>15158</v>
      </c>
      <c r="CO64" s="319">
        <f t="shared" si="255"/>
        <v>0</v>
      </c>
      <c r="CP64" s="319">
        <v>15158</v>
      </c>
      <c r="CQ64" s="319">
        <v>0</v>
      </c>
      <c r="CR64" s="29">
        <v>0</v>
      </c>
      <c r="CS64" s="36">
        <f t="shared" si="256"/>
        <v>15158</v>
      </c>
      <c r="CT64" s="31">
        <f t="shared" si="257"/>
        <v>0</v>
      </c>
      <c r="CU64" s="37">
        <v>15158</v>
      </c>
      <c r="CV64" s="319">
        <v>0</v>
      </c>
      <c r="CW64" s="38">
        <v>0</v>
      </c>
      <c r="CX64" s="36">
        <f t="shared" si="258"/>
        <v>15158</v>
      </c>
      <c r="CY64" s="36">
        <f t="shared" si="259"/>
        <v>0</v>
      </c>
      <c r="CZ64" s="31"/>
      <c r="DA64" s="31"/>
      <c r="DB64" s="31"/>
      <c r="DC64" s="12">
        <f t="shared" si="202"/>
        <v>1515.8000000000002</v>
      </c>
      <c r="DD64" s="12">
        <v>0.8</v>
      </c>
      <c r="DE64" s="13">
        <f t="shared" si="203"/>
        <v>1515.0000000000002</v>
      </c>
      <c r="DF64" s="14">
        <f t="shared" si="169"/>
        <v>1515.0000000000002</v>
      </c>
      <c r="DG64" s="13">
        <f t="shared" si="170"/>
        <v>16673</v>
      </c>
      <c r="DH64" s="39">
        <f t="shared" si="171"/>
        <v>1.1857037058682779E-3</v>
      </c>
      <c r="DI64" s="16">
        <f t="shared" si="172"/>
        <v>15158</v>
      </c>
      <c r="DJ64" s="132">
        <f t="shared" si="204"/>
        <v>16673.800000000003</v>
      </c>
      <c r="DK64" s="17">
        <f t="shared" si="205"/>
        <v>1515.8000000000029</v>
      </c>
      <c r="DL64" s="17">
        <f t="shared" si="173"/>
        <v>0.8</v>
      </c>
      <c r="DM64" s="16">
        <f t="shared" si="206"/>
        <v>1515.000000000003</v>
      </c>
      <c r="DN64" s="16">
        <f t="shared" si="174"/>
        <v>2.7284841053187847E-12</v>
      </c>
      <c r="DO64" s="16">
        <f t="shared" si="207"/>
        <v>16673.000000000004</v>
      </c>
      <c r="DP64" s="16">
        <f t="shared" si="175"/>
        <v>0</v>
      </c>
      <c r="DQ64" s="9">
        <v>16673</v>
      </c>
      <c r="DR64" s="18" t="s">
        <v>238</v>
      </c>
      <c r="DS64" s="18" t="s">
        <v>238</v>
      </c>
      <c r="DT64" s="324">
        <f t="shared" si="208"/>
        <v>16673</v>
      </c>
      <c r="DU64" s="321">
        <f t="shared" si="209"/>
        <v>16673</v>
      </c>
      <c r="DV64" s="19">
        <f t="shared" si="210"/>
        <v>0</v>
      </c>
      <c r="DW64" s="9">
        <v>16673</v>
      </c>
      <c r="DX64" s="18"/>
      <c r="DY64" s="18"/>
      <c r="DZ64" s="324">
        <f t="shared" si="211"/>
        <v>16673</v>
      </c>
      <c r="EA64" s="321">
        <f t="shared" si="212"/>
        <v>16673</v>
      </c>
      <c r="EB64" s="179">
        <f t="shared" si="176"/>
        <v>0</v>
      </c>
      <c r="EC64" s="9">
        <v>16673</v>
      </c>
      <c r="ED64" s="18" t="s">
        <v>238</v>
      </c>
      <c r="EE64" s="18" t="s">
        <v>238</v>
      </c>
      <c r="EF64" s="324">
        <f t="shared" si="213"/>
        <v>16673</v>
      </c>
      <c r="EG64" s="321">
        <f t="shared" si="214"/>
        <v>16673</v>
      </c>
      <c r="EH64" s="179">
        <f t="shared" si="177"/>
        <v>0</v>
      </c>
      <c r="EI64" s="9">
        <v>16673</v>
      </c>
      <c r="EJ64" s="18" t="s">
        <v>238</v>
      </c>
      <c r="EK64" s="18" t="s">
        <v>238</v>
      </c>
      <c r="EL64" s="324">
        <f t="shared" si="215"/>
        <v>16673</v>
      </c>
      <c r="EM64" s="321">
        <f t="shared" si="216"/>
        <v>16673</v>
      </c>
      <c r="EN64" s="179">
        <f t="shared" si="178"/>
        <v>0</v>
      </c>
      <c r="EO64" s="9">
        <v>16673</v>
      </c>
      <c r="EP64" s="18" t="s">
        <v>238</v>
      </c>
      <c r="EQ64" s="18" t="s">
        <v>238</v>
      </c>
      <c r="ER64" s="324">
        <f t="shared" si="217"/>
        <v>16673</v>
      </c>
      <c r="ES64" s="321">
        <f t="shared" si="218"/>
        <v>16673</v>
      </c>
      <c r="ET64" s="179">
        <f t="shared" si="179"/>
        <v>0</v>
      </c>
      <c r="EU64" s="9">
        <v>16673</v>
      </c>
      <c r="EV64" s="18" t="s">
        <v>238</v>
      </c>
      <c r="EW64" s="18" t="s">
        <v>238</v>
      </c>
      <c r="EX64" s="324">
        <f t="shared" si="219"/>
        <v>16673</v>
      </c>
      <c r="EY64" s="321">
        <f t="shared" si="220"/>
        <v>16673</v>
      </c>
      <c r="EZ64" s="179">
        <f t="shared" si="180"/>
        <v>0</v>
      </c>
      <c r="FA64" s="9">
        <v>16673</v>
      </c>
      <c r="FB64" s="18" t="s">
        <v>238</v>
      </c>
      <c r="FC64" s="18" t="s">
        <v>238</v>
      </c>
      <c r="FD64" s="101">
        <f t="shared" si="221"/>
        <v>16673</v>
      </c>
      <c r="FE64" s="218">
        <f t="shared" si="222"/>
        <v>16673</v>
      </c>
      <c r="FF64" s="135">
        <f t="shared" si="181"/>
        <v>0</v>
      </c>
      <c r="FG64" s="9">
        <v>16673</v>
      </c>
      <c r="FH64" s="18" t="s">
        <v>238</v>
      </c>
      <c r="FI64" s="18" t="s">
        <v>238</v>
      </c>
      <c r="FJ64" s="324">
        <f t="shared" si="223"/>
        <v>16673</v>
      </c>
      <c r="FK64" s="321">
        <f t="shared" si="224"/>
        <v>16673</v>
      </c>
      <c r="FL64" s="179">
        <f t="shared" si="182"/>
        <v>0</v>
      </c>
      <c r="FM64" s="9">
        <v>16673</v>
      </c>
      <c r="FN64" s="18" t="s">
        <v>238</v>
      </c>
      <c r="FO64" s="18" t="s">
        <v>238</v>
      </c>
      <c r="FP64" s="324">
        <f t="shared" si="225"/>
        <v>16673</v>
      </c>
      <c r="FQ64" s="321">
        <f t="shared" si="226"/>
        <v>16673</v>
      </c>
      <c r="FR64" s="179">
        <f t="shared" si="183"/>
        <v>0</v>
      </c>
      <c r="FS64" s="9">
        <v>16673</v>
      </c>
      <c r="FT64" s="18" t="s">
        <v>238</v>
      </c>
      <c r="FU64" s="18" t="s">
        <v>238</v>
      </c>
      <c r="FV64" s="324">
        <f t="shared" si="227"/>
        <v>16673</v>
      </c>
      <c r="FW64" s="321">
        <f t="shared" si="228"/>
        <v>16673</v>
      </c>
      <c r="FX64" s="179">
        <f t="shared" si="184"/>
        <v>0</v>
      </c>
      <c r="FY64" s="9">
        <v>16673</v>
      </c>
      <c r="FZ64" s="18" t="s">
        <v>238</v>
      </c>
      <c r="GA64" s="18" t="s">
        <v>238</v>
      </c>
      <c r="GB64" s="324">
        <f t="shared" si="229"/>
        <v>16673</v>
      </c>
      <c r="GC64" s="321">
        <f t="shared" si="230"/>
        <v>16673</v>
      </c>
      <c r="GD64" s="179">
        <f t="shared" si="185"/>
        <v>0</v>
      </c>
      <c r="GE64" s="9">
        <v>16673</v>
      </c>
      <c r="GF64" s="18" t="s">
        <v>238</v>
      </c>
      <c r="GG64" s="18" t="s">
        <v>238</v>
      </c>
      <c r="GH64" s="324">
        <f t="shared" si="231"/>
        <v>16673</v>
      </c>
      <c r="GI64" s="321">
        <f t="shared" si="232"/>
        <v>16673</v>
      </c>
      <c r="GJ64" s="179">
        <f t="shared" si="186"/>
        <v>0</v>
      </c>
      <c r="GK64" s="9">
        <v>16673</v>
      </c>
      <c r="GL64" s="18" t="s">
        <v>238</v>
      </c>
      <c r="GM64" s="18" t="s">
        <v>238</v>
      </c>
      <c r="GN64" s="324">
        <f t="shared" si="233"/>
        <v>16673</v>
      </c>
      <c r="GO64" s="321">
        <f t="shared" si="234"/>
        <v>16673</v>
      </c>
      <c r="GP64" s="179">
        <f t="shared" si="187"/>
        <v>0</v>
      </c>
      <c r="GQ64" s="9">
        <v>16673</v>
      </c>
      <c r="GR64" s="18" t="s">
        <v>238</v>
      </c>
      <c r="GS64" s="18" t="s">
        <v>238</v>
      </c>
      <c r="GT64" s="324">
        <f t="shared" si="235"/>
        <v>16673</v>
      </c>
      <c r="GU64" s="321">
        <f t="shared" si="236"/>
        <v>16673</v>
      </c>
      <c r="GV64" s="179">
        <f t="shared" si="188"/>
        <v>0</v>
      </c>
      <c r="GW64" s="9">
        <v>17506</v>
      </c>
      <c r="GX64" s="18" t="s">
        <v>238</v>
      </c>
      <c r="GY64" s="18" t="s">
        <v>238</v>
      </c>
      <c r="GZ64" s="324">
        <f t="shared" si="237"/>
        <v>17506</v>
      </c>
      <c r="HA64" s="321">
        <f t="shared" si="238"/>
        <v>17506</v>
      </c>
      <c r="HB64" s="179">
        <f t="shared" si="189"/>
        <v>833</v>
      </c>
      <c r="HC64" s="102">
        <f t="shared" si="190"/>
        <v>1.185646816439072E-3</v>
      </c>
      <c r="HD64" s="285">
        <f t="shared" si="239"/>
        <v>-1.3642420526593924E-12</v>
      </c>
      <c r="HE64" s="12">
        <f t="shared" si="240"/>
        <v>833.65000000000009</v>
      </c>
      <c r="HF64" s="12">
        <f t="shared" si="191"/>
        <v>0.65000000000009095</v>
      </c>
      <c r="HG64" s="12">
        <f t="shared" si="241"/>
        <v>833</v>
      </c>
      <c r="HH64" s="14">
        <f t="shared" si="242"/>
        <v>833</v>
      </c>
      <c r="HI64" s="13">
        <f t="shared" si="243"/>
        <v>17506</v>
      </c>
      <c r="HJ64" s="102">
        <f t="shared" si="244"/>
        <v>1.2448829345997957E-3</v>
      </c>
      <c r="HK64" s="16">
        <f t="shared" si="245"/>
        <v>16673</v>
      </c>
      <c r="HL64" s="103">
        <f t="shared" si="246"/>
        <v>17506.650000000001</v>
      </c>
      <c r="HM64" s="103">
        <f t="shared" si="247"/>
        <v>833.65000000000146</v>
      </c>
      <c r="HN64" s="17">
        <f t="shared" si="248"/>
        <v>0.65000000000009095</v>
      </c>
      <c r="HO64" s="56">
        <f t="shared" si="249"/>
        <v>833.00000000000136</v>
      </c>
      <c r="HP64" s="16">
        <f t="shared" si="250"/>
        <v>1.3642420526593924E-12</v>
      </c>
      <c r="HQ64" s="16">
        <f t="shared" si="251"/>
        <v>17506</v>
      </c>
      <c r="HR64" s="16">
        <f t="shared" si="252"/>
        <v>0</v>
      </c>
    </row>
    <row r="65" spans="1:226" x14ac:dyDescent="0.3">
      <c r="A65" s="145">
        <v>11</v>
      </c>
      <c r="B65" s="280"/>
      <c r="C65" s="312" t="s">
        <v>355</v>
      </c>
      <c r="D65" s="236" t="s">
        <v>208</v>
      </c>
      <c r="E65" s="27"/>
      <c r="F65" s="9"/>
      <c r="G65" s="9"/>
      <c r="H65" s="324"/>
      <c r="I65" s="324">
        <v>132000</v>
      </c>
      <c r="J65" s="324"/>
      <c r="K65" s="324"/>
      <c r="L65" s="324">
        <v>132000</v>
      </c>
      <c r="M65" s="23">
        <v>132000</v>
      </c>
      <c r="N65" s="23">
        <v>132000</v>
      </c>
      <c r="O65" s="298">
        <v>132000</v>
      </c>
      <c r="P65" s="298">
        <v>132000</v>
      </c>
      <c r="Q65" s="298">
        <v>132000</v>
      </c>
      <c r="R65" s="298">
        <v>132000</v>
      </c>
      <c r="S65" s="298">
        <v>132000</v>
      </c>
      <c r="T65" s="298">
        <v>132000</v>
      </c>
      <c r="U65" s="298">
        <f>T65*5%</f>
        <v>6600</v>
      </c>
      <c r="V65" s="298">
        <f>T65+U65</f>
        <v>138600</v>
      </c>
      <c r="W65" s="298">
        <v>138600</v>
      </c>
      <c r="X65" s="298">
        <v>138600</v>
      </c>
      <c r="Y65" s="298">
        <v>138600</v>
      </c>
      <c r="Z65" s="298">
        <v>138600</v>
      </c>
      <c r="AA65" s="298">
        <v>138600</v>
      </c>
      <c r="AB65" s="298">
        <v>138600</v>
      </c>
      <c r="AC65" s="9">
        <v>0</v>
      </c>
      <c r="AD65" s="9">
        <v>0</v>
      </c>
      <c r="AE65" s="298">
        <f>AD65+AC65+AB65</f>
        <v>138600</v>
      </c>
      <c r="AF65" s="298">
        <v>138600</v>
      </c>
      <c r="AG65" s="9">
        <v>0</v>
      </c>
      <c r="AH65" s="9">
        <v>0</v>
      </c>
      <c r="AI65" s="298">
        <f>AH65+AG65+AF65</f>
        <v>138600</v>
      </c>
      <c r="AJ65" s="298">
        <v>138600</v>
      </c>
      <c r="AK65" s="9">
        <v>0</v>
      </c>
      <c r="AL65" s="9">
        <v>0</v>
      </c>
      <c r="AM65" s="298">
        <f>AL65+AK65+AJ65</f>
        <v>138600</v>
      </c>
      <c r="AN65" s="298">
        <v>138600</v>
      </c>
      <c r="AO65" s="9">
        <v>0</v>
      </c>
      <c r="AP65" s="9">
        <v>0</v>
      </c>
      <c r="AQ65" s="298">
        <f>AP65+AO65+AN65</f>
        <v>138600</v>
      </c>
      <c r="AR65" s="28">
        <v>138600</v>
      </c>
      <c r="AS65" s="9">
        <v>0</v>
      </c>
      <c r="AT65" s="9">
        <v>0</v>
      </c>
      <c r="AU65" s="298">
        <f t="shared" si="157"/>
        <v>138600</v>
      </c>
      <c r="AV65" s="298">
        <v>138600</v>
      </c>
      <c r="AW65" s="9">
        <v>0</v>
      </c>
      <c r="AX65" s="9">
        <v>0</v>
      </c>
      <c r="AY65" s="7">
        <f t="shared" si="158"/>
        <v>138600</v>
      </c>
      <c r="AZ65" s="8">
        <f t="shared" si="196"/>
        <v>6930</v>
      </c>
      <c r="BA65" s="8"/>
      <c r="BB65" s="8">
        <f t="shared" si="197"/>
        <v>6930</v>
      </c>
      <c r="BC65" s="8">
        <f t="shared" si="198"/>
        <v>145530</v>
      </c>
      <c r="BD65" s="8"/>
      <c r="BE65" s="8">
        <f t="shared" si="199"/>
        <v>145530</v>
      </c>
      <c r="BF65" s="10">
        <f t="shared" si="200"/>
        <v>6930</v>
      </c>
      <c r="BG65" s="11">
        <f t="shared" si="201"/>
        <v>0</v>
      </c>
      <c r="BH65" s="11">
        <v>145530</v>
      </c>
      <c r="BI65" s="11"/>
      <c r="BJ65" s="11"/>
      <c r="BK65" s="319">
        <f t="shared" si="159"/>
        <v>145530</v>
      </c>
      <c r="BL65" s="319">
        <v>145530</v>
      </c>
      <c r="BM65" s="319">
        <v>0</v>
      </c>
      <c r="BN65" s="319">
        <v>0</v>
      </c>
      <c r="BO65" s="319">
        <f t="shared" si="260"/>
        <v>145530</v>
      </c>
      <c r="BP65" s="319">
        <f t="shared" si="253"/>
        <v>0</v>
      </c>
      <c r="BQ65" s="319">
        <v>145530</v>
      </c>
      <c r="BR65" s="319">
        <v>0</v>
      </c>
      <c r="BS65" s="319">
        <v>0</v>
      </c>
      <c r="BT65" s="319">
        <f t="shared" si="161"/>
        <v>145530</v>
      </c>
      <c r="BU65" s="319">
        <f t="shared" si="162"/>
        <v>0</v>
      </c>
      <c r="BV65" s="319">
        <v>145530</v>
      </c>
      <c r="BW65" s="319">
        <v>0</v>
      </c>
      <c r="BX65" s="319">
        <v>0</v>
      </c>
      <c r="BY65" s="319">
        <f t="shared" si="163"/>
        <v>145530</v>
      </c>
      <c r="BZ65" s="319">
        <f t="shared" si="164"/>
        <v>0</v>
      </c>
      <c r="CA65" s="319">
        <v>145530</v>
      </c>
      <c r="CB65" s="319">
        <v>0</v>
      </c>
      <c r="CC65" s="319">
        <v>0</v>
      </c>
      <c r="CD65" s="319">
        <f t="shared" si="165"/>
        <v>145530</v>
      </c>
      <c r="CE65" s="319">
        <f t="shared" si="166"/>
        <v>0</v>
      </c>
      <c r="CF65" s="319">
        <v>145530</v>
      </c>
      <c r="CG65" s="319">
        <v>0</v>
      </c>
      <c r="CH65" s="319">
        <v>0</v>
      </c>
      <c r="CI65" s="319">
        <f t="shared" si="167"/>
        <v>145530</v>
      </c>
      <c r="CJ65" s="319">
        <f t="shared" si="168"/>
        <v>0</v>
      </c>
      <c r="CK65" s="319">
        <v>145530</v>
      </c>
      <c r="CL65" s="319">
        <v>0</v>
      </c>
      <c r="CM65" s="319">
        <v>0</v>
      </c>
      <c r="CN65" s="319">
        <f t="shared" si="254"/>
        <v>145530</v>
      </c>
      <c r="CO65" s="319">
        <f t="shared" si="255"/>
        <v>0</v>
      </c>
      <c r="CP65" s="319">
        <v>145530</v>
      </c>
      <c r="CQ65" s="319">
        <v>0</v>
      </c>
      <c r="CR65" s="29">
        <v>0</v>
      </c>
      <c r="CS65" s="36">
        <f t="shared" si="256"/>
        <v>145530</v>
      </c>
      <c r="CT65" s="31">
        <f t="shared" si="257"/>
        <v>0</v>
      </c>
      <c r="CU65" s="37">
        <v>145530</v>
      </c>
      <c r="CV65" s="319">
        <v>0</v>
      </c>
      <c r="CW65" s="38">
        <v>0</v>
      </c>
      <c r="CX65" s="36">
        <f t="shared" si="258"/>
        <v>145530</v>
      </c>
      <c r="CY65" s="36">
        <f t="shared" si="259"/>
        <v>0</v>
      </c>
      <c r="CZ65" s="31"/>
      <c r="DA65" s="31"/>
      <c r="DB65" s="31"/>
      <c r="DC65" s="12">
        <f t="shared" si="202"/>
        <v>14553</v>
      </c>
      <c r="DD65" s="12">
        <v>0</v>
      </c>
      <c r="DE65" s="13">
        <f t="shared" si="203"/>
        <v>14553</v>
      </c>
      <c r="DF65" s="14">
        <f t="shared" si="169"/>
        <v>14553</v>
      </c>
      <c r="DG65" s="13">
        <f t="shared" si="170"/>
        <v>160083</v>
      </c>
      <c r="DH65" s="39">
        <f t="shared" si="171"/>
        <v>1.1383788119475557E-2</v>
      </c>
      <c r="DI65" s="16">
        <f t="shared" si="172"/>
        <v>145530</v>
      </c>
      <c r="DJ65" s="132">
        <f t="shared" si="204"/>
        <v>160083</v>
      </c>
      <c r="DK65" s="17">
        <f t="shared" si="205"/>
        <v>14553</v>
      </c>
      <c r="DL65" s="17">
        <f t="shared" si="173"/>
        <v>0</v>
      </c>
      <c r="DM65" s="16">
        <f t="shared" si="206"/>
        <v>14553</v>
      </c>
      <c r="DN65" s="16">
        <f t="shared" si="174"/>
        <v>0</v>
      </c>
      <c r="DO65" s="16">
        <f t="shared" si="207"/>
        <v>160083</v>
      </c>
      <c r="DP65" s="16">
        <f t="shared" si="175"/>
        <v>0</v>
      </c>
      <c r="DQ65" s="9">
        <v>160083</v>
      </c>
      <c r="DR65" s="18" t="s">
        <v>238</v>
      </c>
      <c r="DS65" s="18" t="s">
        <v>238</v>
      </c>
      <c r="DT65" s="324">
        <f t="shared" si="208"/>
        <v>160083</v>
      </c>
      <c r="DU65" s="321">
        <f t="shared" si="209"/>
        <v>160083</v>
      </c>
      <c r="DV65" s="19">
        <f t="shared" si="210"/>
        <v>0</v>
      </c>
      <c r="DW65" s="9">
        <v>160083</v>
      </c>
      <c r="DX65" s="18"/>
      <c r="DY65" s="18"/>
      <c r="DZ65" s="324">
        <f t="shared" si="211"/>
        <v>160083</v>
      </c>
      <c r="EA65" s="321">
        <f t="shared" si="212"/>
        <v>160083</v>
      </c>
      <c r="EB65" s="179">
        <f t="shared" si="176"/>
        <v>0</v>
      </c>
      <c r="EC65" s="9">
        <v>160083</v>
      </c>
      <c r="ED65" s="18" t="s">
        <v>238</v>
      </c>
      <c r="EE65" s="18" t="s">
        <v>238</v>
      </c>
      <c r="EF65" s="324">
        <f t="shared" si="213"/>
        <v>160083</v>
      </c>
      <c r="EG65" s="321">
        <f t="shared" si="214"/>
        <v>160083</v>
      </c>
      <c r="EH65" s="179">
        <f t="shared" si="177"/>
        <v>0</v>
      </c>
      <c r="EI65" s="9">
        <v>160083</v>
      </c>
      <c r="EJ65" s="18" t="s">
        <v>238</v>
      </c>
      <c r="EK65" s="18" t="s">
        <v>238</v>
      </c>
      <c r="EL65" s="324">
        <f t="shared" si="215"/>
        <v>160083</v>
      </c>
      <c r="EM65" s="321">
        <f t="shared" si="216"/>
        <v>160083</v>
      </c>
      <c r="EN65" s="179">
        <f t="shared" si="178"/>
        <v>0</v>
      </c>
      <c r="EO65" s="9">
        <v>160083</v>
      </c>
      <c r="EP65" s="18" t="s">
        <v>238</v>
      </c>
      <c r="EQ65" s="18" t="s">
        <v>238</v>
      </c>
      <c r="ER65" s="324">
        <f t="shared" si="217"/>
        <v>160083</v>
      </c>
      <c r="ES65" s="321">
        <f t="shared" si="218"/>
        <v>160083</v>
      </c>
      <c r="ET65" s="179">
        <f t="shared" si="179"/>
        <v>0</v>
      </c>
      <c r="EU65" s="9">
        <v>160083</v>
      </c>
      <c r="EV65" s="18" t="s">
        <v>238</v>
      </c>
      <c r="EW65" s="18" t="s">
        <v>238</v>
      </c>
      <c r="EX65" s="324">
        <f t="shared" si="219"/>
        <v>160083</v>
      </c>
      <c r="EY65" s="321">
        <f t="shared" si="220"/>
        <v>160083</v>
      </c>
      <c r="EZ65" s="179">
        <f t="shared" si="180"/>
        <v>0</v>
      </c>
      <c r="FA65" s="9">
        <v>160083</v>
      </c>
      <c r="FB65" s="18" t="s">
        <v>238</v>
      </c>
      <c r="FC65" s="18" t="s">
        <v>238</v>
      </c>
      <c r="FD65" s="101">
        <f t="shared" si="221"/>
        <v>160083</v>
      </c>
      <c r="FE65" s="218">
        <f t="shared" si="222"/>
        <v>160083</v>
      </c>
      <c r="FF65" s="135">
        <f t="shared" si="181"/>
        <v>0</v>
      </c>
      <c r="FG65" s="9">
        <v>160083</v>
      </c>
      <c r="FH65" s="18" t="s">
        <v>238</v>
      </c>
      <c r="FI65" s="18" t="s">
        <v>238</v>
      </c>
      <c r="FJ65" s="324">
        <f t="shared" si="223"/>
        <v>160083</v>
      </c>
      <c r="FK65" s="321">
        <f t="shared" si="224"/>
        <v>160083</v>
      </c>
      <c r="FL65" s="179">
        <f t="shared" si="182"/>
        <v>0</v>
      </c>
      <c r="FM65" s="9">
        <v>160083</v>
      </c>
      <c r="FN65" s="18" t="s">
        <v>238</v>
      </c>
      <c r="FO65" s="18" t="s">
        <v>238</v>
      </c>
      <c r="FP65" s="324">
        <f t="shared" si="225"/>
        <v>160083</v>
      </c>
      <c r="FQ65" s="321">
        <f t="shared" si="226"/>
        <v>160083</v>
      </c>
      <c r="FR65" s="179">
        <f t="shared" si="183"/>
        <v>0</v>
      </c>
      <c r="FS65" s="9">
        <v>160083</v>
      </c>
      <c r="FT65" s="18" t="s">
        <v>238</v>
      </c>
      <c r="FU65" s="18" t="s">
        <v>238</v>
      </c>
      <c r="FV65" s="324">
        <f t="shared" si="227"/>
        <v>160083</v>
      </c>
      <c r="FW65" s="321">
        <f t="shared" si="228"/>
        <v>160083</v>
      </c>
      <c r="FX65" s="179">
        <f t="shared" si="184"/>
        <v>0</v>
      </c>
      <c r="FY65" s="9">
        <v>160083</v>
      </c>
      <c r="FZ65" s="18" t="s">
        <v>238</v>
      </c>
      <c r="GA65" s="18" t="s">
        <v>238</v>
      </c>
      <c r="GB65" s="324">
        <f t="shared" si="229"/>
        <v>160083</v>
      </c>
      <c r="GC65" s="321">
        <f t="shared" si="230"/>
        <v>160083</v>
      </c>
      <c r="GD65" s="179">
        <f t="shared" si="185"/>
        <v>0</v>
      </c>
      <c r="GE65" s="9">
        <v>160083</v>
      </c>
      <c r="GF65" s="18" t="s">
        <v>238</v>
      </c>
      <c r="GG65" s="18" t="s">
        <v>238</v>
      </c>
      <c r="GH65" s="324">
        <f t="shared" si="231"/>
        <v>160083</v>
      </c>
      <c r="GI65" s="321">
        <f t="shared" si="232"/>
        <v>160083</v>
      </c>
      <c r="GJ65" s="179">
        <f t="shared" si="186"/>
        <v>0</v>
      </c>
      <c r="GK65" s="9">
        <v>160083</v>
      </c>
      <c r="GL65" s="18" t="s">
        <v>238</v>
      </c>
      <c r="GM65" s="18" t="s">
        <v>238</v>
      </c>
      <c r="GN65" s="324">
        <f t="shared" si="233"/>
        <v>160083</v>
      </c>
      <c r="GO65" s="321">
        <f t="shared" si="234"/>
        <v>160083</v>
      </c>
      <c r="GP65" s="179">
        <f t="shared" si="187"/>
        <v>0</v>
      </c>
      <c r="GQ65" s="9">
        <v>160083</v>
      </c>
      <c r="GR65" s="18" t="s">
        <v>238</v>
      </c>
      <c r="GS65" s="18" t="s">
        <v>238</v>
      </c>
      <c r="GT65" s="324">
        <f t="shared" si="235"/>
        <v>160083</v>
      </c>
      <c r="GU65" s="321">
        <f t="shared" si="236"/>
        <v>160083</v>
      </c>
      <c r="GV65" s="179">
        <f t="shared" si="188"/>
        <v>0</v>
      </c>
      <c r="GW65" s="9">
        <v>168087</v>
      </c>
      <c r="GX65" s="18" t="s">
        <v>238</v>
      </c>
      <c r="GY65" s="18" t="s">
        <v>238</v>
      </c>
      <c r="GZ65" s="324">
        <f t="shared" si="237"/>
        <v>168087</v>
      </c>
      <c r="HA65" s="321">
        <f t="shared" si="238"/>
        <v>168087</v>
      </c>
      <c r="HB65" s="179">
        <f t="shared" si="189"/>
        <v>8004</v>
      </c>
      <c r="HC65" s="102">
        <f t="shared" si="190"/>
        <v>1.1383788119475557E-2</v>
      </c>
      <c r="HD65" s="285">
        <f t="shared" si="239"/>
        <v>0</v>
      </c>
      <c r="HE65" s="12">
        <f t="shared" si="240"/>
        <v>8004.1500000000005</v>
      </c>
      <c r="HF65" s="12">
        <f t="shared" si="191"/>
        <v>0.1500000000005457</v>
      </c>
      <c r="HG65" s="12">
        <f t="shared" si="241"/>
        <v>8004</v>
      </c>
      <c r="HH65" s="14">
        <f t="shared" si="242"/>
        <v>8004</v>
      </c>
      <c r="HI65" s="13">
        <f t="shared" si="243"/>
        <v>168087</v>
      </c>
      <c r="HJ65" s="102">
        <f t="shared" si="244"/>
        <v>1.1952966858681359E-2</v>
      </c>
      <c r="HK65" s="16">
        <f t="shared" si="245"/>
        <v>160083</v>
      </c>
      <c r="HL65" s="103">
        <f t="shared" si="246"/>
        <v>168087.15</v>
      </c>
      <c r="HM65" s="103">
        <f t="shared" si="247"/>
        <v>8004.1499999999942</v>
      </c>
      <c r="HN65" s="17">
        <f t="shared" si="248"/>
        <v>0.1500000000005457</v>
      </c>
      <c r="HO65" s="56">
        <f t="shared" si="249"/>
        <v>8003.9999999999936</v>
      </c>
      <c r="HP65" s="16">
        <f t="shared" si="250"/>
        <v>0</v>
      </c>
      <c r="HQ65" s="16">
        <f t="shared" si="251"/>
        <v>168087</v>
      </c>
      <c r="HR65" s="16">
        <f t="shared" si="252"/>
        <v>0</v>
      </c>
    </row>
    <row r="66" spans="1:226" ht="10.8" thickBot="1" x14ac:dyDescent="0.35">
      <c r="A66" s="145">
        <v>12</v>
      </c>
      <c r="B66" s="280"/>
      <c r="C66" s="312" t="s">
        <v>343</v>
      </c>
      <c r="D66" s="236" t="s">
        <v>209</v>
      </c>
      <c r="E66" s="27"/>
      <c r="F66" s="9"/>
      <c r="G66" s="9"/>
      <c r="H66" s="324"/>
      <c r="I66" s="324">
        <v>700</v>
      </c>
      <c r="J66" s="324"/>
      <c r="K66" s="324"/>
      <c r="L66" s="324">
        <v>700</v>
      </c>
      <c r="M66" s="23">
        <v>700</v>
      </c>
      <c r="N66" s="23">
        <v>700</v>
      </c>
      <c r="O66" s="298">
        <v>700</v>
      </c>
      <c r="P66" s="298">
        <v>700</v>
      </c>
      <c r="Q66" s="298">
        <v>700</v>
      </c>
      <c r="R66" s="298">
        <v>700</v>
      </c>
      <c r="S66" s="298">
        <v>700</v>
      </c>
      <c r="T66" s="298">
        <v>700</v>
      </c>
      <c r="U66" s="298">
        <f>T66*5%</f>
        <v>35</v>
      </c>
      <c r="V66" s="298">
        <f>T66+U66</f>
        <v>735</v>
      </c>
      <c r="W66" s="298">
        <v>735</v>
      </c>
      <c r="X66" s="298">
        <v>735</v>
      </c>
      <c r="Y66" s="298">
        <v>735</v>
      </c>
      <c r="Z66" s="298">
        <v>735</v>
      </c>
      <c r="AA66" s="298">
        <v>735</v>
      </c>
      <c r="AB66" s="298">
        <v>735</v>
      </c>
      <c r="AC66" s="9">
        <v>0</v>
      </c>
      <c r="AD66" s="9">
        <v>0</v>
      </c>
      <c r="AE66" s="298">
        <f>AD66+AC66+AB66</f>
        <v>735</v>
      </c>
      <c r="AF66" s="298">
        <v>735</v>
      </c>
      <c r="AG66" s="9">
        <v>0</v>
      </c>
      <c r="AH66" s="9">
        <v>0</v>
      </c>
      <c r="AI66" s="298">
        <f>AH66+AG66+AF66</f>
        <v>735</v>
      </c>
      <c r="AJ66" s="298">
        <v>735</v>
      </c>
      <c r="AK66" s="9">
        <v>0</v>
      </c>
      <c r="AL66" s="9">
        <v>0</v>
      </c>
      <c r="AM66" s="298">
        <f>AL66+AK66+AJ66</f>
        <v>735</v>
      </c>
      <c r="AN66" s="298">
        <v>735</v>
      </c>
      <c r="AO66" s="9">
        <v>0</v>
      </c>
      <c r="AP66" s="9">
        <v>0</v>
      </c>
      <c r="AQ66" s="298">
        <f>AP66+AO66+AN66</f>
        <v>735</v>
      </c>
      <c r="AR66" s="28">
        <v>735</v>
      </c>
      <c r="AS66" s="9">
        <v>0</v>
      </c>
      <c r="AT66" s="9">
        <v>0</v>
      </c>
      <c r="AU66" s="298">
        <f t="shared" si="157"/>
        <v>735</v>
      </c>
      <c r="AV66" s="298">
        <v>735</v>
      </c>
      <c r="AW66" s="9">
        <v>0</v>
      </c>
      <c r="AX66" s="9">
        <v>0</v>
      </c>
      <c r="AY66" s="7">
        <f t="shared" si="158"/>
        <v>735</v>
      </c>
      <c r="AZ66" s="8">
        <f t="shared" si="196"/>
        <v>36.75</v>
      </c>
      <c r="BA66" s="8">
        <v>0.75</v>
      </c>
      <c r="BB66" s="8">
        <f t="shared" si="197"/>
        <v>36</v>
      </c>
      <c r="BC66" s="8">
        <f t="shared" si="198"/>
        <v>771</v>
      </c>
      <c r="BD66" s="8"/>
      <c r="BE66" s="8">
        <f t="shared" si="199"/>
        <v>771</v>
      </c>
      <c r="BF66" s="10">
        <f t="shared" si="200"/>
        <v>36</v>
      </c>
      <c r="BG66" s="11">
        <f t="shared" si="201"/>
        <v>0</v>
      </c>
      <c r="BH66" s="11">
        <v>771</v>
      </c>
      <c r="BI66" s="11"/>
      <c r="BJ66" s="11"/>
      <c r="BK66" s="319">
        <f t="shared" si="159"/>
        <v>771</v>
      </c>
      <c r="BL66" s="319">
        <v>771</v>
      </c>
      <c r="BM66" s="319">
        <v>0</v>
      </c>
      <c r="BN66" s="319">
        <v>0</v>
      </c>
      <c r="BO66" s="319">
        <f t="shared" si="260"/>
        <v>771</v>
      </c>
      <c r="BP66" s="319">
        <f t="shared" si="253"/>
        <v>0</v>
      </c>
      <c r="BQ66" s="319">
        <v>771</v>
      </c>
      <c r="BR66" s="319">
        <v>0</v>
      </c>
      <c r="BS66" s="319">
        <v>0</v>
      </c>
      <c r="BT66" s="319">
        <f t="shared" si="161"/>
        <v>771</v>
      </c>
      <c r="BU66" s="319">
        <f t="shared" si="162"/>
        <v>0</v>
      </c>
      <c r="BV66" s="319">
        <v>771</v>
      </c>
      <c r="BW66" s="319">
        <v>0</v>
      </c>
      <c r="BX66" s="319">
        <v>0</v>
      </c>
      <c r="BY66" s="319">
        <f t="shared" si="163"/>
        <v>771</v>
      </c>
      <c r="BZ66" s="319">
        <f t="shared" si="164"/>
        <v>0</v>
      </c>
      <c r="CA66" s="319">
        <v>771</v>
      </c>
      <c r="CB66" s="319">
        <v>0</v>
      </c>
      <c r="CC66" s="319">
        <v>0</v>
      </c>
      <c r="CD66" s="319">
        <f t="shared" si="165"/>
        <v>771</v>
      </c>
      <c r="CE66" s="319">
        <f t="shared" si="166"/>
        <v>0</v>
      </c>
      <c r="CF66" s="319">
        <v>771</v>
      </c>
      <c r="CG66" s="319">
        <v>0</v>
      </c>
      <c r="CH66" s="319">
        <v>0</v>
      </c>
      <c r="CI66" s="319">
        <f t="shared" si="167"/>
        <v>771</v>
      </c>
      <c r="CJ66" s="319">
        <f t="shared" si="168"/>
        <v>0</v>
      </c>
      <c r="CK66" s="319">
        <v>771</v>
      </c>
      <c r="CL66" s="319">
        <v>0</v>
      </c>
      <c r="CM66" s="319">
        <v>0</v>
      </c>
      <c r="CN66" s="319">
        <f t="shared" si="254"/>
        <v>771</v>
      </c>
      <c r="CO66" s="319">
        <f t="shared" si="255"/>
        <v>0</v>
      </c>
      <c r="CP66" s="319">
        <v>771</v>
      </c>
      <c r="CQ66" s="319">
        <v>0</v>
      </c>
      <c r="CR66" s="29">
        <v>0</v>
      </c>
      <c r="CS66" s="40">
        <f t="shared" si="256"/>
        <v>771</v>
      </c>
      <c r="CT66" s="31">
        <f t="shared" si="257"/>
        <v>0</v>
      </c>
      <c r="CU66" s="41">
        <v>771</v>
      </c>
      <c r="CV66" s="42">
        <v>0</v>
      </c>
      <c r="CW66" s="43">
        <v>0</v>
      </c>
      <c r="CX66" s="40">
        <f t="shared" si="258"/>
        <v>771</v>
      </c>
      <c r="CY66" s="40">
        <f t="shared" si="259"/>
        <v>0</v>
      </c>
      <c r="CZ66" s="31"/>
      <c r="DA66" s="31"/>
      <c r="DB66" s="31"/>
      <c r="DC66" s="12">
        <f t="shared" si="202"/>
        <v>77.100000000000009</v>
      </c>
      <c r="DD66" s="12">
        <v>0.1</v>
      </c>
      <c r="DE66" s="13">
        <f t="shared" si="203"/>
        <v>77.000000000000014</v>
      </c>
      <c r="DF66" s="14">
        <f t="shared" si="169"/>
        <v>77.000000000000014</v>
      </c>
      <c r="DG66" s="13">
        <f t="shared" si="170"/>
        <v>848</v>
      </c>
      <c r="DH66" s="44">
        <f t="shared" si="171"/>
        <v>6.0309906136986559E-5</v>
      </c>
      <c r="DI66" s="16">
        <f t="shared" si="172"/>
        <v>771</v>
      </c>
      <c r="DJ66" s="132">
        <f t="shared" si="204"/>
        <v>848.1</v>
      </c>
      <c r="DK66" s="17">
        <f t="shared" si="205"/>
        <v>77.100000000000023</v>
      </c>
      <c r="DL66" s="17">
        <f t="shared" si="173"/>
        <v>0.1</v>
      </c>
      <c r="DM66" s="16">
        <f t="shared" si="206"/>
        <v>77.000000000000028</v>
      </c>
      <c r="DN66" s="16">
        <f t="shared" si="174"/>
        <v>0</v>
      </c>
      <c r="DO66" s="16">
        <f t="shared" si="207"/>
        <v>848</v>
      </c>
      <c r="DP66" s="16">
        <f t="shared" si="175"/>
        <v>0</v>
      </c>
      <c r="DQ66" s="9">
        <v>848</v>
      </c>
      <c r="DR66" s="18" t="s">
        <v>238</v>
      </c>
      <c r="DS66" s="18" t="s">
        <v>238</v>
      </c>
      <c r="DT66" s="324">
        <f t="shared" si="208"/>
        <v>848</v>
      </c>
      <c r="DU66" s="321">
        <f t="shared" si="209"/>
        <v>848</v>
      </c>
      <c r="DV66" s="19">
        <f t="shared" si="210"/>
        <v>0</v>
      </c>
      <c r="DW66" s="9">
        <v>848</v>
      </c>
      <c r="DX66" s="18"/>
      <c r="DY66" s="18"/>
      <c r="DZ66" s="324">
        <f t="shared" si="211"/>
        <v>848</v>
      </c>
      <c r="EA66" s="321">
        <f t="shared" si="212"/>
        <v>848</v>
      </c>
      <c r="EB66" s="179">
        <f t="shared" si="176"/>
        <v>0</v>
      </c>
      <c r="EC66" s="9">
        <v>848</v>
      </c>
      <c r="ED66" s="18" t="s">
        <v>238</v>
      </c>
      <c r="EE66" s="18" t="s">
        <v>238</v>
      </c>
      <c r="EF66" s="324">
        <f t="shared" si="213"/>
        <v>848</v>
      </c>
      <c r="EG66" s="321">
        <f t="shared" si="214"/>
        <v>848</v>
      </c>
      <c r="EH66" s="179">
        <f t="shared" si="177"/>
        <v>0</v>
      </c>
      <c r="EI66" s="9">
        <v>848</v>
      </c>
      <c r="EJ66" s="18" t="s">
        <v>238</v>
      </c>
      <c r="EK66" s="18" t="s">
        <v>238</v>
      </c>
      <c r="EL66" s="324">
        <f t="shared" si="215"/>
        <v>848</v>
      </c>
      <c r="EM66" s="321">
        <f t="shared" si="216"/>
        <v>848</v>
      </c>
      <c r="EN66" s="179">
        <f t="shared" si="178"/>
        <v>0</v>
      </c>
      <c r="EO66" s="9">
        <v>848</v>
      </c>
      <c r="EP66" s="18" t="s">
        <v>238</v>
      </c>
      <c r="EQ66" s="18" t="s">
        <v>238</v>
      </c>
      <c r="ER66" s="324">
        <f t="shared" si="217"/>
        <v>848</v>
      </c>
      <c r="ES66" s="321">
        <f t="shared" si="218"/>
        <v>848</v>
      </c>
      <c r="ET66" s="179">
        <f t="shared" si="179"/>
        <v>0</v>
      </c>
      <c r="EU66" s="9">
        <v>848</v>
      </c>
      <c r="EV66" s="18" t="s">
        <v>238</v>
      </c>
      <c r="EW66" s="18" t="s">
        <v>238</v>
      </c>
      <c r="EX66" s="324">
        <f t="shared" si="219"/>
        <v>848</v>
      </c>
      <c r="EY66" s="321">
        <f t="shared" si="220"/>
        <v>848</v>
      </c>
      <c r="EZ66" s="179">
        <f t="shared" si="180"/>
        <v>0</v>
      </c>
      <c r="FA66" s="9">
        <v>848</v>
      </c>
      <c r="FB66" s="18" t="s">
        <v>238</v>
      </c>
      <c r="FC66" s="18" t="s">
        <v>238</v>
      </c>
      <c r="FD66" s="101">
        <f t="shared" si="221"/>
        <v>848</v>
      </c>
      <c r="FE66" s="138">
        <f t="shared" si="222"/>
        <v>848</v>
      </c>
      <c r="FF66" s="135">
        <f t="shared" si="181"/>
        <v>0</v>
      </c>
      <c r="FG66" s="9">
        <v>848</v>
      </c>
      <c r="FH66" s="18" t="s">
        <v>238</v>
      </c>
      <c r="FI66" s="18" t="s">
        <v>238</v>
      </c>
      <c r="FJ66" s="324">
        <f t="shared" si="223"/>
        <v>848</v>
      </c>
      <c r="FK66" s="321">
        <f t="shared" si="224"/>
        <v>848</v>
      </c>
      <c r="FL66" s="179">
        <f t="shared" si="182"/>
        <v>0</v>
      </c>
      <c r="FM66" s="9">
        <v>848</v>
      </c>
      <c r="FN66" s="18" t="s">
        <v>238</v>
      </c>
      <c r="FO66" s="18" t="s">
        <v>238</v>
      </c>
      <c r="FP66" s="324">
        <f t="shared" si="225"/>
        <v>848</v>
      </c>
      <c r="FQ66" s="321">
        <f t="shared" si="226"/>
        <v>848</v>
      </c>
      <c r="FR66" s="179">
        <f t="shared" si="183"/>
        <v>0</v>
      </c>
      <c r="FS66" s="9">
        <v>848</v>
      </c>
      <c r="FT66" s="18" t="s">
        <v>238</v>
      </c>
      <c r="FU66" s="18" t="s">
        <v>238</v>
      </c>
      <c r="FV66" s="324">
        <f t="shared" si="227"/>
        <v>848</v>
      </c>
      <c r="FW66" s="321">
        <f t="shared" si="228"/>
        <v>848</v>
      </c>
      <c r="FX66" s="179">
        <f t="shared" si="184"/>
        <v>0</v>
      </c>
      <c r="FY66" s="9">
        <v>848</v>
      </c>
      <c r="FZ66" s="18" t="s">
        <v>238</v>
      </c>
      <c r="GA66" s="18" t="s">
        <v>238</v>
      </c>
      <c r="GB66" s="324">
        <f t="shared" si="229"/>
        <v>848</v>
      </c>
      <c r="GC66" s="321">
        <f t="shared" si="230"/>
        <v>848</v>
      </c>
      <c r="GD66" s="179">
        <f t="shared" si="185"/>
        <v>0</v>
      </c>
      <c r="GE66" s="9">
        <v>848</v>
      </c>
      <c r="GF66" s="18" t="s">
        <v>238</v>
      </c>
      <c r="GG66" s="18" t="s">
        <v>238</v>
      </c>
      <c r="GH66" s="324">
        <f t="shared" si="231"/>
        <v>848</v>
      </c>
      <c r="GI66" s="321">
        <f t="shared" si="232"/>
        <v>848</v>
      </c>
      <c r="GJ66" s="179">
        <f t="shared" si="186"/>
        <v>0</v>
      </c>
      <c r="GK66" s="9">
        <v>848</v>
      </c>
      <c r="GL66" s="18" t="s">
        <v>238</v>
      </c>
      <c r="GM66" s="18" t="s">
        <v>238</v>
      </c>
      <c r="GN66" s="324">
        <f t="shared" si="233"/>
        <v>848</v>
      </c>
      <c r="GO66" s="321">
        <f t="shared" si="234"/>
        <v>848</v>
      </c>
      <c r="GP66" s="179">
        <f t="shared" si="187"/>
        <v>0</v>
      </c>
      <c r="GQ66" s="9">
        <v>848</v>
      </c>
      <c r="GR66" s="18" t="s">
        <v>238</v>
      </c>
      <c r="GS66" s="18" t="s">
        <v>238</v>
      </c>
      <c r="GT66" s="324">
        <f t="shared" si="235"/>
        <v>848</v>
      </c>
      <c r="GU66" s="321">
        <f t="shared" si="236"/>
        <v>848</v>
      </c>
      <c r="GV66" s="179">
        <f t="shared" si="188"/>
        <v>0</v>
      </c>
      <c r="GW66" s="9">
        <v>890</v>
      </c>
      <c r="GX66" s="18" t="s">
        <v>238</v>
      </c>
      <c r="GY66" s="18" t="s">
        <v>238</v>
      </c>
      <c r="GZ66" s="324">
        <f t="shared" si="237"/>
        <v>890</v>
      </c>
      <c r="HA66" s="321">
        <f t="shared" si="238"/>
        <v>890</v>
      </c>
      <c r="HB66" s="179">
        <f t="shared" si="189"/>
        <v>42</v>
      </c>
      <c r="HC66" s="102">
        <f t="shared" si="190"/>
        <v>6.0302794958335812E-5</v>
      </c>
      <c r="HD66" s="285">
        <f t="shared" si="239"/>
        <v>-8.5265128291212022E-14</v>
      </c>
      <c r="HE66" s="12">
        <f t="shared" si="240"/>
        <v>42.400000000000006</v>
      </c>
      <c r="HF66" s="12">
        <f t="shared" si="191"/>
        <v>0.40000000000000568</v>
      </c>
      <c r="HG66" s="12">
        <f t="shared" si="241"/>
        <v>42</v>
      </c>
      <c r="HH66" s="14">
        <f t="shared" si="242"/>
        <v>42</v>
      </c>
      <c r="HI66" s="13">
        <f t="shared" si="243"/>
        <v>890</v>
      </c>
      <c r="HJ66" s="102">
        <f t="shared" si="244"/>
        <v>6.3289489991649614E-5</v>
      </c>
      <c r="HK66" s="16">
        <f t="shared" si="245"/>
        <v>848</v>
      </c>
      <c r="HL66" s="103">
        <f t="shared" si="246"/>
        <v>890.40000000000009</v>
      </c>
      <c r="HM66" s="103">
        <f t="shared" si="247"/>
        <v>42.400000000000091</v>
      </c>
      <c r="HN66" s="17">
        <f t="shared" si="248"/>
        <v>0.40000000000000568</v>
      </c>
      <c r="HO66" s="56">
        <f t="shared" si="249"/>
        <v>42.000000000000085</v>
      </c>
      <c r="HP66" s="16">
        <f t="shared" si="250"/>
        <v>8.5265128291212022E-14</v>
      </c>
      <c r="HQ66" s="16">
        <f t="shared" si="251"/>
        <v>890.00000000000011</v>
      </c>
      <c r="HR66" s="16">
        <f t="shared" si="252"/>
        <v>0</v>
      </c>
    </row>
    <row r="67" spans="1:226" x14ac:dyDescent="0.3">
      <c r="A67" s="145">
        <v>13</v>
      </c>
      <c r="B67" s="280" t="s">
        <v>195</v>
      </c>
      <c r="C67" s="312" t="s">
        <v>330</v>
      </c>
      <c r="D67" s="236" t="s">
        <v>196</v>
      </c>
      <c r="E67" s="27"/>
      <c r="F67" s="9"/>
      <c r="G67" s="9"/>
      <c r="H67" s="324"/>
      <c r="I67" s="324">
        <v>1482618</v>
      </c>
      <c r="J67" s="324"/>
      <c r="K67" s="324"/>
      <c r="L67" s="324">
        <v>1482618</v>
      </c>
      <c r="M67" s="23">
        <v>1482618</v>
      </c>
      <c r="N67" s="23">
        <v>1482618</v>
      </c>
      <c r="O67" s="298">
        <v>1482618</v>
      </c>
      <c r="P67" s="298">
        <v>1482618</v>
      </c>
      <c r="Q67" s="298">
        <v>1482618</v>
      </c>
      <c r="R67" s="298">
        <v>1482618</v>
      </c>
      <c r="S67" s="298">
        <v>1482618</v>
      </c>
      <c r="T67" s="298">
        <v>1482618</v>
      </c>
      <c r="U67" s="298">
        <f t="shared" si="192"/>
        <v>74130.900000000009</v>
      </c>
      <c r="V67" s="298">
        <f t="shared" si="193"/>
        <v>1556748.9</v>
      </c>
      <c r="W67" s="298">
        <v>1556748</v>
      </c>
      <c r="X67" s="298">
        <v>1556748</v>
      </c>
      <c r="Y67" s="298">
        <v>1556748</v>
      </c>
      <c r="Z67" s="298">
        <v>1556748</v>
      </c>
      <c r="AA67" s="298">
        <v>1556748</v>
      </c>
      <c r="AB67" s="298">
        <v>1556748</v>
      </c>
      <c r="AC67" s="9">
        <v>0</v>
      </c>
      <c r="AD67" s="9">
        <v>0</v>
      </c>
      <c r="AE67" s="298">
        <f t="shared" si="194"/>
        <v>1556748</v>
      </c>
      <c r="AF67" s="298">
        <v>1556748</v>
      </c>
      <c r="AG67" s="9">
        <v>0</v>
      </c>
      <c r="AH67" s="9">
        <v>0</v>
      </c>
      <c r="AI67" s="298">
        <f t="shared" si="195"/>
        <v>1556748</v>
      </c>
      <c r="AJ67" s="298">
        <v>1556748</v>
      </c>
      <c r="AK67" s="9">
        <v>0</v>
      </c>
      <c r="AL67" s="9">
        <v>0</v>
      </c>
      <c r="AM67" s="298">
        <f t="shared" si="155"/>
        <v>1556748</v>
      </c>
      <c r="AN67" s="298">
        <v>1556748</v>
      </c>
      <c r="AO67" s="9">
        <v>0</v>
      </c>
      <c r="AP67" s="9">
        <v>0</v>
      </c>
      <c r="AQ67" s="298">
        <f t="shared" si="156"/>
        <v>1556748</v>
      </c>
      <c r="AR67" s="28">
        <v>1556748</v>
      </c>
      <c r="AS67" s="9">
        <v>0</v>
      </c>
      <c r="AT67" s="9">
        <v>0</v>
      </c>
      <c r="AU67" s="298">
        <f t="shared" ref="AU67:AU82" si="261">AT67+AS67+AR67</f>
        <v>1556748</v>
      </c>
      <c r="AV67" s="298">
        <v>1556748</v>
      </c>
      <c r="AW67" s="9">
        <v>0</v>
      </c>
      <c r="AX67" s="9">
        <v>0</v>
      </c>
      <c r="AY67" s="7">
        <f t="shared" si="158"/>
        <v>1556748</v>
      </c>
      <c r="AZ67" s="8">
        <f t="shared" si="196"/>
        <v>77837.400000000009</v>
      </c>
      <c r="BA67" s="8">
        <v>0.4</v>
      </c>
      <c r="BB67" s="8">
        <f t="shared" si="197"/>
        <v>77837.000000000015</v>
      </c>
      <c r="BC67" s="8">
        <f t="shared" si="198"/>
        <v>1634585</v>
      </c>
      <c r="BD67" s="8"/>
      <c r="BE67" s="8">
        <f t="shared" si="199"/>
        <v>1634585</v>
      </c>
      <c r="BF67" s="10">
        <f t="shared" si="200"/>
        <v>77837</v>
      </c>
      <c r="BG67" s="11">
        <f t="shared" si="201"/>
        <v>0</v>
      </c>
      <c r="BH67" s="11">
        <v>1634585</v>
      </c>
      <c r="BI67" s="11"/>
      <c r="BJ67" s="11"/>
      <c r="BK67" s="319">
        <f t="shared" si="159"/>
        <v>1634585</v>
      </c>
      <c r="BL67" s="319">
        <v>1634585</v>
      </c>
      <c r="BM67" s="319">
        <v>0</v>
      </c>
      <c r="BN67" s="319">
        <v>0</v>
      </c>
      <c r="BO67" s="319">
        <f t="shared" si="260"/>
        <v>1634585</v>
      </c>
      <c r="BP67" s="319">
        <f t="shared" si="253"/>
        <v>0</v>
      </c>
      <c r="BQ67" s="319">
        <v>1634585</v>
      </c>
      <c r="BR67" s="319">
        <v>0</v>
      </c>
      <c r="BS67" s="319">
        <v>0</v>
      </c>
      <c r="BT67" s="319">
        <f t="shared" si="161"/>
        <v>1634585</v>
      </c>
      <c r="BU67" s="319">
        <f t="shared" si="162"/>
        <v>0</v>
      </c>
      <c r="BV67" s="319">
        <v>1634585</v>
      </c>
      <c r="BW67" s="319">
        <v>0</v>
      </c>
      <c r="BX67" s="319">
        <v>0</v>
      </c>
      <c r="BY67" s="319">
        <f t="shared" si="163"/>
        <v>1634585</v>
      </c>
      <c r="BZ67" s="319">
        <f t="shared" si="164"/>
        <v>0</v>
      </c>
      <c r="CA67" s="319">
        <v>1634585</v>
      </c>
      <c r="CB67" s="319">
        <v>0</v>
      </c>
      <c r="CC67" s="319">
        <v>0</v>
      </c>
      <c r="CD67" s="319">
        <f t="shared" si="165"/>
        <v>1634585</v>
      </c>
      <c r="CE67" s="319">
        <f t="shared" si="166"/>
        <v>0</v>
      </c>
      <c r="CF67" s="319">
        <v>1634585</v>
      </c>
      <c r="CG67" s="319">
        <v>0</v>
      </c>
      <c r="CH67" s="319">
        <v>0</v>
      </c>
      <c r="CI67" s="319">
        <f t="shared" si="167"/>
        <v>1634585</v>
      </c>
      <c r="CJ67" s="319">
        <f t="shared" si="168"/>
        <v>0</v>
      </c>
      <c r="CK67" s="319">
        <v>1634585</v>
      </c>
      <c r="CL67" s="319">
        <v>0</v>
      </c>
      <c r="CM67" s="319">
        <v>0</v>
      </c>
      <c r="CN67" s="319">
        <f t="shared" si="254"/>
        <v>1634585</v>
      </c>
      <c r="CO67" s="319">
        <f t="shared" si="255"/>
        <v>0</v>
      </c>
      <c r="CP67" s="319">
        <v>1634585</v>
      </c>
      <c r="CQ67" s="319">
        <v>0</v>
      </c>
      <c r="CR67" s="319">
        <v>0</v>
      </c>
      <c r="CS67" s="320">
        <f t="shared" si="256"/>
        <v>1634585</v>
      </c>
      <c r="CT67" s="319">
        <f t="shared" si="257"/>
        <v>0</v>
      </c>
      <c r="CU67" s="320">
        <v>1634585</v>
      </c>
      <c r="CV67" s="320">
        <v>0</v>
      </c>
      <c r="CW67" s="320">
        <v>0</v>
      </c>
      <c r="CX67" s="320">
        <f t="shared" si="258"/>
        <v>1634585</v>
      </c>
      <c r="CY67" s="320">
        <f t="shared" si="259"/>
        <v>0</v>
      </c>
      <c r="CZ67" s="320"/>
      <c r="DA67" s="320"/>
      <c r="DB67" s="320"/>
      <c r="DC67" s="12">
        <f t="shared" si="202"/>
        <v>163458.5</v>
      </c>
      <c r="DD67" s="12">
        <v>0.5</v>
      </c>
      <c r="DE67" s="13">
        <f t="shared" si="203"/>
        <v>163458</v>
      </c>
      <c r="DF67" s="14">
        <f t="shared" si="169"/>
        <v>163458</v>
      </c>
      <c r="DG67" s="13">
        <f t="shared" si="170"/>
        <v>1798043</v>
      </c>
      <c r="DH67" s="45">
        <f t="shared" si="171"/>
        <v>0.12786208550314679</v>
      </c>
      <c r="DI67" s="16">
        <f t="shared" si="172"/>
        <v>1634585</v>
      </c>
      <c r="DJ67" s="132">
        <f t="shared" si="204"/>
        <v>1798043.5000000002</v>
      </c>
      <c r="DK67" s="17">
        <f t="shared" si="205"/>
        <v>163458.50000000023</v>
      </c>
      <c r="DL67" s="17">
        <f t="shared" si="173"/>
        <v>0.5</v>
      </c>
      <c r="DM67" s="16">
        <f t="shared" si="206"/>
        <v>163458.00000000023</v>
      </c>
      <c r="DN67" s="16">
        <f t="shared" si="174"/>
        <v>2.3283064365386963E-10</v>
      </c>
      <c r="DO67" s="16">
        <f t="shared" si="207"/>
        <v>1798043.0000000002</v>
      </c>
      <c r="DP67" s="16">
        <f t="shared" si="175"/>
        <v>0</v>
      </c>
      <c r="DQ67" s="9">
        <v>1798043</v>
      </c>
      <c r="DR67" s="18" t="s">
        <v>238</v>
      </c>
      <c r="DS67" s="18" t="s">
        <v>238</v>
      </c>
      <c r="DT67" s="324">
        <f t="shared" si="208"/>
        <v>1798043</v>
      </c>
      <c r="DU67" s="321">
        <f t="shared" si="209"/>
        <v>1798043</v>
      </c>
      <c r="DV67" s="19">
        <f t="shared" si="210"/>
        <v>0</v>
      </c>
      <c r="DW67" s="9">
        <v>1798043</v>
      </c>
      <c r="DX67" s="18"/>
      <c r="DY67" s="18"/>
      <c r="DZ67" s="324">
        <f t="shared" si="211"/>
        <v>1798043</v>
      </c>
      <c r="EA67" s="321">
        <f t="shared" si="212"/>
        <v>1798043</v>
      </c>
      <c r="EB67" s="179">
        <f t="shared" si="176"/>
        <v>0</v>
      </c>
      <c r="EC67" s="9">
        <v>1798043</v>
      </c>
      <c r="ED67" s="18" t="s">
        <v>238</v>
      </c>
      <c r="EE67" s="18" t="s">
        <v>238</v>
      </c>
      <c r="EF67" s="324">
        <f t="shared" si="213"/>
        <v>1798043</v>
      </c>
      <c r="EG67" s="321">
        <f t="shared" si="214"/>
        <v>1798043</v>
      </c>
      <c r="EH67" s="179">
        <f t="shared" si="177"/>
        <v>0</v>
      </c>
      <c r="EI67" s="9">
        <v>1798043</v>
      </c>
      <c r="EJ67" s="18" t="s">
        <v>238</v>
      </c>
      <c r="EK67" s="18" t="s">
        <v>238</v>
      </c>
      <c r="EL67" s="324">
        <f t="shared" si="215"/>
        <v>1798043</v>
      </c>
      <c r="EM67" s="321">
        <f t="shared" si="216"/>
        <v>1798043</v>
      </c>
      <c r="EN67" s="179">
        <f t="shared" si="178"/>
        <v>0</v>
      </c>
      <c r="EO67" s="9">
        <v>1798043</v>
      </c>
      <c r="EP67" s="18" t="s">
        <v>238</v>
      </c>
      <c r="EQ67" s="18" t="s">
        <v>238</v>
      </c>
      <c r="ER67" s="324">
        <f t="shared" si="217"/>
        <v>1798043</v>
      </c>
      <c r="ES67" s="321">
        <f t="shared" si="218"/>
        <v>1798043</v>
      </c>
      <c r="ET67" s="179">
        <f t="shared" si="179"/>
        <v>0</v>
      </c>
      <c r="EU67" s="9">
        <v>1798043</v>
      </c>
      <c r="EV67" s="18" t="s">
        <v>238</v>
      </c>
      <c r="EW67" s="18" t="s">
        <v>238</v>
      </c>
      <c r="EX67" s="324">
        <f t="shared" si="219"/>
        <v>1798043</v>
      </c>
      <c r="EY67" s="321">
        <f t="shared" si="220"/>
        <v>1798043</v>
      </c>
      <c r="EZ67" s="179">
        <f t="shared" si="180"/>
        <v>0</v>
      </c>
      <c r="FA67" s="9">
        <v>1798043</v>
      </c>
      <c r="FB67" s="18" t="s">
        <v>238</v>
      </c>
      <c r="FC67" s="18" t="s">
        <v>238</v>
      </c>
      <c r="FD67" s="324">
        <f t="shared" si="221"/>
        <v>1798043</v>
      </c>
      <c r="FE67" s="317">
        <f t="shared" si="222"/>
        <v>1798043</v>
      </c>
      <c r="FF67" s="179">
        <f t="shared" si="181"/>
        <v>0</v>
      </c>
      <c r="FG67" s="9">
        <v>1798043</v>
      </c>
      <c r="FH67" s="18" t="s">
        <v>238</v>
      </c>
      <c r="FI67" s="18" t="s">
        <v>238</v>
      </c>
      <c r="FJ67" s="324">
        <f t="shared" si="223"/>
        <v>1798043</v>
      </c>
      <c r="FK67" s="321">
        <f t="shared" si="224"/>
        <v>1798043</v>
      </c>
      <c r="FL67" s="179">
        <f t="shared" si="182"/>
        <v>0</v>
      </c>
      <c r="FM67" s="9">
        <v>1798043</v>
      </c>
      <c r="FN67" s="18" t="s">
        <v>238</v>
      </c>
      <c r="FO67" s="18" t="s">
        <v>238</v>
      </c>
      <c r="FP67" s="324">
        <f t="shared" si="225"/>
        <v>1798043</v>
      </c>
      <c r="FQ67" s="321">
        <f t="shared" si="226"/>
        <v>1798043</v>
      </c>
      <c r="FR67" s="179">
        <f t="shared" si="183"/>
        <v>0</v>
      </c>
      <c r="FS67" s="9">
        <v>1798043</v>
      </c>
      <c r="FT67" s="18" t="s">
        <v>238</v>
      </c>
      <c r="FU67" s="18" t="s">
        <v>238</v>
      </c>
      <c r="FV67" s="324">
        <f t="shared" si="227"/>
        <v>1798043</v>
      </c>
      <c r="FW67" s="321">
        <f t="shared" si="228"/>
        <v>1798043</v>
      </c>
      <c r="FX67" s="179">
        <f t="shared" si="184"/>
        <v>0</v>
      </c>
      <c r="FY67" s="9">
        <v>1798043</v>
      </c>
      <c r="FZ67" s="18" t="s">
        <v>238</v>
      </c>
      <c r="GA67" s="18" t="s">
        <v>238</v>
      </c>
      <c r="GB67" s="324">
        <f t="shared" si="229"/>
        <v>1798043</v>
      </c>
      <c r="GC67" s="321">
        <f t="shared" si="230"/>
        <v>1798043</v>
      </c>
      <c r="GD67" s="179">
        <f t="shared" si="185"/>
        <v>0</v>
      </c>
      <c r="GE67" s="9">
        <v>1798043</v>
      </c>
      <c r="GF67" s="18" t="s">
        <v>238</v>
      </c>
      <c r="GG67" s="18" t="s">
        <v>238</v>
      </c>
      <c r="GH67" s="324">
        <f t="shared" si="231"/>
        <v>1798043</v>
      </c>
      <c r="GI67" s="321">
        <f t="shared" si="232"/>
        <v>1798043</v>
      </c>
      <c r="GJ67" s="179">
        <f t="shared" si="186"/>
        <v>0</v>
      </c>
      <c r="GK67" s="9">
        <v>1798043</v>
      </c>
      <c r="GL67" s="18" t="s">
        <v>238</v>
      </c>
      <c r="GM67" s="18" t="s">
        <v>238</v>
      </c>
      <c r="GN67" s="324">
        <f t="shared" si="233"/>
        <v>1798043</v>
      </c>
      <c r="GO67" s="321">
        <f t="shared" si="234"/>
        <v>1798043</v>
      </c>
      <c r="GP67" s="179">
        <f t="shared" si="187"/>
        <v>0</v>
      </c>
      <c r="GQ67" s="9">
        <v>1798043</v>
      </c>
      <c r="GR67" s="18" t="s">
        <v>238</v>
      </c>
      <c r="GS67" s="18" t="s">
        <v>238</v>
      </c>
      <c r="GT67" s="324">
        <f t="shared" si="235"/>
        <v>1798043</v>
      </c>
      <c r="GU67" s="321">
        <f t="shared" si="236"/>
        <v>1798043</v>
      </c>
      <c r="GV67" s="179">
        <f t="shared" si="188"/>
        <v>0</v>
      </c>
      <c r="GW67" s="9">
        <v>1887945</v>
      </c>
      <c r="GX67" s="18" t="s">
        <v>238</v>
      </c>
      <c r="GY67" s="18" t="s">
        <v>238</v>
      </c>
      <c r="GZ67" s="324">
        <f t="shared" si="237"/>
        <v>1887945</v>
      </c>
      <c r="HA67" s="321">
        <f t="shared" si="238"/>
        <v>1887945</v>
      </c>
      <c r="HB67" s="179">
        <f t="shared" si="189"/>
        <v>89902</v>
      </c>
      <c r="HC67" s="102">
        <f t="shared" si="190"/>
        <v>0.12786204994725353</v>
      </c>
      <c r="HD67" s="285">
        <f t="shared" si="239"/>
        <v>-1.3096723705530167E-10</v>
      </c>
      <c r="HE67" s="12">
        <f t="shared" si="240"/>
        <v>89902.150000000009</v>
      </c>
      <c r="HF67" s="12">
        <f t="shared" si="191"/>
        <v>0.15000000000873115</v>
      </c>
      <c r="HG67" s="12">
        <f t="shared" si="241"/>
        <v>89902</v>
      </c>
      <c r="HH67" s="14">
        <f t="shared" si="242"/>
        <v>89902</v>
      </c>
      <c r="HI67" s="13">
        <f t="shared" si="243"/>
        <v>1887945</v>
      </c>
      <c r="HJ67" s="102">
        <f t="shared" si="244"/>
        <v>0.13425514177784825</v>
      </c>
      <c r="HK67" s="16">
        <f t="shared" si="245"/>
        <v>1798043</v>
      </c>
      <c r="HL67" s="103">
        <f t="shared" si="246"/>
        <v>1887945.1500000001</v>
      </c>
      <c r="HM67" s="103">
        <f t="shared" si="247"/>
        <v>89902.15000000014</v>
      </c>
      <c r="HN67" s="17">
        <f t="shared" si="248"/>
        <v>0.15000000000873115</v>
      </c>
      <c r="HO67" s="56">
        <f t="shared" si="249"/>
        <v>89902.000000000131</v>
      </c>
      <c r="HP67" s="16">
        <f t="shared" si="250"/>
        <v>1.3096723705530167E-10</v>
      </c>
      <c r="HQ67" s="16">
        <f t="shared" si="251"/>
        <v>1887945.0000000002</v>
      </c>
      <c r="HR67" s="16">
        <f t="shared" si="252"/>
        <v>0</v>
      </c>
    </row>
    <row r="68" spans="1:226" x14ac:dyDescent="0.3">
      <c r="A68" s="145">
        <v>19</v>
      </c>
      <c r="B68" s="280"/>
      <c r="C68" s="312" t="s">
        <v>345</v>
      </c>
      <c r="D68" s="237" t="s">
        <v>202</v>
      </c>
      <c r="E68" s="27"/>
      <c r="F68" s="9"/>
      <c r="G68" s="9"/>
      <c r="H68" s="324"/>
      <c r="I68" s="324">
        <v>0</v>
      </c>
      <c r="J68" s="324"/>
      <c r="K68" s="324"/>
      <c r="L68" s="324">
        <v>0</v>
      </c>
      <c r="M68" s="23">
        <v>0</v>
      </c>
      <c r="N68" s="23">
        <v>0</v>
      </c>
      <c r="O68" s="298">
        <v>0</v>
      </c>
      <c r="P68" s="298">
        <v>0</v>
      </c>
      <c r="Q68" s="298">
        <v>0</v>
      </c>
      <c r="R68" s="298">
        <v>0</v>
      </c>
      <c r="S68" s="298">
        <v>0</v>
      </c>
      <c r="T68" s="298">
        <v>0</v>
      </c>
      <c r="U68" s="298">
        <f>T68*5%</f>
        <v>0</v>
      </c>
      <c r="V68" s="298">
        <f>T68+U68</f>
        <v>0</v>
      </c>
      <c r="W68" s="298">
        <v>0</v>
      </c>
      <c r="X68" s="298">
        <v>0</v>
      </c>
      <c r="Y68" s="298">
        <v>0</v>
      </c>
      <c r="Z68" s="298">
        <v>0</v>
      </c>
      <c r="AA68" s="298">
        <v>0</v>
      </c>
      <c r="AB68" s="298">
        <v>0</v>
      </c>
      <c r="AC68" s="9">
        <v>0</v>
      </c>
      <c r="AD68" s="9">
        <v>0</v>
      </c>
      <c r="AE68" s="298">
        <f>AD68+AC68+AB68</f>
        <v>0</v>
      </c>
      <c r="AF68" s="298">
        <v>0</v>
      </c>
      <c r="AG68" s="9">
        <v>0</v>
      </c>
      <c r="AH68" s="9">
        <v>0</v>
      </c>
      <c r="AI68" s="298">
        <f>AH68+AG68+AF68</f>
        <v>0</v>
      </c>
      <c r="AJ68" s="298">
        <v>0</v>
      </c>
      <c r="AK68" s="9">
        <v>0</v>
      </c>
      <c r="AL68" s="9">
        <v>0</v>
      </c>
      <c r="AM68" s="298">
        <f>AL68+AK68+AJ68</f>
        <v>0</v>
      </c>
      <c r="AN68" s="298">
        <v>0</v>
      </c>
      <c r="AO68" s="9">
        <v>0</v>
      </c>
      <c r="AP68" s="9">
        <v>0</v>
      </c>
      <c r="AQ68" s="298">
        <f>AP68+AO68+AN68</f>
        <v>0</v>
      </c>
      <c r="AR68" s="28">
        <v>0</v>
      </c>
      <c r="AS68" s="9">
        <v>0</v>
      </c>
      <c r="AT68" s="9">
        <v>0</v>
      </c>
      <c r="AU68" s="298">
        <f>AT68+AS68+AR68</f>
        <v>0</v>
      </c>
      <c r="AV68" s="298">
        <v>0</v>
      </c>
      <c r="AW68" s="9">
        <v>0</v>
      </c>
      <c r="AX68" s="9">
        <v>0</v>
      </c>
      <c r="AY68" s="298">
        <f>AX68+AW68+AV68</f>
        <v>0</v>
      </c>
      <c r="AZ68" s="8">
        <f>AY68*5%</f>
        <v>0</v>
      </c>
      <c r="BA68" s="8"/>
      <c r="BB68" s="8">
        <f>AZ68-BA68</f>
        <v>0</v>
      </c>
      <c r="BC68" s="8">
        <f>BB68+AY68</f>
        <v>0</v>
      </c>
      <c r="BD68" s="8"/>
      <c r="BE68" s="8">
        <f>BD68+BC68</f>
        <v>0</v>
      </c>
      <c r="BF68" s="10">
        <f>BE68-AY68</f>
        <v>0</v>
      </c>
      <c r="BG68" s="11">
        <f>BF68-BB68</f>
        <v>0</v>
      </c>
      <c r="BH68" s="11">
        <v>0</v>
      </c>
      <c r="BI68" s="11"/>
      <c r="BJ68" s="11"/>
      <c r="BK68" s="319">
        <f>BJ68+BI68+BH68</f>
        <v>0</v>
      </c>
      <c r="BL68" s="319">
        <v>0</v>
      </c>
      <c r="BM68" s="319">
        <v>0</v>
      </c>
      <c r="BN68" s="319">
        <v>0</v>
      </c>
      <c r="BO68" s="319">
        <f>BN68+BM68+BL68</f>
        <v>0</v>
      </c>
      <c r="BP68" s="319">
        <f>BO68-BK68</f>
        <v>0</v>
      </c>
      <c r="BQ68" s="319">
        <v>0</v>
      </c>
      <c r="BR68" s="319">
        <v>0</v>
      </c>
      <c r="BS68" s="319">
        <v>0</v>
      </c>
      <c r="BT68" s="319">
        <f>BS68+BR68+BQ68</f>
        <v>0</v>
      </c>
      <c r="BU68" s="319">
        <f>BT68-BO68</f>
        <v>0</v>
      </c>
      <c r="BV68" s="319">
        <v>0</v>
      </c>
      <c r="BW68" s="319">
        <v>0</v>
      </c>
      <c r="BX68" s="319">
        <v>0</v>
      </c>
      <c r="BY68" s="319">
        <f>BX68+BW68+BV68</f>
        <v>0</v>
      </c>
      <c r="BZ68" s="319">
        <f>BY68-BT68</f>
        <v>0</v>
      </c>
      <c r="CA68" s="319">
        <v>0</v>
      </c>
      <c r="CB68" s="319">
        <v>0</v>
      </c>
      <c r="CC68" s="319">
        <v>0</v>
      </c>
      <c r="CD68" s="319">
        <f>CC68+CB68+CA68</f>
        <v>0</v>
      </c>
      <c r="CE68" s="319">
        <f>CD68-BY68</f>
        <v>0</v>
      </c>
      <c r="CF68" s="319">
        <v>0</v>
      </c>
      <c r="CG68" s="319">
        <v>0</v>
      </c>
      <c r="CH68" s="319">
        <v>0</v>
      </c>
      <c r="CI68" s="319">
        <f>CH68+CG68+CF68</f>
        <v>0</v>
      </c>
      <c r="CJ68" s="319">
        <f>CI68-CD68</f>
        <v>0</v>
      </c>
      <c r="CK68" s="319">
        <v>0</v>
      </c>
      <c r="CL68" s="319">
        <v>0</v>
      </c>
      <c r="CM68" s="319">
        <v>0</v>
      </c>
      <c r="CN68" s="319">
        <f>CM68+CL68+CK68</f>
        <v>0</v>
      </c>
      <c r="CO68" s="319">
        <f>CN68-CI68</f>
        <v>0</v>
      </c>
      <c r="CP68" s="319"/>
      <c r="CQ68" s="319">
        <v>0</v>
      </c>
      <c r="CR68" s="319">
        <v>0</v>
      </c>
      <c r="CS68" s="319">
        <f>CR68+CQ68+CP68</f>
        <v>0</v>
      </c>
      <c r="CT68" s="319">
        <f>CS68-CN68</f>
        <v>0</v>
      </c>
      <c r="CU68" s="319">
        <v>0</v>
      </c>
      <c r="CV68" s="319">
        <v>0</v>
      </c>
      <c r="CW68" s="319">
        <v>0</v>
      </c>
      <c r="CX68" s="319">
        <f>CW68+CV68+CU68</f>
        <v>0</v>
      </c>
      <c r="CY68" s="319">
        <f>CX68-CS68</f>
        <v>0</v>
      </c>
      <c r="CZ68" s="319"/>
      <c r="DA68" s="319"/>
      <c r="DB68" s="319"/>
      <c r="DC68" s="12">
        <f t="shared" si="202"/>
        <v>0</v>
      </c>
      <c r="DD68" s="12">
        <v>0</v>
      </c>
      <c r="DE68" s="13">
        <f t="shared" si="203"/>
        <v>0</v>
      </c>
      <c r="DF68" s="14">
        <f t="shared" si="169"/>
        <v>0</v>
      </c>
      <c r="DG68" s="13">
        <f t="shared" si="170"/>
        <v>0</v>
      </c>
      <c r="DH68" s="15">
        <f t="shared" si="171"/>
        <v>0</v>
      </c>
      <c r="DI68" s="16">
        <f t="shared" si="172"/>
        <v>0</v>
      </c>
      <c r="DJ68" s="132">
        <f t="shared" si="204"/>
        <v>0</v>
      </c>
      <c r="DK68" s="17">
        <f t="shared" si="205"/>
        <v>0</v>
      </c>
      <c r="DL68" s="17">
        <f t="shared" si="173"/>
        <v>0</v>
      </c>
      <c r="DM68" s="16">
        <f t="shared" si="206"/>
        <v>0</v>
      </c>
      <c r="DN68" s="16">
        <f t="shared" si="174"/>
        <v>0</v>
      </c>
      <c r="DO68" s="16">
        <f t="shared" si="207"/>
        <v>0</v>
      </c>
      <c r="DP68" s="16">
        <f t="shared" si="175"/>
        <v>0</v>
      </c>
      <c r="DQ68" s="9">
        <v>0</v>
      </c>
      <c r="DR68" s="18" t="s">
        <v>238</v>
      </c>
      <c r="DS68" s="18" t="s">
        <v>238</v>
      </c>
      <c r="DT68" s="324">
        <f t="shared" si="208"/>
        <v>0</v>
      </c>
      <c r="DU68" s="321">
        <f t="shared" si="209"/>
        <v>0</v>
      </c>
      <c r="DV68" s="19">
        <f t="shared" si="210"/>
        <v>0</v>
      </c>
      <c r="DW68" s="9"/>
      <c r="DX68" s="18"/>
      <c r="DY68" s="18"/>
      <c r="DZ68" s="324">
        <f t="shared" si="211"/>
        <v>0</v>
      </c>
      <c r="EA68" s="321">
        <f t="shared" si="212"/>
        <v>0</v>
      </c>
      <c r="EB68" s="179">
        <f t="shared" si="176"/>
        <v>0</v>
      </c>
      <c r="EC68" s="9">
        <v>0</v>
      </c>
      <c r="ED68" s="18" t="s">
        <v>238</v>
      </c>
      <c r="EE68" s="18" t="s">
        <v>238</v>
      </c>
      <c r="EF68" s="324">
        <f t="shared" si="213"/>
        <v>0</v>
      </c>
      <c r="EG68" s="321">
        <f t="shared" si="214"/>
        <v>0</v>
      </c>
      <c r="EH68" s="179">
        <f t="shared" si="177"/>
        <v>0</v>
      </c>
      <c r="EI68" s="9">
        <v>0</v>
      </c>
      <c r="EJ68" s="18" t="s">
        <v>238</v>
      </c>
      <c r="EK68" s="18" t="s">
        <v>238</v>
      </c>
      <c r="EL68" s="324">
        <f t="shared" si="215"/>
        <v>0</v>
      </c>
      <c r="EM68" s="321">
        <f t="shared" si="216"/>
        <v>0</v>
      </c>
      <c r="EN68" s="179">
        <f t="shared" si="178"/>
        <v>0</v>
      </c>
      <c r="EO68" s="9"/>
      <c r="EP68" s="18" t="s">
        <v>238</v>
      </c>
      <c r="EQ68" s="18" t="s">
        <v>238</v>
      </c>
      <c r="ER68" s="324">
        <f t="shared" si="217"/>
        <v>0</v>
      </c>
      <c r="ES68" s="321">
        <f t="shared" si="218"/>
        <v>0</v>
      </c>
      <c r="ET68" s="179">
        <f t="shared" si="179"/>
        <v>0</v>
      </c>
      <c r="EU68" s="9">
        <v>0</v>
      </c>
      <c r="EV68" s="18" t="s">
        <v>238</v>
      </c>
      <c r="EW68" s="18" t="s">
        <v>238</v>
      </c>
      <c r="EX68" s="324">
        <f t="shared" si="219"/>
        <v>0</v>
      </c>
      <c r="EY68" s="321">
        <f t="shared" si="220"/>
        <v>0</v>
      </c>
      <c r="EZ68" s="179">
        <f t="shared" si="180"/>
        <v>0</v>
      </c>
      <c r="FA68" s="9">
        <v>0</v>
      </c>
      <c r="FB68" s="18" t="s">
        <v>238</v>
      </c>
      <c r="FC68" s="18" t="s">
        <v>238</v>
      </c>
      <c r="FD68" s="324">
        <f t="shared" si="221"/>
        <v>0</v>
      </c>
      <c r="FE68" s="321">
        <f t="shared" si="222"/>
        <v>0</v>
      </c>
      <c r="FF68" s="179">
        <f t="shared" si="181"/>
        <v>0</v>
      </c>
      <c r="FG68" s="9">
        <v>0</v>
      </c>
      <c r="FH68" s="18" t="s">
        <v>238</v>
      </c>
      <c r="FI68" s="18" t="s">
        <v>238</v>
      </c>
      <c r="FJ68" s="324">
        <f t="shared" si="223"/>
        <v>0</v>
      </c>
      <c r="FK68" s="321">
        <f t="shared" si="224"/>
        <v>0</v>
      </c>
      <c r="FL68" s="179">
        <f t="shared" si="182"/>
        <v>0</v>
      </c>
      <c r="FM68" s="9">
        <v>0</v>
      </c>
      <c r="FN68" s="18" t="s">
        <v>238</v>
      </c>
      <c r="FO68" s="18" t="s">
        <v>238</v>
      </c>
      <c r="FP68" s="324">
        <f t="shared" si="225"/>
        <v>0</v>
      </c>
      <c r="FQ68" s="321">
        <f t="shared" si="226"/>
        <v>0</v>
      </c>
      <c r="FR68" s="179">
        <f t="shared" si="183"/>
        <v>0</v>
      </c>
      <c r="FS68" s="9">
        <v>0</v>
      </c>
      <c r="FT68" s="18" t="s">
        <v>238</v>
      </c>
      <c r="FU68" s="18" t="s">
        <v>238</v>
      </c>
      <c r="FV68" s="324">
        <f t="shared" si="227"/>
        <v>0</v>
      </c>
      <c r="FW68" s="321">
        <f t="shared" si="228"/>
        <v>0</v>
      </c>
      <c r="FX68" s="179">
        <f t="shared" si="184"/>
        <v>0</v>
      </c>
      <c r="FY68" s="9">
        <v>0</v>
      </c>
      <c r="FZ68" s="18" t="s">
        <v>238</v>
      </c>
      <c r="GA68" s="18" t="s">
        <v>238</v>
      </c>
      <c r="GB68" s="324">
        <f t="shared" si="229"/>
        <v>0</v>
      </c>
      <c r="GC68" s="321">
        <f t="shared" si="230"/>
        <v>0</v>
      </c>
      <c r="GD68" s="179">
        <f t="shared" si="185"/>
        <v>0</v>
      </c>
      <c r="GE68" s="9">
        <v>0</v>
      </c>
      <c r="GF68" s="18" t="s">
        <v>238</v>
      </c>
      <c r="GG68" s="18" t="s">
        <v>238</v>
      </c>
      <c r="GH68" s="324">
        <f t="shared" si="231"/>
        <v>0</v>
      </c>
      <c r="GI68" s="321">
        <f t="shared" si="232"/>
        <v>0</v>
      </c>
      <c r="GJ68" s="179">
        <f t="shared" si="186"/>
        <v>0</v>
      </c>
      <c r="GK68" s="9">
        <v>0</v>
      </c>
      <c r="GL68" s="18" t="s">
        <v>238</v>
      </c>
      <c r="GM68" s="18" t="s">
        <v>238</v>
      </c>
      <c r="GN68" s="324">
        <f t="shared" si="233"/>
        <v>0</v>
      </c>
      <c r="GO68" s="321">
        <f t="shared" si="234"/>
        <v>0</v>
      </c>
      <c r="GP68" s="179">
        <f t="shared" si="187"/>
        <v>0</v>
      </c>
      <c r="GQ68" s="9">
        <v>0</v>
      </c>
      <c r="GR68" s="18" t="s">
        <v>238</v>
      </c>
      <c r="GS68" s="18" t="s">
        <v>238</v>
      </c>
      <c r="GT68" s="324">
        <f t="shared" si="235"/>
        <v>0</v>
      </c>
      <c r="GU68" s="321">
        <f t="shared" si="236"/>
        <v>0</v>
      </c>
      <c r="GV68" s="179">
        <f t="shared" si="188"/>
        <v>0</v>
      </c>
      <c r="GW68" s="9">
        <v>0</v>
      </c>
      <c r="GX68" s="18" t="s">
        <v>238</v>
      </c>
      <c r="GY68" s="18" t="s">
        <v>238</v>
      </c>
      <c r="GZ68" s="324">
        <f t="shared" si="237"/>
        <v>0</v>
      </c>
      <c r="HA68" s="321">
        <f t="shared" si="238"/>
        <v>0</v>
      </c>
      <c r="HB68" s="179">
        <f t="shared" si="189"/>
        <v>0</v>
      </c>
      <c r="HC68" s="102">
        <f t="shared" si="190"/>
        <v>0</v>
      </c>
      <c r="HD68" s="285">
        <f t="shared" si="239"/>
        <v>0</v>
      </c>
      <c r="HE68" s="12">
        <f t="shared" si="240"/>
        <v>0</v>
      </c>
      <c r="HF68" s="12">
        <f t="shared" si="191"/>
        <v>0</v>
      </c>
      <c r="HG68" s="12">
        <f t="shared" si="241"/>
        <v>0</v>
      </c>
      <c r="HH68" s="14">
        <f t="shared" si="242"/>
        <v>0</v>
      </c>
      <c r="HI68" s="13">
        <f t="shared" si="243"/>
        <v>0</v>
      </c>
      <c r="HJ68" s="102">
        <f t="shared" si="244"/>
        <v>0</v>
      </c>
      <c r="HK68" s="16">
        <f t="shared" si="245"/>
        <v>0</v>
      </c>
      <c r="HL68" s="103">
        <f t="shared" si="246"/>
        <v>0</v>
      </c>
      <c r="HM68" s="103">
        <f t="shared" si="247"/>
        <v>0</v>
      </c>
      <c r="HN68" s="17">
        <f t="shared" si="248"/>
        <v>0</v>
      </c>
      <c r="HO68" s="56">
        <f t="shared" si="249"/>
        <v>0</v>
      </c>
      <c r="HP68" s="16">
        <f t="shared" si="250"/>
        <v>0</v>
      </c>
      <c r="HQ68" s="16">
        <f t="shared" si="251"/>
        <v>0</v>
      </c>
      <c r="HR68" s="16">
        <f t="shared" si="252"/>
        <v>0</v>
      </c>
    </row>
    <row r="69" spans="1:226" x14ac:dyDescent="0.3">
      <c r="A69" s="145">
        <v>14</v>
      </c>
      <c r="B69" s="280"/>
      <c r="C69" s="312" t="s">
        <v>334</v>
      </c>
      <c r="D69" s="206" t="s">
        <v>197</v>
      </c>
      <c r="E69" s="27"/>
      <c r="F69" s="9"/>
      <c r="G69" s="9"/>
      <c r="H69" s="324"/>
      <c r="I69" s="324">
        <v>0</v>
      </c>
      <c r="J69" s="324"/>
      <c r="K69" s="324"/>
      <c r="L69" s="324">
        <v>0</v>
      </c>
      <c r="M69" s="23">
        <v>0</v>
      </c>
      <c r="N69" s="23">
        <v>0</v>
      </c>
      <c r="O69" s="298">
        <v>0</v>
      </c>
      <c r="P69" s="298">
        <v>0</v>
      </c>
      <c r="Q69" s="298">
        <v>0</v>
      </c>
      <c r="R69" s="298">
        <v>0</v>
      </c>
      <c r="S69" s="298">
        <v>0</v>
      </c>
      <c r="T69" s="298">
        <v>0</v>
      </c>
      <c r="U69" s="298">
        <f t="shared" si="192"/>
        <v>0</v>
      </c>
      <c r="V69" s="298">
        <f t="shared" si="193"/>
        <v>0</v>
      </c>
      <c r="W69" s="298">
        <v>0</v>
      </c>
      <c r="X69" s="298">
        <v>0</v>
      </c>
      <c r="Y69" s="298">
        <v>0</v>
      </c>
      <c r="Z69" s="298">
        <v>0</v>
      </c>
      <c r="AA69" s="298">
        <v>0</v>
      </c>
      <c r="AB69" s="298">
        <v>0</v>
      </c>
      <c r="AC69" s="9">
        <v>0</v>
      </c>
      <c r="AD69" s="9">
        <v>0</v>
      </c>
      <c r="AE69" s="298">
        <f t="shared" si="194"/>
        <v>0</v>
      </c>
      <c r="AF69" s="298">
        <v>0</v>
      </c>
      <c r="AG69" s="9">
        <v>0</v>
      </c>
      <c r="AH69" s="9">
        <v>0</v>
      </c>
      <c r="AI69" s="298">
        <f t="shared" si="195"/>
        <v>0</v>
      </c>
      <c r="AJ69" s="298">
        <v>0</v>
      </c>
      <c r="AK69" s="9">
        <v>0</v>
      </c>
      <c r="AL69" s="9">
        <v>0</v>
      </c>
      <c r="AM69" s="298">
        <f t="shared" si="155"/>
        <v>0</v>
      </c>
      <c r="AN69" s="298">
        <v>0</v>
      </c>
      <c r="AO69" s="9">
        <v>0</v>
      </c>
      <c r="AP69" s="9">
        <v>0</v>
      </c>
      <c r="AQ69" s="298">
        <f t="shared" si="156"/>
        <v>0</v>
      </c>
      <c r="AR69" s="28">
        <v>0</v>
      </c>
      <c r="AS69" s="9">
        <v>0</v>
      </c>
      <c r="AT69" s="9">
        <v>0</v>
      </c>
      <c r="AU69" s="298">
        <f t="shared" si="261"/>
        <v>0</v>
      </c>
      <c r="AV69" s="298">
        <v>0</v>
      </c>
      <c r="AW69" s="9">
        <v>0</v>
      </c>
      <c r="AX69" s="9">
        <v>0</v>
      </c>
      <c r="AY69" s="298">
        <f t="shared" si="158"/>
        <v>0</v>
      </c>
      <c r="AZ69" s="8">
        <f t="shared" si="196"/>
        <v>0</v>
      </c>
      <c r="BA69" s="8"/>
      <c r="BB69" s="8">
        <f t="shared" si="197"/>
        <v>0</v>
      </c>
      <c r="BC69" s="8">
        <f t="shared" si="198"/>
        <v>0</v>
      </c>
      <c r="BD69" s="8"/>
      <c r="BE69" s="8">
        <f t="shared" si="199"/>
        <v>0</v>
      </c>
      <c r="BF69" s="10">
        <f t="shared" si="200"/>
        <v>0</v>
      </c>
      <c r="BG69" s="11">
        <f t="shared" si="201"/>
        <v>0</v>
      </c>
      <c r="BH69" s="11">
        <v>0</v>
      </c>
      <c r="BI69" s="11"/>
      <c r="BJ69" s="11"/>
      <c r="BK69" s="319">
        <f t="shared" si="159"/>
        <v>0</v>
      </c>
      <c r="BL69" s="319"/>
      <c r="BM69" s="319">
        <v>0</v>
      </c>
      <c r="BN69" s="319">
        <v>0</v>
      </c>
      <c r="BO69" s="319">
        <f t="shared" si="260"/>
        <v>0</v>
      </c>
      <c r="BP69" s="319">
        <f t="shared" si="253"/>
        <v>0</v>
      </c>
      <c r="BQ69" s="319">
        <v>0</v>
      </c>
      <c r="BR69" s="319">
        <v>0</v>
      </c>
      <c r="BS69" s="319">
        <v>0</v>
      </c>
      <c r="BT69" s="319">
        <f t="shared" si="161"/>
        <v>0</v>
      </c>
      <c r="BU69" s="319">
        <f t="shared" si="162"/>
        <v>0</v>
      </c>
      <c r="BV69" s="319">
        <v>0</v>
      </c>
      <c r="BW69" s="319">
        <v>0</v>
      </c>
      <c r="BX69" s="319">
        <v>0</v>
      </c>
      <c r="BY69" s="319">
        <f t="shared" si="163"/>
        <v>0</v>
      </c>
      <c r="BZ69" s="319">
        <f t="shared" si="164"/>
        <v>0</v>
      </c>
      <c r="CA69" s="319">
        <v>0</v>
      </c>
      <c r="CB69" s="319">
        <v>0</v>
      </c>
      <c r="CC69" s="319">
        <v>0</v>
      </c>
      <c r="CD69" s="319">
        <f t="shared" si="165"/>
        <v>0</v>
      </c>
      <c r="CE69" s="319">
        <f t="shared" si="166"/>
        <v>0</v>
      </c>
      <c r="CF69" s="319">
        <v>0</v>
      </c>
      <c r="CG69" s="319">
        <v>0</v>
      </c>
      <c r="CH69" s="319">
        <v>0</v>
      </c>
      <c r="CI69" s="319">
        <f t="shared" si="167"/>
        <v>0</v>
      </c>
      <c r="CJ69" s="319">
        <f t="shared" si="168"/>
        <v>0</v>
      </c>
      <c r="CK69" s="319">
        <v>0</v>
      </c>
      <c r="CL69" s="319">
        <v>0</v>
      </c>
      <c r="CM69" s="319">
        <v>0</v>
      </c>
      <c r="CN69" s="319">
        <f t="shared" ref="CN69:CN76" si="262">CM69+CL69+CK69</f>
        <v>0</v>
      </c>
      <c r="CO69" s="319">
        <f t="shared" ref="CO69:CO82" si="263">CN69-CI69</f>
        <v>0</v>
      </c>
      <c r="CP69" s="319"/>
      <c r="CQ69" s="319">
        <v>0</v>
      </c>
      <c r="CR69" s="319">
        <v>0</v>
      </c>
      <c r="CS69" s="319">
        <f t="shared" ref="CS69:CS82" si="264">CR69+CQ69+CP69</f>
        <v>0</v>
      </c>
      <c r="CT69" s="319">
        <f t="shared" ref="CT69:CT82" si="265">CS69-CN69</f>
        <v>0</v>
      </c>
      <c r="CU69" s="319">
        <v>0</v>
      </c>
      <c r="CV69" s="319">
        <v>0</v>
      </c>
      <c r="CW69" s="319">
        <v>0</v>
      </c>
      <c r="CX69" s="319">
        <f t="shared" ref="CX69:CX82" si="266">CW69+CV69+CU69</f>
        <v>0</v>
      </c>
      <c r="CY69" s="319">
        <f t="shared" ref="CY69:CY82" si="267">CX69-CS69</f>
        <v>0</v>
      </c>
      <c r="CZ69" s="319"/>
      <c r="DA69" s="319"/>
      <c r="DB69" s="319"/>
      <c r="DC69" s="12">
        <f t="shared" si="202"/>
        <v>0</v>
      </c>
      <c r="DD69" s="12">
        <v>0</v>
      </c>
      <c r="DE69" s="13">
        <f t="shared" si="203"/>
        <v>0</v>
      </c>
      <c r="DF69" s="14">
        <f t="shared" si="169"/>
        <v>0</v>
      </c>
      <c r="DG69" s="13">
        <f t="shared" si="170"/>
        <v>0</v>
      </c>
      <c r="DH69" s="15">
        <f t="shared" si="171"/>
        <v>0</v>
      </c>
      <c r="DI69" s="16">
        <f t="shared" si="172"/>
        <v>0</v>
      </c>
      <c r="DJ69" s="132">
        <f t="shared" si="204"/>
        <v>0</v>
      </c>
      <c r="DK69" s="17">
        <f t="shared" si="205"/>
        <v>0</v>
      </c>
      <c r="DL69" s="17">
        <f t="shared" si="173"/>
        <v>0</v>
      </c>
      <c r="DM69" s="16">
        <f t="shared" si="206"/>
        <v>0</v>
      </c>
      <c r="DN69" s="16">
        <f t="shared" si="174"/>
        <v>0</v>
      </c>
      <c r="DO69" s="16">
        <f t="shared" si="207"/>
        <v>0</v>
      </c>
      <c r="DP69" s="16">
        <f t="shared" si="175"/>
        <v>0</v>
      </c>
      <c r="DQ69" s="9">
        <v>0</v>
      </c>
      <c r="DR69" s="18" t="s">
        <v>238</v>
      </c>
      <c r="DS69" s="18" t="s">
        <v>238</v>
      </c>
      <c r="DT69" s="324">
        <f t="shared" si="208"/>
        <v>0</v>
      </c>
      <c r="DU69" s="321">
        <f t="shared" si="209"/>
        <v>0</v>
      </c>
      <c r="DV69" s="19">
        <f t="shared" si="210"/>
        <v>0</v>
      </c>
      <c r="DW69" s="9"/>
      <c r="DX69" s="18"/>
      <c r="DY69" s="18"/>
      <c r="DZ69" s="324">
        <f t="shared" si="211"/>
        <v>0</v>
      </c>
      <c r="EA69" s="321">
        <f t="shared" si="212"/>
        <v>0</v>
      </c>
      <c r="EB69" s="179">
        <f t="shared" si="176"/>
        <v>0</v>
      </c>
      <c r="EC69" s="9">
        <v>0</v>
      </c>
      <c r="ED69" s="18" t="s">
        <v>238</v>
      </c>
      <c r="EE69" s="18" t="s">
        <v>238</v>
      </c>
      <c r="EF69" s="324">
        <f t="shared" si="213"/>
        <v>0</v>
      </c>
      <c r="EG69" s="321">
        <f t="shared" si="214"/>
        <v>0</v>
      </c>
      <c r="EH69" s="179">
        <f t="shared" si="177"/>
        <v>0</v>
      </c>
      <c r="EI69" s="9">
        <v>0</v>
      </c>
      <c r="EJ69" s="18" t="s">
        <v>238</v>
      </c>
      <c r="EK69" s="18" t="s">
        <v>238</v>
      </c>
      <c r="EL69" s="324">
        <f t="shared" si="215"/>
        <v>0</v>
      </c>
      <c r="EM69" s="321">
        <f t="shared" si="216"/>
        <v>0</v>
      </c>
      <c r="EN69" s="179">
        <f t="shared" si="178"/>
        <v>0</v>
      </c>
      <c r="EO69" s="9"/>
      <c r="EP69" s="18" t="s">
        <v>238</v>
      </c>
      <c r="EQ69" s="18" t="s">
        <v>238</v>
      </c>
      <c r="ER69" s="324">
        <f t="shared" si="217"/>
        <v>0</v>
      </c>
      <c r="ES69" s="321">
        <f t="shared" si="218"/>
        <v>0</v>
      </c>
      <c r="ET69" s="179">
        <f t="shared" si="179"/>
        <v>0</v>
      </c>
      <c r="EU69" s="9">
        <v>0</v>
      </c>
      <c r="EV69" s="18" t="s">
        <v>238</v>
      </c>
      <c r="EW69" s="18" t="s">
        <v>238</v>
      </c>
      <c r="EX69" s="324">
        <f t="shared" si="219"/>
        <v>0</v>
      </c>
      <c r="EY69" s="321">
        <f t="shared" si="220"/>
        <v>0</v>
      </c>
      <c r="EZ69" s="179">
        <f t="shared" si="180"/>
        <v>0</v>
      </c>
      <c r="FA69" s="9">
        <v>0</v>
      </c>
      <c r="FB69" s="18" t="s">
        <v>238</v>
      </c>
      <c r="FC69" s="18" t="s">
        <v>238</v>
      </c>
      <c r="FD69" s="324">
        <f t="shared" si="221"/>
        <v>0</v>
      </c>
      <c r="FE69" s="321">
        <f t="shared" si="222"/>
        <v>0</v>
      </c>
      <c r="FF69" s="179">
        <f t="shared" si="181"/>
        <v>0</v>
      </c>
      <c r="FG69" s="9"/>
      <c r="FH69" s="18" t="s">
        <v>238</v>
      </c>
      <c r="FI69" s="18" t="s">
        <v>238</v>
      </c>
      <c r="FJ69" s="324">
        <f t="shared" si="223"/>
        <v>0</v>
      </c>
      <c r="FK69" s="321">
        <f t="shared" si="224"/>
        <v>0</v>
      </c>
      <c r="FL69" s="179">
        <f t="shared" si="182"/>
        <v>0</v>
      </c>
      <c r="FM69" s="9">
        <v>0</v>
      </c>
      <c r="FN69" s="18" t="s">
        <v>238</v>
      </c>
      <c r="FO69" s="18" t="s">
        <v>238</v>
      </c>
      <c r="FP69" s="324">
        <f t="shared" si="225"/>
        <v>0</v>
      </c>
      <c r="FQ69" s="321">
        <f t="shared" si="226"/>
        <v>0</v>
      </c>
      <c r="FR69" s="179">
        <f t="shared" si="183"/>
        <v>0</v>
      </c>
      <c r="FS69" s="9">
        <v>0</v>
      </c>
      <c r="FT69" s="18" t="s">
        <v>238</v>
      </c>
      <c r="FU69" s="18" t="s">
        <v>238</v>
      </c>
      <c r="FV69" s="324">
        <f t="shared" si="227"/>
        <v>0</v>
      </c>
      <c r="FW69" s="321">
        <f t="shared" si="228"/>
        <v>0</v>
      </c>
      <c r="FX69" s="179">
        <f t="shared" si="184"/>
        <v>0</v>
      </c>
      <c r="FY69" s="9">
        <v>0</v>
      </c>
      <c r="FZ69" s="18" t="s">
        <v>238</v>
      </c>
      <c r="GA69" s="18" t="s">
        <v>238</v>
      </c>
      <c r="GB69" s="324">
        <f t="shared" si="229"/>
        <v>0</v>
      </c>
      <c r="GC69" s="321">
        <f t="shared" si="230"/>
        <v>0</v>
      </c>
      <c r="GD69" s="179">
        <f t="shared" si="185"/>
        <v>0</v>
      </c>
      <c r="GE69" s="9">
        <v>0</v>
      </c>
      <c r="GF69" s="18" t="s">
        <v>238</v>
      </c>
      <c r="GG69" s="18" t="s">
        <v>238</v>
      </c>
      <c r="GH69" s="324">
        <f t="shared" si="231"/>
        <v>0</v>
      </c>
      <c r="GI69" s="321">
        <f t="shared" si="232"/>
        <v>0</v>
      </c>
      <c r="GJ69" s="179">
        <f t="shared" si="186"/>
        <v>0</v>
      </c>
      <c r="GK69" s="9">
        <v>0</v>
      </c>
      <c r="GL69" s="18" t="s">
        <v>238</v>
      </c>
      <c r="GM69" s="18" t="s">
        <v>238</v>
      </c>
      <c r="GN69" s="324">
        <f t="shared" si="233"/>
        <v>0</v>
      </c>
      <c r="GO69" s="321">
        <f t="shared" si="234"/>
        <v>0</v>
      </c>
      <c r="GP69" s="179">
        <f t="shared" si="187"/>
        <v>0</v>
      </c>
      <c r="GQ69" s="9">
        <v>0</v>
      </c>
      <c r="GR69" s="18" t="s">
        <v>238</v>
      </c>
      <c r="GS69" s="18" t="s">
        <v>238</v>
      </c>
      <c r="GT69" s="324">
        <f t="shared" si="235"/>
        <v>0</v>
      </c>
      <c r="GU69" s="321">
        <f t="shared" si="236"/>
        <v>0</v>
      </c>
      <c r="GV69" s="179">
        <f t="shared" si="188"/>
        <v>0</v>
      </c>
      <c r="GW69" s="9">
        <v>0</v>
      </c>
      <c r="GX69" s="18" t="s">
        <v>238</v>
      </c>
      <c r="GY69" s="18" t="s">
        <v>238</v>
      </c>
      <c r="GZ69" s="324">
        <f t="shared" si="237"/>
        <v>0</v>
      </c>
      <c r="HA69" s="321">
        <f t="shared" si="238"/>
        <v>0</v>
      </c>
      <c r="HB69" s="179">
        <f t="shared" si="189"/>
        <v>0</v>
      </c>
      <c r="HC69" s="102">
        <f t="shared" si="190"/>
        <v>0</v>
      </c>
      <c r="HD69" s="285">
        <f t="shared" si="239"/>
        <v>0</v>
      </c>
      <c r="HE69" s="12">
        <f t="shared" si="240"/>
        <v>0</v>
      </c>
      <c r="HF69" s="12">
        <f t="shared" si="191"/>
        <v>0</v>
      </c>
      <c r="HG69" s="12">
        <f t="shared" si="241"/>
        <v>0</v>
      </c>
      <c r="HH69" s="14">
        <f t="shared" si="242"/>
        <v>0</v>
      </c>
      <c r="HI69" s="13">
        <f t="shared" si="243"/>
        <v>0</v>
      </c>
      <c r="HJ69" s="102">
        <f t="shared" si="244"/>
        <v>0</v>
      </c>
      <c r="HK69" s="16">
        <f t="shared" si="245"/>
        <v>0</v>
      </c>
      <c r="HL69" s="103">
        <f t="shared" si="246"/>
        <v>0</v>
      </c>
      <c r="HM69" s="103">
        <f t="shared" si="247"/>
        <v>0</v>
      </c>
      <c r="HN69" s="17">
        <f t="shared" si="248"/>
        <v>0</v>
      </c>
      <c r="HO69" s="56">
        <f t="shared" si="249"/>
        <v>0</v>
      </c>
      <c r="HP69" s="16">
        <f t="shared" si="250"/>
        <v>0</v>
      </c>
      <c r="HQ69" s="16">
        <f t="shared" si="251"/>
        <v>0</v>
      </c>
      <c r="HR69" s="16">
        <f t="shared" si="252"/>
        <v>0</v>
      </c>
    </row>
    <row r="70" spans="1:226" x14ac:dyDescent="0.3">
      <c r="A70" s="145">
        <v>15</v>
      </c>
      <c r="B70" s="280"/>
      <c r="C70" s="312" t="s">
        <v>351</v>
      </c>
      <c r="D70" s="206" t="s">
        <v>198</v>
      </c>
      <c r="E70" s="27"/>
      <c r="F70" s="9"/>
      <c r="G70" s="9"/>
      <c r="H70" s="324"/>
      <c r="I70" s="324">
        <v>1010975</v>
      </c>
      <c r="J70" s="324"/>
      <c r="K70" s="324"/>
      <c r="L70" s="324">
        <v>1010975</v>
      </c>
      <c r="M70" s="23">
        <v>1010975</v>
      </c>
      <c r="N70" s="23">
        <v>1010975</v>
      </c>
      <c r="O70" s="298">
        <v>1010975</v>
      </c>
      <c r="P70" s="298">
        <v>1010975</v>
      </c>
      <c r="Q70" s="298">
        <v>1010975</v>
      </c>
      <c r="R70" s="298">
        <v>1010975</v>
      </c>
      <c r="S70" s="298">
        <v>1010975</v>
      </c>
      <c r="T70" s="298">
        <v>1010975</v>
      </c>
      <c r="U70" s="298">
        <f t="shared" si="192"/>
        <v>50548.75</v>
      </c>
      <c r="V70" s="298">
        <f t="shared" si="193"/>
        <v>1061523.75</v>
      </c>
      <c r="W70" s="298">
        <v>1061523</v>
      </c>
      <c r="X70" s="298">
        <v>1061523</v>
      </c>
      <c r="Y70" s="298">
        <v>1061523</v>
      </c>
      <c r="Z70" s="298">
        <v>1061523</v>
      </c>
      <c r="AA70" s="298">
        <v>1061523</v>
      </c>
      <c r="AB70" s="298">
        <v>1061523</v>
      </c>
      <c r="AC70" s="9">
        <v>0</v>
      </c>
      <c r="AD70" s="9">
        <v>0</v>
      </c>
      <c r="AE70" s="298">
        <f t="shared" si="194"/>
        <v>1061523</v>
      </c>
      <c r="AF70" s="298">
        <v>1061523</v>
      </c>
      <c r="AG70" s="9">
        <v>0</v>
      </c>
      <c r="AH70" s="9">
        <v>0</v>
      </c>
      <c r="AI70" s="298">
        <f t="shared" si="195"/>
        <v>1061523</v>
      </c>
      <c r="AJ70" s="298">
        <v>1061523</v>
      </c>
      <c r="AK70" s="9">
        <v>0</v>
      </c>
      <c r="AL70" s="9">
        <v>0</v>
      </c>
      <c r="AM70" s="298">
        <f t="shared" si="155"/>
        <v>1061523</v>
      </c>
      <c r="AN70" s="298">
        <v>1061523</v>
      </c>
      <c r="AO70" s="9">
        <v>0</v>
      </c>
      <c r="AP70" s="9">
        <v>0</v>
      </c>
      <c r="AQ70" s="298">
        <f t="shared" si="156"/>
        <v>1061523</v>
      </c>
      <c r="AR70" s="28">
        <v>1061523</v>
      </c>
      <c r="AS70" s="9">
        <v>0</v>
      </c>
      <c r="AT70" s="9">
        <v>0</v>
      </c>
      <c r="AU70" s="298">
        <f t="shared" si="261"/>
        <v>1061523</v>
      </c>
      <c r="AV70" s="298">
        <v>1061523</v>
      </c>
      <c r="AW70" s="9">
        <v>0</v>
      </c>
      <c r="AX70" s="9">
        <v>0</v>
      </c>
      <c r="AY70" s="7">
        <f t="shared" si="158"/>
        <v>1061523</v>
      </c>
      <c r="AZ70" s="8">
        <f t="shared" si="196"/>
        <v>53076.15</v>
      </c>
      <c r="BA70" s="8">
        <v>0.15</v>
      </c>
      <c r="BB70" s="8">
        <f t="shared" si="197"/>
        <v>53076</v>
      </c>
      <c r="BC70" s="8">
        <f t="shared" si="198"/>
        <v>1114599</v>
      </c>
      <c r="BD70" s="8"/>
      <c r="BE70" s="8">
        <f t="shared" si="199"/>
        <v>1114599</v>
      </c>
      <c r="BF70" s="10">
        <f t="shared" si="200"/>
        <v>53076</v>
      </c>
      <c r="BG70" s="11">
        <f t="shared" si="201"/>
        <v>0</v>
      </c>
      <c r="BH70" s="11">
        <v>1114599</v>
      </c>
      <c r="BI70" s="11"/>
      <c r="BJ70" s="11"/>
      <c r="BK70" s="319">
        <f t="shared" si="159"/>
        <v>1114599</v>
      </c>
      <c r="BL70" s="319">
        <v>1114599</v>
      </c>
      <c r="BM70" s="319">
        <v>0</v>
      </c>
      <c r="BN70" s="319">
        <v>0</v>
      </c>
      <c r="BO70" s="319">
        <f t="shared" si="260"/>
        <v>1114599</v>
      </c>
      <c r="BP70" s="319">
        <f t="shared" si="253"/>
        <v>0</v>
      </c>
      <c r="BQ70" s="319">
        <v>1114599</v>
      </c>
      <c r="BR70" s="319">
        <v>0</v>
      </c>
      <c r="BS70" s="319">
        <v>0</v>
      </c>
      <c r="BT70" s="319">
        <f t="shared" si="161"/>
        <v>1114599</v>
      </c>
      <c r="BU70" s="319">
        <f t="shared" si="162"/>
        <v>0</v>
      </c>
      <c r="BV70" s="319">
        <v>1114599</v>
      </c>
      <c r="BW70" s="319">
        <v>0</v>
      </c>
      <c r="BX70" s="319">
        <v>0</v>
      </c>
      <c r="BY70" s="319">
        <f t="shared" si="163"/>
        <v>1114599</v>
      </c>
      <c r="BZ70" s="319">
        <f t="shared" si="164"/>
        <v>0</v>
      </c>
      <c r="CA70" s="319">
        <v>1114599</v>
      </c>
      <c r="CB70" s="319">
        <v>0</v>
      </c>
      <c r="CC70" s="319">
        <v>0</v>
      </c>
      <c r="CD70" s="319">
        <f t="shared" si="165"/>
        <v>1114599</v>
      </c>
      <c r="CE70" s="319">
        <f t="shared" si="166"/>
        <v>0</v>
      </c>
      <c r="CF70" s="319">
        <v>1114599</v>
      </c>
      <c r="CG70" s="319">
        <v>0</v>
      </c>
      <c r="CH70" s="319">
        <v>0</v>
      </c>
      <c r="CI70" s="319">
        <f t="shared" si="167"/>
        <v>1114599</v>
      </c>
      <c r="CJ70" s="319">
        <f t="shared" si="168"/>
        <v>0</v>
      </c>
      <c r="CK70" s="319">
        <v>1114599</v>
      </c>
      <c r="CL70" s="319">
        <v>0</v>
      </c>
      <c r="CM70" s="319">
        <v>0</v>
      </c>
      <c r="CN70" s="319">
        <f t="shared" si="262"/>
        <v>1114599</v>
      </c>
      <c r="CO70" s="319">
        <f t="shared" si="263"/>
        <v>0</v>
      </c>
      <c r="CP70" s="319">
        <v>1114599</v>
      </c>
      <c r="CQ70" s="319">
        <v>0</v>
      </c>
      <c r="CR70" s="319">
        <v>0</v>
      </c>
      <c r="CS70" s="319">
        <f t="shared" si="264"/>
        <v>1114599</v>
      </c>
      <c r="CT70" s="319">
        <f t="shared" si="265"/>
        <v>0</v>
      </c>
      <c r="CU70" s="319">
        <v>1114599</v>
      </c>
      <c r="CV70" s="319">
        <v>0</v>
      </c>
      <c r="CW70" s="319">
        <v>0</v>
      </c>
      <c r="CX70" s="319">
        <f t="shared" si="266"/>
        <v>1114599</v>
      </c>
      <c r="CY70" s="319">
        <f t="shared" si="267"/>
        <v>0</v>
      </c>
      <c r="CZ70" s="319"/>
      <c r="DA70" s="319"/>
      <c r="DB70" s="319"/>
      <c r="DC70" s="12">
        <f t="shared" si="202"/>
        <v>111459.90000000001</v>
      </c>
      <c r="DD70" s="12">
        <v>0.9</v>
      </c>
      <c r="DE70" s="13">
        <f t="shared" si="203"/>
        <v>111459.00000000001</v>
      </c>
      <c r="DF70" s="14">
        <f t="shared" si="169"/>
        <v>111459.00000000001</v>
      </c>
      <c r="DG70" s="13">
        <f t="shared" si="170"/>
        <v>1226058</v>
      </c>
      <c r="DH70" s="15">
        <f t="shared" si="171"/>
        <v>8.718723874238532E-2</v>
      </c>
      <c r="DI70" s="16">
        <f t="shared" si="172"/>
        <v>1114599</v>
      </c>
      <c r="DJ70" s="132">
        <f t="shared" si="204"/>
        <v>1226058.9000000001</v>
      </c>
      <c r="DK70" s="17">
        <f t="shared" si="205"/>
        <v>111459.90000000014</v>
      </c>
      <c r="DL70" s="17">
        <f t="shared" si="173"/>
        <v>0.9</v>
      </c>
      <c r="DM70" s="16">
        <f t="shared" si="206"/>
        <v>111459.00000000015</v>
      </c>
      <c r="DN70" s="16">
        <f t="shared" si="174"/>
        <v>1.3096723705530167E-10</v>
      </c>
      <c r="DO70" s="16">
        <f t="shared" si="207"/>
        <v>1226058.0000000002</v>
      </c>
      <c r="DP70" s="16">
        <f t="shared" si="175"/>
        <v>0</v>
      </c>
      <c r="DQ70" s="9">
        <v>1226058</v>
      </c>
      <c r="DR70" s="18" t="s">
        <v>238</v>
      </c>
      <c r="DS70" s="18" t="s">
        <v>238</v>
      </c>
      <c r="DT70" s="324">
        <f t="shared" si="208"/>
        <v>1226058</v>
      </c>
      <c r="DU70" s="321">
        <f t="shared" si="209"/>
        <v>1226058</v>
      </c>
      <c r="DV70" s="19">
        <f t="shared" si="210"/>
        <v>0</v>
      </c>
      <c r="DW70" s="9">
        <v>1226058</v>
      </c>
      <c r="DX70" s="18"/>
      <c r="DY70" s="18"/>
      <c r="DZ70" s="324">
        <f t="shared" si="211"/>
        <v>1226058</v>
      </c>
      <c r="EA70" s="321">
        <f t="shared" si="212"/>
        <v>1226058</v>
      </c>
      <c r="EB70" s="179">
        <f t="shared" si="176"/>
        <v>0</v>
      </c>
      <c r="EC70" s="9">
        <v>1226058</v>
      </c>
      <c r="ED70" s="18" t="s">
        <v>238</v>
      </c>
      <c r="EE70" s="18" t="s">
        <v>238</v>
      </c>
      <c r="EF70" s="324">
        <f t="shared" si="213"/>
        <v>1226058</v>
      </c>
      <c r="EG70" s="321">
        <f t="shared" si="214"/>
        <v>1226058</v>
      </c>
      <c r="EH70" s="179">
        <f t="shared" si="177"/>
        <v>0</v>
      </c>
      <c r="EI70" s="9">
        <v>1226058</v>
      </c>
      <c r="EJ70" s="18" t="s">
        <v>238</v>
      </c>
      <c r="EK70" s="18" t="s">
        <v>238</v>
      </c>
      <c r="EL70" s="324">
        <f t="shared" si="215"/>
        <v>1226058</v>
      </c>
      <c r="EM70" s="321">
        <f t="shared" si="216"/>
        <v>1226058</v>
      </c>
      <c r="EN70" s="179">
        <f t="shared" si="178"/>
        <v>0</v>
      </c>
      <c r="EO70" s="9">
        <v>1226058</v>
      </c>
      <c r="EP70" s="18" t="s">
        <v>238</v>
      </c>
      <c r="EQ70" s="18" t="s">
        <v>238</v>
      </c>
      <c r="ER70" s="324">
        <f t="shared" si="217"/>
        <v>1226058</v>
      </c>
      <c r="ES70" s="321">
        <f t="shared" si="218"/>
        <v>1226058</v>
      </c>
      <c r="ET70" s="179">
        <f t="shared" si="179"/>
        <v>0</v>
      </c>
      <c r="EU70" s="9">
        <v>1226058</v>
      </c>
      <c r="EV70" s="18" t="s">
        <v>238</v>
      </c>
      <c r="EW70" s="18" t="s">
        <v>238</v>
      </c>
      <c r="EX70" s="324">
        <f t="shared" si="219"/>
        <v>1226058</v>
      </c>
      <c r="EY70" s="321">
        <f t="shared" si="220"/>
        <v>1226058</v>
      </c>
      <c r="EZ70" s="179">
        <f t="shared" si="180"/>
        <v>0</v>
      </c>
      <c r="FA70" s="9">
        <v>1226058</v>
      </c>
      <c r="FB70" s="18" t="s">
        <v>238</v>
      </c>
      <c r="FC70" s="18" t="s">
        <v>238</v>
      </c>
      <c r="FD70" s="324">
        <f t="shared" si="221"/>
        <v>1226058</v>
      </c>
      <c r="FE70" s="321">
        <f t="shared" si="222"/>
        <v>1226058</v>
      </c>
      <c r="FF70" s="179">
        <f t="shared" si="181"/>
        <v>0</v>
      </c>
      <c r="FG70" s="9">
        <v>1226058</v>
      </c>
      <c r="FH70" s="18" t="s">
        <v>238</v>
      </c>
      <c r="FI70" s="18" t="s">
        <v>238</v>
      </c>
      <c r="FJ70" s="324">
        <f t="shared" si="223"/>
        <v>1226058</v>
      </c>
      <c r="FK70" s="321">
        <f t="shared" si="224"/>
        <v>1226058</v>
      </c>
      <c r="FL70" s="179">
        <f t="shared" si="182"/>
        <v>0</v>
      </c>
      <c r="FM70" s="9">
        <v>1226058</v>
      </c>
      <c r="FN70" s="18" t="s">
        <v>238</v>
      </c>
      <c r="FO70" s="18" t="s">
        <v>238</v>
      </c>
      <c r="FP70" s="324">
        <f t="shared" si="225"/>
        <v>1226058</v>
      </c>
      <c r="FQ70" s="321">
        <f t="shared" si="226"/>
        <v>1226058</v>
      </c>
      <c r="FR70" s="179">
        <f t="shared" si="183"/>
        <v>0</v>
      </c>
      <c r="FS70" s="9">
        <v>1226058</v>
      </c>
      <c r="FT70" s="18" t="s">
        <v>238</v>
      </c>
      <c r="FU70" s="18" t="s">
        <v>238</v>
      </c>
      <c r="FV70" s="324">
        <f t="shared" si="227"/>
        <v>1226058</v>
      </c>
      <c r="FW70" s="321">
        <f t="shared" si="228"/>
        <v>1226058</v>
      </c>
      <c r="FX70" s="179">
        <f t="shared" si="184"/>
        <v>0</v>
      </c>
      <c r="FY70" s="9">
        <v>1226058</v>
      </c>
      <c r="FZ70" s="18" t="s">
        <v>238</v>
      </c>
      <c r="GA70" s="18" t="s">
        <v>238</v>
      </c>
      <c r="GB70" s="324">
        <f t="shared" si="229"/>
        <v>1226058</v>
      </c>
      <c r="GC70" s="321">
        <f t="shared" si="230"/>
        <v>1226058</v>
      </c>
      <c r="GD70" s="179">
        <f t="shared" si="185"/>
        <v>0</v>
      </c>
      <c r="GE70" s="9">
        <v>1226058</v>
      </c>
      <c r="GF70" s="18" t="s">
        <v>238</v>
      </c>
      <c r="GG70" s="18" t="s">
        <v>238</v>
      </c>
      <c r="GH70" s="324">
        <f t="shared" si="231"/>
        <v>1226058</v>
      </c>
      <c r="GI70" s="321">
        <f t="shared" si="232"/>
        <v>1226058</v>
      </c>
      <c r="GJ70" s="179">
        <f t="shared" si="186"/>
        <v>0</v>
      </c>
      <c r="GK70" s="9">
        <v>1226058</v>
      </c>
      <c r="GL70" s="18" t="s">
        <v>238</v>
      </c>
      <c r="GM70" s="18" t="s">
        <v>238</v>
      </c>
      <c r="GN70" s="324">
        <f t="shared" si="233"/>
        <v>1226058</v>
      </c>
      <c r="GO70" s="321">
        <f t="shared" si="234"/>
        <v>1226058</v>
      </c>
      <c r="GP70" s="179">
        <f t="shared" si="187"/>
        <v>0</v>
      </c>
      <c r="GQ70" s="9">
        <v>1226058</v>
      </c>
      <c r="GR70" s="18" t="s">
        <v>238</v>
      </c>
      <c r="GS70" s="18" t="s">
        <v>238</v>
      </c>
      <c r="GT70" s="324">
        <f t="shared" si="235"/>
        <v>1226058</v>
      </c>
      <c r="GU70" s="321">
        <f t="shared" si="236"/>
        <v>1226058</v>
      </c>
      <c r="GV70" s="179">
        <f t="shared" si="188"/>
        <v>0</v>
      </c>
      <c r="GW70" s="9">
        <v>1287360</v>
      </c>
      <c r="GX70" s="18" t="s">
        <v>238</v>
      </c>
      <c r="GY70" s="18" t="s">
        <v>238</v>
      </c>
      <c r="GZ70" s="324">
        <f t="shared" si="237"/>
        <v>1287360</v>
      </c>
      <c r="HA70" s="321">
        <f t="shared" si="238"/>
        <v>1287360</v>
      </c>
      <c r="HB70" s="179">
        <f t="shared" si="189"/>
        <v>61302</v>
      </c>
      <c r="HC70" s="102">
        <f t="shared" si="190"/>
        <v>8.7187174741777465E-2</v>
      </c>
      <c r="HD70" s="285">
        <f t="shared" si="239"/>
        <v>-1.3824319466948509E-10</v>
      </c>
      <c r="HE70" s="12">
        <f t="shared" si="240"/>
        <v>61302.9</v>
      </c>
      <c r="HF70" s="12">
        <f t="shared" si="191"/>
        <v>0.90000000000145519</v>
      </c>
      <c r="HG70" s="12">
        <f t="shared" si="241"/>
        <v>61302</v>
      </c>
      <c r="HH70" s="14">
        <f t="shared" si="242"/>
        <v>61302</v>
      </c>
      <c r="HI70" s="13">
        <f t="shared" si="243"/>
        <v>1287360</v>
      </c>
      <c r="HJ70" s="102">
        <f t="shared" si="244"/>
        <v>9.154646947825848E-2</v>
      </c>
      <c r="HK70" s="16">
        <f t="shared" si="245"/>
        <v>1226058</v>
      </c>
      <c r="HL70" s="103">
        <f t="shared" si="246"/>
        <v>1287360.9000000001</v>
      </c>
      <c r="HM70" s="103">
        <f t="shared" si="247"/>
        <v>61302.90000000014</v>
      </c>
      <c r="HN70" s="17">
        <f t="shared" si="248"/>
        <v>0.90000000000145519</v>
      </c>
      <c r="HO70" s="56">
        <f t="shared" si="249"/>
        <v>61302.000000000138</v>
      </c>
      <c r="HP70" s="16">
        <f t="shared" si="250"/>
        <v>1.3824319466948509E-10</v>
      </c>
      <c r="HQ70" s="16">
        <f t="shared" si="251"/>
        <v>1287360.0000000002</v>
      </c>
      <c r="HR70" s="16">
        <f t="shared" si="252"/>
        <v>0</v>
      </c>
    </row>
    <row r="71" spans="1:226" x14ac:dyDescent="0.3">
      <c r="A71" s="145">
        <v>16</v>
      </c>
      <c r="B71" s="280"/>
      <c r="C71" s="312" t="s">
        <v>319</v>
      </c>
      <c r="D71" s="206" t="s">
        <v>199</v>
      </c>
      <c r="E71" s="27"/>
      <c r="F71" s="9"/>
      <c r="G71" s="9"/>
      <c r="H71" s="324"/>
      <c r="I71" s="324">
        <v>6175896</v>
      </c>
      <c r="J71" s="324"/>
      <c r="K71" s="324"/>
      <c r="L71" s="324">
        <v>6175896</v>
      </c>
      <c r="M71" s="23">
        <v>6175896</v>
      </c>
      <c r="N71" s="23">
        <v>6175896</v>
      </c>
      <c r="O71" s="298">
        <v>6175896</v>
      </c>
      <c r="P71" s="298">
        <v>6175896</v>
      </c>
      <c r="Q71" s="298">
        <v>6175896</v>
      </c>
      <c r="R71" s="298">
        <v>6175896</v>
      </c>
      <c r="S71" s="298">
        <v>6175896</v>
      </c>
      <c r="T71" s="298">
        <v>6175896</v>
      </c>
      <c r="U71" s="298">
        <f t="shared" si="192"/>
        <v>308794.8</v>
      </c>
      <c r="V71" s="298">
        <f t="shared" si="193"/>
        <v>6484690.7999999998</v>
      </c>
      <c r="W71" s="298">
        <v>6484690</v>
      </c>
      <c r="X71" s="298">
        <v>6484690</v>
      </c>
      <c r="Y71" s="298">
        <v>6484690</v>
      </c>
      <c r="Z71" s="298">
        <v>6484690</v>
      </c>
      <c r="AA71" s="298">
        <v>6484690</v>
      </c>
      <c r="AB71" s="298">
        <v>6484690</v>
      </c>
      <c r="AC71" s="9">
        <v>0</v>
      </c>
      <c r="AD71" s="9">
        <v>0</v>
      </c>
      <c r="AE71" s="298">
        <f t="shared" si="194"/>
        <v>6484690</v>
      </c>
      <c r="AF71" s="298">
        <v>6484690</v>
      </c>
      <c r="AG71" s="9">
        <v>0</v>
      </c>
      <c r="AH71" s="9">
        <v>0</v>
      </c>
      <c r="AI71" s="298">
        <f t="shared" si="195"/>
        <v>6484690</v>
      </c>
      <c r="AJ71" s="298">
        <v>6484690</v>
      </c>
      <c r="AK71" s="9">
        <v>0</v>
      </c>
      <c r="AL71" s="9">
        <v>0</v>
      </c>
      <c r="AM71" s="298">
        <f t="shared" si="155"/>
        <v>6484690</v>
      </c>
      <c r="AN71" s="298">
        <v>6484690</v>
      </c>
      <c r="AO71" s="9">
        <v>0</v>
      </c>
      <c r="AP71" s="9">
        <v>0</v>
      </c>
      <c r="AQ71" s="298">
        <f t="shared" si="156"/>
        <v>6484690</v>
      </c>
      <c r="AR71" s="46">
        <v>6485240</v>
      </c>
      <c r="AS71" s="4">
        <v>0</v>
      </c>
      <c r="AT71" s="4">
        <v>0</v>
      </c>
      <c r="AU71" s="298">
        <f t="shared" si="261"/>
        <v>6485240</v>
      </c>
      <c r="AV71" s="325">
        <v>6485240</v>
      </c>
      <c r="AW71" s="4">
        <v>0</v>
      </c>
      <c r="AX71" s="4">
        <v>0</v>
      </c>
      <c r="AY71" s="7">
        <f t="shared" si="158"/>
        <v>6485240</v>
      </c>
      <c r="AZ71" s="8">
        <f t="shared" si="196"/>
        <v>324262</v>
      </c>
      <c r="BA71" s="8"/>
      <c r="BB71" s="8">
        <f t="shared" si="197"/>
        <v>324262</v>
      </c>
      <c r="BC71" s="8">
        <f t="shared" si="198"/>
        <v>6809502</v>
      </c>
      <c r="BD71" s="8"/>
      <c r="BE71" s="8">
        <f t="shared" si="199"/>
        <v>6809502</v>
      </c>
      <c r="BF71" s="10">
        <f t="shared" si="200"/>
        <v>324262</v>
      </c>
      <c r="BG71" s="11">
        <f t="shared" si="201"/>
        <v>0</v>
      </c>
      <c r="BH71" s="11">
        <v>6809502</v>
      </c>
      <c r="BI71" s="11"/>
      <c r="BJ71" s="11"/>
      <c r="BK71" s="319">
        <f t="shared" si="159"/>
        <v>6809502</v>
      </c>
      <c r="BL71" s="319">
        <v>6809502</v>
      </c>
      <c r="BM71" s="319">
        <v>0</v>
      </c>
      <c r="BN71" s="319">
        <v>0</v>
      </c>
      <c r="BO71" s="319">
        <f t="shared" si="260"/>
        <v>6809502</v>
      </c>
      <c r="BP71" s="319">
        <f t="shared" si="253"/>
        <v>0</v>
      </c>
      <c r="BQ71" s="319">
        <v>6809502</v>
      </c>
      <c r="BR71" s="319">
        <v>0</v>
      </c>
      <c r="BS71" s="319">
        <v>0</v>
      </c>
      <c r="BT71" s="319">
        <f t="shared" si="161"/>
        <v>6809502</v>
      </c>
      <c r="BU71" s="319">
        <f t="shared" si="162"/>
        <v>0</v>
      </c>
      <c r="BV71" s="319">
        <v>6809502</v>
      </c>
      <c r="BW71" s="319">
        <v>0</v>
      </c>
      <c r="BX71" s="319">
        <v>0</v>
      </c>
      <c r="BY71" s="319">
        <f t="shared" si="163"/>
        <v>6809502</v>
      </c>
      <c r="BZ71" s="319">
        <f t="shared" si="164"/>
        <v>0</v>
      </c>
      <c r="CA71" s="319">
        <v>6809502</v>
      </c>
      <c r="CB71" s="319">
        <v>0</v>
      </c>
      <c r="CC71" s="319">
        <v>0</v>
      </c>
      <c r="CD71" s="319">
        <f t="shared" si="165"/>
        <v>6809502</v>
      </c>
      <c r="CE71" s="319">
        <f t="shared" si="166"/>
        <v>0</v>
      </c>
      <c r="CF71" s="319">
        <v>6809502</v>
      </c>
      <c r="CG71" s="319">
        <v>0</v>
      </c>
      <c r="CH71" s="319">
        <v>0</v>
      </c>
      <c r="CI71" s="319">
        <f t="shared" si="167"/>
        <v>6809502</v>
      </c>
      <c r="CJ71" s="319">
        <f t="shared" si="168"/>
        <v>0</v>
      </c>
      <c r="CK71" s="319">
        <v>6809502</v>
      </c>
      <c r="CL71" s="319">
        <v>0</v>
      </c>
      <c r="CM71" s="319">
        <v>0</v>
      </c>
      <c r="CN71" s="319">
        <f t="shared" si="262"/>
        <v>6809502</v>
      </c>
      <c r="CO71" s="319">
        <f t="shared" si="263"/>
        <v>0</v>
      </c>
      <c r="CP71" s="319">
        <v>6809502</v>
      </c>
      <c r="CQ71" s="319">
        <v>0</v>
      </c>
      <c r="CR71" s="319">
        <v>0</v>
      </c>
      <c r="CS71" s="319">
        <f t="shared" si="264"/>
        <v>6809502</v>
      </c>
      <c r="CT71" s="319">
        <f t="shared" si="265"/>
        <v>0</v>
      </c>
      <c r="CU71" s="319">
        <v>6809502</v>
      </c>
      <c r="CV71" s="319">
        <v>0</v>
      </c>
      <c r="CW71" s="319">
        <v>0</v>
      </c>
      <c r="CX71" s="319">
        <f t="shared" si="266"/>
        <v>6809502</v>
      </c>
      <c r="CY71" s="319">
        <f t="shared" si="267"/>
        <v>0</v>
      </c>
      <c r="CZ71" s="319"/>
      <c r="DA71" s="319"/>
      <c r="DB71" s="319"/>
      <c r="DC71" s="12">
        <f t="shared" si="202"/>
        <v>680950.20000000007</v>
      </c>
      <c r="DD71" s="12">
        <v>0.2</v>
      </c>
      <c r="DE71" s="13">
        <f t="shared" si="203"/>
        <v>680950.00000000012</v>
      </c>
      <c r="DF71" s="14">
        <f t="shared" si="169"/>
        <v>680950.00000000012</v>
      </c>
      <c r="DG71" s="13">
        <f t="shared" si="170"/>
        <v>7490452</v>
      </c>
      <c r="DH71" s="15">
        <f t="shared" si="171"/>
        <v>0.53265943769082003</v>
      </c>
      <c r="DI71" s="16">
        <f t="shared" si="172"/>
        <v>6809502</v>
      </c>
      <c r="DJ71" s="132">
        <f t="shared" si="204"/>
        <v>7490452.2000000002</v>
      </c>
      <c r="DK71" s="17">
        <f t="shared" si="205"/>
        <v>680950.20000000019</v>
      </c>
      <c r="DL71" s="17">
        <f t="shared" si="173"/>
        <v>0.2</v>
      </c>
      <c r="DM71" s="16">
        <f t="shared" si="206"/>
        <v>680950.00000000023</v>
      </c>
      <c r="DN71" s="16">
        <f t="shared" si="174"/>
        <v>0</v>
      </c>
      <c r="DO71" s="16">
        <f t="shared" si="207"/>
        <v>7490452</v>
      </c>
      <c r="DP71" s="16">
        <f t="shared" si="175"/>
        <v>0</v>
      </c>
      <c r="DQ71" s="9">
        <v>7490452</v>
      </c>
      <c r="DR71" s="18" t="s">
        <v>238</v>
      </c>
      <c r="DS71" s="18" t="s">
        <v>238</v>
      </c>
      <c r="DT71" s="324">
        <f t="shared" si="208"/>
        <v>7490452</v>
      </c>
      <c r="DU71" s="321">
        <f t="shared" si="209"/>
        <v>7490452</v>
      </c>
      <c r="DV71" s="19">
        <f t="shared" si="210"/>
        <v>0</v>
      </c>
      <c r="DW71" s="9">
        <v>7490452</v>
      </c>
      <c r="DX71" s="18"/>
      <c r="DY71" s="18"/>
      <c r="DZ71" s="324">
        <f t="shared" si="211"/>
        <v>7490452</v>
      </c>
      <c r="EA71" s="321">
        <f t="shared" si="212"/>
        <v>7490452</v>
      </c>
      <c r="EB71" s="179">
        <f t="shared" si="176"/>
        <v>0</v>
      </c>
      <c r="EC71" s="9">
        <v>7490452</v>
      </c>
      <c r="ED71" s="18" t="s">
        <v>238</v>
      </c>
      <c r="EE71" s="18" t="s">
        <v>238</v>
      </c>
      <c r="EF71" s="324">
        <f t="shared" si="213"/>
        <v>7490452</v>
      </c>
      <c r="EG71" s="321">
        <f t="shared" si="214"/>
        <v>7490452</v>
      </c>
      <c r="EH71" s="179">
        <f t="shared" si="177"/>
        <v>0</v>
      </c>
      <c r="EI71" s="9">
        <v>7490412</v>
      </c>
      <c r="EJ71" s="18" t="s">
        <v>238</v>
      </c>
      <c r="EK71" s="18" t="s">
        <v>238</v>
      </c>
      <c r="EL71" s="324">
        <f t="shared" si="215"/>
        <v>7490412</v>
      </c>
      <c r="EM71" s="321">
        <f t="shared" si="216"/>
        <v>7490412</v>
      </c>
      <c r="EN71" s="22">
        <f t="shared" si="178"/>
        <v>-40</v>
      </c>
      <c r="EO71" s="9">
        <v>7490412</v>
      </c>
      <c r="EP71" s="18" t="s">
        <v>238</v>
      </c>
      <c r="EQ71" s="18" t="s">
        <v>238</v>
      </c>
      <c r="ER71" s="324">
        <f t="shared" si="217"/>
        <v>7490412</v>
      </c>
      <c r="ES71" s="321">
        <f t="shared" si="218"/>
        <v>7490412</v>
      </c>
      <c r="ET71" s="179">
        <f t="shared" si="179"/>
        <v>0</v>
      </c>
      <c r="EU71" s="9">
        <v>7490412</v>
      </c>
      <c r="EV71" s="18" t="s">
        <v>238</v>
      </c>
      <c r="EW71" s="18" t="s">
        <v>238</v>
      </c>
      <c r="EX71" s="324">
        <f t="shared" si="219"/>
        <v>7490412</v>
      </c>
      <c r="EY71" s="321">
        <f t="shared" si="220"/>
        <v>7490412</v>
      </c>
      <c r="EZ71" s="179">
        <f t="shared" si="180"/>
        <v>0</v>
      </c>
      <c r="FA71" s="9">
        <v>7490412</v>
      </c>
      <c r="FB71" s="18" t="s">
        <v>238</v>
      </c>
      <c r="FC71" s="18" t="s">
        <v>238</v>
      </c>
      <c r="FD71" s="324">
        <f t="shared" si="221"/>
        <v>7490412</v>
      </c>
      <c r="FE71" s="321">
        <f t="shared" si="222"/>
        <v>7490412</v>
      </c>
      <c r="FF71" s="179">
        <f t="shared" si="181"/>
        <v>0</v>
      </c>
      <c r="FG71" s="9">
        <v>7490412</v>
      </c>
      <c r="FH71" s="18" t="s">
        <v>238</v>
      </c>
      <c r="FI71" s="18" t="s">
        <v>238</v>
      </c>
      <c r="FJ71" s="324">
        <f t="shared" si="223"/>
        <v>7490412</v>
      </c>
      <c r="FK71" s="321">
        <f t="shared" si="224"/>
        <v>7490412</v>
      </c>
      <c r="FL71" s="179">
        <f t="shared" si="182"/>
        <v>0</v>
      </c>
      <c r="FM71" s="9">
        <v>7490412</v>
      </c>
      <c r="FN71" s="18" t="s">
        <v>238</v>
      </c>
      <c r="FO71" s="18" t="s">
        <v>238</v>
      </c>
      <c r="FP71" s="324">
        <f t="shared" si="225"/>
        <v>7490412</v>
      </c>
      <c r="FQ71" s="321">
        <f t="shared" si="226"/>
        <v>7490412</v>
      </c>
      <c r="FR71" s="179">
        <f t="shared" si="183"/>
        <v>0</v>
      </c>
      <c r="FS71" s="9">
        <v>7490412</v>
      </c>
      <c r="FT71" s="18" t="s">
        <v>238</v>
      </c>
      <c r="FU71" s="18" t="s">
        <v>238</v>
      </c>
      <c r="FV71" s="324">
        <f t="shared" si="227"/>
        <v>7490412</v>
      </c>
      <c r="FW71" s="321">
        <f t="shared" si="228"/>
        <v>7490412</v>
      </c>
      <c r="FX71" s="179">
        <f t="shared" si="184"/>
        <v>0</v>
      </c>
      <c r="FY71" s="9">
        <v>7490412</v>
      </c>
      <c r="FZ71" s="18" t="s">
        <v>238</v>
      </c>
      <c r="GA71" s="18" t="s">
        <v>238</v>
      </c>
      <c r="GB71" s="324">
        <f t="shared" si="229"/>
        <v>7490412</v>
      </c>
      <c r="GC71" s="321">
        <f t="shared" si="230"/>
        <v>7490412</v>
      </c>
      <c r="GD71" s="179">
        <f t="shared" si="185"/>
        <v>0</v>
      </c>
      <c r="GE71" s="9">
        <v>7490412</v>
      </c>
      <c r="GF71" s="18" t="s">
        <v>238</v>
      </c>
      <c r="GG71" s="18" t="s">
        <v>238</v>
      </c>
      <c r="GH71" s="324">
        <f t="shared" si="231"/>
        <v>7490412</v>
      </c>
      <c r="GI71" s="321">
        <f t="shared" si="232"/>
        <v>7490412</v>
      </c>
      <c r="GJ71" s="179">
        <f t="shared" si="186"/>
        <v>0</v>
      </c>
      <c r="GK71" s="9">
        <v>7490412</v>
      </c>
      <c r="GL71" s="18" t="s">
        <v>238</v>
      </c>
      <c r="GM71" s="18" t="s">
        <v>238</v>
      </c>
      <c r="GN71" s="324">
        <f t="shared" si="233"/>
        <v>7490412</v>
      </c>
      <c r="GO71" s="321">
        <f t="shared" si="234"/>
        <v>7490412</v>
      </c>
      <c r="GP71" s="179">
        <f t="shared" si="187"/>
        <v>0</v>
      </c>
      <c r="GQ71" s="9">
        <v>7490412</v>
      </c>
      <c r="GR71" s="18" t="s">
        <v>238</v>
      </c>
      <c r="GS71" s="18" t="s">
        <v>238</v>
      </c>
      <c r="GT71" s="324">
        <f t="shared" si="235"/>
        <v>7490412</v>
      </c>
      <c r="GU71" s="321">
        <f t="shared" si="236"/>
        <v>7490412</v>
      </c>
      <c r="GV71" s="179">
        <f t="shared" si="188"/>
        <v>0</v>
      </c>
      <c r="GW71" s="9">
        <v>7864932</v>
      </c>
      <c r="GX71" s="18" t="s">
        <v>238</v>
      </c>
      <c r="GY71" s="18" t="s">
        <v>238</v>
      </c>
      <c r="GZ71" s="324">
        <f t="shared" si="237"/>
        <v>7864932</v>
      </c>
      <c r="HA71" s="321">
        <f t="shared" si="238"/>
        <v>7864932</v>
      </c>
      <c r="HB71" s="179">
        <f t="shared" si="189"/>
        <v>374520</v>
      </c>
      <c r="HC71" s="102">
        <f t="shared" si="190"/>
        <v>0.53265657899700247</v>
      </c>
      <c r="HD71" s="285">
        <f t="shared" si="239"/>
        <v>-5.2386894822120667E-10</v>
      </c>
      <c r="HE71" s="12">
        <f t="shared" si="240"/>
        <v>374520.60000000003</v>
      </c>
      <c r="HF71" s="12">
        <f t="shared" si="191"/>
        <v>0.6000000000349246</v>
      </c>
      <c r="HG71" s="12">
        <f t="shared" si="241"/>
        <v>374520</v>
      </c>
      <c r="HH71" s="14">
        <f t="shared" si="242"/>
        <v>374520</v>
      </c>
      <c r="HI71" s="13">
        <f t="shared" si="243"/>
        <v>7864932</v>
      </c>
      <c r="HJ71" s="102">
        <f t="shared" si="244"/>
        <v>0.55928936527978068</v>
      </c>
      <c r="HK71" s="16">
        <f t="shared" si="245"/>
        <v>7490412</v>
      </c>
      <c r="HL71" s="103">
        <f t="shared" si="246"/>
        <v>7864932.6000000006</v>
      </c>
      <c r="HM71" s="103">
        <f t="shared" si="247"/>
        <v>374520.60000000056</v>
      </c>
      <c r="HN71" s="17">
        <f t="shared" si="248"/>
        <v>0.6000000000349246</v>
      </c>
      <c r="HO71" s="56">
        <f t="shared" si="249"/>
        <v>374520.00000000052</v>
      </c>
      <c r="HP71" s="16">
        <f t="shared" si="250"/>
        <v>5.2386894822120667E-10</v>
      </c>
      <c r="HQ71" s="16">
        <f t="shared" si="251"/>
        <v>7864932.0000000009</v>
      </c>
      <c r="HR71" s="16">
        <f t="shared" si="252"/>
        <v>0</v>
      </c>
    </row>
    <row r="72" spans="1:226" x14ac:dyDescent="0.3">
      <c r="A72" s="145">
        <v>17</v>
      </c>
      <c r="B72" s="280"/>
      <c r="C72" s="312" t="s">
        <v>352</v>
      </c>
      <c r="D72" s="206" t="s">
        <v>200</v>
      </c>
      <c r="E72" s="27"/>
      <c r="F72" s="9"/>
      <c r="G72" s="9"/>
      <c r="H72" s="324"/>
      <c r="I72" s="324">
        <v>12009212</v>
      </c>
      <c r="J72" s="324"/>
      <c r="K72" s="324"/>
      <c r="L72" s="324">
        <v>12009212</v>
      </c>
      <c r="M72" s="23">
        <v>12009212</v>
      </c>
      <c r="N72" s="23">
        <v>12009212</v>
      </c>
      <c r="O72" s="298">
        <v>12009212</v>
      </c>
      <c r="P72" s="298">
        <v>12009212</v>
      </c>
      <c r="Q72" s="298">
        <v>12009212</v>
      </c>
      <c r="R72" s="298">
        <v>12009212</v>
      </c>
      <c r="S72" s="298">
        <v>12009212</v>
      </c>
      <c r="T72" s="298">
        <v>12009212</v>
      </c>
      <c r="U72" s="298">
        <f t="shared" si="192"/>
        <v>600460.6</v>
      </c>
      <c r="V72" s="298">
        <f t="shared" si="193"/>
        <v>12609672.6</v>
      </c>
      <c r="W72" s="298">
        <v>12609672</v>
      </c>
      <c r="X72" s="298">
        <v>12609672</v>
      </c>
      <c r="Y72" s="298">
        <v>12609672</v>
      </c>
      <c r="Z72" s="298">
        <v>12609672</v>
      </c>
      <c r="AA72" s="298">
        <v>12609672</v>
      </c>
      <c r="AB72" s="298">
        <v>12609672</v>
      </c>
      <c r="AC72" s="9">
        <v>0</v>
      </c>
      <c r="AD72" s="9">
        <v>0</v>
      </c>
      <c r="AE72" s="298">
        <f t="shared" si="194"/>
        <v>12609672</v>
      </c>
      <c r="AF72" s="298">
        <v>12609672</v>
      </c>
      <c r="AG72" s="9">
        <v>0</v>
      </c>
      <c r="AH72" s="9">
        <v>0</v>
      </c>
      <c r="AI72" s="298">
        <f t="shared" si="195"/>
        <v>12609672</v>
      </c>
      <c r="AJ72" s="298">
        <v>12609672</v>
      </c>
      <c r="AK72" s="9">
        <v>0</v>
      </c>
      <c r="AL72" s="9">
        <v>0</v>
      </c>
      <c r="AM72" s="298">
        <f t="shared" si="155"/>
        <v>12609672</v>
      </c>
      <c r="AN72" s="298">
        <v>12609672</v>
      </c>
      <c r="AO72" s="9">
        <v>0</v>
      </c>
      <c r="AP72" s="9">
        <v>0</v>
      </c>
      <c r="AQ72" s="298">
        <f t="shared" si="156"/>
        <v>12609672</v>
      </c>
      <c r="AR72" s="28">
        <v>12609672</v>
      </c>
      <c r="AS72" s="9">
        <v>0</v>
      </c>
      <c r="AT72" s="9">
        <v>0</v>
      </c>
      <c r="AU72" s="298">
        <f t="shared" si="261"/>
        <v>12609672</v>
      </c>
      <c r="AV72" s="298">
        <v>12609672</v>
      </c>
      <c r="AW72" s="9">
        <v>0</v>
      </c>
      <c r="AX72" s="9">
        <v>0</v>
      </c>
      <c r="AY72" s="7">
        <f t="shared" si="158"/>
        <v>12609672</v>
      </c>
      <c r="AZ72" s="8">
        <f t="shared" si="196"/>
        <v>630483.60000000009</v>
      </c>
      <c r="BA72" s="8">
        <v>0.6</v>
      </c>
      <c r="BB72" s="8">
        <f t="shared" si="197"/>
        <v>630483.00000000012</v>
      </c>
      <c r="BC72" s="8">
        <f t="shared" si="198"/>
        <v>13240155</v>
      </c>
      <c r="BD72" s="8"/>
      <c r="BE72" s="8">
        <f t="shared" si="199"/>
        <v>13240155</v>
      </c>
      <c r="BF72" s="10">
        <f t="shared" si="200"/>
        <v>630483</v>
      </c>
      <c r="BG72" s="11">
        <f t="shared" si="201"/>
        <v>0</v>
      </c>
      <c r="BH72" s="11">
        <v>13240155</v>
      </c>
      <c r="BI72" s="11"/>
      <c r="BJ72" s="11"/>
      <c r="BK72" s="319">
        <f t="shared" si="159"/>
        <v>13240155</v>
      </c>
      <c r="BL72" s="319">
        <v>13240155</v>
      </c>
      <c r="BM72" s="319">
        <v>0</v>
      </c>
      <c r="BN72" s="319">
        <v>0</v>
      </c>
      <c r="BO72" s="319">
        <f t="shared" si="260"/>
        <v>13240155</v>
      </c>
      <c r="BP72" s="319">
        <f t="shared" si="253"/>
        <v>0</v>
      </c>
      <c r="BQ72" s="319">
        <v>13240155</v>
      </c>
      <c r="BR72" s="319">
        <v>0</v>
      </c>
      <c r="BS72" s="319">
        <v>0</v>
      </c>
      <c r="BT72" s="319">
        <f t="shared" si="161"/>
        <v>13240155</v>
      </c>
      <c r="BU72" s="319">
        <f t="shared" si="162"/>
        <v>0</v>
      </c>
      <c r="BV72" s="319">
        <v>13240155</v>
      </c>
      <c r="BW72" s="319">
        <v>0</v>
      </c>
      <c r="BX72" s="319">
        <v>0</v>
      </c>
      <c r="BY72" s="319">
        <f t="shared" si="163"/>
        <v>13240155</v>
      </c>
      <c r="BZ72" s="319">
        <f t="shared" si="164"/>
        <v>0</v>
      </c>
      <c r="CA72" s="319">
        <v>13240155</v>
      </c>
      <c r="CB72" s="319">
        <v>0</v>
      </c>
      <c r="CC72" s="319">
        <v>0</v>
      </c>
      <c r="CD72" s="319">
        <f t="shared" si="165"/>
        <v>13240155</v>
      </c>
      <c r="CE72" s="319">
        <f t="shared" si="166"/>
        <v>0</v>
      </c>
      <c r="CF72" s="319">
        <v>13240155</v>
      </c>
      <c r="CG72" s="319">
        <v>0</v>
      </c>
      <c r="CH72" s="319">
        <v>0</v>
      </c>
      <c r="CI72" s="319">
        <f t="shared" si="167"/>
        <v>13240155</v>
      </c>
      <c r="CJ72" s="319">
        <f t="shared" si="168"/>
        <v>0</v>
      </c>
      <c r="CK72" s="319">
        <v>13240155</v>
      </c>
      <c r="CL72" s="319">
        <v>0</v>
      </c>
      <c r="CM72" s="319">
        <v>0</v>
      </c>
      <c r="CN72" s="319">
        <f t="shared" si="262"/>
        <v>13240155</v>
      </c>
      <c r="CO72" s="319">
        <f t="shared" si="263"/>
        <v>0</v>
      </c>
      <c r="CP72" s="319">
        <v>13240155</v>
      </c>
      <c r="CQ72" s="319">
        <v>0</v>
      </c>
      <c r="CR72" s="319">
        <v>0</v>
      </c>
      <c r="CS72" s="319">
        <f t="shared" si="264"/>
        <v>13240155</v>
      </c>
      <c r="CT72" s="319">
        <f t="shared" si="265"/>
        <v>0</v>
      </c>
      <c r="CU72" s="319">
        <v>13240155</v>
      </c>
      <c r="CV72" s="319">
        <v>0</v>
      </c>
      <c r="CW72" s="319">
        <v>0</v>
      </c>
      <c r="CX72" s="319">
        <f t="shared" si="266"/>
        <v>13240155</v>
      </c>
      <c r="CY72" s="319">
        <f t="shared" si="267"/>
        <v>0</v>
      </c>
      <c r="CZ72" s="319"/>
      <c r="DA72" s="319"/>
      <c r="DB72" s="319"/>
      <c r="DC72" s="12">
        <f t="shared" si="202"/>
        <v>1324015.5</v>
      </c>
      <c r="DD72" s="12">
        <v>0.5</v>
      </c>
      <c r="DE72" s="13">
        <f t="shared" si="203"/>
        <v>1324015</v>
      </c>
      <c r="DF72" s="14">
        <f t="shared" si="169"/>
        <v>1324015</v>
      </c>
      <c r="DG72" s="13">
        <f t="shared" si="170"/>
        <v>14564170</v>
      </c>
      <c r="DH72" s="15">
        <f t="shared" si="171"/>
        <v>1.0356841832544141</v>
      </c>
      <c r="DI72" s="16">
        <f t="shared" si="172"/>
        <v>13240155</v>
      </c>
      <c r="DJ72" s="132">
        <f t="shared" si="204"/>
        <v>14564170.500000002</v>
      </c>
      <c r="DK72" s="17">
        <f t="shared" si="205"/>
        <v>1324015.5000000019</v>
      </c>
      <c r="DL72" s="17">
        <f t="shared" si="173"/>
        <v>0.5</v>
      </c>
      <c r="DM72" s="16">
        <f t="shared" si="206"/>
        <v>1324015.0000000019</v>
      </c>
      <c r="DN72" s="16">
        <f t="shared" si="174"/>
        <v>1.862645149230957E-9</v>
      </c>
      <c r="DO72" s="16">
        <f t="shared" si="207"/>
        <v>14564170.000000002</v>
      </c>
      <c r="DP72" s="16">
        <f t="shared" si="175"/>
        <v>0</v>
      </c>
      <c r="DQ72" s="9">
        <v>14564170</v>
      </c>
      <c r="DR72" s="18" t="s">
        <v>238</v>
      </c>
      <c r="DS72" s="18" t="s">
        <v>238</v>
      </c>
      <c r="DT72" s="324">
        <f t="shared" si="208"/>
        <v>14564170</v>
      </c>
      <c r="DU72" s="321">
        <f t="shared" si="209"/>
        <v>14564170</v>
      </c>
      <c r="DV72" s="19">
        <f t="shared" si="210"/>
        <v>0</v>
      </c>
      <c r="DW72" s="9">
        <v>14564170</v>
      </c>
      <c r="DX72" s="18"/>
      <c r="DY72" s="18"/>
      <c r="DZ72" s="324">
        <f t="shared" si="211"/>
        <v>14564170</v>
      </c>
      <c r="EA72" s="321">
        <f t="shared" si="212"/>
        <v>14564170</v>
      </c>
      <c r="EB72" s="179">
        <f t="shared" si="176"/>
        <v>0</v>
      </c>
      <c r="EC72" s="9">
        <v>14564170</v>
      </c>
      <c r="ED72" s="18" t="s">
        <v>238</v>
      </c>
      <c r="EE72" s="18" t="s">
        <v>238</v>
      </c>
      <c r="EF72" s="324">
        <f t="shared" si="213"/>
        <v>14564170</v>
      </c>
      <c r="EG72" s="321">
        <f t="shared" si="214"/>
        <v>14564170</v>
      </c>
      <c r="EH72" s="179">
        <f t="shared" si="177"/>
        <v>0</v>
      </c>
      <c r="EI72" s="9">
        <v>14564170</v>
      </c>
      <c r="EJ72" s="18" t="s">
        <v>238</v>
      </c>
      <c r="EK72" s="18" t="s">
        <v>238</v>
      </c>
      <c r="EL72" s="324">
        <f t="shared" si="215"/>
        <v>14564170</v>
      </c>
      <c r="EM72" s="321">
        <f t="shared" si="216"/>
        <v>14564170</v>
      </c>
      <c r="EN72" s="179">
        <f t="shared" si="178"/>
        <v>0</v>
      </c>
      <c r="EO72" s="9">
        <v>14564170</v>
      </c>
      <c r="EP72" s="18" t="s">
        <v>238</v>
      </c>
      <c r="EQ72" s="18" t="s">
        <v>238</v>
      </c>
      <c r="ER72" s="324">
        <f t="shared" si="217"/>
        <v>14564170</v>
      </c>
      <c r="ES72" s="321">
        <f t="shared" si="218"/>
        <v>14564170</v>
      </c>
      <c r="ET72" s="179">
        <f t="shared" si="179"/>
        <v>0</v>
      </c>
      <c r="EU72" s="9">
        <v>14564170</v>
      </c>
      <c r="EV72" s="18" t="s">
        <v>238</v>
      </c>
      <c r="EW72" s="18" t="s">
        <v>238</v>
      </c>
      <c r="EX72" s="324">
        <f t="shared" si="219"/>
        <v>14564170</v>
      </c>
      <c r="EY72" s="321">
        <f t="shared" si="220"/>
        <v>14564170</v>
      </c>
      <c r="EZ72" s="179">
        <f t="shared" si="180"/>
        <v>0</v>
      </c>
      <c r="FA72" s="9">
        <v>14564170</v>
      </c>
      <c r="FB72" s="18" t="s">
        <v>238</v>
      </c>
      <c r="FC72" s="18" t="s">
        <v>238</v>
      </c>
      <c r="FD72" s="324">
        <f t="shared" si="221"/>
        <v>14564170</v>
      </c>
      <c r="FE72" s="321">
        <f t="shared" si="222"/>
        <v>14564170</v>
      </c>
      <c r="FF72" s="179">
        <f t="shared" si="181"/>
        <v>0</v>
      </c>
      <c r="FG72" s="9">
        <v>14564170</v>
      </c>
      <c r="FH72" s="18" t="s">
        <v>238</v>
      </c>
      <c r="FI72" s="18" t="s">
        <v>238</v>
      </c>
      <c r="FJ72" s="324">
        <f t="shared" si="223"/>
        <v>14564170</v>
      </c>
      <c r="FK72" s="321">
        <f t="shared" si="224"/>
        <v>14564170</v>
      </c>
      <c r="FL72" s="179">
        <f t="shared" si="182"/>
        <v>0</v>
      </c>
      <c r="FM72" s="9">
        <v>14564170</v>
      </c>
      <c r="FN72" s="18" t="s">
        <v>238</v>
      </c>
      <c r="FO72" s="18" t="s">
        <v>238</v>
      </c>
      <c r="FP72" s="324">
        <f t="shared" si="225"/>
        <v>14564170</v>
      </c>
      <c r="FQ72" s="321">
        <f t="shared" si="226"/>
        <v>14564170</v>
      </c>
      <c r="FR72" s="179">
        <f t="shared" si="183"/>
        <v>0</v>
      </c>
      <c r="FS72" s="9">
        <v>14564170</v>
      </c>
      <c r="FT72" s="18" t="s">
        <v>238</v>
      </c>
      <c r="FU72" s="18" t="s">
        <v>238</v>
      </c>
      <c r="FV72" s="324">
        <f t="shared" si="227"/>
        <v>14564170</v>
      </c>
      <c r="FW72" s="321">
        <f t="shared" si="228"/>
        <v>14564170</v>
      </c>
      <c r="FX72" s="179">
        <f t="shared" si="184"/>
        <v>0</v>
      </c>
      <c r="FY72" s="9">
        <v>14564170</v>
      </c>
      <c r="FZ72" s="18" t="s">
        <v>238</v>
      </c>
      <c r="GA72" s="18" t="s">
        <v>238</v>
      </c>
      <c r="GB72" s="324">
        <f t="shared" si="229"/>
        <v>14564170</v>
      </c>
      <c r="GC72" s="321">
        <f t="shared" si="230"/>
        <v>14564170</v>
      </c>
      <c r="GD72" s="179">
        <f t="shared" si="185"/>
        <v>0</v>
      </c>
      <c r="GE72" s="9">
        <v>14564170</v>
      </c>
      <c r="GF72" s="18" t="s">
        <v>238</v>
      </c>
      <c r="GG72" s="18" t="s">
        <v>238</v>
      </c>
      <c r="GH72" s="324">
        <f t="shared" si="231"/>
        <v>14564170</v>
      </c>
      <c r="GI72" s="321">
        <f t="shared" si="232"/>
        <v>14564170</v>
      </c>
      <c r="GJ72" s="179">
        <f t="shared" si="186"/>
        <v>0</v>
      </c>
      <c r="GK72" s="9">
        <v>14564170</v>
      </c>
      <c r="GL72" s="18" t="s">
        <v>238</v>
      </c>
      <c r="GM72" s="18" t="s">
        <v>238</v>
      </c>
      <c r="GN72" s="324">
        <f t="shared" si="233"/>
        <v>14564170</v>
      </c>
      <c r="GO72" s="321">
        <f t="shared" si="234"/>
        <v>14564170</v>
      </c>
      <c r="GP72" s="179">
        <f t="shared" si="187"/>
        <v>0</v>
      </c>
      <c r="GQ72" s="9">
        <v>14564170</v>
      </c>
      <c r="GR72" s="18" t="s">
        <v>238</v>
      </c>
      <c r="GS72" s="18" t="s">
        <v>238</v>
      </c>
      <c r="GT72" s="324">
        <f t="shared" si="235"/>
        <v>14564170</v>
      </c>
      <c r="GU72" s="321">
        <f t="shared" si="236"/>
        <v>14564170</v>
      </c>
      <c r="GV72" s="179">
        <f t="shared" si="188"/>
        <v>0</v>
      </c>
      <c r="GW72" s="9">
        <v>15292378</v>
      </c>
      <c r="GX72" s="18" t="s">
        <v>238</v>
      </c>
      <c r="GY72" s="18" t="s">
        <v>238</v>
      </c>
      <c r="GZ72" s="324">
        <f t="shared" si="237"/>
        <v>15292378</v>
      </c>
      <c r="HA72" s="321">
        <f t="shared" si="238"/>
        <v>15292378</v>
      </c>
      <c r="HB72" s="179">
        <f t="shared" si="189"/>
        <v>728208</v>
      </c>
      <c r="HC72" s="102">
        <f t="shared" si="190"/>
        <v>1.035684147698521</v>
      </c>
      <c r="HD72" s="285">
        <f t="shared" si="239"/>
        <v>0</v>
      </c>
      <c r="HE72" s="12">
        <f t="shared" si="240"/>
        <v>728208.5</v>
      </c>
      <c r="HF72" s="12">
        <f t="shared" si="191"/>
        <v>0.5</v>
      </c>
      <c r="HG72" s="12">
        <f t="shared" si="241"/>
        <v>728208</v>
      </c>
      <c r="HH72" s="14">
        <f t="shared" si="242"/>
        <v>728208</v>
      </c>
      <c r="HI72" s="13">
        <f t="shared" si="243"/>
        <v>15292378</v>
      </c>
      <c r="HJ72" s="102">
        <f t="shared" si="244"/>
        <v>1.0874683195275536</v>
      </c>
      <c r="HK72" s="16">
        <f t="shared" si="245"/>
        <v>14564170</v>
      </c>
      <c r="HL72" s="103">
        <f t="shared" si="246"/>
        <v>15292378.5</v>
      </c>
      <c r="HM72" s="103">
        <f t="shared" si="247"/>
        <v>728208.5</v>
      </c>
      <c r="HN72" s="17">
        <f t="shared" si="248"/>
        <v>0.5</v>
      </c>
      <c r="HO72" s="56">
        <f t="shared" si="249"/>
        <v>728208</v>
      </c>
      <c r="HP72" s="16">
        <f t="shared" si="250"/>
        <v>0</v>
      </c>
      <c r="HQ72" s="16">
        <f t="shared" si="251"/>
        <v>15292378</v>
      </c>
      <c r="HR72" s="16">
        <f t="shared" si="252"/>
        <v>0</v>
      </c>
    </row>
    <row r="73" spans="1:226" x14ac:dyDescent="0.3">
      <c r="A73" s="145">
        <v>18</v>
      </c>
      <c r="B73" s="280"/>
      <c r="C73" s="312" t="s">
        <v>353</v>
      </c>
      <c r="D73" s="206" t="s">
        <v>201</v>
      </c>
      <c r="E73" s="27"/>
      <c r="F73" s="9"/>
      <c r="G73" s="9"/>
      <c r="H73" s="324"/>
      <c r="I73" s="324">
        <v>0</v>
      </c>
      <c r="J73" s="324"/>
      <c r="K73" s="324"/>
      <c r="L73" s="324">
        <v>0</v>
      </c>
      <c r="M73" s="23">
        <v>0</v>
      </c>
      <c r="N73" s="23">
        <v>0</v>
      </c>
      <c r="O73" s="298">
        <v>0</v>
      </c>
      <c r="P73" s="298">
        <v>0</v>
      </c>
      <c r="Q73" s="298">
        <v>0</v>
      </c>
      <c r="R73" s="298">
        <v>0</v>
      </c>
      <c r="S73" s="298">
        <v>0</v>
      </c>
      <c r="T73" s="298">
        <v>0</v>
      </c>
      <c r="U73" s="298">
        <f t="shared" si="192"/>
        <v>0</v>
      </c>
      <c r="V73" s="298">
        <f t="shared" si="193"/>
        <v>0</v>
      </c>
      <c r="W73" s="298">
        <v>0</v>
      </c>
      <c r="X73" s="298">
        <v>0</v>
      </c>
      <c r="Y73" s="298">
        <v>0</v>
      </c>
      <c r="Z73" s="298">
        <v>0</v>
      </c>
      <c r="AA73" s="298">
        <v>0</v>
      </c>
      <c r="AB73" s="298">
        <v>0</v>
      </c>
      <c r="AC73" s="9">
        <v>0</v>
      </c>
      <c r="AD73" s="9">
        <v>0</v>
      </c>
      <c r="AE73" s="298">
        <f t="shared" si="194"/>
        <v>0</v>
      </c>
      <c r="AF73" s="298">
        <v>0</v>
      </c>
      <c r="AG73" s="9">
        <v>0</v>
      </c>
      <c r="AH73" s="9">
        <v>0</v>
      </c>
      <c r="AI73" s="298">
        <f t="shared" si="195"/>
        <v>0</v>
      </c>
      <c r="AJ73" s="298">
        <v>0</v>
      </c>
      <c r="AK73" s="9">
        <v>0</v>
      </c>
      <c r="AL73" s="9">
        <v>0</v>
      </c>
      <c r="AM73" s="298">
        <f t="shared" si="155"/>
        <v>0</v>
      </c>
      <c r="AN73" s="298">
        <v>0</v>
      </c>
      <c r="AO73" s="9">
        <v>0</v>
      </c>
      <c r="AP73" s="9">
        <v>0</v>
      </c>
      <c r="AQ73" s="298">
        <f t="shared" si="156"/>
        <v>0</v>
      </c>
      <c r="AR73" s="28">
        <v>0</v>
      </c>
      <c r="AS73" s="9">
        <v>0</v>
      </c>
      <c r="AT73" s="9">
        <v>0</v>
      </c>
      <c r="AU73" s="298">
        <f t="shared" si="261"/>
        <v>0</v>
      </c>
      <c r="AV73" s="298">
        <v>0</v>
      </c>
      <c r="AW73" s="9">
        <v>0</v>
      </c>
      <c r="AX73" s="9">
        <v>0</v>
      </c>
      <c r="AY73" s="298">
        <f t="shared" si="158"/>
        <v>0</v>
      </c>
      <c r="AZ73" s="8">
        <f t="shared" si="196"/>
        <v>0</v>
      </c>
      <c r="BA73" s="8"/>
      <c r="BB73" s="8">
        <f t="shared" si="197"/>
        <v>0</v>
      </c>
      <c r="BC73" s="8">
        <f t="shared" si="198"/>
        <v>0</v>
      </c>
      <c r="BD73" s="8"/>
      <c r="BE73" s="8">
        <f t="shared" si="199"/>
        <v>0</v>
      </c>
      <c r="BF73" s="10">
        <f t="shared" si="200"/>
        <v>0</v>
      </c>
      <c r="BG73" s="11">
        <f t="shared" si="201"/>
        <v>0</v>
      </c>
      <c r="BH73" s="11">
        <v>0</v>
      </c>
      <c r="BI73" s="11"/>
      <c r="BJ73" s="11"/>
      <c r="BK73" s="319">
        <f t="shared" si="159"/>
        <v>0</v>
      </c>
      <c r="BL73" s="319">
        <v>0</v>
      </c>
      <c r="BM73" s="319">
        <v>0</v>
      </c>
      <c r="BN73" s="319">
        <v>0</v>
      </c>
      <c r="BO73" s="319">
        <f t="shared" si="260"/>
        <v>0</v>
      </c>
      <c r="BP73" s="319">
        <f t="shared" si="253"/>
        <v>0</v>
      </c>
      <c r="BQ73" s="319">
        <v>0</v>
      </c>
      <c r="BR73" s="319">
        <v>0</v>
      </c>
      <c r="BS73" s="319">
        <v>0</v>
      </c>
      <c r="BT73" s="319">
        <f t="shared" si="161"/>
        <v>0</v>
      </c>
      <c r="BU73" s="319">
        <f t="shared" si="162"/>
        <v>0</v>
      </c>
      <c r="BV73" s="319">
        <v>0</v>
      </c>
      <c r="BW73" s="319">
        <v>0</v>
      </c>
      <c r="BX73" s="319">
        <v>0</v>
      </c>
      <c r="BY73" s="319">
        <f t="shared" si="163"/>
        <v>0</v>
      </c>
      <c r="BZ73" s="319">
        <f t="shared" si="164"/>
        <v>0</v>
      </c>
      <c r="CA73" s="319">
        <v>0</v>
      </c>
      <c r="CB73" s="319">
        <v>0</v>
      </c>
      <c r="CC73" s="319">
        <v>0</v>
      </c>
      <c r="CD73" s="319">
        <f t="shared" si="165"/>
        <v>0</v>
      </c>
      <c r="CE73" s="319">
        <f t="shared" si="166"/>
        <v>0</v>
      </c>
      <c r="CF73" s="319">
        <v>0</v>
      </c>
      <c r="CG73" s="319">
        <v>0</v>
      </c>
      <c r="CH73" s="319">
        <v>0</v>
      </c>
      <c r="CI73" s="319">
        <f t="shared" si="167"/>
        <v>0</v>
      </c>
      <c r="CJ73" s="319">
        <f t="shared" si="168"/>
        <v>0</v>
      </c>
      <c r="CK73" s="319">
        <v>0</v>
      </c>
      <c r="CL73" s="319">
        <v>0</v>
      </c>
      <c r="CM73" s="319">
        <v>0</v>
      </c>
      <c r="CN73" s="319">
        <f t="shared" si="262"/>
        <v>0</v>
      </c>
      <c r="CO73" s="319">
        <f t="shared" si="263"/>
        <v>0</v>
      </c>
      <c r="CP73" s="319"/>
      <c r="CQ73" s="319">
        <v>0</v>
      </c>
      <c r="CR73" s="319">
        <v>0</v>
      </c>
      <c r="CS73" s="319">
        <f t="shared" si="264"/>
        <v>0</v>
      </c>
      <c r="CT73" s="319">
        <f t="shared" si="265"/>
        <v>0</v>
      </c>
      <c r="CU73" s="319">
        <v>0</v>
      </c>
      <c r="CV73" s="319">
        <v>0</v>
      </c>
      <c r="CW73" s="319">
        <v>0</v>
      </c>
      <c r="CX73" s="319">
        <f t="shared" si="266"/>
        <v>0</v>
      </c>
      <c r="CY73" s="319">
        <f t="shared" si="267"/>
        <v>0</v>
      </c>
      <c r="CZ73" s="319"/>
      <c r="DA73" s="319"/>
      <c r="DB73" s="319"/>
      <c r="DC73" s="12">
        <f t="shared" si="202"/>
        <v>0</v>
      </c>
      <c r="DD73" s="12">
        <v>0</v>
      </c>
      <c r="DE73" s="13">
        <f t="shared" si="203"/>
        <v>0</v>
      </c>
      <c r="DF73" s="14">
        <f t="shared" si="169"/>
        <v>0</v>
      </c>
      <c r="DG73" s="13">
        <f t="shared" si="170"/>
        <v>0</v>
      </c>
      <c r="DH73" s="15">
        <f t="shared" si="171"/>
        <v>0</v>
      </c>
      <c r="DI73" s="16">
        <f t="shared" si="172"/>
        <v>0</v>
      </c>
      <c r="DJ73" s="132">
        <f t="shared" si="204"/>
        <v>0</v>
      </c>
      <c r="DK73" s="17">
        <f t="shared" si="205"/>
        <v>0</v>
      </c>
      <c r="DL73" s="17">
        <f t="shared" si="173"/>
        <v>0</v>
      </c>
      <c r="DM73" s="16">
        <f t="shared" si="206"/>
        <v>0</v>
      </c>
      <c r="DN73" s="16">
        <f t="shared" si="174"/>
        <v>0</v>
      </c>
      <c r="DO73" s="16">
        <f t="shared" si="207"/>
        <v>0</v>
      </c>
      <c r="DP73" s="16">
        <f t="shared" si="175"/>
        <v>0</v>
      </c>
      <c r="DQ73" s="9">
        <v>0</v>
      </c>
      <c r="DR73" s="18" t="s">
        <v>238</v>
      </c>
      <c r="DS73" s="18" t="s">
        <v>238</v>
      </c>
      <c r="DT73" s="324">
        <f t="shared" si="208"/>
        <v>0</v>
      </c>
      <c r="DU73" s="321">
        <f t="shared" si="209"/>
        <v>0</v>
      </c>
      <c r="DV73" s="19">
        <f t="shared" si="210"/>
        <v>0</v>
      </c>
      <c r="DW73" s="9"/>
      <c r="DX73" s="18"/>
      <c r="DY73" s="18"/>
      <c r="DZ73" s="324">
        <f t="shared" si="211"/>
        <v>0</v>
      </c>
      <c r="EA73" s="321">
        <f t="shared" si="212"/>
        <v>0</v>
      </c>
      <c r="EB73" s="179">
        <f t="shared" si="176"/>
        <v>0</v>
      </c>
      <c r="EC73" s="9">
        <v>0</v>
      </c>
      <c r="ED73" s="18" t="s">
        <v>238</v>
      </c>
      <c r="EE73" s="18" t="s">
        <v>238</v>
      </c>
      <c r="EF73" s="324">
        <f t="shared" si="213"/>
        <v>0</v>
      </c>
      <c r="EG73" s="321">
        <f t="shared" si="214"/>
        <v>0</v>
      </c>
      <c r="EH73" s="179">
        <f t="shared" si="177"/>
        <v>0</v>
      </c>
      <c r="EI73" s="9"/>
      <c r="EJ73" s="18" t="s">
        <v>238</v>
      </c>
      <c r="EK73" s="18" t="s">
        <v>238</v>
      </c>
      <c r="EL73" s="324">
        <f t="shared" si="215"/>
        <v>0</v>
      </c>
      <c r="EM73" s="321">
        <f t="shared" si="216"/>
        <v>0</v>
      </c>
      <c r="EN73" s="179">
        <f t="shared" si="178"/>
        <v>0</v>
      </c>
      <c r="EO73" s="9">
        <v>0</v>
      </c>
      <c r="EP73" s="18" t="s">
        <v>238</v>
      </c>
      <c r="EQ73" s="18" t="s">
        <v>238</v>
      </c>
      <c r="ER73" s="324">
        <f t="shared" si="217"/>
        <v>0</v>
      </c>
      <c r="ES73" s="321">
        <f t="shared" si="218"/>
        <v>0</v>
      </c>
      <c r="ET73" s="179">
        <f t="shared" si="179"/>
        <v>0</v>
      </c>
      <c r="EU73" s="9">
        <v>0</v>
      </c>
      <c r="EV73" s="18" t="s">
        <v>238</v>
      </c>
      <c r="EW73" s="18" t="s">
        <v>238</v>
      </c>
      <c r="EX73" s="324">
        <f t="shared" si="219"/>
        <v>0</v>
      </c>
      <c r="EY73" s="321">
        <f t="shared" si="220"/>
        <v>0</v>
      </c>
      <c r="EZ73" s="179">
        <f t="shared" si="180"/>
        <v>0</v>
      </c>
      <c r="FA73" s="9">
        <v>0</v>
      </c>
      <c r="FB73" s="18" t="s">
        <v>238</v>
      </c>
      <c r="FC73" s="18" t="s">
        <v>238</v>
      </c>
      <c r="FD73" s="324">
        <f t="shared" si="221"/>
        <v>0</v>
      </c>
      <c r="FE73" s="321">
        <f t="shared" si="222"/>
        <v>0</v>
      </c>
      <c r="FF73" s="179">
        <f t="shared" si="181"/>
        <v>0</v>
      </c>
      <c r="FG73" s="9"/>
      <c r="FH73" s="18" t="s">
        <v>238</v>
      </c>
      <c r="FI73" s="18" t="s">
        <v>238</v>
      </c>
      <c r="FJ73" s="324">
        <f t="shared" si="223"/>
        <v>0</v>
      </c>
      <c r="FK73" s="321">
        <f t="shared" si="224"/>
        <v>0</v>
      </c>
      <c r="FL73" s="179">
        <f t="shared" si="182"/>
        <v>0</v>
      </c>
      <c r="FM73" s="9"/>
      <c r="FN73" s="18" t="s">
        <v>238</v>
      </c>
      <c r="FO73" s="18" t="s">
        <v>238</v>
      </c>
      <c r="FP73" s="324">
        <f t="shared" si="225"/>
        <v>0</v>
      </c>
      <c r="FQ73" s="321">
        <f t="shared" si="226"/>
        <v>0</v>
      </c>
      <c r="FR73" s="179">
        <f t="shared" si="183"/>
        <v>0</v>
      </c>
      <c r="FS73" s="9">
        <v>0</v>
      </c>
      <c r="FT73" s="18" t="s">
        <v>238</v>
      </c>
      <c r="FU73" s="18" t="s">
        <v>238</v>
      </c>
      <c r="FV73" s="324">
        <f t="shared" si="227"/>
        <v>0</v>
      </c>
      <c r="FW73" s="321">
        <f t="shared" si="228"/>
        <v>0</v>
      </c>
      <c r="FX73" s="179">
        <f t="shared" si="184"/>
        <v>0</v>
      </c>
      <c r="FY73" s="9">
        <v>0</v>
      </c>
      <c r="FZ73" s="18" t="s">
        <v>238</v>
      </c>
      <c r="GA73" s="18" t="s">
        <v>238</v>
      </c>
      <c r="GB73" s="324">
        <f t="shared" si="229"/>
        <v>0</v>
      </c>
      <c r="GC73" s="321">
        <f t="shared" si="230"/>
        <v>0</v>
      </c>
      <c r="GD73" s="179">
        <f t="shared" si="185"/>
        <v>0</v>
      </c>
      <c r="GE73" s="9">
        <v>0</v>
      </c>
      <c r="GF73" s="18" t="s">
        <v>238</v>
      </c>
      <c r="GG73" s="18" t="s">
        <v>238</v>
      </c>
      <c r="GH73" s="324">
        <f t="shared" si="231"/>
        <v>0</v>
      </c>
      <c r="GI73" s="321">
        <f t="shared" si="232"/>
        <v>0</v>
      </c>
      <c r="GJ73" s="179">
        <f t="shared" si="186"/>
        <v>0</v>
      </c>
      <c r="GK73" s="9">
        <v>0</v>
      </c>
      <c r="GL73" s="18" t="s">
        <v>238</v>
      </c>
      <c r="GM73" s="18" t="s">
        <v>238</v>
      </c>
      <c r="GN73" s="324">
        <f t="shared" si="233"/>
        <v>0</v>
      </c>
      <c r="GO73" s="321">
        <f t="shared" si="234"/>
        <v>0</v>
      </c>
      <c r="GP73" s="179">
        <f t="shared" si="187"/>
        <v>0</v>
      </c>
      <c r="GQ73" s="9">
        <v>0</v>
      </c>
      <c r="GR73" s="18" t="s">
        <v>238</v>
      </c>
      <c r="GS73" s="18" t="s">
        <v>238</v>
      </c>
      <c r="GT73" s="324">
        <f t="shared" si="235"/>
        <v>0</v>
      </c>
      <c r="GU73" s="321">
        <f t="shared" si="236"/>
        <v>0</v>
      </c>
      <c r="GV73" s="179">
        <f t="shared" si="188"/>
        <v>0</v>
      </c>
      <c r="GW73" s="9">
        <v>0</v>
      </c>
      <c r="GX73" s="18" t="s">
        <v>238</v>
      </c>
      <c r="GY73" s="18" t="s">
        <v>238</v>
      </c>
      <c r="GZ73" s="324">
        <f t="shared" si="237"/>
        <v>0</v>
      </c>
      <c r="HA73" s="321">
        <f t="shared" si="238"/>
        <v>0</v>
      </c>
      <c r="HB73" s="179">
        <f t="shared" si="189"/>
        <v>0</v>
      </c>
      <c r="HC73" s="102">
        <f t="shared" si="190"/>
        <v>0</v>
      </c>
      <c r="HD73" s="285">
        <f t="shared" si="239"/>
        <v>0</v>
      </c>
      <c r="HE73" s="12">
        <f t="shared" si="240"/>
        <v>0</v>
      </c>
      <c r="HF73" s="12">
        <f t="shared" si="191"/>
        <v>0</v>
      </c>
      <c r="HG73" s="12">
        <f t="shared" si="241"/>
        <v>0</v>
      </c>
      <c r="HH73" s="14">
        <f t="shared" si="242"/>
        <v>0</v>
      </c>
      <c r="HI73" s="13">
        <f t="shared" si="243"/>
        <v>0</v>
      </c>
      <c r="HJ73" s="102">
        <f t="shared" si="244"/>
        <v>0</v>
      </c>
      <c r="HK73" s="16">
        <f t="shared" si="245"/>
        <v>0</v>
      </c>
      <c r="HL73" s="103">
        <f t="shared" si="246"/>
        <v>0</v>
      </c>
      <c r="HM73" s="103">
        <f t="shared" si="247"/>
        <v>0</v>
      </c>
      <c r="HN73" s="17">
        <f t="shared" si="248"/>
        <v>0</v>
      </c>
      <c r="HO73" s="56">
        <f t="shared" si="249"/>
        <v>0</v>
      </c>
      <c r="HP73" s="16">
        <f t="shared" si="250"/>
        <v>0</v>
      </c>
      <c r="HQ73" s="16">
        <f t="shared" si="251"/>
        <v>0</v>
      </c>
      <c r="HR73" s="16">
        <f t="shared" si="252"/>
        <v>0</v>
      </c>
    </row>
    <row r="74" spans="1:226" x14ac:dyDescent="0.3">
      <c r="A74" s="145">
        <v>20</v>
      </c>
      <c r="B74" s="280"/>
      <c r="C74" s="312" t="s">
        <v>344</v>
      </c>
      <c r="D74" s="206" t="s">
        <v>203</v>
      </c>
      <c r="E74" s="27"/>
      <c r="F74" s="9"/>
      <c r="G74" s="9"/>
      <c r="H74" s="324"/>
      <c r="I74" s="324">
        <v>3312133</v>
      </c>
      <c r="J74" s="324">
        <v>3312133</v>
      </c>
      <c r="K74" s="324">
        <v>3312133</v>
      </c>
      <c r="L74" s="324">
        <v>3312133</v>
      </c>
      <c r="M74" s="23">
        <v>3312133</v>
      </c>
      <c r="N74" s="23">
        <v>3312133</v>
      </c>
      <c r="O74" s="298">
        <v>3312133</v>
      </c>
      <c r="P74" s="298">
        <v>3312133</v>
      </c>
      <c r="Q74" s="298">
        <v>3312133</v>
      </c>
      <c r="R74" s="298">
        <v>3312133</v>
      </c>
      <c r="S74" s="298">
        <v>3312133</v>
      </c>
      <c r="T74" s="298">
        <v>3312133</v>
      </c>
      <c r="U74" s="298">
        <f t="shared" si="192"/>
        <v>165606.65000000002</v>
      </c>
      <c r="V74" s="298">
        <f t="shared" si="193"/>
        <v>3477739.65</v>
      </c>
      <c r="W74" s="298">
        <v>3477739</v>
      </c>
      <c r="X74" s="298">
        <v>3477739</v>
      </c>
      <c r="Y74" s="298">
        <v>3477739</v>
      </c>
      <c r="Z74" s="298">
        <v>3477739</v>
      </c>
      <c r="AA74" s="298">
        <v>3477739</v>
      </c>
      <c r="AB74" s="298">
        <v>3477739</v>
      </c>
      <c r="AC74" s="9">
        <v>0</v>
      </c>
      <c r="AD74" s="9">
        <v>0</v>
      </c>
      <c r="AE74" s="298">
        <f t="shared" si="194"/>
        <v>3477739</v>
      </c>
      <c r="AF74" s="298">
        <v>3477739</v>
      </c>
      <c r="AG74" s="9">
        <v>0</v>
      </c>
      <c r="AH74" s="9">
        <v>0</v>
      </c>
      <c r="AI74" s="298">
        <f t="shared" si="195"/>
        <v>3477739</v>
      </c>
      <c r="AJ74" s="298">
        <v>3477739</v>
      </c>
      <c r="AK74" s="9">
        <v>0</v>
      </c>
      <c r="AL74" s="9">
        <v>0</v>
      </c>
      <c r="AM74" s="298">
        <f t="shared" si="155"/>
        <v>3477739</v>
      </c>
      <c r="AN74" s="298">
        <v>3477739</v>
      </c>
      <c r="AO74" s="9">
        <v>0</v>
      </c>
      <c r="AP74" s="9">
        <v>0</v>
      </c>
      <c r="AQ74" s="298">
        <f t="shared" si="156"/>
        <v>3477739</v>
      </c>
      <c r="AR74" s="28">
        <v>3477739</v>
      </c>
      <c r="AS74" s="9">
        <v>0</v>
      </c>
      <c r="AT74" s="9">
        <v>0</v>
      </c>
      <c r="AU74" s="298">
        <f t="shared" si="261"/>
        <v>3477739</v>
      </c>
      <c r="AV74" s="298">
        <v>3477739</v>
      </c>
      <c r="AW74" s="9">
        <v>0</v>
      </c>
      <c r="AX74" s="9">
        <v>0</v>
      </c>
      <c r="AY74" s="7">
        <f t="shared" si="158"/>
        <v>3477739</v>
      </c>
      <c r="AZ74" s="8">
        <f t="shared" si="196"/>
        <v>173886.95</v>
      </c>
      <c r="BA74" s="8">
        <v>0.95</v>
      </c>
      <c r="BB74" s="8">
        <f t="shared" si="197"/>
        <v>173886</v>
      </c>
      <c r="BC74" s="8">
        <f t="shared" si="198"/>
        <v>3651625</v>
      </c>
      <c r="BD74" s="8"/>
      <c r="BE74" s="8">
        <f t="shared" si="199"/>
        <v>3651625</v>
      </c>
      <c r="BF74" s="10">
        <f t="shared" si="200"/>
        <v>173886</v>
      </c>
      <c r="BG74" s="11">
        <f t="shared" si="201"/>
        <v>0</v>
      </c>
      <c r="BH74" s="11">
        <v>3651625</v>
      </c>
      <c r="BI74" s="11"/>
      <c r="BJ74" s="11"/>
      <c r="BK74" s="319">
        <f t="shared" si="159"/>
        <v>3651625</v>
      </c>
      <c r="BL74" s="319">
        <v>3651625</v>
      </c>
      <c r="BM74" s="319">
        <v>0</v>
      </c>
      <c r="BN74" s="319">
        <v>0</v>
      </c>
      <c r="BO74" s="319">
        <f t="shared" si="260"/>
        <v>3651625</v>
      </c>
      <c r="BP74" s="319">
        <f t="shared" si="253"/>
        <v>0</v>
      </c>
      <c r="BQ74" s="319">
        <v>3651625</v>
      </c>
      <c r="BR74" s="319">
        <v>0</v>
      </c>
      <c r="BS74" s="319">
        <v>0</v>
      </c>
      <c r="BT74" s="319">
        <f t="shared" si="161"/>
        <v>3651625</v>
      </c>
      <c r="BU74" s="319">
        <f t="shared" si="162"/>
        <v>0</v>
      </c>
      <c r="BV74" s="319">
        <v>3651625</v>
      </c>
      <c r="BW74" s="319">
        <v>0</v>
      </c>
      <c r="BX74" s="319">
        <v>0</v>
      </c>
      <c r="BY74" s="319">
        <f t="shared" si="163"/>
        <v>3651625</v>
      </c>
      <c r="BZ74" s="319">
        <f t="shared" si="164"/>
        <v>0</v>
      </c>
      <c r="CA74" s="319">
        <v>3651625</v>
      </c>
      <c r="CB74" s="319">
        <v>0</v>
      </c>
      <c r="CC74" s="319">
        <v>0</v>
      </c>
      <c r="CD74" s="319">
        <f t="shared" si="165"/>
        <v>3651625</v>
      </c>
      <c r="CE74" s="319">
        <f t="shared" si="166"/>
        <v>0</v>
      </c>
      <c r="CF74" s="319">
        <v>3651625</v>
      </c>
      <c r="CG74" s="319">
        <v>0</v>
      </c>
      <c r="CH74" s="319">
        <v>0</v>
      </c>
      <c r="CI74" s="319">
        <f t="shared" si="167"/>
        <v>3651625</v>
      </c>
      <c r="CJ74" s="319">
        <f t="shared" si="168"/>
        <v>0</v>
      </c>
      <c r="CK74" s="319">
        <v>3651625</v>
      </c>
      <c r="CL74" s="319">
        <v>0</v>
      </c>
      <c r="CM74" s="319">
        <v>0</v>
      </c>
      <c r="CN74" s="319">
        <f t="shared" si="262"/>
        <v>3651625</v>
      </c>
      <c r="CO74" s="319">
        <f t="shared" si="263"/>
        <v>0</v>
      </c>
      <c r="CP74" s="319">
        <v>3651625</v>
      </c>
      <c r="CQ74" s="319">
        <v>0</v>
      </c>
      <c r="CR74" s="319">
        <v>0</v>
      </c>
      <c r="CS74" s="319">
        <f t="shared" si="264"/>
        <v>3651625</v>
      </c>
      <c r="CT74" s="319">
        <f t="shared" si="265"/>
        <v>0</v>
      </c>
      <c r="CU74" s="319">
        <v>3651625</v>
      </c>
      <c r="CV74" s="319">
        <v>0</v>
      </c>
      <c r="CW74" s="319">
        <v>0</v>
      </c>
      <c r="CX74" s="319">
        <f t="shared" si="266"/>
        <v>3651625</v>
      </c>
      <c r="CY74" s="319">
        <f t="shared" si="267"/>
        <v>0</v>
      </c>
      <c r="CZ74" s="319"/>
      <c r="DA74" s="319"/>
      <c r="DB74" s="319"/>
      <c r="DC74" s="12">
        <f t="shared" si="202"/>
        <v>365162.5</v>
      </c>
      <c r="DD74" s="12">
        <v>0.5</v>
      </c>
      <c r="DE74" s="13">
        <f t="shared" si="203"/>
        <v>365162</v>
      </c>
      <c r="DF74" s="14">
        <f t="shared" si="169"/>
        <v>365162</v>
      </c>
      <c r="DG74" s="13">
        <f t="shared" si="170"/>
        <v>4016787</v>
      </c>
      <c r="DH74" s="15">
        <f t="shared" si="171"/>
        <v>0.28564093514588007</v>
      </c>
      <c r="DI74" s="16">
        <f t="shared" si="172"/>
        <v>3651625</v>
      </c>
      <c r="DJ74" s="132">
        <f t="shared" si="204"/>
        <v>4016787.5000000005</v>
      </c>
      <c r="DK74" s="17">
        <f t="shared" si="205"/>
        <v>365162.50000000047</v>
      </c>
      <c r="DL74" s="17">
        <f t="shared" si="173"/>
        <v>0.5</v>
      </c>
      <c r="DM74" s="16">
        <f t="shared" si="206"/>
        <v>365162.00000000047</v>
      </c>
      <c r="DN74" s="16">
        <f t="shared" si="174"/>
        <v>4.6566128730773926E-10</v>
      </c>
      <c r="DO74" s="16">
        <f t="shared" si="207"/>
        <v>4016787.0000000005</v>
      </c>
      <c r="DP74" s="16">
        <f t="shared" si="175"/>
        <v>0</v>
      </c>
      <c r="DQ74" s="9">
        <v>4016787</v>
      </c>
      <c r="DR74" s="18" t="s">
        <v>238</v>
      </c>
      <c r="DS74" s="18" t="s">
        <v>238</v>
      </c>
      <c r="DT74" s="324">
        <f t="shared" si="208"/>
        <v>4016787</v>
      </c>
      <c r="DU74" s="321">
        <f t="shared" si="209"/>
        <v>4016787</v>
      </c>
      <c r="DV74" s="19">
        <f t="shared" si="210"/>
        <v>0</v>
      </c>
      <c r="DW74" s="9">
        <v>4016787</v>
      </c>
      <c r="DX74" s="18"/>
      <c r="DY74" s="18"/>
      <c r="DZ74" s="324">
        <f t="shared" si="211"/>
        <v>4016787</v>
      </c>
      <c r="EA74" s="321">
        <f t="shared" si="212"/>
        <v>4016787</v>
      </c>
      <c r="EB74" s="179">
        <f t="shared" si="176"/>
        <v>0</v>
      </c>
      <c r="EC74" s="9">
        <v>4016787</v>
      </c>
      <c r="ED74" s="18" t="s">
        <v>238</v>
      </c>
      <c r="EE74" s="18" t="s">
        <v>238</v>
      </c>
      <c r="EF74" s="324">
        <f t="shared" si="213"/>
        <v>4016787</v>
      </c>
      <c r="EG74" s="321">
        <f t="shared" si="214"/>
        <v>4016787</v>
      </c>
      <c r="EH74" s="179">
        <f t="shared" si="177"/>
        <v>0</v>
      </c>
      <c r="EI74" s="9">
        <v>4016787</v>
      </c>
      <c r="EJ74" s="18" t="s">
        <v>238</v>
      </c>
      <c r="EK74" s="18" t="s">
        <v>238</v>
      </c>
      <c r="EL74" s="324">
        <f t="shared" si="215"/>
        <v>4016787</v>
      </c>
      <c r="EM74" s="321">
        <f t="shared" si="216"/>
        <v>4016787</v>
      </c>
      <c r="EN74" s="179">
        <f t="shared" si="178"/>
        <v>0</v>
      </c>
      <c r="EO74" s="9">
        <v>4016787</v>
      </c>
      <c r="EP74" s="18" t="s">
        <v>238</v>
      </c>
      <c r="EQ74" s="18" t="s">
        <v>238</v>
      </c>
      <c r="ER74" s="324">
        <f t="shared" si="217"/>
        <v>4016787</v>
      </c>
      <c r="ES74" s="321">
        <f t="shared" si="218"/>
        <v>4016787</v>
      </c>
      <c r="ET74" s="179">
        <f t="shared" si="179"/>
        <v>0</v>
      </c>
      <c r="EU74" s="9">
        <v>4016787</v>
      </c>
      <c r="EV74" s="18" t="s">
        <v>238</v>
      </c>
      <c r="EW74" s="18" t="s">
        <v>238</v>
      </c>
      <c r="EX74" s="324">
        <f t="shared" si="219"/>
        <v>4016787</v>
      </c>
      <c r="EY74" s="321">
        <f t="shared" si="220"/>
        <v>4016787</v>
      </c>
      <c r="EZ74" s="179">
        <f t="shared" si="180"/>
        <v>0</v>
      </c>
      <c r="FA74" s="9">
        <v>4016787</v>
      </c>
      <c r="FB74" s="18" t="s">
        <v>238</v>
      </c>
      <c r="FC74" s="18" t="s">
        <v>238</v>
      </c>
      <c r="FD74" s="324">
        <f t="shared" si="221"/>
        <v>4016787</v>
      </c>
      <c r="FE74" s="321">
        <f t="shared" si="222"/>
        <v>4016787</v>
      </c>
      <c r="FF74" s="179">
        <f t="shared" si="181"/>
        <v>0</v>
      </c>
      <c r="FG74" s="9">
        <v>4016787</v>
      </c>
      <c r="FH74" s="18" t="s">
        <v>238</v>
      </c>
      <c r="FI74" s="18" t="s">
        <v>238</v>
      </c>
      <c r="FJ74" s="324">
        <f t="shared" si="223"/>
        <v>4016787</v>
      </c>
      <c r="FK74" s="321">
        <f t="shared" si="224"/>
        <v>4016787</v>
      </c>
      <c r="FL74" s="179">
        <f t="shared" si="182"/>
        <v>0</v>
      </c>
      <c r="FM74" s="9">
        <v>4016787</v>
      </c>
      <c r="FN74" s="18" t="s">
        <v>238</v>
      </c>
      <c r="FO74" s="18" t="s">
        <v>238</v>
      </c>
      <c r="FP74" s="324">
        <f t="shared" si="225"/>
        <v>4016787</v>
      </c>
      <c r="FQ74" s="321">
        <f t="shared" si="226"/>
        <v>4016787</v>
      </c>
      <c r="FR74" s="179">
        <f t="shared" si="183"/>
        <v>0</v>
      </c>
      <c r="FS74" s="9">
        <v>4016787</v>
      </c>
      <c r="FT74" s="18" t="s">
        <v>238</v>
      </c>
      <c r="FU74" s="18" t="s">
        <v>238</v>
      </c>
      <c r="FV74" s="324">
        <f t="shared" si="227"/>
        <v>4016787</v>
      </c>
      <c r="FW74" s="321">
        <f t="shared" si="228"/>
        <v>4016787</v>
      </c>
      <c r="FX74" s="179">
        <f t="shared" si="184"/>
        <v>0</v>
      </c>
      <c r="FY74" s="9">
        <v>4016787</v>
      </c>
      <c r="FZ74" s="18" t="s">
        <v>238</v>
      </c>
      <c r="GA74" s="18" t="s">
        <v>238</v>
      </c>
      <c r="GB74" s="324">
        <f t="shared" si="229"/>
        <v>4016787</v>
      </c>
      <c r="GC74" s="321">
        <f t="shared" si="230"/>
        <v>4016787</v>
      </c>
      <c r="GD74" s="179">
        <f t="shared" si="185"/>
        <v>0</v>
      </c>
      <c r="GE74" s="9">
        <v>4016787</v>
      </c>
      <c r="GF74" s="18" t="s">
        <v>238</v>
      </c>
      <c r="GG74" s="18" t="s">
        <v>238</v>
      </c>
      <c r="GH74" s="324">
        <f t="shared" si="231"/>
        <v>4016787</v>
      </c>
      <c r="GI74" s="321">
        <f t="shared" si="232"/>
        <v>4016787</v>
      </c>
      <c r="GJ74" s="179">
        <f t="shared" si="186"/>
        <v>0</v>
      </c>
      <c r="GK74" s="9">
        <v>4016787</v>
      </c>
      <c r="GL74" s="18" t="s">
        <v>238</v>
      </c>
      <c r="GM74" s="18" t="s">
        <v>238</v>
      </c>
      <c r="GN74" s="324">
        <f t="shared" si="233"/>
        <v>4016787</v>
      </c>
      <c r="GO74" s="321">
        <f t="shared" si="234"/>
        <v>4016787</v>
      </c>
      <c r="GP74" s="179">
        <f t="shared" si="187"/>
        <v>0</v>
      </c>
      <c r="GQ74" s="9">
        <v>4016787</v>
      </c>
      <c r="GR74" s="18" t="s">
        <v>238</v>
      </c>
      <c r="GS74" s="18" t="s">
        <v>238</v>
      </c>
      <c r="GT74" s="324">
        <f t="shared" si="235"/>
        <v>4016787</v>
      </c>
      <c r="GU74" s="321">
        <f t="shared" si="236"/>
        <v>4016787</v>
      </c>
      <c r="GV74" s="179">
        <f t="shared" si="188"/>
        <v>0</v>
      </c>
      <c r="GW74" s="9">
        <v>4217626</v>
      </c>
      <c r="GX74" s="18" t="s">
        <v>238</v>
      </c>
      <c r="GY74" s="18" t="s">
        <v>238</v>
      </c>
      <c r="GZ74" s="324">
        <f t="shared" si="237"/>
        <v>4217626</v>
      </c>
      <c r="HA74" s="321">
        <f t="shared" si="238"/>
        <v>4217626</v>
      </c>
      <c r="HB74" s="179">
        <f t="shared" si="189"/>
        <v>200839</v>
      </c>
      <c r="HC74" s="102">
        <f t="shared" si="190"/>
        <v>0.28564089958998684</v>
      </c>
      <c r="HD74" s="285">
        <f t="shared" si="239"/>
        <v>-5.5297277867794037E-10</v>
      </c>
      <c r="HE74" s="12">
        <f t="shared" si="240"/>
        <v>200839.35</v>
      </c>
      <c r="HF74" s="12">
        <f t="shared" si="191"/>
        <v>0.35000000000582077</v>
      </c>
      <c r="HG74" s="12">
        <f t="shared" si="241"/>
        <v>200839</v>
      </c>
      <c r="HH74" s="14">
        <f t="shared" si="242"/>
        <v>200839</v>
      </c>
      <c r="HI74" s="13">
        <f t="shared" si="243"/>
        <v>4217626</v>
      </c>
      <c r="HJ74" s="102">
        <f t="shared" si="244"/>
        <v>0.29992291968036089</v>
      </c>
      <c r="HK74" s="16">
        <f t="shared" si="245"/>
        <v>4016787</v>
      </c>
      <c r="HL74" s="103">
        <f t="shared" si="246"/>
        <v>4217626.3500000006</v>
      </c>
      <c r="HM74" s="103">
        <f t="shared" si="247"/>
        <v>200839.35000000056</v>
      </c>
      <c r="HN74" s="17">
        <f t="shared" si="248"/>
        <v>0.35000000000582077</v>
      </c>
      <c r="HO74" s="56">
        <f t="shared" si="249"/>
        <v>200839.00000000055</v>
      </c>
      <c r="HP74" s="16">
        <f t="shared" si="250"/>
        <v>5.5297277867794037E-10</v>
      </c>
      <c r="HQ74" s="16">
        <f t="shared" si="251"/>
        <v>4217626.0000000009</v>
      </c>
      <c r="HR74" s="16">
        <f t="shared" si="252"/>
        <v>0</v>
      </c>
    </row>
    <row r="75" spans="1:226" x14ac:dyDescent="0.3">
      <c r="A75" s="145">
        <v>21</v>
      </c>
      <c r="B75" s="453" t="s">
        <v>493</v>
      </c>
      <c r="C75" s="312" t="s">
        <v>521</v>
      </c>
      <c r="D75" s="238" t="s">
        <v>490</v>
      </c>
      <c r="E75" s="27"/>
      <c r="F75" s="9"/>
      <c r="G75" s="9"/>
      <c r="H75" s="324"/>
      <c r="I75" s="324"/>
      <c r="J75" s="324"/>
      <c r="K75" s="324"/>
      <c r="L75" s="324"/>
      <c r="M75" s="23"/>
      <c r="N75" s="23"/>
      <c r="O75" s="298"/>
      <c r="P75" s="298"/>
      <c r="Q75" s="298"/>
      <c r="R75" s="298"/>
      <c r="S75" s="298"/>
      <c r="T75" s="298"/>
      <c r="U75" s="298"/>
      <c r="V75" s="298"/>
      <c r="W75" s="298"/>
      <c r="X75" s="298"/>
      <c r="Y75" s="298"/>
      <c r="Z75" s="298"/>
      <c r="AA75" s="298"/>
      <c r="AB75" s="298"/>
      <c r="AC75" s="9"/>
      <c r="AD75" s="9"/>
      <c r="AE75" s="298"/>
      <c r="AF75" s="298"/>
      <c r="AG75" s="9"/>
      <c r="AH75" s="9"/>
      <c r="AI75" s="298"/>
      <c r="AJ75" s="298"/>
      <c r="AK75" s="9"/>
      <c r="AL75" s="9"/>
      <c r="AM75" s="298"/>
      <c r="AN75" s="298"/>
      <c r="AO75" s="9"/>
      <c r="AP75" s="9"/>
      <c r="AQ75" s="298"/>
      <c r="AR75" s="28">
        <v>113998</v>
      </c>
      <c r="AS75" s="9"/>
      <c r="AT75" s="9"/>
      <c r="AU75" s="298"/>
      <c r="AV75" s="47">
        <v>113998</v>
      </c>
      <c r="AW75" s="9"/>
      <c r="AX75" s="9"/>
      <c r="AY75" s="47">
        <v>113998</v>
      </c>
      <c r="AZ75" s="8">
        <f t="shared" si="196"/>
        <v>5699.9000000000005</v>
      </c>
      <c r="BA75" s="8">
        <v>0.9</v>
      </c>
      <c r="BB75" s="8">
        <f t="shared" si="197"/>
        <v>5699.0000000000009</v>
      </c>
      <c r="BC75" s="8">
        <f t="shared" si="198"/>
        <v>119697</v>
      </c>
      <c r="BD75" s="8"/>
      <c r="BE75" s="8">
        <f t="shared" si="199"/>
        <v>119697</v>
      </c>
      <c r="BF75" s="10">
        <f t="shared" si="200"/>
        <v>5699</v>
      </c>
      <c r="BG75" s="11">
        <f t="shared" si="201"/>
        <v>0</v>
      </c>
      <c r="BH75" s="11">
        <v>119697</v>
      </c>
      <c r="BI75" s="11"/>
      <c r="BJ75" s="11"/>
      <c r="BK75" s="319">
        <f t="shared" si="159"/>
        <v>119697</v>
      </c>
      <c r="BL75" s="319">
        <v>119697</v>
      </c>
      <c r="BM75" s="319">
        <v>0</v>
      </c>
      <c r="BN75" s="319">
        <v>0</v>
      </c>
      <c r="BO75" s="319">
        <f t="shared" si="260"/>
        <v>119697</v>
      </c>
      <c r="BP75" s="319">
        <f t="shared" si="253"/>
        <v>0</v>
      </c>
      <c r="BQ75" s="319">
        <v>119697</v>
      </c>
      <c r="BR75" s="319">
        <v>0</v>
      </c>
      <c r="BS75" s="319">
        <v>0</v>
      </c>
      <c r="BT75" s="319">
        <f t="shared" si="161"/>
        <v>119697</v>
      </c>
      <c r="BU75" s="319">
        <f t="shared" si="162"/>
        <v>0</v>
      </c>
      <c r="BV75" s="319">
        <v>119697</v>
      </c>
      <c r="BW75" s="319">
        <v>0</v>
      </c>
      <c r="BX75" s="319">
        <v>0</v>
      </c>
      <c r="BY75" s="319">
        <f t="shared" si="163"/>
        <v>119697</v>
      </c>
      <c r="BZ75" s="319">
        <f t="shared" si="164"/>
        <v>0</v>
      </c>
      <c r="CA75" s="319">
        <v>119697</v>
      </c>
      <c r="CB75" s="319">
        <v>0</v>
      </c>
      <c r="CC75" s="319">
        <v>0</v>
      </c>
      <c r="CD75" s="319">
        <f t="shared" si="165"/>
        <v>119697</v>
      </c>
      <c r="CE75" s="319">
        <f t="shared" si="166"/>
        <v>0</v>
      </c>
      <c r="CF75" s="319">
        <v>119697</v>
      </c>
      <c r="CG75" s="319">
        <v>0</v>
      </c>
      <c r="CH75" s="319">
        <v>0</v>
      </c>
      <c r="CI75" s="319">
        <f t="shared" si="167"/>
        <v>119697</v>
      </c>
      <c r="CJ75" s="319">
        <f t="shared" si="168"/>
        <v>0</v>
      </c>
      <c r="CK75" s="319">
        <v>119697</v>
      </c>
      <c r="CL75" s="319">
        <v>0</v>
      </c>
      <c r="CM75" s="319">
        <v>0</v>
      </c>
      <c r="CN75" s="319">
        <f t="shared" si="262"/>
        <v>119697</v>
      </c>
      <c r="CO75" s="319">
        <f t="shared" si="263"/>
        <v>0</v>
      </c>
      <c r="CP75" s="319">
        <v>119697</v>
      </c>
      <c r="CQ75" s="319">
        <v>0</v>
      </c>
      <c r="CR75" s="319">
        <v>0</v>
      </c>
      <c r="CS75" s="319">
        <f t="shared" si="264"/>
        <v>119697</v>
      </c>
      <c r="CT75" s="319">
        <f t="shared" si="265"/>
        <v>0</v>
      </c>
      <c r="CU75" s="319">
        <v>119697</v>
      </c>
      <c r="CV75" s="319">
        <v>0</v>
      </c>
      <c r="CW75" s="319">
        <v>0</v>
      </c>
      <c r="CX75" s="319">
        <f t="shared" si="266"/>
        <v>119697</v>
      </c>
      <c r="CY75" s="319">
        <f t="shared" si="267"/>
        <v>0</v>
      </c>
      <c r="CZ75" s="319"/>
      <c r="DA75" s="319"/>
      <c r="DB75" s="319"/>
      <c r="DC75" s="12">
        <f t="shared" si="202"/>
        <v>11969.7</v>
      </c>
      <c r="DD75" s="12">
        <v>0.7</v>
      </c>
      <c r="DE75" s="13">
        <f t="shared" si="203"/>
        <v>11969</v>
      </c>
      <c r="DF75" s="14">
        <f t="shared" si="169"/>
        <v>11969</v>
      </c>
      <c r="DG75" s="13">
        <f t="shared" si="170"/>
        <v>131666</v>
      </c>
      <c r="DH75" s="15">
        <f t="shared" si="171"/>
        <v>9.3630542605432944E-3</v>
      </c>
      <c r="DI75" s="16">
        <f t="shared" si="172"/>
        <v>119697</v>
      </c>
      <c r="DJ75" s="132">
        <f t="shared" si="204"/>
        <v>131666.70000000001</v>
      </c>
      <c r="DK75" s="17">
        <f t="shared" si="205"/>
        <v>11969.700000000012</v>
      </c>
      <c r="DL75" s="17">
        <f t="shared" si="173"/>
        <v>0.7</v>
      </c>
      <c r="DM75" s="16">
        <f t="shared" si="206"/>
        <v>11969.000000000011</v>
      </c>
      <c r="DN75" s="16">
        <f t="shared" si="174"/>
        <v>0</v>
      </c>
      <c r="DO75" s="16">
        <f t="shared" si="207"/>
        <v>131666</v>
      </c>
      <c r="DP75" s="16">
        <f t="shared" si="175"/>
        <v>0</v>
      </c>
      <c r="DQ75" s="9">
        <v>131666</v>
      </c>
      <c r="DR75" s="18" t="s">
        <v>238</v>
      </c>
      <c r="DS75" s="18" t="s">
        <v>238</v>
      </c>
      <c r="DT75" s="324">
        <f t="shared" si="208"/>
        <v>131666</v>
      </c>
      <c r="DU75" s="321">
        <f t="shared" si="209"/>
        <v>131666</v>
      </c>
      <c r="DV75" s="19">
        <f t="shared" si="210"/>
        <v>0</v>
      </c>
      <c r="DW75" s="9">
        <v>131666</v>
      </c>
      <c r="DX75" s="18"/>
      <c r="DY75" s="18"/>
      <c r="DZ75" s="324">
        <f t="shared" si="211"/>
        <v>131666</v>
      </c>
      <c r="EA75" s="321">
        <f t="shared" si="212"/>
        <v>131666</v>
      </c>
      <c r="EB75" s="179">
        <f t="shared" si="176"/>
        <v>0</v>
      </c>
      <c r="EC75" s="9">
        <v>131666</v>
      </c>
      <c r="ED75" s="18" t="s">
        <v>238</v>
      </c>
      <c r="EE75" s="18" t="s">
        <v>238</v>
      </c>
      <c r="EF75" s="324">
        <f t="shared" si="213"/>
        <v>131666</v>
      </c>
      <c r="EG75" s="321">
        <f t="shared" si="214"/>
        <v>131666</v>
      </c>
      <c r="EH75" s="179">
        <f t="shared" si="177"/>
        <v>0</v>
      </c>
      <c r="EI75" s="9">
        <v>131666</v>
      </c>
      <c r="EJ75" s="18" t="s">
        <v>238</v>
      </c>
      <c r="EK75" s="18" t="s">
        <v>238</v>
      </c>
      <c r="EL75" s="324">
        <f t="shared" si="215"/>
        <v>131666</v>
      </c>
      <c r="EM75" s="321">
        <f t="shared" si="216"/>
        <v>131666</v>
      </c>
      <c r="EN75" s="179">
        <f t="shared" si="178"/>
        <v>0</v>
      </c>
      <c r="EO75" s="9">
        <v>131666</v>
      </c>
      <c r="EP75" s="18" t="s">
        <v>238</v>
      </c>
      <c r="EQ75" s="18" t="s">
        <v>238</v>
      </c>
      <c r="ER75" s="324">
        <f t="shared" si="217"/>
        <v>131666</v>
      </c>
      <c r="ES75" s="321">
        <f t="shared" si="218"/>
        <v>131666</v>
      </c>
      <c r="ET75" s="179">
        <f t="shared" si="179"/>
        <v>0</v>
      </c>
      <c r="EU75" s="9">
        <v>131666</v>
      </c>
      <c r="EV75" s="18" t="s">
        <v>238</v>
      </c>
      <c r="EW75" s="18" t="s">
        <v>238</v>
      </c>
      <c r="EX75" s="324">
        <f t="shared" si="219"/>
        <v>131666</v>
      </c>
      <c r="EY75" s="321">
        <f t="shared" si="220"/>
        <v>131666</v>
      </c>
      <c r="EZ75" s="179">
        <f t="shared" si="180"/>
        <v>0</v>
      </c>
      <c r="FA75" s="9">
        <v>131666</v>
      </c>
      <c r="FB75" s="18" t="s">
        <v>238</v>
      </c>
      <c r="FC75" s="18" t="s">
        <v>238</v>
      </c>
      <c r="FD75" s="324">
        <f t="shared" si="221"/>
        <v>131666</v>
      </c>
      <c r="FE75" s="321">
        <f t="shared" si="222"/>
        <v>131666</v>
      </c>
      <c r="FF75" s="179">
        <f t="shared" si="181"/>
        <v>0</v>
      </c>
      <c r="FG75" s="9">
        <v>131666</v>
      </c>
      <c r="FH75" s="18" t="s">
        <v>238</v>
      </c>
      <c r="FI75" s="18" t="s">
        <v>238</v>
      </c>
      <c r="FJ75" s="324">
        <f t="shared" si="223"/>
        <v>131666</v>
      </c>
      <c r="FK75" s="321">
        <f t="shared" si="224"/>
        <v>131666</v>
      </c>
      <c r="FL75" s="179">
        <f t="shared" si="182"/>
        <v>0</v>
      </c>
      <c r="FM75" s="9">
        <v>131666</v>
      </c>
      <c r="FN75" s="18" t="s">
        <v>238</v>
      </c>
      <c r="FO75" s="18" t="s">
        <v>238</v>
      </c>
      <c r="FP75" s="324">
        <f t="shared" si="225"/>
        <v>131666</v>
      </c>
      <c r="FQ75" s="321">
        <f t="shared" si="226"/>
        <v>131666</v>
      </c>
      <c r="FR75" s="179">
        <f t="shared" si="183"/>
        <v>0</v>
      </c>
      <c r="FS75" s="9">
        <v>131666</v>
      </c>
      <c r="FT75" s="18" t="s">
        <v>238</v>
      </c>
      <c r="FU75" s="18" t="s">
        <v>238</v>
      </c>
      <c r="FV75" s="324">
        <f t="shared" si="227"/>
        <v>131666</v>
      </c>
      <c r="FW75" s="321">
        <f t="shared" si="228"/>
        <v>131666</v>
      </c>
      <c r="FX75" s="179">
        <f t="shared" si="184"/>
        <v>0</v>
      </c>
      <c r="FY75" s="9">
        <v>131666</v>
      </c>
      <c r="FZ75" s="18" t="s">
        <v>238</v>
      </c>
      <c r="GA75" s="18" t="s">
        <v>238</v>
      </c>
      <c r="GB75" s="324">
        <f t="shared" si="229"/>
        <v>131666</v>
      </c>
      <c r="GC75" s="321">
        <f t="shared" si="230"/>
        <v>131666</v>
      </c>
      <c r="GD75" s="179">
        <f t="shared" si="185"/>
        <v>0</v>
      </c>
      <c r="GE75" s="9">
        <v>131666</v>
      </c>
      <c r="GF75" s="18" t="s">
        <v>238</v>
      </c>
      <c r="GG75" s="18" t="s">
        <v>238</v>
      </c>
      <c r="GH75" s="324">
        <f t="shared" si="231"/>
        <v>131666</v>
      </c>
      <c r="GI75" s="321">
        <f t="shared" si="232"/>
        <v>131666</v>
      </c>
      <c r="GJ75" s="179">
        <f t="shared" si="186"/>
        <v>0</v>
      </c>
      <c r="GK75" s="9">
        <v>131666</v>
      </c>
      <c r="GL75" s="18" t="s">
        <v>238</v>
      </c>
      <c r="GM75" s="18" t="s">
        <v>238</v>
      </c>
      <c r="GN75" s="324">
        <f t="shared" si="233"/>
        <v>131666</v>
      </c>
      <c r="GO75" s="321">
        <f t="shared" si="234"/>
        <v>131666</v>
      </c>
      <c r="GP75" s="179">
        <f t="shared" si="187"/>
        <v>0</v>
      </c>
      <c r="GQ75" s="9">
        <v>131666</v>
      </c>
      <c r="GR75" s="18" t="s">
        <v>238</v>
      </c>
      <c r="GS75" s="18" t="s">
        <v>238</v>
      </c>
      <c r="GT75" s="324">
        <f t="shared" si="235"/>
        <v>131666</v>
      </c>
      <c r="GU75" s="321">
        <f t="shared" si="236"/>
        <v>131666</v>
      </c>
      <c r="GV75" s="179">
        <f t="shared" si="188"/>
        <v>0</v>
      </c>
      <c r="GW75" s="9">
        <v>138249</v>
      </c>
      <c r="GX75" s="18" t="s">
        <v>238</v>
      </c>
      <c r="GY75" s="18" t="s">
        <v>238</v>
      </c>
      <c r="GZ75" s="324">
        <f t="shared" si="237"/>
        <v>138249</v>
      </c>
      <c r="HA75" s="321">
        <f t="shared" si="238"/>
        <v>138249</v>
      </c>
      <c r="HB75" s="179">
        <f t="shared" si="189"/>
        <v>6583</v>
      </c>
      <c r="HC75" s="102">
        <f t="shared" si="190"/>
        <v>9.3630044822927399E-3</v>
      </c>
      <c r="HD75" s="285">
        <f t="shared" si="239"/>
        <v>-1.7280399333685637E-11</v>
      </c>
      <c r="HE75" s="12">
        <f t="shared" si="240"/>
        <v>6583.3</v>
      </c>
      <c r="HF75" s="12">
        <f t="shared" si="191"/>
        <v>0.3000000000001819</v>
      </c>
      <c r="HG75" s="12">
        <f t="shared" si="241"/>
        <v>6583</v>
      </c>
      <c r="HH75" s="14">
        <f t="shared" si="242"/>
        <v>6583</v>
      </c>
      <c r="HI75" s="13">
        <f t="shared" si="243"/>
        <v>138249</v>
      </c>
      <c r="HJ75" s="102">
        <f t="shared" si="244"/>
        <v>9.8311333728714253E-3</v>
      </c>
      <c r="HK75" s="16">
        <f t="shared" si="245"/>
        <v>131666</v>
      </c>
      <c r="HL75" s="103">
        <f t="shared" si="246"/>
        <v>138249.30000000002</v>
      </c>
      <c r="HM75" s="103">
        <f t="shared" si="247"/>
        <v>6583.3000000000175</v>
      </c>
      <c r="HN75" s="17">
        <f t="shared" si="248"/>
        <v>0.3000000000001819</v>
      </c>
      <c r="HO75" s="56">
        <f t="shared" si="249"/>
        <v>6583.0000000000173</v>
      </c>
      <c r="HP75" s="16">
        <f t="shared" si="250"/>
        <v>1.7280399333685637E-11</v>
      </c>
      <c r="HQ75" s="16">
        <f t="shared" si="251"/>
        <v>138249.00000000003</v>
      </c>
      <c r="HR75" s="16">
        <f t="shared" si="252"/>
        <v>0</v>
      </c>
    </row>
    <row r="76" spans="1:226" x14ac:dyDescent="0.3">
      <c r="A76" s="145">
        <v>22</v>
      </c>
      <c r="B76" s="453"/>
      <c r="C76" s="312" t="s">
        <v>522</v>
      </c>
      <c r="D76" s="238" t="s">
        <v>491</v>
      </c>
      <c r="E76" s="27"/>
      <c r="F76" s="9"/>
      <c r="G76" s="9"/>
      <c r="H76" s="324"/>
      <c r="I76" s="324"/>
      <c r="J76" s="324"/>
      <c r="K76" s="324"/>
      <c r="L76" s="324"/>
      <c r="M76" s="23"/>
      <c r="N76" s="23"/>
      <c r="O76" s="298"/>
      <c r="P76" s="298"/>
      <c r="Q76" s="298"/>
      <c r="R76" s="298"/>
      <c r="S76" s="298"/>
      <c r="T76" s="298"/>
      <c r="U76" s="298"/>
      <c r="V76" s="298"/>
      <c r="W76" s="298"/>
      <c r="X76" s="298"/>
      <c r="Y76" s="298"/>
      <c r="Z76" s="298"/>
      <c r="AA76" s="298"/>
      <c r="AB76" s="298"/>
      <c r="AC76" s="9"/>
      <c r="AD76" s="9"/>
      <c r="AE76" s="298"/>
      <c r="AF76" s="298"/>
      <c r="AG76" s="9"/>
      <c r="AH76" s="9"/>
      <c r="AI76" s="298"/>
      <c r="AJ76" s="298"/>
      <c r="AK76" s="9"/>
      <c r="AL76" s="9"/>
      <c r="AM76" s="298"/>
      <c r="AN76" s="298"/>
      <c r="AO76" s="9"/>
      <c r="AP76" s="9"/>
      <c r="AQ76" s="298"/>
      <c r="AR76" s="28">
        <v>71100</v>
      </c>
      <c r="AS76" s="9"/>
      <c r="AT76" s="9"/>
      <c r="AU76" s="298"/>
      <c r="AV76" s="47">
        <v>71100</v>
      </c>
      <c r="AW76" s="9"/>
      <c r="AX76" s="9"/>
      <c r="AY76" s="47">
        <v>71100</v>
      </c>
      <c r="AZ76" s="8">
        <f t="shared" si="196"/>
        <v>3555</v>
      </c>
      <c r="BA76" s="8"/>
      <c r="BB76" s="8">
        <f t="shared" si="197"/>
        <v>3555</v>
      </c>
      <c r="BC76" s="8">
        <f t="shared" si="198"/>
        <v>74655</v>
      </c>
      <c r="BD76" s="8"/>
      <c r="BE76" s="8">
        <f t="shared" si="199"/>
        <v>74655</v>
      </c>
      <c r="BF76" s="10">
        <f t="shared" si="200"/>
        <v>3555</v>
      </c>
      <c r="BG76" s="11">
        <f t="shared" si="201"/>
        <v>0</v>
      </c>
      <c r="BH76" s="11">
        <v>74655</v>
      </c>
      <c r="BI76" s="11"/>
      <c r="BJ76" s="11"/>
      <c r="BK76" s="319">
        <f t="shared" si="159"/>
        <v>74655</v>
      </c>
      <c r="BL76" s="319">
        <v>74655</v>
      </c>
      <c r="BM76" s="319">
        <v>0</v>
      </c>
      <c r="BN76" s="319">
        <v>0</v>
      </c>
      <c r="BO76" s="319">
        <f t="shared" si="260"/>
        <v>74655</v>
      </c>
      <c r="BP76" s="319">
        <f t="shared" si="253"/>
        <v>0</v>
      </c>
      <c r="BQ76" s="319">
        <v>74655</v>
      </c>
      <c r="BR76" s="319">
        <v>0</v>
      </c>
      <c r="BS76" s="319">
        <v>0</v>
      </c>
      <c r="BT76" s="319">
        <f t="shared" si="161"/>
        <v>74655</v>
      </c>
      <c r="BU76" s="319">
        <f t="shared" si="162"/>
        <v>0</v>
      </c>
      <c r="BV76" s="319">
        <v>74655</v>
      </c>
      <c r="BW76" s="319">
        <v>0</v>
      </c>
      <c r="BX76" s="319">
        <v>0</v>
      </c>
      <c r="BY76" s="319">
        <f t="shared" si="163"/>
        <v>74655</v>
      </c>
      <c r="BZ76" s="319">
        <f t="shared" si="164"/>
        <v>0</v>
      </c>
      <c r="CA76" s="319">
        <v>74655</v>
      </c>
      <c r="CB76" s="319">
        <v>0</v>
      </c>
      <c r="CC76" s="319">
        <v>0</v>
      </c>
      <c r="CD76" s="319">
        <f t="shared" si="165"/>
        <v>74655</v>
      </c>
      <c r="CE76" s="319">
        <f t="shared" si="166"/>
        <v>0</v>
      </c>
      <c r="CF76" s="319">
        <v>74655</v>
      </c>
      <c r="CG76" s="319">
        <v>0</v>
      </c>
      <c r="CH76" s="319">
        <v>0</v>
      </c>
      <c r="CI76" s="319">
        <f t="shared" si="167"/>
        <v>74655</v>
      </c>
      <c r="CJ76" s="319">
        <f t="shared" si="168"/>
        <v>0</v>
      </c>
      <c r="CK76" s="319">
        <v>74655</v>
      </c>
      <c r="CL76" s="319">
        <v>0</v>
      </c>
      <c r="CM76" s="319">
        <v>0</v>
      </c>
      <c r="CN76" s="319">
        <f t="shared" si="262"/>
        <v>74655</v>
      </c>
      <c r="CO76" s="319">
        <f t="shared" si="263"/>
        <v>0</v>
      </c>
      <c r="CP76" s="319">
        <v>74655</v>
      </c>
      <c r="CQ76" s="319">
        <v>0</v>
      </c>
      <c r="CR76" s="319">
        <v>0</v>
      </c>
      <c r="CS76" s="319">
        <f t="shared" si="264"/>
        <v>74655</v>
      </c>
      <c r="CT76" s="319">
        <f t="shared" si="265"/>
        <v>0</v>
      </c>
      <c r="CU76" s="319">
        <v>74655</v>
      </c>
      <c r="CV76" s="319">
        <v>0</v>
      </c>
      <c r="CW76" s="319">
        <v>0</v>
      </c>
      <c r="CX76" s="319">
        <f t="shared" si="266"/>
        <v>74655</v>
      </c>
      <c r="CY76" s="319">
        <f t="shared" si="267"/>
        <v>0</v>
      </c>
      <c r="CZ76" s="319"/>
      <c r="DA76" s="319"/>
      <c r="DB76" s="319"/>
      <c r="DC76" s="12">
        <f t="shared" si="202"/>
        <v>7465.5</v>
      </c>
      <c r="DD76" s="12">
        <v>0.5</v>
      </c>
      <c r="DE76" s="13">
        <f t="shared" si="203"/>
        <v>7465</v>
      </c>
      <c r="DF76" s="14">
        <f t="shared" si="169"/>
        <v>7465</v>
      </c>
      <c r="DG76" s="13">
        <f t="shared" si="170"/>
        <v>82120</v>
      </c>
      <c r="DH76" s="15">
        <f t="shared" si="171"/>
        <v>5.8397354638868113E-3</v>
      </c>
      <c r="DI76" s="16">
        <f t="shared" si="172"/>
        <v>74655</v>
      </c>
      <c r="DJ76" s="132">
        <f t="shared" si="204"/>
        <v>82120.5</v>
      </c>
      <c r="DK76" s="17">
        <f t="shared" si="205"/>
        <v>7465.5</v>
      </c>
      <c r="DL76" s="17">
        <f t="shared" si="173"/>
        <v>0.5</v>
      </c>
      <c r="DM76" s="16">
        <f t="shared" si="206"/>
        <v>7465</v>
      </c>
      <c r="DN76" s="16">
        <f t="shared" si="174"/>
        <v>0</v>
      </c>
      <c r="DO76" s="16">
        <f t="shared" si="207"/>
        <v>82120</v>
      </c>
      <c r="DP76" s="16">
        <f t="shared" si="175"/>
        <v>0</v>
      </c>
      <c r="DQ76" s="9">
        <v>82120</v>
      </c>
      <c r="DR76" s="18" t="s">
        <v>238</v>
      </c>
      <c r="DS76" s="18" t="s">
        <v>238</v>
      </c>
      <c r="DT76" s="324">
        <f t="shared" si="208"/>
        <v>82120</v>
      </c>
      <c r="DU76" s="321">
        <f t="shared" si="209"/>
        <v>82120</v>
      </c>
      <c r="DV76" s="19">
        <f t="shared" si="210"/>
        <v>0</v>
      </c>
      <c r="DW76" s="9">
        <v>82120</v>
      </c>
      <c r="DX76" s="18"/>
      <c r="DY76" s="18"/>
      <c r="DZ76" s="324">
        <f t="shared" si="211"/>
        <v>82120</v>
      </c>
      <c r="EA76" s="321">
        <f t="shared" si="212"/>
        <v>82120</v>
      </c>
      <c r="EB76" s="179">
        <f t="shared" si="176"/>
        <v>0</v>
      </c>
      <c r="EC76" s="9">
        <v>82120</v>
      </c>
      <c r="ED76" s="18" t="s">
        <v>238</v>
      </c>
      <c r="EE76" s="18" t="s">
        <v>238</v>
      </c>
      <c r="EF76" s="324">
        <f t="shared" si="213"/>
        <v>82120</v>
      </c>
      <c r="EG76" s="321">
        <f t="shared" si="214"/>
        <v>82120</v>
      </c>
      <c r="EH76" s="179">
        <f t="shared" si="177"/>
        <v>0</v>
      </c>
      <c r="EI76" s="9">
        <v>82120</v>
      </c>
      <c r="EJ76" s="18" t="s">
        <v>238</v>
      </c>
      <c r="EK76" s="18" t="s">
        <v>238</v>
      </c>
      <c r="EL76" s="324">
        <f t="shared" si="215"/>
        <v>82120</v>
      </c>
      <c r="EM76" s="321">
        <f t="shared" si="216"/>
        <v>82120</v>
      </c>
      <c r="EN76" s="179">
        <f t="shared" si="178"/>
        <v>0</v>
      </c>
      <c r="EO76" s="9">
        <v>82120</v>
      </c>
      <c r="EP76" s="18" t="s">
        <v>238</v>
      </c>
      <c r="EQ76" s="18" t="s">
        <v>238</v>
      </c>
      <c r="ER76" s="324">
        <f t="shared" si="217"/>
        <v>82120</v>
      </c>
      <c r="ES76" s="321">
        <f t="shared" si="218"/>
        <v>82120</v>
      </c>
      <c r="ET76" s="179">
        <f t="shared" si="179"/>
        <v>0</v>
      </c>
      <c r="EU76" s="9">
        <v>82120</v>
      </c>
      <c r="EV76" s="18" t="s">
        <v>238</v>
      </c>
      <c r="EW76" s="18" t="s">
        <v>238</v>
      </c>
      <c r="EX76" s="324">
        <f t="shared" si="219"/>
        <v>82120</v>
      </c>
      <c r="EY76" s="321">
        <f t="shared" si="220"/>
        <v>82120</v>
      </c>
      <c r="EZ76" s="179">
        <f t="shared" si="180"/>
        <v>0</v>
      </c>
      <c r="FA76" s="9">
        <v>82120</v>
      </c>
      <c r="FB76" s="18" t="s">
        <v>238</v>
      </c>
      <c r="FC76" s="18" t="s">
        <v>238</v>
      </c>
      <c r="FD76" s="324">
        <f t="shared" si="221"/>
        <v>82120</v>
      </c>
      <c r="FE76" s="321">
        <f t="shared" si="222"/>
        <v>82120</v>
      </c>
      <c r="FF76" s="179">
        <f t="shared" si="181"/>
        <v>0</v>
      </c>
      <c r="FG76" s="9">
        <v>82120</v>
      </c>
      <c r="FH76" s="18" t="s">
        <v>238</v>
      </c>
      <c r="FI76" s="18" t="s">
        <v>238</v>
      </c>
      <c r="FJ76" s="324">
        <f t="shared" si="223"/>
        <v>82120</v>
      </c>
      <c r="FK76" s="321">
        <f t="shared" si="224"/>
        <v>82120</v>
      </c>
      <c r="FL76" s="179">
        <f t="shared" si="182"/>
        <v>0</v>
      </c>
      <c r="FM76" s="9">
        <v>82120</v>
      </c>
      <c r="FN76" s="18" t="s">
        <v>238</v>
      </c>
      <c r="FO76" s="18" t="s">
        <v>238</v>
      </c>
      <c r="FP76" s="324">
        <f t="shared" si="225"/>
        <v>82120</v>
      </c>
      <c r="FQ76" s="321">
        <f t="shared" si="226"/>
        <v>82120</v>
      </c>
      <c r="FR76" s="179">
        <f t="shared" si="183"/>
        <v>0</v>
      </c>
      <c r="FS76" s="9">
        <v>82120</v>
      </c>
      <c r="FT76" s="18" t="s">
        <v>238</v>
      </c>
      <c r="FU76" s="18" t="s">
        <v>238</v>
      </c>
      <c r="FV76" s="324">
        <f t="shared" si="227"/>
        <v>82120</v>
      </c>
      <c r="FW76" s="321">
        <f t="shared" si="228"/>
        <v>82120</v>
      </c>
      <c r="FX76" s="179">
        <f t="shared" si="184"/>
        <v>0</v>
      </c>
      <c r="FY76" s="9">
        <v>82120</v>
      </c>
      <c r="FZ76" s="18" t="s">
        <v>238</v>
      </c>
      <c r="GA76" s="18" t="s">
        <v>238</v>
      </c>
      <c r="GB76" s="324">
        <f t="shared" si="229"/>
        <v>82120</v>
      </c>
      <c r="GC76" s="321">
        <f t="shared" si="230"/>
        <v>82120</v>
      </c>
      <c r="GD76" s="179">
        <f t="shared" si="185"/>
        <v>0</v>
      </c>
      <c r="GE76" s="9">
        <v>82120</v>
      </c>
      <c r="GF76" s="18" t="s">
        <v>238</v>
      </c>
      <c r="GG76" s="18" t="s">
        <v>238</v>
      </c>
      <c r="GH76" s="324">
        <f t="shared" si="231"/>
        <v>82120</v>
      </c>
      <c r="GI76" s="321">
        <f t="shared" si="232"/>
        <v>82120</v>
      </c>
      <c r="GJ76" s="179">
        <f t="shared" si="186"/>
        <v>0</v>
      </c>
      <c r="GK76" s="9">
        <v>82120</v>
      </c>
      <c r="GL76" s="18" t="s">
        <v>238</v>
      </c>
      <c r="GM76" s="18" t="s">
        <v>238</v>
      </c>
      <c r="GN76" s="324">
        <f t="shared" si="233"/>
        <v>82120</v>
      </c>
      <c r="GO76" s="321">
        <f t="shared" si="234"/>
        <v>82120</v>
      </c>
      <c r="GP76" s="179">
        <f t="shared" si="187"/>
        <v>0</v>
      </c>
      <c r="GQ76" s="9">
        <v>82120</v>
      </c>
      <c r="GR76" s="18" t="s">
        <v>238</v>
      </c>
      <c r="GS76" s="18" t="s">
        <v>238</v>
      </c>
      <c r="GT76" s="324">
        <f t="shared" si="235"/>
        <v>82120</v>
      </c>
      <c r="GU76" s="321">
        <f t="shared" si="236"/>
        <v>82120</v>
      </c>
      <c r="GV76" s="179">
        <f t="shared" si="188"/>
        <v>0</v>
      </c>
      <c r="GW76" s="9">
        <v>86226</v>
      </c>
      <c r="GX76" s="18" t="s">
        <v>238</v>
      </c>
      <c r="GY76" s="18" t="s">
        <v>238</v>
      </c>
      <c r="GZ76" s="324">
        <f t="shared" si="237"/>
        <v>86226</v>
      </c>
      <c r="HA76" s="321">
        <f t="shared" si="238"/>
        <v>86226</v>
      </c>
      <c r="HB76" s="179">
        <f t="shared" si="189"/>
        <v>4106</v>
      </c>
      <c r="HC76" s="102">
        <f t="shared" si="190"/>
        <v>5.8396999079935582E-3</v>
      </c>
      <c r="HD76" s="285">
        <f t="shared" si="239"/>
        <v>0</v>
      </c>
      <c r="HE76" s="12">
        <f t="shared" si="240"/>
        <v>4106</v>
      </c>
      <c r="HF76" s="12">
        <f t="shared" si="191"/>
        <v>0</v>
      </c>
      <c r="HG76" s="12">
        <f t="shared" si="241"/>
        <v>4106</v>
      </c>
      <c r="HH76" s="14">
        <f t="shared" si="242"/>
        <v>4106</v>
      </c>
      <c r="HI76" s="13">
        <f t="shared" si="243"/>
        <v>86226</v>
      </c>
      <c r="HJ76" s="102">
        <f t="shared" si="244"/>
        <v>6.1316849033932362E-3</v>
      </c>
      <c r="HK76" s="16">
        <f t="shared" si="245"/>
        <v>82120</v>
      </c>
      <c r="HL76" s="103">
        <f t="shared" si="246"/>
        <v>86226</v>
      </c>
      <c r="HM76" s="103">
        <f t="shared" si="247"/>
        <v>4106</v>
      </c>
      <c r="HN76" s="17">
        <f t="shared" si="248"/>
        <v>0</v>
      </c>
      <c r="HO76" s="56">
        <f t="shared" si="249"/>
        <v>4106</v>
      </c>
      <c r="HP76" s="16">
        <f t="shared" si="250"/>
        <v>0</v>
      </c>
      <c r="HQ76" s="16">
        <f t="shared" si="251"/>
        <v>86226</v>
      </c>
      <c r="HR76" s="16">
        <f t="shared" si="252"/>
        <v>0</v>
      </c>
    </row>
    <row r="77" spans="1:226" x14ac:dyDescent="0.3">
      <c r="A77" s="145">
        <v>23</v>
      </c>
      <c r="B77" s="453"/>
      <c r="C77" s="312" t="s">
        <v>523</v>
      </c>
      <c r="D77" s="239" t="s">
        <v>492</v>
      </c>
      <c r="E77" s="27"/>
      <c r="F77" s="9"/>
      <c r="G77" s="9"/>
      <c r="H77" s="324"/>
      <c r="I77" s="324"/>
      <c r="J77" s="324"/>
      <c r="K77" s="324"/>
      <c r="L77" s="324"/>
      <c r="M77" s="23"/>
      <c r="N77" s="23"/>
      <c r="O77" s="298"/>
      <c r="P77" s="298"/>
      <c r="Q77" s="298"/>
      <c r="R77" s="298"/>
      <c r="S77" s="298"/>
      <c r="T77" s="298"/>
      <c r="U77" s="298"/>
      <c r="V77" s="298"/>
      <c r="W77" s="298"/>
      <c r="X77" s="298"/>
      <c r="Y77" s="298"/>
      <c r="Z77" s="298"/>
      <c r="AA77" s="298"/>
      <c r="AB77" s="298"/>
      <c r="AC77" s="9"/>
      <c r="AD77" s="9"/>
      <c r="AE77" s="298"/>
      <c r="AF77" s="298"/>
      <c r="AG77" s="9"/>
      <c r="AH77" s="9"/>
      <c r="AI77" s="298"/>
      <c r="AJ77" s="298"/>
      <c r="AK77" s="9"/>
      <c r="AL77" s="9"/>
      <c r="AM77" s="298"/>
      <c r="AN77" s="298"/>
      <c r="AO77" s="9"/>
      <c r="AP77" s="9"/>
      <c r="AQ77" s="298"/>
      <c r="AR77" s="28">
        <v>164562</v>
      </c>
      <c r="AS77" s="9"/>
      <c r="AT77" s="9"/>
      <c r="AU77" s="298"/>
      <c r="AV77" s="47">
        <v>164562</v>
      </c>
      <c r="AW77" s="9">
        <v>0</v>
      </c>
      <c r="AX77" s="9">
        <v>0</v>
      </c>
      <c r="AY77" s="47">
        <v>164562</v>
      </c>
      <c r="AZ77" s="8">
        <f>AY77*5%</f>
        <v>8228.1</v>
      </c>
      <c r="BA77" s="8">
        <v>0.1</v>
      </c>
      <c r="BB77" s="8">
        <f>AZ77-BA77</f>
        <v>8228</v>
      </c>
      <c r="BC77" s="8">
        <f>BB77+AY77</f>
        <v>172790</v>
      </c>
      <c r="BD77" s="8"/>
      <c r="BE77" s="8">
        <f>BD77+BC77</f>
        <v>172790</v>
      </c>
      <c r="BF77" s="10">
        <f>BE77-AY77</f>
        <v>8228</v>
      </c>
      <c r="BG77" s="11">
        <f>BF77-BB77</f>
        <v>0</v>
      </c>
      <c r="BH77" s="11">
        <v>173400</v>
      </c>
      <c r="BI77" s="11">
        <v>0</v>
      </c>
      <c r="BJ77" s="11">
        <v>0</v>
      </c>
      <c r="BK77" s="319">
        <f>BJ77+BI77+BH77</f>
        <v>173400</v>
      </c>
      <c r="BL77" s="319">
        <v>173450</v>
      </c>
      <c r="BM77" s="319">
        <v>0</v>
      </c>
      <c r="BN77" s="319">
        <v>0</v>
      </c>
      <c r="BO77" s="319">
        <f>BN77+BM77+BL77</f>
        <v>173450</v>
      </c>
      <c r="BP77" s="48">
        <f>BO77-BK77</f>
        <v>50</v>
      </c>
      <c r="BQ77" s="319">
        <v>173560</v>
      </c>
      <c r="BR77" s="319">
        <v>0</v>
      </c>
      <c r="BS77" s="319">
        <v>0</v>
      </c>
      <c r="BT77" s="319">
        <f>BS77+BR77+BQ77</f>
        <v>173560</v>
      </c>
      <c r="BU77" s="48">
        <f>BT77-BO77</f>
        <v>110</v>
      </c>
      <c r="BV77" s="319">
        <v>173560</v>
      </c>
      <c r="BW77" s="319">
        <v>0</v>
      </c>
      <c r="BX77" s="319">
        <v>0</v>
      </c>
      <c r="BY77" s="319">
        <f>BX77+BW77+BV77</f>
        <v>173560</v>
      </c>
      <c r="BZ77" s="319">
        <f>BY77-BT77</f>
        <v>0</v>
      </c>
      <c r="CA77" s="319">
        <v>173560</v>
      </c>
      <c r="CB77" s="319">
        <v>0</v>
      </c>
      <c r="CC77" s="319">
        <v>0</v>
      </c>
      <c r="CD77" s="319">
        <f>CC77+CB77+CA77</f>
        <v>173560</v>
      </c>
      <c r="CE77" s="319">
        <f>CD77-BY77</f>
        <v>0</v>
      </c>
      <c r="CF77" s="319">
        <v>169295</v>
      </c>
      <c r="CG77" s="319">
        <v>0</v>
      </c>
      <c r="CH77" s="319">
        <v>0</v>
      </c>
      <c r="CI77" s="319">
        <f>CH77+CG77+CF77</f>
        <v>169295</v>
      </c>
      <c r="CJ77" s="48">
        <f>CI77-CD77</f>
        <v>-4265</v>
      </c>
      <c r="CK77" s="319">
        <v>169400</v>
      </c>
      <c r="CL77" s="319">
        <v>0</v>
      </c>
      <c r="CM77" s="319">
        <v>0</v>
      </c>
      <c r="CN77" s="319">
        <f t="shared" ref="CN77:CN82" si="268">CM77+CL77+CK77</f>
        <v>169400</v>
      </c>
      <c r="CO77" s="48">
        <f t="shared" si="263"/>
        <v>105</v>
      </c>
      <c r="CP77" s="319">
        <v>169400</v>
      </c>
      <c r="CQ77" s="319">
        <v>0</v>
      </c>
      <c r="CR77" s="319">
        <v>0</v>
      </c>
      <c r="CS77" s="319">
        <f t="shared" si="264"/>
        <v>169400</v>
      </c>
      <c r="CT77" s="319">
        <f t="shared" si="265"/>
        <v>0</v>
      </c>
      <c r="CU77" s="319">
        <v>169400</v>
      </c>
      <c r="CV77" s="319">
        <v>0</v>
      </c>
      <c r="CW77" s="319">
        <v>0</v>
      </c>
      <c r="CX77" s="319">
        <f t="shared" si="266"/>
        <v>169400</v>
      </c>
      <c r="CY77" s="319">
        <f t="shared" si="267"/>
        <v>0</v>
      </c>
      <c r="CZ77" s="319"/>
      <c r="DA77" s="319"/>
      <c r="DB77" s="319"/>
      <c r="DC77" s="12">
        <f t="shared" si="202"/>
        <v>16940</v>
      </c>
      <c r="DD77" s="12">
        <v>0</v>
      </c>
      <c r="DE77" s="13">
        <f t="shared" si="203"/>
        <v>16940</v>
      </c>
      <c r="DF77" s="14">
        <f t="shared" si="169"/>
        <v>16940</v>
      </c>
      <c r="DG77" s="13">
        <f t="shared" si="170"/>
        <v>186340</v>
      </c>
      <c r="DH77" s="15">
        <f t="shared" si="171"/>
        <v>1.3250970297802235E-2</v>
      </c>
      <c r="DI77" s="16">
        <f t="shared" si="172"/>
        <v>169400</v>
      </c>
      <c r="DJ77" s="132">
        <f t="shared" si="204"/>
        <v>186340.00000000003</v>
      </c>
      <c r="DK77" s="17">
        <f t="shared" si="205"/>
        <v>16940.000000000029</v>
      </c>
      <c r="DL77" s="17">
        <f t="shared" si="173"/>
        <v>0</v>
      </c>
      <c r="DM77" s="16">
        <f t="shared" si="206"/>
        <v>16940.000000000029</v>
      </c>
      <c r="DN77" s="16">
        <f t="shared" si="174"/>
        <v>2.9103830456733704E-11</v>
      </c>
      <c r="DO77" s="16">
        <f t="shared" si="207"/>
        <v>186340.00000000003</v>
      </c>
      <c r="DP77" s="16">
        <f t="shared" si="175"/>
        <v>0</v>
      </c>
      <c r="DQ77" s="9">
        <v>186340</v>
      </c>
      <c r="DR77" s="18" t="s">
        <v>238</v>
      </c>
      <c r="DS77" s="18" t="s">
        <v>238</v>
      </c>
      <c r="DT77" s="324">
        <f t="shared" si="208"/>
        <v>186340</v>
      </c>
      <c r="DU77" s="321">
        <f t="shared" si="209"/>
        <v>186340</v>
      </c>
      <c r="DV77" s="19">
        <f t="shared" si="210"/>
        <v>0</v>
      </c>
      <c r="DW77" s="9">
        <v>186340</v>
      </c>
      <c r="DX77" s="18"/>
      <c r="DY77" s="18"/>
      <c r="DZ77" s="324">
        <f t="shared" si="211"/>
        <v>186340</v>
      </c>
      <c r="EA77" s="321">
        <f t="shared" si="212"/>
        <v>186340</v>
      </c>
      <c r="EB77" s="179">
        <f t="shared" si="176"/>
        <v>0</v>
      </c>
      <c r="EC77" s="9">
        <v>186340</v>
      </c>
      <c r="ED77" s="18" t="s">
        <v>238</v>
      </c>
      <c r="EE77" s="18" t="s">
        <v>238</v>
      </c>
      <c r="EF77" s="324">
        <f t="shared" si="213"/>
        <v>186340</v>
      </c>
      <c r="EG77" s="321">
        <f t="shared" si="214"/>
        <v>186340</v>
      </c>
      <c r="EH77" s="179">
        <f t="shared" si="177"/>
        <v>0</v>
      </c>
      <c r="EI77" s="9">
        <v>186340</v>
      </c>
      <c r="EJ77" s="18" t="s">
        <v>238</v>
      </c>
      <c r="EK77" s="18" t="s">
        <v>238</v>
      </c>
      <c r="EL77" s="324">
        <f t="shared" si="215"/>
        <v>186340</v>
      </c>
      <c r="EM77" s="321">
        <f t="shared" si="216"/>
        <v>186340</v>
      </c>
      <c r="EN77" s="179">
        <f t="shared" si="178"/>
        <v>0</v>
      </c>
      <c r="EO77" s="9">
        <v>186340</v>
      </c>
      <c r="EP77" s="18" t="s">
        <v>238</v>
      </c>
      <c r="EQ77" s="18" t="s">
        <v>238</v>
      </c>
      <c r="ER77" s="324">
        <f t="shared" si="217"/>
        <v>186340</v>
      </c>
      <c r="ES77" s="321">
        <f t="shared" si="218"/>
        <v>186340</v>
      </c>
      <c r="ET77" s="179">
        <f t="shared" si="179"/>
        <v>0</v>
      </c>
      <c r="EU77" s="9">
        <v>186340</v>
      </c>
      <c r="EV77" s="18" t="s">
        <v>238</v>
      </c>
      <c r="EW77" s="18" t="s">
        <v>238</v>
      </c>
      <c r="EX77" s="324">
        <f t="shared" si="219"/>
        <v>186340</v>
      </c>
      <c r="EY77" s="321">
        <f t="shared" si="220"/>
        <v>186340</v>
      </c>
      <c r="EZ77" s="179">
        <f t="shared" si="180"/>
        <v>0</v>
      </c>
      <c r="FA77" s="9">
        <v>186340</v>
      </c>
      <c r="FB77" s="18" t="s">
        <v>238</v>
      </c>
      <c r="FC77" s="18" t="s">
        <v>238</v>
      </c>
      <c r="FD77" s="324">
        <f t="shared" si="221"/>
        <v>186340</v>
      </c>
      <c r="FE77" s="321">
        <f t="shared" si="222"/>
        <v>186340</v>
      </c>
      <c r="FF77" s="179">
        <f t="shared" si="181"/>
        <v>0</v>
      </c>
      <c r="FG77" s="9">
        <v>186340</v>
      </c>
      <c r="FH77" s="18" t="s">
        <v>238</v>
      </c>
      <c r="FI77" s="18" t="s">
        <v>238</v>
      </c>
      <c r="FJ77" s="324">
        <f t="shared" si="223"/>
        <v>186340</v>
      </c>
      <c r="FK77" s="321">
        <f t="shared" si="224"/>
        <v>186340</v>
      </c>
      <c r="FL77" s="179">
        <f t="shared" si="182"/>
        <v>0</v>
      </c>
      <c r="FM77" s="9">
        <v>186340</v>
      </c>
      <c r="FN77" s="18" t="s">
        <v>238</v>
      </c>
      <c r="FO77" s="18" t="s">
        <v>238</v>
      </c>
      <c r="FP77" s="324">
        <f t="shared" si="225"/>
        <v>186340</v>
      </c>
      <c r="FQ77" s="321">
        <f t="shared" si="226"/>
        <v>186340</v>
      </c>
      <c r="FR77" s="179">
        <f t="shared" si="183"/>
        <v>0</v>
      </c>
      <c r="FS77" s="9">
        <v>186340</v>
      </c>
      <c r="FT77" s="18" t="s">
        <v>238</v>
      </c>
      <c r="FU77" s="18" t="s">
        <v>238</v>
      </c>
      <c r="FV77" s="324">
        <f t="shared" si="227"/>
        <v>186340</v>
      </c>
      <c r="FW77" s="321">
        <f t="shared" si="228"/>
        <v>186340</v>
      </c>
      <c r="FX77" s="179">
        <f t="shared" si="184"/>
        <v>0</v>
      </c>
      <c r="FY77" s="9">
        <v>186340</v>
      </c>
      <c r="FZ77" s="18" t="s">
        <v>238</v>
      </c>
      <c r="GA77" s="18" t="s">
        <v>238</v>
      </c>
      <c r="GB77" s="324">
        <f t="shared" si="229"/>
        <v>186340</v>
      </c>
      <c r="GC77" s="321">
        <f t="shared" si="230"/>
        <v>186340</v>
      </c>
      <c r="GD77" s="179">
        <f t="shared" si="185"/>
        <v>0</v>
      </c>
      <c r="GE77" s="9">
        <v>186340</v>
      </c>
      <c r="GF77" s="18" t="s">
        <v>238</v>
      </c>
      <c r="GG77" s="18" t="s">
        <v>238</v>
      </c>
      <c r="GH77" s="324">
        <f t="shared" si="231"/>
        <v>186340</v>
      </c>
      <c r="GI77" s="321">
        <f t="shared" si="232"/>
        <v>186340</v>
      </c>
      <c r="GJ77" s="179">
        <f t="shared" si="186"/>
        <v>0</v>
      </c>
      <c r="GK77" s="9">
        <v>186340</v>
      </c>
      <c r="GL77" s="18" t="s">
        <v>238</v>
      </c>
      <c r="GM77" s="18" t="s">
        <v>238</v>
      </c>
      <c r="GN77" s="324">
        <f t="shared" si="233"/>
        <v>186340</v>
      </c>
      <c r="GO77" s="321">
        <f t="shared" si="234"/>
        <v>186340</v>
      </c>
      <c r="GP77" s="179">
        <f t="shared" si="187"/>
        <v>0</v>
      </c>
      <c r="GQ77" s="9">
        <v>186340</v>
      </c>
      <c r="GR77" s="18" t="s">
        <v>238</v>
      </c>
      <c r="GS77" s="18" t="s">
        <v>238</v>
      </c>
      <c r="GT77" s="324">
        <f t="shared" si="235"/>
        <v>186340</v>
      </c>
      <c r="GU77" s="321">
        <f t="shared" si="236"/>
        <v>186340</v>
      </c>
      <c r="GV77" s="179">
        <f t="shared" si="188"/>
        <v>0</v>
      </c>
      <c r="GW77" s="9">
        <v>195657</v>
      </c>
      <c r="GX77" s="18" t="s">
        <v>238</v>
      </c>
      <c r="GY77" s="18" t="s">
        <v>238</v>
      </c>
      <c r="GZ77" s="324">
        <f t="shared" si="237"/>
        <v>195657</v>
      </c>
      <c r="HA77" s="321">
        <f t="shared" si="238"/>
        <v>195657</v>
      </c>
      <c r="HB77" s="179">
        <f t="shared" si="189"/>
        <v>9317</v>
      </c>
      <c r="HC77" s="102">
        <f t="shared" si="190"/>
        <v>1.3250970297802235E-2</v>
      </c>
      <c r="HD77" s="285">
        <f t="shared" si="239"/>
        <v>0</v>
      </c>
      <c r="HE77" s="12">
        <f t="shared" si="240"/>
        <v>9317</v>
      </c>
      <c r="HF77" s="12">
        <f t="shared" si="191"/>
        <v>0</v>
      </c>
      <c r="HG77" s="12">
        <f t="shared" si="241"/>
        <v>9317</v>
      </c>
      <c r="HH77" s="14">
        <f t="shared" si="242"/>
        <v>9317</v>
      </c>
      <c r="HI77" s="13">
        <f t="shared" si="243"/>
        <v>195657</v>
      </c>
      <c r="HJ77" s="102">
        <f t="shared" si="244"/>
        <v>1.3913518812692347E-2</v>
      </c>
      <c r="HK77" s="16">
        <f t="shared" si="245"/>
        <v>186340</v>
      </c>
      <c r="HL77" s="103">
        <f t="shared" si="246"/>
        <v>195657</v>
      </c>
      <c r="HM77" s="103">
        <f t="shared" si="247"/>
        <v>9317</v>
      </c>
      <c r="HN77" s="17">
        <f t="shared" si="248"/>
        <v>0</v>
      </c>
      <c r="HO77" s="56">
        <f t="shared" si="249"/>
        <v>9317</v>
      </c>
      <c r="HP77" s="16">
        <f t="shared" si="250"/>
        <v>0</v>
      </c>
      <c r="HQ77" s="16">
        <f t="shared" si="251"/>
        <v>195657</v>
      </c>
      <c r="HR77" s="16">
        <f t="shared" si="252"/>
        <v>0</v>
      </c>
    </row>
    <row r="78" spans="1:226" x14ac:dyDescent="0.3">
      <c r="A78" s="145">
        <v>26</v>
      </c>
      <c r="B78" s="453"/>
      <c r="C78" s="312" t="s">
        <v>336</v>
      </c>
      <c r="D78" s="206" t="s">
        <v>213</v>
      </c>
      <c r="E78" s="27"/>
      <c r="F78" s="9"/>
      <c r="G78" s="9"/>
      <c r="H78" s="324"/>
      <c r="I78" s="324">
        <v>138672</v>
      </c>
      <c r="J78" s="324"/>
      <c r="K78" s="324"/>
      <c r="L78" s="324">
        <v>138672</v>
      </c>
      <c r="M78" s="23">
        <v>138672</v>
      </c>
      <c r="N78" s="23">
        <v>138672</v>
      </c>
      <c r="O78" s="298">
        <v>138672</v>
      </c>
      <c r="P78" s="298">
        <v>138672</v>
      </c>
      <c r="Q78" s="298">
        <v>138672</v>
      </c>
      <c r="R78" s="298">
        <v>138672</v>
      </c>
      <c r="S78" s="298">
        <v>138672</v>
      </c>
      <c r="T78" s="298">
        <v>138672</v>
      </c>
      <c r="U78" s="298">
        <f>T78*5%</f>
        <v>6933.6</v>
      </c>
      <c r="V78" s="298">
        <f>T78+U78</f>
        <v>145605.6</v>
      </c>
      <c r="W78" s="298">
        <v>145605</v>
      </c>
      <c r="X78" s="298">
        <v>145605</v>
      </c>
      <c r="Y78" s="298">
        <v>145605</v>
      </c>
      <c r="Z78" s="298">
        <v>145605</v>
      </c>
      <c r="AA78" s="298">
        <v>145605</v>
      </c>
      <c r="AB78" s="298">
        <v>145605</v>
      </c>
      <c r="AC78" s="9">
        <v>0</v>
      </c>
      <c r="AD78" s="9">
        <v>0</v>
      </c>
      <c r="AE78" s="298">
        <f>AD78+AC78+AB78</f>
        <v>145605</v>
      </c>
      <c r="AF78" s="298">
        <v>145605</v>
      </c>
      <c r="AG78" s="9">
        <v>0</v>
      </c>
      <c r="AH78" s="9">
        <v>0</v>
      </c>
      <c r="AI78" s="298">
        <f>AH78+AG78+AF78</f>
        <v>145605</v>
      </c>
      <c r="AJ78" s="298">
        <v>145605</v>
      </c>
      <c r="AK78" s="9">
        <v>0</v>
      </c>
      <c r="AL78" s="9">
        <v>0</v>
      </c>
      <c r="AM78" s="298">
        <f>AL78+AK78+AJ78</f>
        <v>145605</v>
      </c>
      <c r="AN78" s="298">
        <v>145605</v>
      </c>
      <c r="AO78" s="9">
        <v>0</v>
      </c>
      <c r="AP78" s="9">
        <v>0</v>
      </c>
      <c r="AQ78" s="298">
        <f>AP78+AO78+AN78</f>
        <v>145605</v>
      </c>
      <c r="AR78" s="28">
        <v>145605</v>
      </c>
      <c r="AS78" s="9">
        <v>0</v>
      </c>
      <c r="AT78" s="9">
        <v>0</v>
      </c>
      <c r="AU78" s="298">
        <f>AT78+AS78+AR78</f>
        <v>145605</v>
      </c>
      <c r="AV78" s="298">
        <v>145605</v>
      </c>
      <c r="AW78" s="9">
        <v>0</v>
      </c>
      <c r="AX78" s="9">
        <v>0</v>
      </c>
      <c r="AY78" s="7">
        <f>AX78+AW78+AV78</f>
        <v>145605</v>
      </c>
      <c r="AZ78" s="8">
        <f>AY78*5%</f>
        <v>7280.25</v>
      </c>
      <c r="BA78" s="8">
        <v>0.25</v>
      </c>
      <c r="BB78" s="8">
        <f>AZ78-BA78</f>
        <v>7280</v>
      </c>
      <c r="BC78" s="8">
        <f>BB78+AY78</f>
        <v>152885</v>
      </c>
      <c r="BD78" s="8"/>
      <c r="BE78" s="8">
        <f>BD78+BC78</f>
        <v>152885</v>
      </c>
      <c r="BF78" s="10">
        <f>BE78-AY78</f>
        <v>7280</v>
      </c>
      <c r="BG78" s="11">
        <f>BF78-BB78</f>
        <v>0</v>
      </c>
      <c r="BH78" s="11">
        <v>152885</v>
      </c>
      <c r="BI78" s="11"/>
      <c r="BJ78" s="11"/>
      <c r="BK78" s="319">
        <f>BJ78+BI78+BH78</f>
        <v>152885</v>
      </c>
      <c r="BL78" s="319">
        <v>152885</v>
      </c>
      <c r="BM78" s="319">
        <v>0</v>
      </c>
      <c r="BN78" s="319">
        <v>0</v>
      </c>
      <c r="BO78" s="319">
        <f t="shared" si="260"/>
        <v>152885</v>
      </c>
      <c r="BP78" s="319">
        <f t="shared" si="253"/>
        <v>0</v>
      </c>
      <c r="BQ78" s="319">
        <v>152885</v>
      </c>
      <c r="BR78" s="319">
        <v>0</v>
      </c>
      <c r="BS78" s="319">
        <v>0</v>
      </c>
      <c r="BT78" s="319">
        <f t="shared" si="161"/>
        <v>152885</v>
      </c>
      <c r="BU78" s="319">
        <f t="shared" si="162"/>
        <v>0</v>
      </c>
      <c r="BV78" s="319">
        <v>152885</v>
      </c>
      <c r="BW78" s="319">
        <v>0</v>
      </c>
      <c r="BX78" s="319">
        <v>0</v>
      </c>
      <c r="BY78" s="319">
        <f t="shared" si="163"/>
        <v>152885</v>
      </c>
      <c r="BZ78" s="319">
        <f t="shared" si="164"/>
        <v>0</v>
      </c>
      <c r="CA78" s="319">
        <v>152885</v>
      </c>
      <c r="CB78" s="319">
        <v>0</v>
      </c>
      <c r="CC78" s="319">
        <v>0</v>
      </c>
      <c r="CD78" s="319">
        <f t="shared" si="165"/>
        <v>152885</v>
      </c>
      <c r="CE78" s="319">
        <f t="shared" si="166"/>
        <v>0</v>
      </c>
      <c r="CF78" s="319">
        <v>152885</v>
      </c>
      <c r="CG78" s="319">
        <v>0</v>
      </c>
      <c r="CH78" s="319">
        <v>0</v>
      </c>
      <c r="CI78" s="319">
        <f t="shared" si="167"/>
        <v>152885</v>
      </c>
      <c r="CJ78" s="319">
        <f t="shared" si="168"/>
        <v>0</v>
      </c>
      <c r="CK78" s="319">
        <v>152885</v>
      </c>
      <c r="CL78" s="319">
        <v>0</v>
      </c>
      <c r="CM78" s="319">
        <v>0</v>
      </c>
      <c r="CN78" s="319">
        <f t="shared" si="268"/>
        <v>152885</v>
      </c>
      <c r="CO78" s="319">
        <f t="shared" si="263"/>
        <v>0</v>
      </c>
      <c r="CP78" s="319">
        <v>152885</v>
      </c>
      <c r="CQ78" s="319">
        <v>0</v>
      </c>
      <c r="CR78" s="319">
        <v>0</v>
      </c>
      <c r="CS78" s="319">
        <f t="shared" si="264"/>
        <v>152885</v>
      </c>
      <c r="CT78" s="319">
        <f t="shared" si="265"/>
        <v>0</v>
      </c>
      <c r="CU78" s="319">
        <v>152885</v>
      </c>
      <c r="CV78" s="319">
        <v>0</v>
      </c>
      <c r="CW78" s="319">
        <v>0</v>
      </c>
      <c r="CX78" s="319">
        <f t="shared" si="266"/>
        <v>152885</v>
      </c>
      <c r="CY78" s="319">
        <f t="shared" si="267"/>
        <v>0</v>
      </c>
      <c r="CZ78" s="319"/>
      <c r="DA78" s="319"/>
      <c r="DB78" s="319"/>
      <c r="DC78" s="12">
        <f t="shared" si="202"/>
        <v>15288.5</v>
      </c>
      <c r="DD78" s="12">
        <v>0.5</v>
      </c>
      <c r="DE78" s="13">
        <f t="shared" si="203"/>
        <v>15288</v>
      </c>
      <c r="DF78" s="14">
        <f t="shared" si="169"/>
        <v>15288</v>
      </c>
      <c r="DG78" s="13">
        <f t="shared" si="170"/>
        <v>168173</v>
      </c>
      <c r="DH78" s="15">
        <f t="shared" si="171"/>
        <v>1.1959118028214255E-2</v>
      </c>
      <c r="DI78" s="16">
        <f t="shared" si="172"/>
        <v>152885</v>
      </c>
      <c r="DJ78" s="132">
        <f t="shared" si="204"/>
        <v>168173.5</v>
      </c>
      <c r="DK78" s="17">
        <f t="shared" si="205"/>
        <v>15288.5</v>
      </c>
      <c r="DL78" s="17">
        <f t="shared" si="173"/>
        <v>0.5</v>
      </c>
      <c r="DM78" s="16">
        <f t="shared" si="206"/>
        <v>15288</v>
      </c>
      <c r="DN78" s="16">
        <f t="shared" si="174"/>
        <v>0</v>
      </c>
      <c r="DO78" s="16">
        <f t="shared" si="207"/>
        <v>168173</v>
      </c>
      <c r="DP78" s="16">
        <f t="shared" si="175"/>
        <v>0</v>
      </c>
      <c r="DQ78" s="9">
        <v>168173</v>
      </c>
      <c r="DR78" s="18" t="s">
        <v>238</v>
      </c>
      <c r="DS78" s="18" t="s">
        <v>238</v>
      </c>
      <c r="DT78" s="324">
        <f t="shared" si="208"/>
        <v>168173</v>
      </c>
      <c r="DU78" s="321">
        <f t="shared" si="209"/>
        <v>168173</v>
      </c>
      <c r="DV78" s="19">
        <f t="shared" si="210"/>
        <v>0</v>
      </c>
      <c r="DW78" s="9">
        <v>168173</v>
      </c>
      <c r="DX78" s="18"/>
      <c r="DY78" s="18"/>
      <c r="DZ78" s="324">
        <f t="shared" si="211"/>
        <v>168173</v>
      </c>
      <c r="EA78" s="321">
        <f t="shared" si="212"/>
        <v>168173</v>
      </c>
      <c r="EB78" s="179">
        <f t="shared" si="176"/>
        <v>0</v>
      </c>
      <c r="EC78" s="9">
        <v>168173</v>
      </c>
      <c r="ED78" s="18" t="s">
        <v>238</v>
      </c>
      <c r="EE78" s="18" t="s">
        <v>238</v>
      </c>
      <c r="EF78" s="324">
        <f t="shared" si="213"/>
        <v>168173</v>
      </c>
      <c r="EG78" s="321">
        <f t="shared" si="214"/>
        <v>168173</v>
      </c>
      <c r="EH78" s="179">
        <f t="shared" si="177"/>
        <v>0</v>
      </c>
      <c r="EI78" s="9">
        <v>168173</v>
      </c>
      <c r="EJ78" s="18" t="s">
        <v>238</v>
      </c>
      <c r="EK78" s="18" t="s">
        <v>238</v>
      </c>
      <c r="EL78" s="324">
        <f t="shared" si="215"/>
        <v>168173</v>
      </c>
      <c r="EM78" s="321">
        <f t="shared" si="216"/>
        <v>168173</v>
      </c>
      <c r="EN78" s="179">
        <f t="shared" si="178"/>
        <v>0</v>
      </c>
      <c r="EO78" s="9">
        <v>168173</v>
      </c>
      <c r="EP78" s="18" t="s">
        <v>238</v>
      </c>
      <c r="EQ78" s="18" t="s">
        <v>238</v>
      </c>
      <c r="ER78" s="324">
        <f t="shared" si="217"/>
        <v>168173</v>
      </c>
      <c r="ES78" s="321">
        <f t="shared" si="218"/>
        <v>168173</v>
      </c>
      <c r="ET78" s="179">
        <f t="shared" si="179"/>
        <v>0</v>
      </c>
      <c r="EU78" s="9">
        <v>168173</v>
      </c>
      <c r="EV78" s="18" t="s">
        <v>238</v>
      </c>
      <c r="EW78" s="18" t="s">
        <v>238</v>
      </c>
      <c r="EX78" s="324">
        <f t="shared" si="219"/>
        <v>168173</v>
      </c>
      <c r="EY78" s="321">
        <f t="shared" si="220"/>
        <v>168173</v>
      </c>
      <c r="EZ78" s="179">
        <f t="shared" si="180"/>
        <v>0</v>
      </c>
      <c r="FA78" s="9">
        <v>168173</v>
      </c>
      <c r="FB78" s="18" t="s">
        <v>238</v>
      </c>
      <c r="FC78" s="18" t="s">
        <v>238</v>
      </c>
      <c r="FD78" s="324">
        <f t="shared" si="221"/>
        <v>168173</v>
      </c>
      <c r="FE78" s="321">
        <f t="shared" si="222"/>
        <v>168173</v>
      </c>
      <c r="FF78" s="179">
        <f t="shared" si="181"/>
        <v>0</v>
      </c>
      <c r="FG78" s="9">
        <v>168173</v>
      </c>
      <c r="FH78" s="18" t="s">
        <v>238</v>
      </c>
      <c r="FI78" s="18" t="s">
        <v>238</v>
      </c>
      <c r="FJ78" s="324">
        <f t="shared" si="223"/>
        <v>168173</v>
      </c>
      <c r="FK78" s="321">
        <f t="shared" si="224"/>
        <v>168173</v>
      </c>
      <c r="FL78" s="179">
        <f t="shared" si="182"/>
        <v>0</v>
      </c>
      <c r="FM78" s="9">
        <v>168173</v>
      </c>
      <c r="FN78" s="18" t="s">
        <v>238</v>
      </c>
      <c r="FO78" s="18" t="s">
        <v>238</v>
      </c>
      <c r="FP78" s="324">
        <f t="shared" si="225"/>
        <v>168173</v>
      </c>
      <c r="FQ78" s="321">
        <f t="shared" si="226"/>
        <v>168173</v>
      </c>
      <c r="FR78" s="179">
        <f t="shared" si="183"/>
        <v>0</v>
      </c>
      <c r="FS78" s="9">
        <v>168173</v>
      </c>
      <c r="FT78" s="18" t="s">
        <v>238</v>
      </c>
      <c r="FU78" s="18" t="s">
        <v>238</v>
      </c>
      <c r="FV78" s="324">
        <f t="shared" si="227"/>
        <v>168173</v>
      </c>
      <c r="FW78" s="321">
        <f t="shared" si="228"/>
        <v>168173</v>
      </c>
      <c r="FX78" s="179">
        <f t="shared" si="184"/>
        <v>0</v>
      </c>
      <c r="FY78" s="9">
        <v>168173</v>
      </c>
      <c r="FZ78" s="18" t="s">
        <v>238</v>
      </c>
      <c r="GA78" s="18" t="s">
        <v>238</v>
      </c>
      <c r="GB78" s="324">
        <f t="shared" si="229"/>
        <v>168173</v>
      </c>
      <c r="GC78" s="321">
        <f t="shared" si="230"/>
        <v>168173</v>
      </c>
      <c r="GD78" s="179">
        <f t="shared" si="185"/>
        <v>0</v>
      </c>
      <c r="GE78" s="9">
        <v>168173</v>
      </c>
      <c r="GF78" s="18" t="s">
        <v>238</v>
      </c>
      <c r="GG78" s="18" t="s">
        <v>238</v>
      </c>
      <c r="GH78" s="324">
        <f t="shared" si="231"/>
        <v>168173</v>
      </c>
      <c r="GI78" s="321">
        <f t="shared" si="232"/>
        <v>168173</v>
      </c>
      <c r="GJ78" s="179">
        <f t="shared" si="186"/>
        <v>0</v>
      </c>
      <c r="GK78" s="9">
        <v>168173</v>
      </c>
      <c r="GL78" s="18" t="s">
        <v>238</v>
      </c>
      <c r="GM78" s="18" t="s">
        <v>238</v>
      </c>
      <c r="GN78" s="324">
        <f t="shared" si="233"/>
        <v>168173</v>
      </c>
      <c r="GO78" s="321">
        <f t="shared" si="234"/>
        <v>168173</v>
      </c>
      <c r="GP78" s="179">
        <f t="shared" si="187"/>
        <v>0</v>
      </c>
      <c r="GQ78" s="9">
        <v>168173</v>
      </c>
      <c r="GR78" s="18" t="s">
        <v>238</v>
      </c>
      <c r="GS78" s="18" t="s">
        <v>238</v>
      </c>
      <c r="GT78" s="324">
        <f t="shared" si="235"/>
        <v>168173</v>
      </c>
      <c r="GU78" s="321">
        <f t="shared" si="236"/>
        <v>168173</v>
      </c>
      <c r="GV78" s="179">
        <f t="shared" si="188"/>
        <v>0</v>
      </c>
      <c r="GW78" s="9">
        <v>176581</v>
      </c>
      <c r="GX78" s="18" t="s">
        <v>238</v>
      </c>
      <c r="GY78" s="18" t="s">
        <v>238</v>
      </c>
      <c r="GZ78" s="324">
        <f t="shared" si="237"/>
        <v>176581</v>
      </c>
      <c r="HA78" s="321">
        <f t="shared" si="238"/>
        <v>176581</v>
      </c>
      <c r="HB78" s="179">
        <f t="shared" si="189"/>
        <v>8408</v>
      </c>
      <c r="HC78" s="102">
        <f t="shared" si="190"/>
        <v>1.1959082472321001E-2</v>
      </c>
      <c r="HD78" s="285">
        <f t="shared" si="239"/>
        <v>0</v>
      </c>
      <c r="HE78" s="12">
        <f t="shared" si="240"/>
        <v>8408.65</v>
      </c>
      <c r="HF78" s="12">
        <f t="shared" si="191"/>
        <v>0.6499999999996362</v>
      </c>
      <c r="HG78" s="12">
        <f t="shared" si="241"/>
        <v>8408</v>
      </c>
      <c r="HH78" s="14">
        <f t="shared" si="242"/>
        <v>8408</v>
      </c>
      <c r="HI78" s="13">
        <f t="shared" si="243"/>
        <v>176581</v>
      </c>
      <c r="HJ78" s="102">
        <f t="shared" si="244"/>
        <v>1.2556990373275822E-2</v>
      </c>
      <c r="HK78" s="16">
        <f t="shared" si="245"/>
        <v>168173</v>
      </c>
      <c r="HL78" s="103">
        <f t="shared" si="246"/>
        <v>176581.65</v>
      </c>
      <c r="HM78" s="103">
        <f t="shared" si="247"/>
        <v>8408.6499999999942</v>
      </c>
      <c r="HN78" s="17">
        <f t="shared" si="248"/>
        <v>0.6499999999996362</v>
      </c>
      <c r="HO78" s="56">
        <f t="shared" si="249"/>
        <v>8407.9999999999945</v>
      </c>
      <c r="HP78" s="16">
        <f t="shared" si="250"/>
        <v>0</v>
      </c>
      <c r="HQ78" s="16">
        <f t="shared" si="251"/>
        <v>176581</v>
      </c>
      <c r="HR78" s="16">
        <f t="shared" si="252"/>
        <v>0</v>
      </c>
    </row>
    <row r="79" spans="1:226" x14ac:dyDescent="0.3">
      <c r="A79" s="145">
        <v>24</v>
      </c>
      <c r="B79" s="280" t="s">
        <v>210</v>
      </c>
      <c r="C79" s="312" t="s">
        <v>291</v>
      </c>
      <c r="D79" s="206" t="s">
        <v>211</v>
      </c>
      <c r="E79" s="27"/>
      <c r="F79" s="9"/>
      <c r="G79" s="9"/>
      <c r="H79" s="324"/>
      <c r="I79" s="324">
        <v>209005</v>
      </c>
      <c r="J79" s="324"/>
      <c r="K79" s="324"/>
      <c r="L79" s="324">
        <v>209005</v>
      </c>
      <c r="M79" s="23">
        <v>209005</v>
      </c>
      <c r="N79" s="23">
        <v>209005</v>
      </c>
      <c r="O79" s="298">
        <v>209005</v>
      </c>
      <c r="P79" s="298">
        <v>209005</v>
      </c>
      <c r="Q79" s="298">
        <v>209005</v>
      </c>
      <c r="R79" s="298">
        <v>209005</v>
      </c>
      <c r="S79" s="298">
        <v>209005</v>
      </c>
      <c r="T79" s="298">
        <v>209005</v>
      </c>
      <c r="U79" s="298">
        <f t="shared" si="192"/>
        <v>10450.25</v>
      </c>
      <c r="V79" s="298">
        <f t="shared" si="193"/>
        <v>219455.25</v>
      </c>
      <c r="W79" s="298">
        <v>219455</v>
      </c>
      <c r="X79" s="298">
        <v>219455</v>
      </c>
      <c r="Y79" s="298">
        <v>219455</v>
      </c>
      <c r="Z79" s="298">
        <v>219455</v>
      </c>
      <c r="AA79" s="298">
        <v>219455</v>
      </c>
      <c r="AB79" s="298">
        <v>219455</v>
      </c>
      <c r="AC79" s="9">
        <v>0</v>
      </c>
      <c r="AD79" s="9">
        <v>0</v>
      </c>
      <c r="AE79" s="298">
        <f t="shared" si="194"/>
        <v>219455</v>
      </c>
      <c r="AF79" s="298">
        <v>219455</v>
      </c>
      <c r="AG79" s="9">
        <v>0</v>
      </c>
      <c r="AH79" s="9">
        <v>0</v>
      </c>
      <c r="AI79" s="298">
        <f t="shared" si="195"/>
        <v>219455</v>
      </c>
      <c r="AJ79" s="298">
        <v>219455</v>
      </c>
      <c r="AK79" s="9">
        <v>0</v>
      </c>
      <c r="AL79" s="9">
        <v>0</v>
      </c>
      <c r="AM79" s="298">
        <f t="shared" si="155"/>
        <v>219455</v>
      </c>
      <c r="AN79" s="298">
        <v>219455</v>
      </c>
      <c r="AO79" s="9">
        <v>0</v>
      </c>
      <c r="AP79" s="9">
        <v>0</v>
      </c>
      <c r="AQ79" s="298">
        <f t="shared" si="156"/>
        <v>219455</v>
      </c>
      <c r="AR79" s="28">
        <v>219455</v>
      </c>
      <c r="AS79" s="9">
        <v>0</v>
      </c>
      <c r="AT79" s="9">
        <v>0</v>
      </c>
      <c r="AU79" s="298">
        <f t="shared" si="261"/>
        <v>219455</v>
      </c>
      <c r="AV79" s="298">
        <v>219455</v>
      </c>
      <c r="AW79" s="9">
        <v>0</v>
      </c>
      <c r="AX79" s="9">
        <v>0</v>
      </c>
      <c r="AY79" s="7">
        <f t="shared" si="158"/>
        <v>219455</v>
      </c>
      <c r="AZ79" s="8">
        <f t="shared" si="196"/>
        <v>10972.75</v>
      </c>
      <c r="BA79" s="8">
        <v>0.75</v>
      </c>
      <c r="BB79" s="8">
        <f t="shared" si="197"/>
        <v>10972</v>
      </c>
      <c r="BC79" s="8">
        <f t="shared" si="198"/>
        <v>230427</v>
      </c>
      <c r="BD79" s="8"/>
      <c r="BE79" s="8">
        <f t="shared" si="199"/>
        <v>230427</v>
      </c>
      <c r="BF79" s="10">
        <f t="shared" si="200"/>
        <v>10972</v>
      </c>
      <c r="BG79" s="11">
        <f t="shared" si="201"/>
        <v>0</v>
      </c>
      <c r="BH79" s="11">
        <v>230427</v>
      </c>
      <c r="BI79" s="11"/>
      <c r="BJ79" s="11"/>
      <c r="BK79" s="319">
        <f t="shared" si="159"/>
        <v>230427</v>
      </c>
      <c r="BL79" s="319">
        <v>230427</v>
      </c>
      <c r="BM79" s="319">
        <v>0</v>
      </c>
      <c r="BN79" s="319">
        <v>0</v>
      </c>
      <c r="BO79" s="319">
        <f t="shared" si="260"/>
        <v>230427</v>
      </c>
      <c r="BP79" s="319">
        <f t="shared" si="253"/>
        <v>0</v>
      </c>
      <c r="BQ79" s="319">
        <v>230427</v>
      </c>
      <c r="BR79" s="319">
        <v>0</v>
      </c>
      <c r="BS79" s="319">
        <v>0</v>
      </c>
      <c r="BT79" s="319">
        <f t="shared" si="161"/>
        <v>230427</v>
      </c>
      <c r="BU79" s="319">
        <f t="shared" si="162"/>
        <v>0</v>
      </c>
      <c r="BV79" s="319">
        <v>230427</v>
      </c>
      <c r="BW79" s="319">
        <v>0</v>
      </c>
      <c r="BX79" s="319">
        <v>0</v>
      </c>
      <c r="BY79" s="319">
        <f t="shared" si="163"/>
        <v>230427</v>
      </c>
      <c r="BZ79" s="319">
        <f t="shared" si="164"/>
        <v>0</v>
      </c>
      <c r="CA79" s="319">
        <v>230427</v>
      </c>
      <c r="CB79" s="319">
        <v>0</v>
      </c>
      <c r="CC79" s="319">
        <v>0</v>
      </c>
      <c r="CD79" s="319">
        <f t="shared" si="165"/>
        <v>230427</v>
      </c>
      <c r="CE79" s="319">
        <f t="shared" si="166"/>
        <v>0</v>
      </c>
      <c r="CF79" s="319">
        <v>230427</v>
      </c>
      <c r="CG79" s="319">
        <v>0</v>
      </c>
      <c r="CH79" s="319">
        <v>0</v>
      </c>
      <c r="CI79" s="319">
        <f t="shared" si="167"/>
        <v>230427</v>
      </c>
      <c r="CJ79" s="319">
        <f t="shared" si="168"/>
        <v>0</v>
      </c>
      <c r="CK79" s="319">
        <v>230427</v>
      </c>
      <c r="CL79" s="319">
        <v>0</v>
      </c>
      <c r="CM79" s="319">
        <v>0</v>
      </c>
      <c r="CN79" s="319">
        <f t="shared" si="268"/>
        <v>230427</v>
      </c>
      <c r="CO79" s="319">
        <f t="shared" si="263"/>
        <v>0</v>
      </c>
      <c r="CP79" s="319">
        <v>230427</v>
      </c>
      <c r="CQ79" s="319">
        <v>0</v>
      </c>
      <c r="CR79" s="319">
        <v>0</v>
      </c>
      <c r="CS79" s="319">
        <f t="shared" si="264"/>
        <v>230427</v>
      </c>
      <c r="CT79" s="319">
        <f t="shared" si="265"/>
        <v>0</v>
      </c>
      <c r="CU79" s="319">
        <v>230427</v>
      </c>
      <c r="CV79" s="319">
        <v>0</v>
      </c>
      <c r="CW79" s="319">
        <v>0</v>
      </c>
      <c r="CX79" s="319">
        <f t="shared" si="266"/>
        <v>230427</v>
      </c>
      <c r="CY79" s="319">
        <f t="shared" si="267"/>
        <v>0</v>
      </c>
      <c r="CZ79" s="319"/>
      <c r="DA79" s="319"/>
      <c r="DB79" s="319"/>
      <c r="DC79" s="12">
        <f t="shared" si="202"/>
        <v>23042.7</v>
      </c>
      <c r="DD79" s="12">
        <v>0.7</v>
      </c>
      <c r="DE79" s="13">
        <f t="shared" si="203"/>
        <v>23042</v>
      </c>
      <c r="DF79" s="14">
        <f t="shared" si="169"/>
        <v>23042</v>
      </c>
      <c r="DG79" s="13">
        <f t="shared" si="170"/>
        <v>253469</v>
      </c>
      <c r="DH79" s="15">
        <f t="shared" si="171"/>
        <v>1.8024683192512842E-2</v>
      </c>
      <c r="DI79" s="16">
        <f t="shared" si="172"/>
        <v>230427</v>
      </c>
      <c r="DJ79" s="132">
        <f t="shared" si="204"/>
        <v>253469.7</v>
      </c>
      <c r="DK79" s="17">
        <f t="shared" si="205"/>
        <v>23042.700000000012</v>
      </c>
      <c r="DL79" s="17">
        <f t="shared" si="173"/>
        <v>0.7</v>
      </c>
      <c r="DM79" s="16">
        <f t="shared" si="206"/>
        <v>23042.000000000011</v>
      </c>
      <c r="DN79" s="16">
        <f t="shared" si="174"/>
        <v>0</v>
      </c>
      <c r="DO79" s="16">
        <f t="shared" si="207"/>
        <v>253469</v>
      </c>
      <c r="DP79" s="16">
        <f t="shared" si="175"/>
        <v>0</v>
      </c>
      <c r="DQ79" s="9">
        <v>253469</v>
      </c>
      <c r="DR79" s="18" t="s">
        <v>238</v>
      </c>
      <c r="DS79" s="18" t="s">
        <v>238</v>
      </c>
      <c r="DT79" s="324">
        <f t="shared" si="208"/>
        <v>253469</v>
      </c>
      <c r="DU79" s="321">
        <f t="shared" si="209"/>
        <v>253469</v>
      </c>
      <c r="DV79" s="19">
        <f t="shared" si="210"/>
        <v>0</v>
      </c>
      <c r="DW79" s="9">
        <v>253469</v>
      </c>
      <c r="DX79" s="18"/>
      <c r="DY79" s="18"/>
      <c r="DZ79" s="324">
        <f t="shared" si="211"/>
        <v>253469</v>
      </c>
      <c r="EA79" s="321">
        <f t="shared" si="212"/>
        <v>253469</v>
      </c>
      <c r="EB79" s="179">
        <f t="shared" si="176"/>
        <v>0</v>
      </c>
      <c r="EC79" s="9">
        <v>253469</v>
      </c>
      <c r="ED79" s="18" t="s">
        <v>238</v>
      </c>
      <c r="EE79" s="18" t="s">
        <v>238</v>
      </c>
      <c r="EF79" s="324">
        <f t="shared" si="213"/>
        <v>253469</v>
      </c>
      <c r="EG79" s="321">
        <f t="shared" si="214"/>
        <v>253469</v>
      </c>
      <c r="EH79" s="179">
        <f t="shared" si="177"/>
        <v>0</v>
      </c>
      <c r="EI79" s="9">
        <v>253469</v>
      </c>
      <c r="EJ79" s="18" t="s">
        <v>238</v>
      </c>
      <c r="EK79" s="18" t="s">
        <v>238</v>
      </c>
      <c r="EL79" s="324">
        <f t="shared" si="215"/>
        <v>253469</v>
      </c>
      <c r="EM79" s="321">
        <f t="shared" si="216"/>
        <v>253469</v>
      </c>
      <c r="EN79" s="179">
        <f t="shared" si="178"/>
        <v>0</v>
      </c>
      <c r="EO79" s="9">
        <v>253469</v>
      </c>
      <c r="EP79" s="18" t="s">
        <v>238</v>
      </c>
      <c r="EQ79" s="18" t="s">
        <v>238</v>
      </c>
      <c r="ER79" s="324">
        <f t="shared" si="217"/>
        <v>253469</v>
      </c>
      <c r="ES79" s="321">
        <f t="shared" si="218"/>
        <v>253469</v>
      </c>
      <c r="ET79" s="179">
        <f t="shared" si="179"/>
        <v>0</v>
      </c>
      <c r="EU79" s="9">
        <v>253469</v>
      </c>
      <c r="EV79" s="18" t="s">
        <v>238</v>
      </c>
      <c r="EW79" s="18" t="s">
        <v>238</v>
      </c>
      <c r="EX79" s="324">
        <f t="shared" si="219"/>
        <v>253469</v>
      </c>
      <c r="EY79" s="321">
        <f t="shared" si="220"/>
        <v>253469</v>
      </c>
      <c r="EZ79" s="179">
        <f t="shared" si="180"/>
        <v>0</v>
      </c>
      <c r="FA79" s="9">
        <v>253469</v>
      </c>
      <c r="FB79" s="18" t="s">
        <v>238</v>
      </c>
      <c r="FC79" s="18" t="s">
        <v>238</v>
      </c>
      <c r="FD79" s="324">
        <f t="shared" si="221"/>
        <v>253469</v>
      </c>
      <c r="FE79" s="321">
        <f t="shared" si="222"/>
        <v>253469</v>
      </c>
      <c r="FF79" s="179">
        <f t="shared" si="181"/>
        <v>0</v>
      </c>
      <c r="FG79" s="9">
        <v>253469</v>
      </c>
      <c r="FH79" s="18" t="s">
        <v>238</v>
      </c>
      <c r="FI79" s="18" t="s">
        <v>238</v>
      </c>
      <c r="FJ79" s="324">
        <f t="shared" si="223"/>
        <v>253469</v>
      </c>
      <c r="FK79" s="321">
        <f t="shared" si="224"/>
        <v>253469</v>
      </c>
      <c r="FL79" s="179">
        <f t="shared" si="182"/>
        <v>0</v>
      </c>
      <c r="FM79" s="9">
        <v>253469</v>
      </c>
      <c r="FN79" s="18" t="s">
        <v>238</v>
      </c>
      <c r="FO79" s="18" t="s">
        <v>238</v>
      </c>
      <c r="FP79" s="324">
        <f t="shared" si="225"/>
        <v>253469</v>
      </c>
      <c r="FQ79" s="321">
        <f t="shared" si="226"/>
        <v>253469</v>
      </c>
      <c r="FR79" s="179">
        <f t="shared" si="183"/>
        <v>0</v>
      </c>
      <c r="FS79" s="9">
        <v>253469</v>
      </c>
      <c r="FT79" s="18" t="s">
        <v>238</v>
      </c>
      <c r="FU79" s="18" t="s">
        <v>238</v>
      </c>
      <c r="FV79" s="324">
        <f t="shared" si="227"/>
        <v>253469</v>
      </c>
      <c r="FW79" s="321">
        <f t="shared" si="228"/>
        <v>253469</v>
      </c>
      <c r="FX79" s="179">
        <f t="shared" si="184"/>
        <v>0</v>
      </c>
      <c r="FY79" s="9">
        <v>253469</v>
      </c>
      <c r="FZ79" s="18" t="s">
        <v>238</v>
      </c>
      <c r="GA79" s="18" t="s">
        <v>238</v>
      </c>
      <c r="GB79" s="324">
        <f t="shared" si="229"/>
        <v>253469</v>
      </c>
      <c r="GC79" s="321">
        <f t="shared" si="230"/>
        <v>253469</v>
      </c>
      <c r="GD79" s="179">
        <f t="shared" si="185"/>
        <v>0</v>
      </c>
      <c r="GE79" s="9">
        <v>253469</v>
      </c>
      <c r="GF79" s="18" t="s">
        <v>238</v>
      </c>
      <c r="GG79" s="18" t="s">
        <v>238</v>
      </c>
      <c r="GH79" s="324">
        <f t="shared" si="231"/>
        <v>253469</v>
      </c>
      <c r="GI79" s="321">
        <f t="shared" si="232"/>
        <v>253469</v>
      </c>
      <c r="GJ79" s="179">
        <f t="shared" si="186"/>
        <v>0</v>
      </c>
      <c r="GK79" s="9">
        <v>253469</v>
      </c>
      <c r="GL79" s="18" t="s">
        <v>238</v>
      </c>
      <c r="GM79" s="18" t="s">
        <v>238</v>
      </c>
      <c r="GN79" s="324">
        <f t="shared" si="233"/>
        <v>253469</v>
      </c>
      <c r="GO79" s="321">
        <f t="shared" si="234"/>
        <v>253469</v>
      </c>
      <c r="GP79" s="179">
        <f t="shared" si="187"/>
        <v>0</v>
      </c>
      <c r="GQ79" s="9">
        <v>253469</v>
      </c>
      <c r="GR79" s="18" t="s">
        <v>238</v>
      </c>
      <c r="GS79" s="18" t="s">
        <v>238</v>
      </c>
      <c r="GT79" s="324">
        <f t="shared" si="235"/>
        <v>253469</v>
      </c>
      <c r="GU79" s="321">
        <f t="shared" si="236"/>
        <v>253469</v>
      </c>
      <c r="GV79" s="179">
        <f t="shared" si="188"/>
        <v>0</v>
      </c>
      <c r="GW79" s="9">
        <v>266142</v>
      </c>
      <c r="GX79" s="18" t="s">
        <v>238</v>
      </c>
      <c r="GY79" s="18" t="s">
        <v>238</v>
      </c>
      <c r="GZ79" s="324">
        <f t="shared" si="237"/>
        <v>266142</v>
      </c>
      <c r="HA79" s="321">
        <f t="shared" si="238"/>
        <v>266142</v>
      </c>
      <c r="HB79" s="179">
        <f t="shared" si="189"/>
        <v>12673</v>
      </c>
      <c r="HC79" s="102">
        <f t="shared" si="190"/>
        <v>1.8024633414262289E-2</v>
      </c>
      <c r="HD79" s="285">
        <f t="shared" si="239"/>
        <v>0</v>
      </c>
      <c r="HE79" s="12">
        <f t="shared" si="240"/>
        <v>12673.45</v>
      </c>
      <c r="HF79" s="12">
        <f t="shared" si="191"/>
        <v>0.4500000000007276</v>
      </c>
      <c r="HG79" s="12">
        <f t="shared" si="241"/>
        <v>12673</v>
      </c>
      <c r="HH79" s="14">
        <f t="shared" si="242"/>
        <v>12673</v>
      </c>
      <c r="HI79" s="13">
        <f t="shared" si="243"/>
        <v>266142</v>
      </c>
      <c r="HJ79" s="102">
        <f t="shared" si="244"/>
        <v>1.8925833084671474E-2</v>
      </c>
      <c r="HK79" s="16">
        <f t="shared" si="245"/>
        <v>253469</v>
      </c>
      <c r="HL79" s="103">
        <f t="shared" si="246"/>
        <v>266142.45</v>
      </c>
      <c r="HM79" s="103">
        <f t="shared" si="247"/>
        <v>12673.450000000012</v>
      </c>
      <c r="HN79" s="17">
        <f t="shared" si="248"/>
        <v>0.4500000000007276</v>
      </c>
      <c r="HO79" s="56">
        <f t="shared" si="249"/>
        <v>12673.000000000011</v>
      </c>
      <c r="HP79" s="16">
        <f t="shared" si="250"/>
        <v>0</v>
      </c>
      <c r="HQ79" s="16">
        <f t="shared" si="251"/>
        <v>266142</v>
      </c>
      <c r="HR79" s="16">
        <f t="shared" si="252"/>
        <v>0</v>
      </c>
    </row>
    <row r="80" spans="1:226" x14ac:dyDescent="0.3">
      <c r="A80" s="145">
        <v>25</v>
      </c>
      <c r="B80" s="280"/>
      <c r="C80" s="312" t="s">
        <v>331</v>
      </c>
      <c r="D80" s="206" t="s">
        <v>212</v>
      </c>
      <c r="E80" s="27"/>
      <c r="F80" s="9"/>
      <c r="G80" s="9"/>
      <c r="H80" s="324"/>
      <c r="I80" s="324">
        <v>1039</v>
      </c>
      <c r="J80" s="324"/>
      <c r="K80" s="324"/>
      <c r="L80" s="324">
        <v>1039</v>
      </c>
      <c r="M80" s="23">
        <v>1039</v>
      </c>
      <c r="N80" s="23">
        <v>1039</v>
      </c>
      <c r="O80" s="298">
        <v>1039</v>
      </c>
      <c r="P80" s="298">
        <v>1039</v>
      </c>
      <c r="Q80" s="298">
        <v>1039</v>
      </c>
      <c r="R80" s="298">
        <v>1039</v>
      </c>
      <c r="S80" s="298">
        <v>1039</v>
      </c>
      <c r="T80" s="298">
        <v>1039</v>
      </c>
      <c r="U80" s="298">
        <f t="shared" si="192"/>
        <v>51.95</v>
      </c>
      <c r="V80" s="298">
        <f t="shared" si="193"/>
        <v>1090.95</v>
      </c>
      <c r="W80" s="298">
        <v>1090</v>
      </c>
      <c r="X80" s="298">
        <v>1090</v>
      </c>
      <c r="Y80" s="298">
        <v>1090</v>
      </c>
      <c r="Z80" s="298">
        <v>1090</v>
      </c>
      <c r="AA80" s="298">
        <v>1090</v>
      </c>
      <c r="AB80" s="298">
        <v>1090</v>
      </c>
      <c r="AC80" s="9">
        <v>0</v>
      </c>
      <c r="AD80" s="9">
        <v>0</v>
      </c>
      <c r="AE80" s="298">
        <f t="shared" si="194"/>
        <v>1090</v>
      </c>
      <c r="AF80" s="298">
        <v>1090</v>
      </c>
      <c r="AG80" s="9">
        <v>0</v>
      </c>
      <c r="AH80" s="9">
        <v>0</v>
      </c>
      <c r="AI80" s="298">
        <f t="shared" si="195"/>
        <v>1090</v>
      </c>
      <c r="AJ80" s="298">
        <v>1090</v>
      </c>
      <c r="AK80" s="9">
        <v>0</v>
      </c>
      <c r="AL80" s="9">
        <v>0</v>
      </c>
      <c r="AM80" s="298">
        <f t="shared" si="155"/>
        <v>1090</v>
      </c>
      <c r="AN80" s="298">
        <v>1090</v>
      </c>
      <c r="AO80" s="9">
        <v>0</v>
      </c>
      <c r="AP80" s="9">
        <v>0</v>
      </c>
      <c r="AQ80" s="298">
        <f t="shared" si="156"/>
        <v>1090</v>
      </c>
      <c r="AR80" s="28">
        <v>1090</v>
      </c>
      <c r="AS80" s="9">
        <v>0</v>
      </c>
      <c r="AT80" s="9">
        <v>0</v>
      </c>
      <c r="AU80" s="298">
        <f t="shared" si="261"/>
        <v>1090</v>
      </c>
      <c r="AV80" s="298">
        <v>1090</v>
      </c>
      <c r="AW80" s="9">
        <v>0</v>
      </c>
      <c r="AX80" s="9">
        <v>0</v>
      </c>
      <c r="AY80" s="7">
        <f t="shared" si="158"/>
        <v>1090</v>
      </c>
      <c r="AZ80" s="8">
        <f t="shared" si="196"/>
        <v>54.5</v>
      </c>
      <c r="BA80" s="8">
        <v>0.5</v>
      </c>
      <c r="BB80" s="8">
        <f t="shared" si="197"/>
        <v>54</v>
      </c>
      <c r="BC80" s="8">
        <f t="shared" si="198"/>
        <v>1144</v>
      </c>
      <c r="BD80" s="8"/>
      <c r="BE80" s="8">
        <f t="shared" si="199"/>
        <v>1144</v>
      </c>
      <c r="BF80" s="10">
        <f t="shared" si="200"/>
        <v>54</v>
      </c>
      <c r="BG80" s="11">
        <f t="shared" si="201"/>
        <v>0</v>
      </c>
      <c r="BH80" s="11">
        <v>1144</v>
      </c>
      <c r="BI80" s="11"/>
      <c r="BJ80" s="11"/>
      <c r="BK80" s="319">
        <f t="shared" si="159"/>
        <v>1144</v>
      </c>
      <c r="BL80" s="319">
        <v>1144</v>
      </c>
      <c r="BM80" s="319">
        <v>0</v>
      </c>
      <c r="BN80" s="319">
        <v>0</v>
      </c>
      <c r="BO80" s="319">
        <f t="shared" si="260"/>
        <v>1144</v>
      </c>
      <c r="BP80" s="319">
        <f t="shared" si="253"/>
        <v>0</v>
      </c>
      <c r="BQ80" s="319">
        <v>1144</v>
      </c>
      <c r="BR80" s="319">
        <v>0</v>
      </c>
      <c r="BS80" s="319">
        <v>0</v>
      </c>
      <c r="BT80" s="319">
        <f t="shared" si="161"/>
        <v>1144</v>
      </c>
      <c r="BU80" s="319">
        <f t="shared" si="162"/>
        <v>0</v>
      </c>
      <c r="BV80" s="319">
        <v>1144</v>
      </c>
      <c r="BW80" s="319">
        <v>0</v>
      </c>
      <c r="BX80" s="319">
        <v>0</v>
      </c>
      <c r="BY80" s="319">
        <f t="shared" si="163"/>
        <v>1144</v>
      </c>
      <c r="BZ80" s="319">
        <f t="shared" si="164"/>
        <v>0</v>
      </c>
      <c r="CA80" s="319">
        <v>1144</v>
      </c>
      <c r="CB80" s="319">
        <v>0</v>
      </c>
      <c r="CC80" s="319">
        <v>0</v>
      </c>
      <c r="CD80" s="319">
        <f t="shared" si="165"/>
        <v>1144</v>
      </c>
      <c r="CE80" s="319">
        <f t="shared" si="166"/>
        <v>0</v>
      </c>
      <c r="CF80" s="319">
        <v>1144</v>
      </c>
      <c r="CG80" s="319">
        <v>0</v>
      </c>
      <c r="CH80" s="319">
        <v>0</v>
      </c>
      <c r="CI80" s="319">
        <f t="shared" si="167"/>
        <v>1144</v>
      </c>
      <c r="CJ80" s="319">
        <f t="shared" si="168"/>
        <v>0</v>
      </c>
      <c r="CK80" s="319">
        <v>1144</v>
      </c>
      <c r="CL80" s="319">
        <v>0</v>
      </c>
      <c r="CM80" s="319">
        <v>0</v>
      </c>
      <c r="CN80" s="319">
        <f t="shared" si="268"/>
        <v>1144</v>
      </c>
      <c r="CO80" s="319">
        <f t="shared" si="263"/>
        <v>0</v>
      </c>
      <c r="CP80" s="319">
        <v>1144</v>
      </c>
      <c r="CQ80" s="319">
        <v>0</v>
      </c>
      <c r="CR80" s="319">
        <v>0</v>
      </c>
      <c r="CS80" s="319">
        <f t="shared" si="264"/>
        <v>1144</v>
      </c>
      <c r="CT80" s="319">
        <f t="shared" si="265"/>
        <v>0</v>
      </c>
      <c r="CU80" s="319">
        <v>1144</v>
      </c>
      <c r="CV80" s="319">
        <v>0</v>
      </c>
      <c r="CW80" s="319">
        <v>0</v>
      </c>
      <c r="CX80" s="319">
        <f t="shared" si="266"/>
        <v>1144</v>
      </c>
      <c r="CY80" s="319">
        <f t="shared" si="267"/>
        <v>0</v>
      </c>
      <c r="CZ80" s="319"/>
      <c r="DA80" s="319"/>
      <c r="DB80" s="319"/>
      <c r="DC80" s="12">
        <f t="shared" si="202"/>
        <v>114.4</v>
      </c>
      <c r="DD80" s="12">
        <v>0.4</v>
      </c>
      <c r="DE80" s="13">
        <f t="shared" si="203"/>
        <v>114</v>
      </c>
      <c r="DF80" s="14">
        <f t="shared" si="169"/>
        <v>114</v>
      </c>
      <c r="DG80" s="13">
        <f t="shared" si="170"/>
        <v>1258</v>
      </c>
      <c r="DH80" s="15">
        <f t="shared" si="171"/>
        <v>8.9487072141002108E-5</v>
      </c>
      <c r="DI80" s="16">
        <f t="shared" si="172"/>
        <v>1144</v>
      </c>
      <c r="DJ80" s="132">
        <f t="shared" si="204"/>
        <v>1258.4000000000001</v>
      </c>
      <c r="DK80" s="17">
        <f t="shared" si="205"/>
        <v>114.40000000000009</v>
      </c>
      <c r="DL80" s="17">
        <f t="shared" si="173"/>
        <v>0.4</v>
      </c>
      <c r="DM80" s="16">
        <f t="shared" si="206"/>
        <v>114.00000000000009</v>
      </c>
      <c r="DN80" s="16">
        <f t="shared" si="174"/>
        <v>0</v>
      </c>
      <c r="DO80" s="16">
        <f t="shared" si="207"/>
        <v>1258</v>
      </c>
      <c r="DP80" s="16">
        <f t="shared" si="175"/>
        <v>0</v>
      </c>
      <c r="DQ80" s="9">
        <v>1258</v>
      </c>
      <c r="DR80" s="18" t="s">
        <v>238</v>
      </c>
      <c r="DS80" s="18" t="s">
        <v>238</v>
      </c>
      <c r="DT80" s="324">
        <f t="shared" si="208"/>
        <v>1258</v>
      </c>
      <c r="DU80" s="321">
        <f t="shared" si="209"/>
        <v>1258</v>
      </c>
      <c r="DV80" s="19">
        <f t="shared" si="210"/>
        <v>0</v>
      </c>
      <c r="DW80" s="9">
        <v>1258</v>
      </c>
      <c r="DX80" s="18"/>
      <c r="DY80" s="18"/>
      <c r="DZ80" s="324">
        <f t="shared" si="211"/>
        <v>1258</v>
      </c>
      <c r="EA80" s="321">
        <f t="shared" si="212"/>
        <v>1258</v>
      </c>
      <c r="EB80" s="179">
        <f t="shared" si="176"/>
        <v>0</v>
      </c>
      <c r="EC80" s="9">
        <v>1258</v>
      </c>
      <c r="ED80" s="18" t="s">
        <v>238</v>
      </c>
      <c r="EE80" s="18" t="s">
        <v>238</v>
      </c>
      <c r="EF80" s="324">
        <f t="shared" si="213"/>
        <v>1258</v>
      </c>
      <c r="EG80" s="321">
        <f t="shared" si="214"/>
        <v>1258</v>
      </c>
      <c r="EH80" s="179">
        <f t="shared" si="177"/>
        <v>0</v>
      </c>
      <c r="EI80" s="9">
        <v>1258</v>
      </c>
      <c r="EJ80" s="18" t="s">
        <v>238</v>
      </c>
      <c r="EK80" s="18" t="s">
        <v>238</v>
      </c>
      <c r="EL80" s="324">
        <f t="shared" si="215"/>
        <v>1258</v>
      </c>
      <c r="EM80" s="321">
        <f t="shared" si="216"/>
        <v>1258</v>
      </c>
      <c r="EN80" s="179">
        <f t="shared" si="178"/>
        <v>0</v>
      </c>
      <c r="EO80" s="9">
        <v>1258</v>
      </c>
      <c r="EP80" s="18" t="s">
        <v>238</v>
      </c>
      <c r="EQ80" s="18" t="s">
        <v>238</v>
      </c>
      <c r="ER80" s="324">
        <f t="shared" si="217"/>
        <v>1258</v>
      </c>
      <c r="ES80" s="321">
        <f t="shared" si="218"/>
        <v>1258</v>
      </c>
      <c r="ET80" s="179">
        <f t="shared" si="179"/>
        <v>0</v>
      </c>
      <c r="EU80" s="9">
        <v>1258</v>
      </c>
      <c r="EV80" s="18" t="s">
        <v>238</v>
      </c>
      <c r="EW80" s="18" t="s">
        <v>238</v>
      </c>
      <c r="EX80" s="324">
        <f t="shared" si="219"/>
        <v>1258</v>
      </c>
      <c r="EY80" s="321">
        <f t="shared" si="220"/>
        <v>1258</v>
      </c>
      <c r="EZ80" s="179">
        <f t="shared" si="180"/>
        <v>0</v>
      </c>
      <c r="FA80" s="9">
        <v>1258</v>
      </c>
      <c r="FB80" s="18" t="s">
        <v>238</v>
      </c>
      <c r="FC80" s="18" t="s">
        <v>238</v>
      </c>
      <c r="FD80" s="324">
        <f t="shared" si="221"/>
        <v>1258</v>
      </c>
      <c r="FE80" s="321">
        <f t="shared" si="222"/>
        <v>1258</v>
      </c>
      <c r="FF80" s="179">
        <f t="shared" si="181"/>
        <v>0</v>
      </c>
      <c r="FG80" s="9">
        <v>1258</v>
      </c>
      <c r="FH80" s="18" t="s">
        <v>238</v>
      </c>
      <c r="FI80" s="18" t="s">
        <v>238</v>
      </c>
      <c r="FJ80" s="324">
        <f t="shared" si="223"/>
        <v>1258</v>
      </c>
      <c r="FK80" s="321">
        <f t="shared" si="224"/>
        <v>1258</v>
      </c>
      <c r="FL80" s="179">
        <f t="shared" si="182"/>
        <v>0</v>
      </c>
      <c r="FM80" s="9">
        <v>1258</v>
      </c>
      <c r="FN80" s="18" t="s">
        <v>238</v>
      </c>
      <c r="FO80" s="18" t="s">
        <v>238</v>
      </c>
      <c r="FP80" s="324">
        <f t="shared" si="225"/>
        <v>1258</v>
      </c>
      <c r="FQ80" s="321">
        <f t="shared" si="226"/>
        <v>1258</v>
      </c>
      <c r="FR80" s="179">
        <f t="shared" si="183"/>
        <v>0</v>
      </c>
      <c r="FS80" s="9">
        <v>1258</v>
      </c>
      <c r="FT80" s="18" t="s">
        <v>238</v>
      </c>
      <c r="FU80" s="18" t="s">
        <v>238</v>
      </c>
      <c r="FV80" s="324">
        <f t="shared" si="227"/>
        <v>1258</v>
      </c>
      <c r="FW80" s="321">
        <f t="shared" si="228"/>
        <v>1258</v>
      </c>
      <c r="FX80" s="179">
        <f t="shared" si="184"/>
        <v>0</v>
      </c>
      <c r="FY80" s="9">
        <v>1258</v>
      </c>
      <c r="FZ80" s="18" t="s">
        <v>238</v>
      </c>
      <c r="GA80" s="18" t="s">
        <v>238</v>
      </c>
      <c r="GB80" s="324">
        <f t="shared" si="229"/>
        <v>1258</v>
      </c>
      <c r="GC80" s="321">
        <f t="shared" si="230"/>
        <v>1258</v>
      </c>
      <c r="GD80" s="179">
        <f t="shared" si="185"/>
        <v>0</v>
      </c>
      <c r="GE80" s="9">
        <v>1258</v>
      </c>
      <c r="GF80" s="18" t="s">
        <v>238</v>
      </c>
      <c r="GG80" s="18" t="s">
        <v>238</v>
      </c>
      <c r="GH80" s="324">
        <f t="shared" si="231"/>
        <v>1258</v>
      </c>
      <c r="GI80" s="321">
        <f t="shared" si="232"/>
        <v>1258</v>
      </c>
      <c r="GJ80" s="179">
        <f t="shared" si="186"/>
        <v>0</v>
      </c>
      <c r="GK80" s="9">
        <v>1258</v>
      </c>
      <c r="GL80" s="18" t="s">
        <v>238</v>
      </c>
      <c r="GM80" s="18" t="s">
        <v>238</v>
      </c>
      <c r="GN80" s="324">
        <f t="shared" si="233"/>
        <v>1258</v>
      </c>
      <c r="GO80" s="321">
        <f t="shared" si="234"/>
        <v>1258</v>
      </c>
      <c r="GP80" s="179">
        <f t="shared" si="187"/>
        <v>0</v>
      </c>
      <c r="GQ80" s="9">
        <v>1258</v>
      </c>
      <c r="GR80" s="18" t="s">
        <v>238</v>
      </c>
      <c r="GS80" s="18" t="s">
        <v>238</v>
      </c>
      <c r="GT80" s="324">
        <f t="shared" si="235"/>
        <v>1258</v>
      </c>
      <c r="GU80" s="321">
        <f t="shared" si="236"/>
        <v>1258</v>
      </c>
      <c r="GV80" s="179">
        <f t="shared" si="188"/>
        <v>0</v>
      </c>
      <c r="GW80" s="9">
        <v>1320</v>
      </c>
      <c r="GX80" s="18" t="s">
        <v>238</v>
      </c>
      <c r="GY80" s="18" t="s">
        <v>238</v>
      </c>
      <c r="GZ80" s="324">
        <f t="shared" si="237"/>
        <v>1320</v>
      </c>
      <c r="HA80" s="321">
        <f t="shared" si="238"/>
        <v>1320</v>
      </c>
      <c r="HB80" s="179">
        <f t="shared" si="189"/>
        <v>62</v>
      </c>
      <c r="HC80" s="102">
        <f t="shared" si="190"/>
        <v>8.9458627426399121E-5</v>
      </c>
      <c r="HD80" s="285">
        <f t="shared" si="239"/>
        <v>-8.5265128291212022E-14</v>
      </c>
      <c r="HE80" s="12">
        <f t="shared" si="240"/>
        <v>62.900000000000006</v>
      </c>
      <c r="HF80" s="12">
        <f t="shared" si="191"/>
        <v>0.90000000000000568</v>
      </c>
      <c r="HG80" s="12">
        <f t="shared" si="241"/>
        <v>62</v>
      </c>
      <c r="HH80" s="14">
        <f t="shared" si="242"/>
        <v>62</v>
      </c>
      <c r="HI80" s="13">
        <f t="shared" si="243"/>
        <v>1320</v>
      </c>
      <c r="HJ80" s="102">
        <f t="shared" si="244"/>
        <v>9.3867558189862348E-5</v>
      </c>
      <c r="HK80" s="16">
        <f t="shared" si="245"/>
        <v>1258</v>
      </c>
      <c r="HL80" s="103">
        <f t="shared" si="246"/>
        <v>1320.9</v>
      </c>
      <c r="HM80" s="103">
        <f t="shared" si="247"/>
        <v>62.900000000000091</v>
      </c>
      <c r="HN80" s="17">
        <f t="shared" si="248"/>
        <v>0.90000000000000568</v>
      </c>
      <c r="HO80" s="56">
        <f t="shared" si="249"/>
        <v>62.000000000000085</v>
      </c>
      <c r="HP80" s="16">
        <f t="shared" si="250"/>
        <v>8.5265128291212022E-14</v>
      </c>
      <c r="HQ80" s="16">
        <f t="shared" si="251"/>
        <v>1320</v>
      </c>
      <c r="HR80" s="16">
        <f t="shared" si="252"/>
        <v>0</v>
      </c>
    </row>
    <row r="81" spans="1:226" x14ac:dyDescent="0.3">
      <c r="A81" s="145">
        <v>27</v>
      </c>
      <c r="B81" s="280"/>
      <c r="C81" s="312" t="s">
        <v>356</v>
      </c>
      <c r="D81" s="206" t="s">
        <v>214</v>
      </c>
      <c r="E81" s="27"/>
      <c r="F81" s="9"/>
      <c r="G81" s="9"/>
      <c r="H81" s="324"/>
      <c r="I81" s="324">
        <v>156780</v>
      </c>
      <c r="J81" s="324"/>
      <c r="K81" s="324"/>
      <c r="L81" s="324">
        <v>177480</v>
      </c>
      <c r="M81" s="23">
        <v>177480</v>
      </c>
      <c r="N81" s="23">
        <v>178480</v>
      </c>
      <c r="O81" s="298">
        <v>178480</v>
      </c>
      <c r="P81" s="298">
        <v>178480</v>
      </c>
      <c r="Q81" s="298">
        <v>178480</v>
      </c>
      <c r="R81" s="298">
        <v>178480</v>
      </c>
      <c r="S81" s="298">
        <v>178480</v>
      </c>
      <c r="T81" s="298">
        <v>178480</v>
      </c>
      <c r="U81" s="298">
        <f t="shared" si="192"/>
        <v>8924</v>
      </c>
      <c r="V81" s="298">
        <f t="shared" si="193"/>
        <v>187404</v>
      </c>
      <c r="W81" s="298">
        <v>187404</v>
      </c>
      <c r="X81" s="298">
        <v>187404</v>
      </c>
      <c r="Y81" s="298">
        <v>187404</v>
      </c>
      <c r="Z81" s="23">
        <v>187109</v>
      </c>
      <c r="AA81" s="23">
        <v>187109</v>
      </c>
      <c r="AB81" s="23">
        <v>187109</v>
      </c>
      <c r="AC81" s="9">
        <v>0</v>
      </c>
      <c r="AD81" s="9">
        <v>0</v>
      </c>
      <c r="AE81" s="298">
        <f t="shared" si="194"/>
        <v>187109</v>
      </c>
      <c r="AF81" s="23">
        <v>187109</v>
      </c>
      <c r="AG81" s="9">
        <v>0</v>
      </c>
      <c r="AH81" s="9">
        <v>0</v>
      </c>
      <c r="AI81" s="298">
        <f t="shared" si="195"/>
        <v>187109</v>
      </c>
      <c r="AJ81" s="23">
        <v>185109</v>
      </c>
      <c r="AK81" s="9">
        <v>0</v>
      </c>
      <c r="AL81" s="9">
        <v>0</v>
      </c>
      <c r="AM81" s="298">
        <f t="shared" si="155"/>
        <v>185109</v>
      </c>
      <c r="AN81" s="324">
        <v>187109</v>
      </c>
      <c r="AO81" s="9">
        <v>0</v>
      </c>
      <c r="AP81" s="9">
        <v>0</v>
      </c>
      <c r="AQ81" s="298">
        <f t="shared" si="156"/>
        <v>187109</v>
      </c>
      <c r="AR81" s="46">
        <v>187109</v>
      </c>
      <c r="AS81" s="9">
        <v>0</v>
      </c>
      <c r="AT81" s="9">
        <v>0</v>
      </c>
      <c r="AU81" s="298">
        <f t="shared" si="261"/>
        <v>187109</v>
      </c>
      <c r="AV81" s="324">
        <v>187109</v>
      </c>
      <c r="AW81" s="9">
        <v>0</v>
      </c>
      <c r="AX81" s="9">
        <v>0</v>
      </c>
      <c r="AY81" s="7">
        <f t="shared" si="158"/>
        <v>187109</v>
      </c>
      <c r="AZ81" s="8">
        <f t="shared" si="196"/>
        <v>9355.4500000000007</v>
      </c>
      <c r="BA81" s="8">
        <v>0.45</v>
      </c>
      <c r="BB81" s="8">
        <f t="shared" si="197"/>
        <v>9355</v>
      </c>
      <c r="BC81" s="8">
        <f t="shared" si="198"/>
        <v>196464</v>
      </c>
      <c r="BD81" s="8"/>
      <c r="BE81" s="8">
        <f t="shared" si="199"/>
        <v>196464</v>
      </c>
      <c r="BF81" s="10">
        <f t="shared" si="200"/>
        <v>9355</v>
      </c>
      <c r="BG81" s="11">
        <f t="shared" si="201"/>
        <v>0</v>
      </c>
      <c r="BH81" s="11">
        <v>196442</v>
      </c>
      <c r="BI81" s="11">
        <v>0</v>
      </c>
      <c r="BJ81" s="11">
        <v>0</v>
      </c>
      <c r="BK81" s="319">
        <f t="shared" si="159"/>
        <v>196442</v>
      </c>
      <c r="BL81" s="319">
        <v>196442</v>
      </c>
      <c r="BM81" s="319">
        <v>0</v>
      </c>
      <c r="BN81" s="319">
        <v>0</v>
      </c>
      <c r="BO81" s="319">
        <f t="shared" si="260"/>
        <v>196442</v>
      </c>
      <c r="BP81" s="319">
        <f t="shared" si="253"/>
        <v>0</v>
      </c>
      <c r="BQ81" s="319">
        <v>196442</v>
      </c>
      <c r="BR81" s="319">
        <v>0</v>
      </c>
      <c r="BS81" s="319">
        <v>0</v>
      </c>
      <c r="BT81" s="319">
        <f t="shared" si="161"/>
        <v>196442</v>
      </c>
      <c r="BU81" s="319">
        <f t="shared" si="162"/>
        <v>0</v>
      </c>
      <c r="BV81" s="319">
        <v>196442</v>
      </c>
      <c r="BW81" s="319">
        <v>0</v>
      </c>
      <c r="BX81" s="319">
        <v>0</v>
      </c>
      <c r="BY81" s="319">
        <f t="shared" si="163"/>
        <v>196442</v>
      </c>
      <c r="BZ81" s="319">
        <f t="shared" si="164"/>
        <v>0</v>
      </c>
      <c r="CA81" s="9">
        <v>194516</v>
      </c>
      <c r="CB81" s="319">
        <v>0</v>
      </c>
      <c r="CC81" s="319">
        <v>0</v>
      </c>
      <c r="CD81" s="319">
        <f t="shared" si="165"/>
        <v>194516</v>
      </c>
      <c r="CE81" s="48">
        <f t="shared" si="166"/>
        <v>-1926</v>
      </c>
      <c r="CF81" s="9">
        <v>195942</v>
      </c>
      <c r="CG81" s="319">
        <v>0</v>
      </c>
      <c r="CH81" s="319">
        <v>0</v>
      </c>
      <c r="CI81" s="319">
        <f t="shared" si="167"/>
        <v>195942</v>
      </c>
      <c r="CJ81" s="48">
        <f t="shared" si="168"/>
        <v>1426</v>
      </c>
      <c r="CK81" s="9">
        <v>190362</v>
      </c>
      <c r="CL81" s="319">
        <v>0</v>
      </c>
      <c r="CM81" s="319">
        <v>0</v>
      </c>
      <c r="CN81" s="319">
        <f t="shared" si="268"/>
        <v>190362</v>
      </c>
      <c r="CO81" s="48">
        <f t="shared" si="263"/>
        <v>-5580</v>
      </c>
      <c r="CP81" s="9">
        <v>196075</v>
      </c>
      <c r="CQ81" s="319">
        <v>0</v>
      </c>
      <c r="CR81" s="319">
        <v>0</v>
      </c>
      <c r="CS81" s="319">
        <f t="shared" si="264"/>
        <v>196075</v>
      </c>
      <c r="CT81" s="49">
        <f t="shared" si="265"/>
        <v>5713</v>
      </c>
      <c r="CU81" s="9">
        <v>196075</v>
      </c>
      <c r="CV81" s="319">
        <v>0</v>
      </c>
      <c r="CW81" s="319">
        <v>0</v>
      </c>
      <c r="CX81" s="319">
        <f t="shared" si="266"/>
        <v>196075</v>
      </c>
      <c r="CY81" s="319">
        <f t="shared" si="267"/>
        <v>0</v>
      </c>
      <c r="CZ81" s="319"/>
      <c r="DA81" s="319"/>
      <c r="DB81" s="319"/>
      <c r="DC81" s="12">
        <f t="shared" si="202"/>
        <v>19607.5</v>
      </c>
      <c r="DD81" s="12">
        <v>0.5</v>
      </c>
      <c r="DE81" s="13">
        <f t="shared" si="203"/>
        <v>19607</v>
      </c>
      <c r="DF81" s="14">
        <f t="shared" si="169"/>
        <v>19607</v>
      </c>
      <c r="DG81" s="13">
        <f t="shared" si="170"/>
        <v>215682</v>
      </c>
      <c r="DH81" s="15">
        <f t="shared" si="171"/>
        <v>1.5337567893397717E-2</v>
      </c>
      <c r="DI81" s="16">
        <f t="shared" si="172"/>
        <v>196075</v>
      </c>
      <c r="DJ81" s="132">
        <f t="shared" si="204"/>
        <v>215682.50000000003</v>
      </c>
      <c r="DK81" s="17">
        <f t="shared" si="205"/>
        <v>19607.500000000029</v>
      </c>
      <c r="DL81" s="17">
        <f t="shared" si="173"/>
        <v>0.5</v>
      </c>
      <c r="DM81" s="16">
        <f t="shared" si="206"/>
        <v>19607.000000000029</v>
      </c>
      <c r="DN81" s="16">
        <f t="shared" si="174"/>
        <v>2.9103830456733704E-11</v>
      </c>
      <c r="DO81" s="16">
        <f t="shared" si="207"/>
        <v>215682.00000000003</v>
      </c>
      <c r="DP81" s="16">
        <f t="shared" si="175"/>
        <v>0</v>
      </c>
      <c r="DQ81" s="9">
        <v>215682</v>
      </c>
      <c r="DR81" s="18" t="s">
        <v>238</v>
      </c>
      <c r="DS81" s="18" t="s">
        <v>238</v>
      </c>
      <c r="DT81" s="324">
        <f t="shared" si="208"/>
        <v>215682</v>
      </c>
      <c r="DU81" s="321">
        <f t="shared" si="209"/>
        <v>215682</v>
      </c>
      <c r="DV81" s="19">
        <f t="shared" si="210"/>
        <v>0</v>
      </c>
      <c r="DW81" s="9">
        <v>215682</v>
      </c>
      <c r="DX81" s="18"/>
      <c r="DY81" s="18"/>
      <c r="DZ81" s="324">
        <f t="shared" si="211"/>
        <v>215682</v>
      </c>
      <c r="EA81" s="321">
        <f t="shared" si="212"/>
        <v>215682</v>
      </c>
      <c r="EB81" s="179">
        <f t="shared" si="176"/>
        <v>0</v>
      </c>
      <c r="EC81" s="9">
        <v>215682</v>
      </c>
      <c r="ED81" s="18" t="s">
        <v>238</v>
      </c>
      <c r="EE81" s="18" t="s">
        <v>238</v>
      </c>
      <c r="EF81" s="324">
        <f t="shared" si="213"/>
        <v>215682</v>
      </c>
      <c r="EG81" s="321">
        <f t="shared" si="214"/>
        <v>215682</v>
      </c>
      <c r="EH81" s="179">
        <f t="shared" si="177"/>
        <v>0</v>
      </c>
      <c r="EI81" s="9">
        <v>215682</v>
      </c>
      <c r="EJ81" s="18" t="s">
        <v>238</v>
      </c>
      <c r="EK81" s="18" t="s">
        <v>238</v>
      </c>
      <c r="EL81" s="324">
        <f t="shared" si="215"/>
        <v>215682</v>
      </c>
      <c r="EM81" s="321">
        <f t="shared" si="216"/>
        <v>215682</v>
      </c>
      <c r="EN81" s="179">
        <f t="shared" si="178"/>
        <v>0</v>
      </c>
      <c r="EO81" s="9">
        <v>215682</v>
      </c>
      <c r="EP81" s="18" t="s">
        <v>238</v>
      </c>
      <c r="EQ81" s="18" t="s">
        <v>238</v>
      </c>
      <c r="ER81" s="324">
        <f t="shared" si="217"/>
        <v>215682</v>
      </c>
      <c r="ES81" s="321">
        <f t="shared" si="218"/>
        <v>215682</v>
      </c>
      <c r="ET81" s="179">
        <f t="shared" si="179"/>
        <v>0</v>
      </c>
      <c r="EU81" s="9">
        <v>215682</v>
      </c>
      <c r="EV81" s="18" t="s">
        <v>238</v>
      </c>
      <c r="EW81" s="18" t="s">
        <v>238</v>
      </c>
      <c r="EX81" s="324">
        <f t="shared" si="219"/>
        <v>215682</v>
      </c>
      <c r="EY81" s="321">
        <f t="shared" si="220"/>
        <v>215682</v>
      </c>
      <c r="EZ81" s="179">
        <f t="shared" si="180"/>
        <v>0</v>
      </c>
      <c r="FA81" s="9">
        <v>215830</v>
      </c>
      <c r="FB81" s="18" t="s">
        <v>238</v>
      </c>
      <c r="FC81" s="18" t="s">
        <v>238</v>
      </c>
      <c r="FD81" s="324">
        <f t="shared" si="221"/>
        <v>215830</v>
      </c>
      <c r="FE81" s="321">
        <f t="shared" si="222"/>
        <v>215830</v>
      </c>
      <c r="FF81" s="22">
        <f t="shared" si="181"/>
        <v>148</v>
      </c>
      <c r="FG81" s="9">
        <v>215830</v>
      </c>
      <c r="FH81" s="18" t="s">
        <v>238</v>
      </c>
      <c r="FI81" s="18" t="s">
        <v>238</v>
      </c>
      <c r="FJ81" s="324">
        <f t="shared" si="223"/>
        <v>215830</v>
      </c>
      <c r="FK81" s="321">
        <f t="shared" si="224"/>
        <v>215830</v>
      </c>
      <c r="FL81" s="179">
        <f t="shared" si="182"/>
        <v>0</v>
      </c>
      <c r="FM81" s="9">
        <v>215830</v>
      </c>
      <c r="FN81" s="18" t="s">
        <v>238</v>
      </c>
      <c r="FO81" s="18" t="s">
        <v>238</v>
      </c>
      <c r="FP81" s="324">
        <f t="shared" si="225"/>
        <v>215830</v>
      </c>
      <c r="FQ81" s="321">
        <f t="shared" si="226"/>
        <v>215830</v>
      </c>
      <c r="FR81" s="179">
        <f t="shared" si="183"/>
        <v>0</v>
      </c>
      <c r="FS81" s="9">
        <v>215830</v>
      </c>
      <c r="FT81" s="18" t="s">
        <v>238</v>
      </c>
      <c r="FU81" s="18" t="s">
        <v>238</v>
      </c>
      <c r="FV81" s="324">
        <f t="shared" si="227"/>
        <v>215830</v>
      </c>
      <c r="FW81" s="321">
        <f t="shared" si="228"/>
        <v>215830</v>
      </c>
      <c r="FX81" s="179">
        <f t="shared" si="184"/>
        <v>0</v>
      </c>
      <c r="FY81" s="9">
        <v>215830</v>
      </c>
      <c r="FZ81" s="18" t="s">
        <v>238</v>
      </c>
      <c r="GA81" s="18" t="s">
        <v>238</v>
      </c>
      <c r="GB81" s="324">
        <f t="shared" si="229"/>
        <v>215830</v>
      </c>
      <c r="GC81" s="321">
        <f t="shared" si="230"/>
        <v>215830</v>
      </c>
      <c r="GD81" s="179">
        <f t="shared" si="185"/>
        <v>0</v>
      </c>
      <c r="GE81" s="9">
        <v>215830</v>
      </c>
      <c r="GF81" s="18" t="s">
        <v>238</v>
      </c>
      <c r="GG81" s="18" t="s">
        <v>238</v>
      </c>
      <c r="GH81" s="324">
        <f t="shared" si="231"/>
        <v>215830</v>
      </c>
      <c r="GI81" s="321">
        <f t="shared" si="232"/>
        <v>215830</v>
      </c>
      <c r="GJ81" s="179">
        <f t="shared" si="186"/>
        <v>0</v>
      </c>
      <c r="GK81" s="9">
        <v>215830</v>
      </c>
      <c r="GL81" s="18" t="s">
        <v>238</v>
      </c>
      <c r="GM81" s="18" t="s">
        <v>238</v>
      </c>
      <c r="GN81" s="324">
        <f t="shared" si="233"/>
        <v>215830</v>
      </c>
      <c r="GO81" s="321">
        <f t="shared" si="234"/>
        <v>215830</v>
      </c>
      <c r="GP81" s="179">
        <f t="shared" si="187"/>
        <v>0</v>
      </c>
      <c r="GQ81" s="9">
        <v>215830</v>
      </c>
      <c r="GR81" s="18" t="s">
        <v>238</v>
      </c>
      <c r="GS81" s="18" t="s">
        <v>238</v>
      </c>
      <c r="GT81" s="324">
        <f t="shared" si="235"/>
        <v>215830</v>
      </c>
      <c r="GU81" s="321">
        <f t="shared" si="236"/>
        <v>215830</v>
      </c>
      <c r="GV81" s="179">
        <f t="shared" si="188"/>
        <v>0</v>
      </c>
      <c r="GW81" s="9">
        <v>226621</v>
      </c>
      <c r="GX81" s="18" t="s">
        <v>238</v>
      </c>
      <c r="GY81" s="18" t="s">
        <v>238</v>
      </c>
      <c r="GZ81" s="324">
        <f t="shared" si="237"/>
        <v>226621</v>
      </c>
      <c r="HA81" s="321">
        <f t="shared" si="238"/>
        <v>226621</v>
      </c>
      <c r="HB81" s="179">
        <f t="shared" si="189"/>
        <v>10791</v>
      </c>
      <c r="HC81" s="102">
        <f t="shared" si="190"/>
        <v>1.534805688190757E-2</v>
      </c>
      <c r="HD81" s="285">
        <f t="shared" si="239"/>
        <v>0</v>
      </c>
      <c r="HE81" s="12">
        <f t="shared" si="240"/>
        <v>10791.5</v>
      </c>
      <c r="HF81" s="12">
        <f t="shared" si="191"/>
        <v>0.5</v>
      </c>
      <c r="HG81" s="12">
        <f t="shared" si="241"/>
        <v>10791</v>
      </c>
      <c r="HH81" s="14">
        <f t="shared" si="242"/>
        <v>10791</v>
      </c>
      <c r="HI81" s="13">
        <f t="shared" si="243"/>
        <v>226621</v>
      </c>
      <c r="HJ81" s="102">
        <f t="shared" si="244"/>
        <v>1.6115424170109693E-2</v>
      </c>
      <c r="HK81" s="16">
        <f t="shared" si="245"/>
        <v>215830</v>
      </c>
      <c r="HL81" s="103">
        <f t="shared" si="246"/>
        <v>226621.5</v>
      </c>
      <c r="HM81" s="103">
        <f t="shared" si="247"/>
        <v>10791.5</v>
      </c>
      <c r="HN81" s="17">
        <f t="shared" si="248"/>
        <v>0.5</v>
      </c>
      <c r="HO81" s="56">
        <f t="shared" si="249"/>
        <v>10791</v>
      </c>
      <c r="HP81" s="16">
        <f t="shared" si="250"/>
        <v>0</v>
      </c>
      <c r="HQ81" s="16">
        <f t="shared" si="251"/>
        <v>226621</v>
      </c>
      <c r="HR81" s="16">
        <f t="shared" si="252"/>
        <v>0</v>
      </c>
    </row>
    <row r="82" spans="1:226" ht="10.8" thickBot="1" x14ac:dyDescent="0.35">
      <c r="A82" s="146">
        <v>28</v>
      </c>
      <c r="B82" s="454"/>
      <c r="C82" s="235" t="s">
        <v>357</v>
      </c>
      <c r="D82" s="207" t="s">
        <v>215</v>
      </c>
      <c r="E82" s="27"/>
      <c r="F82" s="9"/>
      <c r="G82" s="9"/>
      <c r="H82" s="324"/>
      <c r="I82" s="324">
        <v>102795</v>
      </c>
      <c r="J82" s="324"/>
      <c r="K82" s="324"/>
      <c r="L82" s="324">
        <v>102795</v>
      </c>
      <c r="M82" s="23">
        <v>102795</v>
      </c>
      <c r="N82" s="23">
        <v>102795</v>
      </c>
      <c r="O82" s="298">
        <v>102795</v>
      </c>
      <c r="P82" s="298">
        <v>102795</v>
      </c>
      <c r="Q82" s="298">
        <v>102795</v>
      </c>
      <c r="R82" s="298">
        <v>102795</v>
      </c>
      <c r="S82" s="298">
        <v>102795</v>
      </c>
      <c r="T82" s="298">
        <v>102795</v>
      </c>
      <c r="U82" s="298">
        <f t="shared" si="192"/>
        <v>5139.75</v>
      </c>
      <c r="V82" s="298">
        <f t="shared" si="193"/>
        <v>107934.75</v>
      </c>
      <c r="W82" s="298">
        <v>107934</v>
      </c>
      <c r="X82" s="298">
        <v>107934</v>
      </c>
      <c r="Y82" s="298">
        <v>107934</v>
      </c>
      <c r="Z82" s="298">
        <v>107934</v>
      </c>
      <c r="AA82" s="298">
        <v>107934</v>
      </c>
      <c r="AB82" s="298">
        <v>107934</v>
      </c>
      <c r="AC82" s="9">
        <v>0</v>
      </c>
      <c r="AD82" s="9">
        <v>0</v>
      </c>
      <c r="AE82" s="298">
        <f t="shared" si="194"/>
        <v>107934</v>
      </c>
      <c r="AF82" s="298">
        <v>107934</v>
      </c>
      <c r="AG82" s="9">
        <v>0</v>
      </c>
      <c r="AH82" s="9">
        <v>0</v>
      </c>
      <c r="AI82" s="298">
        <f t="shared" si="195"/>
        <v>107934</v>
      </c>
      <c r="AJ82" s="298">
        <v>107934</v>
      </c>
      <c r="AK82" s="9">
        <v>0</v>
      </c>
      <c r="AL82" s="9">
        <v>0</v>
      </c>
      <c r="AM82" s="298">
        <f t="shared" si="155"/>
        <v>107934</v>
      </c>
      <c r="AN82" s="298">
        <v>107934</v>
      </c>
      <c r="AO82" s="9">
        <v>0</v>
      </c>
      <c r="AP82" s="9">
        <v>0</v>
      </c>
      <c r="AQ82" s="298">
        <f t="shared" si="156"/>
        <v>107934</v>
      </c>
      <c r="AR82" s="28">
        <v>107934</v>
      </c>
      <c r="AS82" s="9">
        <v>0</v>
      </c>
      <c r="AT82" s="9">
        <v>0</v>
      </c>
      <c r="AU82" s="298">
        <f t="shared" si="261"/>
        <v>107934</v>
      </c>
      <c r="AV82" s="298">
        <v>107934</v>
      </c>
      <c r="AW82" s="9">
        <v>0</v>
      </c>
      <c r="AX82" s="9">
        <v>0</v>
      </c>
      <c r="AY82" s="7">
        <f t="shared" si="158"/>
        <v>107934</v>
      </c>
      <c r="AZ82" s="8">
        <f t="shared" si="196"/>
        <v>5396.7000000000007</v>
      </c>
      <c r="BA82" s="8">
        <v>0.7</v>
      </c>
      <c r="BB82" s="8">
        <f t="shared" si="197"/>
        <v>5396.0000000000009</v>
      </c>
      <c r="BC82" s="8">
        <f t="shared" si="198"/>
        <v>113330</v>
      </c>
      <c r="BD82" s="8"/>
      <c r="BE82" s="8">
        <f t="shared" si="199"/>
        <v>113330</v>
      </c>
      <c r="BF82" s="10">
        <f t="shared" si="200"/>
        <v>5396</v>
      </c>
      <c r="BG82" s="11">
        <f t="shared" si="201"/>
        <v>0</v>
      </c>
      <c r="BH82" s="11">
        <v>113330</v>
      </c>
      <c r="BI82" s="11"/>
      <c r="BJ82" s="11"/>
      <c r="BK82" s="319">
        <f t="shared" si="159"/>
        <v>113330</v>
      </c>
      <c r="BL82" s="319">
        <v>113330</v>
      </c>
      <c r="BM82" s="319">
        <v>0</v>
      </c>
      <c r="BN82" s="319">
        <v>0</v>
      </c>
      <c r="BO82" s="319">
        <f t="shared" si="260"/>
        <v>113330</v>
      </c>
      <c r="BP82" s="319">
        <f t="shared" si="253"/>
        <v>0</v>
      </c>
      <c r="BQ82" s="319">
        <v>113330</v>
      </c>
      <c r="BR82" s="319">
        <v>0</v>
      </c>
      <c r="BS82" s="319">
        <v>0</v>
      </c>
      <c r="BT82" s="319">
        <f t="shared" si="161"/>
        <v>113330</v>
      </c>
      <c r="BU82" s="319">
        <f t="shared" si="162"/>
        <v>0</v>
      </c>
      <c r="BV82" s="319">
        <v>113330</v>
      </c>
      <c r="BW82" s="319">
        <v>0</v>
      </c>
      <c r="BX82" s="319">
        <v>0</v>
      </c>
      <c r="BY82" s="319">
        <f t="shared" si="163"/>
        <v>113330</v>
      </c>
      <c r="BZ82" s="319">
        <f t="shared" si="164"/>
        <v>0</v>
      </c>
      <c r="CA82" s="319">
        <v>113330</v>
      </c>
      <c r="CB82" s="319">
        <v>0</v>
      </c>
      <c r="CC82" s="319">
        <v>0</v>
      </c>
      <c r="CD82" s="319">
        <f t="shared" si="165"/>
        <v>113330</v>
      </c>
      <c r="CE82" s="319">
        <f t="shared" si="166"/>
        <v>0</v>
      </c>
      <c r="CF82" s="319">
        <v>113330</v>
      </c>
      <c r="CG82" s="319">
        <v>0</v>
      </c>
      <c r="CH82" s="319">
        <v>0</v>
      </c>
      <c r="CI82" s="319">
        <f t="shared" si="167"/>
        <v>113330</v>
      </c>
      <c r="CJ82" s="319">
        <f t="shared" si="168"/>
        <v>0</v>
      </c>
      <c r="CK82" s="319">
        <v>113330</v>
      </c>
      <c r="CL82" s="319">
        <v>0</v>
      </c>
      <c r="CM82" s="319">
        <v>0</v>
      </c>
      <c r="CN82" s="319">
        <f t="shared" si="268"/>
        <v>113330</v>
      </c>
      <c r="CO82" s="319">
        <f t="shared" si="263"/>
        <v>0</v>
      </c>
      <c r="CP82" s="319">
        <v>113330</v>
      </c>
      <c r="CQ82" s="319">
        <v>0</v>
      </c>
      <c r="CR82" s="319">
        <v>0</v>
      </c>
      <c r="CS82" s="319">
        <f t="shared" si="264"/>
        <v>113330</v>
      </c>
      <c r="CT82" s="319">
        <f t="shared" si="265"/>
        <v>0</v>
      </c>
      <c r="CU82" s="319">
        <v>113330</v>
      </c>
      <c r="CV82" s="319">
        <v>0</v>
      </c>
      <c r="CW82" s="319">
        <v>0</v>
      </c>
      <c r="CX82" s="319">
        <f t="shared" si="266"/>
        <v>113330</v>
      </c>
      <c r="CY82" s="319">
        <f t="shared" si="267"/>
        <v>0</v>
      </c>
      <c r="CZ82" s="319"/>
      <c r="DA82" s="319"/>
      <c r="DB82" s="319"/>
      <c r="DC82" s="12">
        <f t="shared" si="202"/>
        <v>11333</v>
      </c>
      <c r="DD82" s="12">
        <v>0</v>
      </c>
      <c r="DE82" s="13">
        <f t="shared" si="203"/>
        <v>11333</v>
      </c>
      <c r="DF82" s="14">
        <f t="shared" si="169"/>
        <v>11333</v>
      </c>
      <c r="DG82" s="13">
        <f t="shared" si="170"/>
        <v>124663</v>
      </c>
      <c r="DH82" s="15">
        <f t="shared" si="171"/>
        <v>8.865008641380916E-3</v>
      </c>
      <c r="DI82" s="16">
        <f t="shared" si="172"/>
        <v>113330</v>
      </c>
      <c r="DJ82" s="132">
        <f t="shared" si="204"/>
        <v>124663.00000000001</v>
      </c>
      <c r="DK82" s="17">
        <f t="shared" si="205"/>
        <v>11333.000000000015</v>
      </c>
      <c r="DL82" s="17">
        <f t="shared" si="173"/>
        <v>0</v>
      </c>
      <c r="DM82" s="16">
        <f t="shared" si="206"/>
        <v>11333.000000000015</v>
      </c>
      <c r="DN82" s="16">
        <f t="shared" si="174"/>
        <v>1.4551915228366852E-11</v>
      </c>
      <c r="DO82" s="16">
        <f t="shared" si="207"/>
        <v>124663.00000000001</v>
      </c>
      <c r="DP82" s="16">
        <f t="shared" si="175"/>
        <v>0</v>
      </c>
      <c r="DQ82" s="9">
        <v>124663</v>
      </c>
      <c r="DR82" s="18" t="s">
        <v>238</v>
      </c>
      <c r="DS82" s="18" t="s">
        <v>238</v>
      </c>
      <c r="DT82" s="324">
        <f t="shared" si="208"/>
        <v>124663</v>
      </c>
      <c r="DU82" s="321">
        <f t="shared" si="209"/>
        <v>124663</v>
      </c>
      <c r="DV82" s="19">
        <f t="shared" si="210"/>
        <v>0</v>
      </c>
      <c r="DW82" s="9">
        <v>124663</v>
      </c>
      <c r="DX82" s="18"/>
      <c r="DY82" s="18"/>
      <c r="DZ82" s="324">
        <f t="shared" si="211"/>
        <v>124663</v>
      </c>
      <c r="EA82" s="321">
        <f t="shared" si="212"/>
        <v>124663</v>
      </c>
      <c r="EB82" s="179">
        <f t="shared" si="176"/>
        <v>0</v>
      </c>
      <c r="EC82" s="9">
        <v>124663</v>
      </c>
      <c r="ED82" s="18" t="s">
        <v>238</v>
      </c>
      <c r="EE82" s="18" t="s">
        <v>238</v>
      </c>
      <c r="EF82" s="324">
        <f t="shared" si="213"/>
        <v>124663</v>
      </c>
      <c r="EG82" s="321">
        <f t="shared" si="214"/>
        <v>124663</v>
      </c>
      <c r="EH82" s="179">
        <f t="shared" si="177"/>
        <v>0</v>
      </c>
      <c r="EI82" s="9">
        <v>124663</v>
      </c>
      <c r="EJ82" s="18" t="s">
        <v>238</v>
      </c>
      <c r="EK82" s="18" t="s">
        <v>238</v>
      </c>
      <c r="EL82" s="324">
        <f t="shared" si="215"/>
        <v>124663</v>
      </c>
      <c r="EM82" s="321">
        <f t="shared" si="216"/>
        <v>124663</v>
      </c>
      <c r="EN82" s="179">
        <f t="shared" si="178"/>
        <v>0</v>
      </c>
      <c r="EO82" s="9">
        <v>124663</v>
      </c>
      <c r="EP82" s="18" t="s">
        <v>238</v>
      </c>
      <c r="EQ82" s="18" t="s">
        <v>238</v>
      </c>
      <c r="ER82" s="324">
        <f t="shared" si="217"/>
        <v>124663</v>
      </c>
      <c r="ES82" s="321">
        <f t="shared" si="218"/>
        <v>124663</v>
      </c>
      <c r="ET82" s="179">
        <f t="shared" si="179"/>
        <v>0</v>
      </c>
      <c r="EU82" s="9">
        <v>124663</v>
      </c>
      <c r="EV82" s="18" t="s">
        <v>238</v>
      </c>
      <c r="EW82" s="18" t="s">
        <v>238</v>
      </c>
      <c r="EX82" s="324">
        <f t="shared" si="219"/>
        <v>124663</v>
      </c>
      <c r="EY82" s="321">
        <f t="shared" si="220"/>
        <v>124663</v>
      </c>
      <c r="EZ82" s="179">
        <f t="shared" si="180"/>
        <v>0</v>
      </c>
      <c r="FA82" s="9">
        <v>124663</v>
      </c>
      <c r="FB82" s="18" t="s">
        <v>238</v>
      </c>
      <c r="FC82" s="18" t="s">
        <v>238</v>
      </c>
      <c r="FD82" s="324">
        <f t="shared" si="221"/>
        <v>124663</v>
      </c>
      <c r="FE82" s="321">
        <f t="shared" si="222"/>
        <v>124663</v>
      </c>
      <c r="FF82" s="179">
        <f t="shared" si="181"/>
        <v>0</v>
      </c>
      <c r="FG82" s="9">
        <v>124663</v>
      </c>
      <c r="FH82" s="18" t="s">
        <v>238</v>
      </c>
      <c r="FI82" s="18" t="s">
        <v>238</v>
      </c>
      <c r="FJ82" s="324">
        <f t="shared" si="223"/>
        <v>124663</v>
      </c>
      <c r="FK82" s="321">
        <f t="shared" si="224"/>
        <v>124663</v>
      </c>
      <c r="FL82" s="179">
        <f t="shared" si="182"/>
        <v>0</v>
      </c>
      <c r="FM82" s="9">
        <v>124663</v>
      </c>
      <c r="FN82" s="18" t="s">
        <v>238</v>
      </c>
      <c r="FO82" s="18" t="s">
        <v>238</v>
      </c>
      <c r="FP82" s="324">
        <f t="shared" si="225"/>
        <v>124663</v>
      </c>
      <c r="FQ82" s="321">
        <f t="shared" si="226"/>
        <v>124663</v>
      </c>
      <c r="FR82" s="179">
        <f t="shared" si="183"/>
        <v>0</v>
      </c>
      <c r="FS82" s="9">
        <v>124663</v>
      </c>
      <c r="FT82" s="18" t="s">
        <v>238</v>
      </c>
      <c r="FU82" s="18" t="s">
        <v>238</v>
      </c>
      <c r="FV82" s="324">
        <f t="shared" si="227"/>
        <v>124663</v>
      </c>
      <c r="FW82" s="321">
        <f t="shared" si="228"/>
        <v>124663</v>
      </c>
      <c r="FX82" s="179">
        <f t="shared" si="184"/>
        <v>0</v>
      </c>
      <c r="FY82" s="9">
        <v>124663</v>
      </c>
      <c r="FZ82" s="18" t="s">
        <v>238</v>
      </c>
      <c r="GA82" s="18" t="s">
        <v>238</v>
      </c>
      <c r="GB82" s="324">
        <f t="shared" si="229"/>
        <v>124663</v>
      </c>
      <c r="GC82" s="321">
        <f t="shared" si="230"/>
        <v>124663</v>
      </c>
      <c r="GD82" s="179">
        <f t="shared" si="185"/>
        <v>0</v>
      </c>
      <c r="GE82" s="9">
        <v>124663</v>
      </c>
      <c r="GF82" s="18" t="s">
        <v>238</v>
      </c>
      <c r="GG82" s="18" t="s">
        <v>238</v>
      </c>
      <c r="GH82" s="324">
        <f t="shared" si="231"/>
        <v>124663</v>
      </c>
      <c r="GI82" s="321">
        <f t="shared" si="232"/>
        <v>124663</v>
      </c>
      <c r="GJ82" s="179">
        <f t="shared" si="186"/>
        <v>0</v>
      </c>
      <c r="GK82" s="9">
        <v>124663</v>
      </c>
      <c r="GL82" s="18" t="s">
        <v>238</v>
      </c>
      <c r="GM82" s="18" t="s">
        <v>238</v>
      </c>
      <c r="GN82" s="324">
        <f t="shared" si="233"/>
        <v>124663</v>
      </c>
      <c r="GO82" s="321">
        <f t="shared" si="234"/>
        <v>124663</v>
      </c>
      <c r="GP82" s="179">
        <f t="shared" si="187"/>
        <v>0</v>
      </c>
      <c r="GQ82" s="9">
        <v>124663</v>
      </c>
      <c r="GR82" s="18" t="s">
        <v>238</v>
      </c>
      <c r="GS82" s="18" t="s">
        <v>238</v>
      </c>
      <c r="GT82" s="324">
        <f t="shared" si="235"/>
        <v>124663</v>
      </c>
      <c r="GU82" s="321">
        <f t="shared" si="236"/>
        <v>124663</v>
      </c>
      <c r="GV82" s="179">
        <f t="shared" si="188"/>
        <v>0</v>
      </c>
      <c r="GW82" s="9">
        <v>130896</v>
      </c>
      <c r="GX82" s="18" t="s">
        <v>238</v>
      </c>
      <c r="GY82" s="18" t="s">
        <v>238</v>
      </c>
      <c r="GZ82" s="324">
        <f t="shared" si="237"/>
        <v>130896</v>
      </c>
      <c r="HA82" s="321">
        <f t="shared" si="238"/>
        <v>130896</v>
      </c>
      <c r="HB82" s="179">
        <f t="shared" si="189"/>
        <v>6233</v>
      </c>
      <c r="HC82" s="102">
        <f t="shared" si="190"/>
        <v>8.8650086413809177E-3</v>
      </c>
      <c r="HD82" s="285">
        <f t="shared" si="239"/>
        <v>-8.1854523159563541E-12</v>
      </c>
      <c r="HE82" s="12">
        <f t="shared" si="240"/>
        <v>6233.1500000000005</v>
      </c>
      <c r="HF82" s="12">
        <f t="shared" si="191"/>
        <v>0.1500000000005457</v>
      </c>
      <c r="HG82" s="12">
        <f t="shared" si="241"/>
        <v>6233</v>
      </c>
      <c r="HH82" s="14">
        <f t="shared" si="242"/>
        <v>6233</v>
      </c>
      <c r="HI82" s="13">
        <f t="shared" si="243"/>
        <v>130896</v>
      </c>
      <c r="HJ82" s="102">
        <f t="shared" si="244"/>
        <v>9.3082484066819866E-3</v>
      </c>
      <c r="HK82" s="16">
        <f t="shared" si="245"/>
        <v>124663</v>
      </c>
      <c r="HL82" s="103">
        <f t="shared" si="246"/>
        <v>130896.15000000001</v>
      </c>
      <c r="HM82" s="103">
        <f t="shared" si="247"/>
        <v>6233.1500000000087</v>
      </c>
      <c r="HN82" s="17">
        <f t="shared" si="248"/>
        <v>0.1500000000005457</v>
      </c>
      <c r="HO82" s="56">
        <f t="shared" si="249"/>
        <v>6233.0000000000082</v>
      </c>
      <c r="HP82" s="16">
        <f t="shared" si="250"/>
        <v>8.1854523159563541E-12</v>
      </c>
      <c r="HQ82" s="16">
        <f t="shared" si="251"/>
        <v>130896.00000000001</v>
      </c>
      <c r="HR82" s="16">
        <f t="shared" si="252"/>
        <v>0</v>
      </c>
    </row>
    <row r="83" spans="1:226" x14ac:dyDescent="0.3">
      <c r="A83" s="140"/>
      <c r="B83" s="140"/>
      <c r="C83" s="140"/>
      <c r="D83" s="141" t="s">
        <v>216</v>
      </c>
      <c r="E83" s="139"/>
      <c r="F83" s="121">
        <f t="shared" ref="F83:BQ83" si="269">SUM(F55:F82)</f>
        <v>25182942</v>
      </c>
      <c r="G83" s="121">
        <f t="shared" si="269"/>
        <v>0</v>
      </c>
      <c r="H83" s="121">
        <f t="shared" si="269"/>
        <v>0</v>
      </c>
      <c r="I83" s="121">
        <f t="shared" si="269"/>
        <v>50078067</v>
      </c>
      <c r="J83" s="121">
        <f t="shared" si="269"/>
        <v>28495075</v>
      </c>
      <c r="K83" s="121">
        <f t="shared" si="269"/>
        <v>3312133</v>
      </c>
      <c r="L83" s="121">
        <f t="shared" si="269"/>
        <v>50098767</v>
      </c>
      <c r="M83" s="121">
        <f t="shared" si="269"/>
        <v>50098767</v>
      </c>
      <c r="N83" s="121">
        <f t="shared" si="269"/>
        <v>50099767</v>
      </c>
      <c r="O83" s="121">
        <f t="shared" si="269"/>
        <v>50099767</v>
      </c>
      <c r="P83" s="121">
        <f t="shared" si="269"/>
        <v>50099767</v>
      </c>
      <c r="Q83" s="121">
        <f t="shared" si="269"/>
        <v>50099767</v>
      </c>
      <c r="R83" s="121">
        <f t="shared" si="269"/>
        <v>50099767</v>
      </c>
      <c r="S83" s="121">
        <f t="shared" si="269"/>
        <v>50099767</v>
      </c>
      <c r="T83" s="121">
        <f t="shared" si="269"/>
        <v>50099767</v>
      </c>
      <c r="U83" s="121">
        <f t="shared" si="269"/>
        <v>2504988.35</v>
      </c>
      <c r="V83" s="121">
        <f t="shared" si="269"/>
        <v>52604755.350000001</v>
      </c>
      <c r="W83" s="121">
        <f t="shared" si="269"/>
        <v>52604745</v>
      </c>
      <c r="X83" s="121">
        <f t="shared" si="269"/>
        <v>52604745</v>
      </c>
      <c r="Y83" s="121">
        <f t="shared" si="269"/>
        <v>52604745</v>
      </c>
      <c r="Z83" s="121">
        <f t="shared" si="269"/>
        <v>52604450</v>
      </c>
      <c r="AA83" s="121">
        <f t="shared" si="269"/>
        <v>52604450</v>
      </c>
      <c r="AB83" s="121">
        <f t="shared" si="269"/>
        <v>52604450</v>
      </c>
      <c r="AC83" s="121">
        <f t="shared" si="269"/>
        <v>0</v>
      </c>
      <c r="AD83" s="121">
        <f t="shared" si="269"/>
        <v>0</v>
      </c>
      <c r="AE83" s="121">
        <f t="shared" si="269"/>
        <v>52604450</v>
      </c>
      <c r="AF83" s="121">
        <f t="shared" si="269"/>
        <v>52604450</v>
      </c>
      <c r="AG83" s="121">
        <f t="shared" si="269"/>
        <v>0</v>
      </c>
      <c r="AH83" s="121">
        <f t="shared" si="269"/>
        <v>0</v>
      </c>
      <c r="AI83" s="121">
        <f t="shared" si="269"/>
        <v>52604450</v>
      </c>
      <c r="AJ83" s="121">
        <f t="shared" si="269"/>
        <v>52602450</v>
      </c>
      <c r="AK83" s="121">
        <f t="shared" si="269"/>
        <v>0</v>
      </c>
      <c r="AL83" s="121">
        <f t="shared" si="269"/>
        <v>0</v>
      </c>
      <c r="AM83" s="121">
        <f t="shared" si="269"/>
        <v>52602450</v>
      </c>
      <c r="AN83" s="121">
        <f t="shared" si="269"/>
        <v>52604450</v>
      </c>
      <c r="AO83" s="121">
        <f t="shared" si="269"/>
        <v>0</v>
      </c>
      <c r="AP83" s="121">
        <f t="shared" si="269"/>
        <v>0</v>
      </c>
      <c r="AQ83" s="121">
        <f t="shared" si="269"/>
        <v>52604450</v>
      </c>
      <c r="AR83" s="121">
        <f t="shared" si="269"/>
        <v>52954660</v>
      </c>
      <c r="AS83" s="121">
        <f t="shared" si="269"/>
        <v>0</v>
      </c>
      <c r="AT83" s="121">
        <f t="shared" si="269"/>
        <v>0</v>
      </c>
      <c r="AU83" s="121">
        <f t="shared" si="269"/>
        <v>52605000</v>
      </c>
      <c r="AV83" s="121">
        <f t="shared" si="269"/>
        <v>52954660</v>
      </c>
      <c r="AW83" s="121">
        <f t="shared" si="269"/>
        <v>0</v>
      </c>
      <c r="AX83" s="121">
        <f t="shared" si="269"/>
        <v>0</v>
      </c>
      <c r="AY83" s="121">
        <f t="shared" si="269"/>
        <v>52954660</v>
      </c>
      <c r="AZ83" s="121">
        <f t="shared" si="269"/>
        <v>2647733.0000000005</v>
      </c>
      <c r="BA83" s="121">
        <f t="shared" si="269"/>
        <v>11.999999999999998</v>
      </c>
      <c r="BB83" s="121">
        <f t="shared" si="269"/>
        <v>2647721</v>
      </c>
      <c r="BC83" s="121">
        <f t="shared" si="269"/>
        <v>55602381</v>
      </c>
      <c r="BD83" s="121">
        <f t="shared" si="269"/>
        <v>0</v>
      </c>
      <c r="BE83" s="121">
        <f t="shared" si="269"/>
        <v>55602381</v>
      </c>
      <c r="BF83" s="121">
        <f t="shared" si="269"/>
        <v>2647721</v>
      </c>
      <c r="BG83" s="121">
        <f t="shared" si="269"/>
        <v>0</v>
      </c>
      <c r="BH83" s="121">
        <f t="shared" si="269"/>
        <v>55602969</v>
      </c>
      <c r="BI83" s="121">
        <f t="shared" si="269"/>
        <v>0</v>
      </c>
      <c r="BJ83" s="121">
        <f t="shared" si="269"/>
        <v>0</v>
      </c>
      <c r="BK83" s="121">
        <f t="shared" si="269"/>
        <v>55602969</v>
      </c>
      <c r="BL83" s="121">
        <f t="shared" si="269"/>
        <v>55603019</v>
      </c>
      <c r="BM83" s="121">
        <f t="shared" si="269"/>
        <v>0</v>
      </c>
      <c r="BN83" s="121">
        <f t="shared" si="269"/>
        <v>0</v>
      </c>
      <c r="BO83" s="121">
        <f t="shared" si="269"/>
        <v>55603019</v>
      </c>
      <c r="BP83" s="121">
        <f t="shared" si="269"/>
        <v>50</v>
      </c>
      <c r="BQ83" s="121">
        <f t="shared" si="269"/>
        <v>55603129</v>
      </c>
      <c r="BR83" s="121">
        <f t="shared" ref="BR83:EC83" si="270">SUM(BR55:BR82)</f>
        <v>0</v>
      </c>
      <c r="BS83" s="121">
        <f t="shared" si="270"/>
        <v>0</v>
      </c>
      <c r="BT83" s="121">
        <f t="shared" si="270"/>
        <v>55603129</v>
      </c>
      <c r="BU83" s="121">
        <f t="shared" si="270"/>
        <v>110</v>
      </c>
      <c r="BV83" s="121">
        <f t="shared" si="270"/>
        <v>55603129</v>
      </c>
      <c r="BW83" s="121">
        <f t="shared" si="270"/>
        <v>0</v>
      </c>
      <c r="BX83" s="121">
        <f t="shared" si="270"/>
        <v>0</v>
      </c>
      <c r="BY83" s="121">
        <f t="shared" si="270"/>
        <v>55603129</v>
      </c>
      <c r="BZ83" s="121">
        <f t="shared" si="270"/>
        <v>0</v>
      </c>
      <c r="CA83" s="121">
        <f t="shared" si="270"/>
        <v>55601203</v>
      </c>
      <c r="CB83" s="121">
        <f t="shared" si="270"/>
        <v>0</v>
      </c>
      <c r="CC83" s="121">
        <f t="shared" si="270"/>
        <v>0</v>
      </c>
      <c r="CD83" s="121">
        <f t="shared" si="270"/>
        <v>55601203</v>
      </c>
      <c r="CE83" s="121">
        <f t="shared" si="270"/>
        <v>-1926</v>
      </c>
      <c r="CF83" s="121">
        <f t="shared" si="270"/>
        <v>55598364</v>
      </c>
      <c r="CG83" s="121">
        <f t="shared" si="270"/>
        <v>0</v>
      </c>
      <c r="CH83" s="121">
        <f t="shared" si="270"/>
        <v>0</v>
      </c>
      <c r="CI83" s="121">
        <f t="shared" si="270"/>
        <v>55598364</v>
      </c>
      <c r="CJ83" s="121">
        <f t="shared" si="270"/>
        <v>-2839</v>
      </c>
      <c r="CK83" s="121">
        <f t="shared" si="270"/>
        <v>55592889</v>
      </c>
      <c r="CL83" s="121">
        <f t="shared" si="270"/>
        <v>0</v>
      </c>
      <c r="CM83" s="121">
        <f t="shared" si="270"/>
        <v>0</v>
      </c>
      <c r="CN83" s="121">
        <f t="shared" si="270"/>
        <v>55592889</v>
      </c>
      <c r="CO83" s="121">
        <f t="shared" si="270"/>
        <v>-5475</v>
      </c>
      <c r="CP83" s="121">
        <f t="shared" si="270"/>
        <v>55598602</v>
      </c>
      <c r="CQ83" s="121">
        <f t="shared" si="270"/>
        <v>0</v>
      </c>
      <c r="CR83" s="121">
        <f t="shared" si="270"/>
        <v>0</v>
      </c>
      <c r="CS83" s="121">
        <f t="shared" si="270"/>
        <v>55598602</v>
      </c>
      <c r="CT83" s="121">
        <f t="shared" si="270"/>
        <v>5713</v>
      </c>
      <c r="CU83" s="121">
        <f t="shared" si="270"/>
        <v>55598602</v>
      </c>
      <c r="CV83" s="121">
        <f t="shared" si="270"/>
        <v>0</v>
      </c>
      <c r="CW83" s="121">
        <f t="shared" si="270"/>
        <v>0</v>
      </c>
      <c r="CX83" s="121">
        <f t="shared" si="270"/>
        <v>55598602</v>
      </c>
      <c r="CY83" s="121">
        <f t="shared" si="270"/>
        <v>0</v>
      </c>
      <c r="CZ83" s="121">
        <f t="shared" si="270"/>
        <v>0</v>
      </c>
      <c r="DA83" s="121">
        <f t="shared" si="270"/>
        <v>0</v>
      </c>
      <c r="DB83" s="121">
        <f t="shared" si="270"/>
        <v>0</v>
      </c>
      <c r="DC83" s="121">
        <f t="shared" si="270"/>
        <v>5559860.2000000011</v>
      </c>
      <c r="DD83" s="121">
        <f t="shared" si="270"/>
        <v>12.2</v>
      </c>
      <c r="DE83" s="121">
        <f t="shared" si="270"/>
        <v>5559848</v>
      </c>
      <c r="DF83" s="121">
        <f t="shared" si="270"/>
        <v>5559848</v>
      </c>
      <c r="DG83" s="121">
        <f t="shared" si="270"/>
        <v>61158450</v>
      </c>
      <c r="DH83" s="121">
        <f t="shared" si="270"/>
        <v>4.3490875070916637</v>
      </c>
      <c r="DI83" s="121">
        <f t="shared" si="270"/>
        <v>55598602</v>
      </c>
      <c r="DJ83" s="121">
        <f t="shared" si="270"/>
        <v>61158462.20000001</v>
      </c>
      <c r="DK83" s="121">
        <f t="shared" si="270"/>
        <v>5559860.2000000048</v>
      </c>
      <c r="DL83" s="121">
        <f t="shared" si="270"/>
        <v>12.2</v>
      </c>
      <c r="DM83" s="121">
        <f t="shared" si="270"/>
        <v>5559848.0000000037</v>
      </c>
      <c r="DN83" s="121">
        <f t="shared" si="270"/>
        <v>2.9058355721645057E-9</v>
      </c>
      <c r="DO83" s="121">
        <f t="shared" si="270"/>
        <v>61158450.000000007</v>
      </c>
      <c r="DP83" s="121">
        <f t="shared" si="270"/>
        <v>0</v>
      </c>
      <c r="DQ83" s="121">
        <f t="shared" si="270"/>
        <v>61158450</v>
      </c>
      <c r="DR83" s="121">
        <f t="shared" si="270"/>
        <v>0</v>
      </c>
      <c r="DS83" s="121">
        <f t="shared" si="270"/>
        <v>0</v>
      </c>
      <c r="DT83" s="121">
        <f t="shared" si="270"/>
        <v>61158450</v>
      </c>
      <c r="DU83" s="121">
        <f t="shared" si="270"/>
        <v>61158450</v>
      </c>
      <c r="DV83" s="121">
        <f t="shared" si="270"/>
        <v>0</v>
      </c>
      <c r="DW83" s="121">
        <f t="shared" si="270"/>
        <v>61158450</v>
      </c>
      <c r="DX83" s="121">
        <f t="shared" si="270"/>
        <v>0</v>
      </c>
      <c r="DY83" s="121">
        <f t="shared" si="270"/>
        <v>0</v>
      </c>
      <c r="DZ83" s="121">
        <f t="shared" si="270"/>
        <v>61158450</v>
      </c>
      <c r="EA83" s="121">
        <f t="shared" si="270"/>
        <v>61158450</v>
      </c>
      <c r="EB83" s="121">
        <f t="shared" si="270"/>
        <v>0</v>
      </c>
      <c r="EC83" s="121">
        <f t="shared" si="270"/>
        <v>61158450</v>
      </c>
      <c r="ED83" s="121">
        <f t="shared" ref="ED83:FL83" si="271">SUM(ED55:ED82)</f>
        <v>0</v>
      </c>
      <c r="EE83" s="121">
        <f t="shared" si="271"/>
        <v>0</v>
      </c>
      <c r="EF83" s="121">
        <f t="shared" si="271"/>
        <v>61158450</v>
      </c>
      <c r="EG83" s="121">
        <f t="shared" si="271"/>
        <v>61158450</v>
      </c>
      <c r="EH83" s="121">
        <f t="shared" si="271"/>
        <v>0</v>
      </c>
      <c r="EI83" s="121">
        <f t="shared" si="271"/>
        <v>61158410</v>
      </c>
      <c r="EJ83" s="121">
        <f t="shared" si="271"/>
        <v>0</v>
      </c>
      <c r="EK83" s="121">
        <f t="shared" si="271"/>
        <v>0</v>
      </c>
      <c r="EL83" s="121">
        <f t="shared" si="271"/>
        <v>61158410</v>
      </c>
      <c r="EM83" s="121">
        <f t="shared" si="271"/>
        <v>61158410</v>
      </c>
      <c r="EN83" s="121">
        <f t="shared" si="271"/>
        <v>-40</v>
      </c>
      <c r="EO83" s="121">
        <f t="shared" si="271"/>
        <v>61158410</v>
      </c>
      <c r="EP83" s="121">
        <f t="shared" si="271"/>
        <v>0</v>
      </c>
      <c r="EQ83" s="121">
        <f t="shared" si="271"/>
        <v>0</v>
      </c>
      <c r="ER83" s="121">
        <f t="shared" si="271"/>
        <v>61158410</v>
      </c>
      <c r="ES83" s="121">
        <f t="shared" si="271"/>
        <v>61158410</v>
      </c>
      <c r="ET83" s="121">
        <f t="shared" si="271"/>
        <v>0</v>
      </c>
      <c r="EU83" s="121">
        <f t="shared" si="271"/>
        <v>61158410</v>
      </c>
      <c r="EV83" s="121">
        <f t="shared" si="271"/>
        <v>0</v>
      </c>
      <c r="EW83" s="121">
        <f t="shared" si="271"/>
        <v>0</v>
      </c>
      <c r="EX83" s="121">
        <f t="shared" si="271"/>
        <v>61158410</v>
      </c>
      <c r="EY83" s="121">
        <f t="shared" si="271"/>
        <v>61158410</v>
      </c>
      <c r="EZ83" s="121">
        <f t="shared" si="271"/>
        <v>0</v>
      </c>
      <c r="FA83" s="121">
        <f t="shared" si="271"/>
        <v>61158558</v>
      </c>
      <c r="FB83" s="121">
        <f t="shared" si="271"/>
        <v>0</v>
      </c>
      <c r="FC83" s="121">
        <f t="shared" si="271"/>
        <v>0</v>
      </c>
      <c r="FD83" s="121">
        <f t="shared" si="271"/>
        <v>61158558</v>
      </c>
      <c r="FE83" s="121">
        <f t="shared" si="271"/>
        <v>61158558</v>
      </c>
      <c r="FF83" s="121">
        <f t="shared" si="271"/>
        <v>148</v>
      </c>
      <c r="FG83" s="121">
        <f t="shared" si="271"/>
        <v>61158558</v>
      </c>
      <c r="FH83" s="121">
        <f t="shared" si="271"/>
        <v>0</v>
      </c>
      <c r="FI83" s="121">
        <f t="shared" si="271"/>
        <v>0</v>
      </c>
      <c r="FJ83" s="121">
        <f t="shared" si="271"/>
        <v>61158558</v>
      </c>
      <c r="FK83" s="121">
        <f t="shared" si="271"/>
        <v>61158558</v>
      </c>
      <c r="FL83" s="121">
        <f t="shared" si="271"/>
        <v>0</v>
      </c>
      <c r="FM83" s="121">
        <f t="shared" ref="FM83:FR83" si="272">SUM(FM55:FM82)</f>
        <v>61158558</v>
      </c>
      <c r="FN83" s="121">
        <f t="shared" si="272"/>
        <v>0</v>
      </c>
      <c r="FO83" s="121">
        <f t="shared" si="272"/>
        <v>0</v>
      </c>
      <c r="FP83" s="121">
        <f t="shared" si="272"/>
        <v>61158558</v>
      </c>
      <c r="FQ83" s="121">
        <f t="shared" si="272"/>
        <v>61158558</v>
      </c>
      <c r="FR83" s="121">
        <f t="shared" si="272"/>
        <v>0</v>
      </c>
      <c r="FS83" s="121">
        <f t="shared" ref="FS83:FX83" si="273">SUM(FS55:FS82)</f>
        <v>61158558</v>
      </c>
      <c r="FT83" s="121">
        <f t="shared" si="273"/>
        <v>0</v>
      </c>
      <c r="FU83" s="121">
        <f t="shared" si="273"/>
        <v>0</v>
      </c>
      <c r="FV83" s="121">
        <f t="shared" si="273"/>
        <v>61158558</v>
      </c>
      <c r="FW83" s="121">
        <f t="shared" si="273"/>
        <v>61158558</v>
      </c>
      <c r="FX83" s="121">
        <f t="shared" si="273"/>
        <v>0</v>
      </c>
      <c r="FY83" s="121">
        <f t="shared" ref="FY83:GD83" si="274">SUM(FY55:FY82)</f>
        <v>61158558</v>
      </c>
      <c r="FZ83" s="121">
        <f t="shared" si="274"/>
        <v>0</v>
      </c>
      <c r="GA83" s="121">
        <f t="shared" si="274"/>
        <v>0</v>
      </c>
      <c r="GB83" s="121">
        <f t="shared" si="274"/>
        <v>61158558</v>
      </c>
      <c r="GC83" s="121">
        <f t="shared" si="274"/>
        <v>61158558</v>
      </c>
      <c r="GD83" s="121">
        <f t="shared" si="274"/>
        <v>0</v>
      </c>
      <c r="GE83" s="121">
        <f t="shared" ref="GE83:GJ83" si="275">SUM(GE55:GE82)</f>
        <v>61158558</v>
      </c>
      <c r="GF83" s="121">
        <f t="shared" si="275"/>
        <v>0</v>
      </c>
      <c r="GG83" s="121">
        <f t="shared" si="275"/>
        <v>0</v>
      </c>
      <c r="GH83" s="121">
        <f t="shared" si="275"/>
        <v>61158558</v>
      </c>
      <c r="GI83" s="121">
        <f t="shared" si="275"/>
        <v>61158558</v>
      </c>
      <c r="GJ83" s="121">
        <f t="shared" si="275"/>
        <v>0</v>
      </c>
      <c r="GK83" s="121">
        <f t="shared" ref="GK83:GP83" si="276">SUM(GK55:GK82)</f>
        <v>61158558</v>
      </c>
      <c r="GL83" s="121">
        <f t="shared" si="276"/>
        <v>0</v>
      </c>
      <c r="GM83" s="121">
        <f t="shared" si="276"/>
        <v>0</v>
      </c>
      <c r="GN83" s="121">
        <f t="shared" si="276"/>
        <v>61158558</v>
      </c>
      <c r="GO83" s="121">
        <f t="shared" si="276"/>
        <v>61158558</v>
      </c>
      <c r="GP83" s="121">
        <f t="shared" si="276"/>
        <v>0</v>
      </c>
      <c r="GQ83" s="121">
        <f t="shared" ref="GQ83:GV83" si="277">SUM(GQ55:GQ82)</f>
        <v>61158558</v>
      </c>
      <c r="GR83" s="121">
        <f t="shared" si="277"/>
        <v>0</v>
      </c>
      <c r="GS83" s="121">
        <f t="shared" si="277"/>
        <v>0</v>
      </c>
      <c r="GT83" s="121">
        <f t="shared" si="277"/>
        <v>61158558</v>
      </c>
      <c r="GU83" s="121">
        <f t="shared" si="277"/>
        <v>61158558</v>
      </c>
      <c r="GV83" s="121">
        <f t="shared" si="277"/>
        <v>0</v>
      </c>
      <c r="GW83" s="121">
        <f t="shared" ref="GW83:HB83" si="278">SUM(GW55:GW82)</f>
        <v>64216475</v>
      </c>
      <c r="GX83" s="121">
        <f t="shared" si="278"/>
        <v>0</v>
      </c>
      <c r="GY83" s="121">
        <f t="shared" si="278"/>
        <v>0</v>
      </c>
      <c r="GZ83" s="121">
        <f t="shared" si="278"/>
        <v>64216475</v>
      </c>
      <c r="HA83" s="121">
        <f t="shared" si="278"/>
        <v>64216475</v>
      </c>
      <c r="HB83" s="121">
        <f t="shared" si="278"/>
        <v>3057917</v>
      </c>
      <c r="HC83" s="121">
        <f>SUM(HC55:HC82)</f>
        <v>4.3490943196008116</v>
      </c>
    </row>
    <row r="84" spans="1:226" x14ac:dyDescent="0.3">
      <c r="A84" s="98"/>
      <c r="B84" s="98"/>
      <c r="C84" s="98"/>
      <c r="D84" s="99"/>
      <c r="E84" s="108"/>
      <c r="F84" s="108"/>
      <c r="G84" s="108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127">
        <f>AY83*10*5%</f>
        <v>26477330</v>
      </c>
      <c r="AZ84" s="20"/>
      <c r="BA84" s="20"/>
      <c r="BB84" s="20"/>
      <c r="BC84" s="20"/>
      <c r="BD84" s="20"/>
      <c r="BE84" s="20"/>
      <c r="BF84" s="100"/>
      <c r="BG84" s="100"/>
      <c r="BH84" s="100"/>
      <c r="BI84" s="100"/>
      <c r="BJ84" s="100"/>
      <c r="BK84" s="100"/>
      <c r="BL84" s="100"/>
      <c r="BM84" s="100"/>
      <c r="BN84" s="100"/>
      <c r="BO84" s="100"/>
      <c r="BP84" s="100"/>
      <c r="BQ84" s="100"/>
      <c r="BR84" s="100"/>
      <c r="BS84" s="100"/>
      <c r="BT84" s="100"/>
      <c r="BU84" s="100"/>
      <c r="BV84" s="100"/>
      <c r="BW84" s="100"/>
      <c r="BX84" s="100"/>
      <c r="BY84" s="100"/>
      <c r="BZ84" s="100"/>
      <c r="CA84" s="100"/>
      <c r="CB84" s="100"/>
      <c r="CC84" s="100"/>
      <c r="CD84" s="100"/>
      <c r="CE84" s="100"/>
      <c r="CF84" s="100"/>
      <c r="CG84" s="100"/>
      <c r="CH84" s="100"/>
      <c r="CI84" s="100"/>
      <c r="CJ84" s="100"/>
      <c r="CK84" s="100"/>
      <c r="CL84" s="100"/>
      <c r="CM84" s="100"/>
      <c r="CN84" s="100"/>
      <c r="CO84" s="100"/>
      <c r="CP84" s="100"/>
      <c r="CQ84" s="100"/>
      <c r="CR84" s="100"/>
      <c r="CS84" s="100"/>
      <c r="CT84" s="100"/>
      <c r="CU84" s="100"/>
      <c r="CV84" s="100"/>
      <c r="CW84" s="100"/>
      <c r="CX84" s="100"/>
      <c r="CY84" s="100"/>
      <c r="CZ84" s="100"/>
      <c r="DA84" s="100"/>
      <c r="DB84" s="100"/>
      <c r="DC84" s="100"/>
      <c r="DD84" s="100"/>
      <c r="DE84" s="100"/>
      <c r="DF84" s="100"/>
      <c r="DG84" s="100"/>
      <c r="DH84" s="114"/>
    </row>
    <row r="85" spans="1:226" x14ac:dyDescent="0.3">
      <c r="A85" s="98"/>
      <c r="B85" s="98"/>
      <c r="C85" s="98"/>
      <c r="D85" s="99"/>
      <c r="E85" s="108"/>
      <c r="F85" s="108"/>
      <c r="G85" s="108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129">
        <f>AY83*10*5%</f>
        <v>26477330</v>
      </c>
      <c r="AZ85" s="20"/>
      <c r="BA85" s="20"/>
      <c r="BB85" s="20"/>
      <c r="BC85" s="20"/>
      <c r="BD85" s="20"/>
      <c r="BE85" s="20"/>
      <c r="BF85" s="100"/>
      <c r="BG85" s="100"/>
      <c r="BH85" s="100"/>
      <c r="BI85" s="100"/>
      <c r="BJ85" s="100"/>
      <c r="BK85" s="100"/>
      <c r="BL85" s="100"/>
      <c r="BM85" s="100"/>
      <c r="BN85" s="100"/>
      <c r="BO85" s="100"/>
      <c r="BP85" s="100"/>
      <c r="BQ85" s="100"/>
      <c r="BR85" s="100"/>
      <c r="BS85" s="100"/>
      <c r="BT85" s="100"/>
      <c r="BU85" s="100"/>
      <c r="BV85" s="100"/>
      <c r="BW85" s="100"/>
      <c r="BX85" s="100"/>
      <c r="BY85" s="100"/>
      <c r="BZ85" s="100"/>
      <c r="CA85" s="100"/>
      <c r="CB85" s="100"/>
      <c r="CC85" s="100"/>
      <c r="CD85" s="100"/>
      <c r="CE85" s="100"/>
      <c r="CF85" s="100"/>
      <c r="CG85" s="100"/>
      <c r="CH85" s="100"/>
      <c r="CI85" s="100"/>
      <c r="CJ85" s="100"/>
      <c r="CK85" s="100"/>
      <c r="CL85" s="100"/>
      <c r="CM85" s="100"/>
      <c r="CN85" s="100"/>
      <c r="CO85" s="100"/>
      <c r="CP85" s="100"/>
      <c r="CQ85" s="100"/>
      <c r="CR85" s="100"/>
      <c r="CS85" s="100"/>
      <c r="CT85" s="100"/>
      <c r="CU85" s="100"/>
      <c r="CV85" s="100"/>
      <c r="CW85" s="100"/>
      <c r="CX85" s="100"/>
      <c r="CY85" s="100"/>
      <c r="CZ85" s="100"/>
      <c r="DA85" s="100"/>
      <c r="DB85" s="100"/>
      <c r="DC85" s="100"/>
      <c r="DD85" s="100"/>
      <c r="DE85" s="100"/>
      <c r="DF85" s="100"/>
      <c r="DG85" s="100"/>
      <c r="DH85" s="114"/>
    </row>
    <row r="86" spans="1:226" s="74" customFormat="1" ht="52.5" customHeight="1" x14ac:dyDescent="0.3">
      <c r="A86" s="85" t="s">
        <v>0</v>
      </c>
      <c r="B86" s="85" t="s">
        <v>1</v>
      </c>
      <c r="C86" s="85" t="s">
        <v>217</v>
      </c>
      <c r="D86" s="86" t="s">
        <v>218</v>
      </c>
      <c r="E86" s="87" t="s">
        <v>233</v>
      </c>
      <c r="F86" s="87" t="s">
        <v>234</v>
      </c>
      <c r="G86" s="87" t="s">
        <v>235</v>
      </c>
      <c r="H86" s="87" t="s">
        <v>383</v>
      </c>
      <c r="I86" s="87" t="s">
        <v>382</v>
      </c>
      <c r="J86" s="87" t="s">
        <v>381</v>
      </c>
      <c r="K86" s="87" t="s">
        <v>380</v>
      </c>
      <c r="L86" s="87" t="s">
        <v>379</v>
      </c>
      <c r="M86" s="87" t="s">
        <v>378</v>
      </c>
      <c r="N86" s="87" t="s">
        <v>377</v>
      </c>
      <c r="O86" s="87" t="s">
        <v>394</v>
      </c>
      <c r="P86" s="87" t="s">
        <v>413</v>
      </c>
      <c r="Q86" s="87" t="s">
        <v>415</v>
      </c>
      <c r="R86" s="87" t="s">
        <v>417</v>
      </c>
      <c r="S86" s="87" t="s">
        <v>420</v>
      </c>
      <c r="T86" s="87" t="s">
        <v>421</v>
      </c>
      <c r="U86" s="87" t="s">
        <v>425</v>
      </c>
      <c r="V86" s="87" t="s">
        <v>426</v>
      </c>
      <c r="W86" s="87" t="s">
        <v>424</v>
      </c>
      <c r="X86" s="87" t="s">
        <v>437</v>
      </c>
      <c r="Y86" s="87" t="s">
        <v>439</v>
      </c>
      <c r="Z86" s="87" t="s">
        <v>447</v>
      </c>
      <c r="AA86" s="87" t="s">
        <v>458</v>
      </c>
      <c r="AB86" s="590" t="s">
        <v>459</v>
      </c>
      <c r="AC86" s="591"/>
      <c r="AD86" s="591"/>
      <c r="AE86" s="592"/>
      <c r="AF86" s="596" t="s">
        <v>462</v>
      </c>
      <c r="AG86" s="597"/>
      <c r="AH86" s="597"/>
      <c r="AI86" s="598"/>
      <c r="AJ86" s="590" t="s">
        <v>466</v>
      </c>
      <c r="AK86" s="591"/>
      <c r="AL86" s="591"/>
      <c r="AM86" s="592"/>
      <c r="AN86" s="596" t="s">
        <v>470</v>
      </c>
      <c r="AO86" s="597"/>
      <c r="AP86" s="597"/>
      <c r="AQ86" s="598"/>
      <c r="AR86" s="590" t="s">
        <v>478</v>
      </c>
      <c r="AS86" s="591"/>
      <c r="AT86" s="591"/>
      <c r="AU86" s="592"/>
      <c r="AV86" s="596" t="s">
        <v>483</v>
      </c>
      <c r="AW86" s="597"/>
      <c r="AX86" s="597"/>
      <c r="AY86" s="598"/>
      <c r="AZ86" s="436" t="s">
        <v>503</v>
      </c>
      <c r="BA86" s="436" t="s">
        <v>488</v>
      </c>
      <c r="BB86" s="436" t="s">
        <v>489</v>
      </c>
      <c r="BC86" s="436" t="s">
        <v>423</v>
      </c>
      <c r="BD86" s="436" t="s">
        <v>507</v>
      </c>
      <c r="BE86" s="436" t="s">
        <v>531</v>
      </c>
      <c r="BF86" s="437" t="s">
        <v>508</v>
      </c>
      <c r="BG86" s="437" t="s">
        <v>509</v>
      </c>
      <c r="BH86" s="590" t="s">
        <v>532</v>
      </c>
      <c r="BI86" s="591"/>
      <c r="BJ86" s="591"/>
      <c r="BK86" s="592"/>
      <c r="BL86" s="596" t="s">
        <v>539</v>
      </c>
      <c r="BM86" s="597"/>
      <c r="BN86" s="597"/>
      <c r="BO86" s="598"/>
      <c r="BP86" s="438" t="s">
        <v>538</v>
      </c>
      <c r="BQ86" s="590" t="s">
        <v>542</v>
      </c>
      <c r="BR86" s="591"/>
      <c r="BS86" s="591"/>
      <c r="BT86" s="592"/>
      <c r="BU86" s="438" t="s">
        <v>541</v>
      </c>
      <c r="BV86" s="590" t="s">
        <v>552</v>
      </c>
      <c r="BW86" s="591"/>
      <c r="BX86" s="591"/>
      <c r="BY86" s="592"/>
      <c r="BZ86" s="438" t="s">
        <v>553</v>
      </c>
      <c r="CA86" s="590" t="s">
        <v>578</v>
      </c>
      <c r="CB86" s="591"/>
      <c r="CC86" s="591"/>
      <c r="CD86" s="592"/>
      <c r="CE86" s="438" t="s">
        <v>579</v>
      </c>
      <c r="CF86" s="590" t="s">
        <v>581</v>
      </c>
      <c r="CG86" s="591"/>
      <c r="CH86" s="591"/>
      <c r="CI86" s="592"/>
      <c r="CJ86" s="438" t="s">
        <v>580</v>
      </c>
      <c r="CK86" s="590" t="s">
        <v>585</v>
      </c>
      <c r="CL86" s="591"/>
      <c r="CM86" s="591"/>
      <c r="CN86" s="592"/>
      <c r="CO86" s="438" t="s">
        <v>586</v>
      </c>
      <c r="CP86" s="590" t="s">
        <v>587</v>
      </c>
      <c r="CQ86" s="591"/>
      <c r="CR86" s="591"/>
      <c r="CS86" s="592"/>
      <c r="CT86" s="438" t="s">
        <v>588</v>
      </c>
      <c r="CU86" s="590" t="s">
        <v>590</v>
      </c>
      <c r="CV86" s="591"/>
      <c r="CW86" s="591"/>
      <c r="CX86" s="592"/>
      <c r="CY86" s="438" t="s">
        <v>592</v>
      </c>
      <c r="CZ86" s="294"/>
      <c r="DA86" s="294"/>
      <c r="DB86" s="294"/>
      <c r="DC86" s="95" t="s">
        <v>602</v>
      </c>
      <c r="DD86" s="95" t="s">
        <v>488</v>
      </c>
      <c r="DE86" s="95" t="s">
        <v>489</v>
      </c>
      <c r="DF86" s="95" t="s">
        <v>603</v>
      </c>
      <c r="DG86" s="95" t="s">
        <v>423</v>
      </c>
      <c r="DH86" s="85" t="s">
        <v>2</v>
      </c>
      <c r="DI86" s="593" t="s">
        <v>613</v>
      </c>
      <c r="DJ86" s="594"/>
      <c r="DK86" s="594"/>
      <c r="DL86" s="594"/>
      <c r="DM86" s="594"/>
      <c r="DN86" s="594"/>
      <c r="DO86" s="594"/>
      <c r="DP86" s="595"/>
      <c r="DQ86" s="584" t="s">
        <v>614</v>
      </c>
      <c r="DR86" s="585"/>
      <c r="DS86" s="585"/>
      <c r="DT86" s="585"/>
      <c r="DU86" s="586"/>
      <c r="DV86" s="87" t="s">
        <v>615</v>
      </c>
      <c r="DW86" s="584" t="s">
        <v>623</v>
      </c>
      <c r="DX86" s="585"/>
      <c r="DY86" s="585"/>
      <c r="DZ86" s="585"/>
      <c r="EA86" s="586"/>
      <c r="EB86" s="87" t="s">
        <v>624</v>
      </c>
      <c r="EC86" s="584" t="s">
        <v>627</v>
      </c>
      <c r="ED86" s="585"/>
      <c r="EE86" s="585"/>
      <c r="EF86" s="585"/>
      <c r="EG86" s="586"/>
      <c r="EH86" s="87" t="s">
        <v>628</v>
      </c>
      <c r="EI86" s="584" t="s">
        <v>631</v>
      </c>
      <c r="EJ86" s="585"/>
      <c r="EK86" s="585"/>
      <c r="EL86" s="585"/>
      <c r="EM86" s="586"/>
      <c r="EN86" s="87" t="s">
        <v>632</v>
      </c>
      <c r="EO86" s="584" t="s">
        <v>638</v>
      </c>
      <c r="EP86" s="585"/>
      <c r="EQ86" s="585"/>
      <c r="ER86" s="585"/>
      <c r="ES86" s="586"/>
      <c r="ET86" s="87" t="s">
        <v>637</v>
      </c>
      <c r="EU86" s="584" t="s">
        <v>641</v>
      </c>
      <c r="EV86" s="585"/>
      <c r="EW86" s="585"/>
      <c r="EX86" s="585"/>
      <c r="EY86" s="586"/>
      <c r="EZ86" s="87" t="s">
        <v>642</v>
      </c>
      <c r="FA86" s="584" t="s">
        <v>645</v>
      </c>
      <c r="FB86" s="585"/>
      <c r="FC86" s="585"/>
      <c r="FD86" s="585"/>
      <c r="FE86" s="586"/>
      <c r="FF86" s="87" t="s">
        <v>646</v>
      </c>
      <c r="FG86" s="584" t="s">
        <v>653</v>
      </c>
      <c r="FH86" s="585"/>
      <c r="FI86" s="585"/>
      <c r="FJ86" s="585"/>
      <c r="FK86" s="586"/>
      <c r="FL86" s="87" t="s">
        <v>654</v>
      </c>
      <c r="FM86" s="584" t="s">
        <v>662</v>
      </c>
      <c r="FN86" s="585"/>
      <c r="FO86" s="585"/>
      <c r="FP86" s="585"/>
      <c r="FQ86" s="586"/>
      <c r="FR86" s="87" t="s">
        <v>657</v>
      </c>
      <c r="FS86" s="584" t="s">
        <v>661</v>
      </c>
      <c r="FT86" s="585"/>
      <c r="FU86" s="585"/>
      <c r="FV86" s="585"/>
      <c r="FW86" s="586"/>
      <c r="FX86" s="87" t="s">
        <v>663</v>
      </c>
      <c r="FY86" s="584" t="s">
        <v>665</v>
      </c>
      <c r="FZ86" s="585"/>
      <c r="GA86" s="585"/>
      <c r="GB86" s="585"/>
      <c r="GC86" s="586"/>
      <c r="GD86" s="87" t="s">
        <v>666</v>
      </c>
      <c r="GE86" s="584" t="s">
        <v>668</v>
      </c>
      <c r="GF86" s="585"/>
      <c r="GG86" s="585"/>
      <c r="GH86" s="585"/>
      <c r="GI86" s="586"/>
      <c r="GJ86" s="87" t="s">
        <v>669</v>
      </c>
      <c r="GK86" s="584" t="s">
        <v>671</v>
      </c>
      <c r="GL86" s="585"/>
      <c r="GM86" s="585"/>
      <c r="GN86" s="585"/>
      <c r="GO86" s="586"/>
      <c r="GP86" s="87" t="s">
        <v>672</v>
      </c>
      <c r="GQ86" s="584" t="s">
        <v>674</v>
      </c>
      <c r="GR86" s="585"/>
      <c r="GS86" s="585"/>
      <c r="GT86" s="585"/>
      <c r="GU86" s="586"/>
      <c r="GV86" s="87" t="s">
        <v>675</v>
      </c>
      <c r="GW86" s="584" t="s">
        <v>696</v>
      </c>
      <c r="GX86" s="585"/>
      <c r="GY86" s="585"/>
      <c r="GZ86" s="585"/>
      <c r="HA86" s="586"/>
      <c r="HB86" s="87" t="s">
        <v>697</v>
      </c>
      <c r="HC86" s="85" t="s">
        <v>2</v>
      </c>
      <c r="HD86" s="6"/>
      <c r="HE86" s="587" t="s">
        <v>678</v>
      </c>
      <c r="HF86" s="588"/>
      <c r="HG86" s="588"/>
      <c r="HH86" s="588"/>
      <c r="HI86" s="589"/>
      <c r="HJ86" s="85" t="s">
        <v>2</v>
      </c>
      <c r="HK86" s="593" t="s">
        <v>698</v>
      </c>
      <c r="HL86" s="594"/>
      <c r="HM86" s="594"/>
      <c r="HN86" s="594"/>
      <c r="HO86" s="594"/>
      <c r="HP86" s="594"/>
      <c r="HQ86" s="594"/>
      <c r="HR86" s="594"/>
    </row>
    <row r="87" spans="1:226" s="74" customFormat="1" ht="31.2" thickBot="1" x14ac:dyDescent="0.35">
      <c r="A87" s="89"/>
      <c r="B87" s="440" t="s">
        <v>558</v>
      </c>
      <c r="C87" s="448"/>
      <c r="D87" s="447"/>
      <c r="E87" s="87"/>
      <c r="F87" s="87"/>
      <c r="G87" s="87"/>
      <c r="H87" s="88"/>
      <c r="I87" s="88"/>
      <c r="J87" s="294"/>
      <c r="K87" s="88"/>
      <c r="L87" s="87"/>
      <c r="M87" s="87"/>
      <c r="N87" s="87"/>
      <c r="O87" s="294"/>
      <c r="P87" s="294"/>
      <c r="Q87" s="294"/>
      <c r="R87" s="294"/>
      <c r="S87" s="294"/>
      <c r="T87" s="294"/>
      <c r="U87" s="294"/>
      <c r="V87" s="294"/>
      <c r="W87" s="294"/>
      <c r="X87" s="294"/>
      <c r="Y87" s="294"/>
      <c r="Z87" s="294"/>
      <c r="AA87" s="294"/>
      <c r="AB87" s="112" t="s">
        <v>234</v>
      </c>
      <c r="AC87" s="112" t="s">
        <v>454</v>
      </c>
      <c r="AD87" s="112" t="s">
        <v>455</v>
      </c>
      <c r="AE87" s="112" t="s">
        <v>456</v>
      </c>
      <c r="AF87" s="14" t="s">
        <v>234</v>
      </c>
      <c r="AG87" s="14" t="s">
        <v>454</v>
      </c>
      <c r="AH87" s="14" t="s">
        <v>455</v>
      </c>
      <c r="AI87" s="14" t="s">
        <v>456</v>
      </c>
      <c r="AJ87" s="112" t="s">
        <v>234</v>
      </c>
      <c r="AK87" s="112" t="s">
        <v>454</v>
      </c>
      <c r="AL87" s="112" t="s">
        <v>455</v>
      </c>
      <c r="AM87" s="112" t="s">
        <v>456</v>
      </c>
      <c r="AN87" s="14" t="s">
        <v>234</v>
      </c>
      <c r="AO87" s="14" t="s">
        <v>454</v>
      </c>
      <c r="AP87" s="14" t="s">
        <v>455</v>
      </c>
      <c r="AQ87" s="14" t="s">
        <v>456</v>
      </c>
      <c r="AR87" s="112" t="s">
        <v>234</v>
      </c>
      <c r="AS87" s="112" t="s">
        <v>454</v>
      </c>
      <c r="AT87" s="112" t="s">
        <v>455</v>
      </c>
      <c r="AU87" s="112" t="s">
        <v>456</v>
      </c>
      <c r="AV87" s="14" t="s">
        <v>234</v>
      </c>
      <c r="AW87" s="14" t="s">
        <v>454</v>
      </c>
      <c r="AX87" s="14" t="s">
        <v>455</v>
      </c>
      <c r="AY87" s="14" t="s">
        <v>456</v>
      </c>
      <c r="AZ87" s="443"/>
      <c r="BA87" s="443"/>
      <c r="BB87" s="443"/>
      <c r="BC87" s="443"/>
      <c r="BD87" s="443"/>
      <c r="BE87" s="443"/>
      <c r="BF87" s="444"/>
      <c r="BG87" s="444"/>
      <c r="BH87" s="112" t="s">
        <v>234</v>
      </c>
      <c r="BI87" s="112" t="s">
        <v>454</v>
      </c>
      <c r="BJ87" s="112" t="s">
        <v>455</v>
      </c>
      <c r="BK87" s="112" t="s">
        <v>456</v>
      </c>
      <c r="BL87" s="14" t="s">
        <v>234</v>
      </c>
      <c r="BM87" s="14" t="s">
        <v>454</v>
      </c>
      <c r="BN87" s="14" t="s">
        <v>455</v>
      </c>
      <c r="BO87" s="14" t="s">
        <v>456</v>
      </c>
      <c r="BP87" s="445"/>
      <c r="BQ87" s="112" t="s">
        <v>234</v>
      </c>
      <c r="BR87" s="112" t="s">
        <v>454</v>
      </c>
      <c r="BS87" s="112" t="s">
        <v>455</v>
      </c>
      <c r="BT87" s="112" t="s">
        <v>456</v>
      </c>
      <c r="BU87" s="445"/>
      <c r="BV87" s="112" t="s">
        <v>234</v>
      </c>
      <c r="BW87" s="112" t="s">
        <v>454</v>
      </c>
      <c r="BX87" s="112" t="s">
        <v>455</v>
      </c>
      <c r="BY87" s="112" t="s">
        <v>456</v>
      </c>
      <c r="BZ87" s="445"/>
      <c r="CA87" s="112" t="s">
        <v>234</v>
      </c>
      <c r="CB87" s="112" t="s">
        <v>454</v>
      </c>
      <c r="CC87" s="112" t="s">
        <v>455</v>
      </c>
      <c r="CD87" s="112" t="s">
        <v>456</v>
      </c>
      <c r="CE87" s="445"/>
      <c r="CF87" s="112" t="s">
        <v>234</v>
      </c>
      <c r="CG87" s="112" t="s">
        <v>454</v>
      </c>
      <c r="CH87" s="112" t="s">
        <v>455</v>
      </c>
      <c r="CI87" s="112" t="s">
        <v>456</v>
      </c>
      <c r="CJ87" s="445"/>
      <c r="CK87" s="112" t="s">
        <v>234</v>
      </c>
      <c r="CL87" s="112" t="s">
        <v>454</v>
      </c>
      <c r="CM87" s="112" t="s">
        <v>455</v>
      </c>
      <c r="CN87" s="112" t="s">
        <v>456</v>
      </c>
      <c r="CO87" s="445"/>
      <c r="CP87" s="112" t="s">
        <v>234</v>
      </c>
      <c r="CQ87" s="112" t="s">
        <v>454</v>
      </c>
      <c r="CR87" s="112" t="s">
        <v>455</v>
      </c>
      <c r="CS87" s="112" t="s">
        <v>456</v>
      </c>
      <c r="CT87" s="445"/>
      <c r="CU87" s="112" t="s">
        <v>234</v>
      </c>
      <c r="CV87" s="112" t="s">
        <v>454</v>
      </c>
      <c r="CW87" s="112" t="s">
        <v>455</v>
      </c>
      <c r="CX87" s="112" t="s">
        <v>456</v>
      </c>
      <c r="CY87" s="445"/>
      <c r="CZ87" s="295"/>
      <c r="DA87" s="295"/>
      <c r="DB87" s="295"/>
      <c r="DC87" s="95" t="s">
        <v>602</v>
      </c>
      <c r="DD87" s="95" t="s">
        <v>488</v>
      </c>
      <c r="DE87" s="95" t="s">
        <v>489</v>
      </c>
      <c r="DF87" s="95" t="s">
        <v>603</v>
      </c>
      <c r="DG87" s="95" t="s">
        <v>423</v>
      </c>
      <c r="DH87" s="89"/>
      <c r="DI87" s="90" t="s">
        <v>604</v>
      </c>
      <c r="DJ87" s="91" t="s">
        <v>605</v>
      </c>
      <c r="DK87" s="92" t="s">
        <v>606</v>
      </c>
      <c r="DL87" s="92" t="s">
        <v>607</v>
      </c>
      <c r="DM87" s="91" t="s">
        <v>608</v>
      </c>
      <c r="DN87" s="91" t="s">
        <v>609</v>
      </c>
      <c r="DO87" s="91" t="s">
        <v>611</v>
      </c>
      <c r="DP87" s="91" t="s">
        <v>610</v>
      </c>
      <c r="DQ87" s="112" t="s">
        <v>234</v>
      </c>
      <c r="DR87" s="112" t="s">
        <v>454</v>
      </c>
      <c r="DS87" s="112" t="s">
        <v>455</v>
      </c>
      <c r="DT87" s="93" t="s">
        <v>456</v>
      </c>
      <c r="DU87" s="94" t="s">
        <v>457</v>
      </c>
      <c r="DV87" s="87"/>
      <c r="DW87" s="112" t="s">
        <v>234</v>
      </c>
      <c r="DX87" s="112" t="s">
        <v>454</v>
      </c>
      <c r="DY87" s="112" t="s">
        <v>455</v>
      </c>
      <c r="DZ87" s="93" t="s">
        <v>456</v>
      </c>
      <c r="EA87" s="94" t="s">
        <v>457</v>
      </c>
      <c r="EB87" s="87"/>
      <c r="EC87" s="112" t="s">
        <v>234</v>
      </c>
      <c r="ED87" s="112" t="s">
        <v>454</v>
      </c>
      <c r="EE87" s="112" t="s">
        <v>455</v>
      </c>
      <c r="EF87" s="93" t="s">
        <v>456</v>
      </c>
      <c r="EG87" s="94" t="s">
        <v>457</v>
      </c>
      <c r="EH87" s="87"/>
      <c r="EI87" s="112" t="s">
        <v>234</v>
      </c>
      <c r="EJ87" s="112" t="s">
        <v>454</v>
      </c>
      <c r="EK87" s="112" t="s">
        <v>455</v>
      </c>
      <c r="EL87" s="93" t="s">
        <v>456</v>
      </c>
      <c r="EM87" s="94" t="s">
        <v>457</v>
      </c>
      <c r="EN87" s="87"/>
      <c r="EO87" s="112" t="s">
        <v>234</v>
      </c>
      <c r="EP87" s="112" t="s">
        <v>454</v>
      </c>
      <c r="EQ87" s="112" t="s">
        <v>455</v>
      </c>
      <c r="ER87" s="93" t="s">
        <v>456</v>
      </c>
      <c r="ES87" s="94" t="s">
        <v>457</v>
      </c>
      <c r="ET87" s="87"/>
      <c r="EU87" s="112" t="s">
        <v>234</v>
      </c>
      <c r="EV87" s="112" t="s">
        <v>454</v>
      </c>
      <c r="EW87" s="112" t="s">
        <v>455</v>
      </c>
      <c r="EX87" s="93" t="s">
        <v>456</v>
      </c>
      <c r="EY87" s="94" t="s">
        <v>457</v>
      </c>
      <c r="EZ87" s="87"/>
      <c r="FA87" s="112" t="s">
        <v>234</v>
      </c>
      <c r="FB87" s="112" t="s">
        <v>454</v>
      </c>
      <c r="FC87" s="112" t="s">
        <v>455</v>
      </c>
      <c r="FD87" s="93" t="s">
        <v>456</v>
      </c>
      <c r="FE87" s="136" t="s">
        <v>457</v>
      </c>
      <c r="FF87" s="87"/>
      <c r="FG87" s="112" t="s">
        <v>234</v>
      </c>
      <c r="FH87" s="112" t="s">
        <v>454</v>
      </c>
      <c r="FI87" s="112" t="s">
        <v>455</v>
      </c>
      <c r="FJ87" s="93" t="s">
        <v>456</v>
      </c>
      <c r="FK87" s="94" t="s">
        <v>457</v>
      </c>
      <c r="FL87" s="87"/>
      <c r="FM87" s="112" t="s">
        <v>234</v>
      </c>
      <c r="FN87" s="112" t="s">
        <v>454</v>
      </c>
      <c r="FO87" s="112" t="s">
        <v>455</v>
      </c>
      <c r="FP87" s="93" t="s">
        <v>456</v>
      </c>
      <c r="FQ87" s="94" t="s">
        <v>457</v>
      </c>
      <c r="FR87" s="87"/>
      <c r="FS87" s="112" t="s">
        <v>234</v>
      </c>
      <c r="FT87" s="112" t="s">
        <v>454</v>
      </c>
      <c r="FU87" s="112" t="s">
        <v>455</v>
      </c>
      <c r="FV87" s="93" t="s">
        <v>456</v>
      </c>
      <c r="FW87" s="94" t="s">
        <v>457</v>
      </c>
      <c r="FX87" s="87"/>
      <c r="FY87" s="112" t="s">
        <v>234</v>
      </c>
      <c r="FZ87" s="112" t="s">
        <v>454</v>
      </c>
      <c r="GA87" s="112" t="s">
        <v>455</v>
      </c>
      <c r="GB87" s="93" t="s">
        <v>456</v>
      </c>
      <c r="GC87" s="136" t="s">
        <v>457</v>
      </c>
      <c r="GD87" s="87"/>
      <c r="GE87" s="112" t="s">
        <v>234</v>
      </c>
      <c r="GF87" s="112" t="s">
        <v>454</v>
      </c>
      <c r="GG87" s="112" t="s">
        <v>455</v>
      </c>
      <c r="GH87" s="93" t="s">
        <v>456</v>
      </c>
      <c r="GI87" s="136" t="s">
        <v>457</v>
      </c>
      <c r="GJ87" s="87"/>
      <c r="GK87" s="112" t="s">
        <v>234</v>
      </c>
      <c r="GL87" s="112" t="s">
        <v>454</v>
      </c>
      <c r="GM87" s="112" t="s">
        <v>455</v>
      </c>
      <c r="GN87" s="93" t="s">
        <v>456</v>
      </c>
      <c r="GO87" s="94" t="s">
        <v>457</v>
      </c>
      <c r="GP87" s="87"/>
      <c r="GQ87" s="112" t="s">
        <v>234</v>
      </c>
      <c r="GR87" s="112" t="s">
        <v>454</v>
      </c>
      <c r="GS87" s="112" t="s">
        <v>455</v>
      </c>
      <c r="GT87" s="93" t="s">
        <v>456</v>
      </c>
      <c r="GU87" s="94" t="s">
        <v>457</v>
      </c>
      <c r="GV87" s="87"/>
      <c r="GW87" s="112" t="s">
        <v>234</v>
      </c>
      <c r="GX87" s="112" t="s">
        <v>454</v>
      </c>
      <c r="GY87" s="112" t="s">
        <v>455</v>
      </c>
      <c r="GZ87" s="93" t="s">
        <v>456</v>
      </c>
      <c r="HA87" s="94" t="s">
        <v>457</v>
      </c>
      <c r="HB87" s="87"/>
      <c r="HC87" s="85"/>
      <c r="HD87" s="6"/>
      <c r="HE87" s="95" t="s">
        <v>679</v>
      </c>
      <c r="HF87" s="95" t="s">
        <v>488</v>
      </c>
      <c r="HG87" s="220" t="s">
        <v>489</v>
      </c>
      <c r="HH87" s="95" t="s">
        <v>603</v>
      </c>
      <c r="HI87" s="95" t="s">
        <v>423</v>
      </c>
      <c r="HJ87" s="85"/>
      <c r="HK87" s="90" t="s">
        <v>680</v>
      </c>
      <c r="HL87" s="91" t="s">
        <v>681</v>
      </c>
      <c r="HM87" s="92" t="s">
        <v>606</v>
      </c>
      <c r="HN87" s="92" t="s">
        <v>607</v>
      </c>
      <c r="HO87" s="91" t="s">
        <v>608</v>
      </c>
      <c r="HP87" s="91" t="s">
        <v>609</v>
      </c>
      <c r="HQ87" s="92" t="s">
        <v>456</v>
      </c>
      <c r="HR87" s="91" t="s">
        <v>610</v>
      </c>
    </row>
    <row r="88" spans="1:226" ht="10.5" customHeight="1" x14ac:dyDescent="0.3">
      <c r="A88" s="150">
        <v>1</v>
      </c>
      <c r="B88" s="455" t="s">
        <v>37</v>
      </c>
      <c r="C88" s="151" t="s">
        <v>250</v>
      </c>
      <c r="D88" s="152" t="s">
        <v>38</v>
      </c>
      <c r="E88" s="149">
        <v>0</v>
      </c>
      <c r="F88" s="4">
        <v>15606973</v>
      </c>
      <c r="G88" s="4">
        <v>0</v>
      </c>
      <c r="H88" s="325"/>
      <c r="I88" s="325">
        <v>15606973</v>
      </c>
      <c r="J88" s="4">
        <v>15606973</v>
      </c>
      <c r="K88" s="325"/>
      <c r="L88" s="4">
        <v>15606973</v>
      </c>
      <c r="M88" s="6">
        <v>15606973</v>
      </c>
      <c r="N88" s="6">
        <v>15606973</v>
      </c>
      <c r="O88" s="7">
        <v>15606973</v>
      </c>
      <c r="P88" s="7">
        <v>15606973</v>
      </c>
      <c r="Q88" s="7">
        <v>15606973</v>
      </c>
      <c r="R88" s="7">
        <v>15606973</v>
      </c>
      <c r="S88" s="7">
        <v>15606973</v>
      </c>
      <c r="T88" s="7">
        <v>15606973</v>
      </c>
      <c r="U88" s="7">
        <f>T88*5%</f>
        <v>780348.65</v>
      </c>
      <c r="V88" s="7">
        <f>T88+U88</f>
        <v>16387321.65</v>
      </c>
      <c r="W88" s="7">
        <v>16387321</v>
      </c>
      <c r="X88" s="7">
        <v>16387321</v>
      </c>
      <c r="Y88" s="7">
        <v>16387321</v>
      </c>
      <c r="Z88" s="7">
        <v>16387321</v>
      </c>
      <c r="AA88" s="7">
        <v>16387321</v>
      </c>
      <c r="AB88" s="7">
        <v>16387321</v>
      </c>
      <c r="AC88" s="4">
        <v>0</v>
      </c>
      <c r="AD88" s="4">
        <v>0</v>
      </c>
      <c r="AE88" s="7">
        <f>AD88+AC88+AB88</f>
        <v>16387321</v>
      </c>
      <c r="AF88" s="7">
        <v>16387321</v>
      </c>
      <c r="AG88" s="4">
        <v>0</v>
      </c>
      <c r="AH88" s="4">
        <v>0</v>
      </c>
      <c r="AI88" s="7">
        <f>AH88+AG88+AF88</f>
        <v>16387321</v>
      </c>
      <c r="AJ88" s="7">
        <v>16387321</v>
      </c>
      <c r="AK88" s="4">
        <v>0</v>
      </c>
      <c r="AL88" s="4">
        <v>0</v>
      </c>
      <c r="AM88" s="7">
        <f>AL88+AK88+AJ88</f>
        <v>16387321</v>
      </c>
      <c r="AN88" s="7">
        <v>16387321</v>
      </c>
      <c r="AO88" s="4">
        <v>0</v>
      </c>
      <c r="AP88" s="4">
        <v>0</v>
      </c>
      <c r="AQ88" s="7">
        <f>AP88+AO88+AN88</f>
        <v>16387321</v>
      </c>
      <c r="AR88" s="7">
        <v>16387321</v>
      </c>
      <c r="AS88" s="4">
        <v>0</v>
      </c>
      <c r="AT88" s="4">
        <v>0</v>
      </c>
      <c r="AU88" s="7">
        <f>AT88+AS88+AR88</f>
        <v>16387321</v>
      </c>
      <c r="AV88" s="7">
        <v>16387321</v>
      </c>
      <c r="AW88" s="4">
        <v>0</v>
      </c>
      <c r="AX88" s="4">
        <v>0</v>
      </c>
      <c r="AY88" s="7">
        <f>AX88+AW88+AV88</f>
        <v>16387321</v>
      </c>
      <c r="AZ88" s="8">
        <f>AY88*5%</f>
        <v>819366.05</v>
      </c>
      <c r="BA88" s="8">
        <v>0.05</v>
      </c>
      <c r="BB88" s="8">
        <f>AZ88-BA88</f>
        <v>819366</v>
      </c>
      <c r="BC88" s="8">
        <f>BB88+AY88</f>
        <v>17206687</v>
      </c>
      <c r="BD88" s="8"/>
      <c r="BE88" s="8">
        <f>BD88+BC88</f>
        <v>17206687</v>
      </c>
      <c r="BF88" s="10">
        <f>BE88-AY88</f>
        <v>819366</v>
      </c>
      <c r="BG88" s="11">
        <f>BF88-BB88</f>
        <v>0</v>
      </c>
      <c r="BH88" s="11">
        <v>17206687</v>
      </c>
      <c r="BI88" s="11">
        <v>0</v>
      </c>
      <c r="BJ88" s="11">
        <v>0</v>
      </c>
      <c r="BK88" s="319">
        <f>BJ88+BI88+BH88</f>
        <v>17206687</v>
      </c>
      <c r="BL88" s="319">
        <v>17206687</v>
      </c>
      <c r="BM88" s="319">
        <v>0</v>
      </c>
      <c r="BN88" s="319">
        <v>0</v>
      </c>
      <c r="BO88" s="319">
        <f>BN88+BM88+BL88</f>
        <v>17206687</v>
      </c>
      <c r="BP88" s="319">
        <f>BO88-BK88</f>
        <v>0</v>
      </c>
      <c r="BQ88" s="319">
        <v>17206687</v>
      </c>
      <c r="BR88" s="319">
        <v>0</v>
      </c>
      <c r="BS88" s="319">
        <v>0</v>
      </c>
      <c r="BT88" s="319">
        <f>BS88+BR88+BQ88</f>
        <v>17206687</v>
      </c>
      <c r="BU88" s="319">
        <f>BT88-BO88</f>
        <v>0</v>
      </c>
      <c r="BV88" s="319">
        <v>17206687</v>
      </c>
      <c r="BW88" s="319">
        <v>0</v>
      </c>
      <c r="BX88" s="319">
        <v>0</v>
      </c>
      <c r="BY88" s="319">
        <f>BX88+BW88+BV88</f>
        <v>17206687</v>
      </c>
      <c r="BZ88" s="319">
        <f>BY88-BT88</f>
        <v>0</v>
      </c>
      <c r="CA88" s="319">
        <v>17206687</v>
      </c>
      <c r="CB88" s="319">
        <v>0</v>
      </c>
      <c r="CC88" s="319">
        <v>0</v>
      </c>
      <c r="CD88" s="319">
        <f>CC88+CB88+CA88</f>
        <v>17206687</v>
      </c>
      <c r="CE88" s="319">
        <f>CD88-BY88</f>
        <v>0</v>
      </c>
      <c r="CF88" s="319">
        <v>17206687</v>
      </c>
      <c r="CG88" s="319">
        <v>0</v>
      </c>
      <c r="CH88" s="319">
        <v>0</v>
      </c>
      <c r="CI88" s="319">
        <f>CH88+CG88+CF88</f>
        <v>17206687</v>
      </c>
      <c r="CJ88" s="319">
        <f>CI88-CD88</f>
        <v>0</v>
      </c>
      <c r="CK88" s="319">
        <v>17206687</v>
      </c>
      <c r="CL88" s="319">
        <v>0</v>
      </c>
      <c r="CM88" s="319">
        <v>0</v>
      </c>
      <c r="CN88" s="319">
        <f>CM88+CL88+CK88</f>
        <v>17206687</v>
      </c>
      <c r="CO88" s="319">
        <f>CN88-CI88</f>
        <v>0</v>
      </c>
      <c r="CP88" s="319">
        <v>17206687</v>
      </c>
      <c r="CQ88" s="319">
        <v>0</v>
      </c>
      <c r="CR88" s="319">
        <v>0</v>
      </c>
      <c r="CS88" s="319">
        <f>CR88+CQ88+CP88</f>
        <v>17206687</v>
      </c>
      <c r="CT88" s="319">
        <f>CS88-CN88</f>
        <v>0</v>
      </c>
      <c r="CU88" s="319">
        <v>17206687</v>
      </c>
      <c r="CV88" s="319">
        <v>0</v>
      </c>
      <c r="CW88" s="319">
        <v>0</v>
      </c>
      <c r="CX88" s="319">
        <f>CW88+CV88+CU88</f>
        <v>17206687</v>
      </c>
      <c r="CY88" s="319">
        <f>CX88-CS88</f>
        <v>0</v>
      </c>
      <c r="CZ88" s="319"/>
      <c r="DA88" s="319"/>
      <c r="DB88" s="319"/>
      <c r="DC88" s="12">
        <f>CX88*10%</f>
        <v>1720668.7000000002</v>
      </c>
      <c r="DD88" s="12">
        <v>0.7</v>
      </c>
      <c r="DE88" s="13">
        <f>DC88-DD88</f>
        <v>1720668.0000000002</v>
      </c>
      <c r="DF88" s="14">
        <f>DE88:DE88</f>
        <v>1720668.0000000002</v>
      </c>
      <c r="DG88" s="13">
        <f>DE88+CX88</f>
        <v>18927355</v>
      </c>
      <c r="DH88" s="15">
        <f>100/1278396949*CX88</f>
        <v>1.3459580776893734</v>
      </c>
      <c r="DI88" s="16">
        <f>CX88</f>
        <v>17206687</v>
      </c>
      <c r="DJ88" s="132">
        <f>DI88*1.1</f>
        <v>18927355.700000003</v>
      </c>
      <c r="DK88" s="17">
        <f>DJ88-DI88</f>
        <v>1720668.700000003</v>
      </c>
      <c r="DL88" s="17">
        <f>DD88</f>
        <v>0.7</v>
      </c>
      <c r="DM88" s="16">
        <f>DK88-DL88</f>
        <v>1720668.000000003</v>
      </c>
      <c r="DN88" s="16">
        <f>DM88-DE88</f>
        <v>2.7939677238464355E-9</v>
      </c>
      <c r="DO88" s="16">
        <f>DM88+DI88</f>
        <v>18927355.000000004</v>
      </c>
      <c r="DP88" s="16">
        <f>DO88-DG88</f>
        <v>0</v>
      </c>
      <c r="DQ88" s="9">
        <v>18927355</v>
      </c>
      <c r="DR88" s="18" t="s">
        <v>238</v>
      </c>
      <c r="DS88" s="18" t="s">
        <v>238</v>
      </c>
      <c r="DT88" s="324">
        <f>DQ88+DR88+DS88</f>
        <v>18927355</v>
      </c>
      <c r="DU88" s="321">
        <f>DT88</f>
        <v>18927355</v>
      </c>
      <c r="DV88" s="19">
        <f>DT88-DG88</f>
        <v>0</v>
      </c>
      <c r="DW88" s="9">
        <v>18927355</v>
      </c>
      <c r="DX88" s="18"/>
      <c r="DY88" s="18"/>
      <c r="DZ88" s="324">
        <f>DW88+DX88+DY88</f>
        <v>18927355</v>
      </c>
      <c r="EA88" s="321">
        <f>DZ88</f>
        <v>18927355</v>
      </c>
      <c r="EB88" s="179">
        <f>DZ88-DT88</f>
        <v>0</v>
      </c>
      <c r="EC88" s="9">
        <v>18927355</v>
      </c>
      <c r="ED88" s="18" t="s">
        <v>238</v>
      </c>
      <c r="EE88" s="18" t="s">
        <v>238</v>
      </c>
      <c r="EF88" s="324">
        <f>EC88+ED88+EE88</f>
        <v>18927355</v>
      </c>
      <c r="EG88" s="321">
        <f>EF88</f>
        <v>18927355</v>
      </c>
      <c r="EH88" s="179">
        <f>EF88-DZ88</f>
        <v>0</v>
      </c>
      <c r="EI88" s="9">
        <v>18927355</v>
      </c>
      <c r="EJ88" s="18" t="s">
        <v>238</v>
      </c>
      <c r="EK88" s="18" t="s">
        <v>238</v>
      </c>
      <c r="EL88" s="324">
        <f>EI88+EJ88+EK88</f>
        <v>18927355</v>
      </c>
      <c r="EM88" s="321">
        <f>EL88</f>
        <v>18927355</v>
      </c>
      <c r="EN88" s="179">
        <f>EL88-EF88</f>
        <v>0</v>
      </c>
      <c r="EO88" s="9">
        <v>18927355</v>
      </c>
      <c r="EP88" s="18" t="s">
        <v>238</v>
      </c>
      <c r="EQ88" s="18" t="s">
        <v>238</v>
      </c>
      <c r="ER88" s="324">
        <f>EO88+EP88+EQ88</f>
        <v>18927355</v>
      </c>
      <c r="ES88" s="321">
        <f>ER88</f>
        <v>18927355</v>
      </c>
      <c r="ET88" s="179">
        <f>ER88-EL88</f>
        <v>0</v>
      </c>
      <c r="EU88" s="9">
        <v>18927355</v>
      </c>
      <c r="EV88" s="18" t="s">
        <v>238</v>
      </c>
      <c r="EW88" s="18" t="s">
        <v>238</v>
      </c>
      <c r="EX88" s="324">
        <f>EU88+EV88+EW88</f>
        <v>18927355</v>
      </c>
      <c r="EY88" s="321">
        <f>EX88</f>
        <v>18927355</v>
      </c>
      <c r="EZ88" s="179">
        <f>EX88-ER88</f>
        <v>0</v>
      </c>
      <c r="FA88" s="9">
        <v>18927355</v>
      </c>
      <c r="FB88" s="18" t="s">
        <v>238</v>
      </c>
      <c r="FC88" s="18" t="s">
        <v>238</v>
      </c>
      <c r="FD88" s="101">
        <f>FA88+FB88+FC88</f>
        <v>18927355</v>
      </c>
      <c r="FE88" s="137">
        <f>FD88</f>
        <v>18927355</v>
      </c>
      <c r="FF88" s="135">
        <f>FD88-EX88</f>
        <v>0</v>
      </c>
      <c r="FG88" s="9">
        <v>18927355</v>
      </c>
      <c r="FH88" s="18" t="s">
        <v>238</v>
      </c>
      <c r="FI88" s="18" t="s">
        <v>238</v>
      </c>
      <c r="FJ88" s="324">
        <f>FG88+FH88+FI88</f>
        <v>18927355</v>
      </c>
      <c r="FK88" s="321">
        <f>FJ88</f>
        <v>18927355</v>
      </c>
      <c r="FL88" s="179">
        <f>FJ88-FD88</f>
        <v>0</v>
      </c>
      <c r="FM88" s="9">
        <v>18927355</v>
      </c>
      <c r="FN88" s="18" t="s">
        <v>238</v>
      </c>
      <c r="FO88" s="18" t="s">
        <v>238</v>
      </c>
      <c r="FP88" s="324">
        <f>FM88+FN88+FO88</f>
        <v>18927355</v>
      </c>
      <c r="FQ88" s="321">
        <f>FP88</f>
        <v>18927355</v>
      </c>
      <c r="FR88" s="179">
        <f>FP88-FJ88</f>
        <v>0</v>
      </c>
      <c r="FS88" s="9">
        <v>18927355</v>
      </c>
      <c r="FT88" s="18" t="s">
        <v>238</v>
      </c>
      <c r="FU88" s="18" t="s">
        <v>238</v>
      </c>
      <c r="FV88" s="324">
        <f>FS88+FT88+FU88</f>
        <v>18927355</v>
      </c>
      <c r="FW88" s="321">
        <f>FV88</f>
        <v>18927355</v>
      </c>
      <c r="FX88" s="179">
        <f>FV88-FP88</f>
        <v>0</v>
      </c>
      <c r="FY88" s="9">
        <v>18927355</v>
      </c>
      <c r="FZ88" s="18" t="s">
        <v>238</v>
      </c>
      <c r="GA88" s="18" t="s">
        <v>238</v>
      </c>
      <c r="GB88" s="101">
        <f>FY88+FZ88+GA88</f>
        <v>18927355</v>
      </c>
      <c r="GC88" s="137">
        <f>GB88</f>
        <v>18927355</v>
      </c>
      <c r="GD88" s="135">
        <f>GB88-FV88</f>
        <v>0</v>
      </c>
      <c r="GE88" s="9">
        <v>18927355</v>
      </c>
      <c r="GF88" s="18" t="s">
        <v>238</v>
      </c>
      <c r="GG88" s="18" t="s">
        <v>238</v>
      </c>
      <c r="GH88" s="101">
        <f>GE88+GF88+GG88</f>
        <v>18927355</v>
      </c>
      <c r="GI88" s="137">
        <f>GH88</f>
        <v>18927355</v>
      </c>
      <c r="GJ88" s="135">
        <f>GH88-GB88</f>
        <v>0</v>
      </c>
      <c r="GK88" s="9">
        <v>18927355</v>
      </c>
      <c r="GL88" s="18" t="s">
        <v>238</v>
      </c>
      <c r="GM88" s="18" t="s">
        <v>238</v>
      </c>
      <c r="GN88" s="101">
        <f>GK88+GL88+GM88</f>
        <v>18927355</v>
      </c>
      <c r="GO88" s="137">
        <f>GN88</f>
        <v>18927355</v>
      </c>
      <c r="GP88" s="135">
        <f>GN88-GH88</f>
        <v>0</v>
      </c>
      <c r="GQ88" s="9">
        <v>18927355</v>
      </c>
      <c r="GR88" s="18" t="s">
        <v>238</v>
      </c>
      <c r="GS88" s="18" t="s">
        <v>238</v>
      </c>
      <c r="GT88" s="101">
        <f>GQ88+GR88+GS88</f>
        <v>18927355</v>
      </c>
      <c r="GU88" s="137">
        <f>GT88</f>
        <v>18927355</v>
      </c>
      <c r="GV88" s="135">
        <f>GT88-GN88</f>
        <v>0</v>
      </c>
      <c r="GW88" s="9">
        <v>19873722</v>
      </c>
      <c r="GX88" s="18" t="s">
        <v>238</v>
      </c>
      <c r="GY88" s="18" t="s">
        <v>238</v>
      </c>
      <c r="GZ88" s="101">
        <f>GW88+GX88+GY88</f>
        <v>19873722</v>
      </c>
      <c r="HA88" s="137">
        <f>GZ88</f>
        <v>19873722</v>
      </c>
      <c r="HB88" s="135">
        <f>GZ88-GT88</f>
        <v>946367</v>
      </c>
      <c r="HC88" s="102">
        <f>100/1406236643.9*GT88</f>
        <v>1.345958027911123</v>
      </c>
      <c r="HD88" s="285">
        <f>HB88-HO88</f>
        <v>0</v>
      </c>
      <c r="HE88" s="12">
        <f>GT88*0.05</f>
        <v>946367.75</v>
      </c>
      <c r="HF88" s="12">
        <f>IF(ISNUMBER(HE88), HE88-INT(HE88), "")</f>
        <v>0.75</v>
      </c>
      <c r="HG88" s="12">
        <f>HE88-HF88</f>
        <v>946367</v>
      </c>
      <c r="HH88" s="14">
        <f>HG88:HG88</f>
        <v>946367</v>
      </c>
      <c r="HI88" s="13">
        <f>HG88+GT88</f>
        <v>19873722</v>
      </c>
      <c r="HJ88" s="102">
        <f>100/1406236643.9*HI88</f>
        <v>1.4132558759728391</v>
      </c>
      <c r="HK88" s="16">
        <f>GT88</f>
        <v>18927355</v>
      </c>
      <c r="HL88" s="103">
        <f>HK88*1.05</f>
        <v>19873722.75</v>
      </c>
      <c r="HM88" s="103">
        <f>HL88-HK88</f>
        <v>946367.75</v>
      </c>
      <c r="HN88" s="17">
        <f>HF88</f>
        <v>0.75</v>
      </c>
      <c r="HO88" s="56">
        <f>HM88-HN88</f>
        <v>946367</v>
      </c>
      <c r="HP88" s="16">
        <f>HO88-HG88</f>
        <v>0</v>
      </c>
      <c r="HQ88" s="16">
        <f>HO88+HK88</f>
        <v>19873722</v>
      </c>
      <c r="HR88" s="16">
        <f>HQ88-HI88</f>
        <v>0</v>
      </c>
    </row>
    <row r="89" spans="1:226" x14ac:dyDescent="0.3">
      <c r="A89" s="153">
        <v>2</v>
      </c>
      <c r="B89" s="240"/>
      <c r="C89" s="326" t="s">
        <v>293</v>
      </c>
      <c r="D89" s="154" t="s">
        <v>39</v>
      </c>
      <c r="E89" s="149">
        <v>0</v>
      </c>
      <c r="F89" s="4">
        <v>138600</v>
      </c>
      <c r="G89" s="4">
        <v>0</v>
      </c>
      <c r="H89" s="325"/>
      <c r="I89" s="325">
        <v>138600</v>
      </c>
      <c r="J89" s="325">
        <v>138600</v>
      </c>
      <c r="K89" s="325"/>
      <c r="L89" s="325">
        <v>138600</v>
      </c>
      <c r="M89" s="6">
        <v>138600</v>
      </c>
      <c r="N89" s="6">
        <v>138600</v>
      </c>
      <c r="O89" s="7">
        <v>138600</v>
      </c>
      <c r="P89" s="7">
        <v>138600</v>
      </c>
      <c r="Q89" s="7">
        <v>138600</v>
      </c>
      <c r="R89" s="7">
        <v>138600</v>
      </c>
      <c r="S89" s="7">
        <v>138600</v>
      </c>
      <c r="T89" s="7">
        <v>138600</v>
      </c>
      <c r="U89" s="7">
        <f>T89*5%</f>
        <v>6930</v>
      </c>
      <c r="V89" s="7">
        <f>T89+U89</f>
        <v>145530</v>
      </c>
      <c r="W89" s="7">
        <v>145530</v>
      </c>
      <c r="X89" s="7">
        <v>145530</v>
      </c>
      <c r="Y89" s="7">
        <v>145530</v>
      </c>
      <c r="Z89" s="7">
        <v>145530</v>
      </c>
      <c r="AA89" s="7">
        <v>145530</v>
      </c>
      <c r="AB89" s="7">
        <v>145530</v>
      </c>
      <c r="AC89" s="4">
        <v>0</v>
      </c>
      <c r="AD89" s="4">
        <v>0</v>
      </c>
      <c r="AE89" s="7">
        <f>AD89+AC89+AB89</f>
        <v>145530</v>
      </c>
      <c r="AF89" s="7">
        <v>145530</v>
      </c>
      <c r="AG89" s="4">
        <v>0</v>
      </c>
      <c r="AH89" s="4">
        <v>0</v>
      </c>
      <c r="AI89" s="7">
        <f>AH89+AG89+AF89</f>
        <v>145530</v>
      </c>
      <c r="AJ89" s="7">
        <v>145530</v>
      </c>
      <c r="AK89" s="4">
        <v>0</v>
      </c>
      <c r="AL89" s="4">
        <v>0</v>
      </c>
      <c r="AM89" s="7">
        <f>AL89+AK89+AJ89</f>
        <v>145530</v>
      </c>
      <c r="AN89" s="7">
        <v>145530</v>
      </c>
      <c r="AO89" s="4">
        <v>0</v>
      </c>
      <c r="AP89" s="4">
        <v>0</v>
      </c>
      <c r="AQ89" s="7">
        <f>AP89+AO89+AN89</f>
        <v>145530</v>
      </c>
      <c r="AR89" s="7">
        <v>145530</v>
      </c>
      <c r="AS89" s="4">
        <v>0</v>
      </c>
      <c r="AT89" s="4">
        <v>0</v>
      </c>
      <c r="AU89" s="7">
        <f>AT89+AS89+AR89</f>
        <v>145530</v>
      </c>
      <c r="AV89" s="7">
        <v>145530</v>
      </c>
      <c r="AW89" s="4">
        <v>0</v>
      </c>
      <c r="AX89" s="4">
        <v>0</v>
      </c>
      <c r="AY89" s="7">
        <f>AX89+AW89+AV89</f>
        <v>145530</v>
      </c>
      <c r="AZ89" s="8">
        <f>AY89*5%</f>
        <v>7276.5</v>
      </c>
      <c r="BA89" s="8">
        <v>0.5</v>
      </c>
      <c r="BB89" s="8">
        <f>AZ89-BA89</f>
        <v>7276</v>
      </c>
      <c r="BC89" s="8">
        <f>BB89+AY89</f>
        <v>152806</v>
      </c>
      <c r="BD89" s="8"/>
      <c r="BE89" s="8">
        <f>BD89+BC89</f>
        <v>152806</v>
      </c>
      <c r="BF89" s="10">
        <f>BE89-AY89</f>
        <v>7276</v>
      </c>
      <c r="BG89" s="11">
        <f>BF89-BB89</f>
        <v>0</v>
      </c>
      <c r="BH89" s="11">
        <v>152806</v>
      </c>
      <c r="BI89" s="11">
        <v>0</v>
      </c>
      <c r="BJ89" s="11">
        <v>0</v>
      </c>
      <c r="BK89" s="319">
        <f>BJ89+BI89+BH89</f>
        <v>152806</v>
      </c>
      <c r="BL89" s="319">
        <v>152806</v>
      </c>
      <c r="BM89" s="319">
        <v>0</v>
      </c>
      <c r="BN89" s="319">
        <v>0</v>
      </c>
      <c r="BO89" s="319">
        <f>BN89+BM89+BL89</f>
        <v>152806</v>
      </c>
      <c r="BP89" s="319">
        <f>BO89-BK89</f>
        <v>0</v>
      </c>
      <c r="BQ89" s="319">
        <v>152806</v>
      </c>
      <c r="BR89" s="319">
        <v>0</v>
      </c>
      <c r="BS89" s="319">
        <v>0</v>
      </c>
      <c r="BT89" s="319">
        <f>BS89+BR89+BQ89</f>
        <v>152806</v>
      </c>
      <c r="BU89" s="319">
        <f>BT89-BO89</f>
        <v>0</v>
      </c>
      <c r="BV89" s="319">
        <v>152806</v>
      </c>
      <c r="BW89" s="319">
        <v>0</v>
      </c>
      <c r="BX89" s="319">
        <v>0</v>
      </c>
      <c r="BY89" s="319">
        <f>BX89+BW89+BV89</f>
        <v>152806</v>
      </c>
      <c r="BZ89" s="319">
        <f>BY89-BT89</f>
        <v>0</v>
      </c>
      <c r="CA89" s="319">
        <v>152806</v>
      </c>
      <c r="CB89" s="319">
        <v>0</v>
      </c>
      <c r="CC89" s="319">
        <v>0</v>
      </c>
      <c r="CD89" s="319">
        <f>CC89+CB89+CA89</f>
        <v>152806</v>
      </c>
      <c r="CE89" s="319">
        <f>CD89-BY89</f>
        <v>0</v>
      </c>
      <c r="CF89" s="319">
        <v>152806</v>
      </c>
      <c r="CG89" s="319">
        <v>0</v>
      </c>
      <c r="CH89" s="319">
        <v>0</v>
      </c>
      <c r="CI89" s="319">
        <f>CH89+CG89+CF89</f>
        <v>152806</v>
      </c>
      <c r="CJ89" s="319">
        <f>CI89-CD89</f>
        <v>0</v>
      </c>
      <c r="CK89" s="319">
        <v>152806</v>
      </c>
      <c r="CL89" s="319">
        <v>0</v>
      </c>
      <c r="CM89" s="319">
        <v>0</v>
      </c>
      <c r="CN89" s="319">
        <f>CM89+CL89+CK89</f>
        <v>152806</v>
      </c>
      <c r="CO89" s="319">
        <f>CN89-CI89</f>
        <v>0</v>
      </c>
      <c r="CP89" s="319">
        <v>152806</v>
      </c>
      <c r="CQ89" s="319">
        <v>0</v>
      </c>
      <c r="CR89" s="319">
        <v>0</v>
      </c>
      <c r="CS89" s="319">
        <f>CR89+CQ89+CP89</f>
        <v>152806</v>
      </c>
      <c r="CT89" s="319">
        <f>CS89-CN89</f>
        <v>0</v>
      </c>
      <c r="CU89" s="319">
        <v>152806</v>
      </c>
      <c r="CV89" s="319">
        <v>0</v>
      </c>
      <c r="CW89" s="319">
        <v>0</v>
      </c>
      <c r="CX89" s="319">
        <f>CW89+CV89+CU89</f>
        <v>152806</v>
      </c>
      <c r="CY89" s="319">
        <f>CX89-CS89</f>
        <v>0</v>
      </c>
      <c r="CZ89" s="319"/>
      <c r="DA89" s="319"/>
      <c r="DB89" s="319"/>
      <c r="DC89" s="12">
        <f>CX89*10%</f>
        <v>15280.6</v>
      </c>
      <c r="DD89" s="12">
        <v>0.6</v>
      </c>
      <c r="DE89" s="13">
        <f>DC89-DD89</f>
        <v>15280</v>
      </c>
      <c r="DF89" s="14">
        <f>DE89:DE89</f>
        <v>15280</v>
      </c>
      <c r="DG89" s="13">
        <f>DE89+CX89</f>
        <v>168086</v>
      </c>
      <c r="DH89" s="15">
        <f>100/1278396949*CX89</f>
        <v>1.1952938413966755E-2</v>
      </c>
      <c r="DI89" s="16">
        <f>CX89</f>
        <v>152806</v>
      </c>
      <c r="DJ89" s="132">
        <f>DI89*1.1</f>
        <v>168086.6</v>
      </c>
      <c r="DK89" s="17">
        <f>DJ89-DI89</f>
        <v>15280.600000000006</v>
      </c>
      <c r="DL89" s="17">
        <f>DD89</f>
        <v>0.6</v>
      </c>
      <c r="DM89" s="16">
        <f>DK89-DL89</f>
        <v>15280.000000000005</v>
      </c>
      <c r="DN89" s="16">
        <f>DM89-DE89</f>
        <v>0</v>
      </c>
      <c r="DO89" s="16">
        <f>DM89+DI89</f>
        <v>168086</v>
      </c>
      <c r="DP89" s="16">
        <f>DO89-DG89</f>
        <v>0</v>
      </c>
      <c r="DQ89" s="9">
        <v>168086</v>
      </c>
      <c r="DR89" s="18" t="s">
        <v>238</v>
      </c>
      <c r="DS89" s="18" t="s">
        <v>238</v>
      </c>
      <c r="DT89" s="324">
        <f>DQ89+DR89+DS89</f>
        <v>168086</v>
      </c>
      <c r="DU89" s="321">
        <f>DT89</f>
        <v>168086</v>
      </c>
      <c r="DV89" s="19">
        <f>DT89-DG89</f>
        <v>0</v>
      </c>
      <c r="DW89" s="9">
        <v>168086</v>
      </c>
      <c r="DX89" s="18"/>
      <c r="DY89" s="18"/>
      <c r="DZ89" s="324">
        <f>DW89+DX89+DY89</f>
        <v>168086</v>
      </c>
      <c r="EA89" s="321">
        <f>DZ89</f>
        <v>168086</v>
      </c>
      <c r="EB89" s="179">
        <f>DZ89-DT89</f>
        <v>0</v>
      </c>
      <c r="EC89" s="9">
        <v>168086</v>
      </c>
      <c r="ED89" s="18" t="s">
        <v>238</v>
      </c>
      <c r="EE89" s="18" t="s">
        <v>238</v>
      </c>
      <c r="EF89" s="324">
        <f>EC89+ED89+EE89</f>
        <v>168086</v>
      </c>
      <c r="EG89" s="321">
        <f>EF89</f>
        <v>168086</v>
      </c>
      <c r="EH89" s="179">
        <f>EF89-DZ89</f>
        <v>0</v>
      </c>
      <c r="EI89" s="9">
        <v>168086</v>
      </c>
      <c r="EJ89" s="18" t="s">
        <v>238</v>
      </c>
      <c r="EK89" s="18" t="s">
        <v>238</v>
      </c>
      <c r="EL89" s="324">
        <f>EI89+EJ89+EK89</f>
        <v>168086</v>
      </c>
      <c r="EM89" s="321">
        <f>EL89</f>
        <v>168086</v>
      </c>
      <c r="EN89" s="179">
        <f>EL89-EF89</f>
        <v>0</v>
      </c>
      <c r="EO89" s="9">
        <v>168086</v>
      </c>
      <c r="EP89" s="18" t="s">
        <v>238</v>
      </c>
      <c r="EQ89" s="18" t="s">
        <v>238</v>
      </c>
      <c r="ER89" s="324">
        <f>EO89+EP89+EQ89</f>
        <v>168086</v>
      </c>
      <c r="ES89" s="321">
        <f>ER89</f>
        <v>168086</v>
      </c>
      <c r="ET89" s="179">
        <f>ER89-EL89</f>
        <v>0</v>
      </c>
      <c r="EU89" s="9">
        <v>168086</v>
      </c>
      <c r="EV89" s="18" t="s">
        <v>238</v>
      </c>
      <c r="EW89" s="18" t="s">
        <v>238</v>
      </c>
      <c r="EX89" s="324">
        <f>EU89+EV89+EW89</f>
        <v>168086</v>
      </c>
      <c r="EY89" s="321">
        <f>EX89</f>
        <v>168086</v>
      </c>
      <c r="EZ89" s="179">
        <f>EX89-ER89</f>
        <v>0</v>
      </c>
      <c r="FA89" s="9">
        <v>168086</v>
      </c>
      <c r="FB89" s="18" t="s">
        <v>238</v>
      </c>
      <c r="FC89" s="18" t="s">
        <v>238</v>
      </c>
      <c r="FD89" s="101">
        <f>FA89+FB89+FC89</f>
        <v>168086</v>
      </c>
      <c r="FE89" s="218">
        <f>FD89</f>
        <v>168086</v>
      </c>
      <c r="FF89" s="135">
        <f>FD89-EX89</f>
        <v>0</v>
      </c>
      <c r="FG89" s="9">
        <v>168086</v>
      </c>
      <c r="FH89" s="18" t="s">
        <v>238</v>
      </c>
      <c r="FI89" s="18" t="s">
        <v>238</v>
      </c>
      <c r="FJ89" s="324">
        <f>FG89+FH89+FI89</f>
        <v>168086</v>
      </c>
      <c r="FK89" s="321">
        <f>FJ89</f>
        <v>168086</v>
      </c>
      <c r="FL89" s="179">
        <f>FJ89-FD89</f>
        <v>0</v>
      </c>
      <c r="FM89" s="9">
        <v>168086</v>
      </c>
      <c r="FN89" s="18" t="s">
        <v>238</v>
      </c>
      <c r="FO89" s="18" t="s">
        <v>238</v>
      </c>
      <c r="FP89" s="324">
        <f>FM89+FN89+FO89</f>
        <v>168086</v>
      </c>
      <c r="FQ89" s="321">
        <f>FP89</f>
        <v>168086</v>
      </c>
      <c r="FR89" s="179">
        <f>FP89-FJ89</f>
        <v>0</v>
      </c>
      <c r="FS89" s="9">
        <v>168086</v>
      </c>
      <c r="FT89" s="18" t="s">
        <v>238</v>
      </c>
      <c r="FU89" s="18" t="s">
        <v>238</v>
      </c>
      <c r="FV89" s="324">
        <f>FS89+FT89+FU89</f>
        <v>168086</v>
      </c>
      <c r="FW89" s="321">
        <f>FV89</f>
        <v>168086</v>
      </c>
      <c r="FX89" s="179">
        <f>FV89-FP89</f>
        <v>0</v>
      </c>
      <c r="FY89" s="9">
        <v>168086</v>
      </c>
      <c r="FZ89" s="18" t="s">
        <v>238</v>
      </c>
      <c r="GA89" s="18" t="s">
        <v>238</v>
      </c>
      <c r="GB89" s="101">
        <f>FY89+FZ89+GA89</f>
        <v>168086</v>
      </c>
      <c r="GC89" s="218">
        <f>GB89</f>
        <v>168086</v>
      </c>
      <c r="GD89" s="135">
        <f>GB89-FV89</f>
        <v>0</v>
      </c>
      <c r="GE89" s="9">
        <v>168086</v>
      </c>
      <c r="GF89" s="18" t="s">
        <v>238</v>
      </c>
      <c r="GG89" s="18" t="s">
        <v>238</v>
      </c>
      <c r="GH89" s="101">
        <f>GE89+GF89+GG89</f>
        <v>168086</v>
      </c>
      <c r="GI89" s="218">
        <f>GH89</f>
        <v>168086</v>
      </c>
      <c r="GJ89" s="135">
        <f>GH89-GB89</f>
        <v>0</v>
      </c>
      <c r="GK89" s="9">
        <v>168086</v>
      </c>
      <c r="GL89" s="18" t="s">
        <v>238</v>
      </c>
      <c r="GM89" s="18" t="s">
        <v>238</v>
      </c>
      <c r="GN89" s="101">
        <f>GK89+GL89+GM89</f>
        <v>168086</v>
      </c>
      <c r="GO89" s="218">
        <f>GN89</f>
        <v>168086</v>
      </c>
      <c r="GP89" s="135">
        <f>GN89-GH89</f>
        <v>0</v>
      </c>
      <c r="GQ89" s="9">
        <v>168086</v>
      </c>
      <c r="GR89" s="18" t="s">
        <v>238</v>
      </c>
      <c r="GS89" s="18" t="s">
        <v>238</v>
      </c>
      <c r="GT89" s="101">
        <f>GQ89+GR89+GS89</f>
        <v>168086</v>
      </c>
      <c r="GU89" s="218">
        <f>GT89</f>
        <v>168086</v>
      </c>
      <c r="GV89" s="135">
        <f>GT89-GN89</f>
        <v>0</v>
      </c>
      <c r="GW89" s="9">
        <v>176490</v>
      </c>
      <c r="GX89" s="18" t="s">
        <v>238</v>
      </c>
      <c r="GY89" s="18" t="s">
        <v>238</v>
      </c>
      <c r="GZ89" s="101">
        <f>GW89+GX89+GY89</f>
        <v>176490</v>
      </c>
      <c r="HA89" s="218">
        <f>GZ89</f>
        <v>176490</v>
      </c>
      <c r="HB89" s="135">
        <f>GZ89-GT89</f>
        <v>8404</v>
      </c>
      <c r="HC89" s="102">
        <f>100/1406236643.9*GT89</f>
        <v>1.1952895746894851E-2</v>
      </c>
      <c r="HD89" s="285">
        <f>HB89-HO89</f>
        <v>-1.6370904631912708E-11</v>
      </c>
      <c r="HE89" s="12">
        <f>GT89*0.05</f>
        <v>8404.3000000000011</v>
      </c>
      <c r="HF89" s="12">
        <f>IF(ISNUMBER(HE89), HE89-INT(HE89), "")</f>
        <v>0.30000000000109139</v>
      </c>
      <c r="HG89" s="12">
        <f>HE89-HF89</f>
        <v>8404</v>
      </c>
      <c r="HH89" s="14">
        <f>HG89:HG89</f>
        <v>8404</v>
      </c>
      <c r="HI89" s="13">
        <f>HG89+GT89</f>
        <v>176490</v>
      </c>
      <c r="HJ89" s="102">
        <f>100/1406236643.9*HI89</f>
        <v>1.2550519200703641E-2</v>
      </c>
      <c r="HK89" s="16">
        <f>GT89</f>
        <v>168086</v>
      </c>
      <c r="HL89" s="103">
        <f>HK89*1.05</f>
        <v>176490.30000000002</v>
      </c>
      <c r="HM89" s="103">
        <f>HL89-HK89</f>
        <v>8404.3000000000175</v>
      </c>
      <c r="HN89" s="17">
        <f>HF89</f>
        <v>0.30000000000109139</v>
      </c>
      <c r="HO89" s="56">
        <f>HM89-HN89</f>
        <v>8404.0000000000164</v>
      </c>
      <c r="HP89" s="16">
        <f>HO89-HG89</f>
        <v>1.6370904631912708E-11</v>
      </c>
      <c r="HQ89" s="16">
        <f>HO89+HK89</f>
        <v>176490.00000000003</v>
      </c>
      <c r="HR89" s="16">
        <f>HQ89-HI89</f>
        <v>0</v>
      </c>
    </row>
    <row r="90" spans="1:226" ht="10.8" thickBot="1" x14ac:dyDescent="0.35">
      <c r="A90" s="155">
        <v>4</v>
      </c>
      <c r="B90" s="456"/>
      <c r="C90" s="156" t="s">
        <v>40</v>
      </c>
      <c r="D90" s="157" t="s">
        <v>41</v>
      </c>
      <c r="E90" s="149"/>
      <c r="F90" s="4">
        <v>7449987</v>
      </c>
      <c r="G90" s="4"/>
      <c r="H90" s="325"/>
      <c r="I90" s="325">
        <v>7449987</v>
      </c>
      <c r="J90" s="325">
        <v>7449987</v>
      </c>
      <c r="K90" s="325"/>
      <c r="L90" s="325">
        <v>7449987</v>
      </c>
      <c r="M90" s="6">
        <v>7449987</v>
      </c>
      <c r="N90" s="6">
        <v>7449987</v>
      </c>
      <c r="O90" s="7">
        <v>7449987</v>
      </c>
      <c r="P90" s="7">
        <v>7449987</v>
      </c>
      <c r="Q90" s="7">
        <v>7449987</v>
      </c>
      <c r="R90" s="7">
        <v>7449987</v>
      </c>
      <c r="S90" s="7">
        <v>7449987</v>
      </c>
      <c r="T90" s="7">
        <v>7449987</v>
      </c>
      <c r="U90" s="7">
        <f>T90*5%</f>
        <v>372499.35000000003</v>
      </c>
      <c r="V90" s="7">
        <f>T90+U90</f>
        <v>7822486.3499999996</v>
      </c>
      <c r="W90" s="7">
        <v>7822486</v>
      </c>
      <c r="X90" s="7">
        <v>7822486</v>
      </c>
      <c r="Y90" s="7">
        <v>7822486</v>
      </c>
      <c r="Z90" s="7">
        <v>7822486</v>
      </c>
      <c r="AA90" s="7">
        <v>7822486</v>
      </c>
      <c r="AB90" s="7">
        <v>7822486</v>
      </c>
      <c r="AC90" s="4">
        <v>0</v>
      </c>
      <c r="AD90" s="4">
        <v>0</v>
      </c>
      <c r="AE90" s="7">
        <f>AD90+AC90+AB90</f>
        <v>7822486</v>
      </c>
      <c r="AF90" s="7">
        <v>7822486</v>
      </c>
      <c r="AG90" s="4">
        <v>0</v>
      </c>
      <c r="AH90" s="4">
        <v>0</v>
      </c>
      <c r="AI90" s="7">
        <f>AH90+AG90+AF90</f>
        <v>7822486</v>
      </c>
      <c r="AJ90" s="7">
        <v>7822486</v>
      </c>
      <c r="AK90" s="4">
        <v>0</v>
      </c>
      <c r="AL90" s="4">
        <v>0</v>
      </c>
      <c r="AM90" s="7">
        <f>AL90+AK90+AJ90</f>
        <v>7822486</v>
      </c>
      <c r="AN90" s="7">
        <v>7822486</v>
      </c>
      <c r="AO90" s="4">
        <v>0</v>
      </c>
      <c r="AP90" s="4">
        <v>0</v>
      </c>
      <c r="AQ90" s="7">
        <f>AP90+AO90+AN90</f>
        <v>7822486</v>
      </c>
      <c r="AR90" s="7">
        <v>7822486</v>
      </c>
      <c r="AS90" s="4">
        <v>0</v>
      </c>
      <c r="AT90" s="4">
        <v>0</v>
      </c>
      <c r="AU90" s="7">
        <f>AT90+AS90+AR90</f>
        <v>7822486</v>
      </c>
      <c r="AV90" s="7">
        <v>7822486</v>
      </c>
      <c r="AW90" s="4">
        <v>0</v>
      </c>
      <c r="AX90" s="4">
        <v>0</v>
      </c>
      <c r="AY90" s="7">
        <f>AX90+AW90+AV90</f>
        <v>7822486</v>
      </c>
      <c r="AZ90" s="8">
        <f>AY90*5%</f>
        <v>391124.30000000005</v>
      </c>
      <c r="BA90" s="8">
        <v>0.3</v>
      </c>
      <c r="BB90" s="8">
        <f>AZ90-BA90</f>
        <v>391124.00000000006</v>
      </c>
      <c r="BC90" s="8">
        <f>BB90+AY90</f>
        <v>8213610</v>
      </c>
      <c r="BD90" s="8"/>
      <c r="BE90" s="8">
        <f>BD90+BC90</f>
        <v>8213610</v>
      </c>
      <c r="BF90" s="10">
        <f>BE90-AY90</f>
        <v>391124</v>
      </c>
      <c r="BG90" s="11">
        <f>BF90-BB90</f>
        <v>0</v>
      </c>
      <c r="BH90" s="11">
        <v>8213610</v>
      </c>
      <c r="BI90" s="11">
        <v>0</v>
      </c>
      <c r="BJ90" s="11">
        <v>0</v>
      </c>
      <c r="BK90" s="319">
        <f>BJ90+BI90+BH90</f>
        <v>8213610</v>
      </c>
      <c r="BL90" s="319">
        <v>8213610</v>
      </c>
      <c r="BM90" s="319">
        <v>0</v>
      </c>
      <c r="BN90" s="319">
        <v>0</v>
      </c>
      <c r="BO90" s="319">
        <f>BN90+BM90+BL90</f>
        <v>8213610</v>
      </c>
      <c r="BP90" s="319">
        <f>BO90-BK90</f>
        <v>0</v>
      </c>
      <c r="BQ90" s="319">
        <v>8213610</v>
      </c>
      <c r="BR90" s="319">
        <v>0</v>
      </c>
      <c r="BS90" s="319">
        <v>0</v>
      </c>
      <c r="BT90" s="319">
        <f>BS90+BR90+BQ90</f>
        <v>8213610</v>
      </c>
      <c r="BU90" s="319">
        <f>BT90-BO90</f>
        <v>0</v>
      </c>
      <c r="BV90" s="319">
        <v>8213610</v>
      </c>
      <c r="BW90" s="319">
        <v>0</v>
      </c>
      <c r="BX90" s="319">
        <v>0</v>
      </c>
      <c r="BY90" s="319">
        <f>BX90+BW90+BV90</f>
        <v>8213610</v>
      </c>
      <c r="BZ90" s="319">
        <f>BY90-BT90</f>
        <v>0</v>
      </c>
      <c r="CA90" s="319">
        <v>8213610</v>
      </c>
      <c r="CB90" s="319">
        <v>0</v>
      </c>
      <c r="CC90" s="319">
        <v>0</v>
      </c>
      <c r="CD90" s="319">
        <f>CC90+CB90+CA90</f>
        <v>8213610</v>
      </c>
      <c r="CE90" s="319">
        <f>CD90-BY90</f>
        <v>0</v>
      </c>
      <c r="CF90" s="319">
        <v>8213610</v>
      </c>
      <c r="CG90" s="319">
        <v>0</v>
      </c>
      <c r="CH90" s="319">
        <v>0</v>
      </c>
      <c r="CI90" s="319">
        <f>CH90+CG90+CF90</f>
        <v>8213610</v>
      </c>
      <c r="CJ90" s="319">
        <f>CI90-CD90</f>
        <v>0</v>
      </c>
      <c r="CK90" s="319">
        <v>8213610</v>
      </c>
      <c r="CL90" s="319">
        <v>0</v>
      </c>
      <c r="CM90" s="319">
        <v>0</v>
      </c>
      <c r="CN90" s="319">
        <f>CM90+CL90+CK90</f>
        <v>8213610</v>
      </c>
      <c r="CO90" s="319">
        <f>CN90-CI90</f>
        <v>0</v>
      </c>
      <c r="CP90" s="319">
        <v>8213610</v>
      </c>
      <c r="CQ90" s="319">
        <v>0</v>
      </c>
      <c r="CR90" s="319">
        <v>0</v>
      </c>
      <c r="CS90" s="319">
        <f>CR90+CQ90+CP90</f>
        <v>8213610</v>
      </c>
      <c r="CT90" s="319">
        <f>CS90-CN90</f>
        <v>0</v>
      </c>
      <c r="CU90" s="319">
        <v>8213610</v>
      </c>
      <c r="CV90" s="319">
        <v>0</v>
      </c>
      <c r="CW90" s="319">
        <v>0</v>
      </c>
      <c r="CX90" s="319">
        <f>CW90+CV90+CU90</f>
        <v>8213610</v>
      </c>
      <c r="CY90" s="319">
        <f>CX90-CS90</f>
        <v>0</v>
      </c>
      <c r="CZ90" s="319"/>
      <c r="DA90" s="319"/>
      <c r="DB90" s="319"/>
      <c r="DC90" s="12">
        <f>CX90*10%</f>
        <v>821361</v>
      </c>
      <c r="DD90" s="12">
        <v>0</v>
      </c>
      <c r="DE90" s="13">
        <f>DC90-DD90</f>
        <v>821361</v>
      </c>
      <c r="DF90" s="14">
        <f>DE90:DE90</f>
        <v>821361</v>
      </c>
      <c r="DG90" s="13">
        <f>DE90+CX90</f>
        <v>9034971</v>
      </c>
      <c r="DH90" s="15">
        <f>100/1278396949*CX90</f>
        <v>0.64249292885319609</v>
      </c>
      <c r="DI90" s="16">
        <f>CX90</f>
        <v>8213610</v>
      </c>
      <c r="DJ90" s="132">
        <f>DI90*1.1</f>
        <v>9034971</v>
      </c>
      <c r="DK90" s="17">
        <f>DJ90-DI90</f>
        <v>821361</v>
      </c>
      <c r="DL90" s="17">
        <f>DD90</f>
        <v>0</v>
      </c>
      <c r="DM90" s="16">
        <f>DK90-DL90</f>
        <v>821361</v>
      </c>
      <c r="DN90" s="16">
        <f>DM90-DE90</f>
        <v>0</v>
      </c>
      <c r="DO90" s="16">
        <f>DM90+DI90</f>
        <v>9034971</v>
      </c>
      <c r="DP90" s="16">
        <f>DO90-DG90</f>
        <v>0</v>
      </c>
      <c r="DQ90" s="9">
        <v>9034971</v>
      </c>
      <c r="DR90" s="18" t="s">
        <v>238</v>
      </c>
      <c r="DS90" s="18" t="s">
        <v>238</v>
      </c>
      <c r="DT90" s="324">
        <f>DQ90+DR90+DS90</f>
        <v>9034971</v>
      </c>
      <c r="DU90" s="321">
        <f>DT90</f>
        <v>9034971</v>
      </c>
      <c r="DV90" s="19">
        <f>DT90-DG90</f>
        <v>0</v>
      </c>
      <c r="DW90" s="9">
        <v>9034971</v>
      </c>
      <c r="DX90" s="18"/>
      <c r="DY90" s="18"/>
      <c r="DZ90" s="324">
        <f>DW90+DX90+DY90</f>
        <v>9034971</v>
      </c>
      <c r="EA90" s="321">
        <f>DZ90</f>
        <v>9034971</v>
      </c>
      <c r="EB90" s="179">
        <f>DZ90-DT90</f>
        <v>0</v>
      </c>
      <c r="EC90" s="9">
        <v>9034971</v>
      </c>
      <c r="ED90" s="18" t="s">
        <v>238</v>
      </c>
      <c r="EE90" s="18" t="s">
        <v>238</v>
      </c>
      <c r="EF90" s="324">
        <f>EC90+ED90+EE90</f>
        <v>9034971</v>
      </c>
      <c r="EG90" s="321">
        <f>EF90</f>
        <v>9034971</v>
      </c>
      <c r="EH90" s="179">
        <f>EF90-DZ90</f>
        <v>0</v>
      </c>
      <c r="EI90" s="9">
        <v>9034971</v>
      </c>
      <c r="EJ90" s="18" t="s">
        <v>238</v>
      </c>
      <c r="EK90" s="18" t="s">
        <v>238</v>
      </c>
      <c r="EL90" s="324">
        <f>EI90+EJ90+EK90</f>
        <v>9034971</v>
      </c>
      <c r="EM90" s="321">
        <f>EL90</f>
        <v>9034971</v>
      </c>
      <c r="EN90" s="179">
        <f>EL90-EF90</f>
        <v>0</v>
      </c>
      <c r="EO90" s="9">
        <v>9034971</v>
      </c>
      <c r="EP90" s="18" t="s">
        <v>238</v>
      </c>
      <c r="EQ90" s="18" t="s">
        <v>238</v>
      </c>
      <c r="ER90" s="324">
        <f>EO90+EP90+EQ90</f>
        <v>9034971</v>
      </c>
      <c r="ES90" s="321">
        <f>ER90</f>
        <v>9034971</v>
      </c>
      <c r="ET90" s="179">
        <f>ER90-EL90</f>
        <v>0</v>
      </c>
      <c r="EU90" s="9">
        <v>9034971</v>
      </c>
      <c r="EV90" s="18" t="s">
        <v>238</v>
      </c>
      <c r="EW90" s="18" t="s">
        <v>238</v>
      </c>
      <c r="EX90" s="324">
        <f>EU90+EV90+EW90</f>
        <v>9034971</v>
      </c>
      <c r="EY90" s="321">
        <f>EX90</f>
        <v>9034971</v>
      </c>
      <c r="EZ90" s="179">
        <f>EX90-ER90</f>
        <v>0</v>
      </c>
      <c r="FA90" s="9">
        <v>9034971</v>
      </c>
      <c r="FB90" s="18" t="s">
        <v>238</v>
      </c>
      <c r="FC90" s="18" t="s">
        <v>238</v>
      </c>
      <c r="FD90" s="101">
        <f>FA90+FB90+FC90</f>
        <v>9034971</v>
      </c>
      <c r="FE90" s="138">
        <f>FD90</f>
        <v>9034971</v>
      </c>
      <c r="FF90" s="135">
        <f>FD90-EX90</f>
        <v>0</v>
      </c>
      <c r="FG90" s="9">
        <v>9034971</v>
      </c>
      <c r="FH90" s="18" t="s">
        <v>238</v>
      </c>
      <c r="FI90" s="18" t="s">
        <v>238</v>
      </c>
      <c r="FJ90" s="324">
        <f>FG90+FH90+FI90</f>
        <v>9034971</v>
      </c>
      <c r="FK90" s="321">
        <f>FJ90</f>
        <v>9034971</v>
      </c>
      <c r="FL90" s="179">
        <f>FJ90-FD90</f>
        <v>0</v>
      </c>
      <c r="FM90" s="9">
        <v>9034971</v>
      </c>
      <c r="FN90" s="18" t="s">
        <v>238</v>
      </c>
      <c r="FO90" s="18" t="s">
        <v>238</v>
      </c>
      <c r="FP90" s="324">
        <f>FM90+FN90+FO90</f>
        <v>9034971</v>
      </c>
      <c r="FQ90" s="321">
        <f>FP90</f>
        <v>9034971</v>
      </c>
      <c r="FR90" s="179">
        <f>FP90-FJ90</f>
        <v>0</v>
      </c>
      <c r="FS90" s="9">
        <v>9034971</v>
      </c>
      <c r="FT90" s="18" t="s">
        <v>238</v>
      </c>
      <c r="FU90" s="18" t="s">
        <v>238</v>
      </c>
      <c r="FV90" s="324">
        <f>FS90+FT90+FU90</f>
        <v>9034971</v>
      </c>
      <c r="FW90" s="321">
        <f>FV90</f>
        <v>9034971</v>
      </c>
      <c r="FX90" s="179">
        <f>FV90-FP90</f>
        <v>0</v>
      </c>
      <c r="FY90" s="9">
        <v>9034971</v>
      </c>
      <c r="FZ90" s="18" t="s">
        <v>238</v>
      </c>
      <c r="GA90" s="18" t="s">
        <v>238</v>
      </c>
      <c r="GB90" s="101">
        <f>FY90+FZ90+GA90</f>
        <v>9034971</v>
      </c>
      <c r="GC90" s="138">
        <f>GB90</f>
        <v>9034971</v>
      </c>
      <c r="GD90" s="135">
        <f>GB90-FV90</f>
        <v>0</v>
      </c>
      <c r="GE90" s="9">
        <v>9034971</v>
      </c>
      <c r="GF90" s="18" t="s">
        <v>238</v>
      </c>
      <c r="GG90" s="18" t="s">
        <v>238</v>
      </c>
      <c r="GH90" s="101">
        <f>GE90+GF90+GG90</f>
        <v>9034971</v>
      </c>
      <c r="GI90" s="138">
        <f>GH90</f>
        <v>9034971</v>
      </c>
      <c r="GJ90" s="135">
        <f>GH90-GB90</f>
        <v>0</v>
      </c>
      <c r="GK90" s="9">
        <v>9034971</v>
      </c>
      <c r="GL90" s="18" t="s">
        <v>238</v>
      </c>
      <c r="GM90" s="18" t="s">
        <v>238</v>
      </c>
      <c r="GN90" s="101">
        <f>GK90+GL90+GM90</f>
        <v>9034971</v>
      </c>
      <c r="GO90" s="138">
        <f>GN90</f>
        <v>9034971</v>
      </c>
      <c r="GP90" s="135">
        <f>GN90-GH90</f>
        <v>0</v>
      </c>
      <c r="GQ90" s="9">
        <v>9034971</v>
      </c>
      <c r="GR90" s="18" t="s">
        <v>238</v>
      </c>
      <c r="GS90" s="18" t="s">
        <v>238</v>
      </c>
      <c r="GT90" s="101">
        <f>GQ90+GR90+GS90</f>
        <v>9034971</v>
      </c>
      <c r="GU90" s="138">
        <f>GT90</f>
        <v>9034971</v>
      </c>
      <c r="GV90" s="135">
        <f>GT90-GN90</f>
        <v>0</v>
      </c>
      <c r="GW90" s="9">
        <v>9486719</v>
      </c>
      <c r="GX90" s="18" t="s">
        <v>238</v>
      </c>
      <c r="GY90" s="18" t="s">
        <v>238</v>
      </c>
      <c r="GZ90" s="101">
        <f>GW90+GX90+GY90</f>
        <v>9486719</v>
      </c>
      <c r="HA90" s="138">
        <f>GZ90</f>
        <v>9486719</v>
      </c>
      <c r="HB90" s="135">
        <f>GZ90-GT90</f>
        <v>451748</v>
      </c>
      <c r="HC90" s="102">
        <f>100/1406236643.9*GT90</f>
        <v>0.64249292885319609</v>
      </c>
      <c r="HD90" s="285">
        <f>HB90-HO90</f>
        <v>-6.9849193096160889E-10</v>
      </c>
      <c r="HE90" s="12">
        <f>GT90*0.05</f>
        <v>451748.55000000005</v>
      </c>
      <c r="HF90" s="12">
        <f>IF(ISNUMBER(HE90), HE90-INT(HE90), "")</f>
        <v>0.55000000004656613</v>
      </c>
      <c r="HG90" s="12">
        <f>HE90-HF90</f>
        <v>451748</v>
      </c>
      <c r="HH90" s="14">
        <f>HG90:HG90</f>
        <v>451748</v>
      </c>
      <c r="HI90" s="13">
        <f>HG90+GT90</f>
        <v>9486719</v>
      </c>
      <c r="HJ90" s="102">
        <f>100/1406236643.9*HI90</f>
        <v>0.67461753618437337</v>
      </c>
      <c r="HK90" s="16">
        <f>GT90</f>
        <v>9034971</v>
      </c>
      <c r="HL90" s="103">
        <f>HK90*1.05</f>
        <v>9486719.5500000007</v>
      </c>
      <c r="HM90" s="103">
        <f>HL90-HK90</f>
        <v>451748.55000000075</v>
      </c>
      <c r="HN90" s="17">
        <f>HF90</f>
        <v>0.55000000004656613</v>
      </c>
      <c r="HO90" s="56">
        <f>HM90-HN90</f>
        <v>451748.0000000007</v>
      </c>
      <c r="HP90" s="16">
        <f>HO90-HG90</f>
        <v>6.9849193096160889E-10</v>
      </c>
      <c r="HQ90" s="16">
        <f>HO90+HK90</f>
        <v>9486719</v>
      </c>
      <c r="HR90" s="16">
        <f>HQ90-HI90</f>
        <v>0</v>
      </c>
    </row>
    <row r="91" spans="1:226" x14ac:dyDescent="0.3">
      <c r="A91" s="306">
        <v>3</v>
      </c>
      <c r="B91" s="50" t="s">
        <v>495</v>
      </c>
      <c r="C91" s="306" t="s">
        <v>520</v>
      </c>
      <c r="D91" s="1" t="s">
        <v>494</v>
      </c>
      <c r="E91" s="4"/>
      <c r="F91" s="4"/>
      <c r="G91" s="4"/>
      <c r="H91" s="325"/>
      <c r="I91" s="325"/>
      <c r="J91" s="325"/>
      <c r="K91" s="325"/>
      <c r="L91" s="325"/>
      <c r="M91" s="6"/>
      <c r="N91" s="6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4"/>
      <c r="AD91" s="4"/>
      <c r="AE91" s="7"/>
      <c r="AF91" s="7"/>
      <c r="AG91" s="4"/>
      <c r="AH91" s="4"/>
      <c r="AI91" s="7"/>
      <c r="AJ91" s="7"/>
      <c r="AK91" s="4"/>
      <c r="AL91" s="4"/>
      <c r="AM91" s="7"/>
      <c r="AN91" s="7"/>
      <c r="AO91" s="4"/>
      <c r="AP91" s="4"/>
      <c r="AQ91" s="7"/>
      <c r="AR91" s="47">
        <v>1000</v>
      </c>
      <c r="AS91" s="4">
        <v>0</v>
      </c>
      <c r="AT91" s="4">
        <v>0</v>
      </c>
      <c r="AU91" s="7">
        <f>AT91+AS91+AR91</f>
        <v>1000</v>
      </c>
      <c r="AV91" s="47">
        <v>1000</v>
      </c>
      <c r="AW91" s="4">
        <v>0</v>
      </c>
      <c r="AX91" s="4">
        <v>0</v>
      </c>
      <c r="AY91" s="7">
        <f>AX91+AW91+AV91</f>
        <v>1000</v>
      </c>
      <c r="AZ91" s="8">
        <f>AY91*5%</f>
        <v>50</v>
      </c>
      <c r="BA91" s="8">
        <v>0</v>
      </c>
      <c r="BB91" s="8">
        <f>AZ91-BA91</f>
        <v>50</v>
      </c>
      <c r="BC91" s="8">
        <f>BB91+AY91</f>
        <v>1050</v>
      </c>
      <c r="BD91" s="8"/>
      <c r="BE91" s="8">
        <f>BD91+BC91</f>
        <v>1050</v>
      </c>
      <c r="BF91" s="10">
        <f>BE91-AY91</f>
        <v>50</v>
      </c>
      <c r="BG91" s="11">
        <f>BF91-BB91</f>
        <v>0</v>
      </c>
      <c r="BH91" s="11">
        <v>950</v>
      </c>
      <c r="BI91" s="11">
        <v>0</v>
      </c>
      <c r="BJ91" s="11">
        <v>0</v>
      </c>
      <c r="BK91" s="319">
        <f>BJ91+BI91+BH91</f>
        <v>950</v>
      </c>
      <c r="BL91" s="319">
        <v>950</v>
      </c>
      <c r="BM91" s="319">
        <v>0</v>
      </c>
      <c r="BN91" s="319">
        <v>0</v>
      </c>
      <c r="BO91" s="319">
        <f>BN91+BM91+BL91</f>
        <v>950</v>
      </c>
      <c r="BP91" s="319">
        <f>BO91-BK91</f>
        <v>0</v>
      </c>
      <c r="BQ91" s="319">
        <v>950</v>
      </c>
      <c r="BR91" s="319">
        <v>0</v>
      </c>
      <c r="BS91" s="319">
        <v>0</v>
      </c>
      <c r="BT91" s="319">
        <f>BS91+BR91+BQ91</f>
        <v>950</v>
      </c>
      <c r="BU91" s="319">
        <f>BT91-BO91</f>
        <v>0</v>
      </c>
      <c r="BV91" s="319">
        <v>950</v>
      </c>
      <c r="BW91" s="319">
        <v>0</v>
      </c>
      <c r="BX91" s="319">
        <v>0</v>
      </c>
      <c r="BY91" s="319">
        <f>BX91+BW91+BV91</f>
        <v>950</v>
      </c>
      <c r="BZ91" s="319">
        <f>BY91-BT91</f>
        <v>0</v>
      </c>
      <c r="CA91" s="319">
        <v>950</v>
      </c>
      <c r="CB91" s="319">
        <v>0</v>
      </c>
      <c r="CC91" s="319">
        <v>0</v>
      </c>
      <c r="CD91" s="319">
        <f>CC91+CB91+CA91</f>
        <v>950</v>
      </c>
      <c r="CE91" s="319">
        <f>CD91-BY91</f>
        <v>0</v>
      </c>
      <c r="CF91" s="319">
        <v>950</v>
      </c>
      <c r="CG91" s="319">
        <v>0</v>
      </c>
      <c r="CH91" s="319">
        <v>0</v>
      </c>
      <c r="CI91" s="319">
        <f>CH91+CG91+CF91</f>
        <v>950</v>
      </c>
      <c r="CJ91" s="319">
        <f>CI91-CD91</f>
        <v>0</v>
      </c>
      <c r="CK91" s="319">
        <v>950</v>
      </c>
      <c r="CL91" s="319">
        <v>0</v>
      </c>
      <c r="CM91" s="319">
        <v>0</v>
      </c>
      <c r="CN91" s="319">
        <f>CM91+CL91+CK91</f>
        <v>950</v>
      </c>
      <c r="CO91" s="319">
        <f>CN91-CI91</f>
        <v>0</v>
      </c>
      <c r="CP91" s="319">
        <v>950</v>
      </c>
      <c r="CQ91" s="319">
        <v>0</v>
      </c>
      <c r="CR91" s="319">
        <v>0</v>
      </c>
      <c r="CS91" s="319">
        <f>CR91+CQ91+CP91</f>
        <v>950</v>
      </c>
      <c r="CT91" s="319">
        <f>CS91-CN91</f>
        <v>0</v>
      </c>
      <c r="CU91" s="319">
        <v>950</v>
      </c>
      <c r="CV91" s="319">
        <v>0</v>
      </c>
      <c r="CW91" s="319">
        <v>0</v>
      </c>
      <c r="CX91" s="319">
        <f>CW91+CV91+CU91</f>
        <v>950</v>
      </c>
      <c r="CY91" s="319">
        <f>CX91-CS91</f>
        <v>0</v>
      </c>
      <c r="CZ91" s="319"/>
      <c r="DA91" s="319"/>
      <c r="DB91" s="319"/>
      <c r="DC91" s="12">
        <f>CX91*10%</f>
        <v>95</v>
      </c>
      <c r="DD91" s="12">
        <v>0</v>
      </c>
      <c r="DE91" s="13">
        <f>DC91-DD91</f>
        <v>95</v>
      </c>
      <c r="DF91" s="14">
        <f>DE91:DE91</f>
        <v>95</v>
      </c>
      <c r="DG91" s="13">
        <f>DE91+CX91</f>
        <v>1045</v>
      </c>
      <c r="DH91" s="15">
        <f>100/1278396949*CX91</f>
        <v>7.4311816900307694E-5</v>
      </c>
      <c r="DI91" s="16">
        <f>CX91</f>
        <v>950</v>
      </c>
      <c r="DJ91" s="132">
        <f>DI91*1.1</f>
        <v>1045</v>
      </c>
      <c r="DK91" s="17">
        <f>DJ91-DI91</f>
        <v>95</v>
      </c>
      <c r="DL91" s="17">
        <f>DD91</f>
        <v>0</v>
      </c>
      <c r="DM91" s="16">
        <f>DK91-DL91</f>
        <v>95</v>
      </c>
      <c r="DN91" s="16">
        <f>DM91-DE91</f>
        <v>0</v>
      </c>
      <c r="DO91" s="16">
        <f>DM91+DI91</f>
        <v>1045</v>
      </c>
      <c r="DP91" s="16">
        <f>DO91-DG91</f>
        <v>0</v>
      </c>
      <c r="DQ91" s="9">
        <v>1045</v>
      </c>
      <c r="DR91" s="18" t="s">
        <v>238</v>
      </c>
      <c r="DS91" s="18" t="s">
        <v>238</v>
      </c>
      <c r="DT91" s="324">
        <f>DQ91+DR91+DS91</f>
        <v>1045</v>
      </c>
      <c r="DU91" s="321">
        <f>DT91</f>
        <v>1045</v>
      </c>
      <c r="DV91" s="19">
        <f>DT91-DG91</f>
        <v>0</v>
      </c>
      <c r="DW91" s="9">
        <v>1045</v>
      </c>
      <c r="DX91" s="18"/>
      <c r="DY91" s="18"/>
      <c r="DZ91" s="324">
        <f>DW91+DX91+DY91</f>
        <v>1045</v>
      </c>
      <c r="EA91" s="321">
        <f>DZ91</f>
        <v>1045</v>
      </c>
      <c r="EB91" s="179">
        <f>DZ91-DT91</f>
        <v>0</v>
      </c>
      <c r="EC91" s="9">
        <v>1045</v>
      </c>
      <c r="ED91" s="18" t="s">
        <v>238</v>
      </c>
      <c r="EE91" s="18" t="s">
        <v>238</v>
      </c>
      <c r="EF91" s="324">
        <f>EC91+ED91+EE91</f>
        <v>1045</v>
      </c>
      <c r="EG91" s="321">
        <f>EF91</f>
        <v>1045</v>
      </c>
      <c r="EH91" s="179">
        <f>EF91-DZ91</f>
        <v>0</v>
      </c>
      <c r="EI91" s="9">
        <v>1045</v>
      </c>
      <c r="EJ91" s="18" t="s">
        <v>238</v>
      </c>
      <c r="EK91" s="18" t="s">
        <v>238</v>
      </c>
      <c r="EL91" s="324">
        <f>EI91+EJ91+EK91</f>
        <v>1045</v>
      </c>
      <c r="EM91" s="321">
        <f>EL91</f>
        <v>1045</v>
      </c>
      <c r="EN91" s="179">
        <f>EL91-EF91</f>
        <v>0</v>
      </c>
      <c r="EO91" s="9">
        <v>1045</v>
      </c>
      <c r="EP91" s="18" t="s">
        <v>238</v>
      </c>
      <c r="EQ91" s="18" t="s">
        <v>238</v>
      </c>
      <c r="ER91" s="324">
        <f>EO91+EP91+EQ91</f>
        <v>1045</v>
      </c>
      <c r="ES91" s="321">
        <f>ER91</f>
        <v>1045</v>
      </c>
      <c r="ET91" s="179">
        <f>ER91-EL91</f>
        <v>0</v>
      </c>
      <c r="EU91" s="9">
        <v>1045</v>
      </c>
      <c r="EV91" s="18" t="s">
        <v>238</v>
      </c>
      <c r="EW91" s="18" t="s">
        <v>238</v>
      </c>
      <c r="EX91" s="324">
        <f>EU91+EV91+EW91</f>
        <v>1045</v>
      </c>
      <c r="EY91" s="321">
        <f>EX91</f>
        <v>1045</v>
      </c>
      <c r="EZ91" s="179">
        <f>EX91-ER91</f>
        <v>0</v>
      </c>
      <c r="FA91" s="9">
        <v>1045</v>
      </c>
      <c r="FB91" s="18" t="s">
        <v>238</v>
      </c>
      <c r="FC91" s="18" t="s">
        <v>238</v>
      </c>
      <c r="FD91" s="324">
        <f>FA91+FB91+FC91</f>
        <v>1045</v>
      </c>
      <c r="FE91" s="317">
        <f>FD91</f>
        <v>1045</v>
      </c>
      <c r="FF91" s="179">
        <f>FD91-EX91</f>
        <v>0</v>
      </c>
      <c r="FG91" s="9">
        <v>1045</v>
      </c>
      <c r="FH91" s="18" t="s">
        <v>238</v>
      </c>
      <c r="FI91" s="18" t="s">
        <v>238</v>
      </c>
      <c r="FJ91" s="324">
        <f>FG91+FH91+FI91</f>
        <v>1045</v>
      </c>
      <c r="FK91" s="321">
        <f>FJ91</f>
        <v>1045</v>
      </c>
      <c r="FL91" s="179">
        <f>FJ91-FD91</f>
        <v>0</v>
      </c>
      <c r="FM91" s="9">
        <v>1045</v>
      </c>
      <c r="FN91" s="18" t="s">
        <v>238</v>
      </c>
      <c r="FO91" s="18" t="s">
        <v>238</v>
      </c>
      <c r="FP91" s="324">
        <f>FM91+FN91+FO91</f>
        <v>1045</v>
      </c>
      <c r="FQ91" s="321">
        <f>FP91</f>
        <v>1045</v>
      </c>
      <c r="FR91" s="179">
        <f>FP91-FJ91</f>
        <v>0</v>
      </c>
      <c r="FS91" s="9">
        <v>1045</v>
      </c>
      <c r="FT91" s="18" t="s">
        <v>238</v>
      </c>
      <c r="FU91" s="18" t="s">
        <v>238</v>
      </c>
      <c r="FV91" s="324">
        <f>FS91+FT91+FU91</f>
        <v>1045</v>
      </c>
      <c r="FW91" s="321">
        <f>FV91</f>
        <v>1045</v>
      </c>
      <c r="FX91" s="179">
        <f>FV91-FP91</f>
        <v>0</v>
      </c>
      <c r="FY91" s="9">
        <v>1045</v>
      </c>
      <c r="FZ91" s="18" t="s">
        <v>238</v>
      </c>
      <c r="GA91" s="18" t="s">
        <v>238</v>
      </c>
      <c r="GB91" s="324">
        <f>FY91+FZ91+GA91</f>
        <v>1045</v>
      </c>
      <c r="GC91" s="317">
        <f>GB91</f>
        <v>1045</v>
      </c>
      <c r="GD91" s="179">
        <f>GB91-FV91</f>
        <v>0</v>
      </c>
      <c r="GE91" s="9">
        <v>1045</v>
      </c>
      <c r="GF91" s="18" t="s">
        <v>238</v>
      </c>
      <c r="GG91" s="18" t="s">
        <v>238</v>
      </c>
      <c r="GH91" s="324">
        <f>GE91+GF91+GG91</f>
        <v>1045</v>
      </c>
      <c r="GI91" s="317">
        <f>GH91</f>
        <v>1045</v>
      </c>
      <c r="GJ91" s="179">
        <f>GH91-GB91</f>
        <v>0</v>
      </c>
      <c r="GK91" s="9">
        <v>1045</v>
      </c>
      <c r="GL91" s="18" t="s">
        <v>238</v>
      </c>
      <c r="GM91" s="18" t="s">
        <v>238</v>
      </c>
      <c r="GN91" s="324">
        <f>GK91+GL91+GM91</f>
        <v>1045</v>
      </c>
      <c r="GO91" s="317">
        <f>GN91</f>
        <v>1045</v>
      </c>
      <c r="GP91" s="179">
        <f>GN91-GH91</f>
        <v>0</v>
      </c>
      <c r="GQ91" s="9">
        <v>1045</v>
      </c>
      <c r="GR91" s="18" t="s">
        <v>238</v>
      </c>
      <c r="GS91" s="18" t="s">
        <v>238</v>
      </c>
      <c r="GT91" s="324">
        <f>GQ91+GR91+GS91</f>
        <v>1045</v>
      </c>
      <c r="GU91" s="317">
        <f>GT91</f>
        <v>1045</v>
      </c>
      <c r="GV91" s="179">
        <f>GT91-GN91</f>
        <v>0</v>
      </c>
      <c r="GW91" s="9">
        <v>1097</v>
      </c>
      <c r="GX91" s="18" t="s">
        <v>238</v>
      </c>
      <c r="GY91" s="18" t="s">
        <v>238</v>
      </c>
      <c r="GZ91" s="324">
        <f>GW91+GX91+GY91</f>
        <v>1097</v>
      </c>
      <c r="HA91" s="317">
        <f>GZ91</f>
        <v>1097</v>
      </c>
      <c r="HB91" s="179">
        <f>GZ91-GT91</f>
        <v>52</v>
      </c>
      <c r="HC91" s="102">
        <f>100/1406236643.9*GT91</f>
        <v>7.4311816900307694E-5</v>
      </c>
      <c r="HD91" s="285">
        <f>HB91-HO91</f>
        <v>0</v>
      </c>
      <c r="HE91" s="12">
        <f>GT91*0.05</f>
        <v>52.25</v>
      </c>
      <c r="HF91" s="12">
        <f>IF(ISNUMBER(HE91), HE91-INT(HE91), "")</f>
        <v>0.25</v>
      </c>
      <c r="HG91" s="12">
        <f>HE91-HF91</f>
        <v>52</v>
      </c>
      <c r="HH91" s="14">
        <f>HG91:HG91</f>
        <v>52</v>
      </c>
      <c r="HI91" s="13">
        <f>HG91+GT91</f>
        <v>1097</v>
      </c>
      <c r="HJ91" s="102">
        <f>100/1406236643.9*HI91</f>
        <v>7.8009629798696218E-5</v>
      </c>
      <c r="HK91" s="16">
        <f>GT91</f>
        <v>1045</v>
      </c>
      <c r="HL91" s="103">
        <f>HK91*1.05</f>
        <v>1097.25</v>
      </c>
      <c r="HM91" s="103">
        <f>HL91-HK91</f>
        <v>52.25</v>
      </c>
      <c r="HN91" s="17">
        <f>HF91</f>
        <v>0.25</v>
      </c>
      <c r="HO91" s="56">
        <f>HM91-HN91</f>
        <v>52</v>
      </c>
      <c r="HP91" s="16">
        <f>HO91-HG91</f>
        <v>0</v>
      </c>
      <c r="HQ91" s="16">
        <f>HO91+HK91</f>
        <v>1097</v>
      </c>
      <c r="HR91" s="16">
        <f>HQ91-HI91</f>
        <v>0</v>
      </c>
    </row>
    <row r="92" spans="1:226" x14ac:dyDescent="0.3">
      <c r="A92" s="140"/>
      <c r="B92" s="140"/>
      <c r="C92" s="140"/>
      <c r="D92" s="141" t="s">
        <v>216</v>
      </c>
      <c r="E92" s="121">
        <f t="shared" ref="E92:BP92" si="279">SUM(E88:E91)</f>
        <v>0</v>
      </c>
      <c r="F92" s="121">
        <f t="shared" si="279"/>
        <v>23195560</v>
      </c>
      <c r="G92" s="121">
        <f t="shared" si="279"/>
        <v>0</v>
      </c>
      <c r="H92" s="121">
        <f t="shared" si="279"/>
        <v>0</v>
      </c>
      <c r="I92" s="121">
        <f t="shared" si="279"/>
        <v>23195560</v>
      </c>
      <c r="J92" s="121">
        <f t="shared" si="279"/>
        <v>23195560</v>
      </c>
      <c r="K92" s="121">
        <f t="shared" si="279"/>
        <v>0</v>
      </c>
      <c r="L92" s="121">
        <f t="shared" si="279"/>
        <v>23195560</v>
      </c>
      <c r="M92" s="121">
        <f t="shared" si="279"/>
        <v>23195560</v>
      </c>
      <c r="N92" s="121">
        <f t="shared" si="279"/>
        <v>23195560</v>
      </c>
      <c r="O92" s="121">
        <f t="shared" si="279"/>
        <v>23195560</v>
      </c>
      <c r="P92" s="121">
        <f t="shared" si="279"/>
        <v>23195560</v>
      </c>
      <c r="Q92" s="121">
        <f t="shared" si="279"/>
        <v>23195560</v>
      </c>
      <c r="R92" s="121">
        <f t="shared" si="279"/>
        <v>23195560</v>
      </c>
      <c r="S92" s="121">
        <f t="shared" si="279"/>
        <v>23195560</v>
      </c>
      <c r="T92" s="121">
        <f t="shared" si="279"/>
        <v>23195560</v>
      </c>
      <c r="U92" s="121">
        <f t="shared" si="279"/>
        <v>1159778</v>
      </c>
      <c r="V92" s="121">
        <f t="shared" si="279"/>
        <v>24355338</v>
      </c>
      <c r="W92" s="121">
        <f t="shared" si="279"/>
        <v>24355337</v>
      </c>
      <c r="X92" s="121">
        <f t="shared" si="279"/>
        <v>24355337</v>
      </c>
      <c r="Y92" s="121">
        <f t="shared" si="279"/>
        <v>24355337</v>
      </c>
      <c r="Z92" s="121">
        <f t="shared" si="279"/>
        <v>24355337</v>
      </c>
      <c r="AA92" s="121">
        <f t="shared" si="279"/>
        <v>24355337</v>
      </c>
      <c r="AB92" s="121">
        <f t="shared" si="279"/>
        <v>24355337</v>
      </c>
      <c r="AC92" s="121">
        <f t="shared" si="279"/>
        <v>0</v>
      </c>
      <c r="AD92" s="121">
        <f t="shared" si="279"/>
        <v>0</v>
      </c>
      <c r="AE92" s="121">
        <f t="shared" si="279"/>
        <v>24355337</v>
      </c>
      <c r="AF92" s="121">
        <f t="shared" si="279"/>
        <v>24355337</v>
      </c>
      <c r="AG92" s="121">
        <f t="shared" si="279"/>
        <v>0</v>
      </c>
      <c r="AH92" s="121">
        <f t="shared" si="279"/>
        <v>0</v>
      </c>
      <c r="AI92" s="121">
        <f t="shared" si="279"/>
        <v>24355337</v>
      </c>
      <c r="AJ92" s="121">
        <f t="shared" si="279"/>
        <v>24355337</v>
      </c>
      <c r="AK92" s="121">
        <f t="shared" si="279"/>
        <v>0</v>
      </c>
      <c r="AL92" s="121">
        <f t="shared" si="279"/>
        <v>0</v>
      </c>
      <c r="AM92" s="121">
        <f t="shared" si="279"/>
        <v>24355337</v>
      </c>
      <c r="AN92" s="121">
        <f t="shared" si="279"/>
        <v>24355337</v>
      </c>
      <c r="AO92" s="121">
        <f t="shared" si="279"/>
        <v>0</v>
      </c>
      <c r="AP92" s="121">
        <f t="shared" si="279"/>
        <v>0</v>
      </c>
      <c r="AQ92" s="121">
        <f t="shared" si="279"/>
        <v>24355337</v>
      </c>
      <c r="AR92" s="121">
        <f t="shared" si="279"/>
        <v>24356337</v>
      </c>
      <c r="AS92" s="121">
        <f t="shared" si="279"/>
        <v>0</v>
      </c>
      <c r="AT92" s="121">
        <f t="shared" si="279"/>
        <v>0</v>
      </c>
      <c r="AU92" s="121">
        <f t="shared" si="279"/>
        <v>24356337</v>
      </c>
      <c r="AV92" s="121">
        <f t="shared" si="279"/>
        <v>24356337</v>
      </c>
      <c r="AW92" s="121">
        <f t="shared" si="279"/>
        <v>0</v>
      </c>
      <c r="AX92" s="121">
        <f t="shared" si="279"/>
        <v>0</v>
      </c>
      <c r="AY92" s="121">
        <f t="shared" si="279"/>
        <v>24356337</v>
      </c>
      <c r="AZ92" s="121">
        <f t="shared" si="279"/>
        <v>1217816.8500000001</v>
      </c>
      <c r="BA92" s="121">
        <f t="shared" si="279"/>
        <v>0.85000000000000009</v>
      </c>
      <c r="BB92" s="121">
        <f t="shared" si="279"/>
        <v>1217816</v>
      </c>
      <c r="BC92" s="121">
        <f t="shared" si="279"/>
        <v>25574153</v>
      </c>
      <c r="BD92" s="121">
        <f t="shared" si="279"/>
        <v>0</v>
      </c>
      <c r="BE92" s="121">
        <f t="shared" si="279"/>
        <v>25574153</v>
      </c>
      <c r="BF92" s="121">
        <f t="shared" si="279"/>
        <v>1217816</v>
      </c>
      <c r="BG92" s="121">
        <f t="shared" si="279"/>
        <v>0</v>
      </c>
      <c r="BH92" s="121">
        <f t="shared" si="279"/>
        <v>25574053</v>
      </c>
      <c r="BI92" s="121">
        <f t="shared" si="279"/>
        <v>0</v>
      </c>
      <c r="BJ92" s="121">
        <f t="shared" si="279"/>
        <v>0</v>
      </c>
      <c r="BK92" s="121">
        <f t="shared" si="279"/>
        <v>25574053</v>
      </c>
      <c r="BL92" s="121">
        <f t="shared" si="279"/>
        <v>25574053</v>
      </c>
      <c r="BM92" s="121">
        <f t="shared" si="279"/>
        <v>0</v>
      </c>
      <c r="BN92" s="121">
        <f t="shared" si="279"/>
        <v>0</v>
      </c>
      <c r="BO92" s="121">
        <f t="shared" si="279"/>
        <v>25574053</v>
      </c>
      <c r="BP92" s="121">
        <f t="shared" si="279"/>
        <v>0</v>
      </c>
      <c r="BQ92" s="121">
        <f t="shared" ref="BQ92:EB92" si="280">SUM(BQ88:BQ91)</f>
        <v>25574053</v>
      </c>
      <c r="BR92" s="121">
        <f t="shared" si="280"/>
        <v>0</v>
      </c>
      <c r="BS92" s="121">
        <f t="shared" si="280"/>
        <v>0</v>
      </c>
      <c r="BT92" s="121">
        <f t="shared" si="280"/>
        <v>25574053</v>
      </c>
      <c r="BU92" s="121">
        <f t="shared" si="280"/>
        <v>0</v>
      </c>
      <c r="BV92" s="121">
        <f t="shared" si="280"/>
        <v>25574053</v>
      </c>
      <c r="BW92" s="121">
        <f t="shared" si="280"/>
        <v>0</v>
      </c>
      <c r="BX92" s="121">
        <f t="shared" si="280"/>
        <v>0</v>
      </c>
      <c r="BY92" s="121">
        <f t="shared" si="280"/>
        <v>25574053</v>
      </c>
      <c r="BZ92" s="121">
        <f t="shared" si="280"/>
        <v>0</v>
      </c>
      <c r="CA92" s="121">
        <f t="shared" si="280"/>
        <v>25574053</v>
      </c>
      <c r="CB92" s="121">
        <f t="shared" si="280"/>
        <v>0</v>
      </c>
      <c r="CC92" s="121">
        <f t="shared" si="280"/>
        <v>0</v>
      </c>
      <c r="CD92" s="121">
        <f t="shared" si="280"/>
        <v>25574053</v>
      </c>
      <c r="CE92" s="121">
        <f t="shared" si="280"/>
        <v>0</v>
      </c>
      <c r="CF92" s="121">
        <f t="shared" si="280"/>
        <v>25574053</v>
      </c>
      <c r="CG92" s="121">
        <f t="shared" si="280"/>
        <v>0</v>
      </c>
      <c r="CH92" s="121">
        <f t="shared" si="280"/>
        <v>0</v>
      </c>
      <c r="CI92" s="121">
        <f t="shared" si="280"/>
        <v>25574053</v>
      </c>
      <c r="CJ92" s="121">
        <f t="shared" si="280"/>
        <v>0</v>
      </c>
      <c r="CK92" s="121">
        <f t="shared" si="280"/>
        <v>25574053</v>
      </c>
      <c r="CL92" s="121">
        <f t="shared" si="280"/>
        <v>0</v>
      </c>
      <c r="CM92" s="121">
        <f t="shared" si="280"/>
        <v>0</v>
      </c>
      <c r="CN92" s="121">
        <f t="shared" si="280"/>
        <v>25574053</v>
      </c>
      <c r="CO92" s="121">
        <f t="shared" si="280"/>
        <v>0</v>
      </c>
      <c r="CP92" s="121">
        <f t="shared" si="280"/>
        <v>25574053</v>
      </c>
      <c r="CQ92" s="121">
        <f t="shared" si="280"/>
        <v>0</v>
      </c>
      <c r="CR92" s="121">
        <f t="shared" si="280"/>
        <v>0</v>
      </c>
      <c r="CS92" s="121">
        <f t="shared" si="280"/>
        <v>25574053</v>
      </c>
      <c r="CT92" s="121">
        <f t="shared" si="280"/>
        <v>0</v>
      </c>
      <c r="CU92" s="121">
        <f t="shared" si="280"/>
        <v>25574053</v>
      </c>
      <c r="CV92" s="121">
        <f t="shared" si="280"/>
        <v>0</v>
      </c>
      <c r="CW92" s="121">
        <f t="shared" si="280"/>
        <v>0</v>
      </c>
      <c r="CX92" s="121">
        <f t="shared" si="280"/>
        <v>25574053</v>
      </c>
      <c r="CY92" s="121">
        <f t="shared" si="280"/>
        <v>0</v>
      </c>
      <c r="CZ92" s="121">
        <f t="shared" si="280"/>
        <v>0</v>
      </c>
      <c r="DA92" s="121">
        <f t="shared" si="280"/>
        <v>0</v>
      </c>
      <c r="DB92" s="121">
        <f t="shared" si="280"/>
        <v>0</v>
      </c>
      <c r="DC92" s="121">
        <f t="shared" si="280"/>
        <v>2557405.3000000003</v>
      </c>
      <c r="DD92" s="121">
        <f t="shared" si="280"/>
        <v>1.2999999999999998</v>
      </c>
      <c r="DE92" s="121">
        <f t="shared" si="280"/>
        <v>2557404</v>
      </c>
      <c r="DF92" s="121">
        <f t="shared" si="280"/>
        <v>2557404</v>
      </c>
      <c r="DG92" s="121">
        <f t="shared" si="280"/>
        <v>28131457</v>
      </c>
      <c r="DH92" s="121">
        <f t="shared" si="280"/>
        <v>2.0004782567734365</v>
      </c>
      <c r="DI92" s="121">
        <f t="shared" si="280"/>
        <v>25574053</v>
      </c>
      <c r="DJ92" s="121">
        <f t="shared" si="280"/>
        <v>28131458.300000004</v>
      </c>
      <c r="DK92" s="121">
        <f t="shared" si="280"/>
        <v>2557405.3000000031</v>
      </c>
      <c r="DL92" s="121">
        <f t="shared" si="280"/>
        <v>1.2999999999999998</v>
      </c>
      <c r="DM92" s="121">
        <f t="shared" si="280"/>
        <v>2557404.0000000028</v>
      </c>
      <c r="DN92" s="121">
        <f t="shared" si="280"/>
        <v>2.7939677238464355E-9</v>
      </c>
      <c r="DO92" s="121">
        <f t="shared" si="280"/>
        <v>28131457.000000004</v>
      </c>
      <c r="DP92" s="121">
        <f t="shared" si="280"/>
        <v>0</v>
      </c>
      <c r="DQ92" s="121">
        <f t="shared" si="280"/>
        <v>28131457</v>
      </c>
      <c r="DR92" s="121">
        <f t="shared" si="280"/>
        <v>0</v>
      </c>
      <c r="DS92" s="121">
        <f t="shared" si="280"/>
        <v>0</v>
      </c>
      <c r="DT92" s="121">
        <f t="shared" si="280"/>
        <v>28131457</v>
      </c>
      <c r="DU92" s="121">
        <f t="shared" si="280"/>
        <v>28131457</v>
      </c>
      <c r="DV92" s="121">
        <f t="shared" si="280"/>
        <v>0</v>
      </c>
      <c r="DW92" s="121">
        <f t="shared" si="280"/>
        <v>28131457</v>
      </c>
      <c r="DX92" s="121">
        <f t="shared" si="280"/>
        <v>0</v>
      </c>
      <c r="DY92" s="121">
        <f t="shared" si="280"/>
        <v>0</v>
      </c>
      <c r="DZ92" s="121">
        <f t="shared" si="280"/>
        <v>28131457</v>
      </c>
      <c r="EA92" s="121">
        <f t="shared" si="280"/>
        <v>28131457</v>
      </c>
      <c r="EB92" s="121">
        <f t="shared" si="280"/>
        <v>0</v>
      </c>
      <c r="EC92" s="121">
        <f t="shared" ref="EC92:FL92" si="281">SUM(EC88:EC91)</f>
        <v>28131457</v>
      </c>
      <c r="ED92" s="121">
        <f t="shared" si="281"/>
        <v>0</v>
      </c>
      <c r="EE92" s="121">
        <f t="shared" si="281"/>
        <v>0</v>
      </c>
      <c r="EF92" s="121">
        <f t="shared" si="281"/>
        <v>28131457</v>
      </c>
      <c r="EG92" s="121">
        <f t="shared" si="281"/>
        <v>28131457</v>
      </c>
      <c r="EH92" s="121">
        <f t="shared" si="281"/>
        <v>0</v>
      </c>
      <c r="EI92" s="121">
        <f t="shared" si="281"/>
        <v>28131457</v>
      </c>
      <c r="EJ92" s="121">
        <f t="shared" si="281"/>
        <v>0</v>
      </c>
      <c r="EK92" s="121">
        <f t="shared" si="281"/>
        <v>0</v>
      </c>
      <c r="EL92" s="121">
        <f t="shared" si="281"/>
        <v>28131457</v>
      </c>
      <c r="EM92" s="121">
        <f t="shared" si="281"/>
        <v>28131457</v>
      </c>
      <c r="EN92" s="121">
        <f t="shared" si="281"/>
        <v>0</v>
      </c>
      <c r="EO92" s="121">
        <f t="shared" si="281"/>
        <v>28131457</v>
      </c>
      <c r="EP92" s="121">
        <f t="shared" si="281"/>
        <v>0</v>
      </c>
      <c r="EQ92" s="121">
        <f t="shared" si="281"/>
        <v>0</v>
      </c>
      <c r="ER92" s="121">
        <f t="shared" si="281"/>
        <v>28131457</v>
      </c>
      <c r="ES92" s="121">
        <f t="shared" si="281"/>
        <v>28131457</v>
      </c>
      <c r="ET92" s="121">
        <f t="shared" si="281"/>
        <v>0</v>
      </c>
      <c r="EU92" s="121">
        <f t="shared" si="281"/>
        <v>28131457</v>
      </c>
      <c r="EV92" s="121">
        <f t="shared" si="281"/>
        <v>0</v>
      </c>
      <c r="EW92" s="121">
        <f t="shared" si="281"/>
        <v>0</v>
      </c>
      <c r="EX92" s="121">
        <f t="shared" si="281"/>
        <v>28131457</v>
      </c>
      <c r="EY92" s="121">
        <f t="shared" si="281"/>
        <v>28131457</v>
      </c>
      <c r="EZ92" s="121">
        <f t="shared" si="281"/>
        <v>0</v>
      </c>
      <c r="FA92" s="121">
        <f t="shared" si="281"/>
        <v>28131457</v>
      </c>
      <c r="FB92" s="121">
        <f t="shared" si="281"/>
        <v>0</v>
      </c>
      <c r="FC92" s="121">
        <f t="shared" si="281"/>
        <v>0</v>
      </c>
      <c r="FD92" s="121">
        <f t="shared" si="281"/>
        <v>28131457</v>
      </c>
      <c r="FE92" s="121">
        <f t="shared" si="281"/>
        <v>28131457</v>
      </c>
      <c r="FF92" s="121">
        <f t="shared" si="281"/>
        <v>0</v>
      </c>
      <c r="FG92" s="121">
        <f t="shared" si="281"/>
        <v>28131457</v>
      </c>
      <c r="FH92" s="121">
        <f t="shared" si="281"/>
        <v>0</v>
      </c>
      <c r="FI92" s="121">
        <f t="shared" si="281"/>
        <v>0</v>
      </c>
      <c r="FJ92" s="121">
        <f t="shared" si="281"/>
        <v>28131457</v>
      </c>
      <c r="FK92" s="121">
        <f t="shared" si="281"/>
        <v>28131457</v>
      </c>
      <c r="FL92" s="121">
        <f t="shared" si="281"/>
        <v>0</v>
      </c>
      <c r="FM92" s="121">
        <f t="shared" ref="FM92:FR92" si="282">SUM(FM88:FM91)</f>
        <v>28131457</v>
      </c>
      <c r="FN92" s="121">
        <f t="shared" si="282"/>
        <v>0</v>
      </c>
      <c r="FO92" s="121">
        <f t="shared" si="282"/>
        <v>0</v>
      </c>
      <c r="FP92" s="121">
        <f t="shared" si="282"/>
        <v>28131457</v>
      </c>
      <c r="FQ92" s="121">
        <f t="shared" si="282"/>
        <v>28131457</v>
      </c>
      <c r="FR92" s="121">
        <f t="shared" si="282"/>
        <v>0</v>
      </c>
      <c r="FS92" s="121">
        <f t="shared" ref="FS92:FX92" si="283">SUM(FS88:FS91)</f>
        <v>28131457</v>
      </c>
      <c r="FT92" s="121">
        <f t="shared" si="283"/>
        <v>0</v>
      </c>
      <c r="FU92" s="121">
        <f t="shared" si="283"/>
        <v>0</v>
      </c>
      <c r="FV92" s="121">
        <f t="shared" si="283"/>
        <v>28131457</v>
      </c>
      <c r="FW92" s="121">
        <f t="shared" si="283"/>
        <v>28131457</v>
      </c>
      <c r="FX92" s="121">
        <f t="shared" si="283"/>
        <v>0</v>
      </c>
      <c r="FY92" s="121">
        <f t="shared" ref="FY92:GD92" si="284">SUM(FY88:FY91)</f>
        <v>28131457</v>
      </c>
      <c r="FZ92" s="121">
        <f t="shared" si="284"/>
        <v>0</v>
      </c>
      <c r="GA92" s="121">
        <f t="shared" si="284"/>
        <v>0</v>
      </c>
      <c r="GB92" s="121">
        <f t="shared" si="284"/>
        <v>28131457</v>
      </c>
      <c r="GC92" s="121">
        <f t="shared" si="284"/>
        <v>28131457</v>
      </c>
      <c r="GD92" s="121">
        <f t="shared" si="284"/>
        <v>0</v>
      </c>
      <c r="GE92" s="121">
        <f t="shared" ref="GE92:GJ92" si="285">SUM(GE88:GE91)</f>
        <v>28131457</v>
      </c>
      <c r="GF92" s="121">
        <f t="shared" si="285"/>
        <v>0</v>
      </c>
      <c r="GG92" s="121">
        <f t="shared" si="285"/>
        <v>0</v>
      </c>
      <c r="GH92" s="121">
        <f t="shared" si="285"/>
        <v>28131457</v>
      </c>
      <c r="GI92" s="121">
        <f t="shared" si="285"/>
        <v>28131457</v>
      </c>
      <c r="GJ92" s="121">
        <f t="shared" si="285"/>
        <v>0</v>
      </c>
      <c r="GK92" s="121">
        <f t="shared" ref="GK92:GP92" si="286">SUM(GK88:GK91)</f>
        <v>28131457</v>
      </c>
      <c r="GL92" s="121">
        <f t="shared" si="286"/>
        <v>0</v>
      </c>
      <c r="GM92" s="121">
        <f t="shared" si="286"/>
        <v>0</v>
      </c>
      <c r="GN92" s="121">
        <f t="shared" si="286"/>
        <v>28131457</v>
      </c>
      <c r="GO92" s="121">
        <f t="shared" si="286"/>
        <v>28131457</v>
      </c>
      <c r="GP92" s="121">
        <f t="shared" si="286"/>
        <v>0</v>
      </c>
      <c r="GQ92" s="121">
        <f t="shared" ref="GQ92:GV92" si="287">SUM(GQ88:GQ91)</f>
        <v>28131457</v>
      </c>
      <c r="GR92" s="121">
        <f t="shared" si="287"/>
        <v>0</v>
      </c>
      <c r="GS92" s="121">
        <f t="shared" si="287"/>
        <v>0</v>
      </c>
      <c r="GT92" s="121">
        <f t="shared" si="287"/>
        <v>28131457</v>
      </c>
      <c r="GU92" s="121">
        <f t="shared" si="287"/>
        <v>28131457</v>
      </c>
      <c r="GV92" s="121">
        <f t="shared" si="287"/>
        <v>0</v>
      </c>
      <c r="GW92" s="121">
        <f t="shared" ref="GW92:HB92" si="288">SUM(GW88:GW91)</f>
        <v>29538028</v>
      </c>
      <c r="GX92" s="121">
        <f t="shared" si="288"/>
        <v>0</v>
      </c>
      <c r="GY92" s="121">
        <f t="shared" si="288"/>
        <v>0</v>
      </c>
      <c r="GZ92" s="121">
        <f t="shared" si="288"/>
        <v>29538028</v>
      </c>
      <c r="HA92" s="121">
        <f t="shared" si="288"/>
        <v>29538028</v>
      </c>
      <c r="HB92" s="121">
        <f t="shared" si="288"/>
        <v>1406571</v>
      </c>
      <c r="HC92" s="121">
        <f>SUM(HC88:HC91)</f>
        <v>2.0004781643281144</v>
      </c>
    </row>
    <row r="93" spans="1:226" x14ac:dyDescent="0.3">
      <c r="A93" s="98"/>
      <c r="B93" s="98"/>
      <c r="C93" s="98"/>
      <c r="D93" s="99"/>
      <c r="E93" s="108"/>
      <c r="F93" s="108"/>
      <c r="G93" s="108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127">
        <f>AY92*10*5%</f>
        <v>12178168.5</v>
      </c>
      <c r="AZ93" s="20"/>
      <c r="BA93" s="20"/>
      <c r="BB93" s="20"/>
      <c r="BC93" s="20"/>
      <c r="BD93" s="20"/>
      <c r="BE93" s="20"/>
      <c r="BF93" s="100"/>
      <c r="BG93" s="100"/>
      <c r="BH93" s="100"/>
      <c r="BI93" s="100"/>
      <c r="BJ93" s="100"/>
      <c r="BK93" s="100"/>
      <c r="BL93" s="100"/>
      <c r="BM93" s="100"/>
      <c r="BN93" s="100"/>
      <c r="BO93" s="100"/>
      <c r="BP93" s="100"/>
      <c r="BQ93" s="100"/>
      <c r="BR93" s="100"/>
      <c r="BS93" s="100"/>
      <c r="BT93" s="100"/>
      <c r="BU93" s="100"/>
      <c r="BV93" s="100"/>
      <c r="BW93" s="100"/>
      <c r="BX93" s="100"/>
      <c r="BY93" s="100"/>
      <c r="BZ93" s="100"/>
      <c r="CA93" s="100"/>
      <c r="CB93" s="100"/>
      <c r="CC93" s="100"/>
      <c r="CD93" s="100"/>
      <c r="CE93" s="100"/>
      <c r="CF93" s="100"/>
      <c r="CG93" s="100"/>
      <c r="CH93" s="100"/>
      <c r="CI93" s="100"/>
      <c r="CJ93" s="100"/>
      <c r="CK93" s="100"/>
      <c r="CL93" s="100"/>
      <c r="CM93" s="100"/>
      <c r="CN93" s="100"/>
      <c r="CO93" s="100"/>
      <c r="CP93" s="100"/>
      <c r="CQ93" s="100"/>
      <c r="CR93" s="100"/>
      <c r="CS93" s="100"/>
      <c r="CT93" s="100"/>
      <c r="CU93" s="100"/>
      <c r="CV93" s="100"/>
      <c r="CW93" s="100"/>
      <c r="CX93" s="100"/>
      <c r="CY93" s="100"/>
      <c r="CZ93" s="100"/>
      <c r="DA93" s="100"/>
      <c r="DB93" s="100"/>
      <c r="DC93" s="100"/>
      <c r="DD93" s="100"/>
      <c r="DE93" s="100"/>
      <c r="DF93" s="100"/>
      <c r="DG93" s="100"/>
      <c r="DH93" s="114"/>
    </row>
    <row r="94" spans="1:226" x14ac:dyDescent="0.3">
      <c r="A94" s="98"/>
      <c r="B94" s="98"/>
      <c r="C94" s="98"/>
      <c r="D94" s="99"/>
      <c r="E94" s="108"/>
      <c r="F94" s="108"/>
      <c r="G94" s="108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129">
        <f>AY92*10*5%</f>
        <v>12178168.5</v>
      </c>
      <c r="AZ94" s="20"/>
      <c r="BA94" s="20"/>
      <c r="BB94" s="20"/>
      <c r="BC94" s="20"/>
      <c r="BD94" s="20"/>
      <c r="BE94" s="20"/>
      <c r="BF94" s="100"/>
      <c r="BG94" s="100"/>
      <c r="BH94" s="100"/>
      <c r="BI94" s="100"/>
      <c r="BJ94" s="100"/>
      <c r="BK94" s="100"/>
      <c r="BL94" s="100"/>
      <c r="BM94" s="100"/>
      <c r="BN94" s="100"/>
      <c r="BO94" s="100"/>
      <c r="BP94" s="100"/>
      <c r="BQ94" s="100"/>
      <c r="BR94" s="100"/>
      <c r="BS94" s="100"/>
      <c r="BT94" s="100"/>
      <c r="BU94" s="100"/>
      <c r="BV94" s="100"/>
      <c r="BW94" s="100"/>
      <c r="BX94" s="100"/>
      <c r="BY94" s="100"/>
      <c r="BZ94" s="100"/>
      <c r="CA94" s="100"/>
      <c r="CB94" s="100"/>
      <c r="CC94" s="100"/>
      <c r="CD94" s="100"/>
      <c r="CE94" s="100"/>
      <c r="CF94" s="100"/>
      <c r="CG94" s="100"/>
      <c r="CH94" s="100"/>
      <c r="CI94" s="100"/>
      <c r="CJ94" s="100"/>
      <c r="CK94" s="100"/>
      <c r="CL94" s="100"/>
      <c r="CM94" s="100"/>
      <c r="CN94" s="100"/>
      <c r="CO94" s="100"/>
      <c r="CP94" s="100"/>
      <c r="CQ94" s="100"/>
      <c r="CR94" s="100"/>
      <c r="CS94" s="100"/>
      <c r="CT94" s="100"/>
      <c r="CU94" s="100"/>
      <c r="CV94" s="100"/>
      <c r="CW94" s="100"/>
      <c r="CX94" s="100"/>
      <c r="CY94" s="100"/>
      <c r="CZ94" s="100"/>
      <c r="DA94" s="100"/>
      <c r="DB94" s="100"/>
      <c r="DC94" s="100"/>
      <c r="DD94" s="100"/>
      <c r="DE94" s="100"/>
      <c r="DF94" s="100"/>
      <c r="DG94" s="100"/>
      <c r="DH94" s="114"/>
    </row>
    <row r="95" spans="1:226" s="74" customFormat="1" ht="52.5" customHeight="1" x14ac:dyDescent="0.3">
      <c r="A95" s="85" t="s">
        <v>0</v>
      </c>
      <c r="B95" s="85" t="s">
        <v>1</v>
      </c>
      <c r="C95" s="85" t="s">
        <v>217</v>
      </c>
      <c r="D95" s="86" t="s">
        <v>218</v>
      </c>
      <c r="E95" s="87" t="s">
        <v>233</v>
      </c>
      <c r="F95" s="87" t="s">
        <v>234</v>
      </c>
      <c r="G95" s="87" t="s">
        <v>235</v>
      </c>
      <c r="H95" s="87" t="s">
        <v>383</v>
      </c>
      <c r="I95" s="87" t="s">
        <v>382</v>
      </c>
      <c r="J95" s="87" t="s">
        <v>381</v>
      </c>
      <c r="K95" s="87" t="s">
        <v>380</v>
      </c>
      <c r="L95" s="87" t="s">
        <v>379</v>
      </c>
      <c r="M95" s="87" t="s">
        <v>378</v>
      </c>
      <c r="N95" s="87" t="s">
        <v>377</v>
      </c>
      <c r="O95" s="87" t="s">
        <v>394</v>
      </c>
      <c r="P95" s="87" t="s">
        <v>413</v>
      </c>
      <c r="Q95" s="87" t="s">
        <v>415</v>
      </c>
      <c r="R95" s="87" t="s">
        <v>417</v>
      </c>
      <c r="S95" s="87" t="s">
        <v>420</v>
      </c>
      <c r="T95" s="87" t="s">
        <v>421</v>
      </c>
      <c r="U95" s="87" t="s">
        <v>425</v>
      </c>
      <c r="V95" s="87" t="s">
        <v>426</v>
      </c>
      <c r="W95" s="87" t="s">
        <v>424</v>
      </c>
      <c r="X95" s="87" t="s">
        <v>437</v>
      </c>
      <c r="Y95" s="87" t="s">
        <v>439</v>
      </c>
      <c r="Z95" s="87" t="s">
        <v>447</v>
      </c>
      <c r="AA95" s="87" t="s">
        <v>458</v>
      </c>
      <c r="AB95" s="590" t="s">
        <v>459</v>
      </c>
      <c r="AC95" s="591"/>
      <c r="AD95" s="591"/>
      <c r="AE95" s="592"/>
      <c r="AF95" s="596" t="s">
        <v>462</v>
      </c>
      <c r="AG95" s="597"/>
      <c r="AH95" s="597"/>
      <c r="AI95" s="598"/>
      <c r="AJ95" s="590" t="s">
        <v>466</v>
      </c>
      <c r="AK95" s="591"/>
      <c r="AL95" s="591"/>
      <c r="AM95" s="592"/>
      <c r="AN95" s="596" t="s">
        <v>470</v>
      </c>
      <c r="AO95" s="597"/>
      <c r="AP95" s="597"/>
      <c r="AQ95" s="598"/>
      <c r="AR95" s="590" t="s">
        <v>478</v>
      </c>
      <c r="AS95" s="591"/>
      <c r="AT95" s="591"/>
      <c r="AU95" s="592"/>
      <c r="AV95" s="596" t="s">
        <v>483</v>
      </c>
      <c r="AW95" s="597"/>
      <c r="AX95" s="597"/>
      <c r="AY95" s="598"/>
      <c r="AZ95" s="436" t="s">
        <v>503</v>
      </c>
      <c r="BA95" s="436" t="s">
        <v>488</v>
      </c>
      <c r="BB95" s="436" t="s">
        <v>489</v>
      </c>
      <c r="BC95" s="436" t="s">
        <v>423</v>
      </c>
      <c r="BD95" s="436" t="s">
        <v>507</v>
      </c>
      <c r="BE95" s="436" t="s">
        <v>531</v>
      </c>
      <c r="BF95" s="437" t="s">
        <v>508</v>
      </c>
      <c r="BG95" s="437" t="s">
        <v>509</v>
      </c>
      <c r="BH95" s="590" t="s">
        <v>532</v>
      </c>
      <c r="BI95" s="591"/>
      <c r="BJ95" s="591"/>
      <c r="BK95" s="592"/>
      <c r="BL95" s="596" t="s">
        <v>539</v>
      </c>
      <c r="BM95" s="597"/>
      <c r="BN95" s="597"/>
      <c r="BO95" s="598"/>
      <c r="BP95" s="438" t="s">
        <v>538</v>
      </c>
      <c r="BQ95" s="590" t="s">
        <v>542</v>
      </c>
      <c r="BR95" s="591"/>
      <c r="BS95" s="591"/>
      <c r="BT95" s="592"/>
      <c r="BU95" s="438" t="s">
        <v>541</v>
      </c>
      <c r="BV95" s="590" t="s">
        <v>552</v>
      </c>
      <c r="BW95" s="591"/>
      <c r="BX95" s="591"/>
      <c r="BY95" s="592"/>
      <c r="BZ95" s="438" t="s">
        <v>553</v>
      </c>
      <c r="CA95" s="590" t="s">
        <v>578</v>
      </c>
      <c r="CB95" s="591"/>
      <c r="CC95" s="591"/>
      <c r="CD95" s="592"/>
      <c r="CE95" s="438" t="s">
        <v>579</v>
      </c>
      <c r="CF95" s="590" t="s">
        <v>581</v>
      </c>
      <c r="CG95" s="591"/>
      <c r="CH95" s="591"/>
      <c r="CI95" s="592"/>
      <c r="CJ95" s="438" t="s">
        <v>580</v>
      </c>
      <c r="CK95" s="590" t="s">
        <v>585</v>
      </c>
      <c r="CL95" s="591"/>
      <c r="CM95" s="591"/>
      <c r="CN95" s="592"/>
      <c r="CO95" s="438" t="s">
        <v>586</v>
      </c>
      <c r="CP95" s="590" t="s">
        <v>587</v>
      </c>
      <c r="CQ95" s="591"/>
      <c r="CR95" s="591"/>
      <c r="CS95" s="592"/>
      <c r="CT95" s="438" t="s">
        <v>588</v>
      </c>
      <c r="CU95" s="590" t="s">
        <v>590</v>
      </c>
      <c r="CV95" s="591"/>
      <c r="CW95" s="591"/>
      <c r="CX95" s="592"/>
      <c r="CY95" s="438" t="s">
        <v>592</v>
      </c>
      <c r="CZ95" s="294"/>
      <c r="DA95" s="294"/>
      <c r="DB95" s="294"/>
      <c r="DC95" s="95" t="s">
        <v>602</v>
      </c>
      <c r="DD95" s="95" t="s">
        <v>488</v>
      </c>
      <c r="DE95" s="95" t="s">
        <v>489</v>
      </c>
      <c r="DF95" s="95" t="s">
        <v>603</v>
      </c>
      <c r="DG95" s="95" t="s">
        <v>423</v>
      </c>
      <c r="DH95" s="85" t="s">
        <v>2</v>
      </c>
      <c r="DI95" s="593" t="s">
        <v>613</v>
      </c>
      <c r="DJ95" s="594"/>
      <c r="DK95" s="594"/>
      <c r="DL95" s="594"/>
      <c r="DM95" s="594"/>
      <c r="DN95" s="594"/>
      <c r="DO95" s="594"/>
      <c r="DP95" s="595"/>
      <c r="DQ95" s="584" t="s">
        <v>614</v>
      </c>
      <c r="DR95" s="585"/>
      <c r="DS95" s="585"/>
      <c r="DT95" s="585"/>
      <c r="DU95" s="586"/>
      <c r="DV95" s="87" t="s">
        <v>615</v>
      </c>
      <c r="DW95" s="584" t="s">
        <v>623</v>
      </c>
      <c r="DX95" s="585"/>
      <c r="DY95" s="585"/>
      <c r="DZ95" s="585"/>
      <c r="EA95" s="586"/>
      <c r="EB95" s="87" t="s">
        <v>624</v>
      </c>
      <c r="EC95" s="584" t="s">
        <v>627</v>
      </c>
      <c r="ED95" s="585"/>
      <c r="EE95" s="585"/>
      <c r="EF95" s="585"/>
      <c r="EG95" s="586"/>
      <c r="EH95" s="87" t="s">
        <v>628</v>
      </c>
      <c r="EI95" s="584" t="s">
        <v>631</v>
      </c>
      <c r="EJ95" s="585"/>
      <c r="EK95" s="585"/>
      <c r="EL95" s="585"/>
      <c r="EM95" s="586"/>
      <c r="EN95" s="87" t="s">
        <v>632</v>
      </c>
      <c r="EO95" s="584" t="s">
        <v>638</v>
      </c>
      <c r="EP95" s="585"/>
      <c r="EQ95" s="585"/>
      <c r="ER95" s="585"/>
      <c r="ES95" s="586"/>
      <c r="ET95" s="87" t="s">
        <v>637</v>
      </c>
      <c r="EU95" s="584" t="s">
        <v>641</v>
      </c>
      <c r="EV95" s="585"/>
      <c r="EW95" s="585"/>
      <c r="EX95" s="585"/>
      <c r="EY95" s="586"/>
      <c r="EZ95" s="87" t="s">
        <v>642</v>
      </c>
      <c r="FA95" s="584" t="s">
        <v>645</v>
      </c>
      <c r="FB95" s="585"/>
      <c r="FC95" s="585"/>
      <c r="FD95" s="585"/>
      <c r="FE95" s="586"/>
      <c r="FF95" s="87" t="s">
        <v>646</v>
      </c>
      <c r="FG95" s="584" t="s">
        <v>653</v>
      </c>
      <c r="FH95" s="585"/>
      <c r="FI95" s="585"/>
      <c r="FJ95" s="585"/>
      <c r="FK95" s="586"/>
      <c r="FL95" s="87" t="s">
        <v>654</v>
      </c>
      <c r="FM95" s="584" t="s">
        <v>662</v>
      </c>
      <c r="FN95" s="585"/>
      <c r="FO95" s="585"/>
      <c r="FP95" s="585"/>
      <c r="FQ95" s="586"/>
      <c r="FR95" s="87" t="s">
        <v>657</v>
      </c>
      <c r="FS95" s="584" t="s">
        <v>661</v>
      </c>
      <c r="FT95" s="585"/>
      <c r="FU95" s="585"/>
      <c r="FV95" s="585"/>
      <c r="FW95" s="586"/>
      <c r="FX95" s="87" t="s">
        <v>663</v>
      </c>
      <c r="FY95" s="584" t="s">
        <v>665</v>
      </c>
      <c r="FZ95" s="585"/>
      <c r="GA95" s="585"/>
      <c r="GB95" s="585"/>
      <c r="GC95" s="586"/>
      <c r="GD95" s="87" t="s">
        <v>666</v>
      </c>
      <c r="GE95" s="584" t="s">
        <v>668</v>
      </c>
      <c r="GF95" s="585"/>
      <c r="GG95" s="585"/>
      <c r="GH95" s="585"/>
      <c r="GI95" s="586"/>
      <c r="GJ95" s="87" t="s">
        <v>669</v>
      </c>
      <c r="GK95" s="584" t="s">
        <v>671</v>
      </c>
      <c r="GL95" s="585"/>
      <c r="GM95" s="585"/>
      <c r="GN95" s="585"/>
      <c r="GO95" s="586"/>
      <c r="GP95" s="87" t="s">
        <v>672</v>
      </c>
      <c r="GQ95" s="584" t="s">
        <v>674</v>
      </c>
      <c r="GR95" s="585"/>
      <c r="GS95" s="585"/>
      <c r="GT95" s="585"/>
      <c r="GU95" s="586"/>
      <c r="GV95" s="87" t="s">
        <v>675</v>
      </c>
      <c r="GW95" s="584" t="s">
        <v>696</v>
      </c>
      <c r="GX95" s="585"/>
      <c r="GY95" s="585"/>
      <c r="GZ95" s="585"/>
      <c r="HA95" s="586"/>
      <c r="HB95" s="87" t="s">
        <v>697</v>
      </c>
      <c r="HC95" s="85" t="s">
        <v>2</v>
      </c>
      <c r="HD95" s="6"/>
      <c r="HE95" s="587" t="s">
        <v>678</v>
      </c>
      <c r="HF95" s="588"/>
      <c r="HG95" s="588"/>
      <c r="HH95" s="588"/>
      <c r="HI95" s="589"/>
      <c r="HJ95" s="85" t="s">
        <v>2</v>
      </c>
      <c r="HK95" s="593" t="s">
        <v>698</v>
      </c>
      <c r="HL95" s="594"/>
      <c r="HM95" s="594"/>
      <c r="HN95" s="594"/>
      <c r="HO95" s="594"/>
      <c r="HP95" s="594"/>
      <c r="HQ95" s="594"/>
      <c r="HR95" s="594"/>
    </row>
    <row r="96" spans="1:226" s="74" customFormat="1" ht="30.6" x14ac:dyDescent="0.3">
      <c r="A96" s="85"/>
      <c r="B96" s="446" t="s">
        <v>559</v>
      </c>
      <c r="C96" s="441"/>
      <c r="D96" s="442"/>
      <c r="E96" s="87"/>
      <c r="F96" s="87"/>
      <c r="G96" s="87"/>
      <c r="H96" s="88"/>
      <c r="I96" s="88"/>
      <c r="J96" s="294"/>
      <c r="K96" s="88"/>
      <c r="L96" s="87"/>
      <c r="M96" s="87"/>
      <c r="N96" s="87"/>
      <c r="O96" s="294"/>
      <c r="P96" s="294"/>
      <c r="Q96" s="294"/>
      <c r="R96" s="294"/>
      <c r="S96" s="294"/>
      <c r="T96" s="294"/>
      <c r="U96" s="294"/>
      <c r="V96" s="294"/>
      <c r="W96" s="294"/>
      <c r="X96" s="294"/>
      <c r="Y96" s="294"/>
      <c r="Z96" s="294"/>
      <c r="AA96" s="294"/>
      <c r="AB96" s="112" t="s">
        <v>234</v>
      </c>
      <c r="AC96" s="112" t="s">
        <v>454</v>
      </c>
      <c r="AD96" s="112" t="s">
        <v>455</v>
      </c>
      <c r="AE96" s="112" t="s">
        <v>456</v>
      </c>
      <c r="AF96" s="14" t="s">
        <v>234</v>
      </c>
      <c r="AG96" s="14" t="s">
        <v>454</v>
      </c>
      <c r="AH96" s="14" t="s">
        <v>455</v>
      </c>
      <c r="AI96" s="14" t="s">
        <v>456</v>
      </c>
      <c r="AJ96" s="112" t="s">
        <v>234</v>
      </c>
      <c r="AK96" s="112" t="s">
        <v>454</v>
      </c>
      <c r="AL96" s="112" t="s">
        <v>455</v>
      </c>
      <c r="AM96" s="112" t="s">
        <v>456</v>
      </c>
      <c r="AN96" s="14" t="s">
        <v>234</v>
      </c>
      <c r="AO96" s="14" t="s">
        <v>454</v>
      </c>
      <c r="AP96" s="14" t="s">
        <v>455</v>
      </c>
      <c r="AQ96" s="14" t="s">
        <v>456</v>
      </c>
      <c r="AR96" s="112" t="s">
        <v>234</v>
      </c>
      <c r="AS96" s="112" t="s">
        <v>454</v>
      </c>
      <c r="AT96" s="112" t="s">
        <v>455</v>
      </c>
      <c r="AU96" s="112" t="s">
        <v>456</v>
      </c>
      <c r="AV96" s="14" t="s">
        <v>234</v>
      </c>
      <c r="AW96" s="14" t="s">
        <v>454</v>
      </c>
      <c r="AX96" s="14" t="s">
        <v>455</v>
      </c>
      <c r="AY96" s="14" t="s">
        <v>456</v>
      </c>
      <c r="AZ96" s="443"/>
      <c r="BA96" s="443"/>
      <c r="BB96" s="443"/>
      <c r="BC96" s="443"/>
      <c r="BD96" s="443"/>
      <c r="BE96" s="443"/>
      <c r="BF96" s="444"/>
      <c r="BG96" s="444"/>
      <c r="BH96" s="112" t="s">
        <v>234</v>
      </c>
      <c r="BI96" s="112" t="s">
        <v>454</v>
      </c>
      <c r="BJ96" s="112" t="s">
        <v>455</v>
      </c>
      <c r="BK96" s="112" t="s">
        <v>456</v>
      </c>
      <c r="BL96" s="14" t="s">
        <v>234</v>
      </c>
      <c r="BM96" s="14" t="s">
        <v>454</v>
      </c>
      <c r="BN96" s="14" t="s">
        <v>455</v>
      </c>
      <c r="BO96" s="14" t="s">
        <v>456</v>
      </c>
      <c r="BP96" s="445"/>
      <c r="BQ96" s="112" t="s">
        <v>234</v>
      </c>
      <c r="BR96" s="112" t="s">
        <v>454</v>
      </c>
      <c r="BS96" s="112" t="s">
        <v>455</v>
      </c>
      <c r="BT96" s="112" t="s">
        <v>456</v>
      </c>
      <c r="BU96" s="445"/>
      <c r="BV96" s="112" t="s">
        <v>234</v>
      </c>
      <c r="BW96" s="112" t="s">
        <v>454</v>
      </c>
      <c r="BX96" s="112" t="s">
        <v>455</v>
      </c>
      <c r="BY96" s="112" t="s">
        <v>456</v>
      </c>
      <c r="BZ96" s="445"/>
      <c r="CA96" s="112" t="s">
        <v>234</v>
      </c>
      <c r="CB96" s="112" t="s">
        <v>454</v>
      </c>
      <c r="CC96" s="112" t="s">
        <v>455</v>
      </c>
      <c r="CD96" s="112" t="s">
        <v>456</v>
      </c>
      <c r="CE96" s="445"/>
      <c r="CF96" s="112" t="s">
        <v>234</v>
      </c>
      <c r="CG96" s="112" t="s">
        <v>454</v>
      </c>
      <c r="CH96" s="112" t="s">
        <v>455</v>
      </c>
      <c r="CI96" s="112" t="s">
        <v>456</v>
      </c>
      <c r="CJ96" s="445"/>
      <c r="CK96" s="112" t="s">
        <v>234</v>
      </c>
      <c r="CL96" s="112" t="s">
        <v>454</v>
      </c>
      <c r="CM96" s="112" t="s">
        <v>455</v>
      </c>
      <c r="CN96" s="112" t="s">
        <v>456</v>
      </c>
      <c r="CO96" s="445"/>
      <c r="CP96" s="112" t="s">
        <v>234</v>
      </c>
      <c r="CQ96" s="112" t="s">
        <v>454</v>
      </c>
      <c r="CR96" s="112" t="s">
        <v>455</v>
      </c>
      <c r="CS96" s="112" t="s">
        <v>456</v>
      </c>
      <c r="CT96" s="445"/>
      <c r="CU96" s="112" t="s">
        <v>234</v>
      </c>
      <c r="CV96" s="112" t="s">
        <v>454</v>
      </c>
      <c r="CW96" s="112" t="s">
        <v>455</v>
      </c>
      <c r="CX96" s="112" t="s">
        <v>456</v>
      </c>
      <c r="CY96" s="445"/>
      <c r="CZ96" s="295"/>
      <c r="DA96" s="295"/>
      <c r="DB96" s="295"/>
      <c r="DC96" s="95" t="s">
        <v>602</v>
      </c>
      <c r="DD96" s="95" t="s">
        <v>488</v>
      </c>
      <c r="DE96" s="95" t="s">
        <v>489</v>
      </c>
      <c r="DF96" s="95" t="s">
        <v>603</v>
      </c>
      <c r="DG96" s="95" t="s">
        <v>423</v>
      </c>
      <c r="DH96" s="89"/>
      <c r="DI96" s="90" t="s">
        <v>604</v>
      </c>
      <c r="DJ96" s="91" t="s">
        <v>605</v>
      </c>
      <c r="DK96" s="92" t="s">
        <v>606</v>
      </c>
      <c r="DL96" s="92" t="s">
        <v>607</v>
      </c>
      <c r="DM96" s="91" t="s">
        <v>608</v>
      </c>
      <c r="DN96" s="91" t="s">
        <v>609</v>
      </c>
      <c r="DO96" s="91" t="s">
        <v>611</v>
      </c>
      <c r="DP96" s="91" t="s">
        <v>610</v>
      </c>
      <c r="DQ96" s="112" t="s">
        <v>234</v>
      </c>
      <c r="DR96" s="112" t="s">
        <v>454</v>
      </c>
      <c r="DS96" s="112" t="s">
        <v>455</v>
      </c>
      <c r="DT96" s="93" t="s">
        <v>456</v>
      </c>
      <c r="DU96" s="94" t="s">
        <v>457</v>
      </c>
      <c r="DV96" s="87"/>
      <c r="DW96" s="112" t="s">
        <v>234</v>
      </c>
      <c r="DX96" s="112" t="s">
        <v>454</v>
      </c>
      <c r="DY96" s="112" t="s">
        <v>455</v>
      </c>
      <c r="DZ96" s="93" t="s">
        <v>456</v>
      </c>
      <c r="EA96" s="94" t="s">
        <v>457</v>
      </c>
      <c r="EB96" s="87"/>
      <c r="EC96" s="112" t="s">
        <v>234</v>
      </c>
      <c r="ED96" s="112" t="s">
        <v>454</v>
      </c>
      <c r="EE96" s="112" t="s">
        <v>455</v>
      </c>
      <c r="EF96" s="93" t="s">
        <v>456</v>
      </c>
      <c r="EG96" s="94" t="s">
        <v>457</v>
      </c>
      <c r="EH96" s="87"/>
      <c r="EI96" s="112" t="s">
        <v>234</v>
      </c>
      <c r="EJ96" s="112" t="s">
        <v>454</v>
      </c>
      <c r="EK96" s="112" t="s">
        <v>455</v>
      </c>
      <c r="EL96" s="93" t="s">
        <v>456</v>
      </c>
      <c r="EM96" s="94" t="s">
        <v>457</v>
      </c>
      <c r="EN96" s="87"/>
      <c r="EO96" s="112" t="s">
        <v>234</v>
      </c>
      <c r="EP96" s="112" t="s">
        <v>454</v>
      </c>
      <c r="EQ96" s="112" t="s">
        <v>455</v>
      </c>
      <c r="ER96" s="93" t="s">
        <v>456</v>
      </c>
      <c r="ES96" s="94" t="s">
        <v>457</v>
      </c>
      <c r="ET96" s="87"/>
      <c r="EU96" s="112" t="s">
        <v>234</v>
      </c>
      <c r="EV96" s="112" t="s">
        <v>454</v>
      </c>
      <c r="EW96" s="112" t="s">
        <v>455</v>
      </c>
      <c r="EX96" s="93" t="s">
        <v>456</v>
      </c>
      <c r="EY96" s="94" t="s">
        <v>457</v>
      </c>
      <c r="EZ96" s="87"/>
      <c r="FA96" s="112" t="s">
        <v>234</v>
      </c>
      <c r="FB96" s="112" t="s">
        <v>454</v>
      </c>
      <c r="FC96" s="112" t="s">
        <v>455</v>
      </c>
      <c r="FD96" s="93" t="s">
        <v>456</v>
      </c>
      <c r="FE96" s="94" t="s">
        <v>457</v>
      </c>
      <c r="FF96" s="87"/>
      <c r="FG96" s="112" t="s">
        <v>234</v>
      </c>
      <c r="FH96" s="112" t="s">
        <v>454</v>
      </c>
      <c r="FI96" s="112" t="s">
        <v>455</v>
      </c>
      <c r="FJ96" s="93" t="s">
        <v>456</v>
      </c>
      <c r="FK96" s="94" t="s">
        <v>457</v>
      </c>
      <c r="FL96" s="87"/>
      <c r="FM96" s="112" t="s">
        <v>234</v>
      </c>
      <c r="FN96" s="112" t="s">
        <v>454</v>
      </c>
      <c r="FO96" s="112" t="s">
        <v>455</v>
      </c>
      <c r="FP96" s="93" t="s">
        <v>456</v>
      </c>
      <c r="FQ96" s="94" t="s">
        <v>457</v>
      </c>
      <c r="FR96" s="87"/>
      <c r="FS96" s="112" t="s">
        <v>234</v>
      </c>
      <c r="FT96" s="112" t="s">
        <v>454</v>
      </c>
      <c r="FU96" s="112" t="s">
        <v>455</v>
      </c>
      <c r="FV96" s="93" t="s">
        <v>456</v>
      </c>
      <c r="FW96" s="94" t="s">
        <v>457</v>
      </c>
      <c r="FX96" s="87"/>
      <c r="FY96" s="112" t="s">
        <v>234</v>
      </c>
      <c r="FZ96" s="112" t="s">
        <v>454</v>
      </c>
      <c r="GA96" s="112" t="s">
        <v>455</v>
      </c>
      <c r="GB96" s="93" t="s">
        <v>456</v>
      </c>
      <c r="GC96" s="94" t="s">
        <v>457</v>
      </c>
      <c r="GD96" s="87"/>
      <c r="GE96" s="112" t="s">
        <v>234</v>
      </c>
      <c r="GF96" s="112" t="s">
        <v>454</v>
      </c>
      <c r="GG96" s="112" t="s">
        <v>455</v>
      </c>
      <c r="GH96" s="93" t="s">
        <v>456</v>
      </c>
      <c r="GI96" s="94" t="s">
        <v>457</v>
      </c>
      <c r="GJ96" s="87"/>
      <c r="GK96" s="112" t="s">
        <v>234</v>
      </c>
      <c r="GL96" s="112" t="s">
        <v>454</v>
      </c>
      <c r="GM96" s="112" t="s">
        <v>455</v>
      </c>
      <c r="GN96" s="93" t="s">
        <v>456</v>
      </c>
      <c r="GO96" s="94" t="s">
        <v>457</v>
      </c>
      <c r="GP96" s="87"/>
      <c r="GQ96" s="112" t="s">
        <v>234</v>
      </c>
      <c r="GR96" s="112" t="s">
        <v>454</v>
      </c>
      <c r="GS96" s="112" t="s">
        <v>455</v>
      </c>
      <c r="GT96" s="93" t="s">
        <v>456</v>
      </c>
      <c r="GU96" s="94" t="s">
        <v>457</v>
      </c>
      <c r="GV96" s="87"/>
      <c r="GW96" s="112" t="s">
        <v>234</v>
      </c>
      <c r="GX96" s="112" t="s">
        <v>454</v>
      </c>
      <c r="GY96" s="112" t="s">
        <v>455</v>
      </c>
      <c r="GZ96" s="93" t="s">
        <v>456</v>
      </c>
      <c r="HA96" s="94" t="s">
        <v>457</v>
      </c>
      <c r="HB96" s="87"/>
      <c r="HC96" s="85"/>
      <c r="HD96" s="6"/>
      <c r="HE96" s="95" t="s">
        <v>679</v>
      </c>
      <c r="HF96" s="95" t="s">
        <v>488</v>
      </c>
      <c r="HG96" s="220" t="s">
        <v>489</v>
      </c>
      <c r="HH96" s="95" t="s">
        <v>603</v>
      </c>
      <c r="HI96" s="95" t="s">
        <v>423</v>
      </c>
      <c r="HJ96" s="85"/>
      <c r="HK96" s="90" t="s">
        <v>680</v>
      </c>
      <c r="HL96" s="91" t="s">
        <v>681</v>
      </c>
      <c r="HM96" s="92" t="s">
        <v>606</v>
      </c>
      <c r="HN96" s="92" t="s">
        <v>607</v>
      </c>
      <c r="HO96" s="91" t="s">
        <v>608</v>
      </c>
      <c r="HP96" s="91" t="s">
        <v>609</v>
      </c>
      <c r="HQ96" s="92" t="s">
        <v>456</v>
      </c>
      <c r="HR96" s="91" t="s">
        <v>610</v>
      </c>
    </row>
    <row r="97" spans="1:226" ht="10.5" customHeight="1" x14ac:dyDescent="0.3">
      <c r="A97" s="310">
        <v>1</v>
      </c>
      <c r="B97" s="280" t="s">
        <v>519</v>
      </c>
      <c r="C97" s="310" t="s">
        <v>28</v>
      </c>
      <c r="D97" s="2" t="s">
        <v>29</v>
      </c>
      <c r="E97" s="9"/>
      <c r="F97" s="9"/>
      <c r="G97" s="9"/>
      <c r="H97" s="324"/>
      <c r="I97" s="324">
        <v>42280</v>
      </c>
      <c r="J97" s="324"/>
      <c r="K97" s="324"/>
      <c r="L97" s="324">
        <v>42280</v>
      </c>
      <c r="M97" s="23">
        <v>42280</v>
      </c>
      <c r="N97" s="23">
        <v>42280</v>
      </c>
      <c r="O97" s="23">
        <v>42280</v>
      </c>
      <c r="P97" s="23">
        <v>42280</v>
      </c>
      <c r="Q97" s="23">
        <v>0</v>
      </c>
      <c r="R97" s="23">
        <v>0</v>
      </c>
      <c r="S97" s="23">
        <v>0</v>
      </c>
      <c r="T97" s="23">
        <v>0</v>
      </c>
      <c r="U97" s="23">
        <f>T97*5%</f>
        <v>0</v>
      </c>
      <c r="V97" s="23">
        <f>T97+U97</f>
        <v>0</v>
      </c>
      <c r="W97" s="23">
        <v>0</v>
      </c>
      <c r="X97" s="23">
        <v>0</v>
      </c>
      <c r="Y97" s="23">
        <v>0</v>
      </c>
      <c r="Z97" s="23">
        <v>0</v>
      </c>
      <c r="AA97" s="23">
        <v>0</v>
      </c>
      <c r="AB97" s="23">
        <v>0</v>
      </c>
      <c r="AC97" s="9">
        <v>0</v>
      </c>
      <c r="AD97" s="9">
        <v>0</v>
      </c>
      <c r="AE97" s="23">
        <f>AD97+AC97+AB97</f>
        <v>0</v>
      </c>
      <c r="AF97" s="23">
        <v>0</v>
      </c>
      <c r="AG97" s="9">
        <v>0</v>
      </c>
      <c r="AH97" s="9">
        <v>0</v>
      </c>
      <c r="AI97" s="23">
        <f>AH97+AG97+AF97</f>
        <v>0</v>
      </c>
      <c r="AJ97" s="23">
        <v>0</v>
      </c>
      <c r="AK97" s="9">
        <v>0</v>
      </c>
      <c r="AL97" s="9">
        <v>0</v>
      </c>
      <c r="AM97" s="23">
        <f>AL97+AK97+AJ97</f>
        <v>0</v>
      </c>
      <c r="AN97" s="23">
        <v>0</v>
      </c>
      <c r="AO97" s="9">
        <v>0</v>
      </c>
      <c r="AP97" s="9">
        <v>0</v>
      </c>
      <c r="AQ97" s="23">
        <f>AP97+AO97+AN97</f>
        <v>0</v>
      </c>
      <c r="AR97" s="23">
        <v>0</v>
      </c>
      <c r="AS97" s="9">
        <v>0</v>
      </c>
      <c r="AT97" s="9">
        <v>0</v>
      </c>
      <c r="AU97" s="23">
        <f>AT97+AS97+AR97</f>
        <v>0</v>
      </c>
      <c r="AV97" s="23">
        <v>0</v>
      </c>
      <c r="AW97" s="9">
        <v>0</v>
      </c>
      <c r="AX97" s="9">
        <v>0</v>
      </c>
      <c r="AY97" s="23">
        <f>AX97+AW97+AV97</f>
        <v>0</v>
      </c>
      <c r="AZ97" s="8">
        <f>AY97*5%</f>
        <v>0</v>
      </c>
      <c r="BA97" s="8"/>
      <c r="BB97" s="8">
        <f>AZ97-BA97</f>
        <v>0</v>
      </c>
      <c r="BC97" s="8">
        <f>BB97+AY97</f>
        <v>0</v>
      </c>
      <c r="BD97" s="8"/>
      <c r="BE97" s="8">
        <f>BD97+BC97</f>
        <v>0</v>
      </c>
      <c r="BF97" s="10">
        <f>BE97-AY97</f>
        <v>0</v>
      </c>
      <c r="BG97" s="10">
        <f>BF97-BB97</f>
        <v>0</v>
      </c>
      <c r="BH97" s="324">
        <v>0</v>
      </c>
      <c r="BI97" s="324">
        <v>0</v>
      </c>
      <c r="BJ97" s="324">
        <v>0</v>
      </c>
      <c r="BK97" s="324">
        <f>BJ97+BI97+BH97</f>
        <v>0</v>
      </c>
      <c r="BL97" s="324">
        <v>0</v>
      </c>
      <c r="BM97" s="324">
        <v>0</v>
      </c>
      <c r="BN97" s="324">
        <v>0</v>
      </c>
      <c r="BO97" s="324">
        <f>BN97+BM97+BL97</f>
        <v>0</v>
      </c>
      <c r="BP97" s="324">
        <f>BO97-BK97</f>
        <v>0</v>
      </c>
      <c r="BQ97" s="324">
        <v>0</v>
      </c>
      <c r="BR97" s="324">
        <v>0</v>
      </c>
      <c r="BS97" s="324">
        <v>0</v>
      </c>
      <c r="BT97" s="324">
        <f>BS97+BR97+BQ97</f>
        <v>0</v>
      </c>
      <c r="BU97" s="324">
        <f>BT97-BO97</f>
        <v>0</v>
      </c>
      <c r="BV97" s="324">
        <v>0</v>
      </c>
      <c r="BW97" s="324">
        <v>0</v>
      </c>
      <c r="BX97" s="324">
        <v>0</v>
      </c>
      <c r="BY97" s="324">
        <f>BX97+BW97+BV97</f>
        <v>0</v>
      </c>
      <c r="BZ97" s="324">
        <f>BY97-BT97</f>
        <v>0</v>
      </c>
      <c r="CA97" s="324">
        <v>0</v>
      </c>
      <c r="CB97" s="324">
        <v>0</v>
      </c>
      <c r="CC97" s="324">
        <v>0</v>
      </c>
      <c r="CD97" s="324">
        <f>CC97+CB97+CA97</f>
        <v>0</v>
      </c>
      <c r="CE97" s="324">
        <f>CD97-BY97</f>
        <v>0</v>
      </c>
      <c r="CF97" s="324">
        <v>0</v>
      </c>
      <c r="CG97" s="324">
        <v>0</v>
      </c>
      <c r="CH97" s="324">
        <v>0</v>
      </c>
      <c r="CI97" s="324">
        <f>CH97+CG97+CF97</f>
        <v>0</v>
      </c>
      <c r="CJ97" s="324">
        <f>CI97-CD97</f>
        <v>0</v>
      </c>
      <c r="CK97" s="324">
        <v>0</v>
      </c>
      <c r="CL97" s="324">
        <v>0</v>
      </c>
      <c r="CM97" s="324">
        <v>0</v>
      </c>
      <c r="CN97" s="324">
        <f>CM97+CL97+CK97</f>
        <v>0</v>
      </c>
      <c r="CO97" s="324">
        <f>CN97-CI97</f>
        <v>0</v>
      </c>
      <c r="CP97" s="324"/>
      <c r="CQ97" s="324">
        <v>0</v>
      </c>
      <c r="CR97" s="324">
        <v>0</v>
      </c>
      <c r="CS97" s="324">
        <f>CR97+CQ97+CP97</f>
        <v>0</v>
      </c>
      <c r="CT97" s="324">
        <f>CS97-CN97</f>
        <v>0</v>
      </c>
      <c r="CU97" s="324">
        <v>0</v>
      </c>
      <c r="CV97" s="324">
        <v>0</v>
      </c>
      <c r="CW97" s="324">
        <v>0</v>
      </c>
      <c r="CX97" s="324">
        <f>CW97+CV97+CU97</f>
        <v>0</v>
      </c>
      <c r="CY97" s="324">
        <f>CX97-CS97</f>
        <v>0</v>
      </c>
      <c r="CZ97" s="324"/>
      <c r="DA97" s="324"/>
      <c r="DB97" s="324"/>
      <c r="DC97" s="12">
        <f>CX97*10%</f>
        <v>0</v>
      </c>
      <c r="DD97" s="12">
        <v>0</v>
      </c>
      <c r="DE97" s="13">
        <f>DC97-DD97</f>
        <v>0</v>
      </c>
      <c r="DF97" s="14">
        <f>DE97:DE97</f>
        <v>0</v>
      </c>
      <c r="DG97" s="13">
        <f>DE97+CX97</f>
        <v>0</v>
      </c>
      <c r="DH97" s="8">
        <f>100/1278396949*CX97</f>
        <v>0</v>
      </c>
      <c r="DI97" s="16">
        <f>CX97</f>
        <v>0</v>
      </c>
      <c r="DJ97" s="132">
        <f>DI97*1.1</f>
        <v>0</v>
      </c>
      <c r="DK97" s="17">
        <f>DJ97-DI97</f>
        <v>0</v>
      </c>
      <c r="DL97" s="17">
        <f>DD97</f>
        <v>0</v>
      </c>
      <c r="DM97" s="16">
        <f>DK97-DL97</f>
        <v>0</v>
      </c>
      <c r="DN97" s="16">
        <f>DM97-DE97</f>
        <v>0</v>
      </c>
      <c r="DO97" s="16">
        <f>DM97+DI97</f>
        <v>0</v>
      </c>
      <c r="DP97" s="16">
        <f>DO97-DG97</f>
        <v>0</v>
      </c>
      <c r="DQ97" s="9">
        <v>0</v>
      </c>
      <c r="DR97" s="18" t="s">
        <v>238</v>
      </c>
      <c r="DS97" s="18" t="s">
        <v>238</v>
      </c>
      <c r="DT97" s="324">
        <f>DQ97+DR97+DS97</f>
        <v>0</v>
      </c>
      <c r="DU97" s="321">
        <f>DT97</f>
        <v>0</v>
      </c>
      <c r="DV97" s="19">
        <f>DT97-DG97</f>
        <v>0</v>
      </c>
      <c r="DW97" s="9">
        <v>0</v>
      </c>
      <c r="DX97" s="18"/>
      <c r="DY97" s="18"/>
      <c r="DZ97" s="324">
        <f>DW97+DX97+DY97</f>
        <v>0</v>
      </c>
      <c r="EA97" s="321">
        <f>DZ97</f>
        <v>0</v>
      </c>
      <c r="EB97" s="179">
        <f>DZ97-DT97</f>
        <v>0</v>
      </c>
      <c r="EC97" s="9">
        <v>0</v>
      </c>
      <c r="ED97" s="18" t="s">
        <v>238</v>
      </c>
      <c r="EE97" s="18" t="s">
        <v>238</v>
      </c>
      <c r="EF97" s="324">
        <f>EC97+ED97+EE97</f>
        <v>0</v>
      </c>
      <c r="EG97" s="321">
        <f>EF97</f>
        <v>0</v>
      </c>
      <c r="EH97" s="179">
        <f>EF97-DZ97</f>
        <v>0</v>
      </c>
      <c r="EI97" s="9">
        <v>0</v>
      </c>
      <c r="EJ97" s="18" t="s">
        <v>238</v>
      </c>
      <c r="EK97" s="18" t="s">
        <v>238</v>
      </c>
      <c r="EL97" s="324">
        <f>EI97+EJ97+EK97</f>
        <v>0</v>
      </c>
      <c r="EM97" s="321">
        <f>EL97</f>
        <v>0</v>
      </c>
      <c r="EN97" s="179">
        <f>EL97-EF97</f>
        <v>0</v>
      </c>
      <c r="EO97" s="9">
        <v>0</v>
      </c>
      <c r="EP97" s="18" t="s">
        <v>238</v>
      </c>
      <c r="EQ97" s="18" t="s">
        <v>238</v>
      </c>
      <c r="ER97" s="324">
        <f>EO97+EP97+EQ97</f>
        <v>0</v>
      </c>
      <c r="ES97" s="321">
        <f>ER97</f>
        <v>0</v>
      </c>
      <c r="ET97" s="179">
        <f>ER97-EL97</f>
        <v>0</v>
      </c>
      <c r="EU97" s="9">
        <v>0</v>
      </c>
      <c r="EV97" s="18" t="s">
        <v>238</v>
      </c>
      <c r="EW97" s="18" t="s">
        <v>238</v>
      </c>
      <c r="EX97" s="324">
        <f>EU97+EV97+EW97</f>
        <v>0</v>
      </c>
      <c r="EY97" s="321">
        <f>EX97</f>
        <v>0</v>
      </c>
      <c r="EZ97" s="179">
        <f>EX97-ER97</f>
        <v>0</v>
      </c>
      <c r="FA97" s="9">
        <v>0</v>
      </c>
      <c r="FB97" s="18" t="s">
        <v>238</v>
      </c>
      <c r="FC97" s="18" t="s">
        <v>238</v>
      </c>
      <c r="FD97" s="324">
        <f>FA97+FB97+FC97</f>
        <v>0</v>
      </c>
      <c r="FE97" s="321">
        <f>FD97</f>
        <v>0</v>
      </c>
      <c r="FF97" s="179">
        <f>FD97-EX97</f>
        <v>0</v>
      </c>
      <c r="FG97" s="9">
        <v>0</v>
      </c>
      <c r="FH97" s="18" t="s">
        <v>238</v>
      </c>
      <c r="FI97" s="18" t="s">
        <v>238</v>
      </c>
      <c r="FJ97" s="324">
        <f>FG97+FH97+FI97</f>
        <v>0</v>
      </c>
      <c r="FK97" s="321">
        <f>FJ97</f>
        <v>0</v>
      </c>
      <c r="FL97" s="179">
        <f>FJ97-FD97</f>
        <v>0</v>
      </c>
      <c r="FM97" s="9">
        <v>0</v>
      </c>
      <c r="FN97" s="18" t="s">
        <v>238</v>
      </c>
      <c r="FO97" s="18" t="s">
        <v>238</v>
      </c>
      <c r="FP97" s="324">
        <f>FM97+FN97+FO97</f>
        <v>0</v>
      </c>
      <c r="FQ97" s="321">
        <f>FP97</f>
        <v>0</v>
      </c>
      <c r="FR97" s="179">
        <f>FP97-FJ97</f>
        <v>0</v>
      </c>
      <c r="FS97" s="9">
        <v>0</v>
      </c>
      <c r="FT97" s="18" t="s">
        <v>238</v>
      </c>
      <c r="FU97" s="18" t="s">
        <v>238</v>
      </c>
      <c r="FV97" s="324">
        <f>FS97+FT97+FU97</f>
        <v>0</v>
      </c>
      <c r="FW97" s="321">
        <f>FV97</f>
        <v>0</v>
      </c>
      <c r="FX97" s="179">
        <f>FV97-FP97</f>
        <v>0</v>
      </c>
      <c r="FY97" s="9">
        <v>0</v>
      </c>
      <c r="FZ97" s="18" t="s">
        <v>238</v>
      </c>
      <c r="GA97" s="18" t="s">
        <v>238</v>
      </c>
      <c r="GB97" s="324">
        <f>FY97+FZ97+GA97</f>
        <v>0</v>
      </c>
      <c r="GC97" s="321">
        <f>GB97</f>
        <v>0</v>
      </c>
      <c r="GD97" s="179">
        <f>GB97-FV97</f>
        <v>0</v>
      </c>
      <c r="GE97" s="9">
        <v>0</v>
      </c>
      <c r="GF97" s="18" t="s">
        <v>238</v>
      </c>
      <c r="GG97" s="18" t="s">
        <v>238</v>
      </c>
      <c r="GH97" s="324">
        <f>GE97+GF97+GG97</f>
        <v>0</v>
      </c>
      <c r="GI97" s="321">
        <f>GH97</f>
        <v>0</v>
      </c>
      <c r="GJ97" s="179">
        <f>GH97-GB97</f>
        <v>0</v>
      </c>
      <c r="GK97" s="9">
        <v>0</v>
      </c>
      <c r="GL97" s="18" t="s">
        <v>238</v>
      </c>
      <c r="GM97" s="18" t="s">
        <v>238</v>
      </c>
      <c r="GN97" s="324">
        <f>GK97+GL97+GM97</f>
        <v>0</v>
      </c>
      <c r="GO97" s="321">
        <f>GN97</f>
        <v>0</v>
      </c>
      <c r="GP97" s="179">
        <f>GN97-GH97</f>
        <v>0</v>
      </c>
      <c r="GQ97" s="9">
        <v>0</v>
      </c>
      <c r="GR97" s="18" t="s">
        <v>238</v>
      </c>
      <c r="GS97" s="18" t="s">
        <v>238</v>
      </c>
      <c r="GT97" s="324">
        <f>GQ97+GR97+GS97</f>
        <v>0</v>
      </c>
      <c r="GU97" s="321">
        <f>GT97</f>
        <v>0</v>
      </c>
      <c r="GV97" s="179">
        <f>GT97-GN97</f>
        <v>0</v>
      </c>
      <c r="GW97" s="9">
        <v>0</v>
      </c>
      <c r="GX97" s="18" t="s">
        <v>238</v>
      </c>
      <c r="GY97" s="18" t="s">
        <v>238</v>
      </c>
      <c r="GZ97" s="324">
        <f>GW97+GX97+GY97</f>
        <v>0</v>
      </c>
      <c r="HA97" s="321">
        <f>GZ97</f>
        <v>0</v>
      </c>
      <c r="HB97" s="179">
        <f>GZ97-GT97</f>
        <v>0</v>
      </c>
      <c r="HC97" s="102">
        <f>100/1406236643.9*GT97</f>
        <v>0</v>
      </c>
      <c r="HD97" s="285">
        <f>HB97-HO97</f>
        <v>0</v>
      </c>
      <c r="HE97" s="12">
        <f>GT97*0.05</f>
        <v>0</v>
      </c>
      <c r="HF97" s="12">
        <f>IF(ISNUMBER(HE97), HE97-INT(HE97), "")</f>
        <v>0</v>
      </c>
      <c r="HG97" s="12">
        <f>HE97-HF97</f>
        <v>0</v>
      </c>
      <c r="HH97" s="14">
        <f>HG97:HG97</f>
        <v>0</v>
      </c>
      <c r="HI97" s="13">
        <f>HG97+GT97</f>
        <v>0</v>
      </c>
      <c r="HJ97" s="102">
        <f>100/1406236643.9*HI97</f>
        <v>0</v>
      </c>
      <c r="HK97" s="16">
        <f>GT97</f>
        <v>0</v>
      </c>
      <c r="HL97" s="103">
        <f>HK97*1.05</f>
        <v>0</v>
      </c>
      <c r="HM97" s="103">
        <f>HL97-HK97</f>
        <v>0</v>
      </c>
      <c r="HN97" s="17">
        <f>HF97</f>
        <v>0</v>
      </c>
      <c r="HO97" s="56">
        <f>HM97-HN97</f>
        <v>0</v>
      </c>
      <c r="HP97" s="16">
        <f>HO97-HG97</f>
        <v>0</v>
      </c>
      <c r="HQ97" s="16">
        <f>HO97+HK97</f>
        <v>0</v>
      </c>
      <c r="HR97" s="16">
        <f>HQ97-HI97</f>
        <v>0</v>
      </c>
    </row>
    <row r="98" spans="1:226" x14ac:dyDescent="0.3">
      <c r="A98" s="310">
        <v>2</v>
      </c>
      <c r="B98" s="280"/>
      <c r="C98" s="310" t="s">
        <v>30</v>
      </c>
      <c r="D98" s="2" t="s">
        <v>29</v>
      </c>
      <c r="E98" s="9"/>
      <c r="F98" s="9"/>
      <c r="G98" s="9"/>
      <c r="H98" s="324"/>
      <c r="I98" s="324">
        <v>11130070</v>
      </c>
      <c r="J98" s="324"/>
      <c r="K98" s="324"/>
      <c r="L98" s="324">
        <v>11130070</v>
      </c>
      <c r="M98" s="324">
        <v>11130070</v>
      </c>
      <c r="N98" s="23">
        <v>11130070</v>
      </c>
      <c r="O98" s="23">
        <v>11130070</v>
      </c>
      <c r="P98" s="23">
        <v>11130070</v>
      </c>
      <c r="Q98" s="23">
        <v>11172350</v>
      </c>
      <c r="R98" s="23">
        <v>11172350</v>
      </c>
      <c r="S98" s="23">
        <v>11182256</v>
      </c>
      <c r="T98" s="23">
        <v>11182256</v>
      </c>
      <c r="U98" s="23">
        <f>T98*5%</f>
        <v>559112.80000000005</v>
      </c>
      <c r="V98" s="23">
        <f>T98+U98</f>
        <v>11741368.800000001</v>
      </c>
      <c r="W98" s="23">
        <v>11741368</v>
      </c>
      <c r="X98" s="23">
        <v>11741368</v>
      </c>
      <c r="Y98" s="23">
        <v>11741368</v>
      </c>
      <c r="Z98" s="23">
        <v>11741368</v>
      </c>
      <c r="AA98" s="23">
        <v>11741368</v>
      </c>
      <c r="AB98" s="23">
        <v>11741368</v>
      </c>
      <c r="AC98" s="9">
        <v>0</v>
      </c>
      <c r="AD98" s="9">
        <v>0</v>
      </c>
      <c r="AE98" s="23">
        <f>AD98+AC98+AB98</f>
        <v>11741368</v>
      </c>
      <c r="AF98" s="23">
        <v>11741368</v>
      </c>
      <c r="AG98" s="9">
        <v>0</v>
      </c>
      <c r="AH98" s="9">
        <v>0</v>
      </c>
      <c r="AI98" s="23">
        <f>AH98+AG98+AF98</f>
        <v>11741368</v>
      </c>
      <c r="AJ98" s="23">
        <v>11741368</v>
      </c>
      <c r="AK98" s="9">
        <v>0</v>
      </c>
      <c r="AL98" s="9">
        <v>0</v>
      </c>
      <c r="AM98" s="23">
        <f>AL98+AK98+AJ98</f>
        <v>11741368</v>
      </c>
      <c r="AN98" s="23">
        <v>11741368</v>
      </c>
      <c r="AO98" s="9">
        <v>0</v>
      </c>
      <c r="AP98" s="9">
        <v>0</v>
      </c>
      <c r="AQ98" s="23">
        <f>AP98+AO98+AN98</f>
        <v>11741368</v>
      </c>
      <c r="AR98" s="23">
        <v>11733963</v>
      </c>
      <c r="AS98" s="9">
        <v>0</v>
      </c>
      <c r="AT98" s="9">
        <v>0</v>
      </c>
      <c r="AU98" s="23">
        <f>AT98+AS98+AR98</f>
        <v>11733963</v>
      </c>
      <c r="AV98" s="23">
        <v>11733963</v>
      </c>
      <c r="AW98" s="9">
        <v>0</v>
      </c>
      <c r="AX98" s="9">
        <v>0</v>
      </c>
      <c r="AY98" s="23">
        <f>AX98+AW98+AV98</f>
        <v>11733963</v>
      </c>
      <c r="AZ98" s="8">
        <f>AY98*5%</f>
        <v>586698.15</v>
      </c>
      <c r="BA98" s="8">
        <v>0.15</v>
      </c>
      <c r="BB98" s="8">
        <f>AZ98-BA98</f>
        <v>586698</v>
      </c>
      <c r="BC98" s="8">
        <f>BB98+AY98</f>
        <v>12320661</v>
      </c>
      <c r="BD98" s="8"/>
      <c r="BE98" s="8">
        <f>BD98+BC98</f>
        <v>12320661</v>
      </c>
      <c r="BF98" s="10">
        <f>BE98-AY98</f>
        <v>586698</v>
      </c>
      <c r="BG98" s="10">
        <f>BF98-BB98</f>
        <v>0</v>
      </c>
      <c r="BH98" s="324">
        <v>12320661</v>
      </c>
      <c r="BI98" s="324">
        <v>0</v>
      </c>
      <c r="BJ98" s="324">
        <v>0</v>
      </c>
      <c r="BK98" s="324">
        <f>BJ98+BI98+BH98</f>
        <v>12320661</v>
      </c>
      <c r="BL98" s="324">
        <v>12320661</v>
      </c>
      <c r="BM98" s="324">
        <v>0</v>
      </c>
      <c r="BN98" s="324">
        <v>0</v>
      </c>
      <c r="BO98" s="324">
        <f>BN98+BM98+BL98</f>
        <v>12320661</v>
      </c>
      <c r="BP98" s="324">
        <f>BO98-BK98</f>
        <v>0</v>
      </c>
      <c r="BQ98" s="324">
        <v>12307392</v>
      </c>
      <c r="BR98" s="324">
        <v>0</v>
      </c>
      <c r="BS98" s="324">
        <v>0</v>
      </c>
      <c r="BT98" s="324">
        <f>BS98+BR98+BQ98</f>
        <v>12307392</v>
      </c>
      <c r="BU98" s="56">
        <f>BT98-BO98</f>
        <v>-13269</v>
      </c>
      <c r="BV98" s="324">
        <v>12307392</v>
      </c>
      <c r="BW98" s="324">
        <v>0</v>
      </c>
      <c r="BX98" s="324">
        <v>0</v>
      </c>
      <c r="BY98" s="324">
        <f>BX98+BW98+BV98</f>
        <v>12307392</v>
      </c>
      <c r="BZ98" s="324">
        <f>BY98-BT98</f>
        <v>0</v>
      </c>
      <c r="CA98" s="324">
        <v>12307392</v>
      </c>
      <c r="CB98" s="324">
        <v>0</v>
      </c>
      <c r="CC98" s="324">
        <v>0</v>
      </c>
      <c r="CD98" s="324">
        <f>CC98+CB98+CA98</f>
        <v>12307392</v>
      </c>
      <c r="CE98" s="324">
        <f>CD98-BY98</f>
        <v>0</v>
      </c>
      <c r="CF98" s="324">
        <v>1000000</v>
      </c>
      <c r="CG98" s="324">
        <v>0</v>
      </c>
      <c r="CH98" s="324">
        <v>0</v>
      </c>
      <c r="CI98" s="324">
        <f>CH98+CG98+CF98</f>
        <v>1000000</v>
      </c>
      <c r="CJ98" s="56">
        <f>CI98-CD98</f>
        <v>-11307392</v>
      </c>
      <c r="CK98" s="324">
        <v>1000000</v>
      </c>
      <c r="CL98" s="324">
        <v>0</v>
      </c>
      <c r="CM98" s="324">
        <v>0</v>
      </c>
      <c r="CN98" s="324">
        <f>CM98+CL98+CK98</f>
        <v>1000000</v>
      </c>
      <c r="CO98" s="324">
        <f>CN98-CI98</f>
        <v>0</v>
      </c>
      <c r="CP98" s="324">
        <v>1000000</v>
      </c>
      <c r="CQ98" s="324">
        <v>0</v>
      </c>
      <c r="CR98" s="324">
        <v>0</v>
      </c>
      <c r="CS98" s="324">
        <f>CR98+CQ98+CP98</f>
        <v>1000000</v>
      </c>
      <c r="CT98" s="324">
        <f>CS98-CN98</f>
        <v>0</v>
      </c>
      <c r="CU98" s="324">
        <v>1000000</v>
      </c>
      <c r="CV98" s="324">
        <v>0</v>
      </c>
      <c r="CW98" s="324">
        <v>0</v>
      </c>
      <c r="CX98" s="324">
        <f>CW98+CV98+CU98</f>
        <v>1000000</v>
      </c>
      <c r="CY98" s="324">
        <f>CX98-CS98</f>
        <v>0</v>
      </c>
      <c r="CZ98" s="324"/>
      <c r="DA98" s="324"/>
      <c r="DB98" s="324"/>
      <c r="DC98" s="12">
        <f>CX98*10%</f>
        <v>100000</v>
      </c>
      <c r="DD98" s="12">
        <v>0</v>
      </c>
      <c r="DE98" s="13">
        <f>DC98-DD98</f>
        <v>100000</v>
      </c>
      <c r="DF98" s="14">
        <f>DE98:DE98</f>
        <v>100000</v>
      </c>
      <c r="DG98" s="13">
        <f>DE98+CX98</f>
        <v>1100000</v>
      </c>
      <c r="DH98" s="8">
        <f>100/1278396949*CX98</f>
        <v>7.8222965158218624E-2</v>
      </c>
      <c r="DI98" s="16">
        <f>CX98</f>
        <v>1000000</v>
      </c>
      <c r="DJ98" s="132">
        <f>DI98*1.1</f>
        <v>1100000</v>
      </c>
      <c r="DK98" s="17">
        <f>DJ98-DI98</f>
        <v>100000</v>
      </c>
      <c r="DL98" s="17">
        <f>DD98</f>
        <v>0</v>
      </c>
      <c r="DM98" s="16">
        <f>DK98-DL98</f>
        <v>100000</v>
      </c>
      <c r="DN98" s="16">
        <f>DM98-DE98</f>
        <v>0</v>
      </c>
      <c r="DO98" s="16">
        <f>DM98+DI98</f>
        <v>1100000</v>
      </c>
      <c r="DP98" s="16">
        <f>DO98-DG98</f>
        <v>0</v>
      </c>
      <c r="DQ98" s="9">
        <v>1100000</v>
      </c>
      <c r="DR98" s="18" t="s">
        <v>238</v>
      </c>
      <c r="DS98" s="18" t="s">
        <v>238</v>
      </c>
      <c r="DT98" s="324">
        <f>DQ98+DR98+DS98</f>
        <v>1100000</v>
      </c>
      <c r="DU98" s="321">
        <f>DT98</f>
        <v>1100000</v>
      </c>
      <c r="DV98" s="19">
        <f>DT98-DG98</f>
        <v>0</v>
      </c>
      <c r="DW98" s="9">
        <v>1065000</v>
      </c>
      <c r="DX98" s="18"/>
      <c r="DY98" s="18"/>
      <c r="DZ98" s="324">
        <f>DW98+DX98+DY98</f>
        <v>1065000</v>
      </c>
      <c r="EA98" s="321">
        <f>DZ98</f>
        <v>1065000</v>
      </c>
      <c r="EB98" s="22">
        <f>DZ98-DT98</f>
        <v>-35000</v>
      </c>
      <c r="EC98" s="9">
        <v>1065000</v>
      </c>
      <c r="ED98" s="18" t="s">
        <v>238</v>
      </c>
      <c r="EE98" s="18" t="s">
        <v>238</v>
      </c>
      <c r="EF98" s="324">
        <f>EC98+ED98+EE98</f>
        <v>1065000</v>
      </c>
      <c r="EG98" s="321">
        <f>EF98</f>
        <v>1065000</v>
      </c>
      <c r="EH98" s="179">
        <f>EF98-DZ98</f>
        <v>0</v>
      </c>
      <c r="EI98" s="9">
        <v>1065000</v>
      </c>
      <c r="EJ98" s="18" t="s">
        <v>238</v>
      </c>
      <c r="EK98" s="18" t="s">
        <v>238</v>
      </c>
      <c r="EL98" s="324">
        <f>EI98+EJ98+EK98</f>
        <v>1065000</v>
      </c>
      <c r="EM98" s="321">
        <f>EL98</f>
        <v>1065000</v>
      </c>
      <c r="EN98" s="179">
        <f>EL98-EF98</f>
        <v>0</v>
      </c>
      <c r="EO98" s="9">
        <v>1065000</v>
      </c>
      <c r="EP98" s="18" t="s">
        <v>238</v>
      </c>
      <c r="EQ98" s="18" t="s">
        <v>238</v>
      </c>
      <c r="ER98" s="324">
        <f>EO98+EP98+EQ98</f>
        <v>1065000</v>
      </c>
      <c r="ES98" s="321">
        <f>ER98</f>
        <v>1065000</v>
      </c>
      <c r="ET98" s="179">
        <f>ER98-EL98</f>
        <v>0</v>
      </c>
      <c r="EU98" s="9">
        <v>1065000</v>
      </c>
      <c r="EV98" s="18" t="s">
        <v>238</v>
      </c>
      <c r="EW98" s="18" t="s">
        <v>238</v>
      </c>
      <c r="EX98" s="324">
        <f>EU98+EV98+EW98</f>
        <v>1065000</v>
      </c>
      <c r="EY98" s="321">
        <f>EX98</f>
        <v>1065000</v>
      </c>
      <c r="EZ98" s="179">
        <f>EX98-ER98</f>
        <v>0</v>
      </c>
      <c r="FA98" s="9">
        <v>1065000</v>
      </c>
      <c r="FB98" s="18" t="s">
        <v>238</v>
      </c>
      <c r="FC98" s="18" t="s">
        <v>238</v>
      </c>
      <c r="FD98" s="324">
        <f>FA98+FB98+FC98</f>
        <v>1065000</v>
      </c>
      <c r="FE98" s="321">
        <f>FD98</f>
        <v>1065000</v>
      </c>
      <c r="FF98" s="179">
        <f>FD98-EX98</f>
        <v>0</v>
      </c>
      <c r="FG98" s="9">
        <v>1065000</v>
      </c>
      <c r="FH98" s="18" t="s">
        <v>238</v>
      </c>
      <c r="FI98" s="18" t="s">
        <v>238</v>
      </c>
      <c r="FJ98" s="324">
        <f>FG98+FH98+FI98</f>
        <v>1065000</v>
      </c>
      <c r="FK98" s="321">
        <f>FJ98</f>
        <v>1065000</v>
      </c>
      <c r="FL98" s="179">
        <f>FJ98-FD98</f>
        <v>0</v>
      </c>
      <c r="FM98" s="9">
        <v>1065000</v>
      </c>
      <c r="FN98" s="18" t="s">
        <v>238</v>
      </c>
      <c r="FO98" s="18" t="s">
        <v>238</v>
      </c>
      <c r="FP98" s="324">
        <f>FM98+FN98+FO98</f>
        <v>1065000</v>
      </c>
      <c r="FQ98" s="321">
        <f>FP98</f>
        <v>1065000</v>
      </c>
      <c r="FR98" s="179">
        <f>FP98-FJ98</f>
        <v>0</v>
      </c>
      <c r="FS98" s="9">
        <v>1065000</v>
      </c>
      <c r="FT98" s="18" t="s">
        <v>238</v>
      </c>
      <c r="FU98" s="18" t="s">
        <v>238</v>
      </c>
      <c r="FV98" s="324">
        <f>FS98+FT98+FU98</f>
        <v>1065000</v>
      </c>
      <c r="FW98" s="321">
        <f>FV98</f>
        <v>1065000</v>
      </c>
      <c r="FX98" s="179">
        <f>FV98-FP98</f>
        <v>0</v>
      </c>
      <c r="FY98" s="9">
        <v>1065000</v>
      </c>
      <c r="FZ98" s="18" t="s">
        <v>238</v>
      </c>
      <c r="GA98" s="18" t="s">
        <v>238</v>
      </c>
      <c r="GB98" s="324">
        <f>FY98+FZ98+GA98</f>
        <v>1065000</v>
      </c>
      <c r="GC98" s="321">
        <f>GB98</f>
        <v>1065000</v>
      </c>
      <c r="GD98" s="179">
        <f>GB98-FV98</f>
        <v>0</v>
      </c>
      <c r="GE98" s="9">
        <v>1065000</v>
      </c>
      <c r="GF98" s="18" t="s">
        <v>238</v>
      </c>
      <c r="GG98" s="18" t="s">
        <v>238</v>
      </c>
      <c r="GH98" s="324">
        <f>GE98+GF98+GG98</f>
        <v>1065000</v>
      </c>
      <c r="GI98" s="321">
        <f>GH98</f>
        <v>1065000</v>
      </c>
      <c r="GJ98" s="179">
        <f>GH98-GB98</f>
        <v>0</v>
      </c>
      <c r="GK98" s="9">
        <v>1065000</v>
      </c>
      <c r="GL98" s="18" t="s">
        <v>238</v>
      </c>
      <c r="GM98" s="18" t="s">
        <v>238</v>
      </c>
      <c r="GN98" s="324">
        <f>GK98+GL98+GM98</f>
        <v>1065000</v>
      </c>
      <c r="GO98" s="321">
        <f>GN98</f>
        <v>1065000</v>
      </c>
      <c r="GP98" s="179">
        <f>GN98-GH98</f>
        <v>0</v>
      </c>
      <c r="GQ98" s="9">
        <v>1065000</v>
      </c>
      <c r="GR98" s="18" t="s">
        <v>238</v>
      </c>
      <c r="GS98" s="18" t="s">
        <v>238</v>
      </c>
      <c r="GT98" s="324">
        <f>GQ98+GR98+GS98</f>
        <v>1065000</v>
      </c>
      <c r="GU98" s="321">
        <f>GT98</f>
        <v>1065000</v>
      </c>
      <c r="GV98" s="179">
        <f>GT98-GN98</f>
        <v>0</v>
      </c>
      <c r="GW98" s="9">
        <v>1118250</v>
      </c>
      <c r="GX98" s="18" t="s">
        <v>238</v>
      </c>
      <c r="GY98" s="18" t="s">
        <v>238</v>
      </c>
      <c r="GZ98" s="324">
        <f>GW98+GX98+GY98</f>
        <v>1118250</v>
      </c>
      <c r="HA98" s="321">
        <f>GZ98</f>
        <v>1118250</v>
      </c>
      <c r="HB98" s="179">
        <f>GZ98-GT98</f>
        <v>53250</v>
      </c>
      <c r="HC98" s="102">
        <f>100/1406236643.9*GT98</f>
        <v>7.5734052630457127E-2</v>
      </c>
      <c r="HD98" s="285">
        <f>HB98-HO98</f>
        <v>0</v>
      </c>
      <c r="HE98" s="12">
        <f>GT98*0.05</f>
        <v>53250</v>
      </c>
      <c r="HF98" s="12">
        <f>IF(ISNUMBER(HE98), HE98-INT(HE98), "")</f>
        <v>0</v>
      </c>
      <c r="HG98" s="12">
        <f>HE98-HF98</f>
        <v>53250</v>
      </c>
      <c r="HH98" s="14">
        <f>HG98:HG98</f>
        <v>53250</v>
      </c>
      <c r="HI98" s="13">
        <f>HG98+GT98</f>
        <v>1118250</v>
      </c>
      <c r="HJ98" s="102">
        <f>100/1406236643.9*HI98</f>
        <v>7.9520755261979978E-2</v>
      </c>
      <c r="HK98" s="16">
        <f>GT98</f>
        <v>1065000</v>
      </c>
      <c r="HL98" s="103">
        <f>HK98*1.05</f>
        <v>1118250</v>
      </c>
      <c r="HM98" s="103">
        <f>HL98-HK98</f>
        <v>53250</v>
      </c>
      <c r="HN98" s="17">
        <f>HF98</f>
        <v>0</v>
      </c>
      <c r="HO98" s="56">
        <f>HM98-HN98</f>
        <v>53250</v>
      </c>
      <c r="HP98" s="16">
        <f>HO98-HG98</f>
        <v>0</v>
      </c>
      <c r="HQ98" s="16">
        <f>HO98+HK98</f>
        <v>1118250</v>
      </c>
      <c r="HR98" s="16">
        <f>HQ98-HI98</f>
        <v>0</v>
      </c>
    </row>
    <row r="99" spans="1:226" x14ac:dyDescent="0.3">
      <c r="A99" s="310"/>
      <c r="B99" s="280"/>
      <c r="C99" s="68" t="s">
        <v>651</v>
      </c>
      <c r="D99" s="187" t="s">
        <v>652</v>
      </c>
      <c r="E99" s="9"/>
      <c r="F99" s="9"/>
      <c r="G99" s="9"/>
      <c r="H99" s="324"/>
      <c r="I99" s="324"/>
      <c r="J99" s="324"/>
      <c r="K99" s="324"/>
      <c r="L99" s="324"/>
      <c r="M99" s="324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9"/>
      <c r="AD99" s="9"/>
      <c r="AE99" s="23"/>
      <c r="AF99" s="23"/>
      <c r="AG99" s="9"/>
      <c r="AH99" s="9"/>
      <c r="AI99" s="23"/>
      <c r="AJ99" s="23"/>
      <c r="AK99" s="9"/>
      <c r="AL99" s="9"/>
      <c r="AM99" s="23"/>
      <c r="AN99" s="23"/>
      <c r="AO99" s="9"/>
      <c r="AP99" s="9"/>
      <c r="AQ99" s="23"/>
      <c r="AR99" s="23"/>
      <c r="AS99" s="9"/>
      <c r="AT99" s="9"/>
      <c r="AU99" s="23"/>
      <c r="AV99" s="23"/>
      <c r="AW99" s="9"/>
      <c r="AX99" s="9"/>
      <c r="AY99" s="23"/>
      <c r="AZ99" s="8"/>
      <c r="BA99" s="8"/>
      <c r="BB99" s="8"/>
      <c r="BC99" s="8"/>
      <c r="BD99" s="8"/>
      <c r="BE99" s="8"/>
      <c r="BF99" s="10"/>
      <c r="BG99" s="10"/>
      <c r="BH99" s="324"/>
      <c r="BI99" s="324"/>
      <c r="BJ99" s="324"/>
      <c r="BK99" s="324"/>
      <c r="BL99" s="324"/>
      <c r="BM99" s="324"/>
      <c r="BN99" s="324"/>
      <c r="BO99" s="324"/>
      <c r="BP99" s="324"/>
      <c r="BQ99" s="324"/>
      <c r="BR99" s="324"/>
      <c r="BS99" s="324"/>
      <c r="BT99" s="324"/>
      <c r="BU99" s="56"/>
      <c r="BV99" s="324"/>
      <c r="BW99" s="324"/>
      <c r="BX99" s="324"/>
      <c r="BY99" s="324"/>
      <c r="BZ99" s="324"/>
      <c r="CA99" s="324"/>
      <c r="CB99" s="324"/>
      <c r="CC99" s="324"/>
      <c r="CD99" s="324"/>
      <c r="CE99" s="324"/>
      <c r="CF99" s="324"/>
      <c r="CG99" s="324"/>
      <c r="CH99" s="324"/>
      <c r="CI99" s="324"/>
      <c r="CJ99" s="56"/>
      <c r="CK99" s="324"/>
      <c r="CL99" s="324"/>
      <c r="CM99" s="324"/>
      <c r="CN99" s="324"/>
      <c r="CO99" s="324"/>
      <c r="CP99" s="324"/>
      <c r="CQ99" s="324"/>
      <c r="CR99" s="324"/>
      <c r="CS99" s="324"/>
      <c r="CT99" s="324"/>
      <c r="CU99" s="324"/>
      <c r="CV99" s="324"/>
      <c r="CW99" s="324"/>
      <c r="CX99" s="324"/>
      <c r="CY99" s="324"/>
      <c r="CZ99" s="324"/>
      <c r="DA99" s="324"/>
      <c r="DB99" s="324"/>
      <c r="DC99" s="12"/>
      <c r="DD99" s="12"/>
      <c r="DE99" s="13"/>
      <c r="DF99" s="14"/>
      <c r="DG99" s="13"/>
      <c r="DH99" s="8"/>
      <c r="DI99" s="16"/>
      <c r="DJ99" s="132"/>
      <c r="DK99" s="17"/>
      <c r="DL99" s="17"/>
      <c r="DM99" s="16"/>
      <c r="DN99" s="16"/>
      <c r="DO99" s="16"/>
      <c r="DP99" s="16"/>
      <c r="DQ99" s="9"/>
      <c r="DR99" s="18"/>
      <c r="DS99" s="18"/>
      <c r="DT99" s="324"/>
      <c r="DU99" s="321"/>
      <c r="DV99" s="19"/>
      <c r="DW99" s="9"/>
      <c r="DX99" s="18"/>
      <c r="DY99" s="18"/>
      <c r="DZ99" s="324"/>
      <c r="EA99" s="321"/>
      <c r="EB99" s="22"/>
      <c r="EC99" s="9"/>
      <c r="ED99" s="18"/>
      <c r="EE99" s="18"/>
      <c r="EF99" s="324"/>
      <c r="EG99" s="321"/>
      <c r="EH99" s="179"/>
      <c r="EI99" s="9"/>
      <c r="EJ99" s="18"/>
      <c r="EK99" s="18"/>
      <c r="EL99" s="324"/>
      <c r="EM99" s="321"/>
      <c r="EN99" s="179"/>
      <c r="EO99" s="9"/>
      <c r="EP99" s="18"/>
      <c r="EQ99" s="18"/>
      <c r="ER99" s="324"/>
      <c r="ES99" s="321"/>
      <c r="ET99" s="179"/>
      <c r="EU99" s="9"/>
      <c r="EV99" s="18"/>
      <c r="EW99" s="18"/>
      <c r="EX99" s="324"/>
      <c r="EY99" s="321"/>
      <c r="EZ99" s="179"/>
      <c r="FA99" s="68">
        <v>12436950</v>
      </c>
      <c r="FB99" s="68">
        <v>0</v>
      </c>
      <c r="FC99" s="68">
        <v>0</v>
      </c>
      <c r="FD99" s="324">
        <f>FA99+FB99+FC99</f>
        <v>12436950</v>
      </c>
      <c r="FE99" s="321">
        <f>FD99</f>
        <v>12436950</v>
      </c>
      <c r="FF99" s="179">
        <f>FD99-EX99</f>
        <v>12436950</v>
      </c>
      <c r="FG99" s="68">
        <v>9376950</v>
      </c>
      <c r="FH99" s="18" t="s">
        <v>238</v>
      </c>
      <c r="FI99" s="18" t="s">
        <v>238</v>
      </c>
      <c r="FJ99" s="324">
        <f>FG99+FH99+FI99</f>
        <v>9376950</v>
      </c>
      <c r="FK99" s="321">
        <f>FJ99</f>
        <v>9376950</v>
      </c>
      <c r="FL99" s="22">
        <f>FJ99-FD99</f>
        <v>-3060000</v>
      </c>
      <c r="FM99" s="68">
        <v>9376950</v>
      </c>
      <c r="FN99" s="18" t="s">
        <v>238</v>
      </c>
      <c r="FO99" s="18" t="s">
        <v>238</v>
      </c>
      <c r="FP99" s="324">
        <f>FM99+FN99+FO99</f>
        <v>9376950</v>
      </c>
      <c r="FQ99" s="321">
        <f>FP99</f>
        <v>9376950</v>
      </c>
      <c r="FR99" s="179">
        <f>FP99-FJ99</f>
        <v>0</v>
      </c>
      <c r="FS99" s="68">
        <v>9376950</v>
      </c>
      <c r="FT99" s="18" t="s">
        <v>238</v>
      </c>
      <c r="FU99" s="18" t="s">
        <v>238</v>
      </c>
      <c r="FV99" s="324">
        <f>FS99+FT99+FU99</f>
        <v>9376950</v>
      </c>
      <c r="FW99" s="321">
        <f>FV99</f>
        <v>9376950</v>
      </c>
      <c r="FX99" s="179">
        <f>FV99-FP99</f>
        <v>0</v>
      </c>
      <c r="FY99" s="68">
        <v>9376950</v>
      </c>
      <c r="FZ99" s="18" t="s">
        <v>238</v>
      </c>
      <c r="GA99" s="18" t="s">
        <v>238</v>
      </c>
      <c r="GB99" s="324">
        <f>FY99+FZ99+GA99</f>
        <v>9376950</v>
      </c>
      <c r="GC99" s="321">
        <f>GB99</f>
        <v>9376950</v>
      </c>
      <c r="GD99" s="179">
        <f>GB99-FV99</f>
        <v>0</v>
      </c>
      <c r="GE99" s="68">
        <v>9376950</v>
      </c>
      <c r="GF99" s="18" t="s">
        <v>238</v>
      </c>
      <c r="GG99" s="18" t="s">
        <v>238</v>
      </c>
      <c r="GH99" s="324">
        <f>GE99+GF99+GG99</f>
        <v>9376950</v>
      </c>
      <c r="GI99" s="321">
        <f>GH99</f>
        <v>9376950</v>
      </c>
      <c r="GJ99" s="179">
        <f>GH99-GB99</f>
        <v>0</v>
      </c>
      <c r="GK99" s="68">
        <v>9376950</v>
      </c>
      <c r="GL99" s="18" t="s">
        <v>238</v>
      </c>
      <c r="GM99" s="18" t="s">
        <v>238</v>
      </c>
      <c r="GN99" s="324">
        <f>GK99+GL99+GM99</f>
        <v>9376950</v>
      </c>
      <c r="GO99" s="321">
        <f>GN99</f>
        <v>9376950</v>
      </c>
      <c r="GP99" s="179">
        <f>GN99-GH99</f>
        <v>0</v>
      </c>
      <c r="GQ99" s="68">
        <v>9376950</v>
      </c>
      <c r="GR99" s="18" t="s">
        <v>238</v>
      </c>
      <c r="GS99" s="18" t="s">
        <v>238</v>
      </c>
      <c r="GT99" s="324">
        <f>GQ99+GR99+GS99</f>
        <v>9376950</v>
      </c>
      <c r="GU99" s="321">
        <f>GT99</f>
        <v>9376950</v>
      </c>
      <c r="GV99" s="179">
        <f>GT99-GN99</f>
        <v>0</v>
      </c>
      <c r="GW99" s="68">
        <v>9845797</v>
      </c>
      <c r="GX99" s="18" t="s">
        <v>238</v>
      </c>
      <c r="GY99" s="18" t="s">
        <v>238</v>
      </c>
      <c r="GZ99" s="324">
        <f>GW99+GX99+GY99</f>
        <v>9845797</v>
      </c>
      <c r="HA99" s="321">
        <f>GZ99</f>
        <v>9845797</v>
      </c>
      <c r="HB99" s="179">
        <f>GZ99-GT99</f>
        <v>468847</v>
      </c>
      <c r="HC99" s="102">
        <f>100/1406236643.9*GT99</f>
        <v>0.66681166649123469</v>
      </c>
      <c r="HD99" s="285">
        <f>HB99-HO99</f>
        <v>0</v>
      </c>
      <c r="HE99" s="12">
        <f>GT99*0.05</f>
        <v>468847.5</v>
      </c>
      <c r="HF99" s="12">
        <f>IF(ISNUMBER(HE99), HE99-INT(HE99), "")</f>
        <v>0.5</v>
      </c>
      <c r="HG99" s="12">
        <f>HE99-HF99</f>
        <v>468847</v>
      </c>
      <c r="HH99" s="14">
        <f>HG99:HG99</f>
        <v>468847</v>
      </c>
      <c r="HI99" s="13">
        <f>HG99+GT99</f>
        <v>9845797</v>
      </c>
      <c r="HJ99" s="102">
        <f>100/1406236643.9*HI99</f>
        <v>0.70015221425990315</v>
      </c>
      <c r="HK99" s="16">
        <f>GT99</f>
        <v>9376950</v>
      </c>
      <c r="HL99" s="103">
        <f>HK99*1.05</f>
        <v>9845797.5</v>
      </c>
      <c r="HM99" s="103">
        <f>HL99-HK99</f>
        <v>468847.5</v>
      </c>
      <c r="HN99" s="17">
        <f>HF99</f>
        <v>0.5</v>
      </c>
      <c r="HO99" s="56">
        <f>HM99-HN99</f>
        <v>468847</v>
      </c>
      <c r="HP99" s="16">
        <f>HO99-HG99</f>
        <v>0</v>
      </c>
      <c r="HQ99" s="16">
        <f>HO99+HK99</f>
        <v>9845797</v>
      </c>
      <c r="HR99" s="16">
        <f>HQ99-HI99</f>
        <v>0</v>
      </c>
    </row>
    <row r="100" spans="1:226" x14ac:dyDescent="0.3"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DI100" s="20"/>
    </row>
    <row r="101" spans="1:226" x14ac:dyDescent="0.3">
      <c r="A101" s="115"/>
      <c r="B101" s="115"/>
      <c r="C101" s="115"/>
      <c r="D101" s="116" t="s">
        <v>370</v>
      </c>
      <c r="E101" s="121">
        <f t="shared" ref="E101:BP101" si="289">SUM(E97:E99)</f>
        <v>0</v>
      </c>
      <c r="F101" s="121">
        <f t="shared" si="289"/>
        <v>0</v>
      </c>
      <c r="G101" s="121">
        <f t="shared" si="289"/>
        <v>0</v>
      </c>
      <c r="H101" s="121">
        <f t="shared" si="289"/>
        <v>0</v>
      </c>
      <c r="I101" s="121">
        <f t="shared" si="289"/>
        <v>11172350</v>
      </c>
      <c r="J101" s="121">
        <f t="shared" si="289"/>
        <v>0</v>
      </c>
      <c r="K101" s="121">
        <f t="shared" si="289"/>
        <v>0</v>
      </c>
      <c r="L101" s="121">
        <f t="shared" si="289"/>
        <v>11172350</v>
      </c>
      <c r="M101" s="121">
        <f t="shared" si="289"/>
        <v>11172350</v>
      </c>
      <c r="N101" s="121">
        <f t="shared" si="289"/>
        <v>11172350</v>
      </c>
      <c r="O101" s="121">
        <f t="shared" si="289"/>
        <v>11172350</v>
      </c>
      <c r="P101" s="121">
        <f t="shared" si="289"/>
        <v>11172350</v>
      </c>
      <c r="Q101" s="121">
        <f t="shared" si="289"/>
        <v>11172350</v>
      </c>
      <c r="R101" s="121">
        <f t="shared" si="289"/>
        <v>11172350</v>
      </c>
      <c r="S101" s="121">
        <f t="shared" si="289"/>
        <v>11182256</v>
      </c>
      <c r="T101" s="121">
        <f t="shared" si="289"/>
        <v>11182256</v>
      </c>
      <c r="U101" s="121">
        <f t="shared" si="289"/>
        <v>559112.80000000005</v>
      </c>
      <c r="V101" s="121">
        <f t="shared" si="289"/>
        <v>11741368.800000001</v>
      </c>
      <c r="W101" s="121">
        <f t="shared" si="289"/>
        <v>11741368</v>
      </c>
      <c r="X101" s="121">
        <f t="shared" si="289"/>
        <v>11741368</v>
      </c>
      <c r="Y101" s="121">
        <f t="shared" si="289"/>
        <v>11741368</v>
      </c>
      <c r="Z101" s="121">
        <f t="shared" si="289"/>
        <v>11741368</v>
      </c>
      <c r="AA101" s="121">
        <f t="shared" si="289"/>
        <v>11741368</v>
      </c>
      <c r="AB101" s="121">
        <f t="shared" si="289"/>
        <v>11741368</v>
      </c>
      <c r="AC101" s="121">
        <f t="shared" si="289"/>
        <v>0</v>
      </c>
      <c r="AD101" s="121">
        <f t="shared" si="289"/>
        <v>0</v>
      </c>
      <c r="AE101" s="121">
        <f t="shared" si="289"/>
        <v>11741368</v>
      </c>
      <c r="AF101" s="121">
        <f t="shared" si="289"/>
        <v>11741368</v>
      </c>
      <c r="AG101" s="121">
        <f t="shared" si="289"/>
        <v>0</v>
      </c>
      <c r="AH101" s="121">
        <f t="shared" si="289"/>
        <v>0</v>
      </c>
      <c r="AI101" s="121">
        <f t="shared" si="289"/>
        <v>11741368</v>
      </c>
      <c r="AJ101" s="121">
        <f t="shared" si="289"/>
        <v>11741368</v>
      </c>
      <c r="AK101" s="121">
        <f t="shared" si="289"/>
        <v>0</v>
      </c>
      <c r="AL101" s="121">
        <f t="shared" si="289"/>
        <v>0</v>
      </c>
      <c r="AM101" s="121">
        <f t="shared" si="289"/>
        <v>11741368</v>
      </c>
      <c r="AN101" s="121">
        <f t="shared" si="289"/>
        <v>11741368</v>
      </c>
      <c r="AO101" s="121">
        <f t="shared" si="289"/>
        <v>0</v>
      </c>
      <c r="AP101" s="121">
        <f t="shared" si="289"/>
        <v>0</v>
      </c>
      <c r="AQ101" s="121">
        <f t="shared" si="289"/>
        <v>11741368</v>
      </c>
      <c r="AR101" s="121">
        <f t="shared" si="289"/>
        <v>11733963</v>
      </c>
      <c r="AS101" s="121">
        <f t="shared" si="289"/>
        <v>0</v>
      </c>
      <c r="AT101" s="121">
        <f t="shared" si="289"/>
        <v>0</v>
      </c>
      <c r="AU101" s="121">
        <f t="shared" si="289"/>
        <v>11733963</v>
      </c>
      <c r="AV101" s="121">
        <f t="shared" si="289"/>
        <v>11733963</v>
      </c>
      <c r="AW101" s="121">
        <f t="shared" si="289"/>
        <v>0</v>
      </c>
      <c r="AX101" s="121">
        <f t="shared" si="289"/>
        <v>0</v>
      </c>
      <c r="AY101" s="121">
        <f t="shared" si="289"/>
        <v>11733963</v>
      </c>
      <c r="AZ101" s="121">
        <f t="shared" si="289"/>
        <v>586698.15</v>
      </c>
      <c r="BA101" s="121">
        <f t="shared" si="289"/>
        <v>0.15</v>
      </c>
      <c r="BB101" s="121">
        <f t="shared" si="289"/>
        <v>586698</v>
      </c>
      <c r="BC101" s="121">
        <f t="shared" si="289"/>
        <v>12320661</v>
      </c>
      <c r="BD101" s="121">
        <f t="shared" si="289"/>
        <v>0</v>
      </c>
      <c r="BE101" s="121">
        <f t="shared" si="289"/>
        <v>12320661</v>
      </c>
      <c r="BF101" s="121">
        <f t="shared" si="289"/>
        <v>586698</v>
      </c>
      <c r="BG101" s="121">
        <f t="shared" si="289"/>
        <v>0</v>
      </c>
      <c r="BH101" s="121">
        <f t="shared" si="289"/>
        <v>12320661</v>
      </c>
      <c r="BI101" s="121">
        <f t="shared" si="289"/>
        <v>0</v>
      </c>
      <c r="BJ101" s="121">
        <f t="shared" si="289"/>
        <v>0</v>
      </c>
      <c r="BK101" s="121">
        <f t="shared" si="289"/>
        <v>12320661</v>
      </c>
      <c r="BL101" s="121">
        <f t="shared" si="289"/>
        <v>12320661</v>
      </c>
      <c r="BM101" s="121">
        <f t="shared" si="289"/>
        <v>0</v>
      </c>
      <c r="BN101" s="121">
        <f t="shared" si="289"/>
        <v>0</v>
      </c>
      <c r="BO101" s="121">
        <f t="shared" si="289"/>
        <v>12320661</v>
      </c>
      <c r="BP101" s="121">
        <f t="shared" si="289"/>
        <v>0</v>
      </c>
      <c r="BQ101" s="121">
        <f t="shared" ref="BQ101:EB101" si="290">SUM(BQ97:BQ99)</f>
        <v>12307392</v>
      </c>
      <c r="BR101" s="121">
        <f t="shared" si="290"/>
        <v>0</v>
      </c>
      <c r="BS101" s="121">
        <f t="shared" si="290"/>
        <v>0</v>
      </c>
      <c r="BT101" s="121">
        <f t="shared" si="290"/>
        <v>12307392</v>
      </c>
      <c r="BU101" s="121">
        <f t="shared" si="290"/>
        <v>-13269</v>
      </c>
      <c r="BV101" s="121">
        <f t="shared" si="290"/>
        <v>12307392</v>
      </c>
      <c r="BW101" s="121">
        <f t="shared" si="290"/>
        <v>0</v>
      </c>
      <c r="BX101" s="121">
        <f t="shared" si="290"/>
        <v>0</v>
      </c>
      <c r="BY101" s="121">
        <f t="shared" si="290"/>
        <v>12307392</v>
      </c>
      <c r="BZ101" s="121">
        <f t="shared" si="290"/>
        <v>0</v>
      </c>
      <c r="CA101" s="121">
        <f t="shared" si="290"/>
        <v>12307392</v>
      </c>
      <c r="CB101" s="121">
        <f t="shared" si="290"/>
        <v>0</v>
      </c>
      <c r="CC101" s="121">
        <f t="shared" si="290"/>
        <v>0</v>
      </c>
      <c r="CD101" s="121">
        <f t="shared" si="290"/>
        <v>12307392</v>
      </c>
      <c r="CE101" s="121">
        <f t="shared" si="290"/>
        <v>0</v>
      </c>
      <c r="CF101" s="121">
        <f t="shared" si="290"/>
        <v>1000000</v>
      </c>
      <c r="CG101" s="121">
        <f t="shared" si="290"/>
        <v>0</v>
      </c>
      <c r="CH101" s="121">
        <f t="shared" si="290"/>
        <v>0</v>
      </c>
      <c r="CI101" s="121">
        <f t="shared" si="290"/>
        <v>1000000</v>
      </c>
      <c r="CJ101" s="121">
        <f t="shared" si="290"/>
        <v>-11307392</v>
      </c>
      <c r="CK101" s="121">
        <f t="shared" si="290"/>
        <v>1000000</v>
      </c>
      <c r="CL101" s="121">
        <f t="shared" si="290"/>
        <v>0</v>
      </c>
      <c r="CM101" s="121">
        <f t="shared" si="290"/>
        <v>0</v>
      </c>
      <c r="CN101" s="121">
        <f t="shared" si="290"/>
        <v>1000000</v>
      </c>
      <c r="CO101" s="121">
        <f t="shared" si="290"/>
        <v>0</v>
      </c>
      <c r="CP101" s="121">
        <f t="shared" si="290"/>
        <v>1000000</v>
      </c>
      <c r="CQ101" s="121">
        <f t="shared" si="290"/>
        <v>0</v>
      </c>
      <c r="CR101" s="121">
        <f t="shared" si="290"/>
        <v>0</v>
      </c>
      <c r="CS101" s="121">
        <f t="shared" si="290"/>
        <v>1000000</v>
      </c>
      <c r="CT101" s="121">
        <f t="shared" si="290"/>
        <v>0</v>
      </c>
      <c r="CU101" s="121">
        <f t="shared" si="290"/>
        <v>1000000</v>
      </c>
      <c r="CV101" s="121">
        <f t="shared" si="290"/>
        <v>0</v>
      </c>
      <c r="CW101" s="121">
        <f t="shared" si="290"/>
        <v>0</v>
      </c>
      <c r="CX101" s="121">
        <f t="shared" si="290"/>
        <v>1000000</v>
      </c>
      <c r="CY101" s="121">
        <f t="shared" si="290"/>
        <v>0</v>
      </c>
      <c r="CZ101" s="121">
        <f t="shared" si="290"/>
        <v>0</v>
      </c>
      <c r="DA101" s="121">
        <f t="shared" si="290"/>
        <v>0</v>
      </c>
      <c r="DB101" s="121">
        <f t="shared" si="290"/>
        <v>0</v>
      </c>
      <c r="DC101" s="121">
        <f t="shared" si="290"/>
        <v>100000</v>
      </c>
      <c r="DD101" s="121">
        <f t="shared" si="290"/>
        <v>0</v>
      </c>
      <c r="DE101" s="121">
        <f t="shared" si="290"/>
        <v>100000</v>
      </c>
      <c r="DF101" s="121">
        <f t="shared" si="290"/>
        <v>100000</v>
      </c>
      <c r="DG101" s="121">
        <f t="shared" si="290"/>
        <v>1100000</v>
      </c>
      <c r="DH101" s="121">
        <f t="shared" si="290"/>
        <v>7.8222965158218624E-2</v>
      </c>
      <c r="DI101" s="121">
        <f t="shared" si="290"/>
        <v>1000000</v>
      </c>
      <c r="DJ101" s="121">
        <f t="shared" si="290"/>
        <v>1100000</v>
      </c>
      <c r="DK101" s="121">
        <f t="shared" si="290"/>
        <v>100000</v>
      </c>
      <c r="DL101" s="121">
        <f t="shared" si="290"/>
        <v>0</v>
      </c>
      <c r="DM101" s="121">
        <f t="shared" si="290"/>
        <v>100000</v>
      </c>
      <c r="DN101" s="121">
        <f t="shared" si="290"/>
        <v>0</v>
      </c>
      <c r="DO101" s="121">
        <f t="shared" si="290"/>
        <v>1100000</v>
      </c>
      <c r="DP101" s="121">
        <f t="shared" si="290"/>
        <v>0</v>
      </c>
      <c r="DQ101" s="121">
        <f t="shared" si="290"/>
        <v>1100000</v>
      </c>
      <c r="DR101" s="121">
        <f t="shared" si="290"/>
        <v>0</v>
      </c>
      <c r="DS101" s="121">
        <f t="shared" si="290"/>
        <v>0</v>
      </c>
      <c r="DT101" s="121">
        <f t="shared" si="290"/>
        <v>1100000</v>
      </c>
      <c r="DU101" s="121">
        <f t="shared" si="290"/>
        <v>1100000</v>
      </c>
      <c r="DV101" s="121">
        <f t="shared" si="290"/>
        <v>0</v>
      </c>
      <c r="DW101" s="121">
        <f t="shared" si="290"/>
        <v>1065000</v>
      </c>
      <c r="DX101" s="121">
        <f t="shared" si="290"/>
        <v>0</v>
      </c>
      <c r="DY101" s="121">
        <f t="shared" si="290"/>
        <v>0</v>
      </c>
      <c r="DZ101" s="121">
        <f t="shared" si="290"/>
        <v>1065000</v>
      </c>
      <c r="EA101" s="121">
        <f t="shared" si="290"/>
        <v>1065000</v>
      </c>
      <c r="EB101" s="121">
        <f t="shared" si="290"/>
        <v>-35000</v>
      </c>
      <c r="EC101" s="121">
        <f t="shared" ref="EC101:FL101" si="291">SUM(EC97:EC99)</f>
        <v>1065000</v>
      </c>
      <c r="ED101" s="121">
        <f t="shared" si="291"/>
        <v>0</v>
      </c>
      <c r="EE101" s="121">
        <f t="shared" si="291"/>
        <v>0</v>
      </c>
      <c r="EF101" s="121">
        <f t="shared" si="291"/>
        <v>1065000</v>
      </c>
      <c r="EG101" s="121">
        <f t="shared" si="291"/>
        <v>1065000</v>
      </c>
      <c r="EH101" s="121">
        <f t="shared" si="291"/>
        <v>0</v>
      </c>
      <c r="EI101" s="121">
        <f t="shared" si="291"/>
        <v>1065000</v>
      </c>
      <c r="EJ101" s="121">
        <f t="shared" si="291"/>
        <v>0</v>
      </c>
      <c r="EK101" s="121">
        <f t="shared" si="291"/>
        <v>0</v>
      </c>
      <c r="EL101" s="121">
        <f t="shared" si="291"/>
        <v>1065000</v>
      </c>
      <c r="EM101" s="121">
        <f t="shared" si="291"/>
        <v>1065000</v>
      </c>
      <c r="EN101" s="121">
        <f t="shared" si="291"/>
        <v>0</v>
      </c>
      <c r="EO101" s="121">
        <f t="shared" si="291"/>
        <v>1065000</v>
      </c>
      <c r="EP101" s="121">
        <f t="shared" si="291"/>
        <v>0</v>
      </c>
      <c r="EQ101" s="121">
        <f t="shared" si="291"/>
        <v>0</v>
      </c>
      <c r="ER101" s="121">
        <f t="shared" si="291"/>
        <v>1065000</v>
      </c>
      <c r="ES101" s="121">
        <f t="shared" si="291"/>
        <v>1065000</v>
      </c>
      <c r="ET101" s="121">
        <f t="shared" si="291"/>
        <v>0</v>
      </c>
      <c r="EU101" s="121">
        <f t="shared" si="291"/>
        <v>1065000</v>
      </c>
      <c r="EV101" s="121">
        <f t="shared" si="291"/>
        <v>0</v>
      </c>
      <c r="EW101" s="121">
        <f t="shared" si="291"/>
        <v>0</v>
      </c>
      <c r="EX101" s="121">
        <f t="shared" si="291"/>
        <v>1065000</v>
      </c>
      <c r="EY101" s="121">
        <f t="shared" si="291"/>
        <v>1065000</v>
      </c>
      <c r="EZ101" s="121">
        <f t="shared" si="291"/>
        <v>0</v>
      </c>
      <c r="FA101" s="121">
        <f t="shared" si="291"/>
        <v>13501950</v>
      </c>
      <c r="FB101" s="121">
        <f t="shared" si="291"/>
        <v>0</v>
      </c>
      <c r="FC101" s="121">
        <f t="shared" si="291"/>
        <v>0</v>
      </c>
      <c r="FD101" s="121">
        <f t="shared" si="291"/>
        <v>13501950</v>
      </c>
      <c r="FE101" s="121">
        <f t="shared" si="291"/>
        <v>13501950</v>
      </c>
      <c r="FF101" s="121">
        <f t="shared" si="291"/>
        <v>12436950</v>
      </c>
      <c r="FG101" s="121">
        <f t="shared" si="291"/>
        <v>10441950</v>
      </c>
      <c r="FH101" s="121">
        <f t="shared" si="291"/>
        <v>0</v>
      </c>
      <c r="FI101" s="121">
        <f t="shared" si="291"/>
        <v>0</v>
      </c>
      <c r="FJ101" s="121">
        <f t="shared" si="291"/>
        <v>10441950</v>
      </c>
      <c r="FK101" s="121">
        <f t="shared" si="291"/>
        <v>10441950</v>
      </c>
      <c r="FL101" s="121">
        <f t="shared" si="291"/>
        <v>-3060000</v>
      </c>
      <c r="FM101" s="121">
        <f t="shared" ref="FM101:FR101" si="292">SUM(FM97:FM99)</f>
        <v>10441950</v>
      </c>
      <c r="FN101" s="121">
        <f t="shared" si="292"/>
        <v>0</v>
      </c>
      <c r="FO101" s="121">
        <f t="shared" si="292"/>
        <v>0</v>
      </c>
      <c r="FP101" s="121">
        <f t="shared" si="292"/>
        <v>10441950</v>
      </c>
      <c r="FQ101" s="121">
        <f t="shared" si="292"/>
        <v>10441950</v>
      </c>
      <c r="FR101" s="121">
        <f t="shared" si="292"/>
        <v>0</v>
      </c>
      <c r="FS101" s="121">
        <f t="shared" ref="FS101:FX101" si="293">SUM(FS97:FS99)</f>
        <v>10441950</v>
      </c>
      <c r="FT101" s="121">
        <f t="shared" si="293"/>
        <v>0</v>
      </c>
      <c r="FU101" s="121">
        <f t="shared" si="293"/>
        <v>0</v>
      </c>
      <c r="FV101" s="121">
        <f t="shared" si="293"/>
        <v>10441950</v>
      </c>
      <c r="FW101" s="121">
        <f t="shared" si="293"/>
        <v>10441950</v>
      </c>
      <c r="FX101" s="121">
        <f t="shared" si="293"/>
        <v>0</v>
      </c>
      <c r="FY101" s="121">
        <f t="shared" ref="FY101:GD101" si="294">SUM(FY97:FY99)</f>
        <v>10441950</v>
      </c>
      <c r="FZ101" s="121">
        <f t="shared" si="294"/>
        <v>0</v>
      </c>
      <c r="GA101" s="121">
        <f t="shared" si="294"/>
        <v>0</v>
      </c>
      <c r="GB101" s="121">
        <f t="shared" si="294"/>
        <v>10441950</v>
      </c>
      <c r="GC101" s="121">
        <f t="shared" si="294"/>
        <v>10441950</v>
      </c>
      <c r="GD101" s="121">
        <f t="shared" si="294"/>
        <v>0</v>
      </c>
      <c r="GE101" s="121">
        <f t="shared" ref="GE101:GJ101" si="295">SUM(GE97:GE99)</f>
        <v>10441950</v>
      </c>
      <c r="GF101" s="121">
        <f t="shared" si="295"/>
        <v>0</v>
      </c>
      <c r="GG101" s="121">
        <f t="shared" si="295"/>
        <v>0</v>
      </c>
      <c r="GH101" s="121">
        <f t="shared" si="295"/>
        <v>10441950</v>
      </c>
      <c r="GI101" s="121">
        <f t="shared" si="295"/>
        <v>10441950</v>
      </c>
      <c r="GJ101" s="121">
        <f t="shared" si="295"/>
        <v>0</v>
      </c>
      <c r="GK101" s="121">
        <f t="shared" ref="GK101:GP101" si="296">SUM(GK97:GK99)</f>
        <v>10441950</v>
      </c>
      <c r="GL101" s="121">
        <f t="shared" si="296"/>
        <v>0</v>
      </c>
      <c r="GM101" s="121">
        <f t="shared" si="296"/>
        <v>0</v>
      </c>
      <c r="GN101" s="121">
        <f t="shared" si="296"/>
        <v>10441950</v>
      </c>
      <c r="GO101" s="121">
        <f t="shared" si="296"/>
        <v>10441950</v>
      </c>
      <c r="GP101" s="121">
        <f t="shared" si="296"/>
        <v>0</v>
      </c>
      <c r="GQ101" s="121">
        <f t="shared" ref="GQ101:GV101" si="297">SUM(GQ97:GQ99)</f>
        <v>10441950</v>
      </c>
      <c r="GR101" s="121">
        <f t="shared" si="297"/>
        <v>0</v>
      </c>
      <c r="GS101" s="121">
        <f t="shared" si="297"/>
        <v>0</v>
      </c>
      <c r="GT101" s="121">
        <f t="shared" si="297"/>
        <v>10441950</v>
      </c>
      <c r="GU101" s="121">
        <f t="shared" si="297"/>
        <v>10441950</v>
      </c>
      <c r="GV101" s="121">
        <f t="shared" si="297"/>
        <v>0</v>
      </c>
      <c r="GW101" s="121">
        <f t="shared" ref="GW101:HB101" si="298">SUM(GW97:GW99)</f>
        <v>10964047</v>
      </c>
      <c r="GX101" s="121">
        <f t="shared" si="298"/>
        <v>0</v>
      </c>
      <c r="GY101" s="121">
        <f t="shared" si="298"/>
        <v>0</v>
      </c>
      <c r="GZ101" s="121">
        <f t="shared" si="298"/>
        <v>10964047</v>
      </c>
      <c r="HA101" s="121">
        <f t="shared" si="298"/>
        <v>10964047</v>
      </c>
      <c r="HB101" s="121">
        <f t="shared" si="298"/>
        <v>522097</v>
      </c>
      <c r="HC101" s="121">
        <f>SUM(HC97:HC99)</f>
        <v>0.74254571912169176</v>
      </c>
    </row>
    <row r="102" spans="1:226" x14ac:dyDescent="0.3"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DI102" s="20"/>
    </row>
    <row r="103" spans="1:226" ht="42" customHeight="1" x14ac:dyDescent="0.3"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DI103" s="20"/>
      <c r="FR103" s="87" t="s">
        <v>657</v>
      </c>
      <c r="FS103" s="423" t="s">
        <v>661</v>
      </c>
      <c r="FT103" s="424"/>
      <c r="FU103" s="424"/>
      <c r="FV103" s="424"/>
      <c r="FW103" s="425"/>
      <c r="FX103" s="87" t="s">
        <v>663</v>
      </c>
      <c r="FY103" s="423" t="s">
        <v>665</v>
      </c>
      <c r="FZ103" s="424"/>
      <c r="GA103" s="424"/>
      <c r="GB103" s="424"/>
      <c r="GC103" s="425"/>
      <c r="GD103" s="87" t="s">
        <v>666</v>
      </c>
      <c r="GE103" s="423" t="s">
        <v>668</v>
      </c>
      <c r="GF103" s="424"/>
      <c r="GG103" s="424"/>
      <c r="GH103" s="424"/>
      <c r="GI103" s="425"/>
      <c r="GJ103" s="87" t="s">
        <v>669</v>
      </c>
      <c r="GK103" s="423" t="s">
        <v>671</v>
      </c>
      <c r="GL103" s="424"/>
      <c r="GM103" s="424"/>
      <c r="GN103" s="424"/>
      <c r="GO103" s="425"/>
      <c r="GP103" s="87" t="s">
        <v>672</v>
      </c>
      <c r="GQ103" s="423" t="s">
        <v>674</v>
      </c>
      <c r="GR103" s="424"/>
      <c r="GS103" s="424"/>
      <c r="GT103" s="424"/>
      <c r="GU103" s="425"/>
      <c r="GV103" s="87" t="s">
        <v>675</v>
      </c>
      <c r="GW103" s="423" t="s">
        <v>696</v>
      </c>
      <c r="GX103" s="424"/>
      <c r="GY103" s="424"/>
      <c r="GZ103" s="424"/>
      <c r="HA103" s="425"/>
      <c r="HB103" s="87" t="s">
        <v>697</v>
      </c>
      <c r="HC103" s="85" t="s">
        <v>2</v>
      </c>
      <c r="HD103" s="6"/>
      <c r="HE103" s="439" t="s">
        <v>678</v>
      </c>
      <c r="HF103" s="439"/>
      <c r="HG103" s="439"/>
      <c r="HH103" s="439"/>
      <c r="HI103" s="439"/>
      <c r="HJ103" s="85" t="s">
        <v>2</v>
      </c>
      <c r="HK103" s="593" t="s">
        <v>698</v>
      </c>
      <c r="HL103" s="594"/>
      <c r="HM103" s="594"/>
      <c r="HN103" s="594"/>
      <c r="HO103" s="594"/>
      <c r="HP103" s="594"/>
      <c r="HQ103" s="594"/>
      <c r="HR103" s="594"/>
    </row>
    <row r="104" spans="1:226" s="74" customFormat="1" ht="52.5" customHeight="1" x14ac:dyDescent="0.3">
      <c r="A104" s="85" t="s">
        <v>0</v>
      </c>
      <c r="B104" s="85" t="s">
        <v>1</v>
      </c>
      <c r="C104" s="85" t="s">
        <v>217</v>
      </c>
      <c r="D104" s="86" t="s">
        <v>218</v>
      </c>
      <c r="E104" s="87" t="s">
        <v>233</v>
      </c>
      <c r="F104" s="87" t="s">
        <v>234</v>
      </c>
      <c r="G104" s="87" t="s">
        <v>235</v>
      </c>
      <c r="H104" s="87" t="s">
        <v>383</v>
      </c>
      <c r="I104" s="87" t="s">
        <v>382</v>
      </c>
      <c r="J104" s="87" t="s">
        <v>381</v>
      </c>
      <c r="K104" s="87" t="s">
        <v>380</v>
      </c>
      <c r="L104" s="87" t="s">
        <v>379</v>
      </c>
      <c r="M104" s="87" t="s">
        <v>378</v>
      </c>
      <c r="N104" s="87" t="s">
        <v>377</v>
      </c>
      <c r="O104" s="87" t="s">
        <v>394</v>
      </c>
      <c r="P104" s="87" t="s">
        <v>413</v>
      </c>
      <c r="Q104" s="87" t="s">
        <v>415</v>
      </c>
      <c r="R104" s="87" t="s">
        <v>417</v>
      </c>
      <c r="S104" s="87" t="s">
        <v>420</v>
      </c>
      <c r="T104" s="87" t="s">
        <v>421</v>
      </c>
      <c r="U104" s="87" t="s">
        <v>425</v>
      </c>
      <c r="V104" s="87" t="s">
        <v>426</v>
      </c>
      <c r="W104" s="87" t="s">
        <v>424</v>
      </c>
      <c r="X104" s="87" t="s">
        <v>437</v>
      </c>
      <c r="Y104" s="87" t="s">
        <v>439</v>
      </c>
      <c r="Z104" s="87" t="s">
        <v>447</v>
      </c>
      <c r="AA104" s="87" t="s">
        <v>458</v>
      </c>
      <c r="AB104" s="590" t="s">
        <v>459</v>
      </c>
      <c r="AC104" s="591"/>
      <c r="AD104" s="591"/>
      <c r="AE104" s="592"/>
      <c r="AF104" s="596" t="s">
        <v>462</v>
      </c>
      <c r="AG104" s="597"/>
      <c r="AH104" s="597"/>
      <c r="AI104" s="598"/>
      <c r="AJ104" s="590" t="s">
        <v>466</v>
      </c>
      <c r="AK104" s="591"/>
      <c r="AL104" s="591"/>
      <c r="AM104" s="592"/>
      <c r="AN104" s="596" t="s">
        <v>470</v>
      </c>
      <c r="AO104" s="597"/>
      <c r="AP104" s="597"/>
      <c r="AQ104" s="598"/>
      <c r="AR104" s="590" t="s">
        <v>478</v>
      </c>
      <c r="AS104" s="591"/>
      <c r="AT104" s="591"/>
      <c r="AU104" s="592"/>
      <c r="AV104" s="596" t="s">
        <v>483</v>
      </c>
      <c r="AW104" s="597"/>
      <c r="AX104" s="597"/>
      <c r="AY104" s="598"/>
      <c r="AZ104" s="436" t="s">
        <v>503</v>
      </c>
      <c r="BA104" s="436" t="s">
        <v>488</v>
      </c>
      <c r="BB104" s="436" t="s">
        <v>489</v>
      </c>
      <c r="BC104" s="436" t="s">
        <v>423</v>
      </c>
      <c r="BD104" s="436" t="s">
        <v>507</v>
      </c>
      <c r="BE104" s="436" t="s">
        <v>531</v>
      </c>
      <c r="BF104" s="437" t="s">
        <v>508</v>
      </c>
      <c r="BG104" s="437" t="s">
        <v>509</v>
      </c>
      <c r="BH104" s="590" t="s">
        <v>532</v>
      </c>
      <c r="BI104" s="591"/>
      <c r="BJ104" s="591"/>
      <c r="BK104" s="592"/>
      <c r="BL104" s="596" t="s">
        <v>539</v>
      </c>
      <c r="BM104" s="597"/>
      <c r="BN104" s="597"/>
      <c r="BO104" s="598"/>
      <c r="BP104" s="438" t="s">
        <v>538</v>
      </c>
      <c r="BQ104" s="590" t="s">
        <v>542</v>
      </c>
      <c r="BR104" s="591"/>
      <c r="BS104" s="591"/>
      <c r="BT104" s="592"/>
      <c r="BU104" s="438" t="s">
        <v>541</v>
      </c>
      <c r="BV104" s="590" t="s">
        <v>552</v>
      </c>
      <c r="BW104" s="591"/>
      <c r="BX104" s="591"/>
      <c r="BY104" s="592"/>
      <c r="BZ104" s="438" t="s">
        <v>553</v>
      </c>
      <c r="CA104" s="590" t="s">
        <v>578</v>
      </c>
      <c r="CB104" s="591"/>
      <c r="CC104" s="591"/>
      <c r="CD104" s="592"/>
      <c r="CE104" s="438" t="s">
        <v>579</v>
      </c>
      <c r="CF104" s="590" t="s">
        <v>581</v>
      </c>
      <c r="CG104" s="591"/>
      <c r="CH104" s="591"/>
      <c r="CI104" s="592"/>
      <c r="CJ104" s="438" t="s">
        <v>580</v>
      </c>
      <c r="CK104" s="590" t="s">
        <v>585</v>
      </c>
      <c r="CL104" s="591"/>
      <c r="CM104" s="591"/>
      <c r="CN104" s="592"/>
      <c r="CO104" s="438" t="s">
        <v>586</v>
      </c>
      <c r="CP104" s="590" t="s">
        <v>587</v>
      </c>
      <c r="CQ104" s="591"/>
      <c r="CR104" s="591"/>
      <c r="CS104" s="592"/>
      <c r="CT104" s="438" t="s">
        <v>588</v>
      </c>
      <c r="CU104" s="590" t="s">
        <v>590</v>
      </c>
      <c r="CV104" s="591"/>
      <c r="CW104" s="591"/>
      <c r="CX104" s="592"/>
      <c r="CY104" s="438" t="s">
        <v>592</v>
      </c>
      <c r="CZ104" s="294"/>
      <c r="DA104" s="294"/>
      <c r="DB104" s="294"/>
      <c r="DC104" s="95" t="s">
        <v>602</v>
      </c>
      <c r="DD104" s="95" t="s">
        <v>488</v>
      </c>
      <c r="DE104" s="95" t="s">
        <v>489</v>
      </c>
      <c r="DF104" s="95" t="s">
        <v>603</v>
      </c>
      <c r="DG104" s="95" t="s">
        <v>423</v>
      </c>
      <c r="DH104" s="85" t="s">
        <v>2</v>
      </c>
      <c r="DI104" s="593" t="s">
        <v>613</v>
      </c>
      <c r="DJ104" s="594"/>
      <c r="DK104" s="594"/>
      <c r="DL104" s="594"/>
      <c r="DM104" s="594"/>
      <c r="DN104" s="594"/>
      <c r="DO104" s="594"/>
      <c r="DP104" s="595"/>
      <c r="DQ104" s="584" t="s">
        <v>614</v>
      </c>
      <c r="DR104" s="585"/>
      <c r="DS104" s="585"/>
      <c r="DT104" s="585"/>
      <c r="DU104" s="586"/>
      <c r="DV104" s="87" t="s">
        <v>615</v>
      </c>
      <c r="DW104" s="584" t="s">
        <v>623</v>
      </c>
      <c r="DX104" s="585"/>
      <c r="DY104" s="585"/>
      <c r="DZ104" s="585"/>
      <c r="EA104" s="586"/>
      <c r="EB104" s="87" t="s">
        <v>624</v>
      </c>
      <c r="EC104" s="584" t="s">
        <v>627</v>
      </c>
      <c r="ED104" s="585"/>
      <c r="EE104" s="585"/>
      <c r="EF104" s="585"/>
      <c r="EG104" s="586"/>
      <c r="EH104" s="87" t="s">
        <v>628</v>
      </c>
      <c r="EI104" s="584" t="s">
        <v>631</v>
      </c>
      <c r="EJ104" s="585"/>
      <c r="EK104" s="585"/>
      <c r="EL104" s="585"/>
      <c r="EM104" s="586"/>
      <c r="EN104" s="87" t="s">
        <v>632</v>
      </c>
      <c r="EO104" s="584" t="s">
        <v>638</v>
      </c>
      <c r="EP104" s="585"/>
      <c r="EQ104" s="585"/>
      <c r="ER104" s="585"/>
      <c r="ES104" s="586"/>
      <c r="ET104" s="87" t="s">
        <v>637</v>
      </c>
      <c r="EU104" s="584" t="s">
        <v>641</v>
      </c>
      <c r="EV104" s="585"/>
      <c r="EW104" s="585"/>
      <c r="EX104" s="585"/>
      <c r="EY104" s="586"/>
      <c r="EZ104" s="87" t="s">
        <v>642</v>
      </c>
      <c r="FA104" s="584" t="s">
        <v>645</v>
      </c>
      <c r="FB104" s="585"/>
      <c r="FC104" s="585"/>
      <c r="FD104" s="585"/>
      <c r="FE104" s="586"/>
      <c r="FF104" s="87" t="s">
        <v>646</v>
      </c>
      <c r="FG104" s="584" t="s">
        <v>653</v>
      </c>
      <c r="FH104" s="585"/>
      <c r="FI104" s="585"/>
      <c r="FJ104" s="585"/>
      <c r="FK104" s="586"/>
      <c r="FL104" s="87" t="s">
        <v>654</v>
      </c>
      <c r="FM104" s="584" t="s">
        <v>662</v>
      </c>
      <c r="FN104" s="585"/>
      <c r="FO104" s="585"/>
      <c r="FP104" s="585"/>
      <c r="FQ104" s="586"/>
      <c r="FR104" s="87" t="s">
        <v>657</v>
      </c>
      <c r="FS104" s="584" t="s">
        <v>661</v>
      </c>
      <c r="FT104" s="585"/>
      <c r="FU104" s="585"/>
      <c r="FV104" s="585"/>
      <c r="FW104" s="586"/>
      <c r="FX104" s="87" t="s">
        <v>663</v>
      </c>
      <c r="FY104" s="584" t="s">
        <v>665</v>
      </c>
      <c r="FZ104" s="585"/>
      <c r="GA104" s="585"/>
      <c r="GB104" s="585"/>
      <c r="GC104" s="586"/>
      <c r="GD104" s="87" t="s">
        <v>666</v>
      </c>
      <c r="GE104" s="584" t="s">
        <v>668</v>
      </c>
      <c r="GF104" s="585"/>
      <c r="GG104" s="585"/>
      <c r="GH104" s="585"/>
      <c r="GI104" s="586"/>
      <c r="GJ104" s="87" t="s">
        <v>669</v>
      </c>
      <c r="GK104" s="584" t="s">
        <v>671</v>
      </c>
      <c r="GL104" s="585"/>
      <c r="GM104" s="585"/>
      <c r="GN104" s="585"/>
      <c r="GO104" s="586"/>
      <c r="GP104" s="87" t="s">
        <v>672</v>
      </c>
      <c r="GQ104" s="584" t="s">
        <v>674</v>
      </c>
      <c r="GR104" s="585"/>
      <c r="GS104" s="585"/>
      <c r="GT104" s="585"/>
      <c r="GU104" s="586"/>
      <c r="GV104" s="87" t="s">
        <v>675</v>
      </c>
      <c r="GW104" s="584" t="s">
        <v>696</v>
      </c>
      <c r="GX104" s="585"/>
      <c r="GY104" s="585"/>
      <c r="GZ104" s="585"/>
      <c r="HA104" s="586"/>
      <c r="HB104" s="87" t="s">
        <v>697</v>
      </c>
      <c r="HC104" s="85" t="s">
        <v>2</v>
      </c>
      <c r="HD104" s="6"/>
      <c r="HE104" s="587" t="s">
        <v>678</v>
      </c>
      <c r="HF104" s="588"/>
      <c r="HG104" s="588"/>
      <c r="HH104" s="588"/>
      <c r="HI104" s="589"/>
      <c r="HJ104" s="85" t="s">
        <v>2</v>
      </c>
      <c r="HK104" s="593" t="s">
        <v>698</v>
      </c>
      <c r="HL104" s="594"/>
      <c r="HM104" s="594"/>
      <c r="HN104" s="594"/>
      <c r="HO104" s="594"/>
      <c r="HP104" s="594"/>
      <c r="HQ104" s="594"/>
      <c r="HR104" s="594"/>
    </row>
    <row r="105" spans="1:226" ht="10.5" customHeight="1" x14ac:dyDescent="0.3">
      <c r="A105" s="310">
        <v>3</v>
      </c>
      <c r="B105" s="104" t="s">
        <v>519</v>
      </c>
      <c r="C105" s="310" t="s">
        <v>305</v>
      </c>
      <c r="D105" s="2" t="s">
        <v>31</v>
      </c>
      <c r="E105" s="9"/>
      <c r="F105" s="9"/>
      <c r="G105" s="9"/>
      <c r="H105" s="324"/>
      <c r="I105" s="324">
        <v>1285622</v>
      </c>
      <c r="J105" s="324"/>
      <c r="K105" s="324"/>
      <c r="L105" s="324">
        <v>1285622</v>
      </c>
      <c r="M105" s="23">
        <v>1285622</v>
      </c>
      <c r="N105" s="23">
        <v>1285622</v>
      </c>
      <c r="O105" s="298">
        <v>1285622</v>
      </c>
      <c r="P105" s="298">
        <v>1285622</v>
      </c>
      <c r="Q105" s="298">
        <v>1285622</v>
      </c>
      <c r="R105" s="298">
        <v>1285622</v>
      </c>
      <c r="S105" s="298">
        <v>1285622</v>
      </c>
      <c r="T105" s="298">
        <v>1285622</v>
      </c>
      <c r="U105" s="298">
        <f>T105*5%</f>
        <v>64281.100000000006</v>
      </c>
      <c r="V105" s="298">
        <f>T105+U105</f>
        <v>1349903.1</v>
      </c>
      <c r="W105" s="298">
        <v>1349903</v>
      </c>
      <c r="X105" s="298">
        <v>1349903</v>
      </c>
      <c r="Y105" s="298">
        <v>1349903</v>
      </c>
      <c r="Z105" s="298">
        <v>1349903</v>
      </c>
      <c r="AA105" s="298">
        <v>1349903</v>
      </c>
      <c r="AB105" s="298">
        <v>1349903</v>
      </c>
      <c r="AC105" s="9">
        <v>0</v>
      </c>
      <c r="AD105" s="9">
        <v>0</v>
      </c>
      <c r="AE105" s="298">
        <f>AD105+AC105+AB105</f>
        <v>1349903</v>
      </c>
      <c r="AF105" s="298">
        <v>1349903</v>
      </c>
      <c r="AG105" s="9">
        <v>0</v>
      </c>
      <c r="AH105" s="9">
        <v>0</v>
      </c>
      <c r="AI105" s="298">
        <f>AH105+AG105+AF105</f>
        <v>1349903</v>
      </c>
      <c r="AJ105" s="298">
        <v>1349903</v>
      </c>
      <c r="AK105" s="9">
        <v>0</v>
      </c>
      <c r="AL105" s="9">
        <v>0</v>
      </c>
      <c r="AM105" s="298">
        <f>AL105+AK105+AJ105</f>
        <v>1349903</v>
      </c>
      <c r="AN105" s="298">
        <v>1349903</v>
      </c>
      <c r="AO105" s="9">
        <v>0</v>
      </c>
      <c r="AP105" s="9">
        <v>0</v>
      </c>
      <c r="AQ105" s="298">
        <f>AP105+AO105+AN105</f>
        <v>1349903</v>
      </c>
      <c r="AR105" s="298">
        <v>1349903</v>
      </c>
      <c r="AS105" s="9">
        <v>0</v>
      </c>
      <c r="AT105" s="9">
        <v>0</v>
      </c>
      <c r="AU105" s="298">
        <f>AT105+AS105+AR105</f>
        <v>1349903</v>
      </c>
      <c r="AV105" s="298">
        <v>1349903</v>
      </c>
      <c r="AW105" s="9">
        <v>0</v>
      </c>
      <c r="AX105" s="9">
        <v>0</v>
      </c>
      <c r="AY105" s="298">
        <f>AX105+AW105+AV105</f>
        <v>1349903</v>
      </c>
      <c r="AZ105" s="8">
        <f>AY105*5%</f>
        <v>67495.150000000009</v>
      </c>
      <c r="BA105" s="8">
        <v>0.15</v>
      </c>
      <c r="BB105" s="8">
        <f>AZ105-BA105</f>
        <v>67495.000000000015</v>
      </c>
      <c r="BC105" s="8">
        <f>BB105+AY105</f>
        <v>1417398</v>
      </c>
      <c r="BD105" s="8"/>
      <c r="BE105" s="8">
        <f>BD105+BC105</f>
        <v>1417398</v>
      </c>
      <c r="BF105" s="10">
        <f>BE105-AY105</f>
        <v>67495</v>
      </c>
      <c r="BG105" s="11">
        <f>BF105-BB105</f>
        <v>0</v>
      </c>
      <c r="BH105" s="319">
        <v>1417398</v>
      </c>
      <c r="BI105" s="319">
        <v>0</v>
      </c>
      <c r="BJ105" s="319">
        <v>0</v>
      </c>
      <c r="BK105" s="319">
        <f>BJ105+BI105+BH105</f>
        <v>1417398</v>
      </c>
      <c r="BL105" s="319">
        <v>1417398</v>
      </c>
      <c r="BM105" s="319">
        <v>0</v>
      </c>
      <c r="BN105" s="319">
        <v>0</v>
      </c>
      <c r="BO105" s="319">
        <f>BN105+BM105+BL105</f>
        <v>1417398</v>
      </c>
      <c r="BP105" s="319">
        <f>BO105-BK105</f>
        <v>0</v>
      </c>
      <c r="BQ105" s="319">
        <v>1417398</v>
      </c>
      <c r="BR105" s="319">
        <v>0</v>
      </c>
      <c r="BS105" s="319">
        <v>0</v>
      </c>
      <c r="BT105" s="319">
        <f>BS105+BR105+BQ105</f>
        <v>1417398</v>
      </c>
      <c r="BU105" s="319">
        <f>BT105-BO105</f>
        <v>0</v>
      </c>
      <c r="BV105" s="319">
        <v>1417398</v>
      </c>
      <c r="BW105" s="319">
        <v>0</v>
      </c>
      <c r="BX105" s="319">
        <v>0</v>
      </c>
      <c r="BY105" s="319">
        <f>BX105+BW105+BV105</f>
        <v>1417398</v>
      </c>
      <c r="BZ105" s="319">
        <f>BY105-BT105</f>
        <v>0</v>
      </c>
      <c r="CA105" s="319">
        <v>1417398</v>
      </c>
      <c r="CB105" s="319">
        <v>0</v>
      </c>
      <c r="CC105" s="319">
        <v>0</v>
      </c>
      <c r="CD105" s="319">
        <f>CC105+CB105+CA105</f>
        <v>1417398</v>
      </c>
      <c r="CE105" s="319">
        <f>CD105-BY105</f>
        <v>0</v>
      </c>
      <c r="CF105" s="319">
        <v>1417398</v>
      </c>
      <c r="CG105" s="319">
        <v>0</v>
      </c>
      <c r="CH105" s="319">
        <v>0</v>
      </c>
      <c r="CI105" s="319">
        <f>CH105+CG105+CF105</f>
        <v>1417398</v>
      </c>
      <c r="CJ105" s="319">
        <f>CI105-CD105</f>
        <v>0</v>
      </c>
      <c r="CK105" s="319">
        <v>1417398</v>
      </c>
      <c r="CL105" s="319">
        <v>0</v>
      </c>
      <c r="CM105" s="319">
        <v>0</v>
      </c>
      <c r="CN105" s="319">
        <f>CM105+CL105+CK105</f>
        <v>1417398</v>
      </c>
      <c r="CO105" s="319">
        <f>CN105-CI105</f>
        <v>0</v>
      </c>
      <c r="CP105" s="319">
        <v>1417398</v>
      </c>
      <c r="CQ105" s="319">
        <v>0</v>
      </c>
      <c r="CR105" s="319">
        <v>0</v>
      </c>
      <c r="CS105" s="319">
        <f>CR105+CQ105+CP105</f>
        <v>1417398</v>
      </c>
      <c r="CT105" s="319">
        <f>CS105-CN105</f>
        <v>0</v>
      </c>
      <c r="CU105" s="319">
        <v>1417398</v>
      </c>
      <c r="CV105" s="319">
        <v>0</v>
      </c>
      <c r="CW105" s="319">
        <v>0</v>
      </c>
      <c r="CX105" s="319">
        <f>CW105+CV105+CU105</f>
        <v>1417398</v>
      </c>
      <c r="CY105" s="319">
        <f>CX105-CS105</f>
        <v>0</v>
      </c>
      <c r="CZ105" s="319"/>
      <c r="DA105" s="319"/>
      <c r="DB105" s="319"/>
      <c r="DC105" s="12">
        <f>CX105*10%</f>
        <v>141739.80000000002</v>
      </c>
      <c r="DD105" s="12">
        <v>0.8</v>
      </c>
      <c r="DE105" s="13">
        <f>DC105-DD105</f>
        <v>141739.00000000003</v>
      </c>
      <c r="DF105" s="14">
        <f>DE105:DE105</f>
        <v>141739.00000000003</v>
      </c>
      <c r="DG105" s="13">
        <f>DE105+CX105</f>
        <v>1559137</v>
      </c>
      <c r="DH105" s="15">
        <f>100/1278396949*CX105</f>
        <v>0.11087307436932876</v>
      </c>
      <c r="DI105" s="16">
        <f>CX105</f>
        <v>1417398</v>
      </c>
      <c r="DJ105" s="132">
        <f>DI105*1.1</f>
        <v>1559137.8</v>
      </c>
      <c r="DK105" s="17">
        <f>DJ105-DI105</f>
        <v>141739.80000000005</v>
      </c>
      <c r="DL105" s="17">
        <f>DD105</f>
        <v>0.8</v>
      </c>
      <c r="DM105" s="16">
        <f>DK105-DL105</f>
        <v>141739.00000000006</v>
      </c>
      <c r="DN105" s="16">
        <f>DM105-DE105</f>
        <v>0</v>
      </c>
      <c r="DO105" s="16">
        <f>DM105+DI105</f>
        <v>1559137</v>
      </c>
      <c r="DP105" s="16">
        <f>DO105-DG105</f>
        <v>0</v>
      </c>
      <c r="DQ105" s="9">
        <v>1559137</v>
      </c>
      <c r="DR105" s="18" t="s">
        <v>238</v>
      </c>
      <c r="DS105" s="18" t="s">
        <v>238</v>
      </c>
      <c r="DT105" s="324">
        <f>DQ105+DR105+DS105</f>
        <v>1559137</v>
      </c>
      <c r="DU105" s="321">
        <f>DT105</f>
        <v>1559137</v>
      </c>
      <c r="DV105" s="19">
        <f>DT105-DG105</f>
        <v>0</v>
      </c>
      <c r="DW105" s="9">
        <v>1559137</v>
      </c>
      <c r="DX105" s="18"/>
      <c r="DY105" s="18"/>
      <c r="DZ105" s="324">
        <f>DW105+DX105+DY105</f>
        <v>1559137</v>
      </c>
      <c r="EA105" s="321">
        <f>DZ105</f>
        <v>1559137</v>
      </c>
      <c r="EB105" s="179">
        <f>DZ105-DT105</f>
        <v>0</v>
      </c>
      <c r="EC105" s="9">
        <v>1559137</v>
      </c>
      <c r="ED105" s="18" t="s">
        <v>238</v>
      </c>
      <c r="EE105" s="18" t="s">
        <v>238</v>
      </c>
      <c r="EF105" s="324">
        <f>EC105+ED105+EE105</f>
        <v>1559137</v>
      </c>
      <c r="EG105" s="321">
        <f>EF105</f>
        <v>1559137</v>
      </c>
      <c r="EH105" s="179">
        <f>EF105-DZ105</f>
        <v>0</v>
      </c>
      <c r="EI105" s="9">
        <v>1559137</v>
      </c>
      <c r="EJ105" s="18" t="s">
        <v>238</v>
      </c>
      <c r="EK105" s="18" t="s">
        <v>238</v>
      </c>
      <c r="EL105" s="324">
        <f>EI105+EJ105+EK105</f>
        <v>1559137</v>
      </c>
      <c r="EM105" s="321">
        <f>EL105</f>
        <v>1559137</v>
      </c>
      <c r="EN105" s="179">
        <f>EL105-EF105</f>
        <v>0</v>
      </c>
      <c r="EO105" s="9">
        <v>1559137</v>
      </c>
      <c r="EP105" s="18" t="s">
        <v>238</v>
      </c>
      <c r="EQ105" s="18" t="s">
        <v>238</v>
      </c>
      <c r="ER105" s="324">
        <f>EO105+EP105+EQ105</f>
        <v>1559137</v>
      </c>
      <c r="ES105" s="321">
        <f>ER105</f>
        <v>1559137</v>
      </c>
      <c r="ET105" s="179">
        <f>ER105-EL105</f>
        <v>0</v>
      </c>
      <c r="EU105" s="9">
        <v>1559137</v>
      </c>
      <c r="EV105" s="18" t="s">
        <v>238</v>
      </c>
      <c r="EW105" s="18" t="s">
        <v>238</v>
      </c>
      <c r="EX105" s="324">
        <f>EU105+EV105+EW105</f>
        <v>1559137</v>
      </c>
      <c r="EY105" s="321">
        <f>EX105</f>
        <v>1559137</v>
      </c>
      <c r="EZ105" s="179">
        <f>EX105-ER105</f>
        <v>0</v>
      </c>
      <c r="FA105" s="9">
        <v>1559137</v>
      </c>
      <c r="FB105" s="18" t="s">
        <v>238</v>
      </c>
      <c r="FC105" s="18" t="s">
        <v>238</v>
      </c>
      <c r="FD105" s="324">
        <f>FA105+FB105+FC105</f>
        <v>1559137</v>
      </c>
      <c r="FE105" s="321">
        <f>FD105</f>
        <v>1559137</v>
      </c>
      <c r="FF105" s="179">
        <f>FD105-EX105</f>
        <v>0</v>
      </c>
      <c r="FG105" s="9">
        <v>1559137</v>
      </c>
      <c r="FH105" s="18" t="s">
        <v>238</v>
      </c>
      <c r="FI105" s="18" t="s">
        <v>238</v>
      </c>
      <c r="FJ105" s="324">
        <f>FG105+FH105+FI105</f>
        <v>1559137</v>
      </c>
      <c r="FK105" s="321">
        <f>FJ105</f>
        <v>1559137</v>
      </c>
      <c r="FL105" s="179">
        <f>FJ105-FD105</f>
        <v>0</v>
      </c>
      <c r="FM105" s="9">
        <v>1559137</v>
      </c>
      <c r="FN105" s="18" t="s">
        <v>238</v>
      </c>
      <c r="FO105" s="18" t="s">
        <v>238</v>
      </c>
      <c r="FP105" s="324">
        <f>FM105+FN105+FO105</f>
        <v>1559137</v>
      </c>
      <c r="FQ105" s="321">
        <f>FP105</f>
        <v>1559137</v>
      </c>
      <c r="FR105" s="179">
        <f>FP105-FJ105</f>
        <v>0</v>
      </c>
      <c r="FS105" s="9">
        <v>1559137</v>
      </c>
      <c r="FT105" s="18" t="s">
        <v>238</v>
      </c>
      <c r="FU105" s="18" t="s">
        <v>238</v>
      </c>
      <c r="FV105" s="324">
        <f>FS105+FT105+FU105</f>
        <v>1559137</v>
      </c>
      <c r="FW105" s="321">
        <f>FV105</f>
        <v>1559137</v>
      </c>
      <c r="FX105" s="179">
        <f>FV105-FP105</f>
        <v>0</v>
      </c>
      <c r="FY105" s="9">
        <v>1559137</v>
      </c>
      <c r="FZ105" s="18" t="s">
        <v>238</v>
      </c>
      <c r="GA105" s="18" t="s">
        <v>238</v>
      </c>
      <c r="GB105" s="324">
        <f>FY105+FZ105+GA105</f>
        <v>1559137</v>
      </c>
      <c r="GC105" s="321">
        <f>GB105</f>
        <v>1559137</v>
      </c>
      <c r="GD105" s="179">
        <f>GB105-FV105</f>
        <v>0</v>
      </c>
      <c r="GE105" s="9">
        <v>1559137</v>
      </c>
      <c r="GF105" s="18" t="s">
        <v>238</v>
      </c>
      <c r="GG105" s="18" t="s">
        <v>238</v>
      </c>
      <c r="GH105" s="324">
        <f>GE105+GF105+GG105</f>
        <v>1559137</v>
      </c>
      <c r="GI105" s="321">
        <f>GH105</f>
        <v>1559137</v>
      </c>
      <c r="GJ105" s="179">
        <f>GH105-GB105</f>
        <v>0</v>
      </c>
      <c r="GK105" s="9">
        <v>1559137</v>
      </c>
      <c r="GL105" s="18" t="s">
        <v>238</v>
      </c>
      <c r="GM105" s="18" t="s">
        <v>238</v>
      </c>
      <c r="GN105" s="324">
        <f>GK105+GL105+GM105</f>
        <v>1559137</v>
      </c>
      <c r="GO105" s="321">
        <f>GN105</f>
        <v>1559137</v>
      </c>
      <c r="GP105" s="179">
        <f>GN105-GH105</f>
        <v>0</v>
      </c>
      <c r="GQ105" s="9">
        <v>1559137</v>
      </c>
      <c r="GR105" s="18" t="s">
        <v>238</v>
      </c>
      <c r="GS105" s="18" t="s">
        <v>238</v>
      </c>
      <c r="GT105" s="324">
        <f>GQ105+GR105+GS105</f>
        <v>1559137</v>
      </c>
      <c r="GU105" s="321">
        <f>GT105</f>
        <v>1559137</v>
      </c>
      <c r="GV105" s="179">
        <f>GT105-GN105</f>
        <v>0</v>
      </c>
      <c r="GW105" s="9">
        <v>1637093</v>
      </c>
      <c r="GX105" s="18" t="s">
        <v>238</v>
      </c>
      <c r="GY105" s="18" t="s">
        <v>238</v>
      </c>
      <c r="GZ105" s="324">
        <f>GW105+GX105+GY105</f>
        <v>1637093</v>
      </c>
      <c r="HA105" s="321">
        <f>GZ105</f>
        <v>1637093</v>
      </c>
      <c r="HB105" s="179">
        <f>GZ105-GT105</f>
        <v>77956</v>
      </c>
      <c r="HC105" s="102">
        <f>100/1406236643.9*GT105</f>
        <v>0.11087301747989957</v>
      </c>
      <c r="HD105" s="285">
        <f>HB105-HO105</f>
        <v>0</v>
      </c>
      <c r="HE105" s="12">
        <f>GT105*0.05</f>
        <v>77956.850000000006</v>
      </c>
      <c r="HF105" s="12">
        <f>IF(ISNUMBER(HE105), HE105-INT(HE105), "")</f>
        <v>0.85000000000582077</v>
      </c>
      <c r="HG105" s="12">
        <f>HE105-HF105</f>
        <v>77956</v>
      </c>
      <c r="HH105" s="14">
        <f>HG105:HG105</f>
        <v>77956</v>
      </c>
      <c r="HI105" s="13">
        <f>HG105+GT105</f>
        <v>1637093</v>
      </c>
      <c r="HJ105" s="102">
        <f>100/1406236643.9*HI105</f>
        <v>0.11641660790887601</v>
      </c>
      <c r="HK105" s="16">
        <f>GT105</f>
        <v>1559137</v>
      </c>
      <c r="HL105" s="103">
        <f>HK105*1.05</f>
        <v>1637093.85</v>
      </c>
      <c r="HM105" s="103">
        <f>HL105-HK105</f>
        <v>77956.850000000093</v>
      </c>
      <c r="HN105" s="17">
        <f>HF105</f>
        <v>0.85000000000582077</v>
      </c>
      <c r="HO105" s="56">
        <f>HM105-HN105</f>
        <v>77956.000000000087</v>
      </c>
      <c r="HP105" s="16">
        <f>HO105-HG105</f>
        <v>0</v>
      </c>
      <c r="HQ105" s="16">
        <f>HO105+HK105</f>
        <v>1637093</v>
      </c>
      <c r="HR105" s="16">
        <f>HQ105-HI105</f>
        <v>0</v>
      </c>
    </row>
    <row r="106" spans="1:226" x14ac:dyDescent="0.3">
      <c r="A106" s="310">
        <v>4</v>
      </c>
      <c r="B106" s="133"/>
      <c r="C106" s="310" t="s">
        <v>32</v>
      </c>
      <c r="D106" s="2" t="s">
        <v>33</v>
      </c>
      <c r="E106" s="9"/>
      <c r="F106" s="9"/>
      <c r="G106" s="9"/>
      <c r="H106" s="324"/>
      <c r="I106" s="324">
        <v>28400</v>
      </c>
      <c r="J106" s="324"/>
      <c r="K106" s="324"/>
      <c r="L106" s="324">
        <v>28400</v>
      </c>
      <c r="M106" s="23">
        <v>28400</v>
      </c>
      <c r="N106" s="23">
        <v>28400</v>
      </c>
      <c r="O106" s="298">
        <v>28400</v>
      </c>
      <c r="P106" s="298">
        <v>28400</v>
      </c>
      <c r="Q106" s="298">
        <v>28400</v>
      </c>
      <c r="R106" s="298">
        <v>28400</v>
      </c>
      <c r="S106" s="298">
        <v>28400</v>
      </c>
      <c r="T106" s="298">
        <v>28400</v>
      </c>
      <c r="U106" s="298">
        <f>T106*5%</f>
        <v>1420</v>
      </c>
      <c r="V106" s="298">
        <f>T106+U106</f>
        <v>29820</v>
      </c>
      <c r="W106" s="298">
        <v>29962</v>
      </c>
      <c r="X106" s="298">
        <v>29962</v>
      </c>
      <c r="Y106" s="298">
        <v>29962</v>
      </c>
      <c r="Z106" s="298">
        <v>29962</v>
      </c>
      <c r="AA106" s="298">
        <f>29962+2840</f>
        <v>32802</v>
      </c>
      <c r="AB106" s="51">
        <v>1562</v>
      </c>
      <c r="AC106" s="51">
        <v>28400</v>
      </c>
      <c r="AD106" s="51">
        <v>2840</v>
      </c>
      <c r="AE106" s="298">
        <f>AD106+AC106+AB106</f>
        <v>32802</v>
      </c>
      <c r="AF106" s="4">
        <v>1562</v>
      </c>
      <c r="AG106" s="4">
        <v>28400</v>
      </c>
      <c r="AH106" s="52">
        <v>2840</v>
      </c>
      <c r="AI106" s="298">
        <f>AH106+AG106+AF106</f>
        <v>32802</v>
      </c>
      <c r="AJ106" s="4">
        <v>1562</v>
      </c>
      <c r="AK106" s="4">
        <v>28400</v>
      </c>
      <c r="AL106" s="52">
        <v>2840</v>
      </c>
      <c r="AM106" s="298">
        <f>AL106+AK106+AJ106</f>
        <v>32802</v>
      </c>
      <c r="AN106" s="4">
        <v>1562</v>
      </c>
      <c r="AO106" s="4">
        <v>28400</v>
      </c>
      <c r="AP106" s="52">
        <v>2840</v>
      </c>
      <c r="AQ106" s="298">
        <f>AP106+AO106+AN106</f>
        <v>32802</v>
      </c>
      <c r="AR106" s="325">
        <v>1562</v>
      </c>
      <c r="AS106" s="21" t="s">
        <v>481</v>
      </c>
      <c r="AT106" s="52">
        <v>2840</v>
      </c>
      <c r="AU106" s="298">
        <f>AT106+AS106+AR106</f>
        <v>32802</v>
      </c>
      <c r="AV106" s="325">
        <v>1562</v>
      </c>
      <c r="AW106" s="21" t="s">
        <v>481</v>
      </c>
      <c r="AX106" s="52">
        <v>2840</v>
      </c>
      <c r="AY106" s="298">
        <f>AX106+AW106+AV106</f>
        <v>32802</v>
      </c>
      <c r="AZ106" s="8">
        <f>AY106*5%</f>
        <v>1640.1000000000001</v>
      </c>
      <c r="BA106" s="8">
        <v>0.1</v>
      </c>
      <c r="BB106" s="8">
        <f>AZ106-BA106</f>
        <v>1640.0000000000002</v>
      </c>
      <c r="BC106" s="8">
        <f>BB106+AY106</f>
        <v>34442</v>
      </c>
      <c r="BD106" s="8"/>
      <c r="BE106" s="8">
        <f>BD106+BC106</f>
        <v>34442</v>
      </c>
      <c r="BF106" s="10">
        <f>BE106-AY106</f>
        <v>1640</v>
      </c>
      <c r="BG106" s="11">
        <f>BF106-BB106</f>
        <v>0</v>
      </c>
      <c r="BH106" s="8">
        <v>3202</v>
      </c>
      <c r="BI106" s="8">
        <v>28400</v>
      </c>
      <c r="BJ106" s="53">
        <f>2840</f>
        <v>2840</v>
      </c>
      <c r="BK106" s="319">
        <f>BJ106+BI106+BH106</f>
        <v>34442</v>
      </c>
      <c r="BL106" s="319">
        <v>3202</v>
      </c>
      <c r="BM106" s="319">
        <v>28400</v>
      </c>
      <c r="BN106" s="54">
        <v>2840</v>
      </c>
      <c r="BO106" s="319">
        <f>BN106+BM106+BL106</f>
        <v>34442</v>
      </c>
      <c r="BP106" s="319">
        <f>BO106-BK106</f>
        <v>0</v>
      </c>
      <c r="BQ106" s="319">
        <v>3202</v>
      </c>
      <c r="BR106" s="319">
        <v>28400</v>
      </c>
      <c r="BS106" s="54">
        <v>2840</v>
      </c>
      <c r="BT106" s="319">
        <f>BS106+BR106+BQ106</f>
        <v>34442</v>
      </c>
      <c r="BU106" s="319">
        <f>BT106-BO106</f>
        <v>0</v>
      </c>
      <c r="BV106" s="55">
        <v>3202</v>
      </c>
      <c r="BW106" s="4">
        <v>28400</v>
      </c>
      <c r="BX106" s="53">
        <v>2840</v>
      </c>
      <c r="BY106" s="319">
        <f>BX106+BW106+BV106</f>
        <v>34442</v>
      </c>
      <c r="BZ106" s="319">
        <f>BY106-BT106</f>
        <v>0</v>
      </c>
      <c r="CA106" s="4">
        <v>3202</v>
      </c>
      <c r="CB106" s="4">
        <v>28400</v>
      </c>
      <c r="CC106" s="53">
        <v>2840</v>
      </c>
      <c r="CD106" s="319">
        <f>CC106+CB106+CA106</f>
        <v>34442</v>
      </c>
      <c r="CE106" s="319">
        <f>CD106-BY106</f>
        <v>0</v>
      </c>
      <c r="CF106" s="4">
        <v>3202</v>
      </c>
      <c r="CG106" s="4">
        <v>28400</v>
      </c>
      <c r="CH106" s="52">
        <v>2840</v>
      </c>
      <c r="CI106" s="319">
        <f>CH106+CG106+CF106</f>
        <v>34442</v>
      </c>
      <c r="CJ106" s="319">
        <f>CI106-CD106</f>
        <v>0</v>
      </c>
      <c r="CK106" s="4">
        <v>3202</v>
      </c>
      <c r="CL106" s="4">
        <v>28400</v>
      </c>
      <c r="CM106" s="52">
        <v>2840</v>
      </c>
      <c r="CN106" s="319">
        <f>CM106+CL106+CK106</f>
        <v>34442</v>
      </c>
      <c r="CO106" s="319">
        <f>CN106-CI106</f>
        <v>0</v>
      </c>
      <c r="CP106" s="4">
        <v>3202</v>
      </c>
      <c r="CQ106" s="4">
        <v>28400</v>
      </c>
      <c r="CR106" s="52">
        <v>2840</v>
      </c>
      <c r="CS106" s="319">
        <f>CR106+CQ106+CP106</f>
        <v>34442</v>
      </c>
      <c r="CT106" s="319">
        <f>CS106-CN106</f>
        <v>0</v>
      </c>
      <c r="CU106" s="4">
        <v>3202</v>
      </c>
      <c r="CV106" s="4">
        <v>28400</v>
      </c>
      <c r="CW106" s="52">
        <v>2840</v>
      </c>
      <c r="CX106" s="319">
        <f>CW106+CV106+CU106</f>
        <v>34442</v>
      </c>
      <c r="CY106" s="319">
        <f>CX106-CS106</f>
        <v>0</v>
      </c>
      <c r="CZ106" s="319">
        <f>CU106*0.1</f>
        <v>320.20000000000005</v>
      </c>
      <c r="DA106" s="319">
        <f>CV106*0.1</f>
        <v>2840</v>
      </c>
      <c r="DB106" s="319">
        <f>CW106*0.1</f>
        <v>284</v>
      </c>
      <c r="DC106" s="12">
        <f>DB106+DA106+CZ106</f>
        <v>3444.2</v>
      </c>
      <c r="DD106" s="12">
        <v>0.3</v>
      </c>
      <c r="DE106" s="13">
        <f>DC106-DD106</f>
        <v>3443.8999999999996</v>
      </c>
      <c r="DF106" s="14">
        <f>DE106:DE106</f>
        <v>3443.8999999999996</v>
      </c>
      <c r="DG106" s="13">
        <f>DE106+CX106</f>
        <v>37885.9</v>
      </c>
      <c r="DH106" s="15">
        <f>100/1278396949*CX106</f>
        <v>2.6941553659793659E-3</v>
      </c>
      <c r="DI106" s="16">
        <f>CX106</f>
        <v>34442</v>
      </c>
      <c r="DJ106" s="132">
        <f>DI106*1.1</f>
        <v>37886.200000000004</v>
      </c>
      <c r="DK106" s="17">
        <f>DJ106-DI106</f>
        <v>3444.2000000000044</v>
      </c>
      <c r="DL106" s="17">
        <f>DD106</f>
        <v>0.3</v>
      </c>
      <c r="DM106" s="16">
        <f>DK106-DL106</f>
        <v>3443.9000000000042</v>
      </c>
      <c r="DN106" s="16">
        <f>DM106-DE106</f>
        <v>4.5474735088646412E-12</v>
      </c>
      <c r="DO106" s="16">
        <f>DM106+DI106</f>
        <v>37885.9</v>
      </c>
      <c r="DP106" s="56">
        <f>DO106-DG106</f>
        <v>0</v>
      </c>
      <c r="DQ106" s="9">
        <v>3522</v>
      </c>
      <c r="DR106" s="18" t="s">
        <v>481</v>
      </c>
      <c r="DS106" s="52">
        <f>2840+3124</f>
        <v>5964</v>
      </c>
      <c r="DT106" s="324">
        <f>DQ106+DR106+DS106</f>
        <v>37886</v>
      </c>
      <c r="DU106" s="321">
        <f>DT106</f>
        <v>37886</v>
      </c>
      <c r="DV106" s="19">
        <f>DT106-DG106</f>
        <v>9.9999999998544808E-2</v>
      </c>
      <c r="DW106" s="9">
        <v>6646</v>
      </c>
      <c r="DX106" s="18" t="s">
        <v>481</v>
      </c>
      <c r="DY106" s="52">
        <v>2840</v>
      </c>
      <c r="DZ106" s="324">
        <f>DW106+DX106+DY106</f>
        <v>37886</v>
      </c>
      <c r="EA106" s="321">
        <f>DZ106</f>
        <v>37886</v>
      </c>
      <c r="EB106" s="179">
        <f>DZ106-DT106</f>
        <v>0</v>
      </c>
      <c r="EC106" s="9">
        <v>6646</v>
      </c>
      <c r="ED106" s="18" t="s">
        <v>481</v>
      </c>
      <c r="EE106" s="52">
        <v>2840</v>
      </c>
      <c r="EF106" s="324">
        <f>EC106+ED106+EE106</f>
        <v>37886</v>
      </c>
      <c r="EG106" s="321">
        <f>EF106</f>
        <v>37886</v>
      </c>
      <c r="EH106" s="179">
        <f>EF106-DZ106</f>
        <v>0</v>
      </c>
      <c r="EI106" s="9">
        <v>0</v>
      </c>
      <c r="EJ106" s="18" t="s">
        <v>481</v>
      </c>
      <c r="EK106" s="52">
        <v>2840</v>
      </c>
      <c r="EL106" s="324">
        <f>EI106+EJ106+EK106</f>
        <v>31240</v>
      </c>
      <c r="EM106" s="321">
        <f>EL106</f>
        <v>31240</v>
      </c>
      <c r="EN106" s="22">
        <f>EL106-EF106</f>
        <v>-6646</v>
      </c>
      <c r="EO106" s="4">
        <v>6646</v>
      </c>
      <c r="EP106" s="4">
        <v>28400</v>
      </c>
      <c r="EQ106" s="52">
        <v>2840</v>
      </c>
      <c r="ER106" s="324">
        <f>EO106+EP106+EQ106</f>
        <v>37886</v>
      </c>
      <c r="ES106" s="321">
        <f>ER106</f>
        <v>37886</v>
      </c>
      <c r="ET106" s="22">
        <f>ER106-EL106</f>
        <v>6646</v>
      </c>
      <c r="EU106" s="4">
        <v>6646</v>
      </c>
      <c r="EV106" s="4">
        <v>28400</v>
      </c>
      <c r="EW106" s="52">
        <v>2840</v>
      </c>
      <c r="EX106" s="324">
        <f>EU106+EV106+EW106</f>
        <v>37886</v>
      </c>
      <c r="EY106" s="321">
        <f>EX106</f>
        <v>37886</v>
      </c>
      <c r="EZ106" s="179">
        <f>EX106-ER106</f>
        <v>0</v>
      </c>
      <c r="FA106" s="4">
        <v>6646</v>
      </c>
      <c r="FB106" s="4">
        <v>28400</v>
      </c>
      <c r="FC106" s="52">
        <v>2840</v>
      </c>
      <c r="FD106" s="324">
        <f>FA106+FB106+FC106</f>
        <v>37886</v>
      </c>
      <c r="FE106" s="321">
        <f>FD106</f>
        <v>37886</v>
      </c>
      <c r="FF106" s="179">
        <f>FD106-EX106</f>
        <v>0</v>
      </c>
      <c r="FG106" s="4">
        <v>6646</v>
      </c>
      <c r="FH106" s="4">
        <v>28400</v>
      </c>
      <c r="FI106" s="52">
        <v>2840</v>
      </c>
      <c r="FJ106" s="324">
        <f>FG106+FH106+FI106</f>
        <v>37886</v>
      </c>
      <c r="FK106" s="321">
        <f>FJ106</f>
        <v>37886</v>
      </c>
      <c r="FL106" s="179">
        <f>FJ106-FD106</f>
        <v>0</v>
      </c>
      <c r="FM106" s="4">
        <v>6646</v>
      </c>
      <c r="FN106" s="4">
        <v>28400</v>
      </c>
      <c r="FO106" s="52">
        <v>2840</v>
      </c>
      <c r="FP106" s="324">
        <f>FM106+FN106+FO106</f>
        <v>37886</v>
      </c>
      <c r="FQ106" s="321">
        <f>FP106</f>
        <v>37886</v>
      </c>
      <c r="FR106" s="179">
        <f>FP106-FJ106</f>
        <v>0</v>
      </c>
      <c r="FS106" s="4">
        <v>6646</v>
      </c>
      <c r="FT106" s="4">
        <v>28400</v>
      </c>
      <c r="FU106" s="52">
        <v>2840</v>
      </c>
      <c r="FV106" s="324">
        <f>FS106+FT106+FU106</f>
        <v>37886</v>
      </c>
      <c r="FW106" s="321">
        <f>FV106</f>
        <v>37886</v>
      </c>
      <c r="FX106" s="179">
        <f>FV106-FP106</f>
        <v>0</v>
      </c>
      <c r="FY106" s="4">
        <v>6646</v>
      </c>
      <c r="FZ106" s="4">
        <v>28400</v>
      </c>
      <c r="GA106" s="52">
        <v>2840</v>
      </c>
      <c r="GB106" s="324">
        <f>FY106+FZ106+GA106</f>
        <v>37886</v>
      </c>
      <c r="GC106" s="321">
        <f>GB106</f>
        <v>37886</v>
      </c>
      <c r="GD106" s="179">
        <f>GB106-FV106</f>
        <v>0</v>
      </c>
      <c r="GE106" s="4">
        <v>6646</v>
      </c>
      <c r="GF106" s="4">
        <v>28400</v>
      </c>
      <c r="GG106" s="52">
        <v>2840</v>
      </c>
      <c r="GH106" s="324">
        <f>GE106+GF106+GG106</f>
        <v>37886</v>
      </c>
      <c r="GI106" s="321">
        <f>GH106</f>
        <v>37886</v>
      </c>
      <c r="GJ106" s="179">
        <f>GH106-GB106</f>
        <v>0</v>
      </c>
      <c r="GK106" s="4">
        <v>6646</v>
      </c>
      <c r="GL106" s="4">
        <v>28400</v>
      </c>
      <c r="GM106" s="52">
        <v>2840</v>
      </c>
      <c r="GN106" s="324">
        <f>GK106+GL106+GM106</f>
        <v>37886</v>
      </c>
      <c r="GO106" s="321">
        <f>GN106</f>
        <v>37886</v>
      </c>
      <c r="GP106" s="179">
        <f>GN106-GH106</f>
        <v>0</v>
      </c>
      <c r="GQ106" s="4">
        <v>6646</v>
      </c>
      <c r="GR106" s="4">
        <v>28400</v>
      </c>
      <c r="GS106" s="52">
        <v>2840</v>
      </c>
      <c r="GT106" s="324">
        <f>GQ106+GR106+GS106</f>
        <v>37886</v>
      </c>
      <c r="GU106" s="321">
        <f>GT106</f>
        <v>37886</v>
      </c>
      <c r="GV106" s="179">
        <f>GT106-GN106</f>
        <v>0</v>
      </c>
      <c r="GW106" s="4">
        <v>6978</v>
      </c>
      <c r="GX106" s="4">
        <v>28400</v>
      </c>
      <c r="GY106" s="52">
        <f>2840+1562</f>
        <v>4402</v>
      </c>
      <c r="GZ106" s="324">
        <f>GW106+GX106+GY106</f>
        <v>39780</v>
      </c>
      <c r="HA106" s="321">
        <f>GZ106</f>
        <v>39780</v>
      </c>
      <c r="HB106" s="179">
        <f>GZ106-GT106</f>
        <v>1894</v>
      </c>
      <c r="HC106" s="102">
        <f>100/1406236643.9*GT106</f>
        <v>2.6941411436220645E-3</v>
      </c>
      <c r="HD106" s="285">
        <f>HB106-HO106</f>
        <v>-2.7284841053187847E-12</v>
      </c>
      <c r="HE106" s="12">
        <f>GT106*0.05</f>
        <v>1894.3000000000002</v>
      </c>
      <c r="HF106" s="12">
        <f>IF(ISNUMBER(HE106), HE106-INT(HE106), "")</f>
        <v>0.3000000000001819</v>
      </c>
      <c r="HG106" s="12">
        <f>HE106-HF106</f>
        <v>1894</v>
      </c>
      <c r="HH106" s="14">
        <f>HG106:HG106</f>
        <v>1894</v>
      </c>
      <c r="HI106" s="13">
        <f>HG106+GT106</f>
        <v>39780</v>
      </c>
      <c r="HJ106" s="102">
        <f>100/1406236643.9*HI106</f>
        <v>2.8288268672672155E-3</v>
      </c>
      <c r="HK106" s="16">
        <f>GT106</f>
        <v>37886</v>
      </c>
      <c r="HL106" s="103">
        <f>HK106*1.05</f>
        <v>39780.300000000003</v>
      </c>
      <c r="HM106" s="103">
        <f>HL106-HK106</f>
        <v>1894.3000000000029</v>
      </c>
      <c r="HN106" s="17">
        <f>HF106</f>
        <v>0.3000000000001819</v>
      </c>
      <c r="HO106" s="56">
        <f>HM106-HN106</f>
        <v>1894.0000000000027</v>
      </c>
      <c r="HP106" s="16">
        <f>HO106-HG106</f>
        <v>2.7284841053187847E-12</v>
      </c>
      <c r="HQ106" s="16">
        <f>HO106+HK106</f>
        <v>39780</v>
      </c>
      <c r="HR106" s="16">
        <f>HQ106-HI106</f>
        <v>0</v>
      </c>
    </row>
    <row r="107" spans="1:226" x14ac:dyDescent="0.3">
      <c r="A107" s="310">
        <v>5</v>
      </c>
      <c r="B107" s="134"/>
      <c r="C107" s="310" t="s">
        <v>35</v>
      </c>
      <c r="D107" s="2" t="s">
        <v>36</v>
      </c>
      <c r="E107" s="9"/>
      <c r="F107" s="9"/>
      <c r="G107" s="9"/>
      <c r="H107" s="324"/>
      <c r="I107" s="324">
        <v>1459033</v>
      </c>
      <c r="J107" s="324"/>
      <c r="K107" s="324"/>
      <c r="L107" s="324">
        <v>1459033</v>
      </c>
      <c r="M107" s="23">
        <v>1459033</v>
      </c>
      <c r="N107" s="23">
        <v>1459033</v>
      </c>
      <c r="O107" s="298">
        <v>1459033</v>
      </c>
      <c r="P107" s="298">
        <v>1459033</v>
      </c>
      <c r="Q107" s="298">
        <v>1459033</v>
      </c>
      <c r="R107" s="298">
        <v>1459033</v>
      </c>
      <c r="S107" s="298">
        <v>1461873</v>
      </c>
      <c r="T107" s="298">
        <v>1461873</v>
      </c>
      <c r="U107" s="298">
        <f>T107*5%</f>
        <v>73093.650000000009</v>
      </c>
      <c r="V107" s="298">
        <f>T107+U107</f>
        <v>1534966.65</v>
      </c>
      <c r="W107" s="298">
        <v>1534966</v>
      </c>
      <c r="X107" s="298">
        <v>1534966</v>
      </c>
      <c r="Y107" s="298">
        <v>1534966</v>
      </c>
      <c r="Z107" s="298">
        <v>1534966</v>
      </c>
      <c r="AA107" s="298">
        <v>1534966</v>
      </c>
      <c r="AB107" s="298">
        <v>1534966</v>
      </c>
      <c r="AC107" s="9">
        <v>0</v>
      </c>
      <c r="AD107" s="9">
        <v>0</v>
      </c>
      <c r="AE107" s="298">
        <f>AD107+AC107+AB107</f>
        <v>1534966</v>
      </c>
      <c r="AF107" s="298">
        <v>1534966</v>
      </c>
      <c r="AG107" s="9">
        <v>0</v>
      </c>
      <c r="AH107" s="9">
        <v>0</v>
      </c>
      <c r="AI107" s="298">
        <f>AH107+AG107+AF107</f>
        <v>1534966</v>
      </c>
      <c r="AJ107" s="298">
        <v>1534966</v>
      </c>
      <c r="AK107" s="9">
        <v>0</v>
      </c>
      <c r="AL107" s="9">
        <v>0</v>
      </c>
      <c r="AM107" s="298">
        <f>AL107+AK107+AJ107</f>
        <v>1534966</v>
      </c>
      <c r="AN107" s="298">
        <v>1534966</v>
      </c>
      <c r="AO107" s="9">
        <v>0</v>
      </c>
      <c r="AP107" s="9">
        <v>0</v>
      </c>
      <c r="AQ107" s="298">
        <f>AP107+AO107+AN107</f>
        <v>1534966</v>
      </c>
      <c r="AR107" s="298">
        <v>1534966</v>
      </c>
      <c r="AS107" s="9">
        <v>0</v>
      </c>
      <c r="AT107" s="9">
        <v>0</v>
      </c>
      <c r="AU107" s="298">
        <f>AT107+AS107+AR107</f>
        <v>1534966</v>
      </c>
      <c r="AV107" s="298">
        <v>1534966</v>
      </c>
      <c r="AW107" s="9">
        <v>0</v>
      </c>
      <c r="AX107" s="9">
        <v>0</v>
      </c>
      <c r="AY107" s="298">
        <f>AX107+AW107+AV107</f>
        <v>1534966</v>
      </c>
      <c r="AZ107" s="8">
        <f>AY107*5%</f>
        <v>76748.3</v>
      </c>
      <c r="BA107" s="8">
        <v>0.3</v>
      </c>
      <c r="BB107" s="8">
        <f>AZ107-BA107</f>
        <v>76748</v>
      </c>
      <c r="BC107" s="8">
        <f>BB107+AY107</f>
        <v>1611714</v>
      </c>
      <c r="BD107" s="8"/>
      <c r="BE107" s="8">
        <f>BD107+BC107</f>
        <v>1611714</v>
      </c>
      <c r="BF107" s="10">
        <f>BE107-AY107</f>
        <v>76748</v>
      </c>
      <c r="BG107" s="11">
        <f>BF107-BB107</f>
        <v>0</v>
      </c>
      <c r="BH107" s="319">
        <v>1611714</v>
      </c>
      <c r="BI107" s="319">
        <v>0</v>
      </c>
      <c r="BJ107" s="319">
        <v>0</v>
      </c>
      <c r="BK107" s="319">
        <f>BJ107+BI107+BH107</f>
        <v>1611714</v>
      </c>
      <c r="BL107" s="319">
        <v>1611714</v>
      </c>
      <c r="BM107" s="319">
        <v>0</v>
      </c>
      <c r="BN107" s="319">
        <v>0</v>
      </c>
      <c r="BO107" s="319">
        <f>BN107+BM107+BL107</f>
        <v>1611714</v>
      </c>
      <c r="BP107" s="319">
        <f>BO107-BK107</f>
        <v>0</v>
      </c>
      <c r="BQ107" s="319">
        <v>1611714</v>
      </c>
      <c r="BR107" s="319">
        <v>0</v>
      </c>
      <c r="BS107" s="319">
        <v>0</v>
      </c>
      <c r="BT107" s="319">
        <f>BS107+BR107+BQ107</f>
        <v>1611714</v>
      </c>
      <c r="BU107" s="319">
        <f>BT107-BO107</f>
        <v>0</v>
      </c>
      <c r="BV107" s="319">
        <v>1611714</v>
      </c>
      <c r="BW107" s="319">
        <v>0</v>
      </c>
      <c r="BX107" s="319">
        <v>0</v>
      </c>
      <c r="BY107" s="319">
        <f>BX107+BW107+BV107</f>
        <v>1611714</v>
      </c>
      <c r="BZ107" s="319">
        <f>BY107-BT107</f>
        <v>0</v>
      </c>
      <c r="CA107" s="319">
        <v>1611714</v>
      </c>
      <c r="CB107" s="319">
        <v>0</v>
      </c>
      <c r="CC107" s="319">
        <v>0</v>
      </c>
      <c r="CD107" s="319">
        <f>CC107+CB107+CA107</f>
        <v>1611714</v>
      </c>
      <c r="CE107" s="319">
        <f>CD107-BY107</f>
        <v>0</v>
      </c>
      <c r="CF107" s="319">
        <v>1611714</v>
      </c>
      <c r="CG107" s="319">
        <v>0</v>
      </c>
      <c r="CH107" s="319">
        <v>0</v>
      </c>
      <c r="CI107" s="319">
        <f>CH107+CG107+CF107</f>
        <v>1611714</v>
      </c>
      <c r="CJ107" s="319">
        <f>CI107-CD107</f>
        <v>0</v>
      </c>
      <c r="CK107" s="319">
        <v>1611714</v>
      </c>
      <c r="CL107" s="319">
        <v>0</v>
      </c>
      <c r="CM107" s="319">
        <v>0</v>
      </c>
      <c r="CN107" s="319">
        <f>CM107+CL107+CK107</f>
        <v>1611714</v>
      </c>
      <c r="CO107" s="319">
        <f>CN107-CI107</f>
        <v>0</v>
      </c>
      <c r="CP107" s="319">
        <v>1611714</v>
      </c>
      <c r="CQ107" s="319">
        <v>0</v>
      </c>
      <c r="CR107" s="319">
        <v>0</v>
      </c>
      <c r="CS107" s="319">
        <f>CR107+CQ107+CP107</f>
        <v>1611714</v>
      </c>
      <c r="CT107" s="319">
        <f>CS107-CN107</f>
        <v>0</v>
      </c>
      <c r="CU107" s="319">
        <v>1611714</v>
      </c>
      <c r="CV107" s="319">
        <v>0</v>
      </c>
      <c r="CW107" s="319">
        <v>0</v>
      </c>
      <c r="CX107" s="319">
        <f>CW107+CV107+CU107</f>
        <v>1611714</v>
      </c>
      <c r="CY107" s="319">
        <f>CX107-CS107</f>
        <v>0</v>
      </c>
      <c r="CZ107" s="319"/>
      <c r="DA107" s="319"/>
      <c r="DB107" s="319"/>
      <c r="DC107" s="12">
        <f>CX107*10%</f>
        <v>161171.40000000002</v>
      </c>
      <c r="DD107" s="12">
        <v>0.4</v>
      </c>
      <c r="DE107" s="13">
        <f>DC107-DD107</f>
        <v>161171.00000000003</v>
      </c>
      <c r="DF107" s="14">
        <f>DE107:DE107</f>
        <v>161171.00000000003</v>
      </c>
      <c r="DG107" s="13">
        <f>DE107+CX107</f>
        <v>1772885</v>
      </c>
      <c r="DH107" s="15">
        <f>100/1278396949*CX107</f>
        <v>0.12607304806701317</v>
      </c>
      <c r="DI107" s="16">
        <f>CX107</f>
        <v>1611714</v>
      </c>
      <c r="DJ107" s="132">
        <f>DI107*1.1</f>
        <v>1772885.4000000001</v>
      </c>
      <c r="DK107" s="17">
        <f>DJ107-DI107</f>
        <v>161171.40000000014</v>
      </c>
      <c r="DL107" s="17">
        <f>DD107</f>
        <v>0.4</v>
      </c>
      <c r="DM107" s="16">
        <f>DK107-DL107</f>
        <v>161171.00000000015</v>
      </c>
      <c r="DN107" s="16">
        <f>DM107-DE107</f>
        <v>0</v>
      </c>
      <c r="DO107" s="16">
        <f>DM107+DI107</f>
        <v>1772885.0000000002</v>
      </c>
      <c r="DP107" s="16">
        <f>DO107-DG107</f>
        <v>0</v>
      </c>
      <c r="DQ107" s="9">
        <v>1772885</v>
      </c>
      <c r="DR107" s="18" t="s">
        <v>238</v>
      </c>
      <c r="DS107" s="18" t="s">
        <v>238</v>
      </c>
      <c r="DT107" s="324">
        <f>DQ107+DR107+DS107</f>
        <v>1772885</v>
      </c>
      <c r="DU107" s="321">
        <f>DT107</f>
        <v>1772885</v>
      </c>
      <c r="DV107" s="19">
        <f>DT107-DG107</f>
        <v>0</v>
      </c>
      <c r="DW107" s="9">
        <v>1772885</v>
      </c>
      <c r="DX107" s="18"/>
      <c r="DY107" s="18"/>
      <c r="DZ107" s="324">
        <f>DW107+DX107+DY107</f>
        <v>1772885</v>
      </c>
      <c r="EA107" s="321">
        <f>DZ107</f>
        <v>1772885</v>
      </c>
      <c r="EB107" s="179">
        <f>DZ107-DT107</f>
        <v>0</v>
      </c>
      <c r="EC107" s="9">
        <v>1772885</v>
      </c>
      <c r="ED107" s="18" t="s">
        <v>238</v>
      </c>
      <c r="EE107" s="18" t="s">
        <v>238</v>
      </c>
      <c r="EF107" s="324">
        <f>EC107+ED107+EE107</f>
        <v>1772885</v>
      </c>
      <c r="EG107" s="321">
        <f>EF107</f>
        <v>1772885</v>
      </c>
      <c r="EH107" s="179">
        <f>EF107-DZ107</f>
        <v>0</v>
      </c>
      <c r="EI107" s="9">
        <v>1772885</v>
      </c>
      <c r="EJ107" s="18" t="s">
        <v>238</v>
      </c>
      <c r="EK107" s="18" t="s">
        <v>238</v>
      </c>
      <c r="EL107" s="324">
        <f>EI107+EJ107+EK107</f>
        <v>1772885</v>
      </c>
      <c r="EM107" s="321">
        <f>EL107</f>
        <v>1772885</v>
      </c>
      <c r="EN107" s="179">
        <f>EL107-EF107</f>
        <v>0</v>
      </c>
      <c r="EO107" s="9">
        <v>1772885</v>
      </c>
      <c r="EP107" s="18" t="s">
        <v>238</v>
      </c>
      <c r="EQ107" s="18" t="s">
        <v>238</v>
      </c>
      <c r="ER107" s="324">
        <f>EO107+EP107+EQ107</f>
        <v>1772885</v>
      </c>
      <c r="ES107" s="321">
        <f>ER107</f>
        <v>1772885</v>
      </c>
      <c r="ET107" s="179">
        <f>ER107-EL107</f>
        <v>0</v>
      </c>
      <c r="EU107" s="9">
        <v>1772885</v>
      </c>
      <c r="EV107" s="18" t="s">
        <v>238</v>
      </c>
      <c r="EW107" s="18" t="s">
        <v>238</v>
      </c>
      <c r="EX107" s="324">
        <f>EU107+EV107+EW107</f>
        <v>1772885</v>
      </c>
      <c r="EY107" s="321">
        <f>EX107</f>
        <v>1772885</v>
      </c>
      <c r="EZ107" s="179">
        <f>EX107-ER107</f>
        <v>0</v>
      </c>
      <c r="FA107" s="9">
        <v>1772885</v>
      </c>
      <c r="FB107" s="18" t="s">
        <v>238</v>
      </c>
      <c r="FC107" s="18" t="s">
        <v>238</v>
      </c>
      <c r="FD107" s="324">
        <f>FA107+FB107+FC107</f>
        <v>1772885</v>
      </c>
      <c r="FE107" s="321">
        <f>FD107</f>
        <v>1772885</v>
      </c>
      <c r="FF107" s="179">
        <f>FD107-EX107</f>
        <v>0</v>
      </c>
      <c r="FG107" s="9">
        <v>1772885</v>
      </c>
      <c r="FH107" s="18" t="s">
        <v>238</v>
      </c>
      <c r="FI107" s="18" t="s">
        <v>238</v>
      </c>
      <c r="FJ107" s="324">
        <f>FG107+FH107+FI107</f>
        <v>1772885</v>
      </c>
      <c r="FK107" s="321">
        <f>FJ107</f>
        <v>1772885</v>
      </c>
      <c r="FL107" s="179">
        <f>FJ107-FD107</f>
        <v>0</v>
      </c>
      <c r="FM107" s="9">
        <v>1772885</v>
      </c>
      <c r="FN107" s="18" t="s">
        <v>238</v>
      </c>
      <c r="FO107" s="18" t="s">
        <v>238</v>
      </c>
      <c r="FP107" s="324">
        <f>FM107+FN107+FO107</f>
        <v>1772885</v>
      </c>
      <c r="FQ107" s="321">
        <f>FP107</f>
        <v>1772885</v>
      </c>
      <c r="FR107" s="179">
        <f>FP107-FJ107</f>
        <v>0</v>
      </c>
      <c r="FS107" s="9">
        <v>1772885</v>
      </c>
      <c r="FT107" s="18" t="s">
        <v>238</v>
      </c>
      <c r="FU107" s="18" t="s">
        <v>238</v>
      </c>
      <c r="FV107" s="324">
        <f>FS107+FT107+FU107</f>
        <v>1772885</v>
      </c>
      <c r="FW107" s="321">
        <f>FV107</f>
        <v>1772885</v>
      </c>
      <c r="FX107" s="179">
        <f>FV107-FP107</f>
        <v>0</v>
      </c>
      <c r="FY107" s="9">
        <v>1772885</v>
      </c>
      <c r="FZ107" s="18" t="s">
        <v>238</v>
      </c>
      <c r="GA107" s="18" t="s">
        <v>238</v>
      </c>
      <c r="GB107" s="324">
        <f>FY107+FZ107+GA107</f>
        <v>1772885</v>
      </c>
      <c r="GC107" s="321">
        <f>GB107</f>
        <v>1772885</v>
      </c>
      <c r="GD107" s="179">
        <f>GB107-FV107</f>
        <v>0</v>
      </c>
      <c r="GE107" s="9">
        <v>1772885</v>
      </c>
      <c r="GF107" s="18" t="s">
        <v>238</v>
      </c>
      <c r="GG107" s="18" t="s">
        <v>238</v>
      </c>
      <c r="GH107" s="324">
        <f>GE107+GF107+GG107</f>
        <v>1772885</v>
      </c>
      <c r="GI107" s="321">
        <f>GH107</f>
        <v>1772885</v>
      </c>
      <c r="GJ107" s="179">
        <f>GH107-GB107</f>
        <v>0</v>
      </c>
      <c r="GK107" s="9">
        <v>1772885</v>
      </c>
      <c r="GL107" s="18" t="s">
        <v>238</v>
      </c>
      <c r="GM107" s="18" t="s">
        <v>238</v>
      </c>
      <c r="GN107" s="324">
        <f>GK107+GL107+GM107</f>
        <v>1772885</v>
      </c>
      <c r="GO107" s="321">
        <f>GN107</f>
        <v>1772885</v>
      </c>
      <c r="GP107" s="179">
        <f>GN107-GH107</f>
        <v>0</v>
      </c>
      <c r="GQ107" s="9">
        <v>1772885</v>
      </c>
      <c r="GR107" s="18" t="s">
        <v>238</v>
      </c>
      <c r="GS107" s="18" t="s">
        <v>238</v>
      </c>
      <c r="GT107" s="324">
        <f>GQ107+GR107+GS107</f>
        <v>1772885</v>
      </c>
      <c r="GU107" s="321">
        <f>GT107</f>
        <v>1772885</v>
      </c>
      <c r="GV107" s="179">
        <f>GT107-GN107</f>
        <v>0</v>
      </c>
      <c r="GW107" s="9">
        <v>1861529</v>
      </c>
      <c r="GX107" s="18" t="s">
        <v>238</v>
      </c>
      <c r="GY107" s="18" t="s">
        <v>238</v>
      </c>
      <c r="GZ107" s="324">
        <f>GW107+GX107+GY107</f>
        <v>1861529</v>
      </c>
      <c r="HA107" s="321">
        <f>GZ107</f>
        <v>1861529</v>
      </c>
      <c r="HB107" s="179">
        <f>GZ107-GT107</f>
        <v>88644</v>
      </c>
      <c r="HC107" s="102">
        <f>100/1406236643.9*GT107</f>
        <v>0.12607301962229858</v>
      </c>
      <c r="HD107" s="285">
        <f>HB107-HO107</f>
        <v>0</v>
      </c>
      <c r="HE107" s="12">
        <f>GT107*0.05</f>
        <v>88644.25</v>
      </c>
      <c r="HF107" s="12">
        <f>IF(ISNUMBER(HE107), HE107-INT(HE107), "")</f>
        <v>0.25</v>
      </c>
      <c r="HG107" s="12">
        <f>HE107-HF107</f>
        <v>88644</v>
      </c>
      <c r="HH107" s="14">
        <f>HG107:HG107</f>
        <v>88644</v>
      </c>
      <c r="HI107" s="13">
        <f>HG107+GT107</f>
        <v>1861529</v>
      </c>
      <c r="HJ107" s="102">
        <f>100/1406236643.9*HI107</f>
        <v>0.13237665282546687</v>
      </c>
      <c r="HK107" s="16">
        <f>GT107</f>
        <v>1772885</v>
      </c>
      <c r="HL107" s="103">
        <f>HK107*1.05</f>
        <v>1861529.25</v>
      </c>
      <c r="HM107" s="103">
        <f>HL107-HK107</f>
        <v>88644.25</v>
      </c>
      <c r="HN107" s="17">
        <f>HF107</f>
        <v>0.25</v>
      </c>
      <c r="HO107" s="56">
        <f>HM107-HN107</f>
        <v>88644</v>
      </c>
      <c r="HP107" s="16">
        <f>HO107-HG107</f>
        <v>0</v>
      </c>
      <c r="HQ107" s="16">
        <f>HO107+HK107</f>
        <v>1861529</v>
      </c>
      <c r="HR107" s="16">
        <f>HQ107-HI107</f>
        <v>0</v>
      </c>
    </row>
    <row r="109" spans="1:226" x14ac:dyDescent="0.3">
      <c r="A109" s="140"/>
      <c r="B109" s="140"/>
      <c r="C109" s="140"/>
      <c r="D109" s="141" t="s">
        <v>216</v>
      </c>
      <c r="E109" s="121">
        <f t="shared" ref="E109:BP109" si="299">SUM(E105:E107)</f>
        <v>0</v>
      </c>
      <c r="F109" s="121">
        <f t="shared" si="299"/>
        <v>0</v>
      </c>
      <c r="G109" s="121">
        <f t="shared" si="299"/>
        <v>0</v>
      </c>
      <c r="H109" s="121">
        <f t="shared" si="299"/>
        <v>0</v>
      </c>
      <c r="I109" s="121">
        <f t="shared" si="299"/>
        <v>2773055</v>
      </c>
      <c r="J109" s="121">
        <f t="shared" si="299"/>
        <v>0</v>
      </c>
      <c r="K109" s="121">
        <f t="shared" si="299"/>
        <v>0</v>
      </c>
      <c r="L109" s="121">
        <f t="shared" si="299"/>
        <v>2773055</v>
      </c>
      <c r="M109" s="121">
        <f t="shared" si="299"/>
        <v>2773055</v>
      </c>
      <c r="N109" s="121">
        <f t="shared" si="299"/>
        <v>2773055</v>
      </c>
      <c r="O109" s="121">
        <f t="shared" si="299"/>
        <v>2773055</v>
      </c>
      <c r="P109" s="121">
        <f t="shared" si="299"/>
        <v>2773055</v>
      </c>
      <c r="Q109" s="121">
        <f t="shared" si="299"/>
        <v>2773055</v>
      </c>
      <c r="R109" s="121">
        <f t="shared" si="299"/>
        <v>2773055</v>
      </c>
      <c r="S109" s="121">
        <f t="shared" si="299"/>
        <v>2775895</v>
      </c>
      <c r="T109" s="121">
        <f t="shared" si="299"/>
        <v>2775895</v>
      </c>
      <c r="U109" s="121">
        <f t="shared" si="299"/>
        <v>138794.75</v>
      </c>
      <c r="V109" s="121">
        <f t="shared" si="299"/>
        <v>2914689.75</v>
      </c>
      <c r="W109" s="121">
        <f t="shared" si="299"/>
        <v>2914831</v>
      </c>
      <c r="X109" s="121">
        <f t="shared" si="299"/>
        <v>2914831</v>
      </c>
      <c r="Y109" s="121">
        <f t="shared" si="299"/>
        <v>2914831</v>
      </c>
      <c r="Z109" s="121">
        <f t="shared" si="299"/>
        <v>2914831</v>
      </c>
      <c r="AA109" s="121">
        <f t="shared" si="299"/>
        <v>2917671</v>
      </c>
      <c r="AB109" s="121">
        <f t="shared" si="299"/>
        <v>2886431</v>
      </c>
      <c r="AC109" s="121">
        <f t="shared" si="299"/>
        <v>28400</v>
      </c>
      <c r="AD109" s="121">
        <f t="shared" si="299"/>
        <v>2840</v>
      </c>
      <c r="AE109" s="121">
        <f t="shared" si="299"/>
        <v>2917671</v>
      </c>
      <c r="AF109" s="121">
        <f t="shared" si="299"/>
        <v>2886431</v>
      </c>
      <c r="AG109" s="121">
        <f t="shared" si="299"/>
        <v>28400</v>
      </c>
      <c r="AH109" s="121">
        <f t="shared" si="299"/>
        <v>2840</v>
      </c>
      <c r="AI109" s="121">
        <f t="shared" si="299"/>
        <v>2917671</v>
      </c>
      <c r="AJ109" s="121">
        <f t="shared" si="299"/>
        <v>2886431</v>
      </c>
      <c r="AK109" s="121">
        <f t="shared" si="299"/>
        <v>28400</v>
      </c>
      <c r="AL109" s="121">
        <f t="shared" si="299"/>
        <v>2840</v>
      </c>
      <c r="AM109" s="121">
        <f t="shared" si="299"/>
        <v>2917671</v>
      </c>
      <c r="AN109" s="121">
        <f t="shared" si="299"/>
        <v>2886431</v>
      </c>
      <c r="AO109" s="121">
        <f t="shared" si="299"/>
        <v>28400</v>
      </c>
      <c r="AP109" s="121">
        <f t="shared" si="299"/>
        <v>2840</v>
      </c>
      <c r="AQ109" s="121">
        <f t="shared" si="299"/>
        <v>2917671</v>
      </c>
      <c r="AR109" s="121">
        <f t="shared" si="299"/>
        <v>2886431</v>
      </c>
      <c r="AS109" s="121">
        <f t="shared" si="299"/>
        <v>0</v>
      </c>
      <c r="AT109" s="121">
        <f t="shared" si="299"/>
        <v>2840</v>
      </c>
      <c r="AU109" s="121">
        <f t="shared" si="299"/>
        <v>2917671</v>
      </c>
      <c r="AV109" s="121">
        <f t="shared" si="299"/>
        <v>2886431</v>
      </c>
      <c r="AW109" s="121">
        <f t="shared" si="299"/>
        <v>0</v>
      </c>
      <c r="AX109" s="121">
        <f t="shared" si="299"/>
        <v>2840</v>
      </c>
      <c r="AY109" s="121">
        <f t="shared" si="299"/>
        <v>2917671</v>
      </c>
      <c r="AZ109" s="121">
        <f t="shared" si="299"/>
        <v>145883.55000000002</v>
      </c>
      <c r="BA109" s="121">
        <f t="shared" si="299"/>
        <v>0.55000000000000004</v>
      </c>
      <c r="BB109" s="121">
        <f t="shared" si="299"/>
        <v>145883</v>
      </c>
      <c r="BC109" s="121">
        <f t="shared" si="299"/>
        <v>3063554</v>
      </c>
      <c r="BD109" s="121">
        <f t="shared" si="299"/>
        <v>0</v>
      </c>
      <c r="BE109" s="121">
        <f t="shared" si="299"/>
        <v>3063554</v>
      </c>
      <c r="BF109" s="121">
        <f t="shared" si="299"/>
        <v>145883</v>
      </c>
      <c r="BG109" s="121">
        <f t="shared" si="299"/>
        <v>0</v>
      </c>
      <c r="BH109" s="121">
        <f t="shared" si="299"/>
        <v>3032314</v>
      </c>
      <c r="BI109" s="121">
        <f t="shared" si="299"/>
        <v>28400</v>
      </c>
      <c r="BJ109" s="121">
        <f t="shared" si="299"/>
        <v>2840</v>
      </c>
      <c r="BK109" s="121">
        <f t="shared" si="299"/>
        <v>3063554</v>
      </c>
      <c r="BL109" s="121">
        <f t="shared" si="299"/>
        <v>3032314</v>
      </c>
      <c r="BM109" s="121">
        <f t="shared" si="299"/>
        <v>28400</v>
      </c>
      <c r="BN109" s="121">
        <f t="shared" si="299"/>
        <v>2840</v>
      </c>
      <c r="BO109" s="121">
        <f t="shared" si="299"/>
        <v>3063554</v>
      </c>
      <c r="BP109" s="121">
        <f t="shared" si="299"/>
        <v>0</v>
      </c>
      <c r="BQ109" s="121">
        <f t="shared" ref="BQ109:EB109" si="300">SUM(BQ105:BQ107)</f>
        <v>3032314</v>
      </c>
      <c r="BR109" s="121">
        <f t="shared" si="300"/>
        <v>28400</v>
      </c>
      <c r="BS109" s="121">
        <f t="shared" si="300"/>
        <v>2840</v>
      </c>
      <c r="BT109" s="121">
        <f t="shared" si="300"/>
        <v>3063554</v>
      </c>
      <c r="BU109" s="121">
        <f t="shared" si="300"/>
        <v>0</v>
      </c>
      <c r="BV109" s="121">
        <f t="shared" si="300"/>
        <v>3032314</v>
      </c>
      <c r="BW109" s="121">
        <f t="shared" si="300"/>
        <v>28400</v>
      </c>
      <c r="BX109" s="121">
        <f t="shared" si="300"/>
        <v>2840</v>
      </c>
      <c r="BY109" s="121">
        <f t="shared" si="300"/>
        <v>3063554</v>
      </c>
      <c r="BZ109" s="121">
        <f t="shared" si="300"/>
        <v>0</v>
      </c>
      <c r="CA109" s="121">
        <f t="shared" si="300"/>
        <v>3032314</v>
      </c>
      <c r="CB109" s="121">
        <f t="shared" si="300"/>
        <v>28400</v>
      </c>
      <c r="CC109" s="121">
        <f t="shared" si="300"/>
        <v>2840</v>
      </c>
      <c r="CD109" s="121">
        <f t="shared" si="300"/>
        <v>3063554</v>
      </c>
      <c r="CE109" s="121">
        <f t="shared" si="300"/>
        <v>0</v>
      </c>
      <c r="CF109" s="121">
        <f t="shared" si="300"/>
        <v>3032314</v>
      </c>
      <c r="CG109" s="121">
        <f t="shared" si="300"/>
        <v>28400</v>
      </c>
      <c r="CH109" s="121">
        <f t="shared" si="300"/>
        <v>2840</v>
      </c>
      <c r="CI109" s="121">
        <f t="shared" si="300"/>
        <v>3063554</v>
      </c>
      <c r="CJ109" s="121">
        <f t="shared" si="300"/>
        <v>0</v>
      </c>
      <c r="CK109" s="121">
        <f t="shared" si="300"/>
        <v>3032314</v>
      </c>
      <c r="CL109" s="121">
        <f t="shared" si="300"/>
        <v>28400</v>
      </c>
      <c r="CM109" s="121">
        <f t="shared" si="300"/>
        <v>2840</v>
      </c>
      <c r="CN109" s="121">
        <f t="shared" si="300"/>
        <v>3063554</v>
      </c>
      <c r="CO109" s="121">
        <f t="shared" si="300"/>
        <v>0</v>
      </c>
      <c r="CP109" s="121">
        <f t="shared" si="300"/>
        <v>3032314</v>
      </c>
      <c r="CQ109" s="121">
        <f t="shared" si="300"/>
        <v>28400</v>
      </c>
      <c r="CR109" s="121">
        <f t="shared" si="300"/>
        <v>2840</v>
      </c>
      <c r="CS109" s="121">
        <f t="shared" si="300"/>
        <v>3063554</v>
      </c>
      <c r="CT109" s="121">
        <f t="shared" si="300"/>
        <v>0</v>
      </c>
      <c r="CU109" s="121">
        <f t="shared" si="300"/>
        <v>3032314</v>
      </c>
      <c r="CV109" s="121">
        <f t="shared" si="300"/>
        <v>28400</v>
      </c>
      <c r="CW109" s="121">
        <f t="shared" si="300"/>
        <v>2840</v>
      </c>
      <c r="CX109" s="121">
        <f t="shared" si="300"/>
        <v>3063554</v>
      </c>
      <c r="CY109" s="121">
        <f t="shared" si="300"/>
        <v>0</v>
      </c>
      <c r="CZ109" s="121">
        <f t="shared" si="300"/>
        <v>320.20000000000005</v>
      </c>
      <c r="DA109" s="121">
        <f t="shared" si="300"/>
        <v>2840</v>
      </c>
      <c r="DB109" s="121">
        <f t="shared" si="300"/>
        <v>284</v>
      </c>
      <c r="DC109" s="121">
        <f t="shared" si="300"/>
        <v>306355.40000000002</v>
      </c>
      <c r="DD109" s="121">
        <f t="shared" si="300"/>
        <v>1.5</v>
      </c>
      <c r="DE109" s="121">
        <f t="shared" si="300"/>
        <v>306353.90000000002</v>
      </c>
      <c r="DF109" s="121">
        <f t="shared" si="300"/>
        <v>306353.90000000002</v>
      </c>
      <c r="DG109" s="121">
        <f t="shared" si="300"/>
        <v>3369907.9</v>
      </c>
      <c r="DH109" s="121">
        <f t="shared" si="300"/>
        <v>0.23964027780232128</v>
      </c>
      <c r="DI109" s="121">
        <f t="shared" si="300"/>
        <v>3063554</v>
      </c>
      <c r="DJ109" s="121">
        <f t="shared" si="300"/>
        <v>3369909.4000000004</v>
      </c>
      <c r="DK109" s="121">
        <f t="shared" si="300"/>
        <v>306355.4000000002</v>
      </c>
      <c r="DL109" s="121">
        <f t="shared" si="300"/>
        <v>1.5</v>
      </c>
      <c r="DM109" s="121">
        <f t="shared" si="300"/>
        <v>306353.9000000002</v>
      </c>
      <c r="DN109" s="121">
        <f t="shared" si="300"/>
        <v>4.5474735088646412E-12</v>
      </c>
      <c r="DO109" s="121">
        <f t="shared" si="300"/>
        <v>3369907.9000000004</v>
      </c>
      <c r="DP109" s="121">
        <f t="shared" si="300"/>
        <v>0</v>
      </c>
      <c r="DQ109" s="121">
        <f t="shared" si="300"/>
        <v>3335544</v>
      </c>
      <c r="DR109" s="121">
        <f t="shared" si="300"/>
        <v>0</v>
      </c>
      <c r="DS109" s="121">
        <f t="shared" si="300"/>
        <v>5964</v>
      </c>
      <c r="DT109" s="121">
        <f t="shared" si="300"/>
        <v>3369908</v>
      </c>
      <c r="DU109" s="121">
        <f t="shared" si="300"/>
        <v>3369908</v>
      </c>
      <c r="DV109" s="121">
        <f t="shared" si="300"/>
        <v>9.9999999998544808E-2</v>
      </c>
      <c r="DW109" s="121">
        <f t="shared" si="300"/>
        <v>3338668</v>
      </c>
      <c r="DX109" s="121">
        <f t="shared" si="300"/>
        <v>0</v>
      </c>
      <c r="DY109" s="121">
        <f t="shared" si="300"/>
        <v>2840</v>
      </c>
      <c r="DZ109" s="121">
        <f t="shared" si="300"/>
        <v>3369908</v>
      </c>
      <c r="EA109" s="121">
        <f t="shared" si="300"/>
        <v>3369908</v>
      </c>
      <c r="EB109" s="121">
        <f t="shared" si="300"/>
        <v>0</v>
      </c>
      <c r="EC109" s="121">
        <f t="shared" ref="EC109:FL109" si="301">SUM(EC105:EC107)</f>
        <v>3338668</v>
      </c>
      <c r="ED109" s="121">
        <f t="shared" si="301"/>
        <v>0</v>
      </c>
      <c r="EE109" s="121">
        <f t="shared" si="301"/>
        <v>2840</v>
      </c>
      <c r="EF109" s="121">
        <f t="shared" si="301"/>
        <v>3369908</v>
      </c>
      <c r="EG109" s="121">
        <f t="shared" si="301"/>
        <v>3369908</v>
      </c>
      <c r="EH109" s="121">
        <f t="shared" si="301"/>
        <v>0</v>
      </c>
      <c r="EI109" s="121">
        <f t="shared" si="301"/>
        <v>3332022</v>
      </c>
      <c r="EJ109" s="121">
        <f t="shared" si="301"/>
        <v>0</v>
      </c>
      <c r="EK109" s="121">
        <f t="shared" si="301"/>
        <v>2840</v>
      </c>
      <c r="EL109" s="121">
        <f t="shared" si="301"/>
        <v>3363262</v>
      </c>
      <c r="EM109" s="121">
        <f t="shared" si="301"/>
        <v>3363262</v>
      </c>
      <c r="EN109" s="121">
        <f t="shared" si="301"/>
        <v>-6646</v>
      </c>
      <c r="EO109" s="121">
        <f t="shared" si="301"/>
        <v>3338668</v>
      </c>
      <c r="EP109" s="121">
        <f t="shared" si="301"/>
        <v>28400</v>
      </c>
      <c r="EQ109" s="121">
        <f t="shared" si="301"/>
        <v>2840</v>
      </c>
      <c r="ER109" s="121">
        <f t="shared" si="301"/>
        <v>3369908</v>
      </c>
      <c r="ES109" s="121">
        <f t="shared" si="301"/>
        <v>3369908</v>
      </c>
      <c r="ET109" s="121">
        <f t="shared" si="301"/>
        <v>6646</v>
      </c>
      <c r="EU109" s="121">
        <f t="shared" si="301"/>
        <v>3338668</v>
      </c>
      <c r="EV109" s="121">
        <f t="shared" si="301"/>
        <v>28400</v>
      </c>
      <c r="EW109" s="121">
        <f t="shared" si="301"/>
        <v>2840</v>
      </c>
      <c r="EX109" s="121">
        <f t="shared" si="301"/>
        <v>3369908</v>
      </c>
      <c r="EY109" s="121">
        <f t="shared" si="301"/>
        <v>3369908</v>
      </c>
      <c r="EZ109" s="121">
        <f t="shared" si="301"/>
        <v>0</v>
      </c>
      <c r="FA109" s="121">
        <f t="shared" si="301"/>
        <v>3338668</v>
      </c>
      <c r="FB109" s="121">
        <f t="shared" si="301"/>
        <v>28400</v>
      </c>
      <c r="FC109" s="121">
        <f t="shared" si="301"/>
        <v>2840</v>
      </c>
      <c r="FD109" s="121">
        <f t="shared" si="301"/>
        <v>3369908</v>
      </c>
      <c r="FE109" s="121">
        <f t="shared" si="301"/>
        <v>3369908</v>
      </c>
      <c r="FF109" s="121">
        <f t="shared" si="301"/>
        <v>0</v>
      </c>
      <c r="FG109" s="121">
        <f t="shared" si="301"/>
        <v>3338668</v>
      </c>
      <c r="FH109" s="121">
        <f t="shared" si="301"/>
        <v>28400</v>
      </c>
      <c r="FI109" s="121">
        <f t="shared" si="301"/>
        <v>2840</v>
      </c>
      <c r="FJ109" s="121">
        <f t="shared" si="301"/>
        <v>3369908</v>
      </c>
      <c r="FK109" s="121">
        <f t="shared" si="301"/>
        <v>3369908</v>
      </c>
      <c r="FL109" s="121">
        <f t="shared" si="301"/>
        <v>0</v>
      </c>
      <c r="FM109" s="121">
        <f t="shared" ref="FM109:FR109" si="302">SUM(FM105:FM107)</f>
        <v>3338668</v>
      </c>
      <c r="FN109" s="121">
        <f t="shared" si="302"/>
        <v>28400</v>
      </c>
      <c r="FO109" s="121">
        <f t="shared" si="302"/>
        <v>2840</v>
      </c>
      <c r="FP109" s="121">
        <f t="shared" si="302"/>
        <v>3369908</v>
      </c>
      <c r="FQ109" s="121">
        <f t="shared" si="302"/>
        <v>3369908</v>
      </c>
      <c r="FR109" s="121">
        <f t="shared" si="302"/>
        <v>0</v>
      </c>
      <c r="FS109" s="121">
        <f t="shared" ref="FS109:GD109" si="303">SUM(FS104:FS107)</f>
        <v>3338668</v>
      </c>
      <c r="FT109" s="121">
        <f t="shared" si="303"/>
        <v>28400</v>
      </c>
      <c r="FU109" s="121">
        <f t="shared" si="303"/>
        <v>2840</v>
      </c>
      <c r="FV109" s="121">
        <f t="shared" si="303"/>
        <v>3369908</v>
      </c>
      <c r="FW109" s="121">
        <f t="shared" si="303"/>
        <v>3369908</v>
      </c>
      <c r="FX109" s="121">
        <f t="shared" si="303"/>
        <v>0</v>
      </c>
      <c r="FY109" s="121">
        <f t="shared" si="303"/>
        <v>3338668</v>
      </c>
      <c r="FZ109" s="121">
        <f t="shared" si="303"/>
        <v>28400</v>
      </c>
      <c r="GA109" s="121">
        <f t="shared" si="303"/>
        <v>2840</v>
      </c>
      <c r="GB109" s="121">
        <f t="shared" si="303"/>
        <v>3369908</v>
      </c>
      <c r="GC109" s="121">
        <f t="shared" si="303"/>
        <v>3369908</v>
      </c>
      <c r="GD109" s="121">
        <f t="shared" si="303"/>
        <v>0</v>
      </c>
      <c r="GE109" s="121">
        <f t="shared" ref="GE109:GJ109" si="304">SUM(GE104:GE107)</f>
        <v>3338668</v>
      </c>
      <c r="GF109" s="121">
        <f t="shared" si="304"/>
        <v>28400</v>
      </c>
      <c r="GG109" s="121">
        <f t="shared" si="304"/>
        <v>2840</v>
      </c>
      <c r="GH109" s="121">
        <f t="shared" si="304"/>
        <v>3369908</v>
      </c>
      <c r="GI109" s="121">
        <f t="shared" si="304"/>
        <v>3369908</v>
      </c>
      <c r="GJ109" s="121">
        <f t="shared" si="304"/>
        <v>0</v>
      </c>
      <c r="GK109" s="121">
        <f t="shared" ref="GK109:GP109" si="305">SUM(GK104:GK107)</f>
        <v>3338668</v>
      </c>
      <c r="GL109" s="121">
        <f t="shared" si="305"/>
        <v>28400</v>
      </c>
      <c r="GM109" s="121">
        <f t="shared" si="305"/>
        <v>2840</v>
      </c>
      <c r="GN109" s="121">
        <f t="shared" si="305"/>
        <v>3369908</v>
      </c>
      <c r="GO109" s="121">
        <f t="shared" si="305"/>
        <v>3369908</v>
      </c>
      <c r="GP109" s="121">
        <f t="shared" si="305"/>
        <v>0</v>
      </c>
      <c r="GQ109" s="121">
        <f t="shared" ref="GQ109:GV109" si="306">SUM(GQ104:GQ107)</f>
        <v>3338668</v>
      </c>
      <c r="GR109" s="121">
        <f t="shared" si="306"/>
        <v>28400</v>
      </c>
      <c r="GS109" s="121">
        <f t="shared" si="306"/>
        <v>2840</v>
      </c>
      <c r="GT109" s="121">
        <f t="shared" si="306"/>
        <v>3369908</v>
      </c>
      <c r="GU109" s="121">
        <f t="shared" si="306"/>
        <v>3369908</v>
      </c>
      <c r="GV109" s="121">
        <f t="shared" si="306"/>
        <v>0</v>
      </c>
      <c r="GW109" s="121">
        <f t="shared" ref="GW109:HB109" si="307">SUM(GW104:GW107)</f>
        <v>3505600</v>
      </c>
      <c r="GX109" s="121">
        <f t="shared" si="307"/>
        <v>28400</v>
      </c>
      <c r="GY109" s="121">
        <f t="shared" si="307"/>
        <v>4402</v>
      </c>
      <c r="GZ109" s="121">
        <f t="shared" si="307"/>
        <v>3538402</v>
      </c>
      <c r="HA109" s="121">
        <f t="shared" si="307"/>
        <v>3538402</v>
      </c>
      <c r="HB109" s="121">
        <f t="shared" si="307"/>
        <v>168494</v>
      </c>
      <c r="HC109" s="121">
        <f>SUM(HC105:HC107)</f>
        <v>0.23964017824582023</v>
      </c>
    </row>
    <row r="110" spans="1:226" x14ac:dyDescent="0.3">
      <c r="A110" s="98"/>
      <c r="B110" s="98"/>
      <c r="C110" s="98"/>
      <c r="D110" s="123"/>
      <c r="E110" s="113"/>
      <c r="F110" s="113"/>
      <c r="G110" s="113"/>
      <c r="H110" s="124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AG110" s="124"/>
      <c r="AH110" s="124"/>
      <c r="AI110" s="124"/>
      <c r="AJ110" s="124"/>
      <c r="AK110" s="124"/>
      <c r="AL110" s="124"/>
      <c r="AM110" s="124"/>
      <c r="AN110" s="124"/>
      <c r="AO110" s="124"/>
      <c r="AP110" s="124"/>
      <c r="AQ110" s="124"/>
      <c r="AR110" s="124"/>
      <c r="AS110" s="124"/>
      <c r="AT110" s="124"/>
      <c r="AU110" s="124"/>
      <c r="AV110" s="124"/>
      <c r="AW110" s="124"/>
      <c r="AX110" s="124"/>
      <c r="AY110" s="124"/>
      <c r="AZ110" s="124"/>
      <c r="BA110" s="124"/>
      <c r="BB110" s="124"/>
      <c r="BC110" s="124"/>
      <c r="BD110" s="124"/>
      <c r="BE110" s="124"/>
      <c r="BF110" s="124"/>
      <c r="BG110" s="124"/>
      <c r="BH110" s="124"/>
      <c r="BI110" s="124"/>
      <c r="BJ110" s="124"/>
      <c r="BK110" s="124"/>
      <c r="BL110" s="124"/>
      <c r="BM110" s="124"/>
      <c r="BN110" s="124"/>
      <c r="BO110" s="124"/>
      <c r="BP110" s="124"/>
      <c r="BQ110" s="124"/>
      <c r="BR110" s="124"/>
      <c r="BS110" s="124"/>
      <c r="BT110" s="124"/>
      <c r="BU110" s="124"/>
      <c r="BV110" s="124"/>
      <c r="BW110" s="124"/>
      <c r="BX110" s="124"/>
      <c r="BY110" s="124"/>
      <c r="BZ110" s="124"/>
      <c r="CA110" s="124"/>
      <c r="CB110" s="124"/>
      <c r="CC110" s="124"/>
      <c r="CD110" s="124"/>
      <c r="CE110" s="124"/>
      <c r="CF110" s="124"/>
      <c r="CG110" s="124"/>
      <c r="CH110" s="124"/>
      <c r="CI110" s="124"/>
      <c r="CJ110" s="124"/>
      <c r="CK110" s="124"/>
      <c r="CL110" s="124"/>
      <c r="CM110" s="124"/>
      <c r="CN110" s="124"/>
      <c r="CO110" s="124"/>
      <c r="CP110" s="124"/>
      <c r="CQ110" s="124"/>
      <c r="CR110" s="124"/>
      <c r="CS110" s="124"/>
      <c r="CT110" s="124"/>
      <c r="CU110" s="124"/>
      <c r="CV110" s="124"/>
      <c r="CW110" s="124"/>
      <c r="CX110" s="124"/>
      <c r="CY110" s="124"/>
      <c r="CZ110" s="124"/>
      <c r="DA110" s="124"/>
      <c r="DB110" s="124"/>
      <c r="DC110" s="124"/>
      <c r="DD110" s="124"/>
      <c r="DE110" s="124"/>
      <c r="DF110" s="124"/>
      <c r="DG110" s="124"/>
      <c r="DH110" s="125"/>
    </row>
    <row r="111" spans="1:226" x14ac:dyDescent="0.3">
      <c r="A111" s="98"/>
      <c r="B111" s="98"/>
      <c r="C111" s="98"/>
      <c r="D111" s="123"/>
      <c r="E111" s="113"/>
      <c r="F111" s="113"/>
      <c r="G111" s="113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AG111" s="124"/>
      <c r="AH111" s="124"/>
      <c r="AI111" s="124"/>
      <c r="AJ111" s="124"/>
      <c r="AK111" s="124"/>
      <c r="AL111" s="124"/>
      <c r="AM111" s="124"/>
      <c r="AN111" s="124"/>
      <c r="AO111" s="124"/>
      <c r="AP111" s="124"/>
      <c r="AQ111" s="124"/>
      <c r="AR111" s="124"/>
      <c r="AS111" s="124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BG111" s="124"/>
      <c r="BH111" s="124"/>
      <c r="BI111" s="124"/>
      <c r="BJ111" s="124"/>
      <c r="BK111" s="124"/>
      <c r="BL111" s="124"/>
      <c r="BM111" s="124"/>
      <c r="BN111" s="124"/>
      <c r="BO111" s="124"/>
      <c r="BP111" s="124"/>
      <c r="BQ111" s="124"/>
      <c r="BR111" s="124"/>
      <c r="BS111" s="124"/>
      <c r="BT111" s="124"/>
      <c r="BU111" s="124"/>
      <c r="BV111" s="124"/>
      <c r="BW111" s="124"/>
      <c r="BX111" s="124"/>
      <c r="BY111" s="124"/>
      <c r="BZ111" s="124"/>
      <c r="CA111" s="124"/>
      <c r="CB111" s="124"/>
      <c r="CC111" s="124"/>
      <c r="CD111" s="124"/>
      <c r="CE111" s="124"/>
      <c r="CF111" s="124"/>
      <c r="CG111" s="124"/>
      <c r="CH111" s="124"/>
      <c r="CI111" s="124"/>
      <c r="CJ111" s="124"/>
      <c r="CK111" s="124"/>
      <c r="CL111" s="124"/>
      <c r="CM111" s="124"/>
      <c r="CN111" s="124"/>
      <c r="CO111" s="124"/>
      <c r="CP111" s="124"/>
      <c r="CQ111" s="124"/>
      <c r="CR111" s="124"/>
      <c r="CS111" s="124"/>
      <c r="CT111" s="124"/>
      <c r="CU111" s="124"/>
      <c r="CV111" s="124"/>
      <c r="CW111" s="124"/>
      <c r="CX111" s="124"/>
      <c r="CY111" s="124"/>
      <c r="CZ111" s="124"/>
      <c r="DA111" s="124"/>
      <c r="DB111" s="124"/>
      <c r="DC111" s="124"/>
      <c r="DD111" s="124"/>
      <c r="DE111" s="124"/>
      <c r="DF111" s="124"/>
      <c r="DG111" s="124"/>
      <c r="DH111" s="125"/>
    </row>
    <row r="112" spans="1:226" s="74" customFormat="1" ht="52.5" customHeight="1" x14ac:dyDescent="0.3">
      <c r="A112" s="85" t="s">
        <v>0</v>
      </c>
      <c r="B112" s="85" t="s">
        <v>1</v>
      </c>
      <c r="C112" s="85" t="s">
        <v>217</v>
      </c>
      <c r="D112" s="86" t="s">
        <v>218</v>
      </c>
      <c r="E112" s="87" t="s">
        <v>233</v>
      </c>
      <c r="F112" s="87" t="s">
        <v>234</v>
      </c>
      <c r="G112" s="87" t="s">
        <v>235</v>
      </c>
      <c r="H112" s="87" t="s">
        <v>383</v>
      </c>
      <c r="I112" s="87" t="s">
        <v>382</v>
      </c>
      <c r="J112" s="87" t="s">
        <v>381</v>
      </c>
      <c r="K112" s="87" t="s">
        <v>380</v>
      </c>
      <c r="L112" s="87" t="s">
        <v>379</v>
      </c>
      <c r="M112" s="87" t="s">
        <v>378</v>
      </c>
      <c r="N112" s="87" t="s">
        <v>377</v>
      </c>
      <c r="O112" s="87" t="s">
        <v>394</v>
      </c>
      <c r="P112" s="87" t="s">
        <v>413</v>
      </c>
      <c r="Q112" s="87" t="s">
        <v>415</v>
      </c>
      <c r="R112" s="87" t="s">
        <v>417</v>
      </c>
      <c r="S112" s="87" t="s">
        <v>420</v>
      </c>
      <c r="T112" s="87" t="s">
        <v>421</v>
      </c>
      <c r="U112" s="87" t="s">
        <v>425</v>
      </c>
      <c r="V112" s="87" t="s">
        <v>426</v>
      </c>
      <c r="W112" s="87" t="s">
        <v>424</v>
      </c>
      <c r="X112" s="87" t="s">
        <v>437</v>
      </c>
      <c r="Y112" s="87" t="s">
        <v>439</v>
      </c>
      <c r="Z112" s="87" t="s">
        <v>447</v>
      </c>
      <c r="AA112" s="87" t="s">
        <v>458</v>
      </c>
      <c r="AB112" s="420" t="s">
        <v>459</v>
      </c>
      <c r="AC112" s="422"/>
      <c r="AD112" s="422"/>
      <c r="AE112" s="421"/>
      <c r="AF112" s="433" t="s">
        <v>462</v>
      </c>
      <c r="AG112" s="434"/>
      <c r="AH112" s="434"/>
      <c r="AI112" s="435"/>
      <c r="AJ112" s="420" t="s">
        <v>466</v>
      </c>
      <c r="AK112" s="422"/>
      <c r="AL112" s="422"/>
      <c r="AM112" s="421"/>
      <c r="AN112" s="433" t="s">
        <v>470</v>
      </c>
      <c r="AO112" s="434"/>
      <c r="AP112" s="434"/>
      <c r="AQ112" s="435"/>
      <c r="AR112" s="420" t="s">
        <v>478</v>
      </c>
      <c r="AS112" s="422"/>
      <c r="AT112" s="422"/>
      <c r="AU112" s="421"/>
      <c r="AV112" s="433" t="s">
        <v>483</v>
      </c>
      <c r="AW112" s="434"/>
      <c r="AX112" s="434"/>
      <c r="AY112" s="435"/>
      <c r="AZ112" s="436" t="s">
        <v>503</v>
      </c>
      <c r="BA112" s="436" t="s">
        <v>488</v>
      </c>
      <c r="BB112" s="436" t="s">
        <v>489</v>
      </c>
      <c r="BC112" s="436" t="s">
        <v>423</v>
      </c>
      <c r="BD112" s="436" t="s">
        <v>507</v>
      </c>
      <c r="BE112" s="436" t="s">
        <v>531</v>
      </c>
      <c r="BF112" s="437" t="s">
        <v>508</v>
      </c>
      <c r="BG112" s="437" t="s">
        <v>509</v>
      </c>
      <c r="BH112" s="420" t="s">
        <v>532</v>
      </c>
      <c r="BI112" s="422"/>
      <c r="BJ112" s="422"/>
      <c r="BK112" s="421"/>
      <c r="BL112" s="433" t="s">
        <v>539</v>
      </c>
      <c r="BM112" s="434"/>
      <c r="BN112" s="434"/>
      <c r="BO112" s="435"/>
      <c r="BP112" s="438" t="s">
        <v>538</v>
      </c>
      <c r="BQ112" s="420" t="s">
        <v>542</v>
      </c>
      <c r="BR112" s="422"/>
      <c r="BS112" s="422"/>
      <c r="BT112" s="421"/>
      <c r="BU112" s="438" t="s">
        <v>541</v>
      </c>
      <c r="BV112" s="420" t="s">
        <v>552</v>
      </c>
      <c r="BW112" s="422"/>
      <c r="BX112" s="422"/>
      <c r="BY112" s="421"/>
      <c r="BZ112" s="438" t="s">
        <v>553</v>
      </c>
      <c r="CA112" s="420" t="s">
        <v>578</v>
      </c>
      <c r="CB112" s="422"/>
      <c r="CC112" s="422"/>
      <c r="CD112" s="421"/>
      <c r="CE112" s="438" t="s">
        <v>579</v>
      </c>
      <c r="CF112" s="420" t="s">
        <v>581</v>
      </c>
      <c r="CG112" s="422"/>
      <c r="CH112" s="422"/>
      <c r="CI112" s="421"/>
      <c r="CJ112" s="438" t="s">
        <v>580</v>
      </c>
      <c r="CK112" s="420" t="s">
        <v>585</v>
      </c>
      <c r="CL112" s="422"/>
      <c r="CM112" s="422"/>
      <c r="CN112" s="421"/>
      <c r="CO112" s="438" t="s">
        <v>580</v>
      </c>
      <c r="CP112" s="420" t="s">
        <v>587</v>
      </c>
      <c r="CQ112" s="422"/>
      <c r="CR112" s="422"/>
      <c r="CS112" s="421"/>
      <c r="CT112" s="438" t="s">
        <v>588</v>
      </c>
      <c r="CU112" s="420" t="s">
        <v>590</v>
      </c>
      <c r="CV112" s="422"/>
      <c r="CW112" s="422"/>
      <c r="CX112" s="421"/>
      <c r="CY112" s="438" t="s">
        <v>592</v>
      </c>
      <c r="CZ112" s="294"/>
      <c r="DA112" s="294"/>
      <c r="DB112" s="294"/>
      <c r="DC112" s="95" t="s">
        <v>602</v>
      </c>
      <c r="DD112" s="95" t="s">
        <v>488</v>
      </c>
      <c r="DE112" s="95" t="s">
        <v>489</v>
      </c>
      <c r="DF112" s="95" t="s">
        <v>603</v>
      </c>
      <c r="DG112" s="95" t="s">
        <v>423</v>
      </c>
      <c r="DH112" s="85" t="s">
        <v>2</v>
      </c>
      <c r="DI112" s="427" t="s">
        <v>613</v>
      </c>
      <c r="DJ112" s="427"/>
      <c r="DK112" s="427"/>
      <c r="DL112" s="427"/>
      <c r="DM112" s="427"/>
      <c r="DN112" s="427"/>
      <c r="DO112" s="427"/>
      <c r="DP112" s="427"/>
      <c r="DQ112" s="423" t="s">
        <v>614</v>
      </c>
      <c r="DR112" s="424"/>
      <c r="DS112" s="424"/>
      <c r="DT112" s="424"/>
      <c r="DU112" s="425"/>
      <c r="DV112" s="87" t="s">
        <v>615</v>
      </c>
      <c r="DW112" s="423" t="s">
        <v>623</v>
      </c>
      <c r="DX112" s="424"/>
      <c r="DY112" s="424"/>
      <c r="DZ112" s="424"/>
      <c r="EA112" s="425"/>
      <c r="EB112" s="87" t="s">
        <v>624</v>
      </c>
      <c r="EC112" s="423" t="s">
        <v>627</v>
      </c>
      <c r="ED112" s="424"/>
      <c r="EE112" s="424"/>
      <c r="EF112" s="424"/>
      <c r="EG112" s="425"/>
      <c r="EH112" s="87" t="s">
        <v>628</v>
      </c>
      <c r="EI112" s="423" t="s">
        <v>631</v>
      </c>
      <c r="EJ112" s="424"/>
      <c r="EK112" s="424"/>
      <c r="EL112" s="424"/>
      <c r="EM112" s="425"/>
      <c r="EN112" s="87" t="s">
        <v>632</v>
      </c>
      <c r="EO112" s="423" t="s">
        <v>638</v>
      </c>
      <c r="EP112" s="424"/>
      <c r="EQ112" s="424"/>
      <c r="ER112" s="424"/>
      <c r="ES112" s="425"/>
      <c r="ET112" s="87" t="s">
        <v>637</v>
      </c>
      <c r="EU112" s="423" t="s">
        <v>641</v>
      </c>
      <c r="EV112" s="424"/>
      <c r="EW112" s="424"/>
      <c r="EX112" s="424"/>
      <c r="EY112" s="425"/>
      <c r="EZ112" s="87" t="s">
        <v>642</v>
      </c>
      <c r="FA112" s="423" t="s">
        <v>645</v>
      </c>
      <c r="FB112" s="424"/>
      <c r="FC112" s="424"/>
      <c r="FD112" s="424"/>
      <c r="FE112" s="425"/>
      <c r="FF112" s="87" t="s">
        <v>646</v>
      </c>
      <c r="FG112" s="423" t="s">
        <v>653</v>
      </c>
      <c r="FH112" s="424"/>
      <c r="FI112" s="424"/>
      <c r="FJ112" s="424"/>
      <c r="FK112" s="425"/>
      <c r="FL112" s="87" t="s">
        <v>654</v>
      </c>
      <c r="FM112" s="423" t="s">
        <v>662</v>
      </c>
      <c r="FN112" s="424"/>
      <c r="FO112" s="424"/>
      <c r="FP112" s="424"/>
      <c r="FQ112" s="425"/>
      <c r="FR112" s="87" t="s">
        <v>657</v>
      </c>
      <c r="FS112" s="423" t="s">
        <v>661</v>
      </c>
      <c r="FT112" s="424"/>
      <c r="FU112" s="424"/>
      <c r="FV112" s="424"/>
      <c r="FW112" s="425"/>
      <c r="FX112" s="87" t="s">
        <v>663</v>
      </c>
      <c r="FY112" s="423" t="s">
        <v>665</v>
      </c>
      <c r="FZ112" s="424"/>
      <c r="GA112" s="424"/>
      <c r="GB112" s="424"/>
      <c r="GC112" s="425"/>
      <c r="GD112" s="87" t="s">
        <v>666</v>
      </c>
      <c r="GE112" s="423" t="s">
        <v>668</v>
      </c>
      <c r="GF112" s="424"/>
      <c r="GG112" s="424"/>
      <c r="GH112" s="424"/>
      <c r="GI112" s="425"/>
      <c r="GJ112" s="87" t="s">
        <v>669</v>
      </c>
      <c r="GK112" s="423" t="s">
        <v>671</v>
      </c>
      <c r="GL112" s="424"/>
      <c r="GM112" s="424"/>
      <c r="GN112" s="424"/>
      <c r="GO112" s="425"/>
      <c r="GP112" s="87" t="s">
        <v>672</v>
      </c>
      <c r="GQ112" s="423" t="s">
        <v>674</v>
      </c>
      <c r="GR112" s="424"/>
      <c r="GS112" s="424"/>
      <c r="GT112" s="424"/>
      <c r="GU112" s="425"/>
      <c r="GV112" s="87" t="s">
        <v>675</v>
      </c>
      <c r="GW112" s="423" t="s">
        <v>696</v>
      </c>
      <c r="GX112" s="424"/>
      <c r="GY112" s="424"/>
      <c r="GZ112" s="424"/>
      <c r="HA112" s="425"/>
      <c r="HB112" s="87" t="s">
        <v>697</v>
      </c>
      <c r="HC112" s="85" t="s">
        <v>2</v>
      </c>
      <c r="HD112" s="6"/>
      <c r="HE112" s="439" t="s">
        <v>678</v>
      </c>
      <c r="HF112" s="439"/>
      <c r="HG112" s="439"/>
      <c r="HH112" s="439"/>
      <c r="HI112" s="439"/>
      <c r="HJ112" s="85" t="s">
        <v>2</v>
      </c>
      <c r="HK112" s="593" t="s">
        <v>698</v>
      </c>
      <c r="HL112" s="594"/>
      <c r="HM112" s="594"/>
      <c r="HN112" s="594"/>
      <c r="HO112" s="594"/>
      <c r="HP112" s="594"/>
      <c r="HQ112" s="594"/>
      <c r="HR112" s="594"/>
    </row>
    <row r="113" spans="1:226" s="74" customFormat="1" ht="31.2" thickBot="1" x14ac:dyDescent="0.35">
      <c r="A113" s="89"/>
      <c r="B113" s="440" t="s">
        <v>560</v>
      </c>
      <c r="C113" s="448"/>
      <c r="D113" s="447"/>
      <c r="E113" s="87"/>
      <c r="F113" s="87"/>
      <c r="G113" s="87"/>
      <c r="H113" s="88"/>
      <c r="I113" s="88"/>
      <c r="J113" s="294"/>
      <c r="K113" s="88"/>
      <c r="L113" s="87"/>
      <c r="M113" s="87"/>
      <c r="N113" s="87"/>
      <c r="O113" s="294"/>
      <c r="P113" s="294"/>
      <c r="Q113" s="294"/>
      <c r="R113" s="294"/>
      <c r="S113" s="294"/>
      <c r="T113" s="294"/>
      <c r="U113" s="294"/>
      <c r="V113" s="294"/>
      <c r="W113" s="294"/>
      <c r="X113" s="294"/>
      <c r="Y113" s="294"/>
      <c r="Z113" s="294"/>
      <c r="AA113" s="294"/>
      <c r="AB113" s="112" t="s">
        <v>234</v>
      </c>
      <c r="AC113" s="112" t="s">
        <v>454</v>
      </c>
      <c r="AD113" s="112" t="s">
        <v>455</v>
      </c>
      <c r="AE113" s="112" t="s">
        <v>456</v>
      </c>
      <c r="AF113" s="14" t="s">
        <v>234</v>
      </c>
      <c r="AG113" s="14" t="s">
        <v>454</v>
      </c>
      <c r="AH113" s="14" t="s">
        <v>455</v>
      </c>
      <c r="AI113" s="14" t="s">
        <v>456</v>
      </c>
      <c r="AJ113" s="112" t="s">
        <v>234</v>
      </c>
      <c r="AK113" s="112" t="s">
        <v>454</v>
      </c>
      <c r="AL113" s="112" t="s">
        <v>455</v>
      </c>
      <c r="AM113" s="112" t="s">
        <v>456</v>
      </c>
      <c r="AN113" s="14" t="s">
        <v>234</v>
      </c>
      <c r="AO113" s="14" t="s">
        <v>454</v>
      </c>
      <c r="AP113" s="14" t="s">
        <v>455</v>
      </c>
      <c r="AQ113" s="14" t="s">
        <v>456</v>
      </c>
      <c r="AR113" s="112" t="s">
        <v>234</v>
      </c>
      <c r="AS113" s="112" t="s">
        <v>454</v>
      </c>
      <c r="AT113" s="112" t="s">
        <v>455</v>
      </c>
      <c r="AU113" s="112" t="s">
        <v>456</v>
      </c>
      <c r="AV113" s="14" t="s">
        <v>234</v>
      </c>
      <c r="AW113" s="14" t="s">
        <v>454</v>
      </c>
      <c r="AX113" s="14" t="s">
        <v>455</v>
      </c>
      <c r="AY113" s="14" t="s">
        <v>456</v>
      </c>
      <c r="AZ113" s="443"/>
      <c r="BA113" s="443"/>
      <c r="BB113" s="443"/>
      <c r="BC113" s="443"/>
      <c r="BD113" s="443"/>
      <c r="BE113" s="443"/>
      <c r="BF113" s="444"/>
      <c r="BG113" s="444"/>
      <c r="BH113" s="112" t="s">
        <v>234</v>
      </c>
      <c r="BI113" s="112" t="s">
        <v>454</v>
      </c>
      <c r="BJ113" s="112" t="s">
        <v>455</v>
      </c>
      <c r="BK113" s="112" t="s">
        <v>456</v>
      </c>
      <c r="BL113" s="14" t="s">
        <v>234</v>
      </c>
      <c r="BM113" s="14" t="s">
        <v>454</v>
      </c>
      <c r="BN113" s="14" t="s">
        <v>455</v>
      </c>
      <c r="BO113" s="14" t="s">
        <v>456</v>
      </c>
      <c r="BP113" s="445"/>
      <c r="BQ113" s="112" t="s">
        <v>234</v>
      </c>
      <c r="BR113" s="112" t="s">
        <v>454</v>
      </c>
      <c r="BS113" s="112" t="s">
        <v>455</v>
      </c>
      <c r="BT113" s="112" t="s">
        <v>456</v>
      </c>
      <c r="BU113" s="445"/>
      <c r="BV113" s="112" t="s">
        <v>234</v>
      </c>
      <c r="BW113" s="112" t="s">
        <v>454</v>
      </c>
      <c r="BX113" s="112" t="s">
        <v>455</v>
      </c>
      <c r="BY113" s="112" t="s">
        <v>456</v>
      </c>
      <c r="BZ113" s="445"/>
      <c r="CA113" s="112" t="s">
        <v>234</v>
      </c>
      <c r="CB113" s="112" t="s">
        <v>454</v>
      </c>
      <c r="CC113" s="112" t="s">
        <v>455</v>
      </c>
      <c r="CD113" s="112" t="s">
        <v>456</v>
      </c>
      <c r="CE113" s="445"/>
      <c r="CF113" s="112" t="s">
        <v>234</v>
      </c>
      <c r="CG113" s="112" t="s">
        <v>454</v>
      </c>
      <c r="CH113" s="112" t="s">
        <v>455</v>
      </c>
      <c r="CI113" s="112" t="s">
        <v>456</v>
      </c>
      <c r="CJ113" s="445"/>
      <c r="CK113" s="112" t="s">
        <v>234</v>
      </c>
      <c r="CL113" s="112" t="s">
        <v>454</v>
      </c>
      <c r="CM113" s="112" t="s">
        <v>455</v>
      </c>
      <c r="CN113" s="112" t="s">
        <v>456</v>
      </c>
      <c r="CO113" s="445"/>
      <c r="CP113" s="112" t="s">
        <v>234</v>
      </c>
      <c r="CQ113" s="112" t="s">
        <v>454</v>
      </c>
      <c r="CR113" s="112" t="s">
        <v>455</v>
      </c>
      <c r="CS113" s="96" t="s">
        <v>456</v>
      </c>
      <c r="CT113" s="445"/>
      <c r="CU113" s="112" t="s">
        <v>234</v>
      </c>
      <c r="CV113" s="112" t="s">
        <v>454</v>
      </c>
      <c r="CW113" s="112" t="s">
        <v>455</v>
      </c>
      <c r="CX113" s="96" t="s">
        <v>456</v>
      </c>
      <c r="CY113" s="445"/>
      <c r="CZ113" s="295"/>
      <c r="DA113" s="295"/>
      <c r="DB113" s="295"/>
      <c r="DC113" s="95" t="s">
        <v>602</v>
      </c>
      <c r="DD113" s="95" t="s">
        <v>488</v>
      </c>
      <c r="DE113" s="95" t="s">
        <v>489</v>
      </c>
      <c r="DF113" s="95" t="s">
        <v>603</v>
      </c>
      <c r="DG113" s="95" t="s">
        <v>423</v>
      </c>
      <c r="DH113" s="89"/>
      <c r="DI113" s="90" t="s">
        <v>604</v>
      </c>
      <c r="DJ113" s="91" t="s">
        <v>605</v>
      </c>
      <c r="DK113" s="92" t="s">
        <v>606</v>
      </c>
      <c r="DL113" s="92" t="s">
        <v>607</v>
      </c>
      <c r="DM113" s="91" t="s">
        <v>608</v>
      </c>
      <c r="DN113" s="91" t="s">
        <v>609</v>
      </c>
      <c r="DO113" s="91" t="s">
        <v>611</v>
      </c>
      <c r="DP113" s="91" t="s">
        <v>610</v>
      </c>
      <c r="DQ113" s="112" t="s">
        <v>234</v>
      </c>
      <c r="DR113" s="112" t="s">
        <v>454</v>
      </c>
      <c r="DS113" s="112" t="s">
        <v>455</v>
      </c>
      <c r="DT113" s="93" t="s">
        <v>456</v>
      </c>
      <c r="DU113" s="94" t="s">
        <v>457</v>
      </c>
      <c r="DV113" s="87"/>
      <c r="DW113" s="112" t="s">
        <v>234</v>
      </c>
      <c r="DX113" s="112" t="s">
        <v>454</v>
      </c>
      <c r="DY113" s="112" t="s">
        <v>455</v>
      </c>
      <c r="DZ113" s="93" t="s">
        <v>456</v>
      </c>
      <c r="EA113" s="94" t="s">
        <v>457</v>
      </c>
      <c r="EB113" s="87"/>
      <c r="EC113" s="112" t="s">
        <v>234</v>
      </c>
      <c r="ED113" s="112" t="s">
        <v>454</v>
      </c>
      <c r="EE113" s="112" t="s">
        <v>455</v>
      </c>
      <c r="EF113" s="93" t="s">
        <v>456</v>
      </c>
      <c r="EG113" s="94" t="s">
        <v>457</v>
      </c>
      <c r="EH113" s="87"/>
      <c r="EI113" s="112" t="s">
        <v>234</v>
      </c>
      <c r="EJ113" s="112" t="s">
        <v>454</v>
      </c>
      <c r="EK113" s="112" t="s">
        <v>455</v>
      </c>
      <c r="EL113" s="93" t="s">
        <v>456</v>
      </c>
      <c r="EM113" s="94" t="s">
        <v>457</v>
      </c>
      <c r="EN113" s="87"/>
      <c r="EO113" s="112" t="s">
        <v>234</v>
      </c>
      <c r="EP113" s="112" t="s">
        <v>454</v>
      </c>
      <c r="EQ113" s="112" t="s">
        <v>455</v>
      </c>
      <c r="ER113" s="93" t="s">
        <v>456</v>
      </c>
      <c r="ES113" s="94" t="s">
        <v>457</v>
      </c>
      <c r="ET113" s="87"/>
      <c r="EU113" s="112" t="s">
        <v>234</v>
      </c>
      <c r="EV113" s="112" t="s">
        <v>454</v>
      </c>
      <c r="EW113" s="112" t="s">
        <v>455</v>
      </c>
      <c r="EX113" s="93" t="s">
        <v>456</v>
      </c>
      <c r="EY113" s="94" t="s">
        <v>457</v>
      </c>
      <c r="EZ113" s="87"/>
      <c r="FA113" s="112" t="s">
        <v>234</v>
      </c>
      <c r="FB113" s="112" t="s">
        <v>454</v>
      </c>
      <c r="FC113" s="112" t="s">
        <v>455</v>
      </c>
      <c r="FD113" s="93" t="s">
        <v>456</v>
      </c>
      <c r="FE113" s="94" t="s">
        <v>457</v>
      </c>
      <c r="FF113" s="87"/>
      <c r="FG113" s="112" t="s">
        <v>234</v>
      </c>
      <c r="FH113" s="112" t="s">
        <v>454</v>
      </c>
      <c r="FI113" s="112" t="s">
        <v>455</v>
      </c>
      <c r="FJ113" s="93" t="s">
        <v>456</v>
      </c>
      <c r="FK113" s="94" t="s">
        <v>457</v>
      </c>
      <c r="FL113" s="87"/>
      <c r="FM113" s="112" t="s">
        <v>234</v>
      </c>
      <c r="FN113" s="112" t="s">
        <v>454</v>
      </c>
      <c r="FO113" s="112" t="s">
        <v>455</v>
      </c>
      <c r="FP113" s="93" t="s">
        <v>456</v>
      </c>
      <c r="FQ113" s="94" t="s">
        <v>457</v>
      </c>
      <c r="FR113" s="87"/>
      <c r="FS113" s="112" t="s">
        <v>234</v>
      </c>
      <c r="FT113" s="112" t="s">
        <v>454</v>
      </c>
      <c r="FU113" s="112" t="s">
        <v>455</v>
      </c>
      <c r="FV113" s="93" t="s">
        <v>456</v>
      </c>
      <c r="FW113" s="94" t="s">
        <v>457</v>
      </c>
      <c r="FX113" s="87"/>
      <c r="FY113" s="112" t="s">
        <v>234</v>
      </c>
      <c r="FZ113" s="112" t="s">
        <v>454</v>
      </c>
      <c r="GA113" s="112" t="s">
        <v>455</v>
      </c>
      <c r="GB113" s="93" t="s">
        <v>456</v>
      </c>
      <c r="GC113" s="94" t="s">
        <v>457</v>
      </c>
      <c r="GD113" s="87"/>
      <c r="GE113" s="112" t="s">
        <v>234</v>
      </c>
      <c r="GF113" s="112" t="s">
        <v>454</v>
      </c>
      <c r="GG113" s="112" t="s">
        <v>455</v>
      </c>
      <c r="GH113" s="93" t="s">
        <v>456</v>
      </c>
      <c r="GI113" s="94" t="s">
        <v>457</v>
      </c>
      <c r="GJ113" s="87"/>
      <c r="GK113" s="112" t="s">
        <v>234</v>
      </c>
      <c r="GL113" s="112" t="s">
        <v>454</v>
      </c>
      <c r="GM113" s="112" t="s">
        <v>455</v>
      </c>
      <c r="GN113" s="93" t="s">
        <v>456</v>
      </c>
      <c r="GO113" s="94" t="s">
        <v>457</v>
      </c>
      <c r="GP113" s="87"/>
      <c r="GQ113" s="112" t="s">
        <v>234</v>
      </c>
      <c r="GR113" s="112" t="s">
        <v>454</v>
      </c>
      <c r="GS113" s="112" t="s">
        <v>455</v>
      </c>
      <c r="GT113" s="93" t="s">
        <v>456</v>
      </c>
      <c r="GU113" s="94" t="s">
        <v>457</v>
      </c>
      <c r="GV113" s="87"/>
      <c r="GW113" s="112" t="s">
        <v>234</v>
      </c>
      <c r="GX113" s="112" t="s">
        <v>454</v>
      </c>
      <c r="GY113" s="112" t="s">
        <v>455</v>
      </c>
      <c r="GZ113" s="93" t="s">
        <v>456</v>
      </c>
      <c r="HA113" s="94" t="s">
        <v>457</v>
      </c>
      <c r="HB113" s="87"/>
      <c r="HC113" s="85"/>
      <c r="HD113" s="6"/>
      <c r="HE113" s="95" t="s">
        <v>679</v>
      </c>
      <c r="HF113" s="95" t="s">
        <v>488</v>
      </c>
      <c r="HG113" s="220" t="s">
        <v>489</v>
      </c>
      <c r="HH113" s="95" t="s">
        <v>603</v>
      </c>
      <c r="HI113" s="95" t="s">
        <v>423</v>
      </c>
      <c r="HJ113" s="85"/>
      <c r="HK113" s="90" t="s">
        <v>680</v>
      </c>
      <c r="HL113" s="91" t="s">
        <v>681</v>
      </c>
      <c r="HM113" s="92" t="s">
        <v>606</v>
      </c>
      <c r="HN113" s="92" t="s">
        <v>607</v>
      </c>
      <c r="HO113" s="91" t="s">
        <v>608</v>
      </c>
      <c r="HP113" s="91" t="s">
        <v>609</v>
      </c>
      <c r="HQ113" s="92" t="s">
        <v>456</v>
      </c>
      <c r="HR113" s="91" t="s">
        <v>610</v>
      </c>
    </row>
    <row r="114" spans="1:226" x14ac:dyDescent="0.3">
      <c r="A114" s="150">
        <v>1</v>
      </c>
      <c r="B114" s="158" t="s">
        <v>51</v>
      </c>
      <c r="C114" s="151" t="s">
        <v>52</v>
      </c>
      <c r="D114" s="152" t="s">
        <v>53</v>
      </c>
      <c r="E114" s="149">
        <v>0</v>
      </c>
      <c r="F114" s="4">
        <v>25044390</v>
      </c>
      <c r="G114" s="4">
        <v>0</v>
      </c>
      <c r="H114" s="325"/>
      <c r="I114" s="325">
        <v>25044390</v>
      </c>
      <c r="J114" s="325">
        <v>25044390</v>
      </c>
      <c r="K114" s="325"/>
      <c r="L114" s="325">
        <v>25044390</v>
      </c>
      <c r="M114" s="6">
        <v>25044390</v>
      </c>
      <c r="N114" s="6">
        <v>25044390</v>
      </c>
      <c r="O114" s="7">
        <v>25044390</v>
      </c>
      <c r="P114" s="7">
        <v>25044390</v>
      </c>
      <c r="Q114" s="7">
        <v>25044390</v>
      </c>
      <c r="R114" s="7">
        <v>25044390</v>
      </c>
      <c r="S114" s="7">
        <v>25044390</v>
      </c>
      <c r="T114" s="7">
        <v>25044390</v>
      </c>
      <c r="U114" s="7">
        <f>T114*5%</f>
        <v>1252219.5</v>
      </c>
      <c r="V114" s="7">
        <f>T114+U114</f>
        <v>26296609.5</v>
      </c>
      <c r="W114" s="7">
        <v>26296609</v>
      </c>
      <c r="X114" s="7">
        <v>26296609</v>
      </c>
      <c r="Y114" s="7">
        <v>26296609</v>
      </c>
      <c r="Z114" s="7">
        <v>26296609</v>
      </c>
      <c r="AA114" s="7">
        <v>26296609</v>
      </c>
      <c r="AB114" s="7">
        <v>26296609</v>
      </c>
      <c r="AC114" s="4">
        <v>0</v>
      </c>
      <c r="AD114" s="4">
        <v>0</v>
      </c>
      <c r="AE114" s="7">
        <f>AD114+AC114+AB114</f>
        <v>26296609</v>
      </c>
      <c r="AF114" s="7">
        <v>26296609</v>
      </c>
      <c r="AG114" s="4">
        <v>0</v>
      </c>
      <c r="AH114" s="4">
        <v>0</v>
      </c>
      <c r="AI114" s="7">
        <f>AH114+AG114+AF114</f>
        <v>26296609</v>
      </c>
      <c r="AJ114" s="7">
        <v>26296609</v>
      </c>
      <c r="AK114" s="4">
        <v>0</v>
      </c>
      <c r="AL114" s="4">
        <v>0</v>
      </c>
      <c r="AM114" s="7">
        <f>AL114+AK114+AJ114</f>
        <v>26296609</v>
      </c>
      <c r="AN114" s="7">
        <v>26296609</v>
      </c>
      <c r="AO114" s="4">
        <v>0</v>
      </c>
      <c r="AP114" s="4">
        <v>0</v>
      </c>
      <c r="AQ114" s="7">
        <f>AP114+AO114+AN114</f>
        <v>26296609</v>
      </c>
      <c r="AR114" s="7">
        <v>26296609</v>
      </c>
      <c r="AS114" s="4">
        <v>0</v>
      </c>
      <c r="AT114" s="4">
        <v>0</v>
      </c>
      <c r="AU114" s="7">
        <f>AT114+AS114+AR114</f>
        <v>26296609</v>
      </c>
      <c r="AV114" s="7">
        <v>26296609</v>
      </c>
      <c r="AW114" s="4">
        <v>0</v>
      </c>
      <c r="AX114" s="4">
        <v>0</v>
      </c>
      <c r="AY114" s="7">
        <f>AX114+AW114+AV114</f>
        <v>26296609</v>
      </c>
      <c r="AZ114" s="8">
        <f>AY114*5%</f>
        <v>1314830.4500000002</v>
      </c>
      <c r="BA114" s="8">
        <v>0.45</v>
      </c>
      <c r="BB114" s="8">
        <f>AZ114-BA114</f>
        <v>1314830.0000000002</v>
      </c>
      <c r="BC114" s="8">
        <f>BB114+AY114</f>
        <v>27611439</v>
      </c>
      <c r="BD114" s="8"/>
      <c r="BE114" s="8">
        <f>BD114+BC114</f>
        <v>27611439</v>
      </c>
      <c r="BF114" s="10">
        <f>BE114-AY114</f>
        <v>1314830</v>
      </c>
      <c r="BG114" s="11">
        <f>BF114-BB114</f>
        <v>0</v>
      </c>
      <c r="BH114" s="11">
        <v>27611439</v>
      </c>
      <c r="BI114" s="11">
        <v>0</v>
      </c>
      <c r="BJ114" s="11">
        <v>0</v>
      </c>
      <c r="BK114" s="319">
        <f>BJ114+BI114+BH114</f>
        <v>27611439</v>
      </c>
      <c r="BL114" s="319">
        <v>27611439</v>
      </c>
      <c r="BM114" s="319">
        <v>0</v>
      </c>
      <c r="BN114" s="319">
        <v>0</v>
      </c>
      <c r="BO114" s="319">
        <f>BN114+BM114+BL114</f>
        <v>27611439</v>
      </c>
      <c r="BP114" s="319">
        <f>BO114-BK114</f>
        <v>0</v>
      </c>
      <c r="BQ114" s="319">
        <v>27611439</v>
      </c>
      <c r="BR114" s="319">
        <v>0</v>
      </c>
      <c r="BS114" s="319">
        <v>0</v>
      </c>
      <c r="BT114" s="319">
        <f>BS114+BR114+BQ114</f>
        <v>27611439</v>
      </c>
      <c r="BU114" s="319">
        <f>BT114-BO114</f>
        <v>0</v>
      </c>
      <c r="BV114" s="319">
        <v>27611439</v>
      </c>
      <c r="BW114" s="319">
        <v>0</v>
      </c>
      <c r="BX114" s="319">
        <v>0</v>
      </c>
      <c r="BY114" s="319">
        <f>BX114+BW114+BV114</f>
        <v>27611439</v>
      </c>
      <c r="BZ114" s="319">
        <f>BY114-BT114</f>
        <v>0</v>
      </c>
      <c r="CA114" s="319">
        <v>27611439</v>
      </c>
      <c r="CB114" s="319">
        <v>0</v>
      </c>
      <c r="CC114" s="319">
        <v>0</v>
      </c>
      <c r="CD114" s="319">
        <f>CC114+CB114+CA114</f>
        <v>27611439</v>
      </c>
      <c r="CE114" s="319">
        <f>CD114-BY114</f>
        <v>0</v>
      </c>
      <c r="CF114" s="319">
        <v>27611439</v>
      </c>
      <c r="CG114" s="319">
        <v>0</v>
      </c>
      <c r="CH114" s="319">
        <v>0</v>
      </c>
      <c r="CI114" s="319">
        <f>CH114+CG114+CF114</f>
        <v>27611439</v>
      </c>
      <c r="CJ114" s="319">
        <f>CI114-CD114</f>
        <v>0</v>
      </c>
      <c r="CK114" s="319">
        <v>27611439</v>
      </c>
      <c r="CL114" s="319">
        <v>0</v>
      </c>
      <c r="CM114" s="319">
        <v>0</v>
      </c>
      <c r="CN114" s="319">
        <f>CM114+CL114+CK114</f>
        <v>27611439</v>
      </c>
      <c r="CO114" s="319">
        <f>CN114-CI114</f>
        <v>0</v>
      </c>
      <c r="CP114" s="319">
        <v>27611439</v>
      </c>
      <c r="CQ114" s="319">
        <v>0</v>
      </c>
      <c r="CR114" s="29">
        <v>0</v>
      </c>
      <c r="CS114" s="30">
        <f>CR114+CQ114+CP114</f>
        <v>27611439</v>
      </c>
      <c r="CT114" s="57">
        <f>CS114-CN114</f>
        <v>0</v>
      </c>
      <c r="CU114" s="319">
        <v>27611439</v>
      </c>
      <c r="CV114" s="319">
        <v>0</v>
      </c>
      <c r="CW114" s="29">
        <v>0</v>
      </c>
      <c r="CX114" s="30">
        <f>CW114+CV114+CU114</f>
        <v>27611439</v>
      </c>
      <c r="CY114" s="57">
        <f>CX114-CS114</f>
        <v>0</v>
      </c>
      <c r="CZ114" s="57"/>
      <c r="DA114" s="57"/>
      <c r="DB114" s="57"/>
      <c r="DC114" s="12">
        <f>CX114*10%</f>
        <v>2761143.9000000004</v>
      </c>
      <c r="DD114" s="12">
        <v>0.9</v>
      </c>
      <c r="DE114" s="13">
        <f>DC114-DD114</f>
        <v>2761143.0000000005</v>
      </c>
      <c r="DF114" s="14">
        <f>DE114:DE114</f>
        <v>2761143.0000000005</v>
      </c>
      <c r="DG114" s="13">
        <f>DE114+CX114</f>
        <v>30372582</v>
      </c>
      <c r="DH114" s="15">
        <f>100/1278396949*CX114</f>
        <v>2.1598486308652789</v>
      </c>
      <c r="DI114" s="16">
        <f>CX114</f>
        <v>27611439</v>
      </c>
      <c r="DJ114" s="132">
        <f>DI114*1.1</f>
        <v>30372582.900000002</v>
      </c>
      <c r="DK114" s="17">
        <f>DJ114-DI114</f>
        <v>2761143.9000000022</v>
      </c>
      <c r="DL114" s="17">
        <f>DD114</f>
        <v>0.9</v>
      </c>
      <c r="DM114" s="16">
        <f>DK114-DL114</f>
        <v>2761143.0000000023</v>
      </c>
      <c r="DN114" s="16">
        <f>DM114-DE114</f>
        <v>0</v>
      </c>
      <c r="DO114" s="16">
        <f>DM114+DI114</f>
        <v>30372582.000000004</v>
      </c>
      <c r="DP114" s="16">
        <f>DO114-DG114</f>
        <v>0</v>
      </c>
      <c r="DQ114" s="9">
        <v>30372582</v>
      </c>
      <c r="DR114" s="18" t="s">
        <v>238</v>
      </c>
      <c r="DS114" s="18" t="s">
        <v>238</v>
      </c>
      <c r="DT114" s="324">
        <f>DQ114+DR114+DS114</f>
        <v>30372582</v>
      </c>
      <c r="DU114" s="321">
        <f>DT114</f>
        <v>30372582</v>
      </c>
      <c r="DV114" s="19">
        <f>DT114-DG114</f>
        <v>0</v>
      </c>
      <c r="DW114" s="9">
        <v>30372582</v>
      </c>
      <c r="DX114" s="18"/>
      <c r="DY114" s="18"/>
      <c r="DZ114" s="324">
        <f>DW114+DX114+DY114</f>
        <v>30372582</v>
      </c>
      <c r="EA114" s="321">
        <f>DZ114</f>
        <v>30372582</v>
      </c>
      <c r="EB114" s="179">
        <f>DZ114-DT114</f>
        <v>0</v>
      </c>
      <c r="EC114" s="9">
        <v>30372582</v>
      </c>
      <c r="ED114" s="18" t="s">
        <v>238</v>
      </c>
      <c r="EE114" s="18" t="s">
        <v>238</v>
      </c>
      <c r="EF114" s="324">
        <f>EC114+ED114+EE114</f>
        <v>30372582</v>
      </c>
      <c r="EG114" s="321">
        <f>EF114</f>
        <v>30372582</v>
      </c>
      <c r="EH114" s="179">
        <f>EF114-DZ114</f>
        <v>0</v>
      </c>
      <c r="EI114" s="9">
        <v>30372582</v>
      </c>
      <c r="EJ114" s="18" t="s">
        <v>238</v>
      </c>
      <c r="EK114" s="18" t="s">
        <v>238</v>
      </c>
      <c r="EL114" s="324">
        <f>EI114+EJ114+EK114</f>
        <v>30372582</v>
      </c>
      <c r="EM114" s="321">
        <f>EL114</f>
        <v>30372582</v>
      </c>
      <c r="EN114" s="179">
        <f>EL114-EF114</f>
        <v>0</v>
      </c>
      <c r="EO114" s="9">
        <v>30372582</v>
      </c>
      <c r="EP114" s="18" t="s">
        <v>238</v>
      </c>
      <c r="EQ114" s="18" t="s">
        <v>238</v>
      </c>
      <c r="ER114" s="324">
        <f>EO114+EP114+EQ114</f>
        <v>30372582</v>
      </c>
      <c r="ES114" s="321">
        <f>ER114</f>
        <v>30372582</v>
      </c>
      <c r="ET114" s="179">
        <f>ER114-EL114</f>
        <v>0</v>
      </c>
      <c r="EU114" s="9">
        <v>30372582</v>
      </c>
      <c r="EV114" s="18" t="s">
        <v>238</v>
      </c>
      <c r="EW114" s="18" t="s">
        <v>238</v>
      </c>
      <c r="EX114" s="324">
        <f>EU114+EV114+EW114</f>
        <v>30372582</v>
      </c>
      <c r="EY114" s="321">
        <f>EX114</f>
        <v>30372582</v>
      </c>
      <c r="EZ114" s="179">
        <f>EX114-ER114</f>
        <v>0</v>
      </c>
      <c r="FA114" s="9">
        <v>30372582</v>
      </c>
      <c r="FB114" s="18" t="s">
        <v>238</v>
      </c>
      <c r="FC114" s="18" t="s">
        <v>238</v>
      </c>
      <c r="FD114" s="324">
        <f>FA114+FB114+FC114</f>
        <v>30372582</v>
      </c>
      <c r="FE114" s="321">
        <f>FD114</f>
        <v>30372582</v>
      </c>
      <c r="FF114" s="179">
        <f>FD114-EX114</f>
        <v>0</v>
      </c>
      <c r="FG114" s="9">
        <v>30372582</v>
      </c>
      <c r="FH114" s="18" t="s">
        <v>238</v>
      </c>
      <c r="FI114" s="18" t="s">
        <v>238</v>
      </c>
      <c r="FJ114" s="324">
        <f>FG114+FH114+FI114</f>
        <v>30372582</v>
      </c>
      <c r="FK114" s="321">
        <f>FJ114</f>
        <v>30372582</v>
      </c>
      <c r="FL114" s="179">
        <f>FJ114-FD114</f>
        <v>0</v>
      </c>
      <c r="FM114" s="9">
        <v>30372582</v>
      </c>
      <c r="FN114" s="18" t="s">
        <v>238</v>
      </c>
      <c r="FO114" s="18" t="s">
        <v>238</v>
      </c>
      <c r="FP114" s="324">
        <f>FM114+FN114+FO114</f>
        <v>30372582</v>
      </c>
      <c r="FQ114" s="321">
        <f>FP114</f>
        <v>30372582</v>
      </c>
      <c r="FR114" s="179">
        <f>FP114-FJ114</f>
        <v>0</v>
      </c>
      <c r="FS114" s="9">
        <v>30372582</v>
      </c>
      <c r="FT114" s="18" t="s">
        <v>238</v>
      </c>
      <c r="FU114" s="18" t="s">
        <v>238</v>
      </c>
      <c r="FV114" s="324">
        <f>FS114+FT114+FU114</f>
        <v>30372582</v>
      </c>
      <c r="FW114" s="321">
        <f>FV114</f>
        <v>30372582</v>
      </c>
      <c r="FX114" s="179">
        <f>FV114-FP114</f>
        <v>0</v>
      </c>
      <c r="FY114" s="9">
        <v>30372582</v>
      </c>
      <c r="FZ114" s="18" t="s">
        <v>238</v>
      </c>
      <c r="GA114" s="18" t="s">
        <v>238</v>
      </c>
      <c r="GB114" s="324">
        <f>FY114+FZ114+GA114</f>
        <v>30372582</v>
      </c>
      <c r="GC114" s="321">
        <f>GB114</f>
        <v>30372582</v>
      </c>
      <c r="GD114" s="179">
        <f>GB114-FV114</f>
        <v>0</v>
      </c>
      <c r="GE114" s="9">
        <v>30372582</v>
      </c>
      <c r="GF114" s="18" t="s">
        <v>238</v>
      </c>
      <c r="GG114" s="18" t="s">
        <v>238</v>
      </c>
      <c r="GH114" s="324">
        <f>GE114+GF114+GG114</f>
        <v>30372582</v>
      </c>
      <c r="GI114" s="321">
        <f>GH114</f>
        <v>30372582</v>
      </c>
      <c r="GJ114" s="179">
        <f>GH114-GB114</f>
        <v>0</v>
      </c>
      <c r="GK114" s="9">
        <v>30372582</v>
      </c>
      <c r="GL114" s="18" t="s">
        <v>238</v>
      </c>
      <c r="GM114" s="18" t="s">
        <v>238</v>
      </c>
      <c r="GN114" s="324">
        <f>GK114+GL114+GM114</f>
        <v>30372582</v>
      </c>
      <c r="GO114" s="321">
        <f>GN114</f>
        <v>30372582</v>
      </c>
      <c r="GP114" s="179">
        <f>GN114-GH114</f>
        <v>0</v>
      </c>
      <c r="GQ114" s="9">
        <v>30372582</v>
      </c>
      <c r="GR114" s="18" t="s">
        <v>238</v>
      </c>
      <c r="GS114" s="18" t="s">
        <v>238</v>
      </c>
      <c r="GT114" s="324">
        <f>GQ114+GR114+GS114</f>
        <v>30372582</v>
      </c>
      <c r="GU114" s="321">
        <f>GT114</f>
        <v>30372582</v>
      </c>
      <c r="GV114" s="179">
        <f>GT114-GN114</f>
        <v>0</v>
      </c>
      <c r="GW114" s="9">
        <v>31891211</v>
      </c>
      <c r="GX114" s="18" t="s">
        <v>238</v>
      </c>
      <c r="GY114" s="18" t="s">
        <v>238</v>
      </c>
      <c r="GZ114" s="324">
        <f>GW114+GX114+GY114</f>
        <v>31891211</v>
      </c>
      <c r="HA114" s="321">
        <f>GZ114</f>
        <v>31891211</v>
      </c>
      <c r="HB114" s="179">
        <f>GZ114-GT114</f>
        <v>1518629</v>
      </c>
      <c r="HC114" s="102">
        <f>100/1406236643.9*GT114</f>
        <v>2.159848566864671</v>
      </c>
      <c r="HD114" s="285">
        <f>HB114-HO114</f>
        <v>0</v>
      </c>
      <c r="HE114" s="12">
        <f>GT114*0.05</f>
        <v>1518629.1</v>
      </c>
      <c r="HF114" s="12">
        <f>IF(ISNUMBER(HE114), HE114-INT(HE114), "")</f>
        <v>0.10000000009313226</v>
      </c>
      <c r="HG114" s="12">
        <f>HE114-HF114</f>
        <v>1518629</v>
      </c>
      <c r="HH114" s="14">
        <f>HG114:HG114</f>
        <v>1518629</v>
      </c>
      <c r="HI114" s="13">
        <f>HG114+GT114</f>
        <v>31891211</v>
      </c>
      <c r="HJ114" s="102">
        <f>100/1406236643.9*HI114</f>
        <v>2.2678409880967259</v>
      </c>
      <c r="HK114" s="16">
        <f>GT114</f>
        <v>30372582</v>
      </c>
      <c r="HL114" s="103">
        <f>HK114*1.05</f>
        <v>31891211.100000001</v>
      </c>
      <c r="HM114" s="103">
        <f>HL114-HK114</f>
        <v>1518629.1000000015</v>
      </c>
      <c r="HN114" s="17">
        <f>HF114</f>
        <v>0.10000000009313226</v>
      </c>
      <c r="HO114" s="56">
        <f>HM114-HN114</f>
        <v>1518629.0000000014</v>
      </c>
      <c r="HP114" s="16">
        <f>HO114-HG114</f>
        <v>0</v>
      </c>
      <c r="HQ114" s="16">
        <f>HO114+HK114</f>
        <v>31891211</v>
      </c>
      <c r="HR114" s="16">
        <f>HQ114-HI114</f>
        <v>0</v>
      </c>
    </row>
    <row r="115" spans="1:226" ht="10.8" thickBot="1" x14ac:dyDescent="0.35">
      <c r="A115" s="155">
        <v>2</v>
      </c>
      <c r="B115" s="159" t="s">
        <v>54</v>
      </c>
      <c r="C115" s="156" t="s">
        <v>55</v>
      </c>
      <c r="D115" s="157" t="s">
        <v>56</v>
      </c>
      <c r="E115" s="149">
        <v>0</v>
      </c>
      <c r="F115" s="4">
        <v>4097608</v>
      </c>
      <c r="G115" s="4">
        <v>0</v>
      </c>
      <c r="H115" s="325"/>
      <c r="I115" s="325">
        <v>4097608</v>
      </c>
      <c r="J115" s="325">
        <v>4097608</v>
      </c>
      <c r="K115" s="325"/>
      <c r="L115" s="325">
        <v>4097608</v>
      </c>
      <c r="M115" s="6">
        <v>4097608</v>
      </c>
      <c r="N115" s="6">
        <v>4097608</v>
      </c>
      <c r="O115" s="7">
        <v>4097608</v>
      </c>
      <c r="P115" s="7">
        <v>4097608</v>
      </c>
      <c r="Q115" s="7">
        <v>4097608</v>
      </c>
      <c r="R115" s="7">
        <v>4097608</v>
      </c>
      <c r="S115" s="7">
        <v>4097608</v>
      </c>
      <c r="T115" s="7">
        <v>4097608</v>
      </c>
      <c r="U115" s="7">
        <f>T115*5%</f>
        <v>204880.40000000002</v>
      </c>
      <c r="V115" s="7">
        <f>T115+U115</f>
        <v>4302488.4000000004</v>
      </c>
      <c r="W115" s="7">
        <v>4302488</v>
      </c>
      <c r="X115" s="7">
        <v>4302488</v>
      </c>
      <c r="Y115" s="7">
        <v>4302488</v>
      </c>
      <c r="Z115" s="7">
        <v>4302488</v>
      </c>
      <c r="AA115" s="7">
        <v>4302488</v>
      </c>
      <c r="AB115" s="7">
        <v>4302488</v>
      </c>
      <c r="AC115" s="4">
        <v>0</v>
      </c>
      <c r="AD115" s="4">
        <v>0</v>
      </c>
      <c r="AE115" s="7">
        <f>AD115+AC115+AB115</f>
        <v>4302488</v>
      </c>
      <c r="AF115" s="7">
        <v>4302488</v>
      </c>
      <c r="AG115" s="4">
        <v>0</v>
      </c>
      <c r="AH115" s="4">
        <v>0</v>
      </c>
      <c r="AI115" s="7">
        <f>AH115+AG115+AF115</f>
        <v>4302488</v>
      </c>
      <c r="AJ115" s="7">
        <v>4302488</v>
      </c>
      <c r="AK115" s="4">
        <v>0</v>
      </c>
      <c r="AL115" s="4">
        <v>0</v>
      </c>
      <c r="AM115" s="7">
        <f>AL115+AK115+AJ115</f>
        <v>4302488</v>
      </c>
      <c r="AN115" s="7">
        <v>4302488</v>
      </c>
      <c r="AO115" s="4">
        <v>0</v>
      </c>
      <c r="AP115" s="4">
        <v>0</v>
      </c>
      <c r="AQ115" s="7">
        <f>AP115+AO115+AN115</f>
        <v>4302488</v>
      </c>
      <c r="AR115" s="7">
        <v>4302488</v>
      </c>
      <c r="AS115" s="4">
        <v>0</v>
      </c>
      <c r="AT115" s="4">
        <v>0</v>
      </c>
      <c r="AU115" s="7">
        <f>AT115+AS115+AR115</f>
        <v>4302488</v>
      </c>
      <c r="AV115" s="7">
        <v>4302488</v>
      </c>
      <c r="AW115" s="4">
        <v>0</v>
      </c>
      <c r="AX115" s="4">
        <v>0</v>
      </c>
      <c r="AY115" s="7">
        <f>AX115+AW115+AV115</f>
        <v>4302488</v>
      </c>
      <c r="AZ115" s="8">
        <f>AY115*5%</f>
        <v>215124.40000000002</v>
      </c>
      <c r="BA115" s="8">
        <v>0.4</v>
      </c>
      <c r="BB115" s="8">
        <f>AZ115-BA115</f>
        <v>215124.00000000003</v>
      </c>
      <c r="BC115" s="8">
        <f>BB115+AY115</f>
        <v>4517612</v>
      </c>
      <c r="BD115" s="8"/>
      <c r="BE115" s="8">
        <f>BD115+BC115</f>
        <v>4517612</v>
      </c>
      <c r="BF115" s="10">
        <f>BE115-AY115</f>
        <v>215124</v>
      </c>
      <c r="BG115" s="11">
        <f>BF115-BB115</f>
        <v>0</v>
      </c>
      <c r="BH115" s="11">
        <v>4517612</v>
      </c>
      <c r="BI115" s="11">
        <v>0</v>
      </c>
      <c r="BJ115" s="11">
        <v>0</v>
      </c>
      <c r="BK115" s="319">
        <f>BJ115+BI115+BH115</f>
        <v>4517612</v>
      </c>
      <c r="BL115" s="319">
        <v>4517612</v>
      </c>
      <c r="BM115" s="319">
        <v>0</v>
      </c>
      <c r="BN115" s="319">
        <v>0</v>
      </c>
      <c r="BO115" s="319">
        <f>BN115+BM115+BL115</f>
        <v>4517612</v>
      </c>
      <c r="BP115" s="319">
        <f>BO115-BK115</f>
        <v>0</v>
      </c>
      <c r="BQ115" s="319">
        <v>4517612</v>
      </c>
      <c r="BR115" s="319">
        <v>0</v>
      </c>
      <c r="BS115" s="319">
        <v>0</v>
      </c>
      <c r="BT115" s="319">
        <f>BS115+BR115+BQ115</f>
        <v>4517612</v>
      </c>
      <c r="BU115" s="319">
        <f>BT115-BO115</f>
        <v>0</v>
      </c>
      <c r="BV115" s="319">
        <v>4517612</v>
      </c>
      <c r="BW115" s="319">
        <v>0</v>
      </c>
      <c r="BX115" s="319">
        <v>0</v>
      </c>
      <c r="BY115" s="319">
        <f>BX115+BW115+BV115</f>
        <v>4517612</v>
      </c>
      <c r="BZ115" s="319">
        <f>BY115-BT115</f>
        <v>0</v>
      </c>
      <c r="CA115" s="319">
        <v>4517612</v>
      </c>
      <c r="CB115" s="319">
        <v>0</v>
      </c>
      <c r="CC115" s="319">
        <v>0</v>
      </c>
      <c r="CD115" s="319">
        <f>CC115+CB115+CA115</f>
        <v>4517612</v>
      </c>
      <c r="CE115" s="319">
        <f>CD115-BY115</f>
        <v>0</v>
      </c>
      <c r="CF115" s="319">
        <v>4517612</v>
      </c>
      <c r="CG115" s="319">
        <v>0</v>
      </c>
      <c r="CH115" s="319">
        <v>0</v>
      </c>
      <c r="CI115" s="319">
        <f>CH115+CG115+CF115</f>
        <v>4517612</v>
      </c>
      <c r="CJ115" s="319">
        <f>CI115-CD115</f>
        <v>0</v>
      </c>
      <c r="CK115" s="319">
        <v>4517612</v>
      </c>
      <c r="CL115" s="319">
        <v>0</v>
      </c>
      <c r="CM115" s="319">
        <v>0</v>
      </c>
      <c r="CN115" s="319">
        <f>CM115+CL115+CK115</f>
        <v>4517612</v>
      </c>
      <c r="CO115" s="319">
        <f>CN115-CI115</f>
        <v>0</v>
      </c>
      <c r="CP115" s="319">
        <v>4517612</v>
      </c>
      <c r="CQ115" s="319">
        <v>0</v>
      </c>
      <c r="CR115" s="29">
        <v>0</v>
      </c>
      <c r="CS115" s="40">
        <f>CR115+CQ115+CP115</f>
        <v>4517612</v>
      </c>
      <c r="CT115" s="57">
        <f>CS115-CN115</f>
        <v>0</v>
      </c>
      <c r="CU115" s="319">
        <v>4517612</v>
      </c>
      <c r="CV115" s="319">
        <v>0</v>
      </c>
      <c r="CW115" s="29">
        <v>0</v>
      </c>
      <c r="CX115" s="40">
        <f>CW115+CV115+CU115</f>
        <v>4517612</v>
      </c>
      <c r="CY115" s="57">
        <f>CX115-CS115</f>
        <v>0</v>
      </c>
      <c r="CZ115" s="57"/>
      <c r="DA115" s="57"/>
      <c r="DB115" s="57"/>
      <c r="DC115" s="12">
        <f>CX115*10%</f>
        <v>451761.2</v>
      </c>
      <c r="DD115" s="12">
        <v>0.2</v>
      </c>
      <c r="DE115" s="13">
        <f>DC115-DD115</f>
        <v>451761</v>
      </c>
      <c r="DF115" s="14">
        <f>DE115:DE115</f>
        <v>451761</v>
      </c>
      <c r="DG115" s="13">
        <f>DE115+CX115</f>
        <v>4969373</v>
      </c>
      <c r="DH115" s="15">
        <f>100/1278396949*CX115</f>
        <v>0.35338100607435036</v>
      </c>
      <c r="DI115" s="16">
        <f>CX115</f>
        <v>4517612</v>
      </c>
      <c r="DJ115" s="132">
        <f>DI115*1.1</f>
        <v>4969373.2</v>
      </c>
      <c r="DK115" s="17">
        <f>DJ115-DI115</f>
        <v>451761.20000000019</v>
      </c>
      <c r="DL115" s="17">
        <f>DD115</f>
        <v>0.2</v>
      </c>
      <c r="DM115" s="16">
        <f>DK115-DL115</f>
        <v>451761.00000000017</v>
      </c>
      <c r="DN115" s="16">
        <f>DM115-DE115</f>
        <v>0</v>
      </c>
      <c r="DO115" s="16">
        <f>DM115+DI115</f>
        <v>4969373</v>
      </c>
      <c r="DP115" s="16">
        <f>DO115-DG115</f>
        <v>0</v>
      </c>
      <c r="DQ115" s="9">
        <v>4969373</v>
      </c>
      <c r="DR115" s="18" t="s">
        <v>238</v>
      </c>
      <c r="DS115" s="18" t="s">
        <v>238</v>
      </c>
      <c r="DT115" s="324">
        <f>DQ115+DR115+DS115</f>
        <v>4969373</v>
      </c>
      <c r="DU115" s="321">
        <f>DT115</f>
        <v>4969373</v>
      </c>
      <c r="DV115" s="19">
        <f>DT115-DG115</f>
        <v>0</v>
      </c>
      <c r="DW115" s="9">
        <v>4969373</v>
      </c>
      <c r="DX115" s="18"/>
      <c r="DY115" s="18"/>
      <c r="DZ115" s="324">
        <f>DW115+DX115+DY115</f>
        <v>4969373</v>
      </c>
      <c r="EA115" s="321">
        <f>DZ115</f>
        <v>4969373</v>
      </c>
      <c r="EB115" s="179">
        <f>DZ115-DT115</f>
        <v>0</v>
      </c>
      <c r="EC115" s="9">
        <v>4969373</v>
      </c>
      <c r="ED115" s="18" t="s">
        <v>238</v>
      </c>
      <c r="EE115" s="18" t="s">
        <v>238</v>
      </c>
      <c r="EF115" s="324">
        <f>EC115+ED115+EE115</f>
        <v>4969373</v>
      </c>
      <c r="EG115" s="321">
        <f>EF115</f>
        <v>4969373</v>
      </c>
      <c r="EH115" s="179">
        <f>EF115-DZ115</f>
        <v>0</v>
      </c>
      <c r="EI115" s="9">
        <v>4969373</v>
      </c>
      <c r="EJ115" s="18" t="s">
        <v>238</v>
      </c>
      <c r="EK115" s="18" t="s">
        <v>238</v>
      </c>
      <c r="EL115" s="324">
        <f>EI115+EJ115+EK115</f>
        <v>4969373</v>
      </c>
      <c r="EM115" s="321">
        <f>EL115</f>
        <v>4969373</v>
      </c>
      <c r="EN115" s="179">
        <f>EL115-EF115</f>
        <v>0</v>
      </c>
      <c r="EO115" s="9">
        <v>4969373</v>
      </c>
      <c r="EP115" s="18" t="s">
        <v>238</v>
      </c>
      <c r="EQ115" s="18" t="s">
        <v>238</v>
      </c>
      <c r="ER115" s="324">
        <f>EO115+EP115+EQ115</f>
        <v>4969373</v>
      </c>
      <c r="ES115" s="321">
        <f>ER115</f>
        <v>4969373</v>
      </c>
      <c r="ET115" s="179">
        <f>ER115-EL115</f>
        <v>0</v>
      </c>
      <c r="EU115" s="9">
        <v>4969373</v>
      </c>
      <c r="EV115" s="18" t="s">
        <v>238</v>
      </c>
      <c r="EW115" s="18" t="s">
        <v>238</v>
      </c>
      <c r="EX115" s="324">
        <f>EU115+EV115+EW115</f>
        <v>4969373</v>
      </c>
      <c r="EY115" s="321">
        <f>EX115</f>
        <v>4969373</v>
      </c>
      <c r="EZ115" s="179">
        <f>EX115-ER115</f>
        <v>0</v>
      </c>
      <c r="FA115" s="9">
        <v>4969373</v>
      </c>
      <c r="FB115" s="18" t="s">
        <v>238</v>
      </c>
      <c r="FC115" s="18" t="s">
        <v>238</v>
      </c>
      <c r="FD115" s="324">
        <f>FA115+FB115+FC115</f>
        <v>4969373</v>
      </c>
      <c r="FE115" s="321">
        <f>FD115</f>
        <v>4969373</v>
      </c>
      <c r="FF115" s="179">
        <f>FD115-EX115</f>
        <v>0</v>
      </c>
      <c r="FG115" s="9">
        <v>4969373</v>
      </c>
      <c r="FH115" s="18" t="s">
        <v>238</v>
      </c>
      <c r="FI115" s="18" t="s">
        <v>238</v>
      </c>
      <c r="FJ115" s="324">
        <f>FG115+FH115+FI115</f>
        <v>4969373</v>
      </c>
      <c r="FK115" s="321">
        <f>FJ115</f>
        <v>4969373</v>
      </c>
      <c r="FL115" s="179">
        <f>FJ115-FD115</f>
        <v>0</v>
      </c>
      <c r="FM115" s="9">
        <v>4969373</v>
      </c>
      <c r="FN115" s="18" t="s">
        <v>238</v>
      </c>
      <c r="FO115" s="18" t="s">
        <v>238</v>
      </c>
      <c r="FP115" s="324">
        <f>FM115+FN115+FO115</f>
        <v>4969373</v>
      </c>
      <c r="FQ115" s="321">
        <f>FP115</f>
        <v>4969373</v>
      </c>
      <c r="FR115" s="179">
        <f>FP115-FJ115</f>
        <v>0</v>
      </c>
      <c r="FS115" s="9">
        <v>4969373</v>
      </c>
      <c r="FT115" s="18" t="s">
        <v>238</v>
      </c>
      <c r="FU115" s="18" t="s">
        <v>238</v>
      </c>
      <c r="FV115" s="324">
        <f>FS115+FT115+FU115</f>
        <v>4969373</v>
      </c>
      <c r="FW115" s="321">
        <f>FV115</f>
        <v>4969373</v>
      </c>
      <c r="FX115" s="179">
        <f>FV115-FP115</f>
        <v>0</v>
      </c>
      <c r="FY115" s="9">
        <v>4969373</v>
      </c>
      <c r="FZ115" s="18" t="s">
        <v>238</v>
      </c>
      <c r="GA115" s="18" t="s">
        <v>238</v>
      </c>
      <c r="GB115" s="324">
        <f>FY115+FZ115+GA115</f>
        <v>4969373</v>
      </c>
      <c r="GC115" s="321">
        <f>GB115</f>
        <v>4969373</v>
      </c>
      <c r="GD115" s="179">
        <f>GB115-FV115</f>
        <v>0</v>
      </c>
      <c r="GE115" s="9">
        <v>4969373</v>
      </c>
      <c r="GF115" s="18" t="s">
        <v>238</v>
      </c>
      <c r="GG115" s="18" t="s">
        <v>238</v>
      </c>
      <c r="GH115" s="324">
        <f>GE115+GF115+GG115</f>
        <v>4969373</v>
      </c>
      <c r="GI115" s="321">
        <f>GH115</f>
        <v>4969373</v>
      </c>
      <c r="GJ115" s="179">
        <f>GH115-GB115</f>
        <v>0</v>
      </c>
      <c r="GK115" s="9">
        <v>4969373</v>
      </c>
      <c r="GL115" s="18" t="s">
        <v>238</v>
      </c>
      <c r="GM115" s="18" t="s">
        <v>238</v>
      </c>
      <c r="GN115" s="324">
        <f>GK115+GL115+GM115</f>
        <v>4969373</v>
      </c>
      <c r="GO115" s="321">
        <f>GN115</f>
        <v>4969373</v>
      </c>
      <c r="GP115" s="179">
        <f>GN115-GH115</f>
        <v>0</v>
      </c>
      <c r="GQ115" s="9">
        <v>4969373</v>
      </c>
      <c r="GR115" s="18" t="s">
        <v>238</v>
      </c>
      <c r="GS115" s="18" t="s">
        <v>238</v>
      </c>
      <c r="GT115" s="324">
        <f>GQ115+GR115+GS115</f>
        <v>4969373</v>
      </c>
      <c r="GU115" s="321">
        <f>GT115</f>
        <v>4969373</v>
      </c>
      <c r="GV115" s="179">
        <f>GT115-GN115</f>
        <v>0</v>
      </c>
      <c r="GW115" s="9">
        <v>5217841</v>
      </c>
      <c r="GX115" s="18" t="s">
        <v>238</v>
      </c>
      <c r="GY115" s="18" t="s">
        <v>238</v>
      </c>
      <c r="GZ115" s="324">
        <f>GW115+GX115+GY115</f>
        <v>5217841</v>
      </c>
      <c r="HA115" s="321">
        <f>GZ115</f>
        <v>5217841</v>
      </c>
      <c r="HB115" s="179">
        <f>GZ115-GT115</f>
        <v>248468</v>
      </c>
      <c r="HC115" s="102">
        <f>100/1406236643.9*GT115</f>
        <v>0.35338099185199306</v>
      </c>
      <c r="HD115" s="285">
        <f>HB115-HO115</f>
        <v>-3.4924596548080444E-10</v>
      </c>
      <c r="HE115" s="12">
        <f>GT115*0.05</f>
        <v>248468.65000000002</v>
      </c>
      <c r="HF115" s="12">
        <f>IF(ISNUMBER(HE115), HE115-INT(HE115), "")</f>
        <v>0.65000000002328306</v>
      </c>
      <c r="HG115" s="12">
        <f>HE115-HF115</f>
        <v>248468</v>
      </c>
      <c r="HH115" s="14">
        <f>HG115:HG115</f>
        <v>248468</v>
      </c>
      <c r="HI115" s="13">
        <f>HG115+GT115</f>
        <v>5217841</v>
      </c>
      <c r="HJ115" s="102">
        <f>100/1406236643.9*HI115</f>
        <v>0.37104999522193149</v>
      </c>
      <c r="HK115" s="16">
        <f>GT115</f>
        <v>4969373</v>
      </c>
      <c r="HL115" s="103">
        <f>HK115*1.05</f>
        <v>5217841.6500000004</v>
      </c>
      <c r="HM115" s="103">
        <f>HL115-HK115</f>
        <v>248468.65000000037</v>
      </c>
      <c r="HN115" s="17">
        <f>HF115</f>
        <v>0.65000000002328306</v>
      </c>
      <c r="HO115" s="56">
        <f>HM115-HN115</f>
        <v>248468.00000000035</v>
      </c>
      <c r="HP115" s="16">
        <f>HO115-HG115</f>
        <v>3.4924596548080444E-10</v>
      </c>
      <c r="HQ115" s="16">
        <f>HO115+HK115</f>
        <v>5217841</v>
      </c>
      <c r="HR115" s="16">
        <f>HQ115-HI115</f>
        <v>0</v>
      </c>
    </row>
    <row r="116" spans="1:226" x14ac:dyDescent="0.3">
      <c r="A116" s="140"/>
      <c r="B116" s="140"/>
      <c r="C116" s="140"/>
      <c r="D116" s="141" t="s">
        <v>371</v>
      </c>
      <c r="E116" s="117">
        <f t="shared" ref="E116:BP116" si="308">SUM(E114:E115)</f>
        <v>0</v>
      </c>
      <c r="F116" s="117">
        <f t="shared" si="308"/>
        <v>29141998</v>
      </c>
      <c r="G116" s="117">
        <f t="shared" si="308"/>
        <v>0</v>
      </c>
      <c r="H116" s="117">
        <f t="shared" si="308"/>
        <v>0</v>
      </c>
      <c r="I116" s="117">
        <f t="shared" si="308"/>
        <v>29141998</v>
      </c>
      <c r="J116" s="117">
        <f t="shared" si="308"/>
        <v>29141998</v>
      </c>
      <c r="K116" s="117">
        <f t="shared" si="308"/>
        <v>0</v>
      </c>
      <c r="L116" s="117">
        <f t="shared" si="308"/>
        <v>29141998</v>
      </c>
      <c r="M116" s="117">
        <f t="shared" si="308"/>
        <v>29141998</v>
      </c>
      <c r="N116" s="117">
        <f t="shared" si="308"/>
        <v>29141998</v>
      </c>
      <c r="O116" s="117">
        <f t="shared" si="308"/>
        <v>29141998</v>
      </c>
      <c r="P116" s="117">
        <f t="shared" si="308"/>
        <v>29141998</v>
      </c>
      <c r="Q116" s="117">
        <f t="shared" si="308"/>
        <v>29141998</v>
      </c>
      <c r="R116" s="117">
        <f t="shared" si="308"/>
        <v>29141998</v>
      </c>
      <c r="S116" s="117">
        <f t="shared" si="308"/>
        <v>29141998</v>
      </c>
      <c r="T116" s="117">
        <f t="shared" si="308"/>
        <v>29141998</v>
      </c>
      <c r="U116" s="117">
        <f t="shared" si="308"/>
        <v>1457099.9</v>
      </c>
      <c r="V116" s="117">
        <f t="shared" si="308"/>
        <v>30599097.899999999</v>
      </c>
      <c r="W116" s="117">
        <f t="shared" si="308"/>
        <v>30599097</v>
      </c>
      <c r="X116" s="117">
        <f t="shared" si="308"/>
        <v>30599097</v>
      </c>
      <c r="Y116" s="117">
        <f t="shared" si="308"/>
        <v>30599097</v>
      </c>
      <c r="Z116" s="117">
        <f t="shared" si="308"/>
        <v>30599097</v>
      </c>
      <c r="AA116" s="117">
        <f t="shared" si="308"/>
        <v>30599097</v>
      </c>
      <c r="AB116" s="117">
        <f t="shared" si="308"/>
        <v>30599097</v>
      </c>
      <c r="AC116" s="117">
        <f t="shared" si="308"/>
        <v>0</v>
      </c>
      <c r="AD116" s="117">
        <f t="shared" si="308"/>
        <v>0</v>
      </c>
      <c r="AE116" s="117">
        <f t="shared" si="308"/>
        <v>30599097</v>
      </c>
      <c r="AF116" s="117">
        <f t="shared" si="308"/>
        <v>30599097</v>
      </c>
      <c r="AG116" s="117">
        <f t="shared" si="308"/>
        <v>0</v>
      </c>
      <c r="AH116" s="117">
        <f t="shared" si="308"/>
        <v>0</v>
      </c>
      <c r="AI116" s="117">
        <f t="shared" si="308"/>
        <v>30599097</v>
      </c>
      <c r="AJ116" s="117">
        <f t="shared" si="308"/>
        <v>30599097</v>
      </c>
      <c r="AK116" s="117">
        <f t="shared" si="308"/>
        <v>0</v>
      </c>
      <c r="AL116" s="117">
        <f t="shared" si="308"/>
        <v>0</v>
      </c>
      <c r="AM116" s="117">
        <f t="shared" si="308"/>
        <v>30599097</v>
      </c>
      <c r="AN116" s="117">
        <f t="shared" si="308"/>
        <v>30599097</v>
      </c>
      <c r="AO116" s="117">
        <f t="shared" si="308"/>
        <v>0</v>
      </c>
      <c r="AP116" s="117">
        <f t="shared" si="308"/>
        <v>0</v>
      </c>
      <c r="AQ116" s="117">
        <f t="shared" si="308"/>
        <v>30599097</v>
      </c>
      <c r="AR116" s="117">
        <f t="shared" si="308"/>
        <v>30599097</v>
      </c>
      <c r="AS116" s="117">
        <f t="shared" si="308"/>
        <v>0</v>
      </c>
      <c r="AT116" s="117">
        <f t="shared" si="308"/>
        <v>0</v>
      </c>
      <c r="AU116" s="117">
        <f t="shared" si="308"/>
        <v>30599097</v>
      </c>
      <c r="AV116" s="117">
        <f t="shared" si="308"/>
        <v>30599097</v>
      </c>
      <c r="AW116" s="117">
        <f t="shared" si="308"/>
        <v>0</v>
      </c>
      <c r="AX116" s="117">
        <f t="shared" si="308"/>
        <v>0</v>
      </c>
      <c r="AY116" s="117">
        <f t="shared" si="308"/>
        <v>30599097</v>
      </c>
      <c r="AZ116" s="117">
        <f t="shared" si="308"/>
        <v>1529954.85</v>
      </c>
      <c r="BA116" s="117">
        <f t="shared" si="308"/>
        <v>0.85000000000000009</v>
      </c>
      <c r="BB116" s="117">
        <f t="shared" si="308"/>
        <v>1529954.0000000002</v>
      </c>
      <c r="BC116" s="117">
        <f t="shared" si="308"/>
        <v>32129051</v>
      </c>
      <c r="BD116" s="117">
        <f t="shared" si="308"/>
        <v>0</v>
      </c>
      <c r="BE116" s="117">
        <f t="shared" si="308"/>
        <v>32129051</v>
      </c>
      <c r="BF116" s="117">
        <f t="shared" si="308"/>
        <v>1529954</v>
      </c>
      <c r="BG116" s="117">
        <f t="shared" si="308"/>
        <v>0</v>
      </c>
      <c r="BH116" s="117">
        <f t="shared" si="308"/>
        <v>32129051</v>
      </c>
      <c r="BI116" s="117">
        <f t="shared" si="308"/>
        <v>0</v>
      </c>
      <c r="BJ116" s="117">
        <f t="shared" si="308"/>
        <v>0</v>
      </c>
      <c r="BK116" s="117">
        <f t="shared" si="308"/>
        <v>32129051</v>
      </c>
      <c r="BL116" s="117">
        <f t="shared" si="308"/>
        <v>32129051</v>
      </c>
      <c r="BM116" s="117">
        <f t="shared" si="308"/>
        <v>0</v>
      </c>
      <c r="BN116" s="117">
        <f t="shared" si="308"/>
        <v>0</v>
      </c>
      <c r="BO116" s="117">
        <f t="shared" si="308"/>
        <v>32129051</v>
      </c>
      <c r="BP116" s="117">
        <f t="shared" si="308"/>
        <v>0</v>
      </c>
      <c r="BQ116" s="117">
        <f t="shared" ref="BQ116:EB116" si="309">SUM(BQ114:BQ115)</f>
        <v>32129051</v>
      </c>
      <c r="BR116" s="117">
        <f t="shared" si="309"/>
        <v>0</v>
      </c>
      <c r="BS116" s="117">
        <f t="shared" si="309"/>
        <v>0</v>
      </c>
      <c r="BT116" s="117">
        <f t="shared" si="309"/>
        <v>32129051</v>
      </c>
      <c r="BU116" s="117">
        <f t="shared" si="309"/>
        <v>0</v>
      </c>
      <c r="BV116" s="117">
        <f t="shared" si="309"/>
        <v>32129051</v>
      </c>
      <c r="BW116" s="117">
        <f t="shared" si="309"/>
        <v>0</v>
      </c>
      <c r="BX116" s="117">
        <f t="shared" si="309"/>
        <v>0</v>
      </c>
      <c r="BY116" s="117">
        <f t="shared" si="309"/>
        <v>32129051</v>
      </c>
      <c r="BZ116" s="117">
        <f t="shared" si="309"/>
        <v>0</v>
      </c>
      <c r="CA116" s="117">
        <f t="shared" si="309"/>
        <v>32129051</v>
      </c>
      <c r="CB116" s="117">
        <f t="shared" si="309"/>
        <v>0</v>
      </c>
      <c r="CC116" s="117">
        <f t="shared" si="309"/>
        <v>0</v>
      </c>
      <c r="CD116" s="117">
        <f t="shared" si="309"/>
        <v>32129051</v>
      </c>
      <c r="CE116" s="117">
        <f t="shared" si="309"/>
        <v>0</v>
      </c>
      <c r="CF116" s="117">
        <f t="shared" si="309"/>
        <v>32129051</v>
      </c>
      <c r="CG116" s="117">
        <f t="shared" si="309"/>
        <v>0</v>
      </c>
      <c r="CH116" s="117">
        <f t="shared" si="309"/>
        <v>0</v>
      </c>
      <c r="CI116" s="117">
        <f t="shared" si="309"/>
        <v>32129051</v>
      </c>
      <c r="CJ116" s="117">
        <f t="shared" si="309"/>
        <v>0</v>
      </c>
      <c r="CK116" s="117">
        <f t="shared" si="309"/>
        <v>32129051</v>
      </c>
      <c r="CL116" s="117">
        <f t="shared" si="309"/>
        <v>0</v>
      </c>
      <c r="CM116" s="117">
        <f t="shared" si="309"/>
        <v>0</v>
      </c>
      <c r="CN116" s="117">
        <f t="shared" si="309"/>
        <v>32129051</v>
      </c>
      <c r="CO116" s="117">
        <f t="shared" si="309"/>
        <v>0</v>
      </c>
      <c r="CP116" s="117">
        <f t="shared" si="309"/>
        <v>32129051</v>
      </c>
      <c r="CQ116" s="117">
        <f t="shared" si="309"/>
        <v>0</v>
      </c>
      <c r="CR116" s="117">
        <f t="shared" si="309"/>
        <v>0</v>
      </c>
      <c r="CS116" s="117">
        <f t="shared" si="309"/>
        <v>32129051</v>
      </c>
      <c r="CT116" s="117">
        <f t="shared" si="309"/>
        <v>0</v>
      </c>
      <c r="CU116" s="117">
        <f t="shared" si="309"/>
        <v>32129051</v>
      </c>
      <c r="CV116" s="117">
        <f t="shared" si="309"/>
        <v>0</v>
      </c>
      <c r="CW116" s="117">
        <f t="shared" si="309"/>
        <v>0</v>
      </c>
      <c r="CX116" s="117">
        <f t="shared" si="309"/>
        <v>32129051</v>
      </c>
      <c r="CY116" s="117">
        <f t="shared" si="309"/>
        <v>0</v>
      </c>
      <c r="CZ116" s="117">
        <f t="shared" si="309"/>
        <v>0</v>
      </c>
      <c r="DA116" s="117">
        <f t="shared" si="309"/>
        <v>0</v>
      </c>
      <c r="DB116" s="117">
        <f t="shared" si="309"/>
        <v>0</v>
      </c>
      <c r="DC116" s="117">
        <f t="shared" si="309"/>
        <v>3212905.1000000006</v>
      </c>
      <c r="DD116" s="117">
        <f t="shared" si="309"/>
        <v>1.1000000000000001</v>
      </c>
      <c r="DE116" s="117">
        <f t="shared" si="309"/>
        <v>3212904.0000000005</v>
      </c>
      <c r="DF116" s="117">
        <f t="shared" si="309"/>
        <v>3212904.0000000005</v>
      </c>
      <c r="DG116" s="117">
        <f t="shared" si="309"/>
        <v>35341955</v>
      </c>
      <c r="DH116" s="117">
        <f t="shared" si="309"/>
        <v>2.5132296369396294</v>
      </c>
      <c r="DI116" s="117">
        <f t="shared" si="309"/>
        <v>32129051</v>
      </c>
      <c r="DJ116" s="117">
        <f t="shared" si="309"/>
        <v>35341956.100000001</v>
      </c>
      <c r="DK116" s="117">
        <f t="shared" si="309"/>
        <v>3212905.1000000024</v>
      </c>
      <c r="DL116" s="117">
        <f t="shared" si="309"/>
        <v>1.1000000000000001</v>
      </c>
      <c r="DM116" s="117">
        <f t="shared" si="309"/>
        <v>3212904.0000000023</v>
      </c>
      <c r="DN116" s="117">
        <f t="shared" si="309"/>
        <v>0</v>
      </c>
      <c r="DO116" s="117">
        <f t="shared" si="309"/>
        <v>35341955</v>
      </c>
      <c r="DP116" s="117">
        <f t="shared" si="309"/>
        <v>0</v>
      </c>
      <c r="DQ116" s="117">
        <f t="shared" si="309"/>
        <v>35341955</v>
      </c>
      <c r="DR116" s="117">
        <f t="shared" si="309"/>
        <v>0</v>
      </c>
      <c r="DS116" s="117">
        <f t="shared" si="309"/>
        <v>0</v>
      </c>
      <c r="DT116" s="117">
        <f t="shared" si="309"/>
        <v>35341955</v>
      </c>
      <c r="DU116" s="117">
        <f t="shared" si="309"/>
        <v>35341955</v>
      </c>
      <c r="DV116" s="117">
        <f t="shared" si="309"/>
        <v>0</v>
      </c>
      <c r="DW116" s="117">
        <f t="shared" si="309"/>
        <v>35341955</v>
      </c>
      <c r="DX116" s="117">
        <f t="shared" si="309"/>
        <v>0</v>
      </c>
      <c r="DY116" s="117">
        <f t="shared" si="309"/>
        <v>0</v>
      </c>
      <c r="DZ116" s="117">
        <f t="shared" si="309"/>
        <v>35341955</v>
      </c>
      <c r="EA116" s="117">
        <f t="shared" si="309"/>
        <v>35341955</v>
      </c>
      <c r="EB116" s="117">
        <f t="shared" si="309"/>
        <v>0</v>
      </c>
      <c r="EC116" s="117">
        <f t="shared" ref="EC116:FL116" si="310">SUM(EC114:EC115)</f>
        <v>35341955</v>
      </c>
      <c r="ED116" s="117">
        <f t="shared" si="310"/>
        <v>0</v>
      </c>
      <c r="EE116" s="117">
        <f t="shared" si="310"/>
        <v>0</v>
      </c>
      <c r="EF116" s="117">
        <f t="shared" si="310"/>
        <v>35341955</v>
      </c>
      <c r="EG116" s="117">
        <f t="shared" si="310"/>
        <v>35341955</v>
      </c>
      <c r="EH116" s="117">
        <f t="shared" si="310"/>
        <v>0</v>
      </c>
      <c r="EI116" s="117">
        <f t="shared" si="310"/>
        <v>35341955</v>
      </c>
      <c r="EJ116" s="117">
        <f t="shared" si="310"/>
        <v>0</v>
      </c>
      <c r="EK116" s="117">
        <f t="shared" si="310"/>
        <v>0</v>
      </c>
      <c r="EL116" s="117">
        <f t="shared" si="310"/>
        <v>35341955</v>
      </c>
      <c r="EM116" s="117">
        <f t="shared" si="310"/>
        <v>35341955</v>
      </c>
      <c r="EN116" s="117">
        <f t="shared" si="310"/>
        <v>0</v>
      </c>
      <c r="EO116" s="117">
        <f t="shared" si="310"/>
        <v>35341955</v>
      </c>
      <c r="EP116" s="117">
        <f t="shared" si="310"/>
        <v>0</v>
      </c>
      <c r="EQ116" s="117">
        <f t="shared" si="310"/>
        <v>0</v>
      </c>
      <c r="ER116" s="117">
        <f t="shared" si="310"/>
        <v>35341955</v>
      </c>
      <c r="ES116" s="117">
        <f t="shared" si="310"/>
        <v>35341955</v>
      </c>
      <c r="ET116" s="117">
        <f t="shared" si="310"/>
        <v>0</v>
      </c>
      <c r="EU116" s="117">
        <f t="shared" si="310"/>
        <v>35341955</v>
      </c>
      <c r="EV116" s="117">
        <f t="shared" si="310"/>
        <v>0</v>
      </c>
      <c r="EW116" s="117">
        <f t="shared" si="310"/>
        <v>0</v>
      </c>
      <c r="EX116" s="117">
        <f t="shared" si="310"/>
        <v>35341955</v>
      </c>
      <c r="EY116" s="117">
        <f t="shared" si="310"/>
        <v>35341955</v>
      </c>
      <c r="EZ116" s="117">
        <f t="shared" si="310"/>
        <v>0</v>
      </c>
      <c r="FA116" s="117">
        <f t="shared" si="310"/>
        <v>35341955</v>
      </c>
      <c r="FB116" s="117">
        <f t="shared" si="310"/>
        <v>0</v>
      </c>
      <c r="FC116" s="117">
        <f t="shared" si="310"/>
        <v>0</v>
      </c>
      <c r="FD116" s="117">
        <f t="shared" si="310"/>
        <v>35341955</v>
      </c>
      <c r="FE116" s="117">
        <f t="shared" si="310"/>
        <v>35341955</v>
      </c>
      <c r="FF116" s="117">
        <f t="shared" si="310"/>
        <v>0</v>
      </c>
      <c r="FG116" s="117">
        <f t="shared" si="310"/>
        <v>35341955</v>
      </c>
      <c r="FH116" s="117">
        <f t="shared" si="310"/>
        <v>0</v>
      </c>
      <c r="FI116" s="117">
        <f t="shared" si="310"/>
        <v>0</v>
      </c>
      <c r="FJ116" s="117">
        <f t="shared" si="310"/>
        <v>35341955</v>
      </c>
      <c r="FK116" s="117">
        <f t="shared" si="310"/>
        <v>35341955</v>
      </c>
      <c r="FL116" s="117">
        <f t="shared" si="310"/>
        <v>0</v>
      </c>
      <c r="FM116" s="117">
        <f t="shared" ref="FM116:FR116" si="311">SUM(FM114:FM115)</f>
        <v>35341955</v>
      </c>
      <c r="FN116" s="117">
        <f t="shared" si="311"/>
        <v>0</v>
      </c>
      <c r="FO116" s="117">
        <f t="shared" si="311"/>
        <v>0</v>
      </c>
      <c r="FP116" s="117">
        <f t="shared" si="311"/>
        <v>35341955</v>
      </c>
      <c r="FQ116" s="117">
        <f t="shared" si="311"/>
        <v>35341955</v>
      </c>
      <c r="FR116" s="117">
        <f t="shared" si="311"/>
        <v>0</v>
      </c>
      <c r="FS116" s="117">
        <f t="shared" ref="FS116:FX116" si="312">SUM(FS114:FS115)</f>
        <v>35341955</v>
      </c>
      <c r="FT116" s="117">
        <f t="shared" si="312"/>
        <v>0</v>
      </c>
      <c r="FU116" s="117">
        <f t="shared" si="312"/>
        <v>0</v>
      </c>
      <c r="FV116" s="117">
        <f t="shared" si="312"/>
        <v>35341955</v>
      </c>
      <c r="FW116" s="117">
        <f t="shared" si="312"/>
        <v>35341955</v>
      </c>
      <c r="FX116" s="117">
        <f t="shared" si="312"/>
        <v>0</v>
      </c>
      <c r="FY116" s="117">
        <f t="shared" ref="FY116:GD116" si="313">SUM(FY114:FY115)</f>
        <v>35341955</v>
      </c>
      <c r="FZ116" s="117">
        <f t="shared" si="313"/>
        <v>0</v>
      </c>
      <c r="GA116" s="117">
        <f t="shared" si="313"/>
        <v>0</v>
      </c>
      <c r="GB116" s="117">
        <f t="shared" si="313"/>
        <v>35341955</v>
      </c>
      <c r="GC116" s="117">
        <f t="shared" si="313"/>
        <v>35341955</v>
      </c>
      <c r="GD116" s="117">
        <f t="shared" si="313"/>
        <v>0</v>
      </c>
      <c r="GE116" s="117">
        <f t="shared" ref="GE116:GJ116" si="314">SUM(GE114:GE115)</f>
        <v>35341955</v>
      </c>
      <c r="GF116" s="117">
        <f t="shared" si="314"/>
        <v>0</v>
      </c>
      <c r="GG116" s="117">
        <f t="shared" si="314"/>
        <v>0</v>
      </c>
      <c r="GH116" s="117">
        <f t="shared" si="314"/>
        <v>35341955</v>
      </c>
      <c r="GI116" s="117">
        <f t="shared" si="314"/>
        <v>35341955</v>
      </c>
      <c r="GJ116" s="117">
        <f t="shared" si="314"/>
        <v>0</v>
      </c>
      <c r="GK116" s="117">
        <f t="shared" ref="GK116:GP116" si="315">SUM(GK114:GK115)</f>
        <v>35341955</v>
      </c>
      <c r="GL116" s="117">
        <f t="shared" si="315"/>
        <v>0</v>
      </c>
      <c r="GM116" s="117">
        <f t="shared" si="315"/>
        <v>0</v>
      </c>
      <c r="GN116" s="117">
        <f t="shared" si="315"/>
        <v>35341955</v>
      </c>
      <c r="GO116" s="117">
        <f t="shared" si="315"/>
        <v>35341955</v>
      </c>
      <c r="GP116" s="117">
        <f t="shared" si="315"/>
        <v>0</v>
      </c>
      <c r="GQ116" s="117">
        <f t="shared" ref="GQ116:GV116" si="316">SUM(GQ114:GQ115)</f>
        <v>35341955</v>
      </c>
      <c r="GR116" s="117">
        <f t="shared" si="316"/>
        <v>0</v>
      </c>
      <c r="GS116" s="117">
        <f t="shared" si="316"/>
        <v>0</v>
      </c>
      <c r="GT116" s="117">
        <f t="shared" si="316"/>
        <v>35341955</v>
      </c>
      <c r="GU116" s="117">
        <f t="shared" si="316"/>
        <v>35341955</v>
      </c>
      <c r="GV116" s="117">
        <f t="shared" si="316"/>
        <v>0</v>
      </c>
      <c r="GW116" s="117">
        <f t="shared" ref="GW116:HB116" si="317">SUM(GW114:GW115)</f>
        <v>37109052</v>
      </c>
      <c r="GX116" s="117">
        <f t="shared" si="317"/>
        <v>0</v>
      </c>
      <c r="GY116" s="117">
        <f t="shared" si="317"/>
        <v>0</v>
      </c>
      <c r="GZ116" s="117">
        <f t="shared" si="317"/>
        <v>37109052</v>
      </c>
      <c r="HA116" s="117">
        <f t="shared" si="317"/>
        <v>37109052</v>
      </c>
      <c r="HB116" s="117">
        <f t="shared" si="317"/>
        <v>1767097</v>
      </c>
      <c r="HC116" s="117">
        <f>SUM(HC114:HC115)</f>
        <v>2.513229558716664</v>
      </c>
    </row>
    <row r="117" spans="1:226" x14ac:dyDescent="0.3">
      <c r="A117" s="98"/>
      <c r="B117" s="98"/>
      <c r="C117" s="98"/>
      <c r="D117" s="99"/>
      <c r="E117" s="108"/>
      <c r="F117" s="108"/>
      <c r="G117" s="108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127">
        <f>AY116*10*5%</f>
        <v>15299548.5</v>
      </c>
      <c r="AZ117" s="20"/>
      <c r="BA117" s="20"/>
      <c r="BB117" s="20"/>
      <c r="BC117" s="20"/>
      <c r="BD117" s="20"/>
      <c r="BE117" s="20"/>
      <c r="BF117" s="100"/>
      <c r="BG117" s="100"/>
      <c r="BH117" s="100"/>
      <c r="BI117" s="100"/>
      <c r="BJ117" s="100"/>
      <c r="BK117" s="100"/>
      <c r="BL117" s="100"/>
      <c r="BM117" s="100"/>
      <c r="BN117" s="100"/>
      <c r="BO117" s="100"/>
      <c r="BP117" s="100"/>
      <c r="BQ117" s="100"/>
      <c r="BR117" s="100"/>
      <c r="BS117" s="100"/>
      <c r="BT117" s="100"/>
      <c r="BU117" s="100"/>
      <c r="BV117" s="100"/>
      <c r="BW117" s="100"/>
      <c r="BX117" s="100"/>
      <c r="BY117" s="100"/>
      <c r="BZ117" s="100"/>
      <c r="CA117" s="100"/>
      <c r="CB117" s="100"/>
      <c r="CC117" s="100"/>
      <c r="CD117" s="100"/>
      <c r="CE117" s="100"/>
      <c r="CF117" s="100"/>
      <c r="CG117" s="100"/>
      <c r="CH117" s="100"/>
      <c r="CI117" s="100"/>
      <c r="CJ117" s="100"/>
      <c r="CK117" s="100"/>
      <c r="CL117" s="100"/>
      <c r="CM117" s="100"/>
      <c r="CN117" s="100"/>
      <c r="CO117" s="100"/>
      <c r="CP117" s="100"/>
      <c r="CQ117" s="100"/>
      <c r="CR117" s="100"/>
      <c r="CS117" s="100"/>
      <c r="CT117" s="100"/>
      <c r="CU117" s="100"/>
      <c r="CV117" s="100"/>
      <c r="CW117" s="100"/>
      <c r="CX117" s="100"/>
      <c r="CY117" s="100"/>
      <c r="CZ117" s="100"/>
      <c r="DA117" s="100"/>
      <c r="DB117" s="100"/>
      <c r="DC117" s="100"/>
      <c r="DD117" s="100"/>
      <c r="DE117" s="100"/>
      <c r="DF117" s="100"/>
      <c r="DG117" s="100"/>
      <c r="DH117" s="114"/>
    </row>
    <row r="118" spans="1:226" x14ac:dyDescent="0.3">
      <c r="A118" s="98"/>
      <c r="B118" s="98"/>
      <c r="C118" s="98"/>
      <c r="D118" s="99"/>
      <c r="E118" s="108"/>
      <c r="F118" s="108"/>
      <c r="G118" s="108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129">
        <f>AY116*10*5%</f>
        <v>15299548.5</v>
      </c>
      <c r="AZ118" s="20"/>
      <c r="BA118" s="20"/>
      <c r="BB118" s="20"/>
      <c r="BC118" s="20"/>
      <c r="BD118" s="20"/>
      <c r="BE118" s="20"/>
      <c r="BF118" s="100"/>
      <c r="BG118" s="100"/>
      <c r="BH118" s="100"/>
      <c r="BI118" s="100"/>
      <c r="BJ118" s="100"/>
      <c r="BK118" s="100"/>
      <c r="BL118" s="100"/>
      <c r="BM118" s="100"/>
      <c r="BN118" s="100"/>
      <c r="BO118" s="100"/>
      <c r="BP118" s="100"/>
      <c r="BQ118" s="100"/>
      <c r="BR118" s="100"/>
      <c r="BS118" s="100"/>
      <c r="BT118" s="100"/>
      <c r="BU118" s="100"/>
      <c r="BV118" s="100"/>
      <c r="BW118" s="100"/>
      <c r="BX118" s="100"/>
      <c r="BY118" s="100"/>
      <c r="BZ118" s="100"/>
      <c r="CA118" s="100"/>
      <c r="CB118" s="100"/>
      <c r="CC118" s="100"/>
      <c r="CD118" s="100"/>
      <c r="CE118" s="100"/>
      <c r="CF118" s="100"/>
      <c r="CG118" s="100"/>
      <c r="CH118" s="100"/>
      <c r="CI118" s="100"/>
      <c r="CJ118" s="100"/>
      <c r="CK118" s="100"/>
      <c r="CL118" s="100"/>
      <c r="CM118" s="100"/>
      <c r="CN118" s="100"/>
      <c r="CO118" s="100"/>
      <c r="CP118" s="100"/>
      <c r="CQ118" s="100"/>
      <c r="CR118" s="100"/>
      <c r="CS118" s="100"/>
      <c r="CT118" s="100"/>
      <c r="CU118" s="100"/>
      <c r="CV118" s="100"/>
      <c r="CW118" s="100"/>
      <c r="CX118" s="100"/>
      <c r="CY118" s="100"/>
      <c r="CZ118" s="100"/>
      <c r="DA118" s="100"/>
      <c r="DB118" s="100"/>
      <c r="DC118" s="100"/>
      <c r="DD118" s="100"/>
      <c r="DE118" s="100"/>
      <c r="DF118" s="100"/>
      <c r="DG118" s="100"/>
      <c r="DH118" s="114"/>
    </row>
    <row r="119" spans="1:226" s="74" customFormat="1" ht="52.5" customHeight="1" x14ac:dyDescent="0.3">
      <c r="A119" s="85" t="s">
        <v>0</v>
      </c>
      <c r="B119" s="85" t="s">
        <v>1</v>
      </c>
      <c r="C119" s="85" t="s">
        <v>217</v>
      </c>
      <c r="D119" s="86" t="s">
        <v>218</v>
      </c>
      <c r="E119" s="87" t="s">
        <v>233</v>
      </c>
      <c r="F119" s="87" t="s">
        <v>234</v>
      </c>
      <c r="G119" s="87" t="s">
        <v>235</v>
      </c>
      <c r="H119" s="87" t="s">
        <v>383</v>
      </c>
      <c r="I119" s="87" t="s">
        <v>382</v>
      </c>
      <c r="J119" s="87" t="s">
        <v>381</v>
      </c>
      <c r="K119" s="87" t="s">
        <v>380</v>
      </c>
      <c r="L119" s="87" t="s">
        <v>379</v>
      </c>
      <c r="M119" s="87" t="s">
        <v>378</v>
      </c>
      <c r="N119" s="87" t="s">
        <v>377</v>
      </c>
      <c r="O119" s="87" t="s">
        <v>394</v>
      </c>
      <c r="P119" s="87" t="s">
        <v>413</v>
      </c>
      <c r="Q119" s="87" t="s">
        <v>415</v>
      </c>
      <c r="R119" s="87" t="s">
        <v>417</v>
      </c>
      <c r="S119" s="87" t="s">
        <v>420</v>
      </c>
      <c r="T119" s="87" t="s">
        <v>421</v>
      </c>
      <c r="U119" s="87" t="s">
        <v>425</v>
      </c>
      <c r="V119" s="87" t="s">
        <v>426</v>
      </c>
      <c r="W119" s="87" t="s">
        <v>424</v>
      </c>
      <c r="X119" s="87" t="s">
        <v>437</v>
      </c>
      <c r="Y119" s="87" t="s">
        <v>439</v>
      </c>
      <c r="Z119" s="87" t="s">
        <v>447</v>
      </c>
      <c r="AA119" s="87" t="s">
        <v>458</v>
      </c>
      <c r="AB119" s="420" t="s">
        <v>459</v>
      </c>
      <c r="AC119" s="422"/>
      <c r="AD119" s="422"/>
      <c r="AE119" s="421"/>
      <c r="AF119" s="433" t="s">
        <v>462</v>
      </c>
      <c r="AG119" s="434"/>
      <c r="AH119" s="434"/>
      <c r="AI119" s="435"/>
      <c r="AJ119" s="420" t="s">
        <v>466</v>
      </c>
      <c r="AK119" s="422"/>
      <c r="AL119" s="422"/>
      <c r="AM119" s="421"/>
      <c r="AN119" s="433" t="s">
        <v>470</v>
      </c>
      <c r="AO119" s="434"/>
      <c r="AP119" s="434"/>
      <c r="AQ119" s="435"/>
      <c r="AR119" s="420" t="s">
        <v>478</v>
      </c>
      <c r="AS119" s="422"/>
      <c r="AT119" s="422"/>
      <c r="AU119" s="421"/>
      <c r="AV119" s="433" t="s">
        <v>483</v>
      </c>
      <c r="AW119" s="434"/>
      <c r="AX119" s="434"/>
      <c r="AY119" s="435"/>
      <c r="AZ119" s="436" t="s">
        <v>503</v>
      </c>
      <c r="BA119" s="436" t="s">
        <v>488</v>
      </c>
      <c r="BB119" s="436" t="s">
        <v>489</v>
      </c>
      <c r="BC119" s="436" t="s">
        <v>423</v>
      </c>
      <c r="BD119" s="436" t="s">
        <v>507</v>
      </c>
      <c r="BE119" s="436" t="s">
        <v>531</v>
      </c>
      <c r="BF119" s="437" t="s">
        <v>508</v>
      </c>
      <c r="BG119" s="437" t="s">
        <v>509</v>
      </c>
      <c r="BH119" s="420" t="s">
        <v>532</v>
      </c>
      <c r="BI119" s="422"/>
      <c r="BJ119" s="422"/>
      <c r="BK119" s="421"/>
      <c r="BL119" s="433" t="s">
        <v>539</v>
      </c>
      <c r="BM119" s="434"/>
      <c r="BN119" s="434"/>
      <c r="BO119" s="435"/>
      <c r="BP119" s="438" t="s">
        <v>538</v>
      </c>
      <c r="BQ119" s="420" t="s">
        <v>542</v>
      </c>
      <c r="BR119" s="422"/>
      <c r="BS119" s="422"/>
      <c r="BT119" s="421"/>
      <c r="BU119" s="438" t="s">
        <v>541</v>
      </c>
      <c r="BV119" s="420" t="s">
        <v>552</v>
      </c>
      <c r="BW119" s="422"/>
      <c r="BX119" s="422"/>
      <c r="BY119" s="421"/>
      <c r="BZ119" s="438" t="s">
        <v>553</v>
      </c>
      <c r="CA119" s="420" t="s">
        <v>578</v>
      </c>
      <c r="CB119" s="422"/>
      <c r="CC119" s="422"/>
      <c r="CD119" s="421"/>
      <c r="CE119" s="438" t="s">
        <v>579</v>
      </c>
      <c r="CF119" s="420" t="s">
        <v>581</v>
      </c>
      <c r="CG119" s="422"/>
      <c r="CH119" s="422"/>
      <c r="CI119" s="421"/>
      <c r="CJ119" s="438" t="s">
        <v>580</v>
      </c>
      <c r="CK119" s="420" t="s">
        <v>585</v>
      </c>
      <c r="CL119" s="422"/>
      <c r="CM119" s="422"/>
      <c r="CN119" s="421"/>
      <c r="CO119" s="438" t="s">
        <v>580</v>
      </c>
      <c r="CP119" s="420" t="s">
        <v>587</v>
      </c>
      <c r="CQ119" s="422"/>
      <c r="CR119" s="422"/>
      <c r="CS119" s="421"/>
      <c r="CT119" s="438" t="s">
        <v>588</v>
      </c>
      <c r="CU119" s="420" t="s">
        <v>590</v>
      </c>
      <c r="CV119" s="422"/>
      <c r="CW119" s="422"/>
      <c r="CX119" s="421"/>
      <c r="CY119" s="438" t="s">
        <v>591</v>
      </c>
      <c r="CZ119" s="294"/>
      <c r="DA119" s="294"/>
      <c r="DB119" s="294"/>
      <c r="DC119" s="95" t="s">
        <v>602</v>
      </c>
      <c r="DD119" s="95" t="s">
        <v>488</v>
      </c>
      <c r="DE119" s="95" t="s">
        <v>489</v>
      </c>
      <c r="DF119" s="95" t="s">
        <v>603</v>
      </c>
      <c r="DG119" s="95" t="s">
        <v>423</v>
      </c>
      <c r="DH119" s="85" t="s">
        <v>2</v>
      </c>
      <c r="DI119" s="427" t="s">
        <v>613</v>
      </c>
      <c r="DJ119" s="427"/>
      <c r="DK119" s="427"/>
      <c r="DL119" s="427"/>
      <c r="DM119" s="427"/>
      <c r="DN119" s="427"/>
      <c r="DO119" s="427"/>
      <c r="DP119" s="427"/>
      <c r="DQ119" s="423" t="s">
        <v>614</v>
      </c>
      <c r="DR119" s="424"/>
      <c r="DS119" s="424"/>
      <c r="DT119" s="424"/>
      <c r="DU119" s="425"/>
      <c r="DV119" s="87" t="s">
        <v>615</v>
      </c>
      <c r="DW119" s="423" t="s">
        <v>623</v>
      </c>
      <c r="DX119" s="424"/>
      <c r="DY119" s="424"/>
      <c r="DZ119" s="424"/>
      <c r="EA119" s="425"/>
      <c r="EB119" s="87" t="s">
        <v>624</v>
      </c>
      <c r="EC119" s="423" t="s">
        <v>627</v>
      </c>
      <c r="ED119" s="424"/>
      <c r="EE119" s="424"/>
      <c r="EF119" s="424"/>
      <c r="EG119" s="425"/>
      <c r="EH119" s="87" t="s">
        <v>628</v>
      </c>
      <c r="EI119" s="423" t="s">
        <v>631</v>
      </c>
      <c r="EJ119" s="424"/>
      <c r="EK119" s="424"/>
      <c r="EL119" s="424"/>
      <c r="EM119" s="425"/>
      <c r="EN119" s="87" t="s">
        <v>632</v>
      </c>
      <c r="EO119" s="423" t="s">
        <v>638</v>
      </c>
      <c r="EP119" s="424"/>
      <c r="EQ119" s="424"/>
      <c r="ER119" s="424"/>
      <c r="ES119" s="425"/>
      <c r="ET119" s="87" t="s">
        <v>637</v>
      </c>
      <c r="EU119" s="423" t="s">
        <v>641</v>
      </c>
      <c r="EV119" s="424"/>
      <c r="EW119" s="424"/>
      <c r="EX119" s="424"/>
      <c r="EY119" s="425"/>
      <c r="EZ119" s="87" t="s">
        <v>642</v>
      </c>
      <c r="FA119" s="423" t="s">
        <v>645</v>
      </c>
      <c r="FB119" s="424"/>
      <c r="FC119" s="424"/>
      <c r="FD119" s="424"/>
      <c r="FE119" s="425"/>
      <c r="FF119" s="87" t="s">
        <v>646</v>
      </c>
      <c r="FG119" s="423" t="s">
        <v>653</v>
      </c>
      <c r="FH119" s="424"/>
      <c r="FI119" s="424"/>
      <c r="FJ119" s="424"/>
      <c r="FK119" s="425"/>
      <c r="FL119" s="87" t="s">
        <v>654</v>
      </c>
      <c r="FM119" s="423" t="s">
        <v>662</v>
      </c>
      <c r="FN119" s="424"/>
      <c r="FO119" s="424"/>
      <c r="FP119" s="424"/>
      <c r="FQ119" s="425"/>
      <c r="FR119" s="87" t="s">
        <v>657</v>
      </c>
      <c r="FS119" s="423" t="s">
        <v>661</v>
      </c>
      <c r="FT119" s="424"/>
      <c r="FU119" s="424"/>
      <c r="FV119" s="424"/>
      <c r="FW119" s="425"/>
      <c r="FX119" s="87" t="s">
        <v>663</v>
      </c>
      <c r="FY119" s="423" t="s">
        <v>665</v>
      </c>
      <c r="FZ119" s="424"/>
      <c r="GA119" s="424"/>
      <c r="GB119" s="424"/>
      <c r="GC119" s="425"/>
      <c r="GD119" s="87" t="s">
        <v>666</v>
      </c>
      <c r="GE119" s="423" t="s">
        <v>668</v>
      </c>
      <c r="GF119" s="424"/>
      <c r="GG119" s="424"/>
      <c r="GH119" s="424"/>
      <c r="GI119" s="425"/>
      <c r="GJ119" s="87" t="s">
        <v>669</v>
      </c>
      <c r="GK119" s="423" t="s">
        <v>671</v>
      </c>
      <c r="GL119" s="424"/>
      <c r="GM119" s="424"/>
      <c r="GN119" s="424"/>
      <c r="GO119" s="425"/>
      <c r="GP119" s="87" t="s">
        <v>672</v>
      </c>
      <c r="GQ119" s="423" t="s">
        <v>674</v>
      </c>
      <c r="GR119" s="424"/>
      <c r="GS119" s="424"/>
      <c r="GT119" s="424"/>
      <c r="GU119" s="425"/>
      <c r="GV119" s="87" t="s">
        <v>675</v>
      </c>
      <c r="GW119" s="423" t="s">
        <v>696</v>
      </c>
      <c r="GX119" s="424"/>
      <c r="GY119" s="424"/>
      <c r="GZ119" s="424"/>
      <c r="HA119" s="425"/>
      <c r="HB119" s="87" t="s">
        <v>697</v>
      </c>
      <c r="HC119" s="85" t="s">
        <v>2</v>
      </c>
      <c r="HD119" s="6"/>
      <c r="HE119" s="439" t="s">
        <v>678</v>
      </c>
      <c r="HF119" s="439"/>
      <c r="HG119" s="439"/>
      <c r="HH119" s="439"/>
      <c r="HI119" s="439"/>
      <c r="HJ119" s="85" t="s">
        <v>2</v>
      </c>
      <c r="HK119" s="593" t="s">
        <v>698</v>
      </c>
      <c r="HL119" s="594"/>
      <c r="HM119" s="594"/>
      <c r="HN119" s="594"/>
      <c r="HO119" s="594"/>
      <c r="HP119" s="594"/>
      <c r="HQ119" s="594"/>
      <c r="HR119" s="594"/>
    </row>
    <row r="120" spans="1:226" s="74" customFormat="1" ht="31.2" thickBot="1" x14ac:dyDescent="0.35">
      <c r="A120" s="89"/>
      <c r="B120" s="440" t="s">
        <v>561</v>
      </c>
      <c r="C120" s="448"/>
      <c r="D120" s="447"/>
      <c r="E120" s="87"/>
      <c r="F120" s="87"/>
      <c r="G120" s="87"/>
      <c r="H120" s="88"/>
      <c r="I120" s="88"/>
      <c r="J120" s="294"/>
      <c r="K120" s="88"/>
      <c r="L120" s="87"/>
      <c r="M120" s="87"/>
      <c r="N120" s="87"/>
      <c r="O120" s="294"/>
      <c r="P120" s="294"/>
      <c r="Q120" s="294"/>
      <c r="R120" s="294"/>
      <c r="S120" s="294"/>
      <c r="T120" s="294"/>
      <c r="U120" s="294"/>
      <c r="V120" s="294"/>
      <c r="W120" s="294"/>
      <c r="X120" s="294"/>
      <c r="Y120" s="294"/>
      <c r="Z120" s="294"/>
      <c r="AA120" s="294"/>
      <c r="AB120" s="112" t="s">
        <v>234</v>
      </c>
      <c r="AC120" s="112" t="s">
        <v>454</v>
      </c>
      <c r="AD120" s="112" t="s">
        <v>455</v>
      </c>
      <c r="AE120" s="112" t="s">
        <v>456</v>
      </c>
      <c r="AF120" s="14" t="s">
        <v>234</v>
      </c>
      <c r="AG120" s="14" t="s">
        <v>454</v>
      </c>
      <c r="AH120" s="14" t="s">
        <v>455</v>
      </c>
      <c r="AI120" s="14" t="s">
        <v>456</v>
      </c>
      <c r="AJ120" s="112" t="s">
        <v>234</v>
      </c>
      <c r="AK120" s="112" t="s">
        <v>454</v>
      </c>
      <c r="AL120" s="112" t="s">
        <v>455</v>
      </c>
      <c r="AM120" s="112" t="s">
        <v>456</v>
      </c>
      <c r="AN120" s="14" t="s">
        <v>234</v>
      </c>
      <c r="AO120" s="14" t="s">
        <v>454</v>
      </c>
      <c r="AP120" s="14" t="s">
        <v>455</v>
      </c>
      <c r="AQ120" s="14" t="s">
        <v>456</v>
      </c>
      <c r="AR120" s="112" t="s">
        <v>234</v>
      </c>
      <c r="AS120" s="112" t="s">
        <v>454</v>
      </c>
      <c r="AT120" s="112" t="s">
        <v>455</v>
      </c>
      <c r="AU120" s="112" t="s">
        <v>456</v>
      </c>
      <c r="AV120" s="14" t="s">
        <v>234</v>
      </c>
      <c r="AW120" s="14" t="s">
        <v>454</v>
      </c>
      <c r="AX120" s="14" t="s">
        <v>455</v>
      </c>
      <c r="AY120" s="14" t="s">
        <v>456</v>
      </c>
      <c r="AZ120" s="443"/>
      <c r="BA120" s="443"/>
      <c r="BB120" s="443"/>
      <c r="BC120" s="443"/>
      <c r="BD120" s="443"/>
      <c r="BE120" s="443"/>
      <c r="BF120" s="444"/>
      <c r="BG120" s="444"/>
      <c r="BH120" s="112" t="s">
        <v>234</v>
      </c>
      <c r="BI120" s="112" t="s">
        <v>454</v>
      </c>
      <c r="BJ120" s="112" t="s">
        <v>455</v>
      </c>
      <c r="BK120" s="112" t="s">
        <v>456</v>
      </c>
      <c r="BL120" s="14" t="s">
        <v>234</v>
      </c>
      <c r="BM120" s="14" t="s">
        <v>454</v>
      </c>
      <c r="BN120" s="14" t="s">
        <v>455</v>
      </c>
      <c r="BO120" s="14" t="s">
        <v>456</v>
      </c>
      <c r="BP120" s="445"/>
      <c r="BQ120" s="112" t="s">
        <v>234</v>
      </c>
      <c r="BR120" s="112" t="s">
        <v>454</v>
      </c>
      <c r="BS120" s="112" t="s">
        <v>455</v>
      </c>
      <c r="BT120" s="112" t="s">
        <v>456</v>
      </c>
      <c r="BU120" s="445"/>
      <c r="BV120" s="112" t="s">
        <v>234</v>
      </c>
      <c r="BW120" s="112" t="s">
        <v>454</v>
      </c>
      <c r="BX120" s="112" t="s">
        <v>455</v>
      </c>
      <c r="BY120" s="112" t="s">
        <v>456</v>
      </c>
      <c r="BZ120" s="445"/>
      <c r="CA120" s="112" t="s">
        <v>234</v>
      </c>
      <c r="CB120" s="112" t="s">
        <v>454</v>
      </c>
      <c r="CC120" s="112" t="s">
        <v>455</v>
      </c>
      <c r="CD120" s="112" t="s">
        <v>456</v>
      </c>
      <c r="CE120" s="445"/>
      <c r="CF120" s="112" t="s">
        <v>234</v>
      </c>
      <c r="CG120" s="112" t="s">
        <v>454</v>
      </c>
      <c r="CH120" s="112" t="s">
        <v>455</v>
      </c>
      <c r="CI120" s="112" t="s">
        <v>456</v>
      </c>
      <c r="CJ120" s="445"/>
      <c r="CK120" s="112" t="s">
        <v>234</v>
      </c>
      <c r="CL120" s="112" t="s">
        <v>454</v>
      </c>
      <c r="CM120" s="112" t="s">
        <v>455</v>
      </c>
      <c r="CN120" s="112" t="s">
        <v>456</v>
      </c>
      <c r="CO120" s="445"/>
      <c r="CP120" s="112" t="s">
        <v>234</v>
      </c>
      <c r="CQ120" s="112" t="s">
        <v>454</v>
      </c>
      <c r="CR120" s="112" t="s">
        <v>455</v>
      </c>
      <c r="CS120" s="96" t="s">
        <v>456</v>
      </c>
      <c r="CT120" s="445"/>
      <c r="CU120" s="112" t="s">
        <v>234</v>
      </c>
      <c r="CV120" s="112" t="s">
        <v>454</v>
      </c>
      <c r="CW120" s="112" t="s">
        <v>455</v>
      </c>
      <c r="CX120" s="96" t="s">
        <v>456</v>
      </c>
      <c r="CY120" s="445"/>
      <c r="CZ120" s="295"/>
      <c r="DA120" s="295"/>
      <c r="DB120" s="295"/>
      <c r="DC120" s="95" t="s">
        <v>602</v>
      </c>
      <c r="DD120" s="95" t="s">
        <v>488</v>
      </c>
      <c r="DE120" s="95" t="s">
        <v>489</v>
      </c>
      <c r="DF120" s="95" t="s">
        <v>603</v>
      </c>
      <c r="DG120" s="95" t="s">
        <v>423</v>
      </c>
      <c r="DH120" s="89"/>
      <c r="DI120" s="90" t="s">
        <v>604</v>
      </c>
      <c r="DJ120" s="91" t="s">
        <v>605</v>
      </c>
      <c r="DK120" s="92" t="s">
        <v>606</v>
      </c>
      <c r="DL120" s="92" t="s">
        <v>607</v>
      </c>
      <c r="DM120" s="91" t="s">
        <v>608</v>
      </c>
      <c r="DN120" s="91" t="s">
        <v>609</v>
      </c>
      <c r="DO120" s="91" t="s">
        <v>611</v>
      </c>
      <c r="DP120" s="91" t="s">
        <v>610</v>
      </c>
      <c r="DQ120" s="112" t="s">
        <v>234</v>
      </c>
      <c r="DR120" s="112" t="s">
        <v>454</v>
      </c>
      <c r="DS120" s="112" t="s">
        <v>455</v>
      </c>
      <c r="DT120" s="93" t="s">
        <v>456</v>
      </c>
      <c r="DU120" s="94" t="s">
        <v>457</v>
      </c>
      <c r="DV120" s="87"/>
      <c r="DW120" s="112" t="s">
        <v>234</v>
      </c>
      <c r="DX120" s="112" t="s">
        <v>454</v>
      </c>
      <c r="DY120" s="112" t="s">
        <v>455</v>
      </c>
      <c r="DZ120" s="93" t="s">
        <v>456</v>
      </c>
      <c r="EA120" s="94" t="s">
        <v>457</v>
      </c>
      <c r="EB120" s="87"/>
      <c r="EC120" s="112" t="s">
        <v>234</v>
      </c>
      <c r="ED120" s="112" t="s">
        <v>454</v>
      </c>
      <c r="EE120" s="112" t="s">
        <v>455</v>
      </c>
      <c r="EF120" s="93" t="s">
        <v>456</v>
      </c>
      <c r="EG120" s="94" t="s">
        <v>457</v>
      </c>
      <c r="EH120" s="87"/>
      <c r="EI120" s="112" t="s">
        <v>234</v>
      </c>
      <c r="EJ120" s="112" t="s">
        <v>454</v>
      </c>
      <c r="EK120" s="112" t="s">
        <v>455</v>
      </c>
      <c r="EL120" s="93" t="s">
        <v>456</v>
      </c>
      <c r="EM120" s="94" t="s">
        <v>457</v>
      </c>
      <c r="EN120" s="87"/>
      <c r="EO120" s="112" t="s">
        <v>234</v>
      </c>
      <c r="EP120" s="112" t="s">
        <v>454</v>
      </c>
      <c r="EQ120" s="112" t="s">
        <v>455</v>
      </c>
      <c r="ER120" s="93" t="s">
        <v>456</v>
      </c>
      <c r="ES120" s="94" t="s">
        <v>457</v>
      </c>
      <c r="ET120" s="87"/>
      <c r="EU120" s="112" t="s">
        <v>234</v>
      </c>
      <c r="EV120" s="112" t="s">
        <v>454</v>
      </c>
      <c r="EW120" s="112" t="s">
        <v>455</v>
      </c>
      <c r="EX120" s="93" t="s">
        <v>456</v>
      </c>
      <c r="EY120" s="94" t="s">
        <v>457</v>
      </c>
      <c r="EZ120" s="87"/>
      <c r="FA120" s="112" t="s">
        <v>234</v>
      </c>
      <c r="FB120" s="112" t="s">
        <v>454</v>
      </c>
      <c r="FC120" s="112" t="s">
        <v>455</v>
      </c>
      <c r="FD120" s="93" t="s">
        <v>456</v>
      </c>
      <c r="FE120" s="136" t="s">
        <v>457</v>
      </c>
      <c r="FF120" s="87"/>
      <c r="FG120" s="112" t="s">
        <v>234</v>
      </c>
      <c r="FH120" s="112" t="s">
        <v>454</v>
      </c>
      <c r="FI120" s="112" t="s">
        <v>455</v>
      </c>
      <c r="FJ120" s="93" t="s">
        <v>456</v>
      </c>
      <c r="FK120" s="94" t="s">
        <v>457</v>
      </c>
      <c r="FL120" s="87"/>
      <c r="FM120" s="112" t="s">
        <v>234</v>
      </c>
      <c r="FN120" s="112" t="s">
        <v>454</v>
      </c>
      <c r="FO120" s="112" t="s">
        <v>455</v>
      </c>
      <c r="FP120" s="93" t="s">
        <v>456</v>
      </c>
      <c r="FQ120" s="94" t="s">
        <v>457</v>
      </c>
      <c r="FR120" s="87"/>
      <c r="FS120" s="112" t="s">
        <v>234</v>
      </c>
      <c r="FT120" s="112" t="s">
        <v>454</v>
      </c>
      <c r="FU120" s="112" t="s">
        <v>455</v>
      </c>
      <c r="FV120" s="93" t="s">
        <v>456</v>
      </c>
      <c r="FW120" s="94" t="s">
        <v>457</v>
      </c>
      <c r="FX120" s="87"/>
      <c r="FY120" s="112" t="s">
        <v>234</v>
      </c>
      <c r="FZ120" s="112" t="s">
        <v>454</v>
      </c>
      <c r="GA120" s="112" t="s">
        <v>455</v>
      </c>
      <c r="GB120" s="93" t="s">
        <v>456</v>
      </c>
      <c r="GC120" s="94" t="s">
        <v>457</v>
      </c>
      <c r="GD120" s="87"/>
      <c r="GE120" s="112" t="s">
        <v>234</v>
      </c>
      <c r="GF120" s="112" t="s">
        <v>454</v>
      </c>
      <c r="GG120" s="112" t="s">
        <v>455</v>
      </c>
      <c r="GH120" s="93" t="s">
        <v>456</v>
      </c>
      <c r="GI120" s="94" t="s">
        <v>457</v>
      </c>
      <c r="GJ120" s="87"/>
      <c r="GK120" s="112" t="s">
        <v>234</v>
      </c>
      <c r="GL120" s="112" t="s">
        <v>454</v>
      </c>
      <c r="GM120" s="112" t="s">
        <v>455</v>
      </c>
      <c r="GN120" s="93" t="s">
        <v>456</v>
      </c>
      <c r="GO120" s="94" t="s">
        <v>457</v>
      </c>
      <c r="GP120" s="87"/>
      <c r="GQ120" s="112" t="s">
        <v>234</v>
      </c>
      <c r="GR120" s="112" t="s">
        <v>454</v>
      </c>
      <c r="GS120" s="112" t="s">
        <v>455</v>
      </c>
      <c r="GT120" s="93" t="s">
        <v>456</v>
      </c>
      <c r="GU120" s="94" t="s">
        <v>457</v>
      </c>
      <c r="GV120" s="87"/>
      <c r="GW120" s="112" t="s">
        <v>234</v>
      </c>
      <c r="GX120" s="112" t="s">
        <v>454</v>
      </c>
      <c r="GY120" s="112" t="s">
        <v>455</v>
      </c>
      <c r="GZ120" s="93" t="s">
        <v>456</v>
      </c>
      <c r="HA120" s="94" t="s">
        <v>457</v>
      </c>
      <c r="HB120" s="87"/>
      <c r="HC120" s="85"/>
      <c r="HD120" s="6"/>
      <c r="HE120" s="95" t="s">
        <v>679</v>
      </c>
      <c r="HF120" s="95" t="s">
        <v>488</v>
      </c>
      <c r="HG120" s="220" t="s">
        <v>489</v>
      </c>
      <c r="HH120" s="95" t="s">
        <v>603</v>
      </c>
      <c r="HI120" s="95" t="s">
        <v>423</v>
      </c>
      <c r="HJ120" s="85"/>
      <c r="HK120" s="90" t="s">
        <v>680</v>
      </c>
      <c r="HL120" s="91" t="s">
        <v>681</v>
      </c>
      <c r="HM120" s="92" t="s">
        <v>606</v>
      </c>
      <c r="HN120" s="92" t="s">
        <v>607</v>
      </c>
      <c r="HO120" s="91" t="s">
        <v>608</v>
      </c>
      <c r="HP120" s="91" t="s">
        <v>609</v>
      </c>
      <c r="HQ120" s="92" t="s">
        <v>456</v>
      </c>
      <c r="HR120" s="91" t="s">
        <v>610</v>
      </c>
    </row>
    <row r="121" spans="1:226" x14ac:dyDescent="0.3">
      <c r="A121" s="142">
        <v>1</v>
      </c>
      <c r="B121" s="449" t="s">
        <v>57</v>
      </c>
      <c r="C121" s="219" t="s">
        <v>58</v>
      </c>
      <c r="D121" s="258" t="s">
        <v>59</v>
      </c>
      <c r="E121" s="27">
        <v>0</v>
      </c>
      <c r="F121" s="9">
        <v>22230877</v>
      </c>
      <c r="G121" s="9">
        <v>0</v>
      </c>
      <c r="H121" s="324"/>
      <c r="I121" s="324">
        <v>22230877</v>
      </c>
      <c r="J121" s="324">
        <v>22230877</v>
      </c>
      <c r="K121" s="324"/>
      <c r="L121" s="324">
        <v>22230877</v>
      </c>
      <c r="M121" s="23">
        <v>22230877</v>
      </c>
      <c r="N121" s="23">
        <v>22230877</v>
      </c>
      <c r="O121" s="298">
        <v>22230877</v>
      </c>
      <c r="P121" s="298">
        <v>22230877</v>
      </c>
      <c r="Q121" s="298">
        <v>22230877</v>
      </c>
      <c r="R121" s="298">
        <v>22230877</v>
      </c>
      <c r="S121" s="298">
        <v>22230877</v>
      </c>
      <c r="T121" s="298">
        <v>22230877</v>
      </c>
      <c r="U121" s="298">
        <f>T121*5%</f>
        <v>1111543.8500000001</v>
      </c>
      <c r="V121" s="298">
        <f>T121+U121</f>
        <v>23342420.850000001</v>
      </c>
      <c r="W121" s="298">
        <v>23342420</v>
      </c>
      <c r="X121" s="298">
        <v>23342420</v>
      </c>
      <c r="Y121" s="298">
        <v>23342420</v>
      </c>
      <c r="Z121" s="298">
        <v>23342420</v>
      </c>
      <c r="AA121" s="298">
        <v>23342420</v>
      </c>
      <c r="AB121" s="298">
        <v>23342420</v>
      </c>
      <c r="AC121" s="9">
        <v>0</v>
      </c>
      <c r="AD121" s="9">
        <v>0</v>
      </c>
      <c r="AE121" s="298">
        <f>AD121+AC121+AB121</f>
        <v>23342420</v>
      </c>
      <c r="AF121" s="298">
        <v>23342420</v>
      </c>
      <c r="AG121" s="9">
        <v>0</v>
      </c>
      <c r="AH121" s="9">
        <v>0</v>
      </c>
      <c r="AI121" s="298">
        <f>AH121+AG121+AF121</f>
        <v>23342420</v>
      </c>
      <c r="AJ121" s="298">
        <v>23342420</v>
      </c>
      <c r="AK121" s="9">
        <v>0</v>
      </c>
      <c r="AL121" s="9">
        <v>0</v>
      </c>
      <c r="AM121" s="298">
        <f t="shared" ref="AM121:AM127" si="318">AL121+AK121+AJ121</f>
        <v>23342420</v>
      </c>
      <c r="AN121" s="298">
        <v>23342420</v>
      </c>
      <c r="AO121" s="9">
        <v>0</v>
      </c>
      <c r="AP121" s="9">
        <v>0</v>
      </c>
      <c r="AQ121" s="298">
        <f t="shared" ref="AQ121:AQ127" si="319">AP121+AO121+AN121</f>
        <v>23342420</v>
      </c>
      <c r="AR121" s="298">
        <v>23342420</v>
      </c>
      <c r="AS121" s="9">
        <v>0</v>
      </c>
      <c r="AT121" s="9">
        <v>0</v>
      </c>
      <c r="AU121" s="298">
        <f t="shared" ref="AU121:AU127" si="320">AT121+AS121+AR121</f>
        <v>23342420</v>
      </c>
      <c r="AV121" s="298">
        <v>23342420</v>
      </c>
      <c r="AW121" s="9">
        <v>0</v>
      </c>
      <c r="AX121" s="9">
        <v>0</v>
      </c>
      <c r="AY121" s="298">
        <f t="shared" ref="AY121:AY127" si="321">AX121+AW121+AV121</f>
        <v>23342420</v>
      </c>
      <c r="AZ121" s="8">
        <f>AY121*5%</f>
        <v>1167121</v>
      </c>
      <c r="BA121" s="8"/>
      <c r="BB121" s="8">
        <f>AZ121-BA121</f>
        <v>1167121</v>
      </c>
      <c r="BC121" s="8">
        <f>BB121+AY121</f>
        <v>24509541</v>
      </c>
      <c r="BD121" s="8"/>
      <c r="BE121" s="8">
        <f>BD121+BC121</f>
        <v>24509541</v>
      </c>
      <c r="BF121" s="10">
        <f>BE121-AY121</f>
        <v>1167121</v>
      </c>
      <c r="BG121" s="11">
        <f>BF121-BB121</f>
        <v>0</v>
      </c>
      <c r="BH121" s="319">
        <v>24509541</v>
      </c>
      <c r="BI121" s="319">
        <v>0</v>
      </c>
      <c r="BJ121" s="319">
        <v>0</v>
      </c>
      <c r="BK121" s="319">
        <f t="shared" ref="BK121:BK127" si="322">BJ121+BI121+BH121</f>
        <v>24509541</v>
      </c>
      <c r="BL121" s="319">
        <v>24509541</v>
      </c>
      <c r="BM121" s="319">
        <v>0</v>
      </c>
      <c r="BN121" s="319">
        <v>0</v>
      </c>
      <c r="BO121" s="319">
        <f t="shared" ref="BO121:BO127" si="323">BN121+BM121+BL121</f>
        <v>24509541</v>
      </c>
      <c r="BP121" s="319">
        <f t="shared" ref="BP121:BP127" si="324">BO121-BK121</f>
        <v>0</v>
      </c>
      <c r="BQ121" s="319">
        <v>24509541</v>
      </c>
      <c r="BR121" s="319">
        <v>0</v>
      </c>
      <c r="BS121" s="319">
        <v>0</v>
      </c>
      <c r="BT121" s="319">
        <f t="shared" ref="BT121:BT127" si="325">BS121+BR121+BQ121</f>
        <v>24509541</v>
      </c>
      <c r="BU121" s="319">
        <f t="shared" ref="BU121:BU127" si="326">BT121-BO121</f>
        <v>0</v>
      </c>
      <c r="BV121" s="319">
        <v>24509541</v>
      </c>
      <c r="BW121" s="319">
        <v>0</v>
      </c>
      <c r="BX121" s="319">
        <v>0</v>
      </c>
      <c r="BY121" s="319">
        <f t="shared" ref="BY121:BY127" si="327">BX121+BW121+BV121</f>
        <v>24509541</v>
      </c>
      <c r="BZ121" s="319">
        <f t="shared" ref="BZ121:BZ127" si="328">BY121-BT121</f>
        <v>0</v>
      </c>
      <c r="CA121" s="319">
        <v>24509541</v>
      </c>
      <c r="CB121" s="319">
        <v>0</v>
      </c>
      <c r="CC121" s="319">
        <v>0</v>
      </c>
      <c r="CD121" s="319">
        <f t="shared" ref="CD121:CD127" si="329">CC121+CB121+CA121</f>
        <v>24509541</v>
      </c>
      <c r="CE121" s="319">
        <f t="shared" ref="CE121:CE127" si="330">CD121-BY121</f>
        <v>0</v>
      </c>
      <c r="CF121" s="319">
        <v>24509541</v>
      </c>
      <c r="CG121" s="319">
        <v>0</v>
      </c>
      <c r="CH121" s="319">
        <v>0</v>
      </c>
      <c r="CI121" s="319">
        <f t="shared" ref="CI121:CI127" si="331">CH121+CG121+CF121</f>
        <v>24509541</v>
      </c>
      <c r="CJ121" s="319">
        <f t="shared" ref="CJ121:CJ127" si="332">CI121-CD121</f>
        <v>0</v>
      </c>
      <c r="CK121" s="319">
        <v>24509541</v>
      </c>
      <c r="CL121" s="319">
        <v>0</v>
      </c>
      <c r="CM121" s="319">
        <v>0</v>
      </c>
      <c r="CN121" s="319">
        <f t="shared" ref="CN121:CN127" si="333">CM121+CL121+CK121</f>
        <v>24509541</v>
      </c>
      <c r="CO121" s="319">
        <f t="shared" ref="CO121:CO127" si="334">CN121-CI121</f>
        <v>0</v>
      </c>
      <c r="CP121" s="319">
        <v>24509541</v>
      </c>
      <c r="CQ121" s="319">
        <v>0</v>
      </c>
      <c r="CR121" s="29">
        <v>0</v>
      </c>
      <c r="CS121" s="30">
        <f t="shared" ref="CS121:CS127" si="335">CR121+CQ121+CP121</f>
        <v>24509541</v>
      </c>
      <c r="CT121" s="57">
        <f t="shared" ref="CT121:CT127" si="336">CS121-CN121</f>
        <v>0</v>
      </c>
      <c r="CU121" s="319">
        <v>24509541</v>
      </c>
      <c r="CV121" s="319">
        <v>0</v>
      </c>
      <c r="CW121" s="29">
        <v>0</v>
      </c>
      <c r="CX121" s="30">
        <f t="shared" ref="CX121:CX127" si="337">CW121+CV121+CU121</f>
        <v>24509541</v>
      </c>
      <c r="CY121" s="57">
        <f t="shared" ref="CY121:CY127" si="338">CX121-CS121</f>
        <v>0</v>
      </c>
      <c r="CZ121" s="57"/>
      <c r="DA121" s="57"/>
      <c r="DB121" s="57"/>
      <c r="DC121" s="12">
        <f>CX121*10%</f>
        <v>2450954.1</v>
      </c>
      <c r="DD121" s="12">
        <v>0.1</v>
      </c>
      <c r="DE121" s="13">
        <f>DC121-DD121</f>
        <v>2450954</v>
      </c>
      <c r="DF121" s="14">
        <f t="shared" ref="DF121:DF127" si="339">DE121:DE121</f>
        <v>2450954</v>
      </c>
      <c r="DG121" s="13">
        <f t="shared" ref="DG121:DG127" si="340">DE121+CX121</f>
        <v>26960495</v>
      </c>
      <c r="DH121" s="15">
        <f t="shared" ref="DH121:DH127" si="341">100/1278396949*CX121</f>
        <v>1.9172089716869309</v>
      </c>
      <c r="DI121" s="16">
        <f t="shared" ref="DI121:DI127" si="342">CX121</f>
        <v>24509541</v>
      </c>
      <c r="DJ121" s="132">
        <f>DI121*1.1</f>
        <v>26960495.100000001</v>
      </c>
      <c r="DK121" s="17">
        <f>DJ121-DI121</f>
        <v>2450954.1000000015</v>
      </c>
      <c r="DL121" s="17">
        <f t="shared" ref="DL121:DL127" si="343">DD121</f>
        <v>0.1</v>
      </c>
      <c r="DM121" s="16">
        <f>DK121-DL121</f>
        <v>2450954.0000000014</v>
      </c>
      <c r="DN121" s="16">
        <f t="shared" ref="DN121:DN127" si="344">DM121-DE121</f>
        <v>0</v>
      </c>
      <c r="DO121" s="16">
        <f>DM121+DI121</f>
        <v>26960495</v>
      </c>
      <c r="DP121" s="16">
        <f t="shared" ref="DP121:DP127" si="345">DO121-DG121</f>
        <v>0</v>
      </c>
      <c r="DQ121" s="9">
        <v>26960495</v>
      </c>
      <c r="DR121" s="18" t="s">
        <v>238</v>
      </c>
      <c r="DS121" s="18" t="s">
        <v>238</v>
      </c>
      <c r="DT121" s="324">
        <f>DQ121+DR121+DS121</f>
        <v>26960495</v>
      </c>
      <c r="DU121" s="321">
        <f>DT121</f>
        <v>26960495</v>
      </c>
      <c r="DV121" s="19">
        <f>DT121-DG121</f>
        <v>0</v>
      </c>
      <c r="DW121" s="9">
        <v>26960495</v>
      </c>
      <c r="DX121" s="18"/>
      <c r="DY121" s="18"/>
      <c r="DZ121" s="324">
        <f>DW121+DX121+DY121</f>
        <v>26960495</v>
      </c>
      <c r="EA121" s="321">
        <f>DZ121</f>
        <v>26960495</v>
      </c>
      <c r="EB121" s="179">
        <f t="shared" ref="EB121:EB127" si="346">DZ121-DT121</f>
        <v>0</v>
      </c>
      <c r="EC121" s="9">
        <v>26960495</v>
      </c>
      <c r="ED121" s="18" t="s">
        <v>238</v>
      </c>
      <c r="EE121" s="18" t="s">
        <v>238</v>
      </c>
      <c r="EF121" s="324">
        <f>EC121+ED121+EE121</f>
        <v>26960495</v>
      </c>
      <c r="EG121" s="321">
        <f>EF121</f>
        <v>26960495</v>
      </c>
      <c r="EH121" s="179">
        <f t="shared" ref="EH121:EH127" si="347">EF121-DZ121</f>
        <v>0</v>
      </c>
      <c r="EI121" s="9">
        <v>26960495</v>
      </c>
      <c r="EJ121" s="18" t="s">
        <v>238</v>
      </c>
      <c r="EK121" s="18" t="s">
        <v>238</v>
      </c>
      <c r="EL121" s="324">
        <f>EI121+EJ121+EK121</f>
        <v>26960495</v>
      </c>
      <c r="EM121" s="321">
        <f>EL121</f>
        <v>26960495</v>
      </c>
      <c r="EN121" s="179">
        <f t="shared" ref="EN121:EN127" si="348">EL121-EF121</f>
        <v>0</v>
      </c>
      <c r="EO121" s="9">
        <v>26960495</v>
      </c>
      <c r="EP121" s="18" t="s">
        <v>238</v>
      </c>
      <c r="EQ121" s="18" t="s">
        <v>238</v>
      </c>
      <c r="ER121" s="324">
        <f>EO121+EP121+EQ121</f>
        <v>26960495</v>
      </c>
      <c r="ES121" s="321">
        <f>ER121</f>
        <v>26960495</v>
      </c>
      <c r="ET121" s="179">
        <f t="shared" ref="ET121:ET127" si="349">ER121-EL121</f>
        <v>0</v>
      </c>
      <c r="EU121" s="9">
        <v>26960495</v>
      </c>
      <c r="EV121" s="18" t="s">
        <v>238</v>
      </c>
      <c r="EW121" s="18" t="s">
        <v>238</v>
      </c>
      <c r="EX121" s="324">
        <f>EU121+EV121+EW121</f>
        <v>26960495</v>
      </c>
      <c r="EY121" s="321">
        <f>EX121</f>
        <v>26960495</v>
      </c>
      <c r="EZ121" s="179">
        <f t="shared" ref="EZ121:EZ127" si="350">EX121-ER121</f>
        <v>0</v>
      </c>
      <c r="FA121" s="9">
        <v>26960495</v>
      </c>
      <c r="FB121" s="18" t="s">
        <v>238</v>
      </c>
      <c r="FC121" s="18" t="s">
        <v>238</v>
      </c>
      <c r="FD121" s="101">
        <f>FA121+FB121+FC121</f>
        <v>26960495</v>
      </c>
      <c r="FE121" s="137">
        <f>FD121</f>
        <v>26960495</v>
      </c>
      <c r="FF121" s="135">
        <f t="shared" ref="FF121:FF127" si="351">FD121-EX121</f>
        <v>0</v>
      </c>
      <c r="FG121" s="9">
        <v>26960495</v>
      </c>
      <c r="FH121" s="18" t="s">
        <v>238</v>
      </c>
      <c r="FI121" s="18" t="s">
        <v>238</v>
      </c>
      <c r="FJ121" s="324">
        <f>FG121+FH121+FI121</f>
        <v>26960495</v>
      </c>
      <c r="FK121" s="321">
        <f>FJ121</f>
        <v>26960495</v>
      </c>
      <c r="FL121" s="179">
        <f t="shared" ref="FL121:FL127" si="352">FJ121-FD121</f>
        <v>0</v>
      </c>
      <c r="FM121" s="9">
        <v>26960495</v>
      </c>
      <c r="FN121" s="18" t="s">
        <v>238</v>
      </c>
      <c r="FO121" s="18" t="s">
        <v>238</v>
      </c>
      <c r="FP121" s="324">
        <f>FM121+FN121+FO121</f>
        <v>26960495</v>
      </c>
      <c r="FQ121" s="321">
        <f>FP121</f>
        <v>26960495</v>
      </c>
      <c r="FR121" s="179">
        <f t="shared" ref="FR121:FR127" si="353">FP121-FJ121</f>
        <v>0</v>
      </c>
      <c r="FS121" s="9">
        <v>26960495</v>
      </c>
      <c r="FT121" s="18" t="s">
        <v>238</v>
      </c>
      <c r="FU121" s="18" t="s">
        <v>238</v>
      </c>
      <c r="FV121" s="324">
        <f>FS121+FT121+FU121</f>
        <v>26960495</v>
      </c>
      <c r="FW121" s="321">
        <f>FV121</f>
        <v>26960495</v>
      </c>
      <c r="FX121" s="179">
        <f t="shared" ref="FX121:FX127" si="354">FV121-FP121</f>
        <v>0</v>
      </c>
      <c r="FY121" s="9">
        <v>26960495</v>
      </c>
      <c r="FZ121" s="18" t="s">
        <v>238</v>
      </c>
      <c r="GA121" s="18" t="s">
        <v>238</v>
      </c>
      <c r="GB121" s="324">
        <f>FY121+FZ121+GA121</f>
        <v>26960495</v>
      </c>
      <c r="GC121" s="321">
        <f>GB121</f>
        <v>26960495</v>
      </c>
      <c r="GD121" s="179">
        <f t="shared" ref="GD121:GD127" si="355">GB121-FV121</f>
        <v>0</v>
      </c>
      <c r="GE121" s="9">
        <v>26960495</v>
      </c>
      <c r="GF121" s="18" t="s">
        <v>238</v>
      </c>
      <c r="GG121" s="18" t="s">
        <v>238</v>
      </c>
      <c r="GH121" s="324">
        <f>GE121+GF121+GG121</f>
        <v>26960495</v>
      </c>
      <c r="GI121" s="321">
        <f>GH121</f>
        <v>26960495</v>
      </c>
      <c r="GJ121" s="179">
        <f t="shared" ref="GJ121:GJ127" si="356">GH121-GB121</f>
        <v>0</v>
      </c>
      <c r="GK121" s="9">
        <v>26960495</v>
      </c>
      <c r="GL121" s="18" t="s">
        <v>238</v>
      </c>
      <c r="GM121" s="18" t="s">
        <v>238</v>
      </c>
      <c r="GN121" s="56">
        <f>GK121+GL121+GM121</f>
        <v>26960495</v>
      </c>
      <c r="GO121" s="321">
        <f>GN121</f>
        <v>26960495</v>
      </c>
      <c r="GP121" s="179">
        <f t="shared" ref="GP121:GP127" si="357">GN121-GH121</f>
        <v>0</v>
      </c>
      <c r="GQ121" s="22">
        <v>26960495</v>
      </c>
      <c r="GR121" s="18" t="s">
        <v>238</v>
      </c>
      <c r="GS121" s="18" t="s">
        <v>238</v>
      </c>
      <c r="GT121" s="324">
        <f>GQ121+GR121+GS121</f>
        <v>26960495</v>
      </c>
      <c r="GU121" s="321">
        <f>GT121</f>
        <v>26960495</v>
      </c>
      <c r="GV121" s="179">
        <f t="shared" ref="GV121:GV127" si="358">GT121-GN121</f>
        <v>0</v>
      </c>
      <c r="GW121" s="22">
        <v>28308519</v>
      </c>
      <c r="GX121" s="18" t="s">
        <v>238</v>
      </c>
      <c r="GY121" s="18" t="s">
        <v>238</v>
      </c>
      <c r="GZ121" s="324">
        <f>GW121+GX121+GY121</f>
        <v>28308519</v>
      </c>
      <c r="HA121" s="321">
        <f>GZ121</f>
        <v>28308519</v>
      </c>
      <c r="HB121" s="179">
        <f t="shared" ref="HB121:HB127" si="359">GZ121-GT121</f>
        <v>1348024</v>
      </c>
      <c r="HC121" s="102">
        <f t="shared" ref="HC121:HC127" si="360">100/1406236643.9*GT121</f>
        <v>1.9172089645757524</v>
      </c>
      <c r="HD121" s="285">
        <f t="shared" ref="HD121:HD127" si="361">HB121-HO121</f>
        <v>0</v>
      </c>
      <c r="HE121" s="12">
        <f t="shared" ref="HE121:HE127" si="362">GT121*0.05</f>
        <v>1348024.75</v>
      </c>
      <c r="HF121" s="12">
        <f t="shared" ref="HF121:HF127" si="363">IF(ISNUMBER(HE121), HE121-INT(HE121), "")</f>
        <v>0.75</v>
      </c>
      <c r="HG121" s="12">
        <f t="shared" ref="HG121:HG127" si="364">HE121-HF121</f>
        <v>1348024</v>
      </c>
      <c r="HH121" s="14">
        <f t="shared" ref="HH121:HH127" si="365">HG121:HG121</f>
        <v>1348024</v>
      </c>
      <c r="HI121" s="13">
        <f t="shared" ref="HI121:HI127" si="366">HG121+GT121</f>
        <v>28308519</v>
      </c>
      <c r="HJ121" s="102">
        <f t="shared" ref="HJ121:HJ127" si="367">100/1406236643.9*HI121</f>
        <v>2.0130693594707001</v>
      </c>
      <c r="HK121" s="16">
        <f t="shared" ref="HK121:HK127" si="368">GT121</f>
        <v>26960495</v>
      </c>
      <c r="HL121" s="103">
        <f t="shared" ref="HL121:HL127" si="369">HK121*1.05</f>
        <v>28308519.75</v>
      </c>
      <c r="HM121" s="103">
        <f t="shared" ref="HM121:HM127" si="370">HL121-HK121</f>
        <v>1348024.75</v>
      </c>
      <c r="HN121" s="17">
        <f t="shared" ref="HN121:HN127" si="371">HF121</f>
        <v>0.75</v>
      </c>
      <c r="HO121" s="56">
        <f t="shared" ref="HO121:HO127" si="372">HM121-HN121</f>
        <v>1348024</v>
      </c>
      <c r="HP121" s="16">
        <f t="shared" ref="HP121:HP127" si="373">HO121-HG121</f>
        <v>0</v>
      </c>
      <c r="HQ121" s="16">
        <f t="shared" ref="HQ121:HQ127" si="374">HO121+HK121</f>
        <v>28308519</v>
      </c>
      <c r="HR121" s="16">
        <f t="shared" ref="HR121:HR127" si="375">HQ121-HI121</f>
        <v>0</v>
      </c>
    </row>
    <row r="122" spans="1:226" x14ac:dyDescent="0.3">
      <c r="A122" s="145">
        <v>2</v>
      </c>
      <c r="B122" s="134"/>
      <c r="C122" s="312" t="s">
        <v>60</v>
      </c>
      <c r="D122" s="257" t="s">
        <v>61</v>
      </c>
      <c r="E122" s="27">
        <v>0</v>
      </c>
      <c r="F122" s="9">
        <v>962418</v>
      </c>
      <c r="G122" s="9">
        <v>0</v>
      </c>
      <c r="H122" s="324"/>
      <c r="I122" s="324">
        <v>962418</v>
      </c>
      <c r="J122" s="324">
        <v>962418</v>
      </c>
      <c r="K122" s="324"/>
      <c r="L122" s="324">
        <v>962418</v>
      </c>
      <c r="M122" s="23">
        <v>962418</v>
      </c>
      <c r="N122" s="23">
        <v>962418</v>
      </c>
      <c r="O122" s="298">
        <v>962418</v>
      </c>
      <c r="P122" s="298">
        <v>962418</v>
      </c>
      <c r="Q122" s="298">
        <v>962418</v>
      </c>
      <c r="R122" s="298">
        <v>962418</v>
      </c>
      <c r="S122" s="298">
        <v>962418</v>
      </c>
      <c r="T122" s="298">
        <v>962418</v>
      </c>
      <c r="U122" s="298">
        <f t="shared" ref="U122:U127" si="376">T122*5%</f>
        <v>48120.9</v>
      </c>
      <c r="V122" s="298">
        <f t="shared" ref="V122:V127" si="377">T122+U122</f>
        <v>1010538.9</v>
      </c>
      <c r="W122" s="298">
        <v>1010538</v>
      </c>
      <c r="X122" s="298">
        <v>1010538</v>
      </c>
      <c r="Y122" s="298">
        <v>1010538</v>
      </c>
      <c r="Z122" s="298">
        <v>1010538</v>
      </c>
      <c r="AA122" s="298">
        <v>1010538</v>
      </c>
      <c r="AB122" s="298">
        <v>1010538</v>
      </c>
      <c r="AC122" s="9">
        <v>0</v>
      </c>
      <c r="AD122" s="9">
        <v>0</v>
      </c>
      <c r="AE122" s="298">
        <f t="shared" ref="AE122:AE127" si="378">AD122+AC122+AB122</f>
        <v>1010538</v>
      </c>
      <c r="AF122" s="298">
        <v>1010538</v>
      </c>
      <c r="AG122" s="9">
        <v>0</v>
      </c>
      <c r="AH122" s="9">
        <v>0</v>
      </c>
      <c r="AI122" s="298">
        <f t="shared" ref="AI122:AI127" si="379">AH122+AG122+AF122</f>
        <v>1010538</v>
      </c>
      <c r="AJ122" s="298">
        <v>1010538</v>
      </c>
      <c r="AK122" s="9">
        <v>0</v>
      </c>
      <c r="AL122" s="9">
        <v>0</v>
      </c>
      <c r="AM122" s="298">
        <f t="shared" si="318"/>
        <v>1010538</v>
      </c>
      <c r="AN122" s="298">
        <v>1010538</v>
      </c>
      <c r="AO122" s="9">
        <v>0</v>
      </c>
      <c r="AP122" s="9">
        <v>0</v>
      </c>
      <c r="AQ122" s="298">
        <f t="shared" si="319"/>
        <v>1010538</v>
      </c>
      <c r="AR122" s="298">
        <v>1010538</v>
      </c>
      <c r="AS122" s="9">
        <v>0</v>
      </c>
      <c r="AT122" s="9">
        <v>0</v>
      </c>
      <c r="AU122" s="298">
        <f t="shared" si="320"/>
        <v>1010538</v>
      </c>
      <c r="AV122" s="298">
        <v>1010538</v>
      </c>
      <c r="AW122" s="9">
        <v>0</v>
      </c>
      <c r="AX122" s="9">
        <v>0</v>
      </c>
      <c r="AY122" s="298">
        <f t="shared" si="321"/>
        <v>1010538</v>
      </c>
      <c r="AZ122" s="8">
        <f t="shared" ref="AZ122:AZ127" si="380">AY122*5%</f>
        <v>50526.9</v>
      </c>
      <c r="BA122" s="8">
        <v>0.9</v>
      </c>
      <c r="BB122" s="8">
        <f t="shared" ref="BB122:BB127" si="381">AZ122-BA122</f>
        <v>50526</v>
      </c>
      <c r="BC122" s="8">
        <f t="shared" ref="BC122:BC127" si="382">BB122+AY122</f>
        <v>1061064</v>
      </c>
      <c r="BD122" s="8"/>
      <c r="BE122" s="8">
        <f t="shared" ref="BE122:BE127" si="383">BD122+BC122</f>
        <v>1061064</v>
      </c>
      <c r="BF122" s="10">
        <f t="shared" ref="BF122:BF127" si="384">BE122-AY122</f>
        <v>50526</v>
      </c>
      <c r="BG122" s="11">
        <f t="shared" ref="BG122:BG127" si="385">BF122-BB122</f>
        <v>0</v>
      </c>
      <c r="BH122" s="319">
        <v>1061064</v>
      </c>
      <c r="BI122" s="319">
        <v>0</v>
      </c>
      <c r="BJ122" s="319">
        <v>0</v>
      </c>
      <c r="BK122" s="319">
        <f t="shared" si="322"/>
        <v>1061064</v>
      </c>
      <c r="BL122" s="319">
        <v>1061064</v>
      </c>
      <c r="BM122" s="319">
        <v>0</v>
      </c>
      <c r="BN122" s="319">
        <v>0</v>
      </c>
      <c r="BO122" s="319">
        <f t="shared" si="323"/>
        <v>1061064</v>
      </c>
      <c r="BP122" s="319">
        <f t="shared" si="324"/>
        <v>0</v>
      </c>
      <c r="BQ122" s="319">
        <v>1061064</v>
      </c>
      <c r="BR122" s="319">
        <v>0</v>
      </c>
      <c r="BS122" s="319">
        <v>0</v>
      </c>
      <c r="BT122" s="319">
        <f t="shared" si="325"/>
        <v>1061064</v>
      </c>
      <c r="BU122" s="319">
        <f t="shared" si="326"/>
        <v>0</v>
      </c>
      <c r="BV122" s="319">
        <v>1061064</v>
      </c>
      <c r="BW122" s="319">
        <v>0</v>
      </c>
      <c r="BX122" s="319">
        <v>0</v>
      </c>
      <c r="BY122" s="319">
        <f t="shared" si="327"/>
        <v>1061064</v>
      </c>
      <c r="BZ122" s="319">
        <f t="shared" si="328"/>
        <v>0</v>
      </c>
      <c r="CA122" s="319">
        <v>1061064</v>
      </c>
      <c r="CB122" s="319">
        <v>0</v>
      </c>
      <c r="CC122" s="319">
        <v>0</v>
      </c>
      <c r="CD122" s="319">
        <f t="shared" si="329"/>
        <v>1061064</v>
      </c>
      <c r="CE122" s="319">
        <f t="shared" si="330"/>
        <v>0</v>
      </c>
      <c r="CF122" s="319">
        <v>1061064</v>
      </c>
      <c r="CG122" s="319">
        <v>0</v>
      </c>
      <c r="CH122" s="319">
        <v>0</v>
      </c>
      <c r="CI122" s="319">
        <f t="shared" si="331"/>
        <v>1061064</v>
      </c>
      <c r="CJ122" s="319">
        <f t="shared" si="332"/>
        <v>0</v>
      </c>
      <c r="CK122" s="319">
        <v>1061064</v>
      </c>
      <c r="CL122" s="319">
        <v>0</v>
      </c>
      <c r="CM122" s="319">
        <v>0</v>
      </c>
      <c r="CN122" s="319">
        <f t="shared" si="333"/>
        <v>1061064</v>
      </c>
      <c r="CO122" s="319">
        <f t="shared" si="334"/>
        <v>0</v>
      </c>
      <c r="CP122" s="319">
        <v>1061064</v>
      </c>
      <c r="CQ122" s="319">
        <v>0</v>
      </c>
      <c r="CR122" s="29">
        <v>0</v>
      </c>
      <c r="CS122" s="36">
        <f t="shared" si="335"/>
        <v>1061064</v>
      </c>
      <c r="CT122" s="57">
        <f t="shared" si="336"/>
        <v>0</v>
      </c>
      <c r="CU122" s="319">
        <v>1061064</v>
      </c>
      <c r="CV122" s="319">
        <v>0</v>
      </c>
      <c r="CW122" s="29">
        <v>0</v>
      </c>
      <c r="CX122" s="36">
        <f t="shared" si="337"/>
        <v>1061064</v>
      </c>
      <c r="CY122" s="57">
        <f t="shared" si="338"/>
        <v>0</v>
      </c>
      <c r="CZ122" s="57"/>
      <c r="DA122" s="57"/>
      <c r="DB122" s="57"/>
      <c r="DC122" s="12">
        <f t="shared" ref="DC122:DC127" si="386">CX122*10%</f>
        <v>106106.40000000001</v>
      </c>
      <c r="DD122" s="12">
        <v>0.4</v>
      </c>
      <c r="DE122" s="13">
        <f t="shared" ref="DE122:DE127" si="387">DC122-DD122</f>
        <v>106106.00000000001</v>
      </c>
      <c r="DF122" s="14">
        <f t="shared" si="339"/>
        <v>106106.00000000001</v>
      </c>
      <c r="DG122" s="13">
        <f t="shared" si="340"/>
        <v>1167170</v>
      </c>
      <c r="DH122" s="15">
        <f t="shared" si="341"/>
        <v>8.2999572302640087E-2</v>
      </c>
      <c r="DI122" s="16">
        <f t="shared" si="342"/>
        <v>1061064</v>
      </c>
      <c r="DJ122" s="132">
        <f t="shared" ref="DJ122:DJ127" si="388">DI122*1.1</f>
        <v>1167170.4000000001</v>
      </c>
      <c r="DK122" s="17">
        <f t="shared" ref="DK122:DK127" si="389">DJ122-DI122</f>
        <v>106106.40000000014</v>
      </c>
      <c r="DL122" s="17">
        <f t="shared" si="343"/>
        <v>0.4</v>
      </c>
      <c r="DM122" s="16">
        <f t="shared" ref="DM122:DM127" si="390">DK122-DL122</f>
        <v>106106.00000000015</v>
      </c>
      <c r="DN122" s="16">
        <f t="shared" si="344"/>
        <v>1.3096723705530167E-10</v>
      </c>
      <c r="DO122" s="16">
        <f t="shared" ref="DO122:DO127" si="391">DM122+DI122</f>
        <v>1167170.0000000002</v>
      </c>
      <c r="DP122" s="16">
        <f t="shared" si="345"/>
        <v>0</v>
      </c>
      <c r="DQ122" s="9">
        <v>1167170</v>
      </c>
      <c r="DR122" s="18" t="s">
        <v>238</v>
      </c>
      <c r="DS122" s="18" t="s">
        <v>238</v>
      </c>
      <c r="DT122" s="324">
        <f t="shared" ref="DT122:DT127" si="392">DQ122+DR122+DS122</f>
        <v>1167170</v>
      </c>
      <c r="DU122" s="321">
        <f t="shared" ref="DU122:DU127" si="393">DT122</f>
        <v>1167170</v>
      </c>
      <c r="DV122" s="19">
        <f t="shared" ref="DV122:DV127" si="394">DT122-DG122</f>
        <v>0</v>
      </c>
      <c r="DW122" s="9">
        <v>1167170</v>
      </c>
      <c r="DX122" s="18"/>
      <c r="DY122" s="18"/>
      <c r="DZ122" s="324">
        <f t="shared" ref="DZ122:DZ127" si="395">DW122+DX122+DY122</f>
        <v>1167170</v>
      </c>
      <c r="EA122" s="321">
        <f t="shared" ref="EA122:EA127" si="396">DZ122</f>
        <v>1167170</v>
      </c>
      <c r="EB122" s="179">
        <f t="shared" si="346"/>
        <v>0</v>
      </c>
      <c r="EC122" s="9">
        <v>1167170</v>
      </c>
      <c r="ED122" s="18" t="s">
        <v>238</v>
      </c>
      <c r="EE122" s="18" t="s">
        <v>238</v>
      </c>
      <c r="EF122" s="324">
        <f t="shared" ref="EF122:EF127" si="397">EC122+ED122+EE122</f>
        <v>1167170</v>
      </c>
      <c r="EG122" s="321">
        <f t="shared" ref="EG122:EG127" si="398">EF122</f>
        <v>1167170</v>
      </c>
      <c r="EH122" s="179">
        <f t="shared" si="347"/>
        <v>0</v>
      </c>
      <c r="EI122" s="9">
        <v>1167170</v>
      </c>
      <c r="EJ122" s="18" t="s">
        <v>238</v>
      </c>
      <c r="EK122" s="18" t="s">
        <v>238</v>
      </c>
      <c r="EL122" s="324">
        <f t="shared" ref="EL122:EL127" si="399">EI122+EJ122+EK122</f>
        <v>1167170</v>
      </c>
      <c r="EM122" s="321">
        <f t="shared" ref="EM122:EM127" si="400">EL122</f>
        <v>1167170</v>
      </c>
      <c r="EN122" s="179">
        <f t="shared" si="348"/>
        <v>0</v>
      </c>
      <c r="EO122" s="9">
        <v>1167170</v>
      </c>
      <c r="EP122" s="18" t="s">
        <v>238</v>
      </c>
      <c r="EQ122" s="18" t="s">
        <v>238</v>
      </c>
      <c r="ER122" s="324">
        <f t="shared" ref="ER122:ER127" si="401">EO122+EP122+EQ122</f>
        <v>1167170</v>
      </c>
      <c r="ES122" s="321">
        <f t="shared" ref="ES122:ES127" si="402">ER122</f>
        <v>1167170</v>
      </c>
      <c r="ET122" s="179">
        <f t="shared" si="349"/>
        <v>0</v>
      </c>
      <c r="EU122" s="9">
        <v>1167170</v>
      </c>
      <c r="EV122" s="18" t="s">
        <v>238</v>
      </c>
      <c r="EW122" s="18" t="s">
        <v>238</v>
      </c>
      <c r="EX122" s="324">
        <f t="shared" ref="EX122:EX127" si="403">EU122+EV122+EW122</f>
        <v>1167170</v>
      </c>
      <c r="EY122" s="321">
        <f t="shared" ref="EY122:EY127" si="404">EX122</f>
        <v>1167170</v>
      </c>
      <c r="EZ122" s="179">
        <f t="shared" si="350"/>
        <v>0</v>
      </c>
      <c r="FA122" s="9">
        <v>1167170</v>
      </c>
      <c r="FB122" s="18" t="s">
        <v>238</v>
      </c>
      <c r="FC122" s="18" t="s">
        <v>238</v>
      </c>
      <c r="FD122" s="101">
        <f t="shared" ref="FD122:FD127" si="405">FA122+FB122+FC122</f>
        <v>1167170</v>
      </c>
      <c r="FE122" s="218">
        <f t="shared" ref="FE122:FE127" si="406">FD122</f>
        <v>1167170</v>
      </c>
      <c r="FF122" s="135">
        <f t="shared" si="351"/>
        <v>0</v>
      </c>
      <c r="FG122" s="9">
        <v>1167170</v>
      </c>
      <c r="FH122" s="18" t="s">
        <v>238</v>
      </c>
      <c r="FI122" s="18" t="s">
        <v>238</v>
      </c>
      <c r="FJ122" s="324">
        <f t="shared" ref="FJ122:FJ127" si="407">FG122+FH122+FI122</f>
        <v>1167170</v>
      </c>
      <c r="FK122" s="321">
        <f t="shared" ref="FK122:FK127" si="408">FJ122</f>
        <v>1167170</v>
      </c>
      <c r="FL122" s="179">
        <f t="shared" si="352"/>
        <v>0</v>
      </c>
      <c r="FM122" s="9">
        <v>1167170</v>
      </c>
      <c r="FN122" s="18" t="s">
        <v>238</v>
      </c>
      <c r="FO122" s="18" t="s">
        <v>238</v>
      </c>
      <c r="FP122" s="324">
        <f t="shared" ref="FP122:FP127" si="409">FM122+FN122+FO122</f>
        <v>1167170</v>
      </c>
      <c r="FQ122" s="321">
        <f t="shared" ref="FQ122:FQ127" si="410">FP122</f>
        <v>1167170</v>
      </c>
      <c r="FR122" s="179">
        <f t="shared" si="353"/>
        <v>0</v>
      </c>
      <c r="FS122" s="9">
        <v>1167170</v>
      </c>
      <c r="FT122" s="18" t="s">
        <v>238</v>
      </c>
      <c r="FU122" s="18" t="s">
        <v>238</v>
      </c>
      <c r="FV122" s="324">
        <f t="shared" ref="FV122:FV127" si="411">FS122+FT122+FU122</f>
        <v>1167170</v>
      </c>
      <c r="FW122" s="321">
        <f t="shared" ref="FW122:FW127" si="412">FV122</f>
        <v>1167170</v>
      </c>
      <c r="FX122" s="179">
        <f t="shared" si="354"/>
        <v>0</v>
      </c>
      <c r="FY122" s="9">
        <v>1167170</v>
      </c>
      <c r="FZ122" s="18" t="s">
        <v>238</v>
      </c>
      <c r="GA122" s="18" t="s">
        <v>238</v>
      </c>
      <c r="GB122" s="324">
        <f t="shared" ref="GB122:GB127" si="413">FY122+FZ122+GA122</f>
        <v>1167170</v>
      </c>
      <c r="GC122" s="321">
        <f t="shared" ref="GC122:GC127" si="414">GB122</f>
        <v>1167170</v>
      </c>
      <c r="GD122" s="179">
        <f t="shared" si="355"/>
        <v>0</v>
      </c>
      <c r="GE122" s="9">
        <v>1167170</v>
      </c>
      <c r="GF122" s="18" t="s">
        <v>238</v>
      </c>
      <c r="GG122" s="18" t="s">
        <v>238</v>
      </c>
      <c r="GH122" s="324">
        <f t="shared" ref="GH122:GH127" si="415">GE122+GF122+GG122</f>
        <v>1167170</v>
      </c>
      <c r="GI122" s="321">
        <f t="shared" ref="GI122:GI127" si="416">GH122</f>
        <v>1167170</v>
      </c>
      <c r="GJ122" s="179">
        <f t="shared" si="356"/>
        <v>0</v>
      </c>
      <c r="GK122" s="9">
        <v>1167170</v>
      </c>
      <c r="GL122" s="18" t="s">
        <v>238</v>
      </c>
      <c r="GM122" s="18" t="s">
        <v>238</v>
      </c>
      <c r="GN122" s="56">
        <f t="shared" ref="GN122:GN127" si="417">GK122+GL122+GM122</f>
        <v>1167170</v>
      </c>
      <c r="GO122" s="321">
        <f t="shared" ref="GO122:GO127" si="418">GN122</f>
        <v>1167170</v>
      </c>
      <c r="GP122" s="179">
        <f t="shared" si="357"/>
        <v>0</v>
      </c>
      <c r="GQ122" s="22">
        <v>1167170</v>
      </c>
      <c r="GR122" s="18" t="s">
        <v>238</v>
      </c>
      <c r="GS122" s="18" t="s">
        <v>238</v>
      </c>
      <c r="GT122" s="324">
        <f t="shared" ref="GT122:GT127" si="419">GQ122+GR122+GS122</f>
        <v>1167170</v>
      </c>
      <c r="GU122" s="321">
        <f t="shared" ref="GU122:GU127" si="420">GT122</f>
        <v>1167170</v>
      </c>
      <c r="GV122" s="179">
        <f t="shared" si="358"/>
        <v>0</v>
      </c>
      <c r="GW122" s="22">
        <v>1225528</v>
      </c>
      <c r="GX122" s="18" t="s">
        <v>238</v>
      </c>
      <c r="GY122" s="18" t="s">
        <v>238</v>
      </c>
      <c r="GZ122" s="324">
        <f t="shared" ref="GZ122:GZ127" si="421">GW122+GX122+GY122</f>
        <v>1225528</v>
      </c>
      <c r="HA122" s="321">
        <f t="shared" ref="HA122:HA127" si="422">GZ122</f>
        <v>1225528</v>
      </c>
      <c r="HB122" s="179">
        <f t="shared" si="359"/>
        <v>58358</v>
      </c>
      <c r="HC122" s="102">
        <f t="shared" si="360"/>
        <v>8.299954385792549E-2</v>
      </c>
      <c r="HD122" s="285">
        <f t="shared" si="361"/>
        <v>0</v>
      </c>
      <c r="HE122" s="12">
        <f t="shared" si="362"/>
        <v>58358.5</v>
      </c>
      <c r="HF122" s="12">
        <f t="shared" si="363"/>
        <v>0.5</v>
      </c>
      <c r="HG122" s="12">
        <f t="shared" si="364"/>
        <v>58358</v>
      </c>
      <c r="HH122" s="14">
        <f t="shared" si="365"/>
        <v>58358</v>
      </c>
      <c r="HI122" s="13">
        <f t="shared" si="366"/>
        <v>1225528</v>
      </c>
      <c r="HJ122" s="102">
        <f t="shared" si="367"/>
        <v>8.7149485494928514E-2</v>
      </c>
      <c r="HK122" s="16">
        <f t="shared" si="368"/>
        <v>1167170</v>
      </c>
      <c r="HL122" s="103">
        <f t="shared" si="369"/>
        <v>1225528.5</v>
      </c>
      <c r="HM122" s="103">
        <f t="shared" si="370"/>
        <v>58358.5</v>
      </c>
      <c r="HN122" s="17">
        <f t="shared" si="371"/>
        <v>0.5</v>
      </c>
      <c r="HO122" s="56">
        <f t="shared" si="372"/>
        <v>58358</v>
      </c>
      <c r="HP122" s="16">
        <f t="shared" si="373"/>
        <v>0</v>
      </c>
      <c r="HQ122" s="16">
        <f t="shared" si="374"/>
        <v>1225528</v>
      </c>
      <c r="HR122" s="16">
        <f t="shared" si="375"/>
        <v>0</v>
      </c>
    </row>
    <row r="123" spans="1:226" ht="10.8" thickBot="1" x14ac:dyDescent="0.35">
      <c r="A123" s="145">
        <v>6</v>
      </c>
      <c r="B123" s="303" t="s">
        <v>69</v>
      </c>
      <c r="C123" s="312" t="s">
        <v>252</v>
      </c>
      <c r="D123" s="261" t="s">
        <v>70</v>
      </c>
      <c r="E123" s="27">
        <v>0</v>
      </c>
      <c r="F123" s="9">
        <v>3465000</v>
      </c>
      <c r="G123" s="9">
        <v>0</v>
      </c>
      <c r="H123" s="324"/>
      <c r="I123" s="324">
        <v>3465000</v>
      </c>
      <c r="J123" s="324">
        <v>3465000</v>
      </c>
      <c r="K123" s="324"/>
      <c r="L123" s="324">
        <v>3465000</v>
      </c>
      <c r="M123" s="23">
        <v>3465000</v>
      </c>
      <c r="N123" s="23">
        <v>3465000</v>
      </c>
      <c r="O123" s="298">
        <v>3465000</v>
      </c>
      <c r="P123" s="298">
        <v>3465000</v>
      </c>
      <c r="Q123" s="298">
        <v>3465000</v>
      </c>
      <c r="R123" s="298">
        <v>3465000</v>
      </c>
      <c r="S123" s="298">
        <v>3465000</v>
      </c>
      <c r="T123" s="298">
        <v>3465000</v>
      </c>
      <c r="U123" s="298">
        <f>T123*5%</f>
        <v>173250</v>
      </c>
      <c r="V123" s="298">
        <f>T123+U123</f>
        <v>3638250</v>
      </c>
      <c r="W123" s="298">
        <v>3638250</v>
      </c>
      <c r="X123" s="298">
        <v>3638250</v>
      </c>
      <c r="Y123" s="298">
        <v>3638250</v>
      </c>
      <c r="Z123" s="298">
        <v>3638250</v>
      </c>
      <c r="AA123" s="298">
        <v>3638250</v>
      </c>
      <c r="AB123" s="298">
        <v>3638250</v>
      </c>
      <c r="AC123" s="9">
        <v>0</v>
      </c>
      <c r="AD123" s="9">
        <v>0</v>
      </c>
      <c r="AE123" s="298">
        <f>AD123+AC123+AB123</f>
        <v>3638250</v>
      </c>
      <c r="AF123" s="298">
        <v>3638250</v>
      </c>
      <c r="AG123" s="9">
        <v>0</v>
      </c>
      <c r="AH123" s="9">
        <v>0</v>
      </c>
      <c r="AI123" s="298">
        <f>AH123+AG123+AF123</f>
        <v>3638250</v>
      </c>
      <c r="AJ123" s="298">
        <v>3638250</v>
      </c>
      <c r="AK123" s="9">
        <v>0</v>
      </c>
      <c r="AL123" s="9">
        <v>0</v>
      </c>
      <c r="AM123" s="298">
        <f>AL123+AK123+AJ123</f>
        <v>3638250</v>
      </c>
      <c r="AN123" s="298">
        <v>3638250</v>
      </c>
      <c r="AO123" s="9">
        <v>0</v>
      </c>
      <c r="AP123" s="9">
        <v>0</v>
      </c>
      <c r="AQ123" s="298">
        <f>AP123+AO123+AN123</f>
        <v>3638250</v>
      </c>
      <c r="AR123" s="298">
        <v>3638250</v>
      </c>
      <c r="AS123" s="9">
        <v>0</v>
      </c>
      <c r="AT123" s="9">
        <v>0</v>
      </c>
      <c r="AU123" s="298">
        <f t="shared" si="320"/>
        <v>3638250</v>
      </c>
      <c r="AV123" s="298">
        <v>3638250</v>
      </c>
      <c r="AW123" s="9">
        <v>0</v>
      </c>
      <c r="AX123" s="9">
        <v>0</v>
      </c>
      <c r="AY123" s="298">
        <f t="shared" si="321"/>
        <v>3638250</v>
      </c>
      <c r="AZ123" s="8">
        <f t="shared" si="380"/>
        <v>181912.5</v>
      </c>
      <c r="BA123" s="8">
        <v>0.5</v>
      </c>
      <c r="BB123" s="8">
        <f t="shared" si="381"/>
        <v>181912</v>
      </c>
      <c r="BC123" s="8">
        <f t="shared" si="382"/>
        <v>3820162</v>
      </c>
      <c r="BD123" s="8"/>
      <c r="BE123" s="8">
        <f t="shared" si="383"/>
        <v>3820162</v>
      </c>
      <c r="BF123" s="10">
        <f t="shared" si="384"/>
        <v>181912</v>
      </c>
      <c r="BG123" s="11">
        <f t="shared" si="385"/>
        <v>0</v>
      </c>
      <c r="BH123" s="319">
        <v>3820162</v>
      </c>
      <c r="BI123" s="319">
        <v>0</v>
      </c>
      <c r="BJ123" s="319">
        <v>0</v>
      </c>
      <c r="BK123" s="319">
        <f t="shared" si="322"/>
        <v>3820162</v>
      </c>
      <c r="BL123" s="319">
        <v>3820162</v>
      </c>
      <c r="BM123" s="319">
        <v>0</v>
      </c>
      <c r="BN123" s="319">
        <v>0</v>
      </c>
      <c r="BO123" s="319">
        <f t="shared" si="323"/>
        <v>3820162</v>
      </c>
      <c r="BP123" s="319">
        <f t="shared" si="324"/>
        <v>0</v>
      </c>
      <c r="BQ123" s="319">
        <v>3820162</v>
      </c>
      <c r="BR123" s="319">
        <v>0</v>
      </c>
      <c r="BS123" s="319">
        <v>0</v>
      </c>
      <c r="BT123" s="319">
        <f t="shared" si="325"/>
        <v>3820162</v>
      </c>
      <c r="BU123" s="319">
        <f t="shared" si="326"/>
        <v>0</v>
      </c>
      <c r="BV123" s="319">
        <v>3820162</v>
      </c>
      <c r="BW123" s="319">
        <v>0</v>
      </c>
      <c r="BX123" s="319">
        <v>0</v>
      </c>
      <c r="BY123" s="319">
        <f t="shared" si="327"/>
        <v>3820162</v>
      </c>
      <c r="BZ123" s="319">
        <f t="shared" si="328"/>
        <v>0</v>
      </c>
      <c r="CA123" s="319">
        <v>3820162</v>
      </c>
      <c r="CB123" s="319">
        <v>0</v>
      </c>
      <c r="CC123" s="319">
        <v>0</v>
      </c>
      <c r="CD123" s="319">
        <f t="shared" si="329"/>
        <v>3820162</v>
      </c>
      <c r="CE123" s="319">
        <f t="shared" si="330"/>
        <v>0</v>
      </c>
      <c r="CF123" s="319">
        <v>3820162</v>
      </c>
      <c r="CG123" s="319">
        <v>0</v>
      </c>
      <c r="CH123" s="319">
        <v>0</v>
      </c>
      <c r="CI123" s="319">
        <f t="shared" si="331"/>
        <v>3820162</v>
      </c>
      <c r="CJ123" s="319">
        <f t="shared" si="332"/>
        <v>0</v>
      </c>
      <c r="CK123" s="319">
        <v>3820162</v>
      </c>
      <c r="CL123" s="319">
        <v>0</v>
      </c>
      <c r="CM123" s="319">
        <v>0</v>
      </c>
      <c r="CN123" s="319">
        <f t="shared" si="333"/>
        <v>3820162</v>
      </c>
      <c r="CO123" s="319">
        <f t="shared" si="334"/>
        <v>0</v>
      </c>
      <c r="CP123" s="319">
        <v>3820162</v>
      </c>
      <c r="CQ123" s="319">
        <v>0</v>
      </c>
      <c r="CR123" s="29">
        <v>0</v>
      </c>
      <c r="CS123" s="40">
        <f t="shared" si="335"/>
        <v>3820162</v>
      </c>
      <c r="CT123" s="57">
        <f t="shared" si="336"/>
        <v>0</v>
      </c>
      <c r="CU123" s="319">
        <v>3820162</v>
      </c>
      <c r="CV123" s="319">
        <v>0</v>
      </c>
      <c r="CW123" s="29">
        <v>0</v>
      </c>
      <c r="CX123" s="40">
        <f t="shared" si="337"/>
        <v>3820162</v>
      </c>
      <c r="CY123" s="57">
        <f t="shared" si="338"/>
        <v>0</v>
      </c>
      <c r="CZ123" s="57"/>
      <c r="DA123" s="57"/>
      <c r="DB123" s="57"/>
      <c r="DC123" s="12">
        <f t="shared" si="386"/>
        <v>382016.2</v>
      </c>
      <c r="DD123" s="12">
        <v>0.2</v>
      </c>
      <c r="DE123" s="13">
        <f t="shared" si="387"/>
        <v>382016</v>
      </c>
      <c r="DF123" s="14">
        <f t="shared" si="339"/>
        <v>382016</v>
      </c>
      <c r="DG123" s="13">
        <f t="shared" si="340"/>
        <v>4202178</v>
      </c>
      <c r="DH123" s="15">
        <f t="shared" si="341"/>
        <v>0.29882439902475078</v>
      </c>
      <c r="DI123" s="16">
        <f t="shared" si="342"/>
        <v>3820162</v>
      </c>
      <c r="DJ123" s="132">
        <f t="shared" si="388"/>
        <v>4202178.2</v>
      </c>
      <c r="DK123" s="17">
        <f t="shared" si="389"/>
        <v>382016.20000000019</v>
      </c>
      <c r="DL123" s="17">
        <f t="shared" si="343"/>
        <v>0.2</v>
      </c>
      <c r="DM123" s="16">
        <f t="shared" si="390"/>
        <v>382016.00000000017</v>
      </c>
      <c r="DN123" s="16">
        <f t="shared" si="344"/>
        <v>0</v>
      </c>
      <c r="DO123" s="16">
        <f t="shared" si="391"/>
        <v>4202178</v>
      </c>
      <c r="DP123" s="16">
        <f t="shared" si="345"/>
        <v>0</v>
      </c>
      <c r="DQ123" s="9">
        <v>4202178</v>
      </c>
      <c r="DR123" s="18" t="s">
        <v>238</v>
      </c>
      <c r="DS123" s="18" t="s">
        <v>238</v>
      </c>
      <c r="DT123" s="324">
        <f t="shared" si="392"/>
        <v>4202178</v>
      </c>
      <c r="DU123" s="321">
        <f t="shared" si="393"/>
        <v>4202178</v>
      </c>
      <c r="DV123" s="19">
        <f t="shared" si="394"/>
        <v>0</v>
      </c>
      <c r="DW123" s="9">
        <v>4202178</v>
      </c>
      <c r="DX123" s="18"/>
      <c r="DY123" s="18"/>
      <c r="DZ123" s="324">
        <f t="shared" si="395"/>
        <v>4202178</v>
      </c>
      <c r="EA123" s="321">
        <f t="shared" si="396"/>
        <v>4202178</v>
      </c>
      <c r="EB123" s="179">
        <f t="shared" si="346"/>
        <v>0</v>
      </c>
      <c r="EC123" s="9">
        <v>4202178</v>
      </c>
      <c r="ED123" s="18" t="s">
        <v>238</v>
      </c>
      <c r="EE123" s="18" t="s">
        <v>238</v>
      </c>
      <c r="EF123" s="324">
        <f t="shared" si="397"/>
        <v>4202178</v>
      </c>
      <c r="EG123" s="321">
        <f t="shared" si="398"/>
        <v>4202178</v>
      </c>
      <c r="EH123" s="179">
        <f t="shared" si="347"/>
        <v>0</v>
      </c>
      <c r="EI123" s="9">
        <v>4202178</v>
      </c>
      <c r="EJ123" s="18" t="s">
        <v>238</v>
      </c>
      <c r="EK123" s="18" t="s">
        <v>238</v>
      </c>
      <c r="EL123" s="324">
        <f t="shared" si="399"/>
        <v>4202178</v>
      </c>
      <c r="EM123" s="321">
        <f t="shared" si="400"/>
        <v>4202178</v>
      </c>
      <c r="EN123" s="179">
        <f t="shared" si="348"/>
        <v>0</v>
      </c>
      <c r="EO123" s="9">
        <v>4202178</v>
      </c>
      <c r="EP123" s="18" t="s">
        <v>238</v>
      </c>
      <c r="EQ123" s="18" t="s">
        <v>238</v>
      </c>
      <c r="ER123" s="324">
        <f t="shared" si="401"/>
        <v>4202178</v>
      </c>
      <c r="ES123" s="321">
        <f t="shared" si="402"/>
        <v>4202178</v>
      </c>
      <c r="ET123" s="179">
        <f t="shared" si="349"/>
        <v>0</v>
      </c>
      <c r="EU123" s="9">
        <v>4202178</v>
      </c>
      <c r="EV123" s="18" t="s">
        <v>238</v>
      </c>
      <c r="EW123" s="18" t="s">
        <v>238</v>
      </c>
      <c r="EX123" s="324">
        <f t="shared" si="403"/>
        <v>4202178</v>
      </c>
      <c r="EY123" s="321">
        <f t="shared" si="404"/>
        <v>4202178</v>
      </c>
      <c r="EZ123" s="179">
        <f t="shared" si="350"/>
        <v>0</v>
      </c>
      <c r="FA123" s="9">
        <v>4202178</v>
      </c>
      <c r="FB123" s="18" t="s">
        <v>238</v>
      </c>
      <c r="FC123" s="18" t="s">
        <v>238</v>
      </c>
      <c r="FD123" s="101">
        <f t="shared" si="405"/>
        <v>4202178</v>
      </c>
      <c r="FE123" s="138">
        <f t="shared" si="406"/>
        <v>4202178</v>
      </c>
      <c r="FF123" s="135">
        <f t="shared" si="351"/>
        <v>0</v>
      </c>
      <c r="FG123" s="9">
        <v>4202178</v>
      </c>
      <c r="FH123" s="18" t="s">
        <v>238</v>
      </c>
      <c r="FI123" s="18" t="s">
        <v>238</v>
      </c>
      <c r="FJ123" s="324">
        <f t="shared" si="407"/>
        <v>4202178</v>
      </c>
      <c r="FK123" s="321">
        <f t="shared" si="408"/>
        <v>4202178</v>
      </c>
      <c r="FL123" s="179">
        <f t="shared" si="352"/>
        <v>0</v>
      </c>
      <c r="FM123" s="9">
        <v>4202178</v>
      </c>
      <c r="FN123" s="18" t="s">
        <v>238</v>
      </c>
      <c r="FO123" s="18" t="s">
        <v>238</v>
      </c>
      <c r="FP123" s="324">
        <f t="shared" si="409"/>
        <v>4202178</v>
      </c>
      <c r="FQ123" s="321">
        <f t="shared" si="410"/>
        <v>4202178</v>
      </c>
      <c r="FR123" s="179">
        <f t="shared" si="353"/>
        <v>0</v>
      </c>
      <c r="FS123" s="9">
        <v>4202178</v>
      </c>
      <c r="FT123" s="18" t="s">
        <v>238</v>
      </c>
      <c r="FU123" s="18" t="s">
        <v>238</v>
      </c>
      <c r="FV123" s="324">
        <f t="shared" si="411"/>
        <v>4202178</v>
      </c>
      <c r="FW123" s="321">
        <f t="shared" si="412"/>
        <v>4202178</v>
      </c>
      <c r="FX123" s="179">
        <f t="shared" si="354"/>
        <v>0</v>
      </c>
      <c r="FY123" s="9">
        <v>4202178</v>
      </c>
      <c r="FZ123" s="18" t="s">
        <v>238</v>
      </c>
      <c r="GA123" s="18" t="s">
        <v>238</v>
      </c>
      <c r="GB123" s="324">
        <f t="shared" si="413"/>
        <v>4202178</v>
      </c>
      <c r="GC123" s="321">
        <f t="shared" si="414"/>
        <v>4202178</v>
      </c>
      <c r="GD123" s="179">
        <f t="shared" si="355"/>
        <v>0</v>
      </c>
      <c r="GE123" s="9">
        <v>4202178</v>
      </c>
      <c r="GF123" s="18" t="s">
        <v>238</v>
      </c>
      <c r="GG123" s="18" t="s">
        <v>238</v>
      </c>
      <c r="GH123" s="324">
        <f t="shared" si="415"/>
        <v>4202178</v>
      </c>
      <c r="GI123" s="321">
        <f t="shared" si="416"/>
        <v>4202178</v>
      </c>
      <c r="GJ123" s="179">
        <f t="shared" si="356"/>
        <v>0</v>
      </c>
      <c r="GK123" s="9">
        <v>4202178</v>
      </c>
      <c r="GL123" s="18" t="s">
        <v>238</v>
      </c>
      <c r="GM123" s="18" t="s">
        <v>238</v>
      </c>
      <c r="GN123" s="56">
        <f t="shared" si="417"/>
        <v>4202178</v>
      </c>
      <c r="GO123" s="321">
        <f t="shared" si="418"/>
        <v>4202178</v>
      </c>
      <c r="GP123" s="179">
        <f t="shared" si="357"/>
        <v>0</v>
      </c>
      <c r="GQ123" s="9">
        <v>4202178</v>
      </c>
      <c r="GR123" s="18" t="s">
        <v>238</v>
      </c>
      <c r="GS123" s="18" t="s">
        <v>238</v>
      </c>
      <c r="GT123" s="324">
        <f t="shared" si="419"/>
        <v>4202178</v>
      </c>
      <c r="GU123" s="321">
        <f t="shared" si="420"/>
        <v>4202178</v>
      </c>
      <c r="GV123" s="179">
        <f t="shared" si="358"/>
        <v>0</v>
      </c>
      <c r="GW123" s="9">
        <v>4412286</v>
      </c>
      <c r="GX123" s="18" t="s">
        <v>238</v>
      </c>
      <c r="GY123" s="18" t="s">
        <v>238</v>
      </c>
      <c r="GZ123" s="324">
        <f t="shared" si="421"/>
        <v>4412286</v>
      </c>
      <c r="HA123" s="321">
        <f t="shared" si="422"/>
        <v>4412286</v>
      </c>
      <c r="HB123" s="179">
        <f t="shared" si="359"/>
        <v>210108</v>
      </c>
      <c r="HC123" s="102">
        <f t="shared" si="360"/>
        <v>0.29882438480239348</v>
      </c>
      <c r="HD123" s="285">
        <f t="shared" si="361"/>
        <v>-3.4924596548080444E-10</v>
      </c>
      <c r="HE123" s="12">
        <f t="shared" si="362"/>
        <v>210108.90000000002</v>
      </c>
      <c r="HF123" s="12">
        <f t="shared" si="363"/>
        <v>0.90000000002328306</v>
      </c>
      <c r="HG123" s="12">
        <f t="shared" si="364"/>
        <v>210108</v>
      </c>
      <c r="HH123" s="14">
        <f t="shared" si="365"/>
        <v>210108</v>
      </c>
      <c r="HI123" s="13">
        <f t="shared" si="366"/>
        <v>4412286</v>
      </c>
      <c r="HJ123" s="102">
        <f t="shared" si="367"/>
        <v>0.31376554004190532</v>
      </c>
      <c r="HK123" s="16">
        <f t="shared" si="368"/>
        <v>4202178</v>
      </c>
      <c r="HL123" s="103">
        <f t="shared" si="369"/>
        <v>4412286.9000000004</v>
      </c>
      <c r="HM123" s="103">
        <f t="shared" si="370"/>
        <v>210108.90000000037</v>
      </c>
      <c r="HN123" s="17">
        <f t="shared" si="371"/>
        <v>0.90000000002328306</v>
      </c>
      <c r="HO123" s="56">
        <f t="shared" si="372"/>
        <v>210108.00000000035</v>
      </c>
      <c r="HP123" s="16">
        <f t="shared" si="373"/>
        <v>3.4924596548080444E-10</v>
      </c>
      <c r="HQ123" s="16">
        <f t="shared" si="374"/>
        <v>4412286</v>
      </c>
      <c r="HR123" s="16">
        <f t="shared" si="375"/>
        <v>0</v>
      </c>
    </row>
    <row r="124" spans="1:226" x14ac:dyDescent="0.3">
      <c r="A124" s="145">
        <v>3</v>
      </c>
      <c r="B124" s="104" t="s">
        <v>62</v>
      </c>
      <c r="C124" s="310" t="s">
        <v>251</v>
      </c>
      <c r="D124" s="259" t="s">
        <v>63</v>
      </c>
      <c r="E124" s="27">
        <v>0</v>
      </c>
      <c r="F124" s="9">
        <v>3187800</v>
      </c>
      <c r="G124" s="9">
        <v>0</v>
      </c>
      <c r="H124" s="324"/>
      <c r="I124" s="324">
        <v>3187800</v>
      </c>
      <c r="J124" s="324">
        <v>3187800</v>
      </c>
      <c r="K124" s="324"/>
      <c r="L124" s="324">
        <v>3187800</v>
      </c>
      <c r="M124" s="23">
        <v>3187800</v>
      </c>
      <c r="N124" s="23">
        <v>3187800</v>
      </c>
      <c r="O124" s="298">
        <v>3187800</v>
      </c>
      <c r="P124" s="298">
        <v>3187800</v>
      </c>
      <c r="Q124" s="298">
        <v>3187800</v>
      </c>
      <c r="R124" s="298">
        <v>3187800</v>
      </c>
      <c r="S124" s="298">
        <v>3187800</v>
      </c>
      <c r="T124" s="298">
        <v>3187800</v>
      </c>
      <c r="U124" s="298">
        <f t="shared" si="376"/>
        <v>159390</v>
      </c>
      <c r="V124" s="298">
        <f t="shared" si="377"/>
        <v>3347190</v>
      </c>
      <c r="W124" s="298">
        <v>3347190</v>
      </c>
      <c r="X124" s="298">
        <v>3347190</v>
      </c>
      <c r="Y124" s="298">
        <v>3347190</v>
      </c>
      <c r="Z124" s="298">
        <v>3347190</v>
      </c>
      <c r="AA124" s="298">
        <v>3347190</v>
      </c>
      <c r="AB124" s="298">
        <v>3347190</v>
      </c>
      <c r="AC124" s="9">
        <v>0</v>
      </c>
      <c r="AD124" s="9">
        <v>0</v>
      </c>
      <c r="AE124" s="298">
        <f t="shared" si="378"/>
        <v>3347190</v>
      </c>
      <c r="AF124" s="298">
        <v>3347190</v>
      </c>
      <c r="AG124" s="9">
        <v>0</v>
      </c>
      <c r="AH124" s="9">
        <v>0</v>
      </c>
      <c r="AI124" s="298">
        <f t="shared" si="379"/>
        <v>3347190</v>
      </c>
      <c r="AJ124" s="298">
        <v>3347190</v>
      </c>
      <c r="AK124" s="9">
        <v>0</v>
      </c>
      <c r="AL124" s="9">
        <v>0</v>
      </c>
      <c r="AM124" s="298">
        <f t="shared" si="318"/>
        <v>3347190</v>
      </c>
      <c r="AN124" s="298">
        <v>3347190</v>
      </c>
      <c r="AO124" s="9">
        <v>0</v>
      </c>
      <c r="AP124" s="9">
        <v>0</v>
      </c>
      <c r="AQ124" s="298">
        <f t="shared" si="319"/>
        <v>3347190</v>
      </c>
      <c r="AR124" s="298">
        <v>3347190</v>
      </c>
      <c r="AS124" s="9">
        <v>0</v>
      </c>
      <c r="AT124" s="9">
        <v>0</v>
      </c>
      <c r="AU124" s="298">
        <f t="shared" si="320"/>
        <v>3347190</v>
      </c>
      <c r="AV124" s="298">
        <v>3347190</v>
      </c>
      <c r="AW124" s="9">
        <v>0</v>
      </c>
      <c r="AX124" s="9">
        <v>0</v>
      </c>
      <c r="AY124" s="298">
        <f t="shared" si="321"/>
        <v>3347190</v>
      </c>
      <c r="AZ124" s="8">
        <f t="shared" si="380"/>
        <v>167359.5</v>
      </c>
      <c r="BA124" s="8">
        <v>0.5</v>
      </c>
      <c r="BB124" s="8">
        <f t="shared" si="381"/>
        <v>167359</v>
      </c>
      <c r="BC124" s="8">
        <f t="shared" si="382"/>
        <v>3514549</v>
      </c>
      <c r="BD124" s="8"/>
      <c r="BE124" s="8">
        <f t="shared" si="383"/>
        <v>3514549</v>
      </c>
      <c r="BF124" s="10">
        <f t="shared" si="384"/>
        <v>167359</v>
      </c>
      <c r="BG124" s="11">
        <f t="shared" si="385"/>
        <v>0</v>
      </c>
      <c r="BH124" s="319">
        <v>3514549</v>
      </c>
      <c r="BI124" s="319">
        <v>0</v>
      </c>
      <c r="BJ124" s="319">
        <v>0</v>
      </c>
      <c r="BK124" s="319">
        <f t="shared" si="322"/>
        <v>3514549</v>
      </c>
      <c r="BL124" s="319">
        <v>3514549</v>
      </c>
      <c r="BM124" s="319">
        <v>0</v>
      </c>
      <c r="BN124" s="319">
        <v>0</v>
      </c>
      <c r="BO124" s="319">
        <f t="shared" si="323"/>
        <v>3514549</v>
      </c>
      <c r="BP124" s="319">
        <f t="shared" si="324"/>
        <v>0</v>
      </c>
      <c r="BQ124" s="319">
        <v>3514549</v>
      </c>
      <c r="BR124" s="319">
        <v>0</v>
      </c>
      <c r="BS124" s="319">
        <v>0</v>
      </c>
      <c r="BT124" s="319">
        <f t="shared" si="325"/>
        <v>3514549</v>
      </c>
      <c r="BU124" s="319">
        <f t="shared" si="326"/>
        <v>0</v>
      </c>
      <c r="BV124" s="319">
        <v>3514549</v>
      </c>
      <c r="BW124" s="319">
        <v>0</v>
      </c>
      <c r="BX124" s="319">
        <v>0</v>
      </c>
      <c r="BY124" s="319">
        <f t="shared" si="327"/>
        <v>3514549</v>
      </c>
      <c r="BZ124" s="319">
        <f t="shared" si="328"/>
        <v>0</v>
      </c>
      <c r="CA124" s="319">
        <v>3514549</v>
      </c>
      <c r="CB124" s="319">
        <v>0</v>
      </c>
      <c r="CC124" s="319">
        <v>0</v>
      </c>
      <c r="CD124" s="319">
        <f t="shared" si="329"/>
        <v>3514549</v>
      </c>
      <c r="CE124" s="319">
        <f t="shared" si="330"/>
        <v>0</v>
      </c>
      <c r="CF124" s="319">
        <v>3514549</v>
      </c>
      <c r="CG124" s="319">
        <v>0</v>
      </c>
      <c r="CH124" s="319">
        <v>0</v>
      </c>
      <c r="CI124" s="319">
        <f t="shared" si="331"/>
        <v>3514549</v>
      </c>
      <c r="CJ124" s="319">
        <f t="shared" si="332"/>
        <v>0</v>
      </c>
      <c r="CK124" s="319">
        <v>3514549</v>
      </c>
      <c r="CL124" s="319">
        <v>0</v>
      </c>
      <c r="CM124" s="319">
        <v>0</v>
      </c>
      <c r="CN124" s="319">
        <f t="shared" si="333"/>
        <v>3514549</v>
      </c>
      <c r="CO124" s="319">
        <f t="shared" si="334"/>
        <v>0</v>
      </c>
      <c r="CP124" s="319">
        <v>3514549</v>
      </c>
      <c r="CQ124" s="319">
        <v>0</v>
      </c>
      <c r="CR124" s="319">
        <v>0</v>
      </c>
      <c r="CS124" s="320">
        <f t="shared" si="335"/>
        <v>3514549</v>
      </c>
      <c r="CT124" s="319">
        <f t="shared" si="336"/>
        <v>0</v>
      </c>
      <c r="CU124" s="319">
        <v>3514549</v>
      </c>
      <c r="CV124" s="319">
        <v>0</v>
      </c>
      <c r="CW124" s="319">
        <v>0</v>
      </c>
      <c r="CX124" s="320">
        <f t="shared" si="337"/>
        <v>3514549</v>
      </c>
      <c r="CY124" s="319">
        <f t="shared" si="338"/>
        <v>0</v>
      </c>
      <c r="CZ124" s="319"/>
      <c r="DA124" s="319"/>
      <c r="DB124" s="319"/>
      <c r="DC124" s="12">
        <f t="shared" si="386"/>
        <v>351454.9</v>
      </c>
      <c r="DD124" s="12">
        <v>0.9</v>
      </c>
      <c r="DE124" s="13">
        <f t="shared" si="387"/>
        <v>351454</v>
      </c>
      <c r="DF124" s="14">
        <f t="shared" si="339"/>
        <v>351454</v>
      </c>
      <c r="DG124" s="13">
        <f t="shared" si="340"/>
        <v>3866003</v>
      </c>
      <c r="DH124" s="15">
        <f t="shared" si="341"/>
        <v>0.27491844397385212</v>
      </c>
      <c r="DI124" s="16">
        <f t="shared" si="342"/>
        <v>3514549</v>
      </c>
      <c r="DJ124" s="132">
        <f t="shared" si="388"/>
        <v>3866003.9000000004</v>
      </c>
      <c r="DK124" s="17">
        <f t="shared" si="389"/>
        <v>351454.90000000037</v>
      </c>
      <c r="DL124" s="17">
        <f t="shared" si="343"/>
        <v>0.9</v>
      </c>
      <c r="DM124" s="16">
        <f t="shared" si="390"/>
        <v>351454.00000000035</v>
      </c>
      <c r="DN124" s="16">
        <f t="shared" si="344"/>
        <v>0</v>
      </c>
      <c r="DO124" s="16">
        <f t="shared" si="391"/>
        <v>3866003.0000000005</v>
      </c>
      <c r="DP124" s="16">
        <f t="shared" si="345"/>
        <v>0</v>
      </c>
      <c r="DQ124" s="9">
        <v>3866003</v>
      </c>
      <c r="DR124" s="18" t="s">
        <v>238</v>
      </c>
      <c r="DS124" s="18" t="s">
        <v>238</v>
      </c>
      <c r="DT124" s="324">
        <f t="shared" si="392"/>
        <v>3866003</v>
      </c>
      <c r="DU124" s="321">
        <f t="shared" si="393"/>
        <v>3866003</v>
      </c>
      <c r="DV124" s="19">
        <f t="shared" si="394"/>
        <v>0</v>
      </c>
      <c r="DW124" s="9">
        <v>3866003</v>
      </c>
      <c r="DX124" s="18"/>
      <c r="DY124" s="18"/>
      <c r="DZ124" s="324">
        <f t="shared" si="395"/>
        <v>3866003</v>
      </c>
      <c r="EA124" s="321">
        <f t="shared" si="396"/>
        <v>3866003</v>
      </c>
      <c r="EB124" s="179">
        <f t="shared" si="346"/>
        <v>0</v>
      </c>
      <c r="EC124" s="9">
        <v>3866003</v>
      </c>
      <c r="ED124" s="18" t="s">
        <v>238</v>
      </c>
      <c r="EE124" s="18" t="s">
        <v>238</v>
      </c>
      <c r="EF124" s="324">
        <f t="shared" si="397"/>
        <v>3866003</v>
      </c>
      <c r="EG124" s="321">
        <f t="shared" si="398"/>
        <v>3866003</v>
      </c>
      <c r="EH124" s="179">
        <f t="shared" si="347"/>
        <v>0</v>
      </c>
      <c r="EI124" s="9">
        <v>3866003</v>
      </c>
      <c r="EJ124" s="18" t="s">
        <v>238</v>
      </c>
      <c r="EK124" s="18" t="s">
        <v>238</v>
      </c>
      <c r="EL124" s="324">
        <f t="shared" si="399"/>
        <v>3866003</v>
      </c>
      <c r="EM124" s="321">
        <f t="shared" si="400"/>
        <v>3866003</v>
      </c>
      <c r="EN124" s="179">
        <f t="shared" si="348"/>
        <v>0</v>
      </c>
      <c r="EO124" s="9">
        <v>3866003</v>
      </c>
      <c r="EP124" s="18" t="s">
        <v>238</v>
      </c>
      <c r="EQ124" s="18" t="s">
        <v>238</v>
      </c>
      <c r="ER124" s="324">
        <f t="shared" si="401"/>
        <v>3866003</v>
      </c>
      <c r="ES124" s="321">
        <f t="shared" si="402"/>
        <v>3866003</v>
      </c>
      <c r="ET124" s="179">
        <f t="shared" si="349"/>
        <v>0</v>
      </c>
      <c r="EU124" s="9">
        <v>3866003</v>
      </c>
      <c r="EV124" s="18" t="s">
        <v>238</v>
      </c>
      <c r="EW124" s="18" t="s">
        <v>238</v>
      </c>
      <c r="EX124" s="324">
        <f t="shared" si="403"/>
        <v>3866003</v>
      </c>
      <c r="EY124" s="321">
        <f t="shared" si="404"/>
        <v>3866003</v>
      </c>
      <c r="EZ124" s="179">
        <f t="shared" si="350"/>
        <v>0</v>
      </c>
      <c r="FA124" s="9">
        <v>3866003</v>
      </c>
      <c r="FB124" s="18" t="s">
        <v>238</v>
      </c>
      <c r="FC124" s="18" t="s">
        <v>238</v>
      </c>
      <c r="FD124" s="324">
        <f t="shared" si="405"/>
        <v>3866003</v>
      </c>
      <c r="FE124" s="317">
        <f t="shared" si="406"/>
        <v>3866003</v>
      </c>
      <c r="FF124" s="179">
        <f t="shared" si="351"/>
        <v>0</v>
      </c>
      <c r="FG124" s="9">
        <v>3866003</v>
      </c>
      <c r="FH124" s="18" t="s">
        <v>238</v>
      </c>
      <c r="FI124" s="18" t="s">
        <v>238</v>
      </c>
      <c r="FJ124" s="324">
        <f t="shared" si="407"/>
        <v>3866003</v>
      </c>
      <c r="FK124" s="321">
        <f t="shared" si="408"/>
        <v>3866003</v>
      </c>
      <c r="FL124" s="179">
        <f t="shared" si="352"/>
        <v>0</v>
      </c>
      <c r="FM124" s="9">
        <v>3866003</v>
      </c>
      <c r="FN124" s="18" t="s">
        <v>238</v>
      </c>
      <c r="FO124" s="18" t="s">
        <v>238</v>
      </c>
      <c r="FP124" s="324">
        <f t="shared" si="409"/>
        <v>3866003</v>
      </c>
      <c r="FQ124" s="321">
        <f t="shared" si="410"/>
        <v>3866003</v>
      </c>
      <c r="FR124" s="179">
        <f t="shared" si="353"/>
        <v>0</v>
      </c>
      <c r="FS124" s="9">
        <v>3866003</v>
      </c>
      <c r="FT124" s="18" t="s">
        <v>238</v>
      </c>
      <c r="FU124" s="18" t="s">
        <v>238</v>
      </c>
      <c r="FV124" s="324">
        <f t="shared" si="411"/>
        <v>3866003</v>
      </c>
      <c r="FW124" s="321">
        <f t="shared" si="412"/>
        <v>3866003</v>
      </c>
      <c r="FX124" s="179">
        <f t="shared" si="354"/>
        <v>0</v>
      </c>
      <c r="FY124" s="9">
        <v>3866003</v>
      </c>
      <c r="FZ124" s="18" t="s">
        <v>238</v>
      </c>
      <c r="GA124" s="18" t="s">
        <v>238</v>
      </c>
      <c r="GB124" s="324">
        <f t="shared" si="413"/>
        <v>3866003</v>
      </c>
      <c r="GC124" s="321">
        <f t="shared" si="414"/>
        <v>3866003</v>
      </c>
      <c r="GD124" s="179">
        <f t="shared" si="355"/>
        <v>0</v>
      </c>
      <c r="GE124" s="9">
        <v>3866003</v>
      </c>
      <c r="GF124" s="18" t="s">
        <v>238</v>
      </c>
      <c r="GG124" s="18" t="s">
        <v>238</v>
      </c>
      <c r="GH124" s="324">
        <f t="shared" si="415"/>
        <v>3866003</v>
      </c>
      <c r="GI124" s="321">
        <f t="shared" si="416"/>
        <v>3866003</v>
      </c>
      <c r="GJ124" s="179">
        <f t="shared" si="356"/>
        <v>0</v>
      </c>
      <c r="GK124" s="9">
        <v>3866003</v>
      </c>
      <c r="GL124" s="18" t="s">
        <v>238</v>
      </c>
      <c r="GM124" s="18" t="s">
        <v>238</v>
      </c>
      <c r="GN124" s="56">
        <f t="shared" si="417"/>
        <v>3866003</v>
      </c>
      <c r="GO124" s="321">
        <f t="shared" si="418"/>
        <v>3866003</v>
      </c>
      <c r="GP124" s="179">
        <f t="shared" si="357"/>
        <v>0</v>
      </c>
      <c r="GQ124" s="9">
        <v>3866003</v>
      </c>
      <c r="GR124" s="18" t="s">
        <v>238</v>
      </c>
      <c r="GS124" s="18" t="s">
        <v>238</v>
      </c>
      <c r="GT124" s="324">
        <f t="shared" si="419"/>
        <v>3866003</v>
      </c>
      <c r="GU124" s="321">
        <f t="shared" si="420"/>
        <v>3866003</v>
      </c>
      <c r="GV124" s="179">
        <f t="shared" si="358"/>
        <v>0</v>
      </c>
      <c r="GW124" s="9">
        <v>4059303</v>
      </c>
      <c r="GX124" s="18" t="s">
        <v>238</v>
      </c>
      <c r="GY124" s="18" t="s">
        <v>238</v>
      </c>
      <c r="GZ124" s="324">
        <f t="shared" si="421"/>
        <v>4059303</v>
      </c>
      <c r="HA124" s="321">
        <f t="shared" si="422"/>
        <v>4059303</v>
      </c>
      <c r="HB124" s="179">
        <f t="shared" si="359"/>
        <v>193300</v>
      </c>
      <c r="HC124" s="102">
        <f t="shared" si="360"/>
        <v>0.27491837997324425</v>
      </c>
      <c r="HD124" s="285">
        <f t="shared" si="361"/>
        <v>-3.4924596548080444E-10</v>
      </c>
      <c r="HE124" s="12">
        <f t="shared" si="362"/>
        <v>193300.15000000002</v>
      </c>
      <c r="HF124" s="12">
        <f t="shared" si="363"/>
        <v>0.15000000002328306</v>
      </c>
      <c r="HG124" s="12">
        <f t="shared" si="364"/>
        <v>193300</v>
      </c>
      <c r="HH124" s="14">
        <f t="shared" si="365"/>
        <v>193300</v>
      </c>
      <c r="HI124" s="13">
        <f t="shared" si="366"/>
        <v>4059303</v>
      </c>
      <c r="HJ124" s="102">
        <f t="shared" si="367"/>
        <v>0.28866428830513852</v>
      </c>
      <c r="HK124" s="16">
        <f t="shared" si="368"/>
        <v>3866003</v>
      </c>
      <c r="HL124" s="103">
        <f t="shared" si="369"/>
        <v>4059303.1500000004</v>
      </c>
      <c r="HM124" s="103">
        <f t="shared" si="370"/>
        <v>193300.15000000037</v>
      </c>
      <c r="HN124" s="17">
        <f t="shared" si="371"/>
        <v>0.15000000002328306</v>
      </c>
      <c r="HO124" s="56">
        <f t="shared" si="372"/>
        <v>193300.00000000035</v>
      </c>
      <c r="HP124" s="16">
        <f t="shared" si="373"/>
        <v>3.4924596548080444E-10</v>
      </c>
      <c r="HQ124" s="16">
        <f t="shared" si="374"/>
        <v>4059303.0000000005</v>
      </c>
      <c r="HR124" s="16">
        <f t="shared" si="375"/>
        <v>0</v>
      </c>
    </row>
    <row r="125" spans="1:226" x14ac:dyDescent="0.3">
      <c r="A125" s="145">
        <v>4</v>
      </c>
      <c r="B125" s="134"/>
      <c r="C125" s="310" t="s">
        <v>64</v>
      </c>
      <c r="D125" s="256" t="s">
        <v>65</v>
      </c>
      <c r="E125" s="27">
        <v>0</v>
      </c>
      <c r="F125" s="9">
        <v>52786</v>
      </c>
      <c r="G125" s="9">
        <v>0</v>
      </c>
      <c r="H125" s="324"/>
      <c r="I125" s="324">
        <v>52786</v>
      </c>
      <c r="J125" s="324">
        <v>52786</v>
      </c>
      <c r="K125" s="324"/>
      <c r="L125" s="324">
        <v>52786</v>
      </c>
      <c r="M125" s="23">
        <v>52786</v>
      </c>
      <c r="N125" s="23">
        <v>52786</v>
      </c>
      <c r="O125" s="298">
        <v>52786</v>
      </c>
      <c r="P125" s="298">
        <v>52786</v>
      </c>
      <c r="Q125" s="298">
        <v>52786</v>
      </c>
      <c r="R125" s="298">
        <v>52786</v>
      </c>
      <c r="S125" s="298">
        <v>52786</v>
      </c>
      <c r="T125" s="298">
        <v>52786</v>
      </c>
      <c r="U125" s="298">
        <f t="shared" si="376"/>
        <v>2639.3</v>
      </c>
      <c r="V125" s="298">
        <f t="shared" si="377"/>
        <v>55425.3</v>
      </c>
      <c r="W125" s="298">
        <v>55425</v>
      </c>
      <c r="X125" s="298">
        <v>55425</v>
      </c>
      <c r="Y125" s="298">
        <v>55425</v>
      </c>
      <c r="Z125" s="298">
        <v>55425</v>
      </c>
      <c r="AA125" s="298">
        <v>55425</v>
      </c>
      <c r="AB125" s="298">
        <v>55425</v>
      </c>
      <c r="AC125" s="9">
        <v>0</v>
      </c>
      <c r="AD125" s="9">
        <v>0</v>
      </c>
      <c r="AE125" s="298">
        <f t="shared" si="378"/>
        <v>55425</v>
      </c>
      <c r="AF125" s="298">
        <v>55425</v>
      </c>
      <c r="AG125" s="9">
        <v>0</v>
      </c>
      <c r="AH125" s="9">
        <v>0</v>
      </c>
      <c r="AI125" s="298">
        <f t="shared" si="379"/>
        <v>55425</v>
      </c>
      <c r="AJ125" s="298">
        <v>55425</v>
      </c>
      <c r="AK125" s="9">
        <v>0</v>
      </c>
      <c r="AL125" s="9">
        <v>0</v>
      </c>
      <c r="AM125" s="298">
        <f t="shared" si="318"/>
        <v>55425</v>
      </c>
      <c r="AN125" s="298">
        <v>55425</v>
      </c>
      <c r="AO125" s="9">
        <v>0</v>
      </c>
      <c r="AP125" s="9">
        <v>0</v>
      </c>
      <c r="AQ125" s="298">
        <f t="shared" si="319"/>
        <v>55425</v>
      </c>
      <c r="AR125" s="298">
        <v>55425</v>
      </c>
      <c r="AS125" s="9">
        <v>0</v>
      </c>
      <c r="AT125" s="9">
        <v>0</v>
      </c>
      <c r="AU125" s="298">
        <f t="shared" si="320"/>
        <v>55425</v>
      </c>
      <c r="AV125" s="298">
        <v>55425</v>
      </c>
      <c r="AW125" s="9">
        <v>0</v>
      </c>
      <c r="AX125" s="9">
        <v>0</v>
      </c>
      <c r="AY125" s="298">
        <f t="shared" si="321"/>
        <v>55425</v>
      </c>
      <c r="AZ125" s="8">
        <f t="shared" si="380"/>
        <v>2771.25</v>
      </c>
      <c r="BA125" s="8">
        <v>0.25</v>
      </c>
      <c r="BB125" s="8">
        <f t="shared" si="381"/>
        <v>2771</v>
      </c>
      <c r="BC125" s="8">
        <f t="shared" si="382"/>
        <v>58196</v>
      </c>
      <c r="BD125" s="8"/>
      <c r="BE125" s="8">
        <f t="shared" si="383"/>
        <v>58196</v>
      </c>
      <c r="BF125" s="10">
        <f t="shared" si="384"/>
        <v>2771</v>
      </c>
      <c r="BG125" s="11">
        <f t="shared" si="385"/>
        <v>0</v>
      </c>
      <c r="BH125" s="319">
        <v>58196</v>
      </c>
      <c r="BI125" s="319">
        <v>0</v>
      </c>
      <c r="BJ125" s="319">
        <v>0</v>
      </c>
      <c r="BK125" s="319">
        <f t="shared" si="322"/>
        <v>58196</v>
      </c>
      <c r="BL125" s="319">
        <v>58196</v>
      </c>
      <c r="BM125" s="319">
        <v>0</v>
      </c>
      <c r="BN125" s="319">
        <v>0</v>
      </c>
      <c r="BO125" s="319">
        <f t="shared" si="323"/>
        <v>58196</v>
      </c>
      <c r="BP125" s="319">
        <f t="shared" si="324"/>
        <v>0</v>
      </c>
      <c r="BQ125" s="319">
        <v>58196</v>
      </c>
      <c r="BR125" s="319">
        <v>0</v>
      </c>
      <c r="BS125" s="319">
        <v>0</v>
      </c>
      <c r="BT125" s="319">
        <f t="shared" si="325"/>
        <v>58196</v>
      </c>
      <c r="BU125" s="319">
        <f t="shared" si="326"/>
        <v>0</v>
      </c>
      <c r="BV125" s="319">
        <v>58196</v>
      </c>
      <c r="BW125" s="319">
        <v>0</v>
      </c>
      <c r="BX125" s="319">
        <v>0</v>
      </c>
      <c r="BY125" s="319">
        <f t="shared" si="327"/>
        <v>58196</v>
      </c>
      <c r="BZ125" s="319">
        <f t="shared" si="328"/>
        <v>0</v>
      </c>
      <c r="CA125" s="319">
        <v>58196</v>
      </c>
      <c r="CB125" s="319">
        <v>0</v>
      </c>
      <c r="CC125" s="319">
        <v>0</v>
      </c>
      <c r="CD125" s="319">
        <f t="shared" si="329"/>
        <v>58196</v>
      </c>
      <c r="CE125" s="319">
        <f t="shared" si="330"/>
        <v>0</v>
      </c>
      <c r="CF125" s="319">
        <v>58196</v>
      </c>
      <c r="CG125" s="319">
        <v>0</v>
      </c>
      <c r="CH125" s="319">
        <v>0</v>
      </c>
      <c r="CI125" s="319">
        <f t="shared" si="331"/>
        <v>58196</v>
      </c>
      <c r="CJ125" s="319">
        <f t="shared" si="332"/>
        <v>0</v>
      </c>
      <c r="CK125" s="319">
        <v>58196</v>
      </c>
      <c r="CL125" s="319">
        <v>0</v>
      </c>
      <c r="CM125" s="319">
        <v>0</v>
      </c>
      <c r="CN125" s="319">
        <f t="shared" si="333"/>
        <v>58196</v>
      </c>
      <c r="CO125" s="319">
        <f t="shared" si="334"/>
        <v>0</v>
      </c>
      <c r="CP125" s="319">
        <v>58196</v>
      </c>
      <c r="CQ125" s="319">
        <v>0</v>
      </c>
      <c r="CR125" s="319">
        <v>0</v>
      </c>
      <c r="CS125" s="319">
        <f t="shared" si="335"/>
        <v>58196</v>
      </c>
      <c r="CT125" s="319">
        <f t="shared" si="336"/>
        <v>0</v>
      </c>
      <c r="CU125" s="319">
        <v>58196</v>
      </c>
      <c r="CV125" s="319">
        <v>0</v>
      </c>
      <c r="CW125" s="319">
        <v>0</v>
      </c>
      <c r="CX125" s="319">
        <f t="shared" si="337"/>
        <v>58196</v>
      </c>
      <c r="CY125" s="319">
        <f t="shared" si="338"/>
        <v>0</v>
      </c>
      <c r="CZ125" s="319"/>
      <c r="DA125" s="319"/>
      <c r="DB125" s="319"/>
      <c r="DC125" s="12">
        <f t="shared" si="386"/>
        <v>5819.6</v>
      </c>
      <c r="DD125" s="12">
        <v>0.6</v>
      </c>
      <c r="DE125" s="13">
        <f t="shared" si="387"/>
        <v>5819</v>
      </c>
      <c r="DF125" s="14">
        <f t="shared" si="339"/>
        <v>5819</v>
      </c>
      <c r="DG125" s="13">
        <f t="shared" si="340"/>
        <v>64015</v>
      </c>
      <c r="DH125" s="15">
        <f t="shared" si="341"/>
        <v>4.5522636803476913E-3</v>
      </c>
      <c r="DI125" s="16">
        <f t="shared" si="342"/>
        <v>58196</v>
      </c>
      <c r="DJ125" s="132">
        <f t="shared" si="388"/>
        <v>64015.600000000006</v>
      </c>
      <c r="DK125" s="17">
        <f t="shared" si="389"/>
        <v>5819.6000000000058</v>
      </c>
      <c r="DL125" s="17">
        <f t="shared" si="343"/>
        <v>0.6</v>
      </c>
      <c r="DM125" s="16">
        <f t="shared" si="390"/>
        <v>5819.0000000000055</v>
      </c>
      <c r="DN125" s="16">
        <f t="shared" si="344"/>
        <v>0</v>
      </c>
      <c r="DO125" s="16">
        <f t="shared" si="391"/>
        <v>64015.000000000007</v>
      </c>
      <c r="DP125" s="16">
        <f t="shared" si="345"/>
        <v>0</v>
      </c>
      <c r="DQ125" s="9">
        <v>64015</v>
      </c>
      <c r="DR125" s="18" t="s">
        <v>238</v>
      </c>
      <c r="DS125" s="18" t="s">
        <v>238</v>
      </c>
      <c r="DT125" s="324">
        <f t="shared" si="392"/>
        <v>64015</v>
      </c>
      <c r="DU125" s="321">
        <f t="shared" si="393"/>
        <v>64015</v>
      </c>
      <c r="DV125" s="19">
        <f t="shared" si="394"/>
        <v>0</v>
      </c>
      <c r="DW125" s="9">
        <v>64015</v>
      </c>
      <c r="DX125" s="18"/>
      <c r="DY125" s="18"/>
      <c r="DZ125" s="324">
        <f t="shared" si="395"/>
        <v>64015</v>
      </c>
      <c r="EA125" s="321">
        <f t="shared" si="396"/>
        <v>64015</v>
      </c>
      <c r="EB125" s="179">
        <f t="shared" si="346"/>
        <v>0</v>
      </c>
      <c r="EC125" s="9">
        <v>64015</v>
      </c>
      <c r="ED125" s="18" t="s">
        <v>238</v>
      </c>
      <c r="EE125" s="18" t="s">
        <v>238</v>
      </c>
      <c r="EF125" s="324">
        <f t="shared" si="397"/>
        <v>64015</v>
      </c>
      <c r="EG125" s="321">
        <f t="shared" si="398"/>
        <v>64015</v>
      </c>
      <c r="EH125" s="179">
        <f t="shared" si="347"/>
        <v>0</v>
      </c>
      <c r="EI125" s="9">
        <v>64015</v>
      </c>
      <c r="EJ125" s="18" t="s">
        <v>238</v>
      </c>
      <c r="EK125" s="18" t="s">
        <v>238</v>
      </c>
      <c r="EL125" s="324">
        <f t="shared" si="399"/>
        <v>64015</v>
      </c>
      <c r="EM125" s="321">
        <f t="shared" si="400"/>
        <v>64015</v>
      </c>
      <c r="EN125" s="179">
        <f t="shared" si="348"/>
        <v>0</v>
      </c>
      <c r="EO125" s="9">
        <v>64015</v>
      </c>
      <c r="EP125" s="18" t="s">
        <v>238</v>
      </c>
      <c r="EQ125" s="18" t="s">
        <v>238</v>
      </c>
      <c r="ER125" s="324">
        <f t="shared" si="401"/>
        <v>64015</v>
      </c>
      <c r="ES125" s="321">
        <f t="shared" si="402"/>
        <v>64015</v>
      </c>
      <c r="ET125" s="179">
        <f t="shared" si="349"/>
        <v>0</v>
      </c>
      <c r="EU125" s="9">
        <v>64015</v>
      </c>
      <c r="EV125" s="18" t="s">
        <v>238</v>
      </c>
      <c r="EW125" s="18" t="s">
        <v>238</v>
      </c>
      <c r="EX125" s="324">
        <f t="shared" si="403"/>
        <v>64015</v>
      </c>
      <c r="EY125" s="321">
        <f t="shared" si="404"/>
        <v>64015</v>
      </c>
      <c r="EZ125" s="179">
        <f t="shared" si="350"/>
        <v>0</v>
      </c>
      <c r="FA125" s="9">
        <v>64015</v>
      </c>
      <c r="FB125" s="18" t="s">
        <v>238</v>
      </c>
      <c r="FC125" s="18" t="s">
        <v>238</v>
      </c>
      <c r="FD125" s="324">
        <f t="shared" si="405"/>
        <v>64015</v>
      </c>
      <c r="FE125" s="321">
        <f t="shared" si="406"/>
        <v>64015</v>
      </c>
      <c r="FF125" s="179">
        <f t="shared" si="351"/>
        <v>0</v>
      </c>
      <c r="FG125" s="9">
        <v>64015</v>
      </c>
      <c r="FH125" s="18" t="s">
        <v>238</v>
      </c>
      <c r="FI125" s="18" t="s">
        <v>238</v>
      </c>
      <c r="FJ125" s="324">
        <f t="shared" si="407"/>
        <v>64015</v>
      </c>
      <c r="FK125" s="321">
        <f t="shared" si="408"/>
        <v>64015</v>
      </c>
      <c r="FL125" s="179">
        <f t="shared" si="352"/>
        <v>0</v>
      </c>
      <c r="FM125" s="9">
        <v>64015</v>
      </c>
      <c r="FN125" s="18" t="s">
        <v>238</v>
      </c>
      <c r="FO125" s="18" t="s">
        <v>238</v>
      </c>
      <c r="FP125" s="324">
        <f t="shared" si="409"/>
        <v>64015</v>
      </c>
      <c r="FQ125" s="321">
        <f t="shared" si="410"/>
        <v>64015</v>
      </c>
      <c r="FR125" s="179">
        <f t="shared" si="353"/>
        <v>0</v>
      </c>
      <c r="FS125" s="9">
        <v>64015</v>
      </c>
      <c r="FT125" s="18" t="s">
        <v>238</v>
      </c>
      <c r="FU125" s="18" t="s">
        <v>238</v>
      </c>
      <c r="FV125" s="324">
        <f t="shared" si="411"/>
        <v>64015</v>
      </c>
      <c r="FW125" s="321">
        <f t="shared" si="412"/>
        <v>64015</v>
      </c>
      <c r="FX125" s="179">
        <f t="shared" si="354"/>
        <v>0</v>
      </c>
      <c r="FY125" s="9">
        <v>64015</v>
      </c>
      <c r="FZ125" s="18" t="s">
        <v>238</v>
      </c>
      <c r="GA125" s="18" t="s">
        <v>238</v>
      </c>
      <c r="GB125" s="324">
        <f t="shared" si="413"/>
        <v>64015</v>
      </c>
      <c r="GC125" s="321">
        <f t="shared" si="414"/>
        <v>64015</v>
      </c>
      <c r="GD125" s="179">
        <f t="shared" si="355"/>
        <v>0</v>
      </c>
      <c r="GE125" s="9">
        <v>64015</v>
      </c>
      <c r="GF125" s="18" t="s">
        <v>238</v>
      </c>
      <c r="GG125" s="18" t="s">
        <v>238</v>
      </c>
      <c r="GH125" s="324">
        <f t="shared" si="415"/>
        <v>64015</v>
      </c>
      <c r="GI125" s="321">
        <f t="shared" si="416"/>
        <v>64015</v>
      </c>
      <c r="GJ125" s="179">
        <f t="shared" si="356"/>
        <v>0</v>
      </c>
      <c r="GK125" s="9">
        <v>64015</v>
      </c>
      <c r="GL125" s="18" t="s">
        <v>238</v>
      </c>
      <c r="GM125" s="18" t="s">
        <v>238</v>
      </c>
      <c r="GN125" s="56">
        <f t="shared" si="417"/>
        <v>64015</v>
      </c>
      <c r="GO125" s="321">
        <f t="shared" si="418"/>
        <v>64015</v>
      </c>
      <c r="GP125" s="179">
        <f t="shared" si="357"/>
        <v>0</v>
      </c>
      <c r="GQ125" s="9">
        <v>9216966</v>
      </c>
      <c r="GR125" s="18" t="s">
        <v>238</v>
      </c>
      <c r="GS125" s="18" t="s">
        <v>238</v>
      </c>
      <c r="GT125" s="324">
        <f t="shared" si="419"/>
        <v>9216966</v>
      </c>
      <c r="GU125" s="321">
        <f t="shared" si="420"/>
        <v>9216966</v>
      </c>
      <c r="GV125" s="19">
        <f t="shared" si="358"/>
        <v>9152951</v>
      </c>
      <c r="GW125" s="9">
        <v>9677812</v>
      </c>
      <c r="GX125" s="18" t="s">
        <v>238</v>
      </c>
      <c r="GY125" s="18" t="s">
        <v>238</v>
      </c>
      <c r="GZ125" s="324">
        <f t="shared" si="421"/>
        <v>9677812</v>
      </c>
      <c r="HA125" s="321">
        <f t="shared" si="422"/>
        <v>9677812</v>
      </c>
      <c r="HB125" s="179">
        <f t="shared" si="359"/>
        <v>460846</v>
      </c>
      <c r="HC125" s="102">
        <f t="shared" si="360"/>
        <v>0.65543491843862334</v>
      </c>
      <c r="HD125" s="285">
        <f t="shared" si="361"/>
        <v>-2.0000000006984919</v>
      </c>
      <c r="HE125" s="12">
        <f t="shared" si="362"/>
        <v>460848.30000000005</v>
      </c>
      <c r="HF125" s="12">
        <f t="shared" si="363"/>
        <v>0.30000000004656613</v>
      </c>
      <c r="HG125" s="12">
        <f t="shared" si="364"/>
        <v>460848</v>
      </c>
      <c r="HH125" s="14">
        <f t="shared" si="365"/>
        <v>460848</v>
      </c>
      <c r="HI125" s="13">
        <f t="shared" si="366"/>
        <v>9677814</v>
      </c>
      <c r="HJ125" s="102">
        <f t="shared" si="367"/>
        <v>0.68820664302701862</v>
      </c>
      <c r="HK125" s="16">
        <f t="shared" si="368"/>
        <v>9216966</v>
      </c>
      <c r="HL125" s="103">
        <f t="shared" si="369"/>
        <v>9677814.3000000007</v>
      </c>
      <c r="HM125" s="103">
        <f t="shared" si="370"/>
        <v>460848.30000000075</v>
      </c>
      <c r="HN125" s="17">
        <f t="shared" si="371"/>
        <v>0.30000000004656613</v>
      </c>
      <c r="HO125" s="56">
        <f t="shared" si="372"/>
        <v>460848.0000000007</v>
      </c>
      <c r="HP125" s="16">
        <f t="shared" si="373"/>
        <v>6.9849193096160889E-10</v>
      </c>
      <c r="HQ125" s="16">
        <f t="shared" si="374"/>
        <v>9677814</v>
      </c>
      <c r="HR125" s="16">
        <f t="shared" si="375"/>
        <v>0</v>
      </c>
    </row>
    <row r="126" spans="1:226" x14ac:dyDescent="0.3">
      <c r="A126" s="145">
        <v>5</v>
      </c>
      <c r="B126" s="303" t="s">
        <v>66</v>
      </c>
      <c r="C126" s="310" t="s">
        <v>67</v>
      </c>
      <c r="D126" s="256" t="s">
        <v>68</v>
      </c>
      <c r="E126" s="27">
        <v>0</v>
      </c>
      <c r="F126" s="9">
        <v>4082271</v>
      </c>
      <c r="G126" s="9">
        <v>0</v>
      </c>
      <c r="H126" s="324"/>
      <c r="I126" s="324">
        <v>4082271</v>
      </c>
      <c r="J126" s="324">
        <v>4082271</v>
      </c>
      <c r="K126" s="324"/>
      <c r="L126" s="324">
        <v>4082271</v>
      </c>
      <c r="M126" s="23">
        <v>4082271</v>
      </c>
      <c r="N126" s="23">
        <v>4082271</v>
      </c>
      <c r="O126" s="298">
        <v>4082271</v>
      </c>
      <c r="P126" s="298">
        <v>4082271</v>
      </c>
      <c r="Q126" s="298">
        <v>4082271</v>
      </c>
      <c r="R126" s="298">
        <v>4082271</v>
      </c>
      <c r="S126" s="298">
        <v>4082271</v>
      </c>
      <c r="T126" s="298">
        <v>4082271</v>
      </c>
      <c r="U126" s="298">
        <f t="shared" si="376"/>
        <v>204113.55000000002</v>
      </c>
      <c r="V126" s="298">
        <f t="shared" si="377"/>
        <v>4286384.55</v>
      </c>
      <c r="W126" s="298">
        <v>4286384</v>
      </c>
      <c r="X126" s="298">
        <v>4286384</v>
      </c>
      <c r="Y126" s="298">
        <v>4286384</v>
      </c>
      <c r="Z126" s="298">
        <v>4286384</v>
      </c>
      <c r="AA126" s="298">
        <v>4286384</v>
      </c>
      <c r="AB126" s="298">
        <v>4286384</v>
      </c>
      <c r="AC126" s="9">
        <v>0</v>
      </c>
      <c r="AD126" s="9">
        <v>0</v>
      </c>
      <c r="AE126" s="298">
        <f t="shared" si="378"/>
        <v>4286384</v>
      </c>
      <c r="AF126" s="298">
        <v>4286384</v>
      </c>
      <c r="AG126" s="9">
        <v>0</v>
      </c>
      <c r="AH126" s="9">
        <v>0</v>
      </c>
      <c r="AI126" s="298">
        <f t="shared" si="379"/>
        <v>4286384</v>
      </c>
      <c r="AJ126" s="298">
        <v>4286384</v>
      </c>
      <c r="AK126" s="9">
        <v>0</v>
      </c>
      <c r="AL126" s="9">
        <v>0</v>
      </c>
      <c r="AM126" s="298">
        <f t="shared" si="318"/>
        <v>4286384</v>
      </c>
      <c r="AN126" s="298">
        <v>4286384</v>
      </c>
      <c r="AO126" s="9">
        <v>0</v>
      </c>
      <c r="AP126" s="9">
        <v>0</v>
      </c>
      <c r="AQ126" s="298">
        <f t="shared" si="319"/>
        <v>4286384</v>
      </c>
      <c r="AR126" s="298">
        <v>4286384</v>
      </c>
      <c r="AS126" s="9">
        <v>0</v>
      </c>
      <c r="AT126" s="9">
        <v>0</v>
      </c>
      <c r="AU126" s="298">
        <f t="shared" si="320"/>
        <v>4286384</v>
      </c>
      <c r="AV126" s="298">
        <v>4286384</v>
      </c>
      <c r="AW126" s="9">
        <v>0</v>
      </c>
      <c r="AX126" s="9">
        <v>0</v>
      </c>
      <c r="AY126" s="298">
        <f t="shared" si="321"/>
        <v>4286384</v>
      </c>
      <c r="AZ126" s="8">
        <f t="shared" si="380"/>
        <v>214319.2</v>
      </c>
      <c r="BA126" s="8">
        <v>0.2</v>
      </c>
      <c r="BB126" s="8">
        <f t="shared" si="381"/>
        <v>214319</v>
      </c>
      <c r="BC126" s="8">
        <f t="shared" si="382"/>
        <v>4500703</v>
      </c>
      <c r="BD126" s="8"/>
      <c r="BE126" s="8">
        <f t="shared" si="383"/>
        <v>4500703</v>
      </c>
      <c r="BF126" s="10">
        <f t="shared" si="384"/>
        <v>214319</v>
      </c>
      <c r="BG126" s="11">
        <f t="shared" si="385"/>
        <v>0</v>
      </c>
      <c r="BH126" s="319">
        <v>4500703</v>
      </c>
      <c r="BI126" s="319">
        <v>0</v>
      </c>
      <c r="BJ126" s="319">
        <v>0</v>
      </c>
      <c r="BK126" s="319">
        <f t="shared" si="322"/>
        <v>4500703</v>
      </c>
      <c r="BL126" s="319">
        <v>4500703</v>
      </c>
      <c r="BM126" s="319">
        <v>0</v>
      </c>
      <c r="BN126" s="319">
        <v>0</v>
      </c>
      <c r="BO126" s="319">
        <f t="shared" si="323"/>
        <v>4500703</v>
      </c>
      <c r="BP126" s="319">
        <f t="shared" si="324"/>
        <v>0</v>
      </c>
      <c r="BQ126" s="319">
        <v>4500703</v>
      </c>
      <c r="BR126" s="319">
        <v>0</v>
      </c>
      <c r="BS126" s="319">
        <v>0</v>
      </c>
      <c r="BT126" s="319">
        <f t="shared" si="325"/>
        <v>4500703</v>
      </c>
      <c r="BU126" s="319">
        <f t="shared" si="326"/>
        <v>0</v>
      </c>
      <c r="BV126" s="319">
        <v>4500703</v>
      </c>
      <c r="BW126" s="319">
        <v>0</v>
      </c>
      <c r="BX126" s="319">
        <v>0</v>
      </c>
      <c r="BY126" s="319">
        <f t="shared" si="327"/>
        <v>4500703</v>
      </c>
      <c r="BZ126" s="319">
        <f t="shared" si="328"/>
        <v>0</v>
      </c>
      <c r="CA126" s="319">
        <v>4500703</v>
      </c>
      <c r="CB126" s="319">
        <v>0</v>
      </c>
      <c r="CC126" s="319">
        <v>0</v>
      </c>
      <c r="CD126" s="319">
        <f t="shared" si="329"/>
        <v>4500703</v>
      </c>
      <c r="CE126" s="319">
        <f t="shared" si="330"/>
        <v>0</v>
      </c>
      <c r="CF126" s="319">
        <v>4500703</v>
      </c>
      <c r="CG126" s="319">
        <v>0</v>
      </c>
      <c r="CH126" s="319">
        <v>0</v>
      </c>
      <c r="CI126" s="319">
        <f t="shared" si="331"/>
        <v>4500703</v>
      </c>
      <c r="CJ126" s="319">
        <f t="shared" si="332"/>
        <v>0</v>
      </c>
      <c r="CK126" s="319">
        <v>4500703</v>
      </c>
      <c r="CL126" s="319">
        <v>0</v>
      </c>
      <c r="CM126" s="319">
        <v>0</v>
      </c>
      <c r="CN126" s="319">
        <f t="shared" si="333"/>
        <v>4500703</v>
      </c>
      <c r="CO126" s="319">
        <f t="shared" si="334"/>
        <v>0</v>
      </c>
      <c r="CP126" s="319">
        <v>4500703</v>
      </c>
      <c r="CQ126" s="319">
        <v>0</v>
      </c>
      <c r="CR126" s="319">
        <v>0</v>
      </c>
      <c r="CS126" s="319">
        <f t="shared" si="335"/>
        <v>4500703</v>
      </c>
      <c r="CT126" s="319">
        <f t="shared" si="336"/>
        <v>0</v>
      </c>
      <c r="CU126" s="319">
        <v>4500703</v>
      </c>
      <c r="CV126" s="319">
        <v>0</v>
      </c>
      <c r="CW126" s="319">
        <v>0</v>
      </c>
      <c r="CX126" s="319">
        <f t="shared" si="337"/>
        <v>4500703</v>
      </c>
      <c r="CY126" s="319">
        <f t="shared" si="338"/>
        <v>0</v>
      </c>
      <c r="CZ126" s="319"/>
      <c r="DA126" s="319"/>
      <c r="DB126" s="319"/>
      <c r="DC126" s="12">
        <f t="shared" si="386"/>
        <v>450070.30000000005</v>
      </c>
      <c r="DD126" s="12">
        <v>0.3</v>
      </c>
      <c r="DE126" s="13">
        <f t="shared" si="387"/>
        <v>450070.00000000006</v>
      </c>
      <c r="DF126" s="14">
        <f t="shared" si="339"/>
        <v>450070.00000000006</v>
      </c>
      <c r="DG126" s="13">
        <f t="shared" si="340"/>
        <v>4950773</v>
      </c>
      <c r="DH126" s="15">
        <f t="shared" si="341"/>
        <v>0.35205833395649005</v>
      </c>
      <c r="DI126" s="16">
        <f t="shared" si="342"/>
        <v>4500703</v>
      </c>
      <c r="DJ126" s="132">
        <f t="shared" si="388"/>
        <v>4950773.3000000007</v>
      </c>
      <c r="DK126" s="17">
        <f t="shared" si="389"/>
        <v>450070.30000000075</v>
      </c>
      <c r="DL126" s="17">
        <f t="shared" si="343"/>
        <v>0.3</v>
      </c>
      <c r="DM126" s="16">
        <f t="shared" si="390"/>
        <v>450070.00000000076</v>
      </c>
      <c r="DN126" s="16">
        <f t="shared" si="344"/>
        <v>6.9849193096160889E-10</v>
      </c>
      <c r="DO126" s="16">
        <f t="shared" si="391"/>
        <v>4950773.0000000009</v>
      </c>
      <c r="DP126" s="16">
        <f t="shared" si="345"/>
        <v>0</v>
      </c>
      <c r="DQ126" s="9">
        <v>4950773</v>
      </c>
      <c r="DR126" s="18" t="s">
        <v>238</v>
      </c>
      <c r="DS126" s="18" t="s">
        <v>238</v>
      </c>
      <c r="DT126" s="324">
        <f t="shared" si="392"/>
        <v>4950773</v>
      </c>
      <c r="DU126" s="321">
        <f t="shared" si="393"/>
        <v>4950773</v>
      </c>
      <c r="DV126" s="19">
        <f t="shared" si="394"/>
        <v>0</v>
      </c>
      <c r="DW126" s="9">
        <v>4950773</v>
      </c>
      <c r="DX126" s="18"/>
      <c r="DY126" s="18"/>
      <c r="DZ126" s="324">
        <f t="shared" si="395"/>
        <v>4950773</v>
      </c>
      <c r="EA126" s="321">
        <f t="shared" si="396"/>
        <v>4950773</v>
      </c>
      <c r="EB126" s="179">
        <f t="shared" si="346"/>
        <v>0</v>
      </c>
      <c r="EC126" s="9">
        <v>4950773</v>
      </c>
      <c r="ED126" s="18" t="s">
        <v>238</v>
      </c>
      <c r="EE126" s="18" t="s">
        <v>238</v>
      </c>
      <c r="EF126" s="324">
        <f t="shared" si="397"/>
        <v>4950773</v>
      </c>
      <c r="EG126" s="321">
        <f t="shared" si="398"/>
        <v>4950773</v>
      </c>
      <c r="EH126" s="179">
        <f t="shared" si="347"/>
        <v>0</v>
      </c>
      <c r="EI126" s="9">
        <v>4950773</v>
      </c>
      <c r="EJ126" s="18" t="s">
        <v>238</v>
      </c>
      <c r="EK126" s="18" t="s">
        <v>238</v>
      </c>
      <c r="EL126" s="324">
        <f t="shared" si="399"/>
        <v>4950773</v>
      </c>
      <c r="EM126" s="321">
        <f t="shared" si="400"/>
        <v>4950773</v>
      </c>
      <c r="EN126" s="179">
        <f t="shared" si="348"/>
        <v>0</v>
      </c>
      <c r="EO126" s="9">
        <v>4950773</v>
      </c>
      <c r="EP126" s="18" t="s">
        <v>238</v>
      </c>
      <c r="EQ126" s="18" t="s">
        <v>238</v>
      </c>
      <c r="ER126" s="324">
        <f t="shared" si="401"/>
        <v>4950773</v>
      </c>
      <c r="ES126" s="321">
        <f t="shared" si="402"/>
        <v>4950773</v>
      </c>
      <c r="ET126" s="179">
        <f t="shared" si="349"/>
        <v>0</v>
      </c>
      <c r="EU126" s="9">
        <v>4950773</v>
      </c>
      <c r="EV126" s="18" t="s">
        <v>238</v>
      </c>
      <c r="EW126" s="18" t="s">
        <v>238</v>
      </c>
      <c r="EX126" s="324">
        <f t="shared" si="403"/>
        <v>4950773</v>
      </c>
      <c r="EY126" s="321">
        <f t="shared" si="404"/>
        <v>4950773</v>
      </c>
      <c r="EZ126" s="179">
        <f t="shared" si="350"/>
        <v>0</v>
      </c>
      <c r="FA126" s="9">
        <v>4950773</v>
      </c>
      <c r="FB126" s="18" t="s">
        <v>238</v>
      </c>
      <c r="FC126" s="18" t="s">
        <v>238</v>
      </c>
      <c r="FD126" s="324">
        <f t="shared" si="405"/>
        <v>4950773</v>
      </c>
      <c r="FE126" s="321">
        <f t="shared" si="406"/>
        <v>4950773</v>
      </c>
      <c r="FF126" s="179">
        <f t="shared" si="351"/>
        <v>0</v>
      </c>
      <c r="FG126" s="9">
        <v>4950773</v>
      </c>
      <c r="FH126" s="18" t="s">
        <v>238</v>
      </c>
      <c r="FI126" s="18" t="s">
        <v>238</v>
      </c>
      <c r="FJ126" s="324">
        <f t="shared" si="407"/>
        <v>4950773</v>
      </c>
      <c r="FK126" s="321">
        <f t="shared" si="408"/>
        <v>4950773</v>
      </c>
      <c r="FL126" s="179">
        <f t="shared" si="352"/>
        <v>0</v>
      </c>
      <c r="FM126" s="9">
        <v>4950773</v>
      </c>
      <c r="FN126" s="18" t="s">
        <v>238</v>
      </c>
      <c r="FO126" s="18" t="s">
        <v>238</v>
      </c>
      <c r="FP126" s="324">
        <f t="shared" si="409"/>
        <v>4950773</v>
      </c>
      <c r="FQ126" s="321">
        <f t="shared" si="410"/>
        <v>4950773</v>
      </c>
      <c r="FR126" s="179">
        <f t="shared" si="353"/>
        <v>0</v>
      </c>
      <c r="FS126" s="9">
        <v>4950773</v>
      </c>
      <c r="FT126" s="18" t="s">
        <v>238</v>
      </c>
      <c r="FU126" s="18" t="s">
        <v>238</v>
      </c>
      <c r="FV126" s="324">
        <f t="shared" si="411"/>
        <v>4950773</v>
      </c>
      <c r="FW126" s="321">
        <f t="shared" si="412"/>
        <v>4950773</v>
      </c>
      <c r="FX126" s="179">
        <f t="shared" si="354"/>
        <v>0</v>
      </c>
      <c r="FY126" s="9">
        <v>4950773</v>
      </c>
      <c r="FZ126" s="18" t="s">
        <v>238</v>
      </c>
      <c r="GA126" s="18" t="s">
        <v>238</v>
      </c>
      <c r="GB126" s="324">
        <f t="shared" si="413"/>
        <v>4950773</v>
      </c>
      <c r="GC126" s="321">
        <f t="shared" si="414"/>
        <v>4950773</v>
      </c>
      <c r="GD126" s="179">
        <f t="shared" si="355"/>
        <v>0</v>
      </c>
      <c r="GE126" s="9">
        <v>4950773</v>
      </c>
      <c r="GF126" s="18" t="s">
        <v>238</v>
      </c>
      <c r="GG126" s="18" t="s">
        <v>238</v>
      </c>
      <c r="GH126" s="324">
        <f t="shared" si="415"/>
        <v>4950773</v>
      </c>
      <c r="GI126" s="321">
        <f t="shared" si="416"/>
        <v>4950773</v>
      </c>
      <c r="GJ126" s="179">
        <f t="shared" si="356"/>
        <v>0</v>
      </c>
      <c r="GK126" s="9">
        <v>4950773</v>
      </c>
      <c r="GL126" s="18" t="s">
        <v>238</v>
      </c>
      <c r="GM126" s="18" t="s">
        <v>238</v>
      </c>
      <c r="GN126" s="56">
        <f t="shared" si="417"/>
        <v>4950773</v>
      </c>
      <c r="GO126" s="321">
        <f t="shared" si="418"/>
        <v>4950773</v>
      </c>
      <c r="GP126" s="179">
        <f t="shared" si="357"/>
        <v>0</v>
      </c>
      <c r="GQ126" s="9">
        <v>0</v>
      </c>
      <c r="GR126" s="18" t="s">
        <v>238</v>
      </c>
      <c r="GS126" s="18" t="s">
        <v>238</v>
      </c>
      <c r="GT126" s="324">
        <f t="shared" si="419"/>
        <v>0</v>
      </c>
      <c r="GU126" s="321">
        <f t="shared" si="420"/>
        <v>0</v>
      </c>
      <c r="GV126" s="22">
        <f t="shared" si="358"/>
        <v>-4950773</v>
      </c>
      <c r="GW126" s="9">
        <v>0</v>
      </c>
      <c r="GX126" s="18" t="s">
        <v>238</v>
      </c>
      <c r="GY126" s="18" t="s">
        <v>238</v>
      </c>
      <c r="GZ126" s="324">
        <f t="shared" si="421"/>
        <v>0</v>
      </c>
      <c r="HA126" s="321">
        <f t="shared" si="422"/>
        <v>0</v>
      </c>
      <c r="HB126" s="179">
        <f t="shared" si="359"/>
        <v>0</v>
      </c>
      <c r="HC126" s="102">
        <f t="shared" si="360"/>
        <v>0</v>
      </c>
      <c r="HD126" s="285">
        <f t="shared" si="361"/>
        <v>0</v>
      </c>
      <c r="HE126" s="12">
        <f t="shared" si="362"/>
        <v>0</v>
      </c>
      <c r="HF126" s="12">
        <f t="shared" si="363"/>
        <v>0</v>
      </c>
      <c r="HG126" s="12">
        <f t="shared" si="364"/>
        <v>0</v>
      </c>
      <c r="HH126" s="14">
        <f t="shared" si="365"/>
        <v>0</v>
      </c>
      <c r="HI126" s="13">
        <f t="shared" si="366"/>
        <v>0</v>
      </c>
      <c r="HJ126" s="102">
        <f t="shared" si="367"/>
        <v>0</v>
      </c>
      <c r="HK126" s="16">
        <f t="shared" si="368"/>
        <v>0</v>
      </c>
      <c r="HL126" s="103">
        <f t="shared" si="369"/>
        <v>0</v>
      </c>
      <c r="HM126" s="103">
        <f t="shared" si="370"/>
        <v>0</v>
      </c>
      <c r="HN126" s="17">
        <f t="shared" si="371"/>
        <v>0</v>
      </c>
      <c r="HO126" s="56">
        <f t="shared" si="372"/>
        <v>0</v>
      </c>
      <c r="HP126" s="16">
        <f t="shared" si="373"/>
        <v>0</v>
      </c>
      <c r="HQ126" s="16">
        <f t="shared" si="374"/>
        <v>0</v>
      </c>
      <c r="HR126" s="16">
        <f t="shared" si="375"/>
        <v>0</v>
      </c>
    </row>
    <row r="127" spans="1:226" ht="10.8" thickBot="1" x14ac:dyDescent="0.35">
      <c r="A127" s="146">
        <v>7</v>
      </c>
      <c r="B127" s="304" t="s">
        <v>253</v>
      </c>
      <c r="C127" s="147" t="s">
        <v>254</v>
      </c>
      <c r="D127" s="260" t="s">
        <v>71</v>
      </c>
      <c r="E127" s="27">
        <v>0</v>
      </c>
      <c r="F127" s="9">
        <v>3465000</v>
      </c>
      <c r="G127" s="9">
        <v>0</v>
      </c>
      <c r="H127" s="324"/>
      <c r="I127" s="324">
        <v>3465000</v>
      </c>
      <c r="J127" s="324">
        <v>3465000</v>
      </c>
      <c r="K127" s="324"/>
      <c r="L127" s="324">
        <v>3465000</v>
      </c>
      <c r="M127" s="23">
        <v>3465000</v>
      </c>
      <c r="N127" s="23">
        <v>3465000</v>
      </c>
      <c r="O127" s="298">
        <v>3465000</v>
      </c>
      <c r="P127" s="298">
        <v>3465000</v>
      </c>
      <c r="Q127" s="298">
        <v>3465000</v>
      </c>
      <c r="R127" s="298">
        <v>3465000</v>
      </c>
      <c r="S127" s="298">
        <v>3465000</v>
      </c>
      <c r="T127" s="298">
        <v>3465000</v>
      </c>
      <c r="U127" s="298">
        <f t="shared" si="376"/>
        <v>173250</v>
      </c>
      <c r="V127" s="298">
        <f t="shared" si="377"/>
        <v>3638250</v>
      </c>
      <c r="W127" s="298">
        <v>3638250</v>
      </c>
      <c r="X127" s="298">
        <v>3638250</v>
      </c>
      <c r="Y127" s="298">
        <v>3638250</v>
      </c>
      <c r="Z127" s="298">
        <v>3638250</v>
      </c>
      <c r="AA127" s="298">
        <v>3638250</v>
      </c>
      <c r="AB127" s="298">
        <v>3638250</v>
      </c>
      <c r="AC127" s="9">
        <v>0</v>
      </c>
      <c r="AD127" s="9">
        <v>0</v>
      </c>
      <c r="AE127" s="298">
        <f t="shared" si="378"/>
        <v>3638250</v>
      </c>
      <c r="AF127" s="298">
        <v>3638250</v>
      </c>
      <c r="AG127" s="9">
        <v>0</v>
      </c>
      <c r="AH127" s="9">
        <v>0</v>
      </c>
      <c r="AI127" s="298">
        <f t="shared" si="379"/>
        <v>3638250</v>
      </c>
      <c r="AJ127" s="298">
        <v>3638250</v>
      </c>
      <c r="AK127" s="9">
        <v>0</v>
      </c>
      <c r="AL127" s="9">
        <v>0</v>
      </c>
      <c r="AM127" s="298">
        <f t="shared" si="318"/>
        <v>3638250</v>
      </c>
      <c r="AN127" s="298">
        <v>3638250</v>
      </c>
      <c r="AO127" s="9">
        <v>0</v>
      </c>
      <c r="AP127" s="9">
        <v>0</v>
      </c>
      <c r="AQ127" s="298">
        <f t="shared" si="319"/>
        <v>3638250</v>
      </c>
      <c r="AR127" s="298">
        <v>3638250</v>
      </c>
      <c r="AS127" s="9">
        <v>0</v>
      </c>
      <c r="AT127" s="9">
        <v>0</v>
      </c>
      <c r="AU127" s="298">
        <f t="shared" si="320"/>
        <v>3638250</v>
      </c>
      <c r="AV127" s="298">
        <v>3638250</v>
      </c>
      <c r="AW127" s="9">
        <v>0</v>
      </c>
      <c r="AX127" s="9">
        <v>0</v>
      </c>
      <c r="AY127" s="298">
        <f t="shared" si="321"/>
        <v>3638250</v>
      </c>
      <c r="AZ127" s="8">
        <f t="shared" si="380"/>
        <v>181912.5</v>
      </c>
      <c r="BA127" s="8">
        <v>0.5</v>
      </c>
      <c r="BB127" s="8">
        <f t="shared" si="381"/>
        <v>181912</v>
      </c>
      <c r="BC127" s="8">
        <f t="shared" si="382"/>
        <v>3820162</v>
      </c>
      <c r="BD127" s="8"/>
      <c r="BE127" s="8">
        <f t="shared" si="383"/>
        <v>3820162</v>
      </c>
      <c r="BF127" s="10">
        <f t="shared" si="384"/>
        <v>181912</v>
      </c>
      <c r="BG127" s="11">
        <f t="shared" si="385"/>
        <v>0</v>
      </c>
      <c r="BH127" s="319">
        <v>3820162</v>
      </c>
      <c r="BI127" s="319">
        <v>0</v>
      </c>
      <c r="BJ127" s="319">
        <v>0</v>
      </c>
      <c r="BK127" s="319">
        <f t="shared" si="322"/>
        <v>3820162</v>
      </c>
      <c r="BL127" s="319">
        <v>3820162</v>
      </c>
      <c r="BM127" s="319">
        <v>0</v>
      </c>
      <c r="BN127" s="319">
        <v>0</v>
      </c>
      <c r="BO127" s="319">
        <f t="shared" si="323"/>
        <v>3820162</v>
      </c>
      <c r="BP127" s="319">
        <f t="shared" si="324"/>
        <v>0</v>
      </c>
      <c r="BQ127" s="319">
        <v>3820162</v>
      </c>
      <c r="BR127" s="319">
        <v>0</v>
      </c>
      <c r="BS127" s="319">
        <v>0</v>
      </c>
      <c r="BT127" s="319">
        <f t="shared" si="325"/>
        <v>3820162</v>
      </c>
      <c r="BU127" s="319">
        <f t="shared" si="326"/>
        <v>0</v>
      </c>
      <c r="BV127" s="319">
        <v>3820162</v>
      </c>
      <c r="BW127" s="319">
        <v>0</v>
      </c>
      <c r="BX127" s="319">
        <v>0</v>
      </c>
      <c r="BY127" s="319">
        <f t="shared" si="327"/>
        <v>3820162</v>
      </c>
      <c r="BZ127" s="319">
        <f t="shared" si="328"/>
        <v>0</v>
      </c>
      <c r="CA127" s="319">
        <v>3820162</v>
      </c>
      <c r="CB127" s="319">
        <v>0</v>
      </c>
      <c r="CC127" s="319">
        <v>0</v>
      </c>
      <c r="CD127" s="319">
        <f t="shared" si="329"/>
        <v>3820162</v>
      </c>
      <c r="CE127" s="319">
        <f t="shared" si="330"/>
        <v>0</v>
      </c>
      <c r="CF127" s="319">
        <v>3820162</v>
      </c>
      <c r="CG127" s="319">
        <v>0</v>
      </c>
      <c r="CH127" s="319">
        <v>0</v>
      </c>
      <c r="CI127" s="319">
        <f t="shared" si="331"/>
        <v>3820162</v>
      </c>
      <c r="CJ127" s="319">
        <f t="shared" si="332"/>
        <v>0</v>
      </c>
      <c r="CK127" s="319">
        <v>3820162</v>
      </c>
      <c r="CL127" s="319">
        <v>0</v>
      </c>
      <c r="CM127" s="319">
        <v>0</v>
      </c>
      <c r="CN127" s="319">
        <f t="shared" si="333"/>
        <v>3820162</v>
      </c>
      <c r="CO127" s="319">
        <f t="shared" si="334"/>
        <v>0</v>
      </c>
      <c r="CP127" s="319">
        <v>3820162</v>
      </c>
      <c r="CQ127" s="319">
        <v>0</v>
      </c>
      <c r="CR127" s="319">
        <v>0</v>
      </c>
      <c r="CS127" s="319">
        <f t="shared" si="335"/>
        <v>3820162</v>
      </c>
      <c r="CT127" s="319">
        <f t="shared" si="336"/>
        <v>0</v>
      </c>
      <c r="CU127" s="319">
        <v>3820162</v>
      </c>
      <c r="CV127" s="319">
        <v>0</v>
      </c>
      <c r="CW127" s="319">
        <v>0</v>
      </c>
      <c r="CX127" s="319">
        <f t="shared" si="337"/>
        <v>3820162</v>
      </c>
      <c r="CY127" s="319">
        <f t="shared" si="338"/>
        <v>0</v>
      </c>
      <c r="CZ127" s="319"/>
      <c r="DA127" s="319"/>
      <c r="DB127" s="319"/>
      <c r="DC127" s="12">
        <f t="shared" si="386"/>
        <v>382016.2</v>
      </c>
      <c r="DD127" s="12">
        <v>0.2</v>
      </c>
      <c r="DE127" s="13">
        <f t="shared" si="387"/>
        <v>382016</v>
      </c>
      <c r="DF127" s="14">
        <f t="shared" si="339"/>
        <v>382016</v>
      </c>
      <c r="DG127" s="13">
        <f t="shared" si="340"/>
        <v>4202178</v>
      </c>
      <c r="DH127" s="15">
        <f t="shared" si="341"/>
        <v>0.29882439902475078</v>
      </c>
      <c r="DI127" s="16">
        <f t="shared" si="342"/>
        <v>3820162</v>
      </c>
      <c r="DJ127" s="132">
        <f t="shared" si="388"/>
        <v>4202178.2</v>
      </c>
      <c r="DK127" s="17">
        <f t="shared" si="389"/>
        <v>382016.20000000019</v>
      </c>
      <c r="DL127" s="17">
        <f t="shared" si="343"/>
        <v>0.2</v>
      </c>
      <c r="DM127" s="16">
        <f t="shared" si="390"/>
        <v>382016.00000000017</v>
      </c>
      <c r="DN127" s="16">
        <f t="shared" si="344"/>
        <v>0</v>
      </c>
      <c r="DO127" s="16">
        <f t="shared" si="391"/>
        <v>4202178</v>
      </c>
      <c r="DP127" s="16">
        <f t="shared" si="345"/>
        <v>0</v>
      </c>
      <c r="DQ127" s="9">
        <v>4202178</v>
      </c>
      <c r="DR127" s="18" t="s">
        <v>238</v>
      </c>
      <c r="DS127" s="18" t="s">
        <v>238</v>
      </c>
      <c r="DT127" s="324">
        <f t="shared" si="392"/>
        <v>4202178</v>
      </c>
      <c r="DU127" s="321">
        <f t="shared" si="393"/>
        <v>4202178</v>
      </c>
      <c r="DV127" s="19">
        <f t="shared" si="394"/>
        <v>0</v>
      </c>
      <c r="DW127" s="9">
        <v>4202178</v>
      </c>
      <c r="DX127" s="18"/>
      <c r="DY127" s="18"/>
      <c r="DZ127" s="324">
        <f t="shared" si="395"/>
        <v>4202178</v>
      </c>
      <c r="EA127" s="321">
        <f t="shared" si="396"/>
        <v>4202178</v>
      </c>
      <c r="EB127" s="179">
        <f t="shared" si="346"/>
        <v>0</v>
      </c>
      <c r="EC127" s="9">
        <v>4202178</v>
      </c>
      <c r="ED127" s="18" t="s">
        <v>238</v>
      </c>
      <c r="EE127" s="18" t="s">
        <v>238</v>
      </c>
      <c r="EF127" s="324">
        <f t="shared" si="397"/>
        <v>4202178</v>
      </c>
      <c r="EG127" s="321">
        <f t="shared" si="398"/>
        <v>4202178</v>
      </c>
      <c r="EH127" s="179">
        <f t="shared" si="347"/>
        <v>0</v>
      </c>
      <c r="EI127" s="9">
        <v>4202178</v>
      </c>
      <c r="EJ127" s="18" t="s">
        <v>238</v>
      </c>
      <c r="EK127" s="18" t="s">
        <v>238</v>
      </c>
      <c r="EL127" s="324">
        <f t="shared" si="399"/>
        <v>4202178</v>
      </c>
      <c r="EM127" s="321">
        <f t="shared" si="400"/>
        <v>4202178</v>
      </c>
      <c r="EN127" s="179">
        <f t="shared" si="348"/>
        <v>0</v>
      </c>
      <c r="EO127" s="9">
        <v>4202178</v>
      </c>
      <c r="EP127" s="18" t="s">
        <v>238</v>
      </c>
      <c r="EQ127" s="18" t="s">
        <v>238</v>
      </c>
      <c r="ER127" s="324">
        <f t="shared" si="401"/>
        <v>4202178</v>
      </c>
      <c r="ES127" s="321">
        <f t="shared" si="402"/>
        <v>4202178</v>
      </c>
      <c r="ET127" s="179">
        <f t="shared" si="349"/>
        <v>0</v>
      </c>
      <c r="EU127" s="9">
        <v>4202178</v>
      </c>
      <c r="EV127" s="18" t="s">
        <v>238</v>
      </c>
      <c r="EW127" s="18" t="s">
        <v>238</v>
      </c>
      <c r="EX127" s="324">
        <f t="shared" si="403"/>
        <v>4202178</v>
      </c>
      <c r="EY127" s="321">
        <f t="shared" si="404"/>
        <v>4202178</v>
      </c>
      <c r="EZ127" s="179">
        <f t="shared" si="350"/>
        <v>0</v>
      </c>
      <c r="FA127" s="9">
        <v>4202178</v>
      </c>
      <c r="FB127" s="18" t="s">
        <v>238</v>
      </c>
      <c r="FC127" s="18" t="s">
        <v>238</v>
      </c>
      <c r="FD127" s="324">
        <f t="shared" si="405"/>
        <v>4202178</v>
      </c>
      <c r="FE127" s="321">
        <f t="shared" si="406"/>
        <v>4202178</v>
      </c>
      <c r="FF127" s="179">
        <f t="shared" si="351"/>
        <v>0</v>
      </c>
      <c r="FG127" s="9">
        <v>4202178</v>
      </c>
      <c r="FH127" s="18" t="s">
        <v>238</v>
      </c>
      <c r="FI127" s="18" t="s">
        <v>238</v>
      </c>
      <c r="FJ127" s="324">
        <f t="shared" si="407"/>
        <v>4202178</v>
      </c>
      <c r="FK127" s="321">
        <f t="shared" si="408"/>
        <v>4202178</v>
      </c>
      <c r="FL127" s="179">
        <f t="shared" si="352"/>
        <v>0</v>
      </c>
      <c r="FM127" s="9">
        <v>4202178</v>
      </c>
      <c r="FN127" s="18" t="s">
        <v>238</v>
      </c>
      <c r="FO127" s="18" t="s">
        <v>238</v>
      </c>
      <c r="FP127" s="324">
        <f t="shared" si="409"/>
        <v>4202178</v>
      </c>
      <c r="FQ127" s="321">
        <f t="shared" si="410"/>
        <v>4202178</v>
      </c>
      <c r="FR127" s="179">
        <f t="shared" si="353"/>
        <v>0</v>
      </c>
      <c r="FS127" s="9">
        <v>4202178</v>
      </c>
      <c r="FT127" s="18" t="s">
        <v>238</v>
      </c>
      <c r="FU127" s="18" t="s">
        <v>238</v>
      </c>
      <c r="FV127" s="324">
        <f t="shared" si="411"/>
        <v>4202178</v>
      </c>
      <c r="FW127" s="321">
        <f t="shared" si="412"/>
        <v>4202178</v>
      </c>
      <c r="FX127" s="179">
        <f t="shared" si="354"/>
        <v>0</v>
      </c>
      <c r="FY127" s="9">
        <v>4202178</v>
      </c>
      <c r="FZ127" s="18" t="s">
        <v>238</v>
      </c>
      <c r="GA127" s="18" t="s">
        <v>238</v>
      </c>
      <c r="GB127" s="324">
        <f t="shared" si="413"/>
        <v>4202178</v>
      </c>
      <c r="GC127" s="321">
        <f t="shared" si="414"/>
        <v>4202178</v>
      </c>
      <c r="GD127" s="179">
        <f t="shared" si="355"/>
        <v>0</v>
      </c>
      <c r="GE127" s="9">
        <v>4202178</v>
      </c>
      <c r="GF127" s="18" t="s">
        <v>238</v>
      </c>
      <c r="GG127" s="18" t="s">
        <v>238</v>
      </c>
      <c r="GH127" s="324">
        <f t="shared" si="415"/>
        <v>4202178</v>
      </c>
      <c r="GI127" s="321">
        <f t="shared" si="416"/>
        <v>4202178</v>
      </c>
      <c r="GJ127" s="179">
        <f t="shared" si="356"/>
        <v>0</v>
      </c>
      <c r="GK127" s="9">
        <v>4202178</v>
      </c>
      <c r="GL127" s="18" t="s">
        <v>238</v>
      </c>
      <c r="GM127" s="18" t="s">
        <v>238</v>
      </c>
      <c r="GN127" s="56">
        <f t="shared" si="417"/>
        <v>4202178</v>
      </c>
      <c r="GO127" s="321">
        <f t="shared" si="418"/>
        <v>4202178</v>
      </c>
      <c r="GP127" s="179">
        <f t="shared" si="357"/>
        <v>0</v>
      </c>
      <c r="GQ127" s="9">
        <v>0</v>
      </c>
      <c r="GR127" s="18" t="s">
        <v>238</v>
      </c>
      <c r="GS127" s="18" t="s">
        <v>238</v>
      </c>
      <c r="GT127" s="324">
        <f t="shared" si="419"/>
        <v>0</v>
      </c>
      <c r="GU127" s="321">
        <f t="shared" si="420"/>
        <v>0</v>
      </c>
      <c r="GV127" s="22">
        <f t="shared" si="358"/>
        <v>-4202178</v>
      </c>
      <c r="GW127" s="9">
        <v>0</v>
      </c>
      <c r="GX127" s="18" t="s">
        <v>238</v>
      </c>
      <c r="GY127" s="18" t="s">
        <v>238</v>
      </c>
      <c r="GZ127" s="324">
        <f t="shared" si="421"/>
        <v>0</v>
      </c>
      <c r="HA127" s="321">
        <f t="shared" si="422"/>
        <v>0</v>
      </c>
      <c r="HB127" s="179">
        <f t="shared" si="359"/>
        <v>0</v>
      </c>
      <c r="HC127" s="102">
        <f t="shared" si="360"/>
        <v>0</v>
      </c>
      <c r="HD127" s="285">
        <f t="shared" si="361"/>
        <v>0</v>
      </c>
      <c r="HE127" s="12">
        <f t="shared" si="362"/>
        <v>0</v>
      </c>
      <c r="HF127" s="12">
        <f t="shared" si="363"/>
        <v>0</v>
      </c>
      <c r="HG127" s="12">
        <f t="shared" si="364"/>
        <v>0</v>
      </c>
      <c r="HH127" s="14">
        <f t="shared" si="365"/>
        <v>0</v>
      </c>
      <c r="HI127" s="13">
        <f t="shared" si="366"/>
        <v>0</v>
      </c>
      <c r="HJ127" s="102">
        <f t="shared" si="367"/>
        <v>0</v>
      </c>
      <c r="HK127" s="16">
        <f t="shared" si="368"/>
        <v>0</v>
      </c>
      <c r="HL127" s="103">
        <f t="shared" si="369"/>
        <v>0</v>
      </c>
      <c r="HM127" s="103">
        <f t="shared" si="370"/>
        <v>0</v>
      </c>
      <c r="HN127" s="17">
        <f t="shared" si="371"/>
        <v>0</v>
      </c>
      <c r="HO127" s="56">
        <f t="shared" si="372"/>
        <v>0</v>
      </c>
      <c r="HP127" s="16">
        <f t="shared" si="373"/>
        <v>0</v>
      </c>
      <c r="HQ127" s="16">
        <f t="shared" si="374"/>
        <v>0</v>
      </c>
      <c r="HR127" s="16">
        <f t="shared" si="375"/>
        <v>0</v>
      </c>
    </row>
    <row r="128" spans="1:226" x14ac:dyDescent="0.3">
      <c r="A128" s="140"/>
      <c r="B128" s="140"/>
      <c r="C128" s="140"/>
      <c r="D128" s="141" t="s">
        <v>372</v>
      </c>
      <c r="E128" s="117">
        <f t="shared" ref="E128:BP128" si="423">SUM(E121:E127)</f>
        <v>0</v>
      </c>
      <c r="F128" s="117">
        <f t="shared" si="423"/>
        <v>37446152</v>
      </c>
      <c r="G128" s="117">
        <f t="shared" si="423"/>
        <v>0</v>
      </c>
      <c r="H128" s="117">
        <f t="shared" si="423"/>
        <v>0</v>
      </c>
      <c r="I128" s="117">
        <f t="shared" si="423"/>
        <v>37446152</v>
      </c>
      <c r="J128" s="117">
        <f t="shared" si="423"/>
        <v>37446152</v>
      </c>
      <c r="K128" s="117">
        <f t="shared" si="423"/>
        <v>0</v>
      </c>
      <c r="L128" s="117">
        <f t="shared" si="423"/>
        <v>37446152</v>
      </c>
      <c r="M128" s="117">
        <f t="shared" si="423"/>
        <v>37446152</v>
      </c>
      <c r="N128" s="117">
        <f t="shared" si="423"/>
        <v>37446152</v>
      </c>
      <c r="O128" s="117">
        <f t="shared" si="423"/>
        <v>37446152</v>
      </c>
      <c r="P128" s="117">
        <f t="shared" si="423"/>
        <v>37446152</v>
      </c>
      <c r="Q128" s="117">
        <f t="shared" si="423"/>
        <v>37446152</v>
      </c>
      <c r="R128" s="117">
        <f t="shared" si="423"/>
        <v>37446152</v>
      </c>
      <c r="S128" s="117">
        <f t="shared" si="423"/>
        <v>37446152</v>
      </c>
      <c r="T128" s="117">
        <f t="shared" si="423"/>
        <v>37446152</v>
      </c>
      <c r="U128" s="117">
        <f t="shared" si="423"/>
        <v>1872307.6</v>
      </c>
      <c r="V128" s="117">
        <f t="shared" si="423"/>
        <v>39318459.600000001</v>
      </c>
      <c r="W128" s="117">
        <f t="shared" si="423"/>
        <v>39318457</v>
      </c>
      <c r="X128" s="117">
        <f t="shared" si="423"/>
        <v>39318457</v>
      </c>
      <c r="Y128" s="117">
        <f t="shared" si="423"/>
        <v>39318457</v>
      </c>
      <c r="Z128" s="117">
        <f t="shared" si="423"/>
        <v>39318457</v>
      </c>
      <c r="AA128" s="117">
        <f t="shared" si="423"/>
        <v>39318457</v>
      </c>
      <c r="AB128" s="117">
        <f t="shared" si="423"/>
        <v>39318457</v>
      </c>
      <c r="AC128" s="117">
        <f t="shared" si="423"/>
        <v>0</v>
      </c>
      <c r="AD128" s="117">
        <f t="shared" si="423"/>
        <v>0</v>
      </c>
      <c r="AE128" s="117">
        <f t="shared" si="423"/>
        <v>39318457</v>
      </c>
      <c r="AF128" s="117">
        <f t="shared" si="423"/>
        <v>39318457</v>
      </c>
      <c r="AG128" s="117">
        <f t="shared" si="423"/>
        <v>0</v>
      </c>
      <c r="AH128" s="117">
        <f t="shared" si="423"/>
        <v>0</v>
      </c>
      <c r="AI128" s="117">
        <f t="shared" si="423"/>
        <v>39318457</v>
      </c>
      <c r="AJ128" s="117">
        <f t="shared" si="423"/>
        <v>39318457</v>
      </c>
      <c r="AK128" s="117">
        <f t="shared" si="423"/>
        <v>0</v>
      </c>
      <c r="AL128" s="117">
        <f t="shared" si="423"/>
        <v>0</v>
      </c>
      <c r="AM128" s="117">
        <f t="shared" si="423"/>
        <v>39318457</v>
      </c>
      <c r="AN128" s="117">
        <f t="shared" si="423"/>
        <v>39318457</v>
      </c>
      <c r="AO128" s="117">
        <f t="shared" si="423"/>
        <v>0</v>
      </c>
      <c r="AP128" s="117">
        <f t="shared" si="423"/>
        <v>0</v>
      </c>
      <c r="AQ128" s="117">
        <f t="shared" si="423"/>
        <v>39318457</v>
      </c>
      <c r="AR128" s="117">
        <f t="shared" si="423"/>
        <v>39318457</v>
      </c>
      <c r="AS128" s="117">
        <f t="shared" si="423"/>
        <v>0</v>
      </c>
      <c r="AT128" s="117">
        <f t="shared" si="423"/>
        <v>0</v>
      </c>
      <c r="AU128" s="117">
        <f t="shared" si="423"/>
        <v>39318457</v>
      </c>
      <c r="AV128" s="117">
        <f t="shared" si="423"/>
        <v>39318457</v>
      </c>
      <c r="AW128" s="117">
        <f t="shared" si="423"/>
        <v>0</v>
      </c>
      <c r="AX128" s="117">
        <f t="shared" si="423"/>
        <v>0</v>
      </c>
      <c r="AY128" s="117">
        <f t="shared" si="423"/>
        <v>39318457</v>
      </c>
      <c r="AZ128" s="117">
        <f t="shared" si="423"/>
        <v>1965922.8499999999</v>
      </c>
      <c r="BA128" s="117">
        <f t="shared" si="423"/>
        <v>2.85</v>
      </c>
      <c r="BB128" s="117">
        <f t="shared" si="423"/>
        <v>1965920</v>
      </c>
      <c r="BC128" s="117">
        <f t="shared" si="423"/>
        <v>41284377</v>
      </c>
      <c r="BD128" s="117">
        <f t="shared" si="423"/>
        <v>0</v>
      </c>
      <c r="BE128" s="117">
        <f t="shared" si="423"/>
        <v>41284377</v>
      </c>
      <c r="BF128" s="117">
        <f t="shared" si="423"/>
        <v>1965920</v>
      </c>
      <c r="BG128" s="117">
        <f t="shared" si="423"/>
        <v>0</v>
      </c>
      <c r="BH128" s="117">
        <f t="shared" si="423"/>
        <v>41284377</v>
      </c>
      <c r="BI128" s="117">
        <f t="shared" si="423"/>
        <v>0</v>
      </c>
      <c r="BJ128" s="117">
        <f t="shared" si="423"/>
        <v>0</v>
      </c>
      <c r="BK128" s="117">
        <f t="shared" si="423"/>
        <v>41284377</v>
      </c>
      <c r="BL128" s="117">
        <f t="shared" si="423"/>
        <v>41284377</v>
      </c>
      <c r="BM128" s="117">
        <f t="shared" si="423"/>
        <v>0</v>
      </c>
      <c r="BN128" s="117">
        <f t="shared" si="423"/>
        <v>0</v>
      </c>
      <c r="BO128" s="117">
        <f t="shared" si="423"/>
        <v>41284377</v>
      </c>
      <c r="BP128" s="117">
        <f t="shared" si="423"/>
        <v>0</v>
      </c>
      <c r="BQ128" s="117">
        <f t="shared" ref="BQ128:EB128" si="424">SUM(BQ121:BQ127)</f>
        <v>41284377</v>
      </c>
      <c r="BR128" s="117">
        <f t="shared" si="424"/>
        <v>0</v>
      </c>
      <c r="BS128" s="117">
        <f t="shared" si="424"/>
        <v>0</v>
      </c>
      <c r="BT128" s="117">
        <f t="shared" si="424"/>
        <v>41284377</v>
      </c>
      <c r="BU128" s="117">
        <f t="shared" si="424"/>
        <v>0</v>
      </c>
      <c r="BV128" s="117">
        <f t="shared" si="424"/>
        <v>41284377</v>
      </c>
      <c r="BW128" s="117">
        <f t="shared" si="424"/>
        <v>0</v>
      </c>
      <c r="BX128" s="117">
        <f t="shared" si="424"/>
        <v>0</v>
      </c>
      <c r="BY128" s="117">
        <f t="shared" si="424"/>
        <v>41284377</v>
      </c>
      <c r="BZ128" s="117">
        <f t="shared" si="424"/>
        <v>0</v>
      </c>
      <c r="CA128" s="117">
        <f t="shared" si="424"/>
        <v>41284377</v>
      </c>
      <c r="CB128" s="117">
        <f t="shared" si="424"/>
        <v>0</v>
      </c>
      <c r="CC128" s="117">
        <f t="shared" si="424"/>
        <v>0</v>
      </c>
      <c r="CD128" s="117">
        <f t="shared" si="424"/>
        <v>41284377</v>
      </c>
      <c r="CE128" s="117">
        <f t="shared" si="424"/>
        <v>0</v>
      </c>
      <c r="CF128" s="117">
        <f t="shared" si="424"/>
        <v>41284377</v>
      </c>
      <c r="CG128" s="117">
        <f t="shared" si="424"/>
        <v>0</v>
      </c>
      <c r="CH128" s="117">
        <f t="shared" si="424"/>
        <v>0</v>
      </c>
      <c r="CI128" s="117">
        <f t="shared" si="424"/>
        <v>41284377</v>
      </c>
      <c r="CJ128" s="117">
        <f t="shared" si="424"/>
        <v>0</v>
      </c>
      <c r="CK128" s="117">
        <f t="shared" si="424"/>
        <v>41284377</v>
      </c>
      <c r="CL128" s="117">
        <f t="shared" si="424"/>
        <v>0</v>
      </c>
      <c r="CM128" s="117">
        <f t="shared" si="424"/>
        <v>0</v>
      </c>
      <c r="CN128" s="117">
        <f t="shared" si="424"/>
        <v>41284377</v>
      </c>
      <c r="CO128" s="117">
        <f t="shared" si="424"/>
        <v>0</v>
      </c>
      <c r="CP128" s="117">
        <f t="shared" si="424"/>
        <v>41284377</v>
      </c>
      <c r="CQ128" s="117">
        <f t="shared" si="424"/>
        <v>0</v>
      </c>
      <c r="CR128" s="117">
        <f t="shared" si="424"/>
        <v>0</v>
      </c>
      <c r="CS128" s="117">
        <f t="shared" si="424"/>
        <v>41284377</v>
      </c>
      <c r="CT128" s="117">
        <f t="shared" si="424"/>
        <v>0</v>
      </c>
      <c r="CU128" s="117">
        <f t="shared" si="424"/>
        <v>41284377</v>
      </c>
      <c r="CV128" s="117">
        <f t="shared" si="424"/>
        <v>0</v>
      </c>
      <c r="CW128" s="117">
        <f t="shared" si="424"/>
        <v>0</v>
      </c>
      <c r="CX128" s="117">
        <f t="shared" si="424"/>
        <v>41284377</v>
      </c>
      <c r="CY128" s="117">
        <f t="shared" si="424"/>
        <v>0</v>
      </c>
      <c r="CZ128" s="117">
        <f t="shared" si="424"/>
        <v>0</v>
      </c>
      <c r="DA128" s="117">
        <f t="shared" si="424"/>
        <v>0</v>
      </c>
      <c r="DB128" s="117">
        <f t="shared" si="424"/>
        <v>0</v>
      </c>
      <c r="DC128" s="117">
        <f t="shared" si="424"/>
        <v>4128437.7</v>
      </c>
      <c r="DD128" s="117">
        <f t="shared" si="424"/>
        <v>2.7</v>
      </c>
      <c r="DE128" s="117">
        <f t="shared" si="424"/>
        <v>4128435</v>
      </c>
      <c r="DF128" s="117">
        <f t="shared" si="424"/>
        <v>4128435</v>
      </c>
      <c r="DG128" s="117">
        <f t="shared" si="424"/>
        <v>45412812</v>
      </c>
      <c r="DH128" s="117">
        <f t="shared" si="424"/>
        <v>3.2293863836497625</v>
      </c>
      <c r="DI128" s="117">
        <f t="shared" si="424"/>
        <v>41284377</v>
      </c>
      <c r="DJ128" s="117">
        <f t="shared" si="424"/>
        <v>45412814.700000003</v>
      </c>
      <c r="DK128" s="117">
        <f t="shared" si="424"/>
        <v>4128437.7000000034</v>
      </c>
      <c r="DL128" s="117">
        <f t="shared" si="424"/>
        <v>2.7</v>
      </c>
      <c r="DM128" s="117">
        <f t="shared" si="424"/>
        <v>4128435.0000000028</v>
      </c>
      <c r="DN128" s="117">
        <f t="shared" si="424"/>
        <v>8.2945916801691055E-10</v>
      </c>
      <c r="DO128" s="117">
        <f t="shared" si="424"/>
        <v>45412812</v>
      </c>
      <c r="DP128" s="117">
        <f t="shared" si="424"/>
        <v>0</v>
      </c>
      <c r="DQ128" s="117">
        <f t="shared" si="424"/>
        <v>45412812</v>
      </c>
      <c r="DR128" s="117">
        <f t="shared" si="424"/>
        <v>0</v>
      </c>
      <c r="DS128" s="117">
        <f t="shared" si="424"/>
        <v>0</v>
      </c>
      <c r="DT128" s="117">
        <f t="shared" si="424"/>
        <v>45412812</v>
      </c>
      <c r="DU128" s="117">
        <f t="shared" si="424"/>
        <v>45412812</v>
      </c>
      <c r="DV128" s="117">
        <f t="shared" si="424"/>
        <v>0</v>
      </c>
      <c r="DW128" s="117">
        <f t="shared" si="424"/>
        <v>45412812</v>
      </c>
      <c r="DX128" s="117">
        <f t="shared" si="424"/>
        <v>0</v>
      </c>
      <c r="DY128" s="117">
        <f t="shared" si="424"/>
        <v>0</v>
      </c>
      <c r="DZ128" s="117">
        <f t="shared" si="424"/>
        <v>45412812</v>
      </c>
      <c r="EA128" s="117">
        <f t="shared" si="424"/>
        <v>45412812</v>
      </c>
      <c r="EB128" s="117">
        <f t="shared" si="424"/>
        <v>0</v>
      </c>
      <c r="EC128" s="117">
        <f t="shared" ref="EC128:FL128" si="425">SUM(EC121:EC127)</f>
        <v>45412812</v>
      </c>
      <c r="ED128" s="117">
        <f t="shared" si="425"/>
        <v>0</v>
      </c>
      <c r="EE128" s="117">
        <f t="shared" si="425"/>
        <v>0</v>
      </c>
      <c r="EF128" s="117">
        <f t="shared" si="425"/>
        <v>45412812</v>
      </c>
      <c r="EG128" s="117">
        <f t="shared" si="425"/>
        <v>45412812</v>
      </c>
      <c r="EH128" s="117">
        <f t="shared" si="425"/>
        <v>0</v>
      </c>
      <c r="EI128" s="117">
        <f t="shared" si="425"/>
        <v>45412812</v>
      </c>
      <c r="EJ128" s="117">
        <f t="shared" si="425"/>
        <v>0</v>
      </c>
      <c r="EK128" s="117">
        <f t="shared" si="425"/>
        <v>0</v>
      </c>
      <c r="EL128" s="117">
        <f t="shared" si="425"/>
        <v>45412812</v>
      </c>
      <c r="EM128" s="117">
        <f t="shared" si="425"/>
        <v>45412812</v>
      </c>
      <c r="EN128" s="117">
        <f t="shared" si="425"/>
        <v>0</v>
      </c>
      <c r="EO128" s="117">
        <f t="shared" si="425"/>
        <v>45412812</v>
      </c>
      <c r="EP128" s="117">
        <f t="shared" si="425"/>
        <v>0</v>
      </c>
      <c r="EQ128" s="117">
        <f t="shared" si="425"/>
        <v>0</v>
      </c>
      <c r="ER128" s="117">
        <f t="shared" si="425"/>
        <v>45412812</v>
      </c>
      <c r="ES128" s="117">
        <f t="shared" si="425"/>
        <v>45412812</v>
      </c>
      <c r="ET128" s="117">
        <f t="shared" si="425"/>
        <v>0</v>
      </c>
      <c r="EU128" s="117">
        <f t="shared" si="425"/>
        <v>45412812</v>
      </c>
      <c r="EV128" s="117">
        <f t="shared" si="425"/>
        <v>0</v>
      </c>
      <c r="EW128" s="117">
        <f t="shared" si="425"/>
        <v>0</v>
      </c>
      <c r="EX128" s="117">
        <f t="shared" si="425"/>
        <v>45412812</v>
      </c>
      <c r="EY128" s="117">
        <f t="shared" si="425"/>
        <v>45412812</v>
      </c>
      <c r="EZ128" s="117">
        <f t="shared" si="425"/>
        <v>0</v>
      </c>
      <c r="FA128" s="117">
        <f t="shared" si="425"/>
        <v>45412812</v>
      </c>
      <c r="FB128" s="117">
        <f t="shared" si="425"/>
        <v>0</v>
      </c>
      <c r="FC128" s="117">
        <f t="shared" si="425"/>
        <v>0</v>
      </c>
      <c r="FD128" s="117">
        <f t="shared" si="425"/>
        <v>45412812</v>
      </c>
      <c r="FE128" s="117">
        <f t="shared" si="425"/>
        <v>45412812</v>
      </c>
      <c r="FF128" s="117">
        <f t="shared" si="425"/>
        <v>0</v>
      </c>
      <c r="FG128" s="117">
        <f t="shared" si="425"/>
        <v>45412812</v>
      </c>
      <c r="FH128" s="117">
        <f t="shared" si="425"/>
        <v>0</v>
      </c>
      <c r="FI128" s="117">
        <f t="shared" si="425"/>
        <v>0</v>
      </c>
      <c r="FJ128" s="117">
        <f t="shared" si="425"/>
        <v>45412812</v>
      </c>
      <c r="FK128" s="117">
        <f t="shared" si="425"/>
        <v>45412812</v>
      </c>
      <c r="FL128" s="117">
        <f t="shared" si="425"/>
        <v>0</v>
      </c>
      <c r="FM128" s="117">
        <f t="shared" ref="FM128:FR128" si="426">SUM(FM121:FM127)</f>
        <v>45412812</v>
      </c>
      <c r="FN128" s="117">
        <f t="shared" si="426"/>
        <v>0</v>
      </c>
      <c r="FO128" s="117">
        <f t="shared" si="426"/>
        <v>0</v>
      </c>
      <c r="FP128" s="117">
        <f t="shared" si="426"/>
        <v>45412812</v>
      </c>
      <c r="FQ128" s="117">
        <f t="shared" si="426"/>
        <v>45412812</v>
      </c>
      <c r="FR128" s="117">
        <f t="shared" si="426"/>
        <v>0</v>
      </c>
      <c r="FS128" s="117">
        <f t="shared" ref="FS128:FX128" si="427">SUM(FS121:FS127)</f>
        <v>45412812</v>
      </c>
      <c r="FT128" s="117">
        <f t="shared" si="427"/>
        <v>0</v>
      </c>
      <c r="FU128" s="117">
        <f t="shared" si="427"/>
        <v>0</v>
      </c>
      <c r="FV128" s="117">
        <f t="shared" si="427"/>
        <v>45412812</v>
      </c>
      <c r="FW128" s="117">
        <f t="shared" si="427"/>
        <v>45412812</v>
      </c>
      <c r="FX128" s="117">
        <f t="shared" si="427"/>
        <v>0</v>
      </c>
      <c r="FY128" s="117">
        <f t="shared" ref="FY128:GD128" si="428">SUM(FY121:FY127)</f>
        <v>45412812</v>
      </c>
      <c r="FZ128" s="117">
        <f t="shared" si="428"/>
        <v>0</v>
      </c>
      <c r="GA128" s="117">
        <f t="shared" si="428"/>
        <v>0</v>
      </c>
      <c r="GB128" s="117">
        <f t="shared" si="428"/>
        <v>45412812</v>
      </c>
      <c r="GC128" s="117">
        <f t="shared" si="428"/>
        <v>45412812</v>
      </c>
      <c r="GD128" s="117">
        <f t="shared" si="428"/>
        <v>0</v>
      </c>
      <c r="GE128" s="117">
        <f t="shared" ref="GE128:GJ128" si="429">SUM(GE121:GE127)</f>
        <v>45412812</v>
      </c>
      <c r="GF128" s="117">
        <f t="shared" si="429"/>
        <v>0</v>
      </c>
      <c r="GG128" s="117">
        <f t="shared" si="429"/>
        <v>0</v>
      </c>
      <c r="GH128" s="117">
        <f t="shared" si="429"/>
        <v>45412812</v>
      </c>
      <c r="GI128" s="117">
        <f t="shared" si="429"/>
        <v>45412812</v>
      </c>
      <c r="GJ128" s="117">
        <f t="shared" si="429"/>
        <v>0</v>
      </c>
      <c r="GK128" s="117">
        <f t="shared" ref="GK128:GP128" si="430">SUM(GK121:GK127)</f>
        <v>45412812</v>
      </c>
      <c r="GL128" s="117">
        <f t="shared" si="430"/>
        <v>0</v>
      </c>
      <c r="GM128" s="117">
        <f t="shared" si="430"/>
        <v>0</v>
      </c>
      <c r="GN128" s="117">
        <f t="shared" si="430"/>
        <v>45412812</v>
      </c>
      <c r="GO128" s="117">
        <f t="shared" si="430"/>
        <v>45412812</v>
      </c>
      <c r="GP128" s="117">
        <f t="shared" si="430"/>
        <v>0</v>
      </c>
      <c r="GQ128" s="117">
        <f t="shared" ref="GQ128:GV128" si="431">SUM(GQ121:GQ127)</f>
        <v>45412812</v>
      </c>
      <c r="GR128" s="117">
        <f t="shared" si="431"/>
        <v>0</v>
      </c>
      <c r="GS128" s="117">
        <f t="shared" si="431"/>
        <v>0</v>
      </c>
      <c r="GT128" s="117">
        <f t="shared" si="431"/>
        <v>45412812</v>
      </c>
      <c r="GU128" s="117">
        <f t="shared" si="431"/>
        <v>45412812</v>
      </c>
      <c r="GV128" s="117">
        <f t="shared" si="431"/>
        <v>0</v>
      </c>
      <c r="GW128" s="117">
        <f t="shared" ref="GW128:HB128" si="432">SUM(GW121:GW127)</f>
        <v>47683448</v>
      </c>
      <c r="GX128" s="117">
        <f t="shared" si="432"/>
        <v>0</v>
      </c>
      <c r="GY128" s="117">
        <f t="shared" si="432"/>
        <v>0</v>
      </c>
      <c r="GZ128" s="117">
        <f t="shared" si="432"/>
        <v>47683448</v>
      </c>
      <c r="HA128" s="117">
        <f t="shared" si="432"/>
        <v>47683448</v>
      </c>
      <c r="HB128" s="117">
        <f t="shared" si="432"/>
        <v>2270636</v>
      </c>
      <c r="HC128" s="117">
        <f>SUM(HC121:HC127)</f>
        <v>3.2293861916479392</v>
      </c>
    </row>
    <row r="129" spans="1:226" x14ac:dyDescent="0.3">
      <c r="A129" s="98"/>
      <c r="B129" s="98"/>
      <c r="C129" s="98"/>
      <c r="D129" s="99"/>
      <c r="E129" s="108"/>
      <c r="F129" s="108"/>
      <c r="G129" s="108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127">
        <f>AY128*10*5%</f>
        <v>19659228.5</v>
      </c>
      <c r="AZ129" s="20"/>
      <c r="BA129" s="20"/>
      <c r="BB129" s="20"/>
      <c r="BC129" s="20"/>
      <c r="BD129" s="20"/>
      <c r="BE129" s="20"/>
      <c r="BF129" s="100"/>
      <c r="BG129" s="100"/>
      <c r="BH129" s="100"/>
      <c r="BI129" s="100"/>
      <c r="BJ129" s="100"/>
      <c r="BK129" s="100"/>
      <c r="BL129" s="100"/>
      <c r="BM129" s="100"/>
      <c r="BN129" s="100"/>
      <c r="BO129" s="100"/>
      <c r="BP129" s="100"/>
      <c r="BQ129" s="100"/>
      <c r="BR129" s="100"/>
      <c r="BS129" s="100"/>
      <c r="BT129" s="100"/>
      <c r="BU129" s="100"/>
      <c r="BV129" s="100"/>
      <c r="BW129" s="100"/>
      <c r="BX129" s="100"/>
      <c r="BY129" s="100"/>
      <c r="BZ129" s="100"/>
      <c r="CA129" s="100"/>
      <c r="CB129" s="100"/>
      <c r="CC129" s="100"/>
      <c r="CD129" s="100"/>
      <c r="CE129" s="100"/>
      <c r="CF129" s="100"/>
      <c r="CG129" s="100"/>
      <c r="CH129" s="100"/>
      <c r="CI129" s="100"/>
      <c r="CJ129" s="100"/>
      <c r="CK129" s="100"/>
      <c r="CL129" s="100"/>
      <c r="CM129" s="100"/>
      <c r="CN129" s="100"/>
      <c r="CO129" s="100"/>
      <c r="CP129" s="100"/>
      <c r="CQ129" s="100"/>
      <c r="CR129" s="100"/>
      <c r="CS129" s="100"/>
      <c r="CT129" s="100"/>
      <c r="CU129" s="100"/>
      <c r="CV129" s="100"/>
      <c r="CW129" s="100"/>
      <c r="CX129" s="100"/>
      <c r="CY129" s="100"/>
      <c r="CZ129" s="100"/>
      <c r="DA129" s="100"/>
      <c r="DB129" s="100"/>
      <c r="DC129" s="100"/>
      <c r="DD129" s="100"/>
      <c r="DE129" s="100"/>
      <c r="DF129" s="100"/>
      <c r="DG129" s="100"/>
      <c r="DH129" s="114"/>
    </row>
    <row r="130" spans="1:226" x14ac:dyDescent="0.3">
      <c r="A130" s="98"/>
      <c r="B130" s="98"/>
      <c r="C130" s="98"/>
      <c r="D130" s="99"/>
      <c r="E130" s="108"/>
      <c r="F130" s="108"/>
      <c r="G130" s="108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100"/>
      <c r="BG130" s="100"/>
      <c r="BH130" s="100"/>
      <c r="BI130" s="100"/>
      <c r="BJ130" s="100"/>
      <c r="BK130" s="100"/>
      <c r="BL130" s="100"/>
      <c r="BM130" s="100"/>
      <c r="BN130" s="100"/>
      <c r="BO130" s="100"/>
      <c r="BP130" s="100"/>
      <c r="BQ130" s="100"/>
      <c r="BR130" s="100"/>
      <c r="BS130" s="100"/>
      <c r="BT130" s="100"/>
      <c r="BU130" s="100"/>
      <c r="BV130" s="100"/>
      <c r="BW130" s="100"/>
      <c r="BX130" s="100"/>
      <c r="BY130" s="100"/>
      <c r="BZ130" s="100"/>
      <c r="CA130" s="100"/>
      <c r="CB130" s="100"/>
      <c r="CC130" s="100"/>
      <c r="CD130" s="100"/>
      <c r="CE130" s="100"/>
      <c r="CF130" s="100"/>
      <c r="CG130" s="100"/>
      <c r="CH130" s="100"/>
      <c r="CI130" s="100"/>
      <c r="CJ130" s="100"/>
      <c r="CK130" s="100"/>
      <c r="CL130" s="100"/>
      <c r="CM130" s="100"/>
      <c r="CN130" s="100"/>
      <c r="CO130" s="100"/>
      <c r="CP130" s="100"/>
      <c r="CQ130" s="100"/>
      <c r="CR130" s="100"/>
      <c r="CS130" s="100"/>
      <c r="CT130" s="100"/>
      <c r="CU130" s="100"/>
      <c r="CV130" s="100"/>
      <c r="CW130" s="100"/>
      <c r="CX130" s="100"/>
      <c r="CY130" s="100"/>
      <c r="CZ130" s="100"/>
      <c r="DA130" s="100"/>
      <c r="DB130" s="100"/>
      <c r="DC130" s="100"/>
      <c r="DD130" s="100"/>
      <c r="DE130" s="100"/>
      <c r="DF130" s="100"/>
      <c r="DG130" s="100"/>
      <c r="DH130" s="114"/>
    </row>
    <row r="131" spans="1:226" s="74" customFormat="1" ht="52.5" customHeight="1" x14ac:dyDescent="0.3">
      <c r="A131" s="85" t="s">
        <v>0</v>
      </c>
      <c r="B131" s="85" t="s">
        <v>1</v>
      </c>
      <c r="C131" s="85" t="s">
        <v>217</v>
      </c>
      <c r="D131" s="86" t="s">
        <v>218</v>
      </c>
      <c r="E131" s="87" t="s">
        <v>233</v>
      </c>
      <c r="F131" s="87" t="s">
        <v>234</v>
      </c>
      <c r="G131" s="87" t="s">
        <v>235</v>
      </c>
      <c r="H131" s="87" t="s">
        <v>383</v>
      </c>
      <c r="I131" s="87" t="s">
        <v>382</v>
      </c>
      <c r="J131" s="87" t="s">
        <v>381</v>
      </c>
      <c r="K131" s="87" t="s">
        <v>380</v>
      </c>
      <c r="L131" s="87" t="s">
        <v>379</v>
      </c>
      <c r="M131" s="87" t="s">
        <v>378</v>
      </c>
      <c r="N131" s="87" t="s">
        <v>377</v>
      </c>
      <c r="O131" s="87" t="s">
        <v>394</v>
      </c>
      <c r="P131" s="87" t="s">
        <v>413</v>
      </c>
      <c r="Q131" s="87" t="s">
        <v>415</v>
      </c>
      <c r="R131" s="87" t="s">
        <v>417</v>
      </c>
      <c r="S131" s="87" t="s">
        <v>420</v>
      </c>
      <c r="T131" s="87" t="s">
        <v>421</v>
      </c>
      <c r="U131" s="87" t="s">
        <v>425</v>
      </c>
      <c r="V131" s="87" t="s">
        <v>426</v>
      </c>
      <c r="W131" s="87" t="s">
        <v>424</v>
      </c>
      <c r="X131" s="87" t="s">
        <v>437</v>
      </c>
      <c r="Y131" s="87" t="s">
        <v>439</v>
      </c>
      <c r="Z131" s="87" t="s">
        <v>447</v>
      </c>
      <c r="AA131" s="87" t="s">
        <v>458</v>
      </c>
      <c r="AB131" s="420" t="s">
        <v>459</v>
      </c>
      <c r="AC131" s="422"/>
      <c r="AD131" s="422"/>
      <c r="AE131" s="421"/>
      <c r="AF131" s="433" t="s">
        <v>462</v>
      </c>
      <c r="AG131" s="434"/>
      <c r="AH131" s="434"/>
      <c r="AI131" s="435"/>
      <c r="AJ131" s="420" t="s">
        <v>466</v>
      </c>
      <c r="AK131" s="422"/>
      <c r="AL131" s="422"/>
      <c r="AM131" s="421"/>
      <c r="AN131" s="433" t="s">
        <v>470</v>
      </c>
      <c r="AO131" s="434"/>
      <c r="AP131" s="434"/>
      <c r="AQ131" s="435"/>
      <c r="AR131" s="420" t="s">
        <v>478</v>
      </c>
      <c r="AS131" s="422"/>
      <c r="AT131" s="422"/>
      <c r="AU131" s="421"/>
      <c r="AV131" s="433" t="s">
        <v>483</v>
      </c>
      <c r="AW131" s="434"/>
      <c r="AX131" s="434"/>
      <c r="AY131" s="435"/>
      <c r="AZ131" s="436" t="s">
        <v>503</v>
      </c>
      <c r="BA131" s="436" t="s">
        <v>488</v>
      </c>
      <c r="BB131" s="436" t="s">
        <v>489</v>
      </c>
      <c r="BC131" s="436" t="s">
        <v>423</v>
      </c>
      <c r="BD131" s="436" t="s">
        <v>507</v>
      </c>
      <c r="BE131" s="436" t="s">
        <v>531</v>
      </c>
      <c r="BF131" s="437" t="s">
        <v>508</v>
      </c>
      <c r="BG131" s="437" t="s">
        <v>509</v>
      </c>
      <c r="BH131" s="420" t="s">
        <v>532</v>
      </c>
      <c r="BI131" s="422"/>
      <c r="BJ131" s="422"/>
      <c r="BK131" s="421"/>
      <c r="BL131" s="433" t="s">
        <v>539</v>
      </c>
      <c r="BM131" s="434"/>
      <c r="BN131" s="434"/>
      <c r="BO131" s="435"/>
      <c r="BP131" s="438" t="s">
        <v>538</v>
      </c>
      <c r="BQ131" s="420" t="s">
        <v>542</v>
      </c>
      <c r="BR131" s="422"/>
      <c r="BS131" s="422"/>
      <c r="BT131" s="421"/>
      <c r="BU131" s="438" t="s">
        <v>541</v>
      </c>
      <c r="BV131" s="420" t="s">
        <v>552</v>
      </c>
      <c r="BW131" s="422"/>
      <c r="BX131" s="422"/>
      <c r="BY131" s="421"/>
      <c r="BZ131" s="438" t="s">
        <v>553</v>
      </c>
      <c r="CA131" s="420" t="s">
        <v>578</v>
      </c>
      <c r="CB131" s="422"/>
      <c r="CC131" s="422"/>
      <c r="CD131" s="421"/>
      <c r="CE131" s="438" t="s">
        <v>579</v>
      </c>
      <c r="CF131" s="420" t="s">
        <v>581</v>
      </c>
      <c r="CG131" s="422"/>
      <c r="CH131" s="422"/>
      <c r="CI131" s="421"/>
      <c r="CJ131" s="438" t="s">
        <v>580</v>
      </c>
      <c r="CK131" s="420" t="s">
        <v>585</v>
      </c>
      <c r="CL131" s="422"/>
      <c r="CM131" s="422"/>
      <c r="CN131" s="421"/>
      <c r="CO131" s="438" t="s">
        <v>580</v>
      </c>
      <c r="CP131" s="420" t="s">
        <v>587</v>
      </c>
      <c r="CQ131" s="422"/>
      <c r="CR131" s="422"/>
      <c r="CS131" s="421"/>
      <c r="CT131" s="438" t="s">
        <v>588</v>
      </c>
      <c r="CU131" s="420" t="s">
        <v>590</v>
      </c>
      <c r="CV131" s="422"/>
      <c r="CW131" s="422"/>
      <c r="CX131" s="421"/>
      <c r="CY131" s="438" t="s">
        <v>591</v>
      </c>
      <c r="CZ131" s="294"/>
      <c r="DA131" s="294"/>
      <c r="DB131" s="294"/>
      <c r="DC131" s="95" t="s">
        <v>602</v>
      </c>
      <c r="DD131" s="95" t="s">
        <v>488</v>
      </c>
      <c r="DE131" s="95" t="s">
        <v>489</v>
      </c>
      <c r="DF131" s="95" t="s">
        <v>603</v>
      </c>
      <c r="DG131" s="95" t="s">
        <v>423</v>
      </c>
      <c r="DH131" s="85" t="s">
        <v>2</v>
      </c>
      <c r="DI131" s="427" t="s">
        <v>613</v>
      </c>
      <c r="DJ131" s="427"/>
      <c r="DK131" s="427"/>
      <c r="DL131" s="427"/>
      <c r="DM131" s="427"/>
      <c r="DN131" s="427"/>
      <c r="DO131" s="427"/>
      <c r="DP131" s="427"/>
      <c r="DQ131" s="423" t="s">
        <v>614</v>
      </c>
      <c r="DR131" s="424"/>
      <c r="DS131" s="424"/>
      <c r="DT131" s="424"/>
      <c r="DU131" s="425"/>
      <c r="DV131" s="87" t="s">
        <v>615</v>
      </c>
      <c r="DW131" s="423" t="s">
        <v>623</v>
      </c>
      <c r="DX131" s="424"/>
      <c r="DY131" s="424"/>
      <c r="DZ131" s="424"/>
      <c r="EA131" s="425"/>
      <c r="EB131" s="87" t="s">
        <v>624</v>
      </c>
      <c r="EC131" s="423" t="s">
        <v>627</v>
      </c>
      <c r="ED131" s="424"/>
      <c r="EE131" s="424"/>
      <c r="EF131" s="424"/>
      <c r="EG131" s="425"/>
      <c r="EH131" s="87" t="s">
        <v>628</v>
      </c>
      <c r="EI131" s="423" t="s">
        <v>631</v>
      </c>
      <c r="EJ131" s="424"/>
      <c r="EK131" s="424"/>
      <c r="EL131" s="424"/>
      <c r="EM131" s="425"/>
      <c r="EN131" s="87" t="s">
        <v>632</v>
      </c>
      <c r="EO131" s="423" t="s">
        <v>638</v>
      </c>
      <c r="EP131" s="424"/>
      <c r="EQ131" s="424"/>
      <c r="ER131" s="424"/>
      <c r="ES131" s="425"/>
      <c r="ET131" s="87" t="s">
        <v>637</v>
      </c>
      <c r="EU131" s="423" t="s">
        <v>641</v>
      </c>
      <c r="EV131" s="424"/>
      <c r="EW131" s="424"/>
      <c r="EX131" s="424"/>
      <c r="EY131" s="425"/>
      <c r="EZ131" s="87" t="s">
        <v>642</v>
      </c>
      <c r="FA131" s="423" t="s">
        <v>645</v>
      </c>
      <c r="FB131" s="424"/>
      <c r="FC131" s="424"/>
      <c r="FD131" s="424"/>
      <c r="FE131" s="425"/>
      <c r="FF131" s="87" t="s">
        <v>646</v>
      </c>
      <c r="FG131" s="423" t="s">
        <v>653</v>
      </c>
      <c r="FH131" s="424"/>
      <c r="FI131" s="424"/>
      <c r="FJ131" s="424"/>
      <c r="FK131" s="425"/>
      <c r="FL131" s="87" t="s">
        <v>654</v>
      </c>
      <c r="FM131" s="423" t="s">
        <v>662</v>
      </c>
      <c r="FN131" s="424"/>
      <c r="FO131" s="424"/>
      <c r="FP131" s="424"/>
      <c r="FQ131" s="425"/>
      <c r="FR131" s="87" t="s">
        <v>657</v>
      </c>
      <c r="FS131" s="423" t="s">
        <v>661</v>
      </c>
      <c r="FT131" s="424"/>
      <c r="FU131" s="424"/>
      <c r="FV131" s="424"/>
      <c r="FW131" s="425"/>
      <c r="FX131" s="87" t="s">
        <v>663</v>
      </c>
      <c r="FY131" s="423" t="s">
        <v>665</v>
      </c>
      <c r="FZ131" s="424"/>
      <c r="GA131" s="424"/>
      <c r="GB131" s="424"/>
      <c r="GC131" s="425"/>
      <c r="GD131" s="87" t="s">
        <v>666</v>
      </c>
      <c r="GE131" s="423" t="s">
        <v>668</v>
      </c>
      <c r="GF131" s="424"/>
      <c r="GG131" s="424"/>
      <c r="GH131" s="424"/>
      <c r="GI131" s="425"/>
      <c r="GJ131" s="87" t="s">
        <v>669</v>
      </c>
      <c r="GK131" s="423" t="s">
        <v>671</v>
      </c>
      <c r="GL131" s="424"/>
      <c r="GM131" s="424"/>
      <c r="GN131" s="424"/>
      <c r="GO131" s="425"/>
      <c r="GP131" s="87" t="s">
        <v>672</v>
      </c>
      <c r="GQ131" s="423" t="s">
        <v>674</v>
      </c>
      <c r="GR131" s="424"/>
      <c r="GS131" s="424"/>
      <c r="GT131" s="424"/>
      <c r="GU131" s="425"/>
      <c r="GV131" s="87" t="s">
        <v>675</v>
      </c>
      <c r="GW131" s="423" t="s">
        <v>696</v>
      </c>
      <c r="GX131" s="424"/>
      <c r="GY131" s="424"/>
      <c r="GZ131" s="424"/>
      <c r="HA131" s="425"/>
      <c r="HB131" s="87" t="s">
        <v>697</v>
      </c>
      <c r="HC131" s="85" t="s">
        <v>2</v>
      </c>
      <c r="HD131" s="6"/>
      <c r="HE131" s="439" t="s">
        <v>678</v>
      </c>
      <c r="HF131" s="439"/>
      <c r="HG131" s="439"/>
      <c r="HH131" s="439"/>
      <c r="HI131" s="439"/>
      <c r="HJ131" s="85" t="s">
        <v>2</v>
      </c>
      <c r="HK131" s="593" t="s">
        <v>698</v>
      </c>
      <c r="HL131" s="594"/>
      <c r="HM131" s="594"/>
      <c r="HN131" s="594"/>
      <c r="HO131" s="594"/>
      <c r="HP131" s="594"/>
      <c r="HQ131" s="594"/>
      <c r="HR131" s="594"/>
    </row>
    <row r="132" spans="1:226" s="74" customFormat="1" ht="31.2" thickBot="1" x14ac:dyDescent="0.35">
      <c r="A132" s="89"/>
      <c r="B132" s="440" t="s">
        <v>562</v>
      </c>
      <c r="C132" s="448"/>
      <c r="D132" s="447"/>
      <c r="E132" s="87"/>
      <c r="F132" s="87"/>
      <c r="G132" s="87"/>
      <c r="H132" s="88"/>
      <c r="I132" s="88"/>
      <c r="J132" s="294"/>
      <c r="K132" s="88"/>
      <c r="L132" s="87"/>
      <c r="M132" s="87"/>
      <c r="N132" s="87"/>
      <c r="O132" s="294"/>
      <c r="P132" s="294"/>
      <c r="Q132" s="294"/>
      <c r="R132" s="294"/>
      <c r="S132" s="294"/>
      <c r="T132" s="294"/>
      <c r="U132" s="294"/>
      <c r="V132" s="294"/>
      <c r="W132" s="294"/>
      <c r="X132" s="294"/>
      <c r="Y132" s="294"/>
      <c r="Z132" s="294"/>
      <c r="AA132" s="294"/>
      <c r="AB132" s="112" t="s">
        <v>234</v>
      </c>
      <c r="AC132" s="112" t="s">
        <v>454</v>
      </c>
      <c r="AD132" s="112" t="s">
        <v>455</v>
      </c>
      <c r="AE132" s="112" t="s">
        <v>456</v>
      </c>
      <c r="AF132" s="14" t="s">
        <v>234</v>
      </c>
      <c r="AG132" s="14" t="s">
        <v>454</v>
      </c>
      <c r="AH132" s="14" t="s">
        <v>455</v>
      </c>
      <c r="AI132" s="14" t="s">
        <v>456</v>
      </c>
      <c r="AJ132" s="112" t="s">
        <v>234</v>
      </c>
      <c r="AK132" s="112" t="s">
        <v>454</v>
      </c>
      <c r="AL132" s="112" t="s">
        <v>455</v>
      </c>
      <c r="AM132" s="112" t="s">
        <v>456</v>
      </c>
      <c r="AN132" s="14" t="s">
        <v>234</v>
      </c>
      <c r="AO132" s="14" t="s">
        <v>454</v>
      </c>
      <c r="AP132" s="14" t="s">
        <v>455</v>
      </c>
      <c r="AQ132" s="14" t="s">
        <v>456</v>
      </c>
      <c r="AR132" s="112" t="s">
        <v>234</v>
      </c>
      <c r="AS132" s="112" t="s">
        <v>454</v>
      </c>
      <c r="AT132" s="112" t="s">
        <v>455</v>
      </c>
      <c r="AU132" s="112" t="s">
        <v>456</v>
      </c>
      <c r="AV132" s="14" t="s">
        <v>234</v>
      </c>
      <c r="AW132" s="14" t="s">
        <v>454</v>
      </c>
      <c r="AX132" s="14" t="s">
        <v>455</v>
      </c>
      <c r="AY132" s="14" t="s">
        <v>456</v>
      </c>
      <c r="AZ132" s="443"/>
      <c r="BA132" s="443"/>
      <c r="BB132" s="443"/>
      <c r="BC132" s="443"/>
      <c r="BD132" s="443"/>
      <c r="BE132" s="443"/>
      <c r="BF132" s="444"/>
      <c r="BG132" s="444"/>
      <c r="BH132" s="112" t="s">
        <v>234</v>
      </c>
      <c r="BI132" s="112" t="s">
        <v>454</v>
      </c>
      <c r="BJ132" s="112" t="s">
        <v>455</v>
      </c>
      <c r="BK132" s="112" t="s">
        <v>456</v>
      </c>
      <c r="BL132" s="14" t="s">
        <v>234</v>
      </c>
      <c r="BM132" s="14" t="s">
        <v>454</v>
      </c>
      <c r="BN132" s="14" t="s">
        <v>455</v>
      </c>
      <c r="BO132" s="14" t="s">
        <v>456</v>
      </c>
      <c r="BP132" s="445"/>
      <c r="BQ132" s="112" t="s">
        <v>234</v>
      </c>
      <c r="BR132" s="112" t="s">
        <v>454</v>
      </c>
      <c r="BS132" s="112" t="s">
        <v>455</v>
      </c>
      <c r="BT132" s="112" t="s">
        <v>456</v>
      </c>
      <c r="BU132" s="445"/>
      <c r="BV132" s="112" t="s">
        <v>234</v>
      </c>
      <c r="BW132" s="112" t="s">
        <v>454</v>
      </c>
      <c r="BX132" s="112" t="s">
        <v>455</v>
      </c>
      <c r="BY132" s="112" t="s">
        <v>456</v>
      </c>
      <c r="BZ132" s="445"/>
      <c r="CA132" s="112" t="s">
        <v>234</v>
      </c>
      <c r="CB132" s="112" t="s">
        <v>454</v>
      </c>
      <c r="CC132" s="112" t="s">
        <v>455</v>
      </c>
      <c r="CD132" s="112" t="s">
        <v>456</v>
      </c>
      <c r="CE132" s="445"/>
      <c r="CF132" s="112" t="s">
        <v>234</v>
      </c>
      <c r="CG132" s="112" t="s">
        <v>454</v>
      </c>
      <c r="CH132" s="112" t="s">
        <v>455</v>
      </c>
      <c r="CI132" s="112" t="s">
        <v>456</v>
      </c>
      <c r="CJ132" s="445"/>
      <c r="CK132" s="112" t="s">
        <v>234</v>
      </c>
      <c r="CL132" s="112" t="s">
        <v>454</v>
      </c>
      <c r="CM132" s="112" t="s">
        <v>455</v>
      </c>
      <c r="CN132" s="112" t="s">
        <v>456</v>
      </c>
      <c r="CO132" s="445"/>
      <c r="CP132" s="112" t="s">
        <v>234</v>
      </c>
      <c r="CQ132" s="112" t="s">
        <v>454</v>
      </c>
      <c r="CR132" s="112" t="s">
        <v>455</v>
      </c>
      <c r="CS132" s="112" t="s">
        <v>456</v>
      </c>
      <c r="CT132" s="445"/>
      <c r="CU132" s="112" t="s">
        <v>234</v>
      </c>
      <c r="CV132" s="112" t="s">
        <v>454</v>
      </c>
      <c r="CW132" s="112" t="s">
        <v>455</v>
      </c>
      <c r="CX132" s="112" t="s">
        <v>456</v>
      </c>
      <c r="CY132" s="445"/>
      <c r="CZ132" s="295"/>
      <c r="DA132" s="295"/>
      <c r="DB132" s="295"/>
      <c r="DC132" s="95" t="s">
        <v>602</v>
      </c>
      <c r="DD132" s="95" t="s">
        <v>488</v>
      </c>
      <c r="DE132" s="95" t="s">
        <v>489</v>
      </c>
      <c r="DF132" s="95" t="s">
        <v>603</v>
      </c>
      <c r="DG132" s="95" t="s">
        <v>423</v>
      </c>
      <c r="DH132" s="89"/>
      <c r="DI132" s="90" t="s">
        <v>604</v>
      </c>
      <c r="DJ132" s="91" t="s">
        <v>605</v>
      </c>
      <c r="DK132" s="92" t="s">
        <v>606</v>
      </c>
      <c r="DL132" s="92" t="s">
        <v>607</v>
      </c>
      <c r="DM132" s="91" t="s">
        <v>608</v>
      </c>
      <c r="DN132" s="91" t="s">
        <v>609</v>
      </c>
      <c r="DO132" s="91" t="s">
        <v>611</v>
      </c>
      <c r="DP132" s="91" t="s">
        <v>610</v>
      </c>
      <c r="DQ132" s="112" t="s">
        <v>234</v>
      </c>
      <c r="DR132" s="112" t="s">
        <v>454</v>
      </c>
      <c r="DS132" s="112" t="s">
        <v>455</v>
      </c>
      <c r="DT132" s="93" t="s">
        <v>456</v>
      </c>
      <c r="DU132" s="94" t="s">
        <v>457</v>
      </c>
      <c r="DV132" s="87"/>
      <c r="DW132" s="112" t="s">
        <v>234</v>
      </c>
      <c r="DX132" s="112" t="s">
        <v>454</v>
      </c>
      <c r="DY132" s="112" t="s">
        <v>455</v>
      </c>
      <c r="DZ132" s="93" t="s">
        <v>456</v>
      </c>
      <c r="EA132" s="94" t="s">
        <v>457</v>
      </c>
      <c r="EB132" s="87"/>
      <c r="EC132" s="112" t="s">
        <v>234</v>
      </c>
      <c r="ED132" s="112" t="s">
        <v>454</v>
      </c>
      <c r="EE132" s="112" t="s">
        <v>455</v>
      </c>
      <c r="EF132" s="93" t="s">
        <v>456</v>
      </c>
      <c r="EG132" s="94" t="s">
        <v>457</v>
      </c>
      <c r="EH132" s="87"/>
      <c r="EI132" s="112" t="s">
        <v>234</v>
      </c>
      <c r="EJ132" s="112" t="s">
        <v>454</v>
      </c>
      <c r="EK132" s="112" t="s">
        <v>455</v>
      </c>
      <c r="EL132" s="93" t="s">
        <v>456</v>
      </c>
      <c r="EM132" s="94" t="s">
        <v>457</v>
      </c>
      <c r="EN132" s="87"/>
      <c r="EO132" s="112" t="s">
        <v>234</v>
      </c>
      <c r="EP132" s="112" t="s">
        <v>454</v>
      </c>
      <c r="EQ132" s="112" t="s">
        <v>455</v>
      </c>
      <c r="ER132" s="93" t="s">
        <v>456</v>
      </c>
      <c r="ES132" s="94" t="s">
        <v>457</v>
      </c>
      <c r="ET132" s="87"/>
      <c r="EU132" s="112" t="s">
        <v>234</v>
      </c>
      <c r="EV132" s="112" t="s">
        <v>454</v>
      </c>
      <c r="EW132" s="112" t="s">
        <v>455</v>
      </c>
      <c r="EX132" s="93" t="s">
        <v>456</v>
      </c>
      <c r="EY132" s="94" t="s">
        <v>457</v>
      </c>
      <c r="EZ132" s="87"/>
      <c r="FA132" s="112" t="s">
        <v>234</v>
      </c>
      <c r="FB132" s="112" t="s">
        <v>454</v>
      </c>
      <c r="FC132" s="112" t="s">
        <v>455</v>
      </c>
      <c r="FD132" s="93" t="s">
        <v>456</v>
      </c>
      <c r="FE132" s="94" t="s">
        <v>457</v>
      </c>
      <c r="FF132" s="87"/>
      <c r="FG132" s="112" t="s">
        <v>234</v>
      </c>
      <c r="FH132" s="112" t="s">
        <v>454</v>
      </c>
      <c r="FI132" s="112" t="s">
        <v>455</v>
      </c>
      <c r="FJ132" s="93" t="s">
        <v>456</v>
      </c>
      <c r="FK132" s="94" t="s">
        <v>457</v>
      </c>
      <c r="FL132" s="87"/>
      <c r="FM132" s="112" t="s">
        <v>234</v>
      </c>
      <c r="FN132" s="112" t="s">
        <v>454</v>
      </c>
      <c r="FO132" s="112" t="s">
        <v>455</v>
      </c>
      <c r="FP132" s="93" t="s">
        <v>456</v>
      </c>
      <c r="FQ132" s="94" t="s">
        <v>457</v>
      </c>
      <c r="FR132" s="87"/>
      <c r="FS132" s="112" t="s">
        <v>234</v>
      </c>
      <c r="FT132" s="112" t="s">
        <v>454</v>
      </c>
      <c r="FU132" s="112" t="s">
        <v>455</v>
      </c>
      <c r="FV132" s="93" t="s">
        <v>456</v>
      </c>
      <c r="FW132" s="94" t="s">
        <v>457</v>
      </c>
      <c r="FX132" s="87"/>
      <c r="FY132" s="112" t="s">
        <v>234</v>
      </c>
      <c r="FZ132" s="112" t="s">
        <v>454</v>
      </c>
      <c r="GA132" s="112" t="s">
        <v>455</v>
      </c>
      <c r="GB132" s="93" t="s">
        <v>456</v>
      </c>
      <c r="GC132" s="94" t="s">
        <v>457</v>
      </c>
      <c r="GD132" s="87"/>
      <c r="GE132" s="112" t="s">
        <v>234</v>
      </c>
      <c r="GF132" s="112" t="s">
        <v>454</v>
      </c>
      <c r="GG132" s="112" t="s">
        <v>455</v>
      </c>
      <c r="GH132" s="93" t="s">
        <v>456</v>
      </c>
      <c r="GI132" s="94" t="s">
        <v>457</v>
      </c>
      <c r="GJ132" s="87"/>
      <c r="GK132" s="112" t="s">
        <v>234</v>
      </c>
      <c r="GL132" s="112" t="s">
        <v>454</v>
      </c>
      <c r="GM132" s="112" t="s">
        <v>455</v>
      </c>
      <c r="GN132" s="93" t="s">
        <v>456</v>
      </c>
      <c r="GO132" s="94" t="s">
        <v>457</v>
      </c>
      <c r="GP132" s="87"/>
      <c r="GQ132" s="112" t="s">
        <v>234</v>
      </c>
      <c r="GR132" s="112" t="s">
        <v>454</v>
      </c>
      <c r="GS132" s="112" t="s">
        <v>455</v>
      </c>
      <c r="GT132" s="93" t="s">
        <v>456</v>
      </c>
      <c r="GU132" s="94" t="s">
        <v>457</v>
      </c>
      <c r="GV132" s="87"/>
      <c r="GW132" s="112" t="s">
        <v>234</v>
      </c>
      <c r="GX132" s="112" t="s">
        <v>454</v>
      </c>
      <c r="GY132" s="112" t="s">
        <v>455</v>
      </c>
      <c r="GZ132" s="93" t="s">
        <v>456</v>
      </c>
      <c r="HA132" s="94" t="s">
        <v>457</v>
      </c>
      <c r="HB132" s="87"/>
      <c r="HC132" s="85"/>
      <c r="HD132" s="6"/>
      <c r="HE132" s="95" t="s">
        <v>679</v>
      </c>
      <c r="HF132" s="95" t="s">
        <v>488</v>
      </c>
      <c r="HG132" s="220" t="s">
        <v>489</v>
      </c>
      <c r="HH132" s="95" t="s">
        <v>603</v>
      </c>
      <c r="HI132" s="95" t="s">
        <v>423</v>
      </c>
      <c r="HJ132" s="85"/>
      <c r="HK132" s="90" t="s">
        <v>680</v>
      </c>
      <c r="HL132" s="91" t="s">
        <v>681</v>
      </c>
      <c r="HM132" s="92" t="s">
        <v>606</v>
      </c>
      <c r="HN132" s="92" t="s">
        <v>607</v>
      </c>
      <c r="HO132" s="91" t="s">
        <v>608</v>
      </c>
      <c r="HP132" s="91" t="s">
        <v>609</v>
      </c>
      <c r="HQ132" s="92" t="s">
        <v>456</v>
      </c>
      <c r="HR132" s="91" t="s">
        <v>610</v>
      </c>
    </row>
    <row r="133" spans="1:226" x14ac:dyDescent="0.3">
      <c r="A133" s="164">
        <v>1</v>
      </c>
      <c r="B133" s="457" t="s">
        <v>86</v>
      </c>
      <c r="C133" s="165" t="s">
        <v>257</v>
      </c>
      <c r="D133" s="166" t="s">
        <v>87</v>
      </c>
      <c r="E133" s="161">
        <v>0</v>
      </c>
      <c r="F133" s="60">
        <v>7777694</v>
      </c>
      <c r="G133" s="60">
        <v>0</v>
      </c>
      <c r="H133" s="61"/>
      <c r="I133" s="61">
        <v>7777694</v>
      </c>
      <c r="J133" s="61">
        <v>7777694</v>
      </c>
      <c r="K133" s="61"/>
      <c r="L133" s="61">
        <v>7777694</v>
      </c>
      <c r="M133" s="62">
        <v>7777694</v>
      </c>
      <c r="N133" s="62">
        <v>7777694</v>
      </c>
      <c r="O133" s="63">
        <v>7777694</v>
      </c>
      <c r="P133" s="63">
        <v>7777694</v>
      </c>
      <c r="Q133" s="63">
        <v>7777694</v>
      </c>
      <c r="R133" s="63">
        <v>7777694</v>
      </c>
      <c r="S133" s="63">
        <v>7777694</v>
      </c>
      <c r="T133" s="63">
        <v>7777694</v>
      </c>
      <c r="U133" s="63">
        <f>T133*5%</f>
        <v>388884.7</v>
      </c>
      <c r="V133" s="63">
        <f>T133+U133</f>
        <v>8166578.7000000002</v>
      </c>
      <c r="W133" s="63">
        <v>8166578</v>
      </c>
      <c r="X133" s="63">
        <v>8166578</v>
      </c>
      <c r="Y133" s="63">
        <v>8166578</v>
      </c>
      <c r="Z133" s="63">
        <v>8166578</v>
      </c>
      <c r="AA133" s="63">
        <v>8166578</v>
      </c>
      <c r="AB133" s="63">
        <v>8166578</v>
      </c>
      <c r="AC133" s="60">
        <v>0</v>
      </c>
      <c r="AD133" s="60">
        <v>0</v>
      </c>
      <c r="AE133" s="63">
        <f>AD133+AC133+AB133</f>
        <v>8166578</v>
      </c>
      <c r="AF133" s="63">
        <v>8166578</v>
      </c>
      <c r="AG133" s="60">
        <v>0</v>
      </c>
      <c r="AH133" s="60">
        <v>0</v>
      </c>
      <c r="AI133" s="63">
        <f>AH133+AG133+AF133</f>
        <v>8166578</v>
      </c>
      <c r="AJ133" s="63">
        <v>8166578</v>
      </c>
      <c r="AK133" s="60">
        <v>0</v>
      </c>
      <c r="AL133" s="60">
        <v>0</v>
      </c>
      <c r="AM133" s="63">
        <f t="shared" ref="AM133:AM140" si="433">AL133+AK133+AJ133</f>
        <v>8166578</v>
      </c>
      <c r="AN133" s="63">
        <v>8166578</v>
      </c>
      <c r="AO133" s="60">
        <v>0</v>
      </c>
      <c r="AP133" s="60">
        <v>0</v>
      </c>
      <c r="AQ133" s="63">
        <f t="shared" ref="AQ133:AQ139" si="434">AP133+AO133+AN133</f>
        <v>8166578</v>
      </c>
      <c r="AR133" s="63">
        <v>8166578</v>
      </c>
      <c r="AS133" s="60">
        <v>0</v>
      </c>
      <c r="AT133" s="60">
        <v>0</v>
      </c>
      <c r="AU133" s="63">
        <f t="shared" ref="AU133:AU140" si="435">AT133+AS133+AR133</f>
        <v>8166578</v>
      </c>
      <c r="AV133" s="63">
        <v>8166578</v>
      </c>
      <c r="AW133" s="60">
        <v>0</v>
      </c>
      <c r="AX133" s="60">
        <v>0</v>
      </c>
      <c r="AY133" s="63">
        <f t="shared" ref="AY133:AY140" si="436">AX133+AW133+AV133</f>
        <v>8166578</v>
      </c>
      <c r="AZ133" s="8">
        <f>AY133*5%</f>
        <v>408328.9</v>
      </c>
      <c r="BA133" s="8">
        <v>0.9</v>
      </c>
      <c r="BB133" s="8">
        <f>AZ133-BA133</f>
        <v>408328</v>
      </c>
      <c r="BC133" s="8">
        <f>BB133+AY133</f>
        <v>8574906</v>
      </c>
      <c r="BD133" s="8"/>
      <c r="BE133" s="8">
        <f>BD133+BC133</f>
        <v>8574906</v>
      </c>
      <c r="BF133" s="10">
        <f>BE133-AY133</f>
        <v>408328</v>
      </c>
      <c r="BG133" s="11">
        <f>BF133-BB133</f>
        <v>0</v>
      </c>
      <c r="BH133" s="319">
        <v>8574906</v>
      </c>
      <c r="BI133" s="319">
        <v>0</v>
      </c>
      <c r="BJ133" s="319">
        <v>0</v>
      </c>
      <c r="BK133" s="319">
        <f t="shared" ref="BK133:BK140" si="437">BJ133+BI133+BH133</f>
        <v>8574906</v>
      </c>
      <c r="BL133" s="319">
        <v>8574906</v>
      </c>
      <c r="BM133" s="319">
        <v>0</v>
      </c>
      <c r="BN133" s="319">
        <v>0</v>
      </c>
      <c r="BO133" s="319">
        <f t="shared" ref="BO133:BO140" si="438">BN133+BM133+BL133</f>
        <v>8574906</v>
      </c>
      <c r="BP133" s="319">
        <f t="shared" ref="BP133:BP140" si="439">BO133-BK133</f>
        <v>0</v>
      </c>
      <c r="BQ133" s="319">
        <v>8574906</v>
      </c>
      <c r="BR133" s="319">
        <v>0</v>
      </c>
      <c r="BS133" s="319">
        <v>0</v>
      </c>
      <c r="BT133" s="319">
        <f t="shared" ref="BT133:BT140" si="440">BS133+BR133+BQ133</f>
        <v>8574906</v>
      </c>
      <c r="BU133" s="319">
        <f t="shared" ref="BU133:BU140" si="441">BT133-BO133</f>
        <v>0</v>
      </c>
      <c r="BV133" s="319">
        <v>8574906</v>
      </c>
      <c r="BW133" s="18" t="s">
        <v>238</v>
      </c>
      <c r="BX133" s="18" t="s">
        <v>238</v>
      </c>
      <c r="BY133" s="319">
        <f t="shared" ref="BY133:BY140" si="442">BX133+BW133+BV133</f>
        <v>8574906</v>
      </c>
      <c r="BZ133" s="319">
        <f t="shared" ref="BZ133:BZ140" si="443">BY133-BT133</f>
        <v>0</v>
      </c>
      <c r="CA133" s="319">
        <v>8574906</v>
      </c>
      <c r="CB133" s="18" t="s">
        <v>238</v>
      </c>
      <c r="CC133" s="18" t="s">
        <v>238</v>
      </c>
      <c r="CD133" s="319">
        <f t="shared" ref="CD133:CD140" si="444">CC133+CB133+CA133</f>
        <v>8574906</v>
      </c>
      <c r="CE133" s="319">
        <f t="shared" ref="CE133:CE140" si="445">CD133-BY133</f>
        <v>0</v>
      </c>
      <c r="CF133" s="319">
        <v>8574906</v>
      </c>
      <c r="CG133" s="319">
        <v>0</v>
      </c>
      <c r="CH133" s="319">
        <v>0</v>
      </c>
      <c r="CI133" s="319">
        <f t="shared" ref="CI133:CI140" si="446">CH133+CG133+CF133</f>
        <v>8574906</v>
      </c>
      <c r="CJ133" s="319">
        <f t="shared" ref="CJ133:CJ140" si="447">CI133-CD133</f>
        <v>0</v>
      </c>
      <c r="CK133" s="319">
        <v>8574906</v>
      </c>
      <c r="CL133" s="319">
        <v>0</v>
      </c>
      <c r="CM133" s="319">
        <v>0</v>
      </c>
      <c r="CN133" s="319">
        <f t="shared" ref="CN133:CN140" si="448">CM133+CL133+CK133</f>
        <v>8574906</v>
      </c>
      <c r="CO133" s="319">
        <f t="shared" ref="CO133:CO140" si="449">CN133-CI133</f>
        <v>0</v>
      </c>
      <c r="CP133" s="319">
        <v>8574906</v>
      </c>
      <c r="CQ133" s="319">
        <v>0</v>
      </c>
      <c r="CR133" s="319">
        <v>0</v>
      </c>
      <c r="CS133" s="319">
        <f t="shared" ref="CS133:CS140" si="450">CR133+CQ133+CP133</f>
        <v>8574906</v>
      </c>
      <c r="CT133" s="319">
        <f t="shared" ref="CT133:CT140" si="451">CS133-CN133</f>
        <v>0</v>
      </c>
      <c r="CU133" s="319">
        <v>8574906</v>
      </c>
      <c r="CV133" s="319">
        <v>0</v>
      </c>
      <c r="CW133" s="319">
        <v>0</v>
      </c>
      <c r="CX133" s="319">
        <f t="shared" ref="CX133:CX140" si="452">CW133+CV133+CU133</f>
        <v>8574906</v>
      </c>
      <c r="CY133" s="319">
        <f t="shared" ref="CY133:CY140" si="453">CX133-CS133</f>
        <v>0</v>
      </c>
      <c r="CZ133" s="319"/>
      <c r="DA133" s="319"/>
      <c r="DB133" s="319"/>
      <c r="DC133" s="12">
        <f>CX133*10%</f>
        <v>857490.60000000009</v>
      </c>
      <c r="DD133" s="12">
        <v>0.6</v>
      </c>
      <c r="DE133" s="13">
        <f>DC133-DD133</f>
        <v>857490.00000000012</v>
      </c>
      <c r="DF133" s="14">
        <f t="shared" ref="DF133:DF140" si="454">DE133:DE133</f>
        <v>857490.00000000012</v>
      </c>
      <c r="DG133" s="13">
        <f t="shared" ref="DG133:DG140" si="455">DE133+CX133</f>
        <v>9432396</v>
      </c>
      <c r="DH133" s="15">
        <f t="shared" ref="DH133:DH140" si="456">100/1278396949*CX133</f>
        <v>0.67075457327299981</v>
      </c>
      <c r="DI133" s="16">
        <f t="shared" ref="DI133:DI140" si="457">CX133</f>
        <v>8574906</v>
      </c>
      <c r="DJ133" s="132">
        <f>DI133*1.1</f>
        <v>9432396.6000000015</v>
      </c>
      <c r="DK133" s="17">
        <f>DJ133-DI133</f>
        <v>857490.60000000149</v>
      </c>
      <c r="DL133" s="17">
        <f t="shared" ref="DL133:DL140" si="458">DD133</f>
        <v>0.6</v>
      </c>
      <c r="DM133" s="16">
        <f>DK133-DL133</f>
        <v>857490.00000000151</v>
      </c>
      <c r="DN133" s="16">
        <f t="shared" ref="DN133:DN140" si="459">DM133-DE133</f>
        <v>1.3969838619232178E-9</v>
      </c>
      <c r="DO133" s="16">
        <f>DM133+DI133</f>
        <v>9432396.0000000019</v>
      </c>
      <c r="DP133" s="16">
        <f t="shared" ref="DP133:DP140" si="460">DO133-DG133</f>
        <v>0</v>
      </c>
      <c r="DQ133" s="9">
        <v>9432396</v>
      </c>
      <c r="DR133" s="18" t="s">
        <v>238</v>
      </c>
      <c r="DS133" s="18" t="s">
        <v>238</v>
      </c>
      <c r="DT133" s="324">
        <f>DQ133+DR133+DS133</f>
        <v>9432396</v>
      </c>
      <c r="DU133" s="321">
        <f>DT133</f>
        <v>9432396</v>
      </c>
      <c r="DV133" s="19">
        <f>DT133-DG133</f>
        <v>0</v>
      </c>
      <c r="DW133" s="9">
        <v>9432396</v>
      </c>
      <c r="DX133" s="18"/>
      <c r="DY133" s="18"/>
      <c r="DZ133" s="324">
        <f>DW133+DX133+DY133</f>
        <v>9432396</v>
      </c>
      <c r="EA133" s="321">
        <f>DZ133</f>
        <v>9432396</v>
      </c>
      <c r="EB133" s="179">
        <f t="shared" ref="EB133:EB140" si="461">DZ133-DT133</f>
        <v>0</v>
      </c>
      <c r="EC133" s="9">
        <v>9432396</v>
      </c>
      <c r="ED133" s="18" t="s">
        <v>238</v>
      </c>
      <c r="EE133" s="18" t="s">
        <v>238</v>
      </c>
      <c r="EF133" s="324">
        <f>EC133+ED133+EE133</f>
        <v>9432396</v>
      </c>
      <c r="EG133" s="321">
        <f>EF133</f>
        <v>9432396</v>
      </c>
      <c r="EH133" s="179">
        <f t="shared" ref="EH133:EH140" si="462">EF133-DZ133</f>
        <v>0</v>
      </c>
      <c r="EI133" s="9">
        <v>9432396</v>
      </c>
      <c r="EJ133" s="18" t="s">
        <v>238</v>
      </c>
      <c r="EK133" s="18" t="s">
        <v>238</v>
      </c>
      <c r="EL133" s="324">
        <f>EI133+EJ133+EK133</f>
        <v>9432396</v>
      </c>
      <c r="EM133" s="321">
        <f>EL133</f>
        <v>9432396</v>
      </c>
      <c r="EN133" s="179">
        <f t="shared" ref="EN133:EN140" si="463">EL133-EF133</f>
        <v>0</v>
      </c>
      <c r="EO133" s="9">
        <v>9432396</v>
      </c>
      <c r="EP133" s="18" t="s">
        <v>238</v>
      </c>
      <c r="EQ133" s="18" t="s">
        <v>238</v>
      </c>
      <c r="ER133" s="324">
        <f>EO133+EP133+EQ133</f>
        <v>9432396</v>
      </c>
      <c r="ES133" s="321">
        <f>ER133</f>
        <v>9432396</v>
      </c>
      <c r="ET133" s="179">
        <f t="shared" ref="ET133:ET140" si="464">ER133-EL133</f>
        <v>0</v>
      </c>
      <c r="EU133" s="9">
        <v>9432396</v>
      </c>
      <c r="EV133" s="18" t="s">
        <v>238</v>
      </c>
      <c r="EW133" s="18" t="s">
        <v>238</v>
      </c>
      <c r="EX133" s="324">
        <f>EU133+EV133+EW133</f>
        <v>9432396</v>
      </c>
      <c r="EY133" s="321">
        <f>EX133</f>
        <v>9432396</v>
      </c>
      <c r="EZ133" s="179">
        <f t="shared" ref="EZ133:EZ140" si="465">EX133-ER133</f>
        <v>0</v>
      </c>
      <c r="FA133" s="9">
        <v>9432396</v>
      </c>
      <c r="FB133" s="18" t="s">
        <v>238</v>
      </c>
      <c r="FC133" s="18" t="s">
        <v>238</v>
      </c>
      <c r="FD133" s="324">
        <f>FA133+FB133+FC133</f>
        <v>9432396</v>
      </c>
      <c r="FE133" s="321">
        <f>FD133</f>
        <v>9432396</v>
      </c>
      <c r="FF133" s="179">
        <f t="shared" ref="FF133:FF140" si="466">FD133-EX133</f>
        <v>0</v>
      </c>
      <c r="FG133" s="9">
        <v>9432396</v>
      </c>
      <c r="FH133" s="18" t="s">
        <v>238</v>
      </c>
      <c r="FI133" s="18" t="s">
        <v>238</v>
      </c>
      <c r="FJ133" s="324">
        <f>FG133+FH133+FI133</f>
        <v>9432396</v>
      </c>
      <c r="FK133" s="321">
        <f>FJ133</f>
        <v>9432396</v>
      </c>
      <c r="FL133" s="179">
        <f t="shared" ref="FL133:FL140" si="467">FJ133-FD133</f>
        <v>0</v>
      </c>
      <c r="FM133" s="9">
        <v>9432396</v>
      </c>
      <c r="FN133" s="18" t="s">
        <v>238</v>
      </c>
      <c r="FO133" s="18" t="s">
        <v>238</v>
      </c>
      <c r="FP133" s="324">
        <f>FM133+FN133+FO133</f>
        <v>9432396</v>
      </c>
      <c r="FQ133" s="321">
        <f>FP133</f>
        <v>9432396</v>
      </c>
      <c r="FR133" s="179">
        <f t="shared" ref="FR133:FR140" si="468">FP133-FJ133</f>
        <v>0</v>
      </c>
      <c r="FS133" s="9">
        <v>9432396</v>
      </c>
      <c r="FT133" s="18" t="s">
        <v>238</v>
      </c>
      <c r="FU133" s="18" t="s">
        <v>238</v>
      </c>
      <c r="FV133" s="324">
        <f>FS133+FT133+FU133</f>
        <v>9432396</v>
      </c>
      <c r="FW133" s="321">
        <f>FV133</f>
        <v>9432396</v>
      </c>
      <c r="FX133" s="179">
        <f t="shared" ref="FX133:FX140" si="469">FV133-FP133</f>
        <v>0</v>
      </c>
      <c r="FY133" s="9">
        <v>9432396</v>
      </c>
      <c r="FZ133" s="18" t="s">
        <v>238</v>
      </c>
      <c r="GA133" s="18" t="s">
        <v>238</v>
      </c>
      <c r="GB133" s="324">
        <f>FY133+FZ133+GA133</f>
        <v>9432396</v>
      </c>
      <c r="GC133" s="321">
        <f>GB133</f>
        <v>9432396</v>
      </c>
      <c r="GD133" s="179">
        <f t="shared" ref="GD133:GD140" si="470">GB133-FV133</f>
        <v>0</v>
      </c>
      <c r="GE133" s="9">
        <v>9432396</v>
      </c>
      <c r="GF133" s="18" t="s">
        <v>238</v>
      </c>
      <c r="GG133" s="18" t="s">
        <v>238</v>
      </c>
      <c r="GH133" s="324">
        <f>GE133+GF133+GG133</f>
        <v>9432396</v>
      </c>
      <c r="GI133" s="321">
        <f>GH133</f>
        <v>9432396</v>
      </c>
      <c r="GJ133" s="179">
        <f t="shared" ref="GJ133:GJ140" si="471">GH133-GB133</f>
        <v>0</v>
      </c>
      <c r="GK133" s="9">
        <v>9432396</v>
      </c>
      <c r="GL133" s="18" t="s">
        <v>238</v>
      </c>
      <c r="GM133" s="18" t="s">
        <v>238</v>
      </c>
      <c r="GN133" s="324">
        <f>GK133+GL133+GM133</f>
        <v>9432396</v>
      </c>
      <c r="GO133" s="321">
        <f>GN133</f>
        <v>9432396</v>
      </c>
      <c r="GP133" s="179">
        <f t="shared" ref="GP133:GP140" si="472">GN133-GH133</f>
        <v>0</v>
      </c>
      <c r="GQ133" s="9">
        <v>9432396</v>
      </c>
      <c r="GR133" s="18" t="s">
        <v>238</v>
      </c>
      <c r="GS133" s="18" t="s">
        <v>238</v>
      </c>
      <c r="GT133" s="324">
        <f>GQ133+GR133+GS133</f>
        <v>9432396</v>
      </c>
      <c r="GU133" s="321">
        <f>GT133</f>
        <v>9432396</v>
      </c>
      <c r="GV133" s="179">
        <f t="shared" ref="GV133:GV140" si="473">GT133-GN133</f>
        <v>0</v>
      </c>
      <c r="GW133" s="9">
        <v>9904015</v>
      </c>
      <c r="GX133" s="18" t="s">
        <v>238</v>
      </c>
      <c r="GY133" s="18" t="s">
        <v>238</v>
      </c>
      <c r="GZ133" s="324">
        <f>GW133+GX133+GY133</f>
        <v>9904015</v>
      </c>
      <c r="HA133" s="321">
        <f>GZ133</f>
        <v>9904015</v>
      </c>
      <c r="HB133" s="179">
        <f t="shared" ref="HB133:HB140" si="474">GZ133-GT133</f>
        <v>471619</v>
      </c>
      <c r="HC133" s="102">
        <f t="shared" ref="HC133:HC141" si="475">100/1406236643.9*GT133</f>
        <v>0.67075453060592793</v>
      </c>
      <c r="HD133" s="285">
        <f>HB133-HO133</f>
        <v>-6.9849193096160889E-10</v>
      </c>
      <c r="HE133" s="12">
        <f>GT133*0.05</f>
        <v>471619.80000000005</v>
      </c>
      <c r="HF133" s="12">
        <f t="shared" ref="HF133:HF141" si="476">IF(ISNUMBER(HE133), HE133-INT(HE133), "")</f>
        <v>0.80000000004656613</v>
      </c>
      <c r="HG133" s="12">
        <f>HE133-HF133</f>
        <v>471619</v>
      </c>
      <c r="HH133" s="14">
        <f>HG133:HG133</f>
        <v>471619</v>
      </c>
      <c r="HI133" s="13">
        <f>HG133+GT133</f>
        <v>9904015</v>
      </c>
      <c r="HJ133" s="102">
        <f>100/1406236643.9*HI133</f>
        <v>0.70429220024679517</v>
      </c>
      <c r="HK133" s="16">
        <f>GT133</f>
        <v>9432396</v>
      </c>
      <c r="HL133" s="103">
        <f>HK133*1.05</f>
        <v>9904015.8000000007</v>
      </c>
      <c r="HM133" s="103">
        <f>HL133-HK133</f>
        <v>471619.80000000075</v>
      </c>
      <c r="HN133" s="17">
        <f>HF133</f>
        <v>0.80000000004656613</v>
      </c>
      <c r="HO133" s="56">
        <f>HM133-HN133</f>
        <v>471619.0000000007</v>
      </c>
      <c r="HP133" s="16">
        <f>HO133-HG133</f>
        <v>6.9849193096160889E-10</v>
      </c>
      <c r="HQ133" s="16">
        <f>HO133+HK133</f>
        <v>9904015</v>
      </c>
      <c r="HR133" s="16">
        <f>HQ133-HI133</f>
        <v>0</v>
      </c>
    </row>
    <row r="134" spans="1:226" x14ac:dyDescent="0.3">
      <c r="A134" s="167">
        <v>2</v>
      </c>
      <c r="B134" s="458"/>
      <c r="C134" s="309" t="s">
        <v>256</v>
      </c>
      <c r="D134" s="168" t="s">
        <v>88</v>
      </c>
      <c r="E134" s="161">
        <v>0</v>
      </c>
      <c r="F134" s="60">
        <v>6930000</v>
      </c>
      <c r="G134" s="60">
        <v>0</v>
      </c>
      <c r="H134" s="61"/>
      <c r="I134" s="61">
        <v>6930000</v>
      </c>
      <c r="J134" s="61">
        <v>6930000</v>
      </c>
      <c r="K134" s="61"/>
      <c r="L134" s="61">
        <v>6930000</v>
      </c>
      <c r="M134" s="62">
        <v>6930000</v>
      </c>
      <c r="N134" s="62">
        <v>6930000</v>
      </c>
      <c r="O134" s="63">
        <v>6930000</v>
      </c>
      <c r="P134" s="63">
        <v>6930000</v>
      </c>
      <c r="Q134" s="63">
        <v>6930000</v>
      </c>
      <c r="R134" s="63">
        <v>6930000</v>
      </c>
      <c r="S134" s="63">
        <v>6930000</v>
      </c>
      <c r="T134" s="63">
        <v>6930000</v>
      </c>
      <c r="U134" s="63">
        <f t="shared" ref="U134:U140" si="477">T134*5%</f>
        <v>346500</v>
      </c>
      <c r="V134" s="63">
        <f t="shared" ref="V134:V140" si="478">T134+U134</f>
        <v>7276500</v>
      </c>
      <c r="W134" s="63">
        <v>7276500</v>
      </c>
      <c r="X134" s="63">
        <v>7276500</v>
      </c>
      <c r="Y134" s="63">
        <v>7276500</v>
      </c>
      <c r="Z134" s="63">
        <v>7276500</v>
      </c>
      <c r="AA134" s="63">
        <v>7276500</v>
      </c>
      <c r="AB134" s="63">
        <v>7276500</v>
      </c>
      <c r="AC134" s="60">
        <v>0</v>
      </c>
      <c r="AD134" s="60">
        <v>0</v>
      </c>
      <c r="AE134" s="63">
        <f t="shared" ref="AE134:AE140" si="479">AD134+AC134+AB134</f>
        <v>7276500</v>
      </c>
      <c r="AF134" s="63">
        <v>7276500</v>
      </c>
      <c r="AG134" s="60">
        <v>0</v>
      </c>
      <c r="AH134" s="60">
        <v>0</v>
      </c>
      <c r="AI134" s="63">
        <f t="shared" ref="AI134:AI140" si="480">AH134+AG134+AF134</f>
        <v>7276500</v>
      </c>
      <c r="AJ134" s="63">
        <v>7276500</v>
      </c>
      <c r="AK134" s="60">
        <v>0</v>
      </c>
      <c r="AL134" s="60">
        <v>0</v>
      </c>
      <c r="AM134" s="63">
        <f t="shared" si="433"/>
        <v>7276500</v>
      </c>
      <c r="AN134" s="63">
        <v>7276500</v>
      </c>
      <c r="AO134" s="60">
        <v>0</v>
      </c>
      <c r="AP134" s="60">
        <v>0</v>
      </c>
      <c r="AQ134" s="63">
        <f t="shared" si="434"/>
        <v>7276500</v>
      </c>
      <c r="AR134" s="63">
        <v>7276500</v>
      </c>
      <c r="AS134" s="60">
        <v>0</v>
      </c>
      <c r="AT134" s="60">
        <v>0</v>
      </c>
      <c r="AU134" s="63">
        <f t="shared" si="435"/>
        <v>7276500</v>
      </c>
      <c r="AV134" s="63">
        <v>7276500</v>
      </c>
      <c r="AW134" s="60">
        <v>0</v>
      </c>
      <c r="AX134" s="60">
        <v>0</v>
      </c>
      <c r="AY134" s="64">
        <f t="shared" si="436"/>
        <v>7276500</v>
      </c>
      <c r="AZ134" s="8">
        <f t="shared" ref="AZ134:AZ140" si="481">AY134*5%</f>
        <v>363825</v>
      </c>
      <c r="BA134" s="8"/>
      <c r="BB134" s="8">
        <f t="shared" ref="BB134:BB140" si="482">AZ134-BA134</f>
        <v>363825</v>
      </c>
      <c r="BC134" s="8">
        <f t="shared" ref="BC134:BC140" si="483">BB134+AY134</f>
        <v>7640325</v>
      </c>
      <c r="BD134" s="8"/>
      <c r="BE134" s="8">
        <f t="shared" ref="BE134:BE140" si="484">BD134+BC134</f>
        <v>7640325</v>
      </c>
      <c r="BF134" s="10">
        <f t="shared" ref="BF134:BF140" si="485">BE134-AY134</f>
        <v>363825</v>
      </c>
      <c r="BG134" s="11">
        <f t="shared" ref="BG134:BG140" si="486">BF134-BB134</f>
        <v>0</v>
      </c>
      <c r="BH134" s="319">
        <v>7640325</v>
      </c>
      <c r="BI134" s="319">
        <v>0</v>
      </c>
      <c r="BJ134" s="319">
        <v>0</v>
      </c>
      <c r="BK134" s="319">
        <f t="shared" si="437"/>
        <v>7640325</v>
      </c>
      <c r="BL134" s="319">
        <v>7640325</v>
      </c>
      <c r="BM134" s="319">
        <v>0</v>
      </c>
      <c r="BN134" s="319">
        <v>0</v>
      </c>
      <c r="BO134" s="319">
        <f t="shared" si="438"/>
        <v>7640325</v>
      </c>
      <c r="BP134" s="319">
        <f t="shared" si="439"/>
        <v>0</v>
      </c>
      <c r="BQ134" s="319">
        <v>7640325</v>
      </c>
      <c r="BR134" s="319">
        <v>0</v>
      </c>
      <c r="BS134" s="319">
        <v>0</v>
      </c>
      <c r="BT134" s="319">
        <f t="shared" si="440"/>
        <v>7640325</v>
      </c>
      <c r="BU134" s="319">
        <f t="shared" si="441"/>
        <v>0</v>
      </c>
      <c r="BV134" s="319">
        <v>7640325</v>
      </c>
      <c r="BW134" s="18" t="s">
        <v>238</v>
      </c>
      <c r="BX134" s="18" t="s">
        <v>238</v>
      </c>
      <c r="BY134" s="319">
        <f t="shared" si="442"/>
        <v>7640325</v>
      </c>
      <c r="BZ134" s="319">
        <f t="shared" si="443"/>
        <v>0</v>
      </c>
      <c r="CA134" s="319">
        <v>7640325</v>
      </c>
      <c r="CB134" s="18" t="s">
        <v>238</v>
      </c>
      <c r="CC134" s="18" t="s">
        <v>238</v>
      </c>
      <c r="CD134" s="319">
        <f t="shared" si="444"/>
        <v>7640325</v>
      </c>
      <c r="CE134" s="319">
        <f t="shared" si="445"/>
        <v>0</v>
      </c>
      <c r="CF134" s="319">
        <v>7640325</v>
      </c>
      <c r="CG134" s="319">
        <v>0</v>
      </c>
      <c r="CH134" s="319">
        <v>0</v>
      </c>
      <c r="CI134" s="319">
        <f t="shared" si="446"/>
        <v>7640325</v>
      </c>
      <c r="CJ134" s="319">
        <f t="shared" si="447"/>
        <v>0</v>
      </c>
      <c r="CK134" s="319">
        <v>7640325</v>
      </c>
      <c r="CL134" s="319">
        <v>0</v>
      </c>
      <c r="CM134" s="319">
        <v>0</v>
      </c>
      <c r="CN134" s="319">
        <f t="shared" si="448"/>
        <v>7640325</v>
      </c>
      <c r="CO134" s="319">
        <f t="shared" si="449"/>
        <v>0</v>
      </c>
      <c r="CP134" s="319">
        <v>7640325</v>
      </c>
      <c r="CQ134" s="319">
        <v>0</v>
      </c>
      <c r="CR134" s="319">
        <v>0</v>
      </c>
      <c r="CS134" s="319">
        <f t="shared" si="450"/>
        <v>7640325</v>
      </c>
      <c r="CT134" s="319">
        <f t="shared" si="451"/>
        <v>0</v>
      </c>
      <c r="CU134" s="319">
        <v>7640325</v>
      </c>
      <c r="CV134" s="319">
        <v>0</v>
      </c>
      <c r="CW134" s="319">
        <v>0</v>
      </c>
      <c r="CX134" s="319">
        <f t="shared" si="452"/>
        <v>7640325</v>
      </c>
      <c r="CY134" s="319">
        <f t="shared" si="453"/>
        <v>0</v>
      </c>
      <c r="CZ134" s="319"/>
      <c r="DA134" s="319"/>
      <c r="DB134" s="319"/>
      <c r="DC134" s="12">
        <f t="shared" ref="DC134:DC140" si="487">CX134*10%</f>
        <v>764032.5</v>
      </c>
      <c r="DD134" s="12">
        <v>0.5</v>
      </c>
      <c r="DE134" s="13">
        <f t="shared" ref="DE134:DE140" si="488">DC134-DD134</f>
        <v>764032</v>
      </c>
      <c r="DF134" s="14">
        <f t="shared" si="454"/>
        <v>764032</v>
      </c>
      <c r="DG134" s="13">
        <f t="shared" si="455"/>
        <v>8404357</v>
      </c>
      <c r="DH134" s="15">
        <f t="shared" si="456"/>
        <v>0.59764887627246677</v>
      </c>
      <c r="DI134" s="16">
        <f t="shared" si="457"/>
        <v>7640325</v>
      </c>
      <c r="DJ134" s="132">
        <f t="shared" ref="DJ134:DJ140" si="489">DI134*1.1</f>
        <v>8404357.5</v>
      </c>
      <c r="DK134" s="17">
        <f t="shared" ref="DK134:DK140" si="490">DJ134-DI134</f>
        <v>764032.5</v>
      </c>
      <c r="DL134" s="17">
        <f t="shared" si="458"/>
        <v>0.5</v>
      </c>
      <c r="DM134" s="16">
        <f t="shared" ref="DM134:DM140" si="491">DK134-DL134</f>
        <v>764032</v>
      </c>
      <c r="DN134" s="16">
        <f t="shared" si="459"/>
        <v>0</v>
      </c>
      <c r="DO134" s="16">
        <f t="shared" ref="DO134:DO140" si="492">DM134+DI134</f>
        <v>8404357</v>
      </c>
      <c r="DP134" s="16">
        <f t="shared" si="460"/>
        <v>0</v>
      </c>
      <c r="DQ134" s="9">
        <v>8404357</v>
      </c>
      <c r="DR134" s="18" t="s">
        <v>238</v>
      </c>
      <c r="DS134" s="18" t="s">
        <v>238</v>
      </c>
      <c r="DT134" s="324">
        <f t="shared" ref="DT134:DT140" si="493">DQ134+DR134+DS134</f>
        <v>8404357</v>
      </c>
      <c r="DU134" s="321">
        <f t="shared" ref="DU134:DU140" si="494">DT134</f>
        <v>8404357</v>
      </c>
      <c r="DV134" s="19">
        <f t="shared" ref="DV134:DV140" si="495">DT134-DG134</f>
        <v>0</v>
      </c>
      <c r="DW134" s="9">
        <v>8404357</v>
      </c>
      <c r="DX134" s="18"/>
      <c r="DY134" s="18"/>
      <c r="DZ134" s="324">
        <f t="shared" ref="DZ134:DZ140" si="496">DW134+DX134+DY134</f>
        <v>8404357</v>
      </c>
      <c r="EA134" s="321">
        <f t="shared" ref="EA134:EA140" si="497">DZ134</f>
        <v>8404357</v>
      </c>
      <c r="EB134" s="179">
        <f t="shared" si="461"/>
        <v>0</v>
      </c>
      <c r="EC134" s="9">
        <v>8404357</v>
      </c>
      <c r="ED134" s="18" t="s">
        <v>238</v>
      </c>
      <c r="EE134" s="18" t="s">
        <v>238</v>
      </c>
      <c r="EF134" s="324">
        <f t="shared" ref="EF134:EF140" si="498">EC134+ED134+EE134</f>
        <v>8404357</v>
      </c>
      <c r="EG134" s="321">
        <f t="shared" ref="EG134:EG140" si="499">EF134</f>
        <v>8404357</v>
      </c>
      <c r="EH134" s="179">
        <f t="shared" si="462"/>
        <v>0</v>
      </c>
      <c r="EI134" s="9">
        <v>8404357</v>
      </c>
      <c r="EJ134" s="18" t="s">
        <v>238</v>
      </c>
      <c r="EK134" s="18" t="s">
        <v>238</v>
      </c>
      <c r="EL134" s="324">
        <f t="shared" ref="EL134:EL140" si="500">EI134+EJ134+EK134</f>
        <v>8404357</v>
      </c>
      <c r="EM134" s="321">
        <f t="shared" ref="EM134:EM140" si="501">EL134</f>
        <v>8404357</v>
      </c>
      <c r="EN134" s="179">
        <f t="shared" si="463"/>
        <v>0</v>
      </c>
      <c r="EO134" s="9">
        <v>8404357</v>
      </c>
      <c r="EP134" s="18" t="s">
        <v>238</v>
      </c>
      <c r="EQ134" s="18" t="s">
        <v>238</v>
      </c>
      <c r="ER134" s="324">
        <f t="shared" ref="ER134:ER140" si="502">EO134+EP134+EQ134</f>
        <v>8404357</v>
      </c>
      <c r="ES134" s="321">
        <f t="shared" ref="ES134:ES140" si="503">ER134</f>
        <v>8404357</v>
      </c>
      <c r="ET134" s="179">
        <f t="shared" si="464"/>
        <v>0</v>
      </c>
      <c r="EU134" s="9">
        <v>8404357</v>
      </c>
      <c r="EV134" s="18" t="s">
        <v>238</v>
      </c>
      <c r="EW134" s="18" t="s">
        <v>238</v>
      </c>
      <c r="EX134" s="324">
        <f t="shared" ref="EX134:EX140" si="504">EU134+EV134+EW134</f>
        <v>8404357</v>
      </c>
      <c r="EY134" s="321">
        <f t="shared" ref="EY134:EY140" si="505">EX134</f>
        <v>8404357</v>
      </c>
      <c r="EZ134" s="179">
        <f t="shared" si="465"/>
        <v>0</v>
      </c>
      <c r="FA134" s="9">
        <v>8404357</v>
      </c>
      <c r="FB134" s="18" t="s">
        <v>238</v>
      </c>
      <c r="FC134" s="18" t="s">
        <v>238</v>
      </c>
      <c r="FD134" s="324">
        <f t="shared" ref="FD134:FD140" si="506">FA134+FB134+FC134</f>
        <v>8404357</v>
      </c>
      <c r="FE134" s="321">
        <f t="shared" ref="FE134:FE140" si="507">FD134</f>
        <v>8404357</v>
      </c>
      <c r="FF134" s="179">
        <f t="shared" si="466"/>
        <v>0</v>
      </c>
      <c r="FG134" s="9">
        <v>8404357</v>
      </c>
      <c r="FH134" s="18" t="s">
        <v>238</v>
      </c>
      <c r="FI134" s="18" t="s">
        <v>238</v>
      </c>
      <c r="FJ134" s="324">
        <f t="shared" ref="FJ134:FJ140" si="508">FG134+FH134+FI134</f>
        <v>8404357</v>
      </c>
      <c r="FK134" s="321">
        <f t="shared" ref="FK134:FK140" si="509">FJ134</f>
        <v>8404357</v>
      </c>
      <c r="FL134" s="179">
        <f t="shared" si="467"/>
        <v>0</v>
      </c>
      <c r="FM134" s="9">
        <v>8404357</v>
      </c>
      <c r="FN134" s="18" t="s">
        <v>238</v>
      </c>
      <c r="FO134" s="18" t="s">
        <v>238</v>
      </c>
      <c r="FP134" s="324">
        <f t="shared" ref="FP134:FP140" si="510">FM134+FN134+FO134</f>
        <v>8404357</v>
      </c>
      <c r="FQ134" s="321">
        <f t="shared" ref="FQ134:FQ140" si="511">FP134</f>
        <v>8404357</v>
      </c>
      <c r="FR134" s="179">
        <f t="shared" si="468"/>
        <v>0</v>
      </c>
      <c r="FS134" s="9">
        <v>8404357</v>
      </c>
      <c r="FT134" s="18" t="s">
        <v>238</v>
      </c>
      <c r="FU134" s="18" t="s">
        <v>238</v>
      </c>
      <c r="FV134" s="324">
        <f t="shared" ref="FV134:FV140" si="512">FS134+FT134+FU134</f>
        <v>8404357</v>
      </c>
      <c r="FW134" s="321">
        <f t="shared" ref="FW134:FW140" si="513">FV134</f>
        <v>8404357</v>
      </c>
      <c r="FX134" s="179">
        <f t="shared" si="469"/>
        <v>0</v>
      </c>
      <c r="FY134" s="9">
        <v>8404357</v>
      </c>
      <c r="FZ134" s="18" t="s">
        <v>238</v>
      </c>
      <c r="GA134" s="18" t="s">
        <v>238</v>
      </c>
      <c r="GB134" s="324">
        <f t="shared" ref="GB134:GB140" si="514">FY134+FZ134+GA134</f>
        <v>8404357</v>
      </c>
      <c r="GC134" s="321">
        <f t="shared" ref="GC134:GC140" si="515">GB134</f>
        <v>8404357</v>
      </c>
      <c r="GD134" s="179">
        <f t="shared" si="470"/>
        <v>0</v>
      </c>
      <c r="GE134" s="9">
        <v>8404357</v>
      </c>
      <c r="GF134" s="18" t="s">
        <v>238</v>
      </c>
      <c r="GG134" s="18" t="s">
        <v>238</v>
      </c>
      <c r="GH134" s="324">
        <f t="shared" ref="GH134:GH140" si="516">GE134+GF134+GG134</f>
        <v>8404357</v>
      </c>
      <c r="GI134" s="321">
        <f t="shared" ref="GI134:GI140" si="517">GH134</f>
        <v>8404357</v>
      </c>
      <c r="GJ134" s="179">
        <f t="shared" si="471"/>
        <v>0</v>
      </c>
      <c r="GK134" s="9">
        <v>8404357</v>
      </c>
      <c r="GL134" s="18" t="s">
        <v>238</v>
      </c>
      <c r="GM134" s="18" t="s">
        <v>238</v>
      </c>
      <c r="GN134" s="324">
        <f t="shared" ref="GN134:GN140" si="518">GK134+GL134+GM134</f>
        <v>8404357</v>
      </c>
      <c r="GO134" s="321">
        <f t="shared" ref="GO134:GO140" si="519">GN134</f>
        <v>8404357</v>
      </c>
      <c r="GP134" s="179">
        <f t="shared" si="472"/>
        <v>0</v>
      </c>
      <c r="GQ134" s="9">
        <v>8404357</v>
      </c>
      <c r="GR134" s="18" t="s">
        <v>238</v>
      </c>
      <c r="GS134" s="18" t="s">
        <v>238</v>
      </c>
      <c r="GT134" s="324">
        <f t="shared" ref="GT134:GT140" si="520">GQ134+GR134+GS134</f>
        <v>8404357</v>
      </c>
      <c r="GU134" s="321">
        <f t="shared" ref="GU134:GU140" si="521">GT134</f>
        <v>8404357</v>
      </c>
      <c r="GV134" s="179">
        <f t="shared" si="473"/>
        <v>0</v>
      </c>
      <c r="GW134" s="9">
        <v>8824574</v>
      </c>
      <c r="GX134" s="18" t="s">
        <v>238</v>
      </c>
      <c r="GY134" s="18" t="s">
        <v>238</v>
      </c>
      <c r="GZ134" s="324">
        <f t="shared" ref="GZ134:GZ140" si="522">GW134+GX134+GY134</f>
        <v>8824574</v>
      </c>
      <c r="HA134" s="321">
        <f t="shared" ref="HA134:HA140" si="523">GZ134</f>
        <v>8824574</v>
      </c>
      <c r="HB134" s="179">
        <f t="shared" si="474"/>
        <v>420217</v>
      </c>
      <c r="HC134" s="102">
        <f t="shared" si="475"/>
        <v>0.59764884071657354</v>
      </c>
      <c r="HD134" s="285">
        <f t="shared" ref="HD134:HD141" si="524">HB134-HO134</f>
        <v>0</v>
      </c>
      <c r="HE134" s="12">
        <f t="shared" ref="HE134:HE141" si="525">GT134*0.05</f>
        <v>420217.85000000003</v>
      </c>
      <c r="HF134" s="12">
        <f t="shared" si="476"/>
        <v>0.8500000000349246</v>
      </c>
      <c r="HG134" s="12">
        <f t="shared" ref="HG134:HG141" si="526">HE134-HF134</f>
        <v>420217</v>
      </c>
      <c r="HH134" s="14">
        <f t="shared" ref="HH134:HH141" si="527">HG134:HG134</f>
        <v>420217</v>
      </c>
      <c r="HI134" s="13">
        <f t="shared" ref="HI134:HI141" si="528">HG134+GT134</f>
        <v>8824574</v>
      </c>
      <c r="HJ134" s="102">
        <f t="shared" ref="HJ134:HJ141" si="529">100/1406236643.9*HI134</f>
        <v>0.62753122230738367</v>
      </c>
      <c r="HK134" s="16">
        <f t="shared" ref="HK134:HK141" si="530">GT134</f>
        <v>8404357</v>
      </c>
      <c r="HL134" s="103">
        <f t="shared" ref="HL134:HL141" si="531">HK134*1.05</f>
        <v>8824574.8499999996</v>
      </c>
      <c r="HM134" s="103">
        <f t="shared" ref="HM134:HM141" si="532">HL134-HK134</f>
        <v>420217.84999999963</v>
      </c>
      <c r="HN134" s="17">
        <f t="shared" ref="HN134:HN141" si="533">HF134</f>
        <v>0.8500000000349246</v>
      </c>
      <c r="HO134" s="56">
        <f t="shared" ref="HO134:HO141" si="534">HM134-HN134</f>
        <v>420216.99999999959</v>
      </c>
      <c r="HP134" s="16">
        <f t="shared" ref="HP134:HP141" si="535">HO134-HG134</f>
        <v>0</v>
      </c>
      <c r="HQ134" s="16">
        <f t="shared" ref="HQ134:HQ141" si="536">HO134+HK134</f>
        <v>8824574</v>
      </c>
      <c r="HR134" s="16">
        <f t="shared" ref="HR134:HR141" si="537">HQ134-HI134</f>
        <v>0</v>
      </c>
    </row>
    <row r="135" spans="1:226" x14ac:dyDescent="0.3">
      <c r="A135" s="167">
        <v>3</v>
      </c>
      <c r="B135" s="458"/>
      <c r="C135" s="309" t="s">
        <v>255</v>
      </c>
      <c r="D135" s="168" t="s">
        <v>89</v>
      </c>
      <c r="E135" s="161">
        <v>0</v>
      </c>
      <c r="F135" s="60">
        <v>4231170</v>
      </c>
      <c r="G135" s="60">
        <v>0</v>
      </c>
      <c r="H135" s="61"/>
      <c r="I135" s="61">
        <v>4231170</v>
      </c>
      <c r="J135" s="61">
        <v>4231170</v>
      </c>
      <c r="K135" s="61"/>
      <c r="L135" s="61">
        <v>4231170</v>
      </c>
      <c r="M135" s="62">
        <v>4231170</v>
      </c>
      <c r="N135" s="62">
        <v>4231170</v>
      </c>
      <c r="O135" s="63">
        <v>4231170</v>
      </c>
      <c r="P135" s="63">
        <v>4231170</v>
      </c>
      <c r="Q135" s="63">
        <v>4231170</v>
      </c>
      <c r="R135" s="63">
        <v>4231170</v>
      </c>
      <c r="S135" s="63">
        <v>4231170</v>
      </c>
      <c r="T135" s="63">
        <v>4231170</v>
      </c>
      <c r="U135" s="63">
        <f t="shared" si="477"/>
        <v>211558.5</v>
      </c>
      <c r="V135" s="63">
        <f t="shared" si="478"/>
        <v>4442728.5</v>
      </c>
      <c r="W135" s="63">
        <v>4442728</v>
      </c>
      <c r="X135" s="63">
        <v>4442728</v>
      </c>
      <c r="Y135" s="63">
        <v>4442728</v>
      </c>
      <c r="Z135" s="63">
        <v>4442728</v>
      </c>
      <c r="AA135" s="63">
        <v>4442728</v>
      </c>
      <c r="AB135" s="63">
        <v>4442728</v>
      </c>
      <c r="AC135" s="60">
        <v>0</v>
      </c>
      <c r="AD135" s="60">
        <v>0</v>
      </c>
      <c r="AE135" s="63">
        <f t="shared" si="479"/>
        <v>4442728</v>
      </c>
      <c r="AF135" s="63">
        <v>4442728</v>
      </c>
      <c r="AG135" s="60">
        <v>0</v>
      </c>
      <c r="AH135" s="60">
        <v>0</v>
      </c>
      <c r="AI135" s="63">
        <f t="shared" si="480"/>
        <v>4442728</v>
      </c>
      <c r="AJ135" s="63">
        <v>4442728</v>
      </c>
      <c r="AK135" s="60">
        <v>0</v>
      </c>
      <c r="AL135" s="60">
        <v>0</v>
      </c>
      <c r="AM135" s="63">
        <f t="shared" si="433"/>
        <v>4442728</v>
      </c>
      <c r="AN135" s="63">
        <v>4442728</v>
      </c>
      <c r="AO135" s="60">
        <v>0</v>
      </c>
      <c r="AP135" s="60">
        <v>0</v>
      </c>
      <c r="AQ135" s="63">
        <f t="shared" si="434"/>
        <v>4442728</v>
      </c>
      <c r="AR135" s="63">
        <v>4442728</v>
      </c>
      <c r="AS135" s="60">
        <v>0</v>
      </c>
      <c r="AT135" s="60">
        <v>0</v>
      </c>
      <c r="AU135" s="63">
        <f t="shared" si="435"/>
        <v>4442728</v>
      </c>
      <c r="AV135" s="63">
        <v>4442728</v>
      </c>
      <c r="AW135" s="60">
        <v>0</v>
      </c>
      <c r="AX135" s="60">
        <v>0</v>
      </c>
      <c r="AY135" s="63">
        <f t="shared" si="436"/>
        <v>4442728</v>
      </c>
      <c r="AZ135" s="8">
        <f t="shared" si="481"/>
        <v>222136.40000000002</v>
      </c>
      <c r="BA135" s="8">
        <v>0.4</v>
      </c>
      <c r="BB135" s="8">
        <f t="shared" si="482"/>
        <v>222136.00000000003</v>
      </c>
      <c r="BC135" s="8">
        <f t="shared" si="483"/>
        <v>4664864</v>
      </c>
      <c r="BD135" s="8"/>
      <c r="BE135" s="8">
        <f t="shared" si="484"/>
        <v>4664864</v>
      </c>
      <c r="BF135" s="10">
        <f t="shared" si="485"/>
        <v>222136</v>
      </c>
      <c r="BG135" s="11">
        <f t="shared" si="486"/>
        <v>0</v>
      </c>
      <c r="BH135" s="319">
        <v>4664864</v>
      </c>
      <c r="BI135" s="319">
        <v>0</v>
      </c>
      <c r="BJ135" s="319">
        <v>0</v>
      </c>
      <c r="BK135" s="319">
        <f t="shared" si="437"/>
        <v>4664864</v>
      </c>
      <c r="BL135" s="319">
        <v>4664864</v>
      </c>
      <c r="BM135" s="319">
        <v>0</v>
      </c>
      <c r="BN135" s="319">
        <v>0</v>
      </c>
      <c r="BO135" s="319">
        <f t="shared" si="438"/>
        <v>4664864</v>
      </c>
      <c r="BP135" s="319">
        <f t="shared" si="439"/>
        <v>0</v>
      </c>
      <c r="BQ135" s="319">
        <v>4664864</v>
      </c>
      <c r="BR135" s="319">
        <v>0</v>
      </c>
      <c r="BS135" s="319">
        <v>0</v>
      </c>
      <c r="BT135" s="319">
        <f t="shared" si="440"/>
        <v>4664864</v>
      </c>
      <c r="BU135" s="319">
        <f t="shared" si="441"/>
        <v>0</v>
      </c>
      <c r="BV135" s="319">
        <v>4664864</v>
      </c>
      <c r="BW135" s="18" t="s">
        <v>238</v>
      </c>
      <c r="BX135" s="18" t="s">
        <v>238</v>
      </c>
      <c r="BY135" s="319">
        <f t="shared" si="442"/>
        <v>4664864</v>
      </c>
      <c r="BZ135" s="319">
        <f t="shared" si="443"/>
        <v>0</v>
      </c>
      <c r="CA135" s="319">
        <v>4664864</v>
      </c>
      <c r="CB135" s="18" t="s">
        <v>238</v>
      </c>
      <c r="CC135" s="18" t="s">
        <v>238</v>
      </c>
      <c r="CD135" s="319">
        <f t="shared" si="444"/>
        <v>4664864</v>
      </c>
      <c r="CE135" s="319">
        <f t="shared" si="445"/>
        <v>0</v>
      </c>
      <c r="CF135" s="319">
        <v>4664864</v>
      </c>
      <c r="CG135" s="319">
        <v>0</v>
      </c>
      <c r="CH135" s="319">
        <v>0</v>
      </c>
      <c r="CI135" s="319">
        <f t="shared" si="446"/>
        <v>4664864</v>
      </c>
      <c r="CJ135" s="319">
        <f t="shared" si="447"/>
        <v>0</v>
      </c>
      <c r="CK135" s="319">
        <v>4664864</v>
      </c>
      <c r="CL135" s="319">
        <v>0</v>
      </c>
      <c r="CM135" s="319">
        <v>0</v>
      </c>
      <c r="CN135" s="319">
        <f t="shared" si="448"/>
        <v>4664864</v>
      </c>
      <c r="CO135" s="319">
        <f t="shared" si="449"/>
        <v>0</v>
      </c>
      <c r="CP135" s="319">
        <v>4664864</v>
      </c>
      <c r="CQ135" s="319">
        <v>0</v>
      </c>
      <c r="CR135" s="319">
        <v>0</v>
      </c>
      <c r="CS135" s="319">
        <f t="shared" si="450"/>
        <v>4664864</v>
      </c>
      <c r="CT135" s="319">
        <f t="shared" si="451"/>
        <v>0</v>
      </c>
      <c r="CU135" s="319">
        <v>4664864</v>
      </c>
      <c r="CV135" s="319">
        <v>0</v>
      </c>
      <c r="CW135" s="319">
        <v>0</v>
      </c>
      <c r="CX135" s="319">
        <f t="shared" si="452"/>
        <v>4664864</v>
      </c>
      <c r="CY135" s="319">
        <f t="shared" si="453"/>
        <v>0</v>
      </c>
      <c r="CZ135" s="319"/>
      <c r="DA135" s="319"/>
      <c r="DB135" s="319"/>
      <c r="DC135" s="12">
        <f t="shared" si="487"/>
        <v>466486.4</v>
      </c>
      <c r="DD135" s="12">
        <v>0.4</v>
      </c>
      <c r="DE135" s="13">
        <f t="shared" si="488"/>
        <v>466486</v>
      </c>
      <c r="DF135" s="14">
        <f t="shared" si="454"/>
        <v>466486</v>
      </c>
      <c r="DG135" s="13">
        <f t="shared" si="455"/>
        <v>5131350</v>
      </c>
      <c r="DH135" s="15">
        <f t="shared" si="456"/>
        <v>0.36489949413982836</v>
      </c>
      <c r="DI135" s="16">
        <f t="shared" si="457"/>
        <v>4664864</v>
      </c>
      <c r="DJ135" s="132">
        <f t="shared" si="489"/>
        <v>5131350.4000000004</v>
      </c>
      <c r="DK135" s="17">
        <f t="shared" si="490"/>
        <v>466486.40000000037</v>
      </c>
      <c r="DL135" s="17">
        <f t="shared" si="458"/>
        <v>0.4</v>
      </c>
      <c r="DM135" s="16">
        <f t="shared" si="491"/>
        <v>466486.00000000035</v>
      </c>
      <c r="DN135" s="16">
        <f t="shared" si="459"/>
        <v>0</v>
      </c>
      <c r="DO135" s="16">
        <f t="shared" si="492"/>
        <v>5131350</v>
      </c>
      <c r="DP135" s="16">
        <f t="shared" si="460"/>
        <v>0</v>
      </c>
      <c r="DQ135" s="9">
        <v>5131350</v>
      </c>
      <c r="DR135" s="18" t="s">
        <v>238</v>
      </c>
      <c r="DS135" s="18" t="s">
        <v>238</v>
      </c>
      <c r="DT135" s="324">
        <f t="shared" si="493"/>
        <v>5131350</v>
      </c>
      <c r="DU135" s="321">
        <f t="shared" si="494"/>
        <v>5131350</v>
      </c>
      <c r="DV135" s="19">
        <f t="shared" si="495"/>
        <v>0</v>
      </c>
      <c r="DW135" s="9">
        <v>5131350</v>
      </c>
      <c r="DX135" s="18"/>
      <c r="DY135" s="18"/>
      <c r="DZ135" s="324">
        <f t="shared" si="496"/>
        <v>5131350</v>
      </c>
      <c r="EA135" s="321">
        <f t="shared" si="497"/>
        <v>5131350</v>
      </c>
      <c r="EB135" s="179">
        <f t="shared" si="461"/>
        <v>0</v>
      </c>
      <c r="EC135" s="9">
        <v>5131350</v>
      </c>
      <c r="ED135" s="18" t="s">
        <v>238</v>
      </c>
      <c r="EE135" s="18" t="s">
        <v>238</v>
      </c>
      <c r="EF135" s="324">
        <f t="shared" si="498"/>
        <v>5131350</v>
      </c>
      <c r="EG135" s="321">
        <f t="shared" si="499"/>
        <v>5131350</v>
      </c>
      <c r="EH135" s="179">
        <f t="shared" si="462"/>
        <v>0</v>
      </c>
      <c r="EI135" s="9">
        <v>5131350</v>
      </c>
      <c r="EJ135" s="18" t="s">
        <v>238</v>
      </c>
      <c r="EK135" s="18" t="s">
        <v>238</v>
      </c>
      <c r="EL135" s="324">
        <f t="shared" si="500"/>
        <v>5131350</v>
      </c>
      <c r="EM135" s="321">
        <f t="shared" si="501"/>
        <v>5131350</v>
      </c>
      <c r="EN135" s="179">
        <f t="shared" si="463"/>
        <v>0</v>
      </c>
      <c r="EO135" s="9">
        <v>5131350</v>
      </c>
      <c r="EP135" s="18" t="s">
        <v>238</v>
      </c>
      <c r="EQ135" s="18" t="s">
        <v>238</v>
      </c>
      <c r="ER135" s="324">
        <f t="shared" si="502"/>
        <v>5131350</v>
      </c>
      <c r="ES135" s="321">
        <f t="shared" si="503"/>
        <v>5131350</v>
      </c>
      <c r="ET135" s="179">
        <f t="shared" si="464"/>
        <v>0</v>
      </c>
      <c r="EU135" s="9">
        <v>5131350</v>
      </c>
      <c r="EV135" s="18" t="s">
        <v>238</v>
      </c>
      <c r="EW135" s="18" t="s">
        <v>238</v>
      </c>
      <c r="EX135" s="324">
        <f t="shared" si="504"/>
        <v>5131350</v>
      </c>
      <c r="EY135" s="321">
        <f t="shared" si="505"/>
        <v>5131350</v>
      </c>
      <c r="EZ135" s="179">
        <f t="shared" si="465"/>
        <v>0</v>
      </c>
      <c r="FA135" s="9">
        <v>5131350</v>
      </c>
      <c r="FB135" s="18" t="s">
        <v>238</v>
      </c>
      <c r="FC135" s="18" t="s">
        <v>238</v>
      </c>
      <c r="FD135" s="324">
        <f t="shared" si="506"/>
        <v>5131350</v>
      </c>
      <c r="FE135" s="321">
        <f t="shared" si="507"/>
        <v>5131350</v>
      </c>
      <c r="FF135" s="179">
        <f t="shared" si="466"/>
        <v>0</v>
      </c>
      <c r="FG135" s="9">
        <v>5131350</v>
      </c>
      <c r="FH135" s="18" t="s">
        <v>238</v>
      </c>
      <c r="FI135" s="18" t="s">
        <v>238</v>
      </c>
      <c r="FJ135" s="324">
        <f t="shared" si="508"/>
        <v>5131350</v>
      </c>
      <c r="FK135" s="321">
        <f t="shared" si="509"/>
        <v>5131350</v>
      </c>
      <c r="FL135" s="179">
        <f t="shared" si="467"/>
        <v>0</v>
      </c>
      <c r="FM135" s="9">
        <v>5131350</v>
      </c>
      <c r="FN135" s="18" t="s">
        <v>238</v>
      </c>
      <c r="FO135" s="18" t="s">
        <v>238</v>
      </c>
      <c r="FP135" s="324">
        <f t="shared" si="510"/>
        <v>5131350</v>
      </c>
      <c r="FQ135" s="321">
        <f t="shared" si="511"/>
        <v>5131350</v>
      </c>
      <c r="FR135" s="179">
        <f t="shared" si="468"/>
        <v>0</v>
      </c>
      <c r="FS135" s="9">
        <v>5131350</v>
      </c>
      <c r="FT135" s="18" t="s">
        <v>238</v>
      </c>
      <c r="FU135" s="18" t="s">
        <v>238</v>
      </c>
      <c r="FV135" s="324">
        <f t="shared" si="512"/>
        <v>5131350</v>
      </c>
      <c r="FW135" s="321">
        <f t="shared" si="513"/>
        <v>5131350</v>
      </c>
      <c r="FX135" s="179">
        <f t="shared" si="469"/>
        <v>0</v>
      </c>
      <c r="FY135" s="9">
        <v>5131350</v>
      </c>
      <c r="FZ135" s="18" t="s">
        <v>238</v>
      </c>
      <c r="GA135" s="18" t="s">
        <v>238</v>
      </c>
      <c r="GB135" s="324">
        <f t="shared" si="514"/>
        <v>5131350</v>
      </c>
      <c r="GC135" s="321">
        <f t="shared" si="515"/>
        <v>5131350</v>
      </c>
      <c r="GD135" s="179">
        <f t="shared" si="470"/>
        <v>0</v>
      </c>
      <c r="GE135" s="9">
        <v>5131350</v>
      </c>
      <c r="GF135" s="18" t="s">
        <v>238</v>
      </c>
      <c r="GG135" s="18" t="s">
        <v>238</v>
      </c>
      <c r="GH135" s="324">
        <f t="shared" si="516"/>
        <v>5131350</v>
      </c>
      <c r="GI135" s="321">
        <f t="shared" si="517"/>
        <v>5131350</v>
      </c>
      <c r="GJ135" s="179">
        <f t="shared" si="471"/>
        <v>0</v>
      </c>
      <c r="GK135" s="9">
        <v>5131350</v>
      </c>
      <c r="GL135" s="18" t="s">
        <v>238</v>
      </c>
      <c r="GM135" s="18" t="s">
        <v>238</v>
      </c>
      <c r="GN135" s="324">
        <f t="shared" si="518"/>
        <v>5131350</v>
      </c>
      <c r="GO135" s="321">
        <f t="shared" si="519"/>
        <v>5131350</v>
      </c>
      <c r="GP135" s="179">
        <f t="shared" si="472"/>
        <v>0</v>
      </c>
      <c r="GQ135" s="9">
        <v>5131350</v>
      </c>
      <c r="GR135" s="18" t="s">
        <v>238</v>
      </c>
      <c r="GS135" s="18" t="s">
        <v>238</v>
      </c>
      <c r="GT135" s="324">
        <f t="shared" si="520"/>
        <v>5131350</v>
      </c>
      <c r="GU135" s="321">
        <f t="shared" si="521"/>
        <v>5131350</v>
      </c>
      <c r="GV135" s="179">
        <f t="shared" si="473"/>
        <v>0</v>
      </c>
      <c r="GW135" s="9">
        <v>5387917</v>
      </c>
      <c r="GX135" s="18" t="s">
        <v>238</v>
      </c>
      <c r="GY135" s="18" t="s">
        <v>238</v>
      </c>
      <c r="GZ135" s="324">
        <f t="shared" si="522"/>
        <v>5387917</v>
      </c>
      <c r="HA135" s="321">
        <f t="shared" si="523"/>
        <v>5387917</v>
      </c>
      <c r="HB135" s="179">
        <f t="shared" si="474"/>
        <v>256567</v>
      </c>
      <c r="HC135" s="102">
        <f t="shared" si="475"/>
        <v>0.36489946569511378</v>
      </c>
      <c r="HD135" s="285">
        <f t="shared" si="524"/>
        <v>0</v>
      </c>
      <c r="HE135" s="12">
        <f t="shared" si="525"/>
        <v>256567.5</v>
      </c>
      <c r="HF135" s="12">
        <f t="shared" si="476"/>
        <v>0.5</v>
      </c>
      <c r="HG135" s="12">
        <f t="shared" si="526"/>
        <v>256567</v>
      </c>
      <c r="HH135" s="14">
        <f t="shared" si="527"/>
        <v>256567</v>
      </c>
      <c r="HI135" s="13">
        <f t="shared" si="528"/>
        <v>5387917</v>
      </c>
      <c r="HJ135" s="102">
        <f t="shared" si="529"/>
        <v>0.38314440342397621</v>
      </c>
      <c r="HK135" s="16">
        <f t="shared" si="530"/>
        <v>5131350</v>
      </c>
      <c r="HL135" s="103">
        <f t="shared" si="531"/>
        <v>5387917.5</v>
      </c>
      <c r="HM135" s="103">
        <f t="shared" si="532"/>
        <v>256567.5</v>
      </c>
      <c r="HN135" s="17">
        <f t="shared" si="533"/>
        <v>0.5</v>
      </c>
      <c r="HO135" s="56">
        <f t="shared" si="534"/>
        <v>256567</v>
      </c>
      <c r="HP135" s="16">
        <f t="shared" si="535"/>
        <v>0</v>
      </c>
      <c r="HQ135" s="16">
        <f t="shared" si="536"/>
        <v>5387917</v>
      </c>
      <c r="HR135" s="16">
        <f t="shared" si="537"/>
        <v>0</v>
      </c>
    </row>
    <row r="136" spans="1:226" ht="10.8" thickBot="1" x14ac:dyDescent="0.35">
      <c r="A136" s="169">
        <v>4</v>
      </c>
      <c r="B136" s="459"/>
      <c r="C136" s="170" t="s">
        <v>258</v>
      </c>
      <c r="D136" s="171" t="s">
        <v>90</v>
      </c>
      <c r="E136" s="161">
        <v>0</v>
      </c>
      <c r="F136" s="60">
        <v>4299148</v>
      </c>
      <c r="G136" s="60">
        <v>0</v>
      </c>
      <c r="H136" s="61"/>
      <c r="I136" s="61">
        <v>4299148</v>
      </c>
      <c r="J136" s="61">
        <v>4299148</v>
      </c>
      <c r="K136" s="61"/>
      <c r="L136" s="61">
        <v>4299148</v>
      </c>
      <c r="M136" s="62">
        <v>4299148</v>
      </c>
      <c r="N136" s="62">
        <v>4299148</v>
      </c>
      <c r="O136" s="63">
        <v>4299148</v>
      </c>
      <c r="P136" s="63">
        <v>4299148</v>
      </c>
      <c r="Q136" s="63">
        <v>4299148</v>
      </c>
      <c r="R136" s="63">
        <v>4299148</v>
      </c>
      <c r="S136" s="63">
        <v>4299148</v>
      </c>
      <c r="T136" s="63">
        <v>4299148</v>
      </c>
      <c r="U136" s="63">
        <f t="shared" si="477"/>
        <v>214957.40000000002</v>
      </c>
      <c r="V136" s="63">
        <f t="shared" si="478"/>
        <v>4514105.4000000004</v>
      </c>
      <c r="W136" s="63">
        <v>4514105</v>
      </c>
      <c r="X136" s="63">
        <v>4514105</v>
      </c>
      <c r="Y136" s="63">
        <v>4514105</v>
      </c>
      <c r="Z136" s="63">
        <v>4514105</v>
      </c>
      <c r="AA136" s="63">
        <v>4514105</v>
      </c>
      <c r="AB136" s="63">
        <v>4514105</v>
      </c>
      <c r="AC136" s="60">
        <v>0</v>
      </c>
      <c r="AD136" s="60">
        <v>0</v>
      </c>
      <c r="AE136" s="63">
        <f t="shared" si="479"/>
        <v>4514105</v>
      </c>
      <c r="AF136" s="63">
        <v>4514105</v>
      </c>
      <c r="AG136" s="60">
        <v>0</v>
      </c>
      <c r="AH136" s="60">
        <v>0</v>
      </c>
      <c r="AI136" s="63">
        <f t="shared" si="480"/>
        <v>4514105</v>
      </c>
      <c r="AJ136" s="63">
        <v>4514105</v>
      </c>
      <c r="AK136" s="60">
        <v>0</v>
      </c>
      <c r="AL136" s="60">
        <v>0</v>
      </c>
      <c r="AM136" s="63">
        <f t="shared" si="433"/>
        <v>4514105</v>
      </c>
      <c r="AN136" s="63">
        <v>4514105</v>
      </c>
      <c r="AO136" s="60">
        <v>0</v>
      </c>
      <c r="AP136" s="60">
        <v>0</v>
      </c>
      <c r="AQ136" s="63">
        <f t="shared" si="434"/>
        <v>4514105</v>
      </c>
      <c r="AR136" s="63">
        <v>4514105</v>
      </c>
      <c r="AS136" s="60">
        <v>0</v>
      </c>
      <c r="AT136" s="60">
        <v>0</v>
      </c>
      <c r="AU136" s="63">
        <f t="shared" si="435"/>
        <v>4514105</v>
      </c>
      <c r="AV136" s="63">
        <v>4514105</v>
      </c>
      <c r="AW136" s="60">
        <v>0</v>
      </c>
      <c r="AX136" s="60">
        <v>0</v>
      </c>
      <c r="AY136" s="63">
        <f t="shared" si="436"/>
        <v>4514105</v>
      </c>
      <c r="AZ136" s="8">
        <f t="shared" si="481"/>
        <v>225705.25</v>
      </c>
      <c r="BA136" s="8">
        <v>0.25</v>
      </c>
      <c r="BB136" s="8">
        <f t="shared" si="482"/>
        <v>225705</v>
      </c>
      <c r="BC136" s="8">
        <f t="shared" si="483"/>
        <v>4739810</v>
      </c>
      <c r="BD136" s="8"/>
      <c r="BE136" s="8">
        <f t="shared" si="484"/>
        <v>4739810</v>
      </c>
      <c r="BF136" s="10">
        <f t="shared" si="485"/>
        <v>225705</v>
      </c>
      <c r="BG136" s="11">
        <f t="shared" si="486"/>
        <v>0</v>
      </c>
      <c r="BH136" s="319">
        <v>4739810</v>
      </c>
      <c r="BI136" s="319">
        <v>0</v>
      </c>
      <c r="BJ136" s="319">
        <v>0</v>
      </c>
      <c r="BK136" s="319">
        <f t="shared" si="437"/>
        <v>4739810</v>
      </c>
      <c r="BL136" s="319">
        <v>4739810</v>
      </c>
      <c r="BM136" s="319">
        <v>0</v>
      </c>
      <c r="BN136" s="319">
        <v>0</v>
      </c>
      <c r="BO136" s="319">
        <f t="shared" si="438"/>
        <v>4739810</v>
      </c>
      <c r="BP136" s="319">
        <f t="shared" si="439"/>
        <v>0</v>
      </c>
      <c r="BQ136" s="319">
        <v>4739810</v>
      </c>
      <c r="BR136" s="319">
        <v>0</v>
      </c>
      <c r="BS136" s="319">
        <v>0</v>
      </c>
      <c r="BT136" s="319">
        <f t="shared" si="440"/>
        <v>4739810</v>
      </c>
      <c r="BU136" s="319">
        <f t="shared" si="441"/>
        <v>0</v>
      </c>
      <c r="BV136" s="319">
        <v>4739810</v>
      </c>
      <c r="BW136" s="18" t="s">
        <v>238</v>
      </c>
      <c r="BX136" s="18" t="s">
        <v>238</v>
      </c>
      <c r="BY136" s="319">
        <f t="shared" si="442"/>
        <v>4739810</v>
      </c>
      <c r="BZ136" s="319">
        <f t="shared" si="443"/>
        <v>0</v>
      </c>
      <c r="CA136" s="319">
        <v>4739810</v>
      </c>
      <c r="CB136" s="18" t="s">
        <v>238</v>
      </c>
      <c r="CC136" s="18" t="s">
        <v>238</v>
      </c>
      <c r="CD136" s="319">
        <f t="shared" si="444"/>
        <v>4739810</v>
      </c>
      <c r="CE136" s="319">
        <f t="shared" si="445"/>
        <v>0</v>
      </c>
      <c r="CF136" s="319">
        <v>4739810</v>
      </c>
      <c r="CG136" s="319">
        <v>0</v>
      </c>
      <c r="CH136" s="319">
        <v>0</v>
      </c>
      <c r="CI136" s="319">
        <f t="shared" si="446"/>
        <v>4739810</v>
      </c>
      <c r="CJ136" s="319">
        <f t="shared" si="447"/>
        <v>0</v>
      </c>
      <c r="CK136" s="319">
        <v>4739810</v>
      </c>
      <c r="CL136" s="319">
        <v>0</v>
      </c>
      <c r="CM136" s="319">
        <v>0</v>
      </c>
      <c r="CN136" s="319">
        <f t="shared" si="448"/>
        <v>4739810</v>
      </c>
      <c r="CO136" s="319">
        <f t="shared" si="449"/>
        <v>0</v>
      </c>
      <c r="CP136" s="319">
        <v>4739810</v>
      </c>
      <c r="CQ136" s="319">
        <v>0</v>
      </c>
      <c r="CR136" s="319">
        <v>0</v>
      </c>
      <c r="CS136" s="319">
        <f t="shared" si="450"/>
        <v>4739810</v>
      </c>
      <c r="CT136" s="319">
        <f t="shared" si="451"/>
        <v>0</v>
      </c>
      <c r="CU136" s="319">
        <v>4739810</v>
      </c>
      <c r="CV136" s="319">
        <v>0</v>
      </c>
      <c r="CW136" s="319">
        <v>0</v>
      </c>
      <c r="CX136" s="319">
        <f t="shared" si="452"/>
        <v>4739810</v>
      </c>
      <c r="CY136" s="319">
        <f t="shared" si="453"/>
        <v>0</v>
      </c>
      <c r="CZ136" s="319"/>
      <c r="DA136" s="319"/>
      <c r="DB136" s="319"/>
      <c r="DC136" s="12">
        <f t="shared" si="487"/>
        <v>473981</v>
      </c>
      <c r="DD136" s="12">
        <v>0</v>
      </c>
      <c r="DE136" s="13">
        <f t="shared" si="488"/>
        <v>473981</v>
      </c>
      <c r="DF136" s="14">
        <f t="shared" si="454"/>
        <v>473981</v>
      </c>
      <c r="DG136" s="13">
        <f t="shared" si="455"/>
        <v>5213791</v>
      </c>
      <c r="DH136" s="15">
        <f t="shared" si="456"/>
        <v>0.37076199248657621</v>
      </c>
      <c r="DI136" s="16">
        <f t="shared" si="457"/>
        <v>4739810</v>
      </c>
      <c r="DJ136" s="132">
        <f t="shared" si="489"/>
        <v>5213791</v>
      </c>
      <c r="DK136" s="17">
        <f t="shared" si="490"/>
        <v>473981</v>
      </c>
      <c r="DL136" s="17">
        <f t="shared" si="458"/>
        <v>0</v>
      </c>
      <c r="DM136" s="16">
        <f t="shared" si="491"/>
        <v>473981</v>
      </c>
      <c r="DN136" s="16">
        <f t="shared" si="459"/>
        <v>0</v>
      </c>
      <c r="DO136" s="16">
        <f t="shared" si="492"/>
        <v>5213791</v>
      </c>
      <c r="DP136" s="16">
        <f t="shared" si="460"/>
        <v>0</v>
      </c>
      <c r="DQ136" s="9">
        <v>5213791</v>
      </c>
      <c r="DR136" s="18" t="s">
        <v>238</v>
      </c>
      <c r="DS136" s="18" t="s">
        <v>238</v>
      </c>
      <c r="DT136" s="324">
        <f t="shared" si="493"/>
        <v>5213791</v>
      </c>
      <c r="DU136" s="321">
        <f t="shared" si="494"/>
        <v>5213791</v>
      </c>
      <c r="DV136" s="19">
        <f t="shared" si="495"/>
        <v>0</v>
      </c>
      <c r="DW136" s="9">
        <v>5213791</v>
      </c>
      <c r="DX136" s="18"/>
      <c r="DY136" s="18"/>
      <c r="DZ136" s="324">
        <f t="shared" si="496"/>
        <v>5213791</v>
      </c>
      <c r="EA136" s="321">
        <f t="shared" si="497"/>
        <v>5213791</v>
      </c>
      <c r="EB136" s="179">
        <f t="shared" si="461"/>
        <v>0</v>
      </c>
      <c r="EC136" s="9">
        <v>5213791</v>
      </c>
      <c r="ED136" s="18" t="s">
        <v>238</v>
      </c>
      <c r="EE136" s="18" t="s">
        <v>238</v>
      </c>
      <c r="EF136" s="324">
        <f t="shared" si="498"/>
        <v>5213791</v>
      </c>
      <c r="EG136" s="321">
        <f t="shared" si="499"/>
        <v>5213791</v>
      </c>
      <c r="EH136" s="179">
        <f t="shared" si="462"/>
        <v>0</v>
      </c>
      <c r="EI136" s="9">
        <v>5213791</v>
      </c>
      <c r="EJ136" s="18" t="s">
        <v>238</v>
      </c>
      <c r="EK136" s="18" t="s">
        <v>238</v>
      </c>
      <c r="EL136" s="324">
        <f t="shared" si="500"/>
        <v>5213791</v>
      </c>
      <c r="EM136" s="321">
        <f t="shared" si="501"/>
        <v>5213791</v>
      </c>
      <c r="EN136" s="179">
        <f t="shared" si="463"/>
        <v>0</v>
      </c>
      <c r="EO136" s="9">
        <v>5213791</v>
      </c>
      <c r="EP136" s="18" t="s">
        <v>238</v>
      </c>
      <c r="EQ136" s="18" t="s">
        <v>238</v>
      </c>
      <c r="ER136" s="324">
        <f t="shared" si="502"/>
        <v>5213791</v>
      </c>
      <c r="ES136" s="321">
        <f t="shared" si="503"/>
        <v>5213791</v>
      </c>
      <c r="ET136" s="179">
        <f t="shared" si="464"/>
        <v>0</v>
      </c>
      <c r="EU136" s="9">
        <v>5213791</v>
      </c>
      <c r="EV136" s="18" t="s">
        <v>238</v>
      </c>
      <c r="EW136" s="18" t="s">
        <v>238</v>
      </c>
      <c r="EX136" s="324">
        <f t="shared" si="504"/>
        <v>5213791</v>
      </c>
      <c r="EY136" s="321">
        <f t="shared" si="505"/>
        <v>5213791</v>
      </c>
      <c r="EZ136" s="179">
        <f t="shared" si="465"/>
        <v>0</v>
      </c>
      <c r="FA136" s="9">
        <v>5213791</v>
      </c>
      <c r="FB136" s="18" t="s">
        <v>238</v>
      </c>
      <c r="FC136" s="18" t="s">
        <v>238</v>
      </c>
      <c r="FD136" s="324">
        <f t="shared" si="506"/>
        <v>5213791</v>
      </c>
      <c r="FE136" s="321">
        <f t="shared" si="507"/>
        <v>5213791</v>
      </c>
      <c r="FF136" s="179">
        <f t="shared" si="466"/>
        <v>0</v>
      </c>
      <c r="FG136" s="9">
        <v>5213791</v>
      </c>
      <c r="FH136" s="18" t="s">
        <v>238</v>
      </c>
      <c r="FI136" s="18" t="s">
        <v>238</v>
      </c>
      <c r="FJ136" s="324">
        <f t="shared" si="508"/>
        <v>5213791</v>
      </c>
      <c r="FK136" s="321">
        <f t="shared" si="509"/>
        <v>5213791</v>
      </c>
      <c r="FL136" s="179">
        <f t="shared" si="467"/>
        <v>0</v>
      </c>
      <c r="FM136" s="9">
        <v>5213791</v>
      </c>
      <c r="FN136" s="18" t="s">
        <v>238</v>
      </c>
      <c r="FO136" s="18" t="s">
        <v>238</v>
      </c>
      <c r="FP136" s="324">
        <f t="shared" si="510"/>
        <v>5213791</v>
      </c>
      <c r="FQ136" s="321">
        <f t="shared" si="511"/>
        <v>5213791</v>
      </c>
      <c r="FR136" s="179">
        <f t="shared" si="468"/>
        <v>0</v>
      </c>
      <c r="FS136" s="9">
        <v>5213791</v>
      </c>
      <c r="FT136" s="18" t="s">
        <v>238</v>
      </c>
      <c r="FU136" s="18" t="s">
        <v>238</v>
      </c>
      <c r="FV136" s="324">
        <f t="shared" si="512"/>
        <v>5213791</v>
      </c>
      <c r="FW136" s="321">
        <f t="shared" si="513"/>
        <v>5213791</v>
      </c>
      <c r="FX136" s="179">
        <f t="shared" si="469"/>
        <v>0</v>
      </c>
      <c r="FY136" s="9">
        <v>5213791</v>
      </c>
      <c r="FZ136" s="18" t="s">
        <v>238</v>
      </c>
      <c r="GA136" s="18" t="s">
        <v>238</v>
      </c>
      <c r="GB136" s="324">
        <f t="shared" si="514"/>
        <v>5213791</v>
      </c>
      <c r="GC136" s="321">
        <f t="shared" si="515"/>
        <v>5213791</v>
      </c>
      <c r="GD136" s="179">
        <f t="shared" si="470"/>
        <v>0</v>
      </c>
      <c r="GE136" s="9">
        <v>5213791</v>
      </c>
      <c r="GF136" s="18" t="s">
        <v>238</v>
      </c>
      <c r="GG136" s="18" t="s">
        <v>238</v>
      </c>
      <c r="GH136" s="324">
        <f t="shared" si="516"/>
        <v>5213791</v>
      </c>
      <c r="GI136" s="321">
        <f t="shared" si="517"/>
        <v>5213791</v>
      </c>
      <c r="GJ136" s="179">
        <f t="shared" si="471"/>
        <v>0</v>
      </c>
      <c r="GK136" s="9">
        <v>5213791</v>
      </c>
      <c r="GL136" s="18" t="s">
        <v>238</v>
      </c>
      <c r="GM136" s="18" t="s">
        <v>238</v>
      </c>
      <c r="GN136" s="324">
        <f t="shared" si="518"/>
        <v>5213791</v>
      </c>
      <c r="GO136" s="321">
        <f t="shared" si="519"/>
        <v>5213791</v>
      </c>
      <c r="GP136" s="179">
        <f t="shared" si="472"/>
        <v>0</v>
      </c>
      <c r="GQ136" s="9">
        <v>5213791</v>
      </c>
      <c r="GR136" s="18" t="s">
        <v>238</v>
      </c>
      <c r="GS136" s="18" t="s">
        <v>238</v>
      </c>
      <c r="GT136" s="324">
        <f t="shared" si="520"/>
        <v>5213791</v>
      </c>
      <c r="GU136" s="321">
        <f t="shared" si="521"/>
        <v>5213791</v>
      </c>
      <c r="GV136" s="179">
        <f t="shared" si="473"/>
        <v>0</v>
      </c>
      <c r="GW136" s="9">
        <v>5474480</v>
      </c>
      <c r="GX136" s="18" t="s">
        <v>238</v>
      </c>
      <c r="GY136" s="18" t="s">
        <v>238</v>
      </c>
      <c r="GZ136" s="324">
        <f t="shared" si="522"/>
        <v>5474480</v>
      </c>
      <c r="HA136" s="321">
        <f t="shared" si="523"/>
        <v>5474480</v>
      </c>
      <c r="HB136" s="179">
        <f t="shared" si="474"/>
        <v>260689</v>
      </c>
      <c r="HC136" s="102">
        <f t="shared" si="475"/>
        <v>0.37076199248657626</v>
      </c>
      <c r="HD136" s="285">
        <f t="shared" si="524"/>
        <v>0</v>
      </c>
      <c r="HE136" s="12">
        <f t="shared" si="525"/>
        <v>260689.55000000002</v>
      </c>
      <c r="HF136" s="12">
        <f t="shared" si="476"/>
        <v>0.5500000000174623</v>
      </c>
      <c r="HG136" s="12">
        <f t="shared" si="526"/>
        <v>260689</v>
      </c>
      <c r="HH136" s="14">
        <f t="shared" si="527"/>
        <v>260689</v>
      </c>
      <c r="HI136" s="13">
        <f t="shared" si="528"/>
        <v>5474480</v>
      </c>
      <c r="HJ136" s="102">
        <f t="shared" si="529"/>
        <v>0.3893000529994225</v>
      </c>
      <c r="HK136" s="16">
        <f t="shared" si="530"/>
        <v>5213791</v>
      </c>
      <c r="HL136" s="103">
        <f t="shared" si="531"/>
        <v>5474480.5499999998</v>
      </c>
      <c r="HM136" s="103">
        <f t="shared" si="532"/>
        <v>260689.54999999981</v>
      </c>
      <c r="HN136" s="17">
        <f t="shared" si="533"/>
        <v>0.5500000000174623</v>
      </c>
      <c r="HO136" s="56">
        <f t="shared" si="534"/>
        <v>260688.9999999998</v>
      </c>
      <c r="HP136" s="16">
        <f t="shared" si="535"/>
        <v>0</v>
      </c>
      <c r="HQ136" s="16">
        <f t="shared" si="536"/>
        <v>5474480</v>
      </c>
      <c r="HR136" s="16">
        <f t="shared" si="537"/>
        <v>0</v>
      </c>
    </row>
    <row r="137" spans="1:226" x14ac:dyDescent="0.3">
      <c r="A137" s="162">
        <v>5</v>
      </c>
      <c r="B137" s="458" t="s">
        <v>432</v>
      </c>
      <c r="C137" s="163" t="s">
        <v>497</v>
      </c>
      <c r="D137" s="163" t="s">
        <v>496</v>
      </c>
      <c r="E137" s="60"/>
      <c r="F137" s="60"/>
      <c r="G137" s="60"/>
      <c r="H137" s="61"/>
      <c r="I137" s="61"/>
      <c r="J137" s="61"/>
      <c r="K137" s="61"/>
      <c r="L137" s="61"/>
      <c r="M137" s="62"/>
      <c r="N137" s="62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0"/>
      <c r="AD137" s="60"/>
      <c r="AE137" s="63"/>
      <c r="AF137" s="63"/>
      <c r="AG137" s="60"/>
      <c r="AH137" s="60"/>
      <c r="AI137" s="63"/>
      <c r="AJ137" s="63"/>
      <c r="AK137" s="60"/>
      <c r="AL137" s="60"/>
      <c r="AM137" s="63"/>
      <c r="AN137" s="63"/>
      <c r="AO137" s="60"/>
      <c r="AP137" s="60"/>
      <c r="AQ137" s="63"/>
      <c r="AR137" s="59" t="s">
        <v>525</v>
      </c>
      <c r="AS137" s="60">
        <v>0</v>
      </c>
      <c r="AT137" s="60">
        <v>0</v>
      </c>
      <c r="AU137" s="63">
        <f t="shared" si="435"/>
        <v>959000</v>
      </c>
      <c r="AV137" s="59" t="s">
        <v>525</v>
      </c>
      <c r="AW137" s="60">
        <v>0</v>
      </c>
      <c r="AX137" s="60">
        <v>0</v>
      </c>
      <c r="AY137" s="63">
        <f t="shared" si="436"/>
        <v>959000</v>
      </c>
      <c r="AZ137" s="8">
        <f t="shared" si="481"/>
        <v>47950</v>
      </c>
      <c r="BA137" s="8">
        <v>0</v>
      </c>
      <c r="BB137" s="8">
        <f t="shared" si="482"/>
        <v>47950</v>
      </c>
      <c r="BC137" s="8">
        <f t="shared" si="483"/>
        <v>1006950</v>
      </c>
      <c r="BD137" s="8"/>
      <c r="BE137" s="8">
        <f t="shared" si="484"/>
        <v>1006950</v>
      </c>
      <c r="BF137" s="10">
        <f t="shared" si="485"/>
        <v>47950</v>
      </c>
      <c r="BG137" s="11">
        <f t="shared" si="486"/>
        <v>0</v>
      </c>
      <c r="BH137" s="319">
        <v>0</v>
      </c>
      <c r="BI137" s="319">
        <v>0</v>
      </c>
      <c r="BJ137" s="319">
        <v>0</v>
      </c>
      <c r="BK137" s="319">
        <f t="shared" si="437"/>
        <v>0</v>
      </c>
      <c r="BL137" s="319">
        <v>0</v>
      </c>
      <c r="BM137" s="319">
        <v>0</v>
      </c>
      <c r="BN137" s="319">
        <v>0</v>
      </c>
      <c r="BO137" s="319">
        <f t="shared" si="438"/>
        <v>0</v>
      </c>
      <c r="BP137" s="319">
        <f t="shared" si="439"/>
        <v>0</v>
      </c>
      <c r="BQ137" s="319"/>
      <c r="BR137" s="319">
        <v>0</v>
      </c>
      <c r="BS137" s="319">
        <v>0</v>
      </c>
      <c r="BT137" s="319">
        <f t="shared" si="440"/>
        <v>0</v>
      </c>
      <c r="BU137" s="319">
        <f t="shared" si="441"/>
        <v>0</v>
      </c>
      <c r="BV137" s="319">
        <v>0</v>
      </c>
      <c r="BW137" s="18" t="s">
        <v>238</v>
      </c>
      <c r="BX137" s="18" t="s">
        <v>238</v>
      </c>
      <c r="BY137" s="319">
        <f t="shared" si="442"/>
        <v>0</v>
      </c>
      <c r="BZ137" s="319">
        <f t="shared" si="443"/>
        <v>0</v>
      </c>
      <c r="CA137" s="319">
        <v>0</v>
      </c>
      <c r="CB137" s="18" t="s">
        <v>238</v>
      </c>
      <c r="CC137" s="18" t="s">
        <v>238</v>
      </c>
      <c r="CD137" s="319">
        <f t="shared" si="444"/>
        <v>0</v>
      </c>
      <c r="CE137" s="319">
        <f t="shared" si="445"/>
        <v>0</v>
      </c>
      <c r="CF137" s="319"/>
      <c r="CG137" s="319">
        <v>0</v>
      </c>
      <c r="CH137" s="319">
        <v>0</v>
      </c>
      <c r="CI137" s="319">
        <f t="shared" si="446"/>
        <v>0</v>
      </c>
      <c r="CJ137" s="319">
        <f t="shared" si="447"/>
        <v>0</v>
      </c>
      <c r="CK137" s="319">
        <v>0</v>
      </c>
      <c r="CL137" s="319">
        <v>0</v>
      </c>
      <c r="CM137" s="319">
        <v>0</v>
      </c>
      <c r="CN137" s="319">
        <f t="shared" si="448"/>
        <v>0</v>
      </c>
      <c r="CO137" s="319">
        <f t="shared" si="449"/>
        <v>0</v>
      </c>
      <c r="CP137" s="319">
        <v>0</v>
      </c>
      <c r="CQ137" s="319">
        <v>0</v>
      </c>
      <c r="CR137" s="319">
        <v>0</v>
      </c>
      <c r="CS137" s="319">
        <f t="shared" si="450"/>
        <v>0</v>
      </c>
      <c r="CT137" s="319">
        <f t="shared" si="451"/>
        <v>0</v>
      </c>
      <c r="CU137" s="319">
        <v>0</v>
      </c>
      <c r="CV137" s="319">
        <v>0</v>
      </c>
      <c r="CW137" s="319">
        <v>0</v>
      </c>
      <c r="CX137" s="319">
        <f t="shared" si="452"/>
        <v>0</v>
      </c>
      <c r="CY137" s="319">
        <f t="shared" si="453"/>
        <v>0</v>
      </c>
      <c r="CZ137" s="319"/>
      <c r="DA137" s="319"/>
      <c r="DB137" s="319"/>
      <c r="DC137" s="12">
        <f t="shared" si="487"/>
        <v>0</v>
      </c>
      <c r="DD137" s="12">
        <v>0</v>
      </c>
      <c r="DE137" s="13">
        <f t="shared" si="488"/>
        <v>0</v>
      </c>
      <c r="DF137" s="14">
        <f t="shared" si="454"/>
        <v>0</v>
      </c>
      <c r="DG137" s="13">
        <f t="shared" si="455"/>
        <v>0</v>
      </c>
      <c r="DH137" s="15">
        <f t="shared" si="456"/>
        <v>0</v>
      </c>
      <c r="DI137" s="16">
        <f t="shared" si="457"/>
        <v>0</v>
      </c>
      <c r="DJ137" s="132">
        <f t="shared" si="489"/>
        <v>0</v>
      </c>
      <c r="DK137" s="17">
        <f t="shared" si="490"/>
        <v>0</v>
      </c>
      <c r="DL137" s="17">
        <f t="shared" si="458"/>
        <v>0</v>
      </c>
      <c r="DM137" s="16">
        <f t="shared" si="491"/>
        <v>0</v>
      </c>
      <c r="DN137" s="16">
        <f t="shared" si="459"/>
        <v>0</v>
      </c>
      <c r="DO137" s="16">
        <f t="shared" si="492"/>
        <v>0</v>
      </c>
      <c r="DP137" s="16">
        <f t="shared" si="460"/>
        <v>0</v>
      </c>
      <c r="DQ137" s="9">
        <v>0</v>
      </c>
      <c r="DR137" s="18" t="s">
        <v>238</v>
      </c>
      <c r="DS137" s="18" t="s">
        <v>238</v>
      </c>
      <c r="DT137" s="324">
        <f t="shared" si="493"/>
        <v>0</v>
      </c>
      <c r="DU137" s="321">
        <f t="shared" si="494"/>
        <v>0</v>
      </c>
      <c r="DV137" s="19">
        <f t="shared" si="495"/>
        <v>0</v>
      </c>
      <c r="DW137" s="9"/>
      <c r="DX137" s="18"/>
      <c r="DY137" s="18"/>
      <c r="DZ137" s="324">
        <f t="shared" si="496"/>
        <v>0</v>
      </c>
      <c r="EA137" s="321">
        <f t="shared" si="497"/>
        <v>0</v>
      </c>
      <c r="EB137" s="179">
        <f t="shared" si="461"/>
        <v>0</v>
      </c>
      <c r="EC137" s="9">
        <v>0</v>
      </c>
      <c r="ED137" s="18" t="s">
        <v>238</v>
      </c>
      <c r="EE137" s="18" t="s">
        <v>238</v>
      </c>
      <c r="EF137" s="324">
        <f t="shared" si="498"/>
        <v>0</v>
      </c>
      <c r="EG137" s="321">
        <f t="shared" si="499"/>
        <v>0</v>
      </c>
      <c r="EH137" s="179">
        <f t="shared" si="462"/>
        <v>0</v>
      </c>
      <c r="EI137" s="9">
        <v>0</v>
      </c>
      <c r="EJ137" s="18" t="s">
        <v>238</v>
      </c>
      <c r="EK137" s="18" t="s">
        <v>238</v>
      </c>
      <c r="EL137" s="324">
        <f t="shared" si="500"/>
        <v>0</v>
      </c>
      <c r="EM137" s="321">
        <f t="shared" si="501"/>
        <v>0</v>
      </c>
      <c r="EN137" s="179">
        <f t="shared" si="463"/>
        <v>0</v>
      </c>
      <c r="EO137" s="9">
        <v>0</v>
      </c>
      <c r="EP137" s="18" t="s">
        <v>238</v>
      </c>
      <c r="EQ137" s="18" t="s">
        <v>238</v>
      </c>
      <c r="ER137" s="324">
        <f t="shared" si="502"/>
        <v>0</v>
      </c>
      <c r="ES137" s="321">
        <f t="shared" si="503"/>
        <v>0</v>
      </c>
      <c r="ET137" s="179">
        <f t="shared" si="464"/>
        <v>0</v>
      </c>
      <c r="EU137" s="9">
        <v>0</v>
      </c>
      <c r="EV137" s="18" t="s">
        <v>238</v>
      </c>
      <c r="EW137" s="18" t="s">
        <v>238</v>
      </c>
      <c r="EX137" s="324">
        <f t="shared" si="504"/>
        <v>0</v>
      </c>
      <c r="EY137" s="321">
        <f t="shared" si="505"/>
        <v>0</v>
      </c>
      <c r="EZ137" s="179">
        <f t="shared" si="465"/>
        <v>0</v>
      </c>
      <c r="FA137" s="9">
        <v>0</v>
      </c>
      <c r="FB137" s="18" t="s">
        <v>238</v>
      </c>
      <c r="FC137" s="18" t="s">
        <v>238</v>
      </c>
      <c r="FD137" s="324">
        <f t="shared" si="506"/>
        <v>0</v>
      </c>
      <c r="FE137" s="321">
        <f t="shared" si="507"/>
        <v>0</v>
      </c>
      <c r="FF137" s="179">
        <f t="shared" si="466"/>
        <v>0</v>
      </c>
      <c r="FG137" s="9"/>
      <c r="FH137" s="18" t="s">
        <v>238</v>
      </c>
      <c r="FI137" s="18" t="s">
        <v>238</v>
      </c>
      <c r="FJ137" s="324">
        <f t="shared" si="508"/>
        <v>0</v>
      </c>
      <c r="FK137" s="321">
        <f t="shared" si="509"/>
        <v>0</v>
      </c>
      <c r="FL137" s="179">
        <f t="shared" si="467"/>
        <v>0</v>
      </c>
      <c r="FM137" s="9">
        <v>0</v>
      </c>
      <c r="FN137" s="18" t="s">
        <v>238</v>
      </c>
      <c r="FO137" s="18" t="s">
        <v>238</v>
      </c>
      <c r="FP137" s="324">
        <f t="shared" si="510"/>
        <v>0</v>
      </c>
      <c r="FQ137" s="321">
        <f t="shared" si="511"/>
        <v>0</v>
      </c>
      <c r="FR137" s="179">
        <f t="shared" si="468"/>
        <v>0</v>
      </c>
      <c r="FS137" s="9">
        <v>0</v>
      </c>
      <c r="FT137" s="18" t="s">
        <v>238</v>
      </c>
      <c r="FU137" s="18" t="s">
        <v>238</v>
      </c>
      <c r="FV137" s="324">
        <f t="shared" si="512"/>
        <v>0</v>
      </c>
      <c r="FW137" s="321">
        <f t="shared" si="513"/>
        <v>0</v>
      </c>
      <c r="FX137" s="179">
        <f t="shared" si="469"/>
        <v>0</v>
      </c>
      <c r="FY137" s="9">
        <v>0</v>
      </c>
      <c r="FZ137" s="18" t="s">
        <v>238</v>
      </c>
      <c r="GA137" s="18" t="s">
        <v>238</v>
      </c>
      <c r="GB137" s="324">
        <f t="shared" si="514"/>
        <v>0</v>
      </c>
      <c r="GC137" s="321">
        <f t="shared" si="515"/>
        <v>0</v>
      </c>
      <c r="GD137" s="179">
        <f t="shared" si="470"/>
        <v>0</v>
      </c>
      <c r="GE137" s="9">
        <v>0</v>
      </c>
      <c r="GF137" s="18" t="s">
        <v>238</v>
      </c>
      <c r="GG137" s="18" t="s">
        <v>238</v>
      </c>
      <c r="GH137" s="324">
        <f t="shared" si="516"/>
        <v>0</v>
      </c>
      <c r="GI137" s="321">
        <f t="shared" si="517"/>
        <v>0</v>
      </c>
      <c r="GJ137" s="179">
        <f t="shared" si="471"/>
        <v>0</v>
      </c>
      <c r="GK137" s="9">
        <v>0</v>
      </c>
      <c r="GL137" s="18" t="s">
        <v>238</v>
      </c>
      <c r="GM137" s="18" t="s">
        <v>238</v>
      </c>
      <c r="GN137" s="324">
        <f t="shared" si="518"/>
        <v>0</v>
      </c>
      <c r="GO137" s="321">
        <f t="shared" si="519"/>
        <v>0</v>
      </c>
      <c r="GP137" s="179">
        <f t="shared" si="472"/>
        <v>0</v>
      </c>
      <c r="GQ137" s="9">
        <v>0</v>
      </c>
      <c r="GR137" s="18" t="s">
        <v>238</v>
      </c>
      <c r="GS137" s="18" t="s">
        <v>238</v>
      </c>
      <c r="GT137" s="324">
        <f t="shared" si="520"/>
        <v>0</v>
      </c>
      <c r="GU137" s="321">
        <f t="shared" si="521"/>
        <v>0</v>
      </c>
      <c r="GV137" s="179">
        <f t="shared" si="473"/>
        <v>0</v>
      </c>
      <c r="GW137" s="9">
        <v>0</v>
      </c>
      <c r="GX137" s="18" t="s">
        <v>238</v>
      </c>
      <c r="GY137" s="18" t="s">
        <v>238</v>
      </c>
      <c r="GZ137" s="324">
        <f t="shared" si="522"/>
        <v>0</v>
      </c>
      <c r="HA137" s="321">
        <f t="shared" si="523"/>
        <v>0</v>
      </c>
      <c r="HB137" s="179">
        <f t="shared" si="474"/>
        <v>0</v>
      </c>
      <c r="HC137" s="102">
        <f t="shared" si="475"/>
        <v>0</v>
      </c>
      <c r="HD137" s="285">
        <f t="shared" si="524"/>
        <v>0</v>
      </c>
      <c r="HE137" s="12">
        <f t="shared" si="525"/>
        <v>0</v>
      </c>
      <c r="HF137" s="12">
        <f t="shared" si="476"/>
        <v>0</v>
      </c>
      <c r="HG137" s="12">
        <f t="shared" si="526"/>
        <v>0</v>
      </c>
      <c r="HH137" s="14">
        <f t="shared" si="527"/>
        <v>0</v>
      </c>
      <c r="HI137" s="13">
        <f t="shared" si="528"/>
        <v>0</v>
      </c>
      <c r="HJ137" s="102">
        <f t="shared" si="529"/>
        <v>0</v>
      </c>
      <c r="HK137" s="16">
        <f t="shared" si="530"/>
        <v>0</v>
      </c>
      <c r="HL137" s="103">
        <f t="shared" si="531"/>
        <v>0</v>
      </c>
      <c r="HM137" s="103">
        <f t="shared" si="532"/>
        <v>0</v>
      </c>
      <c r="HN137" s="17">
        <f t="shared" si="533"/>
        <v>0</v>
      </c>
      <c r="HO137" s="56">
        <f t="shared" si="534"/>
        <v>0</v>
      </c>
      <c r="HP137" s="16">
        <f t="shared" si="535"/>
        <v>0</v>
      </c>
      <c r="HQ137" s="16">
        <f t="shared" si="536"/>
        <v>0</v>
      </c>
      <c r="HR137" s="16">
        <f t="shared" si="537"/>
        <v>0</v>
      </c>
    </row>
    <row r="138" spans="1:226" ht="10.8" thickBot="1" x14ac:dyDescent="0.35">
      <c r="A138" s="309">
        <v>6</v>
      </c>
      <c r="B138" s="458"/>
      <c r="C138" s="308" t="s">
        <v>326</v>
      </c>
      <c r="D138" s="211" t="s">
        <v>97</v>
      </c>
      <c r="E138" s="60"/>
      <c r="F138" s="60"/>
      <c r="G138" s="60"/>
      <c r="H138" s="61"/>
      <c r="I138" s="61">
        <v>272910</v>
      </c>
      <c r="J138" s="61"/>
      <c r="K138" s="61"/>
      <c r="L138" s="61">
        <v>339000</v>
      </c>
      <c r="M138" s="62">
        <v>341000</v>
      </c>
      <c r="N138" s="62">
        <v>348500</v>
      </c>
      <c r="O138" s="63">
        <v>348500</v>
      </c>
      <c r="P138" s="63">
        <v>350000</v>
      </c>
      <c r="Q138" s="63">
        <v>350000</v>
      </c>
      <c r="R138" s="63">
        <v>350000</v>
      </c>
      <c r="S138" s="63">
        <v>350000</v>
      </c>
      <c r="T138" s="63">
        <v>350000</v>
      </c>
      <c r="U138" s="63">
        <f t="shared" si="477"/>
        <v>17500</v>
      </c>
      <c r="V138" s="63">
        <f t="shared" si="478"/>
        <v>367500</v>
      </c>
      <c r="W138" s="63">
        <v>367500</v>
      </c>
      <c r="X138" s="63">
        <v>367500</v>
      </c>
      <c r="Y138" s="63">
        <v>367500</v>
      </c>
      <c r="Z138" s="63">
        <v>367500</v>
      </c>
      <c r="AA138" s="62">
        <v>387500</v>
      </c>
      <c r="AB138" s="60">
        <v>347500</v>
      </c>
      <c r="AC138" s="60">
        <v>0</v>
      </c>
      <c r="AD138" s="60">
        <v>0</v>
      </c>
      <c r="AE138" s="63">
        <f t="shared" si="479"/>
        <v>347500</v>
      </c>
      <c r="AF138" s="60">
        <v>347500</v>
      </c>
      <c r="AG138" s="60">
        <v>0</v>
      </c>
      <c r="AH138" s="60">
        <v>0</v>
      </c>
      <c r="AI138" s="63">
        <f t="shared" si="480"/>
        <v>347500</v>
      </c>
      <c r="AJ138" s="60">
        <v>347500</v>
      </c>
      <c r="AK138" s="60">
        <v>0</v>
      </c>
      <c r="AL138" s="60">
        <v>0</v>
      </c>
      <c r="AM138" s="63">
        <f t="shared" si="433"/>
        <v>347500</v>
      </c>
      <c r="AN138" s="60">
        <v>347500</v>
      </c>
      <c r="AO138" s="60">
        <v>0</v>
      </c>
      <c r="AP138" s="60">
        <v>0</v>
      </c>
      <c r="AQ138" s="63">
        <f t="shared" si="434"/>
        <v>347500</v>
      </c>
      <c r="AR138" s="61">
        <v>294975</v>
      </c>
      <c r="AS138" s="60">
        <v>0</v>
      </c>
      <c r="AT138" s="60">
        <v>0</v>
      </c>
      <c r="AU138" s="63">
        <f t="shared" si="435"/>
        <v>294975</v>
      </c>
      <c r="AV138" s="61">
        <v>294975</v>
      </c>
      <c r="AW138" s="60">
        <v>0</v>
      </c>
      <c r="AX138" s="60">
        <v>0</v>
      </c>
      <c r="AY138" s="63">
        <f t="shared" si="436"/>
        <v>294975</v>
      </c>
      <c r="AZ138" s="8">
        <f t="shared" si="481"/>
        <v>14748.75</v>
      </c>
      <c r="BA138" s="8">
        <v>0.75</v>
      </c>
      <c r="BB138" s="8">
        <f t="shared" si="482"/>
        <v>14748</v>
      </c>
      <c r="BC138" s="8">
        <f t="shared" si="483"/>
        <v>309723</v>
      </c>
      <c r="BD138" s="8"/>
      <c r="BE138" s="8">
        <f t="shared" si="484"/>
        <v>309723</v>
      </c>
      <c r="BF138" s="10">
        <f t="shared" si="485"/>
        <v>14748</v>
      </c>
      <c r="BG138" s="11">
        <f t="shared" si="486"/>
        <v>0</v>
      </c>
      <c r="BH138" s="319">
        <v>14748</v>
      </c>
      <c r="BI138" s="319">
        <v>0</v>
      </c>
      <c r="BJ138" s="319">
        <v>0</v>
      </c>
      <c r="BK138" s="319">
        <f t="shared" si="437"/>
        <v>14748</v>
      </c>
      <c r="BL138" s="319">
        <v>0</v>
      </c>
      <c r="BM138" s="319">
        <v>0</v>
      </c>
      <c r="BN138" s="319">
        <v>0</v>
      </c>
      <c r="BO138" s="319">
        <f t="shared" si="438"/>
        <v>0</v>
      </c>
      <c r="BP138" s="48">
        <f t="shared" si="439"/>
        <v>-14748</v>
      </c>
      <c r="BQ138" s="319"/>
      <c r="BR138" s="319">
        <v>0</v>
      </c>
      <c r="BS138" s="319">
        <v>0</v>
      </c>
      <c r="BT138" s="319">
        <f t="shared" si="440"/>
        <v>0</v>
      </c>
      <c r="BU138" s="319">
        <f t="shared" si="441"/>
        <v>0</v>
      </c>
      <c r="BV138" s="319">
        <v>0</v>
      </c>
      <c r="BW138" s="18" t="s">
        <v>238</v>
      </c>
      <c r="BX138" s="18" t="s">
        <v>238</v>
      </c>
      <c r="BY138" s="319">
        <f t="shared" si="442"/>
        <v>0</v>
      </c>
      <c r="BZ138" s="319">
        <f t="shared" si="443"/>
        <v>0</v>
      </c>
      <c r="CA138" s="319">
        <v>0</v>
      </c>
      <c r="CB138" s="18" t="s">
        <v>238</v>
      </c>
      <c r="CC138" s="18" t="s">
        <v>238</v>
      </c>
      <c r="CD138" s="319">
        <f t="shared" si="444"/>
        <v>0</v>
      </c>
      <c r="CE138" s="319">
        <f t="shared" si="445"/>
        <v>0</v>
      </c>
      <c r="CF138" s="319"/>
      <c r="CG138" s="319">
        <v>0</v>
      </c>
      <c r="CH138" s="319">
        <v>0</v>
      </c>
      <c r="CI138" s="319">
        <f t="shared" si="446"/>
        <v>0</v>
      </c>
      <c r="CJ138" s="319">
        <f t="shared" si="447"/>
        <v>0</v>
      </c>
      <c r="CK138" s="319">
        <v>0</v>
      </c>
      <c r="CL138" s="319">
        <v>0</v>
      </c>
      <c r="CM138" s="319">
        <v>0</v>
      </c>
      <c r="CN138" s="319">
        <f t="shared" si="448"/>
        <v>0</v>
      </c>
      <c r="CO138" s="319">
        <f t="shared" si="449"/>
        <v>0</v>
      </c>
      <c r="CP138" s="319">
        <v>0</v>
      </c>
      <c r="CQ138" s="319">
        <v>0</v>
      </c>
      <c r="CR138" s="319">
        <v>0</v>
      </c>
      <c r="CS138" s="319">
        <f t="shared" si="450"/>
        <v>0</v>
      </c>
      <c r="CT138" s="319">
        <f t="shared" si="451"/>
        <v>0</v>
      </c>
      <c r="CU138" s="319">
        <v>0</v>
      </c>
      <c r="CV138" s="319">
        <v>0</v>
      </c>
      <c r="CW138" s="319">
        <v>0</v>
      </c>
      <c r="CX138" s="319">
        <f t="shared" si="452"/>
        <v>0</v>
      </c>
      <c r="CY138" s="319">
        <f t="shared" si="453"/>
        <v>0</v>
      </c>
      <c r="CZ138" s="319"/>
      <c r="DA138" s="319"/>
      <c r="DB138" s="319"/>
      <c r="DC138" s="12">
        <f t="shared" si="487"/>
        <v>0</v>
      </c>
      <c r="DD138" s="12">
        <v>0</v>
      </c>
      <c r="DE138" s="13">
        <f t="shared" si="488"/>
        <v>0</v>
      </c>
      <c r="DF138" s="14">
        <f t="shared" si="454"/>
        <v>0</v>
      </c>
      <c r="DG138" s="13">
        <f t="shared" si="455"/>
        <v>0</v>
      </c>
      <c r="DH138" s="15">
        <f t="shared" si="456"/>
        <v>0</v>
      </c>
      <c r="DI138" s="16">
        <f t="shared" si="457"/>
        <v>0</v>
      </c>
      <c r="DJ138" s="132">
        <f t="shared" si="489"/>
        <v>0</v>
      </c>
      <c r="DK138" s="17">
        <f t="shared" si="490"/>
        <v>0</v>
      </c>
      <c r="DL138" s="17">
        <f t="shared" si="458"/>
        <v>0</v>
      </c>
      <c r="DM138" s="16">
        <f t="shared" si="491"/>
        <v>0</v>
      </c>
      <c r="DN138" s="16">
        <f t="shared" si="459"/>
        <v>0</v>
      </c>
      <c r="DO138" s="16">
        <f t="shared" si="492"/>
        <v>0</v>
      </c>
      <c r="DP138" s="16">
        <f t="shared" si="460"/>
        <v>0</v>
      </c>
      <c r="DQ138" s="9">
        <v>0</v>
      </c>
      <c r="DR138" s="18" t="s">
        <v>238</v>
      </c>
      <c r="DS138" s="18" t="s">
        <v>238</v>
      </c>
      <c r="DT138" s="324">
        <f t="shared" si="493"/>
        <v>0</v>
      </c>
      <c r="DU138" s="321">
        <f t="shared" si="494"/>
        <v>0</v>
      </c>
      <c r="DV138" s="19">
        <f t="shared" si="495"/>
        <v>0</v>
      </c>
      <c r="DW138" s="9"/>
      <c r="DX138" s="18"/>
      <c r="DY138" s="18"/>
      <c r="DZ138" s="324">
        <f t="shared" si="496"/>
        <v>0</v>
      </c>
      <c r="EA138" s="321">
        <f t="shared" si="497"/>
        <v>0</v>
      </c>
      <c r="EB138" s="179">
        <f t="shared" si="461"/>
        <v>0</v>
      </c>
      <c r="EC138" s="9">
        <v>0</v>
      </c>
      <c r="ED138" s="18" t="s">
        <v>238</v>
      </c>
      <c r="EE138" s="18" t="s">
        <v>238</v>
      </c>
      <c r="EF138" s="324">
        <f t="shared" si="498"/>
        <v>0</v>
      </c>
      <c r="EG138" s="321">
        <f t="shared" si="499"/>
        <v>0</v>
      </c>
      <c r="EH138" s="179">
        <f t="shared" si="462"/>
        <v>0</v>
      </c>
      <c r="EI138" s="9">
        <v>0</v>
      </c>
      <c r="EJ138" s="18" t="s">
        <v>238</v>
      </c>
      <c r="EK138" s="18" t="s">
        <v>238</v>
      </c>
      <c r="EL138" s="324">
        <f t="shared" si="500"/>
        <v>0</v>
      </c>
      <c r="EM138" s="321">
        <f t="shared" si="501"/>
        <v>0</v>
      </c>
      <c r="EN138" s="179">
        <f t="shared" si="463"/>
        <v>0</v>
      </c>
      <c r="EO138" s="9">
        <v>0</v>
      </c>
      <c r="EP138" s="18" t="s">
        <v>238</v>
      </c>
      <c r="EQ138" s="18" t="s">
        <v>238</v>
      </c>
      <c r="ER138" s="324">
        <f t="shared" si="502"/>
        <v>0</v>
      </c>
      <c r="ES138" s="321">
        <f t="shared" si="503"/>
        <v>0</v>
      </c>
      <c r="ET138" s="179">
        <f t="shared" si="464"/>
        <v>0</v>
      </c>
      <c r="EU138" s="9"/>
      <c r="EV138" s="18" t="s">
        <v>238</v>
      </c>
      <c r="EW138" s="18" t="s">
        <v>238</v>
      </c>
      <c r="EX138" s="324">
        <f t="shared" si="504"/>
        <v>0</v>
      </c>
      <c r="EY138" s="321">
        <f t="shared" si="505"/>
        <v>0</v>
      </c>
      <c r="EZ138" s="179">
        <f t="shared" si="465"/>
        <v>0</v>
      </c>
      <c r="FA138" s="9">
        <v>0</v>
      </c>
      <c r="FB138" s="18" t="s">
        <v>238</v>
      </c>
      <c r="FC138" s="18" t="s">
        <v>238</v>
      </c>
      <c r="FD138" s="324">
        <f t="shared" si="506"/>
        <v>0</v>
      </c>
      <c r="FE138" s="321">
        <f t="shared" si="507"/>
        <v>0</v>
      </c>
      <c r="FF138" s="179">
        <f t="shared" si="466"/>
        <v>0</v>
      </c>
      <c r="FG138" s="9"/>
      <c r="FH138" s="18" t="s">
        <v>238</v>
      </c>
      <c r="FI138" s="18" t="s">
        <v>238</v>
      </c>
      <c r="FJ138" s="324">
        <f t="shared" si="508"/>
        <v>0</v>
      </c>
      <c r="FK138" s="321">
        <f t="shared" si="509"/>
        <v>0</v>
      </c>
      <c r="FL138" s="179">
        <f t="shared" si="467"/>
        <v>0</v>
      </c>
      <c r="FM138" s="9">
        <v>0</v>
      </c>
      <c r="FN138" s="18" t="s">
        <v>238</v>
      </c>
      <c r="FO138" s="18" t="s">
        <v>238</v>
      </c>
      <c r="FP138" s="324">
        <f t="shared" si="510"/>
        <v>0</v>
      </c>
      <c r="FQ138" s="321">
        <f t="shared" si="511"/>
        <v>0</v>
      </c>
      <c r="FR138" s="179">
        <f t="shared" si="468"/>
        <v>0</v>
      </c>
      <c r="FS138" s="9">
        <v>0</v>
      </c>
      <c r="FT138" s="18" t="s">
        <v>238</v>
      </c>
      <c r="FU138" s="18" t="s">
        <v>238</v>
      </c>
      <c r="FV138" s="324">
        <f t="shared" si="512"/>
        <v>0</v>
      </c>
      <c r="FW138" s="321">
        <f t="shared" si="513"/>
        <v>0</v>
      </c>
      <c r="FX138" s="179">
        <f t="shared" si="469"/>
        <v>0</v>
      </c>
      <c r="FY138" s="9">
        <v>0</v>
      </c>
      <c r="FZ138" s="18" t="s">
        <v>238</v>
      </c>
      <c r="GA138" s="18" t="s">
        <v>238</v>
      </c>
      <c r="GB138" s="324">
        <f t="shared" si="514"/>
        <v>0</v>
      </c>
      <c r="GC138" s="321">
        <f t="shared" si="515"/>
        <v>0</v>
      </c>
      <c r="GD138" s="179">
        <f t="shared" si="470"/>
        <v>0</v>
      </c>
      <c r="GE138" s="9">
        <v>0</v>
      </c>
      <c r="GF138" s="18" t="s">
        <v>238</v>
      </c>
      <c r="GG138" s="18" t="s">
        <v>238</v>
      </c>
      <c r="GH138" s="324">
        <f t="shared" si="516"/>
        <v>0</v>
      </c>
      <c r="GI138" s="321">
        <f t="shared" si="517"/>
        <v>0</v>
      </c>
      <c r="GJ138" s="179">
        <f t="shared" si="471"/>
        <v>0</v>
      </c>
      <c r="GK138" s="9">
        <v>0</v>
      </c>
      <c r="GL138" s="18" t="s">
        <v>238</v>
      </c>
      <c r="GM138" s="18" t="s">
        <v>238</v>
      </c>
      <c r="GN138" s="324">
        <f t="shared" si="518"/>
        <v>0</v>
      </c>
      <c r="GO138" s="321">
        <f t="shared" si="519"/>
        <v>0</v>
      </c>
      <c r="GP138" s="179">
        <f t="shared" si="472"/>
        <v>0</v>
      </c>
      <c r="GQ138" s="9">
        <v>0</v>
      </c>
      <c r="GR138" s="18" t="s">
        <v>238</v>
      </c>
      <c r="GS138" s="18" t="s">
        <v>238</v>
      </c>
      <c r="GT138" s="324">
        <f t="shared" si="520"/>
        <v>0</v>
      </c>
      <c r="GU138" s="321">
        <f t="shared" si="521"/>
        <v>0</v>
      </c>
      <c r="GV138" s="179">
        <f t="shared" si="473"/>
        <v>0</v>
      </c>
      <c r="GW138" s="9">
        <v>0</v>
      </c>
      <c r="GX138" s="18" t="s">
        <v>238</v>
      </c>
      <c r="GY138" s="18" t="s">
        <v>238</v>
      </c>
      <c r="GZ138" s="324">
        <f t="shared" si="522"/>
        <v>0</v>
      </c>
      <c r="HA138" s="321">
        <f t="shared" si="523"/>
        <v>0</v>
      </c>
      <c r="HB138" s="179">
        <f t="shared" si="474"/>
        <v>0</v>
      </c>
      <c r="HC138" s="102">
        <f t="shared" si="475"/>
        <v>0</v>
      </c>
      <c r="HD138" s="285">
        <f t="shared" si="524"/>
        <v>0</v>
      </c>
      <c r="HE138" s="12">
        <f t="shared" si="525"/>
        <v>0</v>
      </c>
      <c r="HF138" s="12">
        <f t="shared" si="476"/>
        <v>0</v>
      </c>
      <c r="HG138" s="12">
        <f t="shared" si="526"/>
        <v>0</v>
      </c>
      <c r="HH138" s="14">
        <f t="shared" si="527"/>
        <v>0</v>
      </c>
      <c r="HI138" s="13">
        <f t="shared" si="528"/>
        <v>0</v>
      </c>
      <c r="HJ138" s="102">
        <f t="shared" si="529"/>
        <v>0</v>
      </c>
      <c r="HK138" s="16">
        <f t="shared" si="530"/>
        <v>0</v>
      </c>
      <c r="HL138" s="103">
        <f t="shared" si="531"/>
        <v>0</v>
      </c>
      <c r="HM138" s="103">
        <f t="shared" si="532"/>
        <v>0</v>
      </c>
      <c r="HN138" s="17">
        <f t="shared" si="533"/>
        <v>0</v>
      </c>
      <c r="HO138" s="56">
        <f t="shared" si="534"/>
        <v>0</v>
      </c>
      <c r="HP138" s="16">
        <f t="shared" si="535"/>
        <v>0</v>
      </c>
      <c r="HQ138" s="16">
        <f t="shared" si="536"/>
        <v>0</v>
      </c>
      <c r="HR138" s="16">
        <f t="shared" si="537"/>
        <v>0</v>
      </c>
    </row>
    <row r="139" spans="1:226" x14ac:dyDescent="0.3">
      <c r="A139" s="309">
        <v>7</v>
      </c>
      <c r="B139" s="460"/>
      <c r="C139" s="165" t="s">
        <v>98</v>
      </c>
      <c r="D139" s="166" t="s">
        <v>99</v>
      </c>
      <c r="E139" s="161"/>
      <c r="F139" s="60"/>
      <c r="G139" s="60"/>
      <c r="H139" s="61"/>
      <c r="I139" s="61">
        <v>970505</v>
      </c>
      <c r="J139" s="61"/>
      <c r="K139" s="61"/>
      <c r="L139" s="61">
        <v>1098505</v>
      </c>
      <c r="M139" s="62">
        <v>1098505</v>
      </c>
      <c r="N139" s="62">
        <v>1098505</v>
      </c>
      <c r="O139" s="63">
        <v>1098505</v>
      </c>
      <c r="P139" s="63">
        <v>1098505</v>
      </c>
      <c r="Q139" s="63">
        <v>1098505</v>
      </c>
      <c r="R139" s="63">
        <v>1098505</v>
      </c>
      <c r="S139" s="63">
        <v>1098505</v>
      </c>
      <c r="T139" s="63">
        <v>1098505</v>
      </c>
      <c r="U139" s="63">
        <f t="shared" si="477"/>
        <v>54925.25</v>
      </c>
      <c r="V139" s="63">
        <f t="shared" si="478"/>
        <v>1153430.25</v>
      </c>
      <c r="W139" s="63">
        <v>1153430</v>
      </c>
      <c r="X139" s="63">
        <v>1153430</v>
      </c>
      <c r="Y139" s="63">
        <v>1153430</v>
      </c>
      <c r="Z139" s="63">
        <v>1153430</v>
      </c>
      <c r="AA139" s="63">
        <v>1153430</v>
      </c>
      <c r="AB139" s="63">
        <v>1153430</v>
      </c>
      <c r="AC139" s="60">
        <v>0</v>
      </c>
      <c r="AD139" s="60">
        <v>0</v>
      </c>
      <c r="AE139" s="63">
        <f t="shared" si="479"/>
        <v>1153430</v>
      </c>
      <c r="AF139" s="63">
        <v>1153430</v>
      </c>
      <c r="AG139" s="60">
        <v>0</v>
      </c>
      <c r="AH139" s="60">
        <v>0</v>
      </c>
      <c r="AI139" s="63">
        <f t="shared" si="480"/>
        <v>1153430</v>
      </c>
      <c r="AJ139" s="63">
        <v>1153430</v>
      </c>
      <c r="AK139" s="60">
        <v>0</v>
      </c>
      <c r="AL139" s="60">
        <v>0</v>
      </c>
      <c r="AM139" s="63">
        <f t="shared" si="433"/>
        <v>1153430</v>
      </c>
      <c r="AN139" s="63">
        <v>1153430</v>
      </c>
      <c r="AO139" s="60">
        <v>0</v>
      </c>
      <c r="AP139" s="60">
        <v>0</v>
      </c>
      <c r="AQ139" s="63">
        <f t="shared" si="434"/>
        <v>1153430</v>
      </c>
      <c r="AR139" s="61">
        <v>1193430</v>
      </c>
      <c r="AS139" s="60">
        <v>0</v>
      </c>
      <c r="AT139" s="60">
        <v>0</v>
      </c>
      <c r="AU139" s="63">
        <f t="shared" si="435"/>
        <v>1193430</v>
      </c>
      <c r="AV139" s="63">
        <f>AU139+AT139+AS139</f>
        <v>1193430</v>
      </c>
      <c r="AW139" s="60">
        <v>0</v>
      </c>
      <c r="AX139" s="60">
        <v>0</v>
      </c>
      <c r="AY139" s="63">
        <f t="shared" si="436"/>
        <v>1193430</v>
      </c>
      <c r="AZ139" s="8">
        <f t="shared" si="481"/>
        <v>59671.5</v>
      </c>
      <c r="BA139" s="8">
        <v>0.5</v>
      </c>
      <c r="BB139" s="8">
        <f t="shared" si="482"/>
        <v>59671</v>
      </c>
      <c r="BC139" s="8">
        <f t="shared" si="483"/>
        <v>1253101</v>
      </c>
      <c r="BD139" s="8">
        <f>-330430</f>
        <v>-330430</v>
      </c>
      <c r="BE139" s="8">
        <f t="shared" si="484"/>
        <v>922671</v>
      </c>
      <c r="BF139" s="10">
        <f t="shared" si="485"/>
        <v>-270759</v>
      </c>
      <c r="BG139" s="11">
        <f t="shared" si="486"/>
        <v>-330430</v>
      </c>
      <c r="BH139" s="319">
        <v>755000</v>
      </c>
      <c r="BI139" s="319">
        <v>0</v>
      </c>
      <c r="BJ139" s="319">
        <v>0</v>
      </c>
      <c r="BK139" s="319">
        <f t="shared" si="437"/>
        <v>755000</v>
      </c>
      <c r="BL139" s="319">
        <v>755000</v>
      </c>
      <c r="BM139" s="319">
        <v>0</v>
      </c>
      <c r="BN139" s="319">
        <v>0</v>
      </c>
      <c r="BO139" s="319">
        <f t="shared" si="438"/>
        <v>755000</v>
      </c>
      <c r="BP139" s="319">
        <f t="shared" si="439"/>
        <v>0</v>
      </c>
      <c r="BQ139" s="319">
        <v>755000</v>
      </c>
      <c r="BR139" s="319">
        <v>0</v>
      </c>
      <c r="BS139" s="319">
        <v>0</v>
      </c>
      <c r="BT139" s="319">
        <f t="shared" si="440"/>
        <v>755000</v>
      </c>
      <c r="BU139" s="319">
        <f t="shared" si="441"/>
        <v>0</v>
      </c>
      <c r="BV139" s="9">
        <v>775000</v>
      </c>
      <c r="BW139" s="18" t="s">
        <v>238</v>
      </c>
      <c r="BX139" s="18" t="s">
        <v>238</v>
      </c>
      <c r="BY139" s="319">
        <f t="shared" si="442"/>
        <v>775000</v>
      </c>
      <c r="BZ139" s="48">
        <f t="shared" si="443"/>
        <v>20000</v>
      </c>
      <c r="CA139" s="9">
        <v>780500</v>
      </c>
      <c r="CB139" s="18" t="s">
        <v>238</v>
      </c>
      <c r="CC139" s="18" t="s">
        <v>238</v>
      </c>
      <c r="CD139" s="319">
        <f t="shared" si="444"/>
        <v>780500</v>
      </c>
      <c r="CE139" s="48">
        <f t="shared" si="445"/>
        <v>5500</v>
      </c>
      <c r="CF139" s="319">
        <v>780500</v>
      </c>
      <c r="CG139" s="319">
        <v>0</v>
      </c>
      <c r="CH139" s="319">
        <v>0</v>
      </c>
      <c r="CI139" s="319">
        <f t="shared" si="446"/>
        <v>780500</v>
      </c>
      <c r="CJ139" s="319">
        <f t="shared" si="447"/>
        <v>0</v>
      </c>
      <c r="CK139" s="319">
        <v>780500</v>
      </c>
      <c r="CL139" s="319">
        <v>0</v>
      </c>
      <c r="CM139" s="319">
        <v>0</v>
      </c>
      <c r="CN139" s="319">
        <f t="shared" si="448"/>
        <v>780500</v>
      </c>
      <c r="CO139" s="319">
        <f t="shared" si="449"/>
        <v>0</v>
      </c>
      <c r="CP139" s="319">
        <v>780500</v>
      </c>
      <c r="CQ139" s="319">
        <v>0</v>
      </c>
      <c r="CR139" s="319">
        <v>0</v>
      </c>
      <c r="CS139" s="319">
        <f t="shared" si="450"/>
        <v>780500</v>
      </c>
      <c r="CT139" s="319">
        <f t="shared" si="451"/>
        <v>0</v>
      </c>
      <c r="CU139" s="319">
        <v>780500</v>
      </c>
      <c r="CV139" s="319">
        <v>0</v>
      </c>
      <c r="CW139" s="319">
        <v>0</v>
      </c>
      <c r="CX139" s="319">
        <f t="shared" si="452"/>
        <v>780500</v>
      </c>
      <c r="CY139" s="319">
        <f t="shared" si="453"/>
        <v>0</v>
      </c>
      <c r="CZ139" s="319"/>
      <c r="DA139" s="319"/>
      <c r="DB139" s="319"/>
      <c r="DC139" s="12">
        <f t="shared" si="487"/>
        <v>78050</v>
      </c>
      <c r="DD139" s="12">
        <v>0</v>
      </c>
      <c r="DE139" s="13">
        <f t="shared" si="488"/>
        <v>78050</v>
      </c>
      <c r="DF139" s="14">
        <f t="shared" si="454"/>
        <v>78050</v>
      </c>
      <c r="DG139" s="13">
        <f t="shared" si="455"/>
        <v>858550</v>
      </c>
      <c r="DH139" s="15">
        <f t="shared" si="456"/>
        <v>6.1053024305989634E-2</v>
      </c>
      <c r="DI139" s="16">
        <f t="shared" si="457"/>
        <v>780500</v>
      </c>
      <c r="DJ139" s="132">
        <f t="shared" si="489"/>
        <v>858550.00000000012</v>
      </c>
      <c r="DK139" s="17">
        <f t="shared" si="490"/>
        <v>78050.000000000116</v>
      </c>
      <c r="DL139" s="17">
        <f t="shared" si="458"/>
        <v>0</v>
      </c>
      <c r="DM139" s="16">
        <f t="shared" si="491"/>
        <v>78050.000000000116</v>
      </c>
      <c r="DN139" s="16">
        <f t="shared" si="459"/>
        <v>1.1641532182693481E-10</v>
      </c>
      <c r="DO139" s="16">
        <f t="shared" si="492"/>
        <v>858550.00000000012</v>
      </c>
      <c r="DP139" s="16">
        <f t="shared" si="460"/>
        <v>0</v>
      </c>
      <c r="DQ139" s="9">
        <v>858550</v>
      </c>
      <c r="DR139" s="18" t="s">
        <v>238</v>
      </c>
      <c r="DS139" s="18" t="s">
        <v>238</v>
      </c>
      <c r="DT139" s="324">
        <f t="shared" si="493"/>
        <v>858550</v>
      </c>
      <c r="DU139" s="321">
        <f t="shared" si="494"/>
        <v>858550</v>
      </c>
      <c r="DV139" s="19">
        <f t="shared" si="495"/>
        <v>0</v>
      </c>
      <c r="DW139" s="9">
        <v>858550</v>
      </c>
      <c r="DX139" s="18"/>
      <c r="DY139" s="18"/>
      <c r="DZ139" s="324">
        <f t="shared" si="496"/>
        <v>858550</v>
      </c>
      <c r="EA139" s="321">
        <f t="shared" si="497"/>
        <v>858550</v>
      </c>
      <c r="EB139" s="179">
        <f t="shared" si="461"/>
        <v>0</v>
      </c>
      <c r="EC139" s="9">
        <v>858550</v>
      </c>
      <c r="ED139" s="18" t="s">
        <v>238</v>
      </c>
      <c r="EE139" s="18" t="s">
        <v>238</v>
      </c>
      <c r="EF139" s="324">
        <f t="shared" si="498"/>
        <v>858550</v>
      </c>
      <c r="EG139" s="321">
        <f t="shared" si="499"/>
        <v>858550</v>
      </c>
      <c r="EH139" s="179">
        <f t="shared" si="462"/>
        <v>0</v>
      </c>
      <c r="EI139" s="9">
        <v>858550</v>
      </c>
      <c r="EJ139" s="18" t="s">
        <v>238</v>
      </c>
      <c r="EK139" s="18" t="s">
        <v>238</v>
      </c>
      <c r="EL139" s="324">
        <f t="shared" si="500"/>
        <v>858550</v>
      </c>
      <c r="EM139" s="321">
        <f t="shared" si="501"/>
        <v>858550</v>
      </c>
      <c r="EN139" s="179">
        <f t="shared" si="463"/>
        <v>0</v>
      </c>
      <c r="EO139" s="9">
        <v>858550</v>
      </c>
      <c r="EP139" s="18" t="s">
        <v>238</v>
      </c>
      <c r="EQ139" s="18" t="s">
        <v>238</v>
      </c>
      <c r="ER139" s="324">
        <f t="shared" si="502"/>
        <v>858550</v>
      </c>
      <c r="ES139" s="321">
        <f t="shared" si="503"/>
        <v>858550</v>
      </c>
      <c r="ET139" s="179">
        <f t="shared" si="464"/>
        <v>0</v>
      </c>
      <c r="EU139" s="9">
        <v>865550</v>
      </c>
      <c r="EV139" s="18" t="s">
        <v>238</v>
      </c>
      <c r="EW139" s="18" t="s">
        <v>238</v>
      </c>
      <c r="EX139" s="324">
        <f t="shared" si="504"/>
        <v>865550</v>
      </c>
      <c r="EY139" s="321">
        <f t="shared" si="505"/>
        <v>865550</v>
      </c>
      <c r="EZ139" s="179">
        <f t="shared" si="465"/>
        <v>7000</v>
      </c>
      <c r="FA139" s="9">
        <v>865550</v>
      </c>
      <c r="FB139" s="18" t="s">
        <v>238</v>
      </c>
      <c r="FC139" s="18" t="s">
        <v>238</v>
      </c>
      <c r="FD139" s="324">
        <f t="shared" si="506"/>
        <v>865550</v>
      </c>
      <c r="FE139" s="321">
        <f t="shared" si="507"/>
        <v>865550</v>
      </c>
      <c r="FF139" s="179">
        <f t="shared" si="466"/>
        <v>0</v>
      </c>
      <c r="FG139" s="9">
        <v>865550</v>
      </c>
      <c r="FH139" s="18" t="s">
        <v>238</v>
      </c>
      <c r="FI139" s="18" t="s">
        <v>238</v>
      </c>
      <c r="FJ139" s="324">
        <f t="shared" si="508"/>
        <v>865550</v>
      </c>
      <c r="FK139" s="321">
        <f t="shared" si="509"/>
        <v>865550</v>
      </c>
      <c r="FL139" s="179">
        <f t="shared" si="467"/>
        <v>0</v>
      </c>
      <c r="FM139" s="9">
        <v>865550</v>
      </c>
      <c r="FN139" s="18" t="s">
        <v>238</v>
      </c>
      <c r="FO139" s="18" t="s">
        <v>238</v>
      </c>
      <c r="FP139" s="324">
        <f t="shared" si="510"/>
        <v>865550</v>
      </c>
      <c r="FQ139" s="321">
        <f t="shared" si="511"/>
        <v>865550</v>
      </c>
      <c r="FR139" s="179">
        <f t="shared" si="468"/>
        <v>0</v>
      </c>
      <c r="FS139" s="9">
        <v>865550</v>
      </c>
      <c r="FT139" s="18" t="s">
        <v>238</v>
      </c>
      <c r="FU139" s="18" t="s">
        <v>238</v>
      </c>
      <c r="FV139" s="324">
        <f t="shared" si="512"/>
        <v>865550</v>
      </c>
      <c r="FW139" s="321">
        <f t="shared" si="513"/>
        <v>865550</v>
      </c>
      <c r="FX139" s="179">
        <f t="shared" si="469"/>
        <v>0</v>
      </c>
      <c r="FY139" s="9">
        <v>865550</v>
      </c>
      <c r="FZ139" s="18" t="s">
        <v>238</v>
      </c>
      <c r="GA139" s="18" t="s">
        <v>238</v>
      </c>
      <c r="GB139" s="324">
        <f t="shared" si="514"/>
        <v>865550</v>
      </c>
      <c r="GC139" s="321">
        <f t="shared" si="515"/>
        <v>865550</v>
      </c>
      <c r="GD139" s="179">
        <f t="shared" si="470"/>
        <v>0</v>
      </c>
      <c r="GE139" s="9">
        <v>865550</v>
      </c>
      <c r="GF139" s="18" t="s">
        <v>238</v>
      </c>
      <c r="GG139" s="18" t="s">
        <v>238</v>
      </c>
      <c r="GH139" s="324">
        <f t="shared" si="516"/>
        <v>865550</v>
      </c>
      <c r="GI139" s="321">
        <f t="shared" si="517"/>
        <v>865550</v>
      </c>
      <c r="GJ139" s="179">
        <f t="shared" si="471"/>
        <v>0</v>
      </c>
      <c r="GK139" s="9">
        <v>865550</v>
      </c>
      <c r="GL139" s="18" t="s">
        <v>238</v>
      </c>
      <c r="GM139" s="18" t="s">
        <v>238</v>
      </c>
      <c r="GN139" s="324">
        <f t="shared" si="518"/>
        <v>865550</v>
      </c>
      <c r="GO139" s="321">
        <f t="shared" si="519"/>
        <v>865550</v>
      </c>
      <c r="GP139" s="179">
        <f t="shared" si="472"/>
        <v>0</v>
      </c>
      <c r="GQ139" s="9">
        <v>865550</v>
      </c>
      <c r="GR139" s="18" t="s">
        <v>238</v>
      </c>
      <c r="GS139" s="18" t="s">
        <v>238</v>
      </c>
      <c r="GT139" s="324">
        <f t="shared" si="520"/>
        <v>865550</v>
      </c>
      <c r="GU139" s="321">
        <f t="shared" si="521"/>
        <v>865550</v>
      </c>
      <c r="GV139" s="179">
        <f t="shared" si="473"/>
        <v>0</v>
      </c>
      <c r="GW139" s="9">
        <v>908827</v>
      </c>
      <c r="GX139" s="18" t="s">
        <v>238</v>
      </c>
      <c r="GY139" s="18" t="s">
        <v>238</v>
      </c>
      <c r="GZ139" s="324">
        <f t="shared" si="522"/>
        <v>908827</v>
      </c>
      <c r="HA139" s="321">
        <f t="shared" si="523"/>
        <v>908827</v>
      </c>
      <c r="HB139" s="179">
        <f t="shared" si="474"/>
        <v>43277</v>
      </c>
      <c r="HC139" s="102">
        <f t="shared" si="475"/>
        <v>6.1550806811541937E-2</v>
      </c>
      <c r="HD139" s="285">
        <f t="shared" si="524"/>
        <v>0</v>
      </c>
      <c r="HE139" s="12">
        <f t="shared" si="525"/>
        <v>43277.5</v>
      </c>
      <c r="HF139" s="12">
        <f t="shared" si="476"/>
        <v>0.5</v>
      </c>
      <c r="HG139" s="12">
        <f t="shared" si="526"/>
        <v>43277</v>
      </c>
      <c r="HH139" s="14">
        <f t="shared" si="527"/>
        <v>43277</v>
      </c>
      <c r="HI139" s="13">
        <f t="shared" si="528"/>
        <v>908827</v>
      </c>
      <c r="HJ139" s="102">
        <f t="shared" si="529"/>
        <v>6.4628311596225785E-2</v>
      </c>
      <c r="HK139" s="16">
        <f t="shared" si="530"/>
        <v>865550</v>
      </c>
      <c r="HL139" s="103">
        <f t="shared" si="531"/>
        <v>908827.5</v>
      </c>
      <c r="HM139" s="103">
        <f t="shared" si="532"/>
        <v>43277.5</v>
      </c>
      <c r="HN139" s="17">
        <f t="shared" si="533"/>
        <v>0.5</v>
      </c>
      <c r="HO139" s="56">
        <f t="shared" si="534"/>
        <v>43277</v>
      </c>
      <c r="HP139" s="16">
        <f t="shared" si="535"/>
        <v>0</v>
      </c>
      <c r="HQ139" s="16">
        <f t="shared" si="536"/>
        <v>908827</v>
      </c>
      <c r="HR139" s="16">
        <f t="shared" si="537"/>
        <v>0</v>
      </c>
    </row>
    <row r="140" spans="1:226" ht="10.8" thickBot="1" x14ac:dyDescent="0.35">
      <c r="A140" s="309">
        <v>8</v>
      </c>
      <c r="B140" s="210" t="s">
        <v>100</v>
      </c>
      <c r="C140" s="309" t="s">
        <v>327</v>
      </c>
      <c r="D140" s="168" t="s">
        <v>101</v>
      </c>
      <c r="E140" s="161"/>
      <c r="F140" s="60"/>
      <c r="G140" s="60"/>
      <c r="H140" s="61"/>
      <c r="I140" s="61">
        <v>2080840</v>
      </c>
      <c r="J140" s="61">
        <v>2080840</v>
      </c>
      <c r="K140" s="61"/>
      <c r="L140" s="61">
        <v>2080840</v>
      </c>
      <c r="M140" s="62">
        <v>2080840</v>
      </c>
      <c r="N140" s="62">
        <v>2080840</v>
      </c>
      <c r="O140" s="63">
        <v>2080840</v>
      </c>
      <c r="P140" s="63">
        <v>2080840</v>
      </c>
      <c r="Q140" s="63">
        <v>2080840</v>
      </c>
      <c r="R140" s="63">
        <v>2080840</v>
      </c>
      <c r="S140" s="63">
        <v>2080840</v>
      </c>
      <c r="T140" s="63">
        <v>2080840</v>
      </c>
      <c r="U140" s="63">
        <f t="shared" si="477"/>
        <v>104042</v>
      </c>
      <c r="V140" s="63">
        <f t="shared" si="478"/>
        <v>2184882</v>
      </c>
      <c r="W140" s="63">
        <v>2184882</v>
      </c>
      <c r="X140" s="63">
        <v>2184882</v>
      </c>
      <c r="Y140" s="63">
        <v>2184882</v>
      </c>
      <c r="Z140" s="63">
        <v>2184882</v>
      </c>
      <c r="AA140" s="63">
        <v>2184882</v>
      </c>
      <c r="AB140" s="63">
        <v>2184882</v>
      </c>
      <c r="AC140" s="60">
        <v>0</v>
      </c>
      <c r="AD140" s="60">
        <v>0</v>
      </c>
      <c r="AE140" s="63">
        <f t="shared" si="479"/>
        <v>2184882</v>
      </c>
      <c r="AF140" s="63">
        <v>2184882</v>
      </c>
      <c r="AG140" s="60">
        <v>0</v>
      </c>
      <c r="AH140" s="60">
        <v>0</v>
      </c>
      <c r="AI140" s="63">
        <f t="shared" si="480"/>
        <v>2184882</v>
      </c>
      <c r="AJ140" s="63">
        <v>2184882</v>
      </c>
      <c r="AK140" s="60">
        <v>0</v>
      </c>
      <c r="AL140" s="60">
        <v>0</v>
      </c>
      <c r="AM140" s="63">
        <f t="shared" si="433"/>
        <v>2184882</v>
      </c>
      <c r="AN140" s="63">
        <v>2184882</v>
      </c>
      <c r="AO140" s="60">
        <v>0</v>
      </c>
      <c r="AP140" s="60">
        <v>0</v>
      </c>
      <c r="AQ140" s="63">
        <v>2184882</v>
      </c>
      <c r="AR140" s="63">
        <v>2184882</v>
      </c>
      <c r="AS140" s="60">
        <v>0</v>
      </c>
      <c r="AT140" s="60">
        <v>0</v>
      </c>
      <c r="AU140" s="63">
        <f t="shared" si="435"/>
        <v>2184882</v>
      </c>
      <c r="AV140" s="63">
        <v>2184882</v>
      </c>
      <c r="AW140" s="60">
        <v>0</v>
      </c>
      <c r="AX140" s="60">
        <v>0</v>
      </c>
      <c r="AY140" s="63">
        <f t="shared" si="436"/>
        <v>2184882</v>
      </c>
      <c r="AZ140" s="8">
        <f t="shared" si="481"/>
        <v>109244.1</v>
      </c>
      <c r="BA140" s="8">
        <v>0.1</v>
      </c>
      <c r="BB140" s="8">
        <f t="shared" si="482"/>
        <v>109244</v>
      </c>
      <c r="BC140" s="8">
        <f t="shared" si="483"/>
        <v>2294126</v>
      </c>
      <c r="BD140" s="8"/>
      <c r="BE140" s="8">
        <f t="shared" si="484"/>
        <v>2294126</v>
      </c>
      <c r="BF140" s="10">
        <f t="shared" si="485"/>
        <v>109244</v>
      </c>
      <c r="BG140" s="11">
        <f t="shared" si="486"/>
        <v>0</v>
      </c>
      <c r="BH140" s="319">
        <v>2294126</v>
      </c>
      <c r="BI140" s="319">
        <v>0</v>
      </c>
      <c r="BJ140" s="319">
        <v>0</v>
      </c>
      <c r="BK140" s="319">
        <f t="shared" si="437"/>
        <v>2294126</v>
      </c>
      <c r="BL140" s="319">
        <v>2294126</v>
      </c>
      <c r="BM140" s="319">
        <v>0</v>
      </c>
      <c r="BN140" s="319">
        <v>0</v>
      </c>
      <c r="BO140" s="319">
        <f t="shared" si="438"/>
        <v>2294126</v>
      </c>
      <c r="BP140" s="319">
        <f t="shared" si="439"/>
        <v>0</v>
      </c>
      <c r="BQ140" s="319">
        <v>2294126</v>
      </c>
      <c r="BR140" s="319">
        <v>0</v>
      </c>
      <c r="BS140" s="319">
        <v>0</v>
      </c>
      <c r="BT140" s="319">
        <f t="shared" si="440"/>
        <v>2294126</v>
      </c>
      <c r="BU140" s="319">
        <f t="shared" si="441"/>
        <v>0</v>
      </c>
      <c r="BV140" s="319">
        <v>2294126</v>
      </c>
      <c r="BW140" s="18" t="s">
        <v>238</v>
      </c>
      <c r="BX140" s="18" t="s">
        <v>238</v>
      </c>
      <c r="BY140" s="319">
        <f t="shared" si="442"/>
        <v>2294126</v>
      </c>
      <c r="BZ140" s="319">
        <f t="shared" si="443"/>
        <v>0</v>
      </c>
      <c r="CA140" s="319">
        <v>2294126</v>
      </c>
      <c r="CB140" s="18" t="s">
        <v>238</v>
      </c>
      <c r="CC140" s="18" t="s">
        <v>238</v>
      </c>
      <c r="CD140" s="319">
        <f t="shared" si="444"/>
        <v>2294126</v>
      </c>
      <c r="CE140" s="319">
        <f t="shared" si="445"/>
        <v>0</v>
      </c>
      <c r="CF140" s="319">
        <v>2294126</v>
      </c>
      <c r="CG140" s="319">
        <v>0</v>
      </c>
      <c r="CH140" s="319">
        <v>0</v>
      </c>
      <c r="CI140" s="319">
        <f t="shared" si="446"/>
        <v>2294126</v>
      </c>
      <c r="CJ140" s="319">
        <f t="shared" si="447"/>
        <v>0</v>
      </c>
      <c r="CK140" s="319">
        <v>2294126</v>
      </c>
      <c r="CL140" s="319">
        <v>0</v>
      </c>
      <c r="CM140" s="319">
        <v>0</v>
      </c>
      <c r="CN140" s="319">
        <f t="shared" si="448"/>
        <v>2294126</v>
      </c>
      <c r="CO140" s="319">
        <f t="shared" si="449"/>
        <v>0</v>
      </c>
      <c r="CP140" s="319">
        <v>2294126</v>
      </c>
      <c r="CQ140" s="319">
        <v>0</v>
      </c>
      <c r="CR140" s="319">
        <v>0</v>
      </c>
      <c r="CS140" s="319">
        <f t="shared" si="450"/>
        <v>2294126</v>
      </c>
      <c r="CT140" s="319">
        <f t="shared" si="451"/>
        <v>0</v>
      </c>
      <c r="CU140" s="319">
        <v>2294126</v>
      </c>
      <c r="CV140" s="319">
        <v>0</v>
      </c>
      <c r="CW140" s="319">
        <v>0</v>
      </c>
      <c r="CX140" s="319">
        <f t="shared" si="452"/>
        <v>2294126</v>
      </c>
      <c r="CY140" s="319">
        <f t="shared" si="453"/>
        <v>0</v>
      </c>
      <c r="CZ140" s="319"/>
      <c r="DA140" s="319"/>
      <c r="DB140" s="319"/>
      <c r="DC140" s="12">
        <f t="shared" si="487"/>
        <v>229412.6</v>
      </c>
      <c r="DD140" s="12">
        <v>0.6</v>
      </c>
      <c r="DE140" s="13">
        <f t="shared" si="488"/>
        <v>229412</v>
      </c>
      <c r="DF140" s="14">
        <f t="shared" si="454"/>
        <v>229412</v>
      </c>
      <c r="DG140" s="13">
        <f t="shared" si="455"/>
        <v>2523538</v>
      </c>
      <c r="DH140" s="15">
        <f t="shared" si="456"/>
        <v>0.17945333816656345</v>
      </c>
      <c r="DI140" s="16">
        <f t="shared" si="457"/>
        <v>2294126</v>
      </c>
      <c r="DJ140" s="132">
        <f t="shared" si="489"/>
        <v>2523538.6</v>
      </c>
      <c r="DK140" s="17">
        <f t="shared" si="490"/>
        <v>229412.60000000009</v>
      </c>
      <c r="DL140" s="17">
        <f t="shared" si="458"/>
        <v>0.6</v>
      </c>
      <c r="DM140" s="16">
        <f t="shared" si="491"/>
        <v>229412.00000000009</v>
      </c>
      <c r="DN140" s="16">
        <f t="shared" si="459"/>
        <v>0</v>
      </c>
      <c r="DO140" s="16">
        <f t="shared" si="492"/>
        <v>2523538</v>
      </c>
      <c r="DP140" s="16">
        <f t="shared" si="460"/>
        <v>0</v>
      </c>
      <c r="DQ140" s="9">
        <v>2523538</v>
      </c>
      <c r="DR140" s="18" t="s">
        <v>238</v>
      </c>
      <c r="DS140" s="18" t="s">
        <v>238</v>
      </c>
      <c r="DT140" s="324">
        <f t="shared" si="493"/>
        <v>2523538</v>
      </c>
      <c r="DU140" s="321">
        <f t="shared" si="494"/>
        <v>2523538</v>
      </c>
      <c r="DV140" s="19">
        <f t="shared" si="495"/>
        <v>0</v>
      </c>
      <c r="DW140" s="9">
        <v>2523538</v>
      </c>
      <c r="DX140" s="18"/>
      <c r="DY140" s="18"/>
      <c r="DZ140" s="324">
        <f t="shared" si="496"/>
        <v>2523538</v>
      </c>
      <c r="EA140" s="321">
        <f t="shared" si="497"/>
        <v>2523538</v>
      </c>
      <c r="EB140" s="179">
        <f t="shared" si="461"/>
        <v>0</v>
      </c>
      <c r="EC140" s="9">
        <v>2523538</v>
      </c>
      <c r="ED140" s="18" t="s">
        <v>238</v>
      </c>
      <c r="EE140" s="18" t="s">
        <v>238</v>
      </c>
      <c r="EF140" s="324">
        <f t="shared" si="498"/>
        <v>2523538</v>
      </c>
      <c r="EG140" s="321">
        <f t="shared" si="499"/>
        <v>2523538</v>
      </c>
      <c r="EH140" s="179">
        <f t="shared" si="462"/>
        <v>0</v>
      </c>
      <c r="EI140" s="9">
        <v>2523538</v>
      </c>
      <c r="EJ140" s="18" t="s">
        <v>238</v>
      </c>
      <c r="EK140" s="18" t="s">
        <v>238</v>
      </c>
      <c r="EL140" s="324">
        <f t="shared" si="500"/>
        <v>2523538</v>
      </c>
      <c r="EM140" s="321">
        <f t="shared" si="501"/>
        <v>2523538</v>
      </c>
      <c r="EN140" s="179">
        <f t="shared" si="463"/>
        <v>0</v>
      </c>
      <c r="EO140" s="9">
        <v>2523538</v>
      </c>
      <c r="EP140" s="18" t="s">
        <v>238</v>
      </c>
      <c r="EQ140" s="18" t="s">
        <v>238</v>
      </c>
      <c r="ER140" s="324">
        <f t="shared" si="502"/>
        <v>2523538</v>
      </c>
      <c r="ES140" s="321">
        <f t="shared" si="503"/>
        <v>2523538</v>
      </c>
      <c r="ET140" s="179">
        <f t="shared" si="464"/>
        <v>0</v>
      </c>
      <c r="EU140" s="9">
        <v>2523538</v>
      </c>
      <c r="EV140" s="18" t="s">
        <v>238</v>
      </c>
      <c r="EW140" s="18" t="s">
        <v>238</v>
      </c>
      <c r="EX140" s="324">
        <f t="shared" si="504"/>
        <v>2523538</v>
      </c>
      <c r="EY140" s="321">
        <f t="shared" si="505"/>
        <v>2523538</v>
      </c>
      <c r="EZ140" s="179">
        <f t="shared" si="465"/>
        <v>0</v>
      </c>
      <c r="FA140" s="9">
        <v>2523538</v>
      </c>
      <c r="FB140" s="18" t="s">
        <v>238</v>
      </c>
      <c r="FC140" s="18" t="s">
        <v>238</v>
      </c>
      <c r="FD140" s="324">
        <f t="shared" si="506"/>
        <v>2523538</v>
      </c>
      <c r="FE140" s="321">
        <f t="shared" si="507"/>
        <v>2523538</v>
      </c>
      <c r="FF140" s="179">
        <f t="shared" si="466"/>
        <v>0</v>
      </c>
      <c r="FG140" s="9">
        <v>2523538</v>
      </c>
      <c r="FH140" s="18" t="s">
        <v>238</v>
      </c>
      <c r="FI140" s="18" t="s">
        <v>238</v>
      </c>
      <c r="FJ140" s="324">
        <f t="shared" si="508"/>
        <v>2523538</v>
      </c>
      <c r="FK140" s="321">
        <f t="shared" si="509"/>
        <v>2523538</v>
      </c>
      <c r="FL140" s="179">
        <f t="shared" si="467"/>
        <v>0</v>
      </c>
      <c r="FM140" s="9">
        <v>2523538</v>
      </c>
      <c r="FN140" s="18" t="s">
        <v>238</v>
      </c>
      <c r="FO140" s="18" t="s">
        <v>238</v>
      </c>
      <c r="FP140" s="324">
        <f t="shared" si="510"/>
        <v>2523538</v>
      </c>
      <c r="FQ140" s="321">
        <f t="shared" si="511"/>
        <v>2523538</v>
      </c>
      <c r="FR140" s="179">
        <f t="shared" si="468"/>
        <v>0</v>
      </c>
      <c r="FS140" s="9">
        <v>2523538</v>
      </c>
      <c r="FT140" s="18" t="s">
        <v>238</v>
      </c>
      <c r="FU140" s="18" t="s">
        <v>238</v>
      </c>
      <c r="FV140" s="324">
        <f t="shared" si="512"/>
        <v>2523538</v>
      </c>
      <c r="FW140" s="321">
        <f t="shared" si="513"/>
        <v>2523538</v>
      </c>
      <c r="FX140" s="179">
        <f t="shared" si="469"/>
        <v>0</v>
      </c>
      <c r="FY140" s="9">
        <v>2523538</v>
      </c>
      <c r="FZ140" s="18" t="s">
        <v>238</v>
      </c>
      <c r="GA140" s="18" t="s">
        <v>238</v>
      </c>
      <c r="GB140" s="324">
        <f t="shared" si="514"/>
        <v>2523538</v>
      </c>
      <c r="GC140" s="321">
        <f t="shared" si="515"/>
        <v>2523538</v>
      </c>
      <c r="GD140" s="179">
        <f t="shared" si="470"/>
        <v>0</v>
      </c>
      <c r="GE140" s="9">
        <v>2523538</v>
      </c>
      <c r="GF140" s="18" t="s">
        <v>238</v>
      </c>
      <c r="GG140" s="18" t="s">
        <v>238</v>
      </c>
      <c r="GH140" s="324">
        <f t="shared" si="516"/>
        <v>2523538</v>
      </c>
      <c r="GI140" s="321">
        <f t="shared" si="517"/>
        <v>2523538</v>
      </c>
      <c r="GJ140" s="179">
        <f t="shared" si="471"/>
        <v>0</v>
      </c>
      <c r="GK140" s="9">
        <v>2523538</v>
      </c>
      <c r="GL140" s="18" t="s">
        <v>238</v>
      </c>
      <c r="GM140" s="18" t="s">
        <v>238</v>
      </c>
      <c r="GN140" s="324">
        <f t="shared" si="518"/>
        <v>2523538</v>
      </c>
      <c r="GO140" s="321">
        <f t="shared" si="519"/>
        <v>2523538</v>
      </c>
      <c r="GP140" s="179">
        <f t="shared" si="472"/>
        <v>0</v>
      </c>
      <c r="GQ140" s="9">
        <v>2523538</v>
      </c>
      <c r="GR140" s="18" t="s">
        <v>238</v>
      </c>
      <c r="GS140" s="18" t="s">
        <v>238</v>
      </c>
      <c r="GT140" s="324">
        <f t="shared" si="520"/>
        <v>2523538</v>
      </c>
      <c r="GU140" s="321">
        <f t="shared" si="521"/>
        <v>2523538</v>
      </c>
      <c r="GV140" s="179">
        <f t="shared" si="473"/>
        <v>0</v>
      </c>
      <c r="GW140" s="9">
        <v>2649714</v>
      </c>
      <c r="GX140" s="18" t="s">
        <v>238</v>
      </c>
      <c r="GY140" s="18" t="s">
        <v>238</v>
      </c>
      <c r="GZ140" s="324">
        <f t="shared" si="522"/>
        <v>2649714</v>
      </c>
      <c r="HA140" s="321">
        <f t="shared" si="523"/>
        <v>2649714</v>
      </c>
      <c r="HB140" s="179">
        <f t="shared" si="474"/>
        <v>126176</v>
      </c>
      <c r="HC140" s="102">
        <f t="shared" si="475"/>
        <v>0.17945329549949157</v>
      </c>
      <c r="HD140" s="285">
        <f t="shared" si="524"/>
        <v>0</v>
      </c>
      <c r="HE140" s="12">
        <f t="shared" si="525"/>
        <v>126176.90000000001</v>
      </c>
      <c r="HF140" s="12">
        <f t="shared" si="476"/>
        <v>0.90000000000873115</v>
      </c>
      <c r="HG140" s="12">
        <f t="shared" si="526"/>
        <v>126176</v>
      </c>
      <c r="HH140" s="14">
        <f t="shared" si="527"/>
        <v>126176</v>
      </c>
      <c r="HI140" s="13">
        <f t="shared" si="528"/>
        <v>2649714</v>
      </c>
      <c r="HJ140" s="102">
        <f t="shared" si="529"/>
        <v>0.18842589627385828</v>
      </c>
      <c r="HK140" s="16">
        <f t="shared" si="530"/>
        <v>2523538</v>
      </c>
      <c r="HL140" s="103">
        <f t="shared" si="531"/>
        <v>2649714.9</v>
      </c>
      <c r="HM140" s="103">
        <f t="shared" si="532"/>
        <v>126176.89999999991</v>
      </c>
      <c r="HN140" s="17">
        <f t="shared" si="533"/>
        <v>0.90000000000873115</v>
      </c>
      <c r="HO140" s="56">
        <f t="shared" si="534"/>
        <v>126175.9999999999</v>
      </c>
      <c r="HP140" s="16">
        <f t="shared" si="535"/>
        <v>0</v>
      </c>
      <c r="HQ140" s="16">
        <f t="shared" si="536"/>
        <v>2649714</v>
      </c>
      <c r="HR140" s="16">
        <f t="shared" si="537"/>
        <v>0</v>
      </c>
    </row>
    <row r="141" spans="1:226" ht="10.8" thickBot="1" x14ac:dyDescent="0.35">
      <c r="A141" s="65">
        <v>5</v>
      </c>
      <c r="B141" s="213"/>
      <c r="C141" s="215" t="s">
        <v>528</v>
      </c>
      <c r="D141" s="216" t="s">
        <v>498</v>
      </c>
      <c r="E141" s="72"/>
      <c r="F141" s="66"/>
      <c r="G141" s="66"/>
      <c r="H141" s="67"/>
      <c r="I141" s="67"/>
      <c r="J141" s="67"/>
      <c r="K141" s="67"/>
      <c r="L141" s="67"/>
      <c r="M141" s="68"/>
      <c r="N141" s="68"/>
      <c r="O141" s="69"/>
      <c r="P141" s="69"/>
      <c r="Q141" s="69"/>
      <c r="R141" s="69"/>
      <c r="S141" s="69"/>
      <c r="T141" s="69"/>
      <c r="U141" s="69"/>
      <c r="V141" s="69"/>
      <c r="W141" s="69"/>
      <c r="X141" s="69"/>
      <c r="Y141" s="69"/>
      <c r="Z141" s="69"/>
      <c r="AA141" s="69"/>
      <c r="AB141" s="69"/>
      <c r="AC141" s="66"/>
      <c r="AD141" s="66"/>
      <c r="AE141" s="69"/>
      <c r="AF141" s="69"/>
      <c r="AG141" s="66"/>
      <c r="AH141" s="66"/>
      <c r="AI141" s="69"/>
      <c r="AJ141" s="69"/>
      <c r="AK141" s="66"/>
      <c r="AL141" s="66"/>
      <c r="AM141" s="69"/>
      <c r="AN141" s="69"/>
      <c r="AO141" s="66"/>
      <c r="AP141" s="66"/>
      <c r="AQ141" s="70"/>
      <c r="AR141" s="77">
        <v>1854255</v>
      </c>
      <c r="AS141" s="72">
        <v>0</v>
      </c>
      <c r="AT141" s="66">
        <v>0</v>
      </c>
      <c r="AU141" s="73">
        <f>AT141+AS141+AR141</f>
        <v>1854255</v>
      </c>
      <c r="AV141" s="66">
        <f>AR141</f>
        <v>1854255</v>
      </c>
      <c r="AW141" s="66">
        <v>0</v>
      </c>
      <c r="AX141" s="66">
        <v>0</v>
      </c>
      <c r="AY141" s="69">
        <f>AX141+AW141+AV141</f>
        <v>1854255</v>
      </c>
      <c r="AZ141" s="8">
        <f>AY141*5%</f>
        <v>92712.75</v>
      </c>
      <c r="BA141" s="8">
        <v>0.75</v>
      </c>
      <c r="BB141" s="8">
        <f>AZ141-BA141</f>
        <v>92712</v>
      </c>
      <c r="BC141" s="8">
        <f>BB141+AY141</f>
        <v>1946967</v>
      </c>
      <c r="BD141" s="8"/>
      <c r="BE141" s="8">
        <f>BD141+BC141</f>
        <v>1946967</v>
      </c>
      <c r="BF141" s="10">
        <f>BE141-AY141</f>
        <v>92712</v>
      </c>
      <c r="BG141" s="11">
        <f>BF141-BB141</f>
        <v>0</v>
      </c>
      <c r="BH141" s="319">
        <v>1761967</v>
      </c>
      <c r="BI141" s="319">
        <v>0</v>
      </c>
      <c r="BJ141" s="319">
        <v>0</v>
      </c>
      <c r="BK141" s="319">
        <f>BJ141+BI141+BH141</f>
        <v>1761967</v>
      </c>
      <c r="BL141" s="319">
        <v>1761967</v>
      </c>
      <c r="BM141" s="319">
        <v>0</v>
      </c>
      <c r="BN141" s="319">
        <v>0</v>
      </c>
      <c r="BO141" s="319">
        <f>BN141+BM141+BL141</f>
        <v>1761967</v>
      </c>
      <c r="BP141" s="319">
        <f>BO141-BK141</f>
        <v>0</v>
      </c>
      <c r="BQ141" s="319">
        <v>1761967</v>
      </c>
      <c r="BR141" s="319">
        <v>0</v>
      </c>
      <c r="BS141" s="319">
        <v>0</v>
      </c>
      <c r="BT141" s="319">
        <f>BS141+BR141+BQ141</f>
        <v>1761967</v>
      </c>
      <c r="BU141" s="319">
        <f>BT141-BO141</f>
        <v>0</v>
      </c>
      <c r="BV141" s="319">
        <v>1761967</v>
      </c>
      <c r="BW141" s="319">
        <v>0</v>
      </c>
      <c r="BX141" s="319">
        <v>0</v>
      </c>
      <c r="BY141" s="319">
        <f>BX141+BW141+BV141</f>
        <v>1761967</v>
      </c>
      <c r="BZ141" s="319">
        <f>BY141-BT141</f>
        <v>0</v>
      </c>
      <c r="CA141" s="319">
        <v>1761967</v>
      </c>
      <c r="CB141" s="319">
        <v>0</v>
      </c>
      <c r="CC141" s="319">
        <v>0</v>
      </c>
      <c r="CD141" s="319">
        <f>CC141+CB141+CA141</f>
        <v>1761967</v>
      </c>
      <c r="CE141" s="319">
        <f>CD141-BY141</f>
        <v>0</v>
      </c>
      <c r="CF141" s="319">
        <v>1761967</v>
      </c>
      <c r="CG141" s="319">
        <v>0</v>
      </c>
      <c r="CH141" s="319">
        <v>0</v>
      </c>
      <c r="CI141" s="319">
        <f>CH141+CG141+CF141</f>
        <v>1761967</v>
      </c>
      <c r="CJ141" s="319">
        <f>CI141-CD141</f>
        <v>0</v>
      </c>
      <c r="CK141" s="319">
        <v>1761967</v>
      </c>
      <c r="CL141" s="319">
        <v>0</v>
      </c>
      <c r="CM141" s="319">
        <v>0</v>
      </c>
      <c r="CN141" s="319">
        <f>CM141+CL141+CK141</f>
        <v>1761967</v>
      </c>
      <c r="CO141" s="319">
        <f>CN141-CI141</f>
        <v>0</v>
      </c>
      <c r="CP141" s="319">
        <v>1761967</v>
      </c>
      <c r="CQ141" s="319">
        <v>0</v>
      </c>
      <c r="CR141" s="319">
        <v>0</v>
      </c>
      <c r="CS141" s="319">
        <f>CR141+CQ141+CP141</f>
        <v>1761967</v>
      </c>
      <c r="CT141" s="319">
        <f>CS141-CN141</f>
        <v>0</v>
      </c>
      <c r="CU141" s="319">
        <v>1761967</v>
      </c>
      <c r="CV141" s="319">
        <v>0</v>
      </c>
      <c r="CW141" s="319">
        <v>0</v>
      </c>
      <c r="CX141" s="319">
        <f>CW141+CV141+CU141</f>
        <v>1761967</v>
      </c>
      <c r="CY141" s="319">
        <f>CX141-CS141</f>
        <v>0</v>
      </c>
      <c r="CZ141" s="319"/>
      <c r="DA141" s="319"/>
      <c r="DB141" s="319"/>
      <c r="DC141" s="12">
        <f>CX141*10%</f>
        <v>176196.7</v>
      </c>
      <c r="DD141" s="12">
        <v>0.7</v>
      </c>
      <c r="DE141" s="13">
        <f>DC141-DD141</f>
        <v>176196</v>
      </c>
      <c r="DF141" s="14">
        <f>DE141:DE141</f>
        <v>176196</v>
      </c>
      <c r="DG141" s="13">
        <f>DE141+CX141</f>
        <v>1938163</v>
      </c>
      <c r="DH141" s="15">
        <f>100/1278396949*CX141</f>
        <v>0.13782628325093099</v>
      </c>
      <c r="DI141" s="16">
        <f>CX141</f>
        <v>1761967</v>
      </c>
      <c r="DJ141" s="132">
        <f>DI141*1.1</f>
        <v>1938163.7000000002</v>
      </c>
      <c r="DK141" s="17">
        <f>DJ141-DI141</f>
        <v>176196.70000000019</v>
      </c>
      <c r="DL141" s="17">
        <f>DD141</f>
        <v>0.7</v>
      </c>
      <c r="DM141" s="16">
        <f>DK141-DL141</f>
        <v>176196.00000000017</v>
      </c>
      <c r="DN141" s="16">
        <f>DM141-DE141</f>
        <v>0</v>
      </c>
      <c r="DO141" s="16">
        <f>DM141+DI141</f>
        <v>1938163.0000000002</v>
      </c>
      <c r="DP141" s="16">
        <f>DO141-DG141</f>
        <v>0</v>
      </c>
      <c r="DQ141" s="9">
        <v>1938163</v>
      </c>
      <c r="DR141" s="18" t="s">
        <v>238</v>
      </c>
      <c r="DS141" s="18" t="s">
        <v>238</v>
      </c>
      <c r="DT141" s="324">
        <f>DQ141+DR141+DS141</f>
        <v>1938163</v>
      </c>
      <c r="DU141" s="321">
        <f>DT141</f>
        <v>1938163</v>
      </c>
      <c r="DV141" s="19">
        <f>DT141-DG141</f>
        <v>0</v>
      </c>
      <c r="DW141" s="9">
        <v>1938163</v>
      </c>
      <c r="DX141" s="18"/>
      <c r="DY141" s="18"/>
      <c r="DZ141" s="324">
        <f>DW141+DX141+DY141</f>
        <v>1938163</v>
      </c>
      <c r="EA141" s="321">
        <f>DZ141</f>
        <v>1938163</v>
      </c>
      <c r="EB141" s="179">
        <f>DZ141-DT141</f>
        <v>0</v>
      </c>
      <c r="EC141" s="9">
        <v>1938163</v>
      </c>
      <c r="ED141" s="18" t="s">
        <v>238</v>
      </c>
      <c r="EE141" s="18" t="s">
        <v>238</v>
      </c>
      <c r="EF141" s="324">
        <f>EC141+ED141+EE141</f>
        <v>1938163</v>
      </c>
      <c r="EG141" s="321">
        <f>EF141</f>
        <v>1938163</v>
      </c>
      <c r="EH141" s="179">
        <f>EF141-DZ141</f>
        <v>0</v>
      </c>
      <c r="EI141" s="9">
        <v>1938163</v>
      </c>
      <c r="EJ141" s="18" t="s">
        <v>238</v>
      </c>
      <c r="EK141" s="18" t="s">
        <v>238</v>
      </c>
      <c r="EL141" s="324">
        <f>EI141+EJ141+EK141</f>
        <v>1938163</v>
      </c>
      <c r="EM141" s="321">
        <f>EL141</f>
        <v>1938163</v>
      </c>
      <c r="EN141" s="179">
        <f>EL141-EF141</f>
        <v>0</v>
      </c>
      <c r="EO141" s="9">
        <v>1938163</v>
      </c>
      <c r="EP141" s="18" t="s">
        <v>238</v>
      </c>
      <c r="EQ141" s="18" t="s">
        <v>238</v>
      </c>
      <c r="ER141" s="324">
        <f>EO141+EP141+EQ141</f>
        <v>1938163</v>
      </c>
      <c r="ES141" s="321">
        <f>ER141</f>
        <v>1938163</v>
      </c>
      <c r="ET141" s="179">
        <f>ER141-EL141</f>
        <v>0</v>
      </c>
      <c r="EU141" s="9">
        <v>1938163</v>
      </c>
      <c r="EV141" s="18" t="s">
        <v>238</v>
      </c>
      <c r="EW141" s="18" t="s">
        <v>238</v>
      </c>
      <c r="EX141" s="324">
        <f>EU141+EV141+EW141</f>
        <v>1938163</v>
      </c>
      <c r="EY141" s="321">
        <f>EX141</f>
        <v>1938163</v>
      </c>
      <c r="EZ141" s="179">
        <f>EX141-ER141</f>
        <v>0</v>
      </c>
      <c r="FA141" s="9">
        <v>1938163</v>
      </c>
      <c r="FB141" s="18" t="s">
        <v>238</v>
      </c>
      <c r="FC141" s="18" t="s">
        <v>238</v>
      </c>
      <c r="FD141" s="324">
        <f>FA141+FB141+FC141</f>
        <v>1938163</v>
      </c>
      <c r="FE141" s="321">
        <f>FD141</f>
        <v>1938163</v>
      </c>
      <c r="FF141" s="179">
        <f>FD141-EX141</f>
        <v>0</v>
      </c>
      <c r="FG141" s="9">
        <v>1938163</v>
      </c>
      <c r="FH141" s="18" t="s">
        <v>238</v>
      </c>
      <c r="FI141" s="18" t="s">
        <v>238</v>
      </c>
      <c r="FJ141" s="324">
        <f>FG141+FH141+FI141</f>
        <v>1938163</v>
      </c>
      <c r="FK141" s="321">
        <f>FJ141</f>
        <v>1938163</v>
      </c>
      <c r="FL141" s="179">
        <f>FJ141-FD141</f>
        <v>0</v>
      </c>
      <c r="FM141" s="9">
        <v>1938163</v>
      </c>
      <c r="FN141" s="18" t="s">
        <v>238</v>
      </c>
      <c r="FO141" s="18" t="s">
        <v>238</v>
      </c>
      <c r="FP141" s="324">
        <f>FM141+FN141+FO141</f>
        <v>1938163</v>
      </c>
      <c r="FQ141" s="321">
        <f>FP141</f>
        <v>1938163</v>
      </c>
      <c r="FR141" s="179">
        <f>FP141-FJ141</f>
        <v>0</v>
      </c>
      <c r="FS141" s="9">
        <v>1938163</v>
      </c>
      <c r="FT141" s="18" t="s">
        <v>238</v>
      </c>
      <c r="FU141" s="18" t="s">
        <v>238</v>
      </c>
      <c r="FV141" s="324">
        <f>FS141+FT141+FU141</f>
        <v>1938163</v>
      </c>
      <c r="FW141" s="321">
        <f>FV141</f>
        <v>1938163</v>
      </c>
      <c r="FX141" s="179">
        <f>FV141-FP141</f>
        <v>0</v>
      </c>
      <c r="FY141" s="9">
        <v>1938163</v>
      </c>
      <c r="FZ141" s="18" t="s">
        <v>238</v>
      </c>
      <c r="GA141" s="18" t="s">
        <v>238</v>
      </c>
      <c r="GB141" s="324">
        <f>FY141+FZ141+GA141</f>
        <v>1938163</v>
      </c>
      <c r="GC141" s="321">
        <f>GB141</f>
        <v>1938163</v>
      </c>
      <c r="GD141" s="179">
        <f>GB141-FV141</f>
        <v>0</v>
      </c>
      <c r="GE141" s="9">
        <v>1938163</v>
      </c>
      <c r="GF141" s="18" t="s">
        <v>238</v>
      </c>
      <c r="GG141" s="18" t="s">
        <v>238</v>
      </c>
      <c r="GH141" s="324">
        <f>GE141+GF141+GG141</f>
        <v>1938163</v>
      </c>
      <c r="GI141" s="321">
        <f>GH141</f>
        <v>1938163</v>
      </c>
      <c r="GJ141" s="179">
        <f>GH141-GB141</f>
        <v>0</v>
      </c>
      <c r="GK141" s="9">
        <v>1938163</v>
      </c>
      <c r="GL141" s="18" t="s">
        <v>238</v>
      </c>
      <c r="GM141" s="18" t="s">
        <v>238</v>
      </c>
      <c r="GN141" s="324">
        <f>GK141+GL141+GM141</f>
        <v>1938163</v>
      </c>
      <c r="GO141" s="321">
        <f>GN141</f>
        <v>1938163</v>
      </c>
      <c r="GP141" s="179">
        <f>GN141-GH141</f>
        <v>0</v>
      </c>
      <c r="GQ141" s="9">
        <v>1938163</v>
      </c>
      <c r="GR141" s="18" t="s">
        <v>238</v>
      </c>
      <c r="GS141" s="18" t="s">
        <v>238</v>
      </c>
      <c r="GT141" s="324">
        <f>GQ141+GR141+GS141</f>
        <v>1938163</v>
      </c>
      <c r="GU141" s="321">
        <f>GT141</f>
        <v>1938163</v>
      </c>
      <c r="GV141" s="179">
        <f>GT141-GN141</f>
        <v>0</v>
      </c>
      <c r="GW141" s="9">
        <v>2035071</v>
      </c>
      <c r="GX141" s="18" t="s">
        <v>238</v>
      </c>
      <c r="GY141" s="18" t="s">
        <v>238</v>
      </c>
      <c r="GZ141" s="324">
        <f>GW141+GX141+GY141</f>
        <v>2035071</v>
      </c>
      <c r="HA141" s="321">
        <f>GZ141</f>
        <v>2035071</v>
      </c>
      <c r="HB141" s="179">
        <f>GZ141-GT141</f>
        <v>96908</v>
      </c>
      <c r="HC141" s="102">
        <f t="shared" si="475"/>
        <v>0.13782623347268044</v>
      </c>
      <c r="HD141" s="285">
        <f t="shared" si="524"/>
        <v>-1.3096723705530167E-10</v>
      </c>
      <c r="HE141" s="12">
        <f t="shared" si="525"/>
        <v>96908.150000000009</v>
      </c>
      <c r="HF141" s="12">
        <f t="shared" si="476"/>
        <v>0.15000000000873115</v>
      </c>
      <c r="HG141" s="12">
        <f t="shared" si="526"/>
        <v>96908</v>
      </c>
      <c r="HH141" s="14">
        <f t="shared" si="527"/>
        <v>96908</v>
      </c>
      <c r="HI141" s="13">
        <f t="shared" si="528"/>
        <v>2035071</v>
      </c>
      <c r="HJ141" s="102">
        <f t="shared" si="529"/>
        <v>0.14471753447954649</v>
      </c>
      <c r="HK141" s="16">
        <f t="shared" si="530"/>
        <v>1938163</v>
      </c>
      <c r="HL141" s="103">
        <f t="shared" si="531"/>
        <v>2035071.1500000001</v>
      </c>
      <c r="HM141" s="103">
        <f t="shared" si="532"/>
        <v>96908.15000000014</v>
      </c>
      <c r="HN141" s="17">
        <f t="shared" si="533"/>
        <v>0.15000000000873115</v>
      </c>
      <c r="HO141" s="56">
        <f t="shared" si="534"/>
        <v>96908.000000000131</v>
      </c>
      <c r="HP141" s="16">
        <f t="shared" si="535"/>
        <v>1.3096723705530167E-10</v>
      </c>
      <c r="HQ141" s="16">
        <f t="shared" si="536"/>
        <v>2035071.0000000002</v>
      </c>
      <c r="HR141" s="16">
        <f t="shared" si="537"/>
        <v>0</v>
      </c>
    </row>
    <row r="142" spans="1:226" x14ac:dyDescent="0.3">
      <c r="A142" s="140"/>
      <c r="B142" s="140"/>
      <c r="C142" s="140"/>
      <c r="D142" s="141" t="s">
        <v>216</v>
      </c>
      <c r="E142" s="121">
        <f t="shared" ref="E142:BP142" si="538">SUM(E133:E140)</f>
        <v>0</v>
      </c>
      <c r="F142" s="121">
        <f t="shared" si="538"/>
        <v>23238012</v>
      </c>
      <c r="G142" s="121">
        <f t="shared" si="538"/>
        <v>0</v>
      </c>
      <c r="H142" s="121">
        <f t="shared" si="538"/>
        <v>0</v>
      </c>
      <c r="I142" s="121">
        <f t="shared" si="538"/>
        <v>26562267</v>
      </c>
      <c r="J142" s="121">
        <f t="shared" si="538"/>
        <v>25318852</v>
      </c>
      <c r="K142" s="121">
        <f t="shared" si="538"/>
        <v>0</v>
      </c>
      <c r="L142" s="121">
        <f t="shared" si="538"/>
        <v>26756357</v>
      </c>
      <c r="M142" s="121">
        <f t="shared" si="538"/>
        <v>26758357</v>
      </c>
      <c r="N142" s="121">
        <f t="shared" si="538"/>
        <v>26765857</v>
      </c>
      <c r="O142" s="121">
        <f t="shared" si="538"/>
        <v>26765857</v>
      </c>
      <c r="P142" s="121">
        <f t="shared" si="538"/>
        <v>26767357</v>
      </c>
      <c r="Q142" s="121">
        <f t="shared" si="538"/>
        <v>26767357</v>
      </c>
      <c r="R142" s="121">
        <f t="shared" si="538"/>
        <v>26767357</v>
      </c>
      <c r="S142" s="121">
        <f t="shared" si="538"/>
        <v>26767357</v>
      </c>
      <c r="T142" s="121">
        <f t="shared" si="538"/>
        <v>26767357</v>
      </c>
      <c r="U142" s="121">
        <f t="shared" si="538"/>
        <v>1338367.8500000001</v>
      </c>
      <c r="V142" s="121">
        <f t="shared" si="538"/>
        <v>28105724.850000001</v>
      </c>
      <c r="W142" s="121">
        <f t="shared" si="538"/>
        <v>28105723</v>
      </c>
      <c r="X142" s="121">
        <f t="shared" si="538"/>
        <v>28105723</v>
      </c>
      <c r="Y142" s="121">
        <f t="shared" si="538"/>
        <v>28105723</v>
      </c>
      <c r="Z142" s="121">
        <f t="shared" si="538"/>
        <v>28105723</v>
      </c>
      <c r="AA142" s="121">
        <f t="shared" si="538"/>
        <v>28125723</v>
      </c>
      <c r="AB142" s="121">
        <f t="shared" si="538"/>
        <v>28085723</v>
      </c>
      <c r="AC142" s="121">
        <f t="shared" si="538"/>
        <v>0</v>
      </c>
      <c r="AD142" s="121">
        <f t="shared" si="538"/>
        <v>0</v>
      </c>
      <c r="AE142" s="121">
        <f t="shared" si="538"/>
        <v>28085723</v>
      </c>
      <c r="AF142" s="121">
        <f t="shared" si="538"/>
        <v>28085723</v>
      </c>
      <c r="AG142" s="121">
        <f t="shared" si="538"/>
        <v>0</v>
      </c>
      <c r="AH142" s="121">
        <f t="shared" si="538"/>
        <v>0</v>
      </c>
      <c r="AI142" s="121">
        <f t="shared" si="538"/>
        <v>28085723</v>
      </c>
      <c r="AJ142" s="121">
        <f t="shared" si="538"/>
        <v>28085723</v>
      </c>
      <c r="AK142" s="121">
        <f t="shared" si="538"/>
        <v>0</v>
      </c>
      <c r="AL142" s="121">
        <f t="shared" si="538"/>
        <v>0</v>
      </c>
      <c r="AM142" s="121">
        <f t="shared" si="538"/>
        <v>28085723</v>
      </c>
      <c r="AN142" s="121">
        <f t="shared" si="538"/>
        <v>28085723</v>
      </c>
      <c r="AO142" s="121">
        <f t="shared" si="538"/>
        <v>0</v>
      </c>
      <c r="AP142" s="121">
        <f t="shared" si="538"/>
        <v>0</v>
      </c>
      <c r="AQ142" s="121">
        <f t="shared" si="538"/>
        <v>28085723</v>
      </c>
      <c r="AR142" s="121">
        <f t="shared" si="538"/>
        <v>28073198</v>
      </c>
      <c r="AS142" s="121">
        <f t="shared" si="538"/>
        <v>0</v>
      </c>
      <c r="AT142" s="121">
        <f t="shared" si="538"/>
        <v>0</v>
      </c>
      <c r="AU142" s="121">
        <f t="shared" si="538"/>
        <v>29032198</v>
      </c>
      <c r="AV142" s="121">
        <f t="shared" si="538"/>
        <v>28073198</v>
      </c>
      <c r="AW142" s="121">
        <f t="shared" si="538"/>
        <v>0</v>
      </c>
      <c r="AX142" s="121">
        <f t="shared" si="538"/>
        <v>0</v>
      </c>
      <c r="AY142" s="121">
        <f t="shared" si="538"/>
        <v>29032198</v>
      </c>
      <c r="AZ142" s="121">
        <f t="shared" si="538"/>
        <v>1451609.9000000001</v>
      </c>
      <c r="BA142" s="121">
        <f t="shared" si="538"/>
        <v>2.9</v>
      </c>
      <c r="BB142" s="121">
        <f t="shared" si="538"/>
        <v>1451607</v>
      </c>
      <c r="BC142" s="121">
        <f t="shared" si="538"/>
        <v>30483805</v>
      </c>
      <c r="BD142" s="121">
        <f t="shared" si="538"/>
        <v>-330430</v>
      </c>
      <c r="BE142" s="121">
        <f t="shared" si="538"/>
        <v>30153375</v>
      </c>
      <c r="BF142" s="121">
        <f t="shared" si="538"/>
        <v>1121177</v>
      </c>
      <c r="BG142" s="121">
        <f t="shared" si="538"/>
        <v>-330430</v>
      </c>
      <c r="BH142" s="121">
        <f t="shared" si="538"/>
        <v>28683779</v>
      </c>
      <c r="BI142" s="121">
        <f t="shared" si="538"/>
        <v>0</v>
      </c>
      <c r="BJ142" s="121">
        <f t="shared" si="538"/>
        <v>0</v>
      </c>
      <c r="BK142" s="121">
        <f t="shared" si="538"/>
        <v>28683779</v>
      </c>
      <c r="BL142" s="121">
        <f t="shared" si="538"/>
        <v>28669031</v>
      </c>
      <c r="BM142" s="121">
        <f t="shared" si="538"/>
        <v>0</v>
      </c>
      <c r="BN142" s="121">
        <f t="shared" si="538"/>
        <v>0</v>
      </c>
      <c r="BO142" s="121">
        <f t="shared" si="538"/>
        <v>28669031</v>
      </c>
      <c r="BP142" s="121">
        <f t="shared" si="538"/>
        <v>-14748</v>
      </c>
      <c r="BQ142" s="121">
        <f t="shared" ref="BQ142:EB142" si="539">SUM(BQ133:BQ140)</f>
        <v>28669031</v>
      </c>
      <c r="BR142" s="121">
        <f t="shared" si="539"/>
        <v>0</v>
      </c>
      <c r="BS142" s="121">
        <f t="shared" si="539"/>
        <v>0</v>
      </c>
      <c r="BT142" s="121">
        <f t="shared" si="539"/>
        <v>28669031</v>
      </c>
      <c r="BU142" s="121">
        <f t="shared" si="539"/>
        <v>0</v>
      </c>
      <c r="BV142" s="121">
        <f t="shared" si="539"/>
        <v>28689031</v>
      </c>
      <c r="BW142" s="121">
        <f t="shared" si="539"/>
        <v>0</v>
      </c>
      <c r="BX142" s="121">
        <f t="shared" si="539"/>
        <v>0</v>
      </c>
      <c r="BY142" s="121">
        <f t="shared" si="539"/>
        <v>28689031</v>
      </c>
      <c r="BZ142" s="121">
        <f t="shared" si="539"/>
        <v>20000</v>
      </c>
      <c r="CA142" s="121">
        <f t="shared" si="539"/>
        <v>28694531</v>
      </c>
      <c r="CB142" s="121">
        <f t="shared" si="539"/>
        <v>0</v>
      </c>
      <c r="CC142" s="121">
        <f t="shared" si="539"/>
        <v>0</v>
      </c>
      <c r="CD142" s="121">
        <f t="shared" si="539"/>
        <v>28694531</v>
      </c>
      <c r="CE142" s="121">
        <f t="shared" si="539"/>
        <v>5500</v>
      </c>
      <c r="CF142" s="121">
        <f t="shared" si="539"/>
        <v>28694531</v>
      </c>
      <c r="CG142" s="121">
        <f t="shared" si="539"/>
        <v>0</v>
      </c>
      <c r="CH142" s="121">
        <f t="shared" si="539"/>
        <v>0</v>
      </c>
      <c r="CI142" s="121">
        <f t="shared" si="539"/>
        <v>28694531</v>
      </c>
      <c r="CJ142" s="121">
        <f t="shared" si="539"/>
        <v>0</v>
      </c>
      <c r="CK142" s="121">
        <f t="shared" si="539"/>
        <v>28694531</v>
      </c>
      <c r="CL142" s="121">
        <f t="shared" si="539"/>
        <v>0</v>
      </c>
      <c r="CM142" s="121">
        <f t="shared" si="539"/>
        <v>0</v>
      </c>
      <c r="CN142" s="121">
        <f t="shared" si="539"/>
        <v>28694531</v>
      </c>
      <c r="CO142" s="121">
        <f t="shared" si="539"/>
        <v>0</v>
      </c>
      <c r="CP142" s="121">
        <f t="shared" si="539"/>
        <v>28694531</v>
      </c>
      <c r="CQ142" s="121">
        <f t="shared" si="539"/>
        <v>0</v>
      </c>
      <c r="CR142" s="121">
        <f t="shared" si="539"/>
        <v>0</v>
      </c>
      <c r="CS142" s="121">
        <f t="shared" si="539"/>
        <v>28694531</v>
      </c>
      <c r="CT142" s="121">
        <f t="shared" si="539"/>
        <v>0</v>
      </c>
      <c r="CU142" s="121">
        <f t="shared" si="539"/>
        <v>28694531</v>
      </c>
      <c r="CV142" s="121">
        <f t="shared" si="539"/>
        <v>0</v>
      </c>
      <c r="CW142" s="121">
        <f t="shared" si="539"/>
        <v>0</v>
      </c>
      <c r="CX142" s="121">
        <f t="shared" si="539"/>
        <v>28694531</v>
      </c>
      <c r="CY142" s="121">
        <f t="shared" si="539"/>
        <v>0</v>
      </c>
      <c r="CZ142" s="121">
        <f t="shared" si="539"/>
        <v>0</v>
      </c>
      <c r="DA142" s="121">
        <f t="shared" si="539"/>
        <v>0</v>
      </c>
      <c r="DB142" s="121">
        <f t="shared" si="539"/>
        <v>0</v>
      </c>
      <c r="DC142" s="121">
        <f t="shared" si="539"/>
        <v>2869453.1</v>
      </c>
      <c r="DD142" s="121">
        <f t="shared" si="539"/>
        <v>2.1</v>
      </c>
      <c r="DE142" s="121">
        <f t="shared" si="539"/>
        <v>2869451</v>
      </c>
      <c r="DF142" s="121">
        <f t="shared" si="539"/>
        <v>2869451</v>
      </c>
      <c r="DG142" s="121">
        <f t="shared" si="539"/>
        <v>31563982</v>
      </c>
      <c r="DH142" s="121">
        <f t="shared" si="539"/>
        <v>2.244571298644424</v>
      </c>
      <c r="DI142" s="121">
        <f t="shared" si="539"/>
        <v>28694531</v>
      </c>
      <c r="DJ142" s="121">
        <f t="shared" si="539"/>
        <v>31563984.100000001</v>
      </c>
      <c r="DK142" s="121">
        <f t="shared" si="539"/>
        <v>2869453.100000002</v>
      </c>
      <c r="DL142" s="121">
        <f t="shared" si="539"/>
        <v>2.1</v>
      </c>
      <c r="DM142" s="121">
        <f t="shared" si="539"/>
        <v>2869451.0000000019</v>
      </c>
      <c r="DN142" s="121">
        <f t="shared" si="539"/>
        <v>1.5133991837501526E-9</v>
      </c>
      <c r="DO142" s="121">
        <f t="shared" si="539"/>
        <v>31563982</v>
      </c>
      <c r="DP142" s="121">
        <f t="shared" si="539"/>
        <v>0</v>
      </c>
      <c r="DQ142" s="121">
        <f t="shared" si="539"/>
        <v>31563982</v>
      </c>
      <c r="DR142" s="121">
        <f t="shared" si="539"/>
        <v>0</v>
      </c>
      <c r="DS142" s="121">
        <f t="shared" si="539"/>
        <v>0</v>
      </c>
      <c r="DT142" s="121">
        <f t="shared" si="539"/>
        <v>31563982</v>
      </c>
      <c r="DU142" s="121">
        <f t="shared" si="539"/>
        <v>31563982</v>
      </c>
      <c r="DV142" s="121">
        <f t="shared" si="539"/>
        <v>0</v>
      </c>
      <c r="DW142" s="121">
        <f t="shared" si="539"/>
        <v>31563982</v>
      </c>
      <c r="DX142" s="121">
        <f t="shared" si="539"/>
        <v>0</v>
      </c>
      <c r="DY142" s="121">
        <f t="shared" si="539"/>
        <v>0</v>
      </c>
      <c r="DZ142" s="121">
        <f t="shared" si="539"/>
        <v>31563982</v>
      </c>
      <c r="EA142" s="121">
        <f t="shared" si="539"/>
        <v>31563982</v>
      </c>
      <c r="EB142" s="121">
        <f t="shared" si="539"/>
        <v>0</v>
      </c>
      <c r="EC142" s="121">
        <f t="shared" ref="EC142:FL142" si="540">SUM(EC133:EC140)</f>
        <v>31563982</v>
      </c>
      <c r="ED142" s="121">
        <f t="shared" si="540"/>
        <v>0</v>
      </c>
      <c r="EE142" s="121">
        <f t="shared" si="540"/>
        <v>0</v>
      </c>
      <c r="EF142" s="121">
        <f t="shared" si="540"/>
        <v>31563982</v>
      </c>
      <c r="EG142" s="121">
        <f t="shared" si="540"/>
        <v>31563982</v>
      </c>
      <c r="EH142" s="121">
        <f t="shared" si="540"/>
        <v>0</v>
      </c>
      <c r="EI142" s="121">
        <f t="shared" si="540"/>
        <v>31563982</v>
      </c>
      <c r="EJ142" s="121">
        <f t="shared" si="540"/>
        <v>0</v>
      </c>
      <c r="EK142" s="121">
        <f t="shared" si="540"/>
        <v>0</v>
      </c>
      <c r="EL142" s="121">
        <f t="shared" si="540"/>
        <v>31563982</v>
      </c>
      <c r="EM142" s="121">
        <f t="shared" si="540"/>
        <v>31563982</v>
      </c>
      <c r="EN142" s="121">
        <f t="shared" si="540"/>
        <v>0</v>
      </c>
      <c r="EO142" s="121">
        <f t="shared" si="540"/>
        <v>31563982</v>
      </c>
      <c r="EP142" s="121">
        <f t="shared" si="540"/>
        <v>0</v>
      </c>
      <c r="EQ142" s="121">
        <f t="shared" si="540"/>
        <v>0</v>
      </c>
      <c r="ER142" s="121">
        <f t="shared" si="540"/>
        <v>31563982</v>
      </c>
      <c r="ES142" s="121">
        <f t="shared" si="540"/>
        <v>31563982</v>
      </c>
      <c r="ET142" s="121">
        <f t="shared" si="540"/>
        <v>0</v>
      </c>
      <c r="EU142" s="121">
        <f t="shared" si="540"/>
        <v>31570982</v>
      </c>
      <c r="EV142" s="121">
        <f t="shared" si="540"/>
        <v>0</v>
      </c>
      <c r="EW142" s="121">
        <f t="shared" si="540"/>
        <v>0</v>
      </c>
      <c r="EX142" s="121">
        <f t="shared" si="540"/>
        <v>31570982</v>
      </c>
      <c r="EY142" s="121">
        <f t="shared" si="540"/>
        <v>31570982</v>
      </c>
      <c r="EZ142" s="121">
        <f t="shared" si="540"/>
        <v>7000</v>
      </c>
      <c r="FA142" s="121">
        <f t="shared" si="540"/>
        <v>31570982</v>
      </c>
      <c r="FB142" s="121">
        <f t="shared" si="540"/>
        <v>0</v>
      </c>
      <c r="FC142" s="121">
        <f t="shared" si="540"/>
        <v>0</v>
      </c>
      <c r="FD142" s="121">
        <f t="shared" si="540"/>
        <v>31570982</v>
      </c>
      <c r="FE142" s="121">
        <f t="shared" si="540"/>
        <v>31570982</v>
      </c>
      <c r="FF142" s="121">
        <f t="shared" si="540"/>
        <v>0</v>
      </c>
      <c r="FG142" s="121">
        <f t="shared" si="540"/>
        <v>31570982</v>
      </c>
      <c r="FH142" s="121">
        <f t="shared" si="540"/>
        <v>0</v>
      </c>
      <c r="FI142" s="121">
        <f t="shared" si="540"/>
        <v>0</v>
      </c>
      <c r="FJ142" s="121">
        <f t="shared" si="540"/>
        <v>31570982</v>
      </c>
      <c r="FK142" s="121">
        <f t="shared" si="540"/>
        <v>31570982</v>
      </c>
      <c r="FL142" s="121">
        <f t="shared" si="540"/>
        <v>0</v>
      </c>
      <c r="FM142" s="121">
        <f t="shared" ref="FM142:FR142" si="541">SUM(FM133:FM140)</f>
        <v>31570982</v>
      </c>
      <c r="FN142" s="121">
        <f t="shared" si="541"/>
        <v>0</v>
      </c>
      <c r="FO142" s="121">
        <f t="shared" si="541"/>
        <v>0</v>
      </c>
      <c r="FP142" s="121">
        <f t="shared" si="541"/>
        <v>31570982</v>
      </c>
      <c r="FQ142" s="121">
        <f t="shared" si="541"/>
        <v>31570982</v>
      </c>
      <c r="FR142" s="121">
        <f t="shared" si="541"/>
        <v>0</v>
      </c>
      <c r="FS142" s="121">
        <f t="shared" ref="FS142:FX142" si="542">SUM(FS133:FS140)</f>
        <v>31570982</v>
      </c>
      <c r="FT142" s="121">
        <f t="shared" si="542"/>
        <v>0</v>
      </c>
      <c r="FU142" s="121">
        <f t="shared" si="542"/>
        <v>0</v>
      </c>
      <c r="FV142" s="121">
        <f t="shared" si="542"/>
        <v>31570982</v>
      </c>
      <c r="FW142" s="121">
        <f t="shared" si="542"/>
        <v>31570982</v>
      </c>
      <c r="FX142" s="121">
        <f t="shared" si="542"/>
        <v>0</v>
      </c>
      <c r="FY142" s="121">
        <f t="shared" ref="FY142:GD142" si="543">SUM(FY133:FY140)</f>
        <v>31570982</v>
      </c>
      <c r="FZ142" s="121">
        <f t="shared" si="543"/>
        <v>0</v>
      </c>
      <c r="GA142" s="121">
        <f t="shared" si="543"/>
        <v>0</v>
      </c>
      <c r="GB142" s="121">
        <f t="shared" si="543"/>
        <v>31570982</v>
      </c>
      <c r="GC142" s="121">
        <f t="shared" si="543"/>
        <v>31570982</v>
      </c>
      <c r="GD142" s="121">
        <f t="shared" si="543"/>
        <v>0</v>
      </c>
      <c r="GE142" s="121">
        <f t="shared" ref="GE142:GJ142" si="544">SUM(GE133:GE140)</f>
        <v>31570982</v>
      </c>
      <c r="GF142" s="121">
        <f t="shared" si="544"/>
        <v>0</v>
      </c>
      <c r="GG142" s="121">
        <f t="shared" si="544"/>
        <v>0</v>
      </c>
      <c r="GH142" s="121">
        <f t="shared" si="544"/>
        <v>31570982</v>
      </c>
      <c r="GI142" s="121">
        <f t="shared" si="544"/>
        <v>31570982</v>
      </c>
      <c r="GJ142" s="121">
        <f t="shared" si="544"/>
        <v>0</v>
      </c>
      <c r="GK142" s="121">
        <f t="shared" ref="GK142:GP142" si="545">SUM(GK133:GK140)</f>
        <v>31570982</v>
      </c>
      <c r="GL142" s="121">
        <f t="shared" si="545"/>
        <v>0</v>
      </c>
      <c r="GM142" s="121">
        <f t="shared" si="545"/>
        <v>0</v>
      </c>
      <c r="GN142" s="121">
        <f t="shared" si="545"/>
        <v>31570982</v>
      </c>
      <c r="GO142" s="121">
        <f t="shared" si="545"/>
        <v>31570982</v>
      </c>
      <c r="GP142" s="121">
        <f t="shared" si="545"/>
        <v>0</v>
      </c>
      <c r="GQ142" s="121">
        <f t="shared" ref="GQ142:GV142" si="546">SUM(GQ133:GQ140)</f>
        <v>31570982</v>
      </c>
      <c r="GR142" s="121">
        <f t="shared" si="546"/>
        <v>0</v>
      </c>
      <c r="GS142" s="121">
        <f t="shared" si="546"/>
        <v>0</v>
      </c>
      <c r="GT142" s="121">
        <f t="shared" si="546"/>
        <v>31570982</v>
      </c>
      <c r="GU142" s="121">
        <f t="shared" si="546"/>
        <v>31570982</v>
      </c>
      <c r="GV142" s="121">
        <f t="shared" si="546"/>
        <v>0</v>
      </c>
      <c r="GW142" s="121">
        <f t="shared" ref="GW142:HB142" si="547">SUM(GW133:GW140)</f>
        <v>33149527</v>
      </c>
      <c r="GX142" s="121">
        <f t="shared" si="547"/>
        <v>0</v>
      </c>
      <c r="GY142" s="121">
        <f t="shared" si="547"/>
        <v>0</v>
      </c>
      <c r="GZ142" s="121">
        <f t="shared" si="547"/>
        <v>33149527</v>
      </c>
      <c r="HA142" s="121">
        <f t="shared" si="547"/>
        <v>33149527</v>
      </c>
      <c r="HB142" s="121">
        <f t="shared" si="547"/>
        <v>1578545</v>
      </c>
      <c r="HC142" s="121">
        <f>SUM(HC133:HC140)</f>
        <v>2.2450689318152253</v>
      </c>
    </row>
    <row r="143" spans="1:226" x14ac:dyDescent="0.3">
      <c r="A143" s="98"/>
      <c r="B143" s="98"/>
      <c r="C143" s="98"/>
      <c r="D143" s="99"/>
      <c r="E143" s="108"/>
      <c r="F143" s="108"/>
      <c r="G143" s="108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127">
        <f>AY142*10*5%</f>
        <v>14516099</v>
      </c>
      <c r="AZ143" s="20"/>
      <c r="BA143" s="20"/>
      <c r="BB143" s="20"/>
      <c r="BC143" s="20"/>
      <c r="BD143" s="20"/>
      <c r="BE143" s="20"/>
      <c r="BF143" s="100"/>
      <c r="BG143" s="100"/>
      <c r="BH143" s="100"/>
      <c r="BI143" s="100"/>
      <c r="BJ143" s="100"/>
      <c r="BK143" s="100"/>
      <c r="BL143" s="100"/>
      <c r="BM143" s="100"/>
      <c r="BN143" s="100"/>
      <c r="BO143" s="100"/>
      <c r="BP143" s="100"/>
      <c r="BQ143" s="100"/>
      <c r="BR143" s="100"/>
      <c r="BS143" s="100"/>
      <c r="BT143" s="100"/>
      <c r="BU143" s="100"/>
      <c r="BV143" s="100"/>
      <c r="BW143" s="100"/>
      <c r="BX143" s="100"/>
      <c r="BY143" s="100"/>
      <c r="BZ143" s="100"/>
      <c r="CA143" s="100"/>
      <c r="CB143" s="100"/>
      <c r="CC143" s="100"/>
      <c r="CD143" s="100"/>
      <c r="CE143" s="100"/>
      <c r="CF143" s="100"/>
      <c r="CG143" s="100"/>
      <c r="CH143" s="100"/>
      <c r="CI143" s="100"/>
      <c r="CJ143" s="100"/>
      <c r="CK143" s="100"/>
      <c r="CL143" s="100"/>
      <c r="CM143" s="100"/>
      <c r="CN143" s="100"/>
      <c r="CO143" s="100"/>
      <c r="CP143" s="100"/>
      <c r="CQ143" s="100"/>
      <c r="CR143" s="100"/>
      <c r="CS143" s="100"/>
      <c r="CT143" s="100"/>
      <c r="CU143" s="100"/>
      <c r="CV143" s="100"/>
      <c r="CW143" s="100"/>
      <c r="CX143" s="100"/>
      <c r="CY143" s="100"/>
      <c r="CZ143" s="100"/>
      <c r="DA143" s="100"/>
      <c r="DB143" s="100"/>
      <c r="DC143" s="100"/>
      <c r="DD143" s="100"/>
      <c r="DE143" s="100"/>
      <c r="DF143" s="100"/>
      <c r="DG143" s="100"/>
      <c r="DH143" s="114"/>
    </row>
    <row r="144" spans="1:226" x14ac:dyDescent="0.3">
      <c r="A144" s="98"/>
      <c r="B144" s="98"/>
      <c r="C144" s="98"/>
      <c r="D144" s="99"/>
      <c r="E144" s="108"/>
      <c r="F144" s="108"/>
      <c r="G144" s="108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100"/>
      <c r="BG144" s="100"/>
      <c r="BH144" s="100"/>
      <c r="BI144" s="100"/>
      <c r="BJ144" s="100"/>
      <c r="BK144" s="100"/>
      <c r="BL144" s="100"/>
      <c r="BM144" s="100"/>
      <c r="BN144" s="100"/>
      <c r="BO144" s="100"/>
      <c r="BP144" s="100"/>
      <c r="BQ144" s="100"/>
      <c r="BR144" s="100"/>
      <c r="BS144" s="100"/>
      <c r="BT144" s="100"/>
      <c r="BU144" s="100"/>
      <c r="BV144" s="100"/>
      <c r="BW144" s="100"/>
      <c r="BX144" s="100"/>
      <c r="BY144" s="100"/>
      <c r="BZ144" s="100"/>
      <c r="CA144" s="100"/>
      <c r="CB144" s="100"/>
      <c r="CC144" s="100"/>
      <c r="CD144" s="100"/>
      <c r="CE144" s="100"/>
      <c r="CF144" s="100"/>
      <c r="CG144" s="100"/>
      <c r="CH144" s="100"/>
      <c r="CI144" s="100"/>
      <c r="CJ144" s="100"/>
      <c r="CK144" s="100"/>
      <c r="CL144" s="100"/>
      <c r="CM144" s="100"/>
      <c r="CN144" s="100"/>
      <c r="CO144" s="100"/>
      <c r="CP144" s="100"/>
      <c r="CQ144" s="100"/>
      <c r="CR144" s="100"/>
      <c r="CS144" s="100"/>
      <c r="CT144" s="100"/>
      <c r="CU144" s="100"/>
      <c r="CV144" s="100"/>
      <c r="CW144" s="100"/>
      <c r="CX144" s="100"/>
      <c r="CY144" s="100"/>
      <c r="CZ144" s="100"/>
      <c r="DA144" s="100"/>
      <c r="DB144" s="100"/>
      <c r="DC144" s="100"/>
      <c r="DD144" s="100"/>
      <c r="DE144" s="100"/>
      <c r="DF144" s="100"/>
      <c r="DG144" s="100"/>
      <c r="DH144" s="114"/>
    </row>
    <row r="145" spans="1:226" s="74" customFormat="1" ht="52.5" customHeight="1" x14ac:dyDescent="0.3">
      <c r="A145" s="85" t="s">
        <v>0</v>
      </c>
      <c r="B145" s="85" t="s">
        <v>1</v>
      </c>
      <c r="C145" s="85" t="s">
        <v>217</v>
      </c>
      <c r="D145" s="86" t="s">
        <v>218</v>
      </c>
      <c r="E145" s="87" t="s">
        <v>233</v>
      </c>
      <c r="F145" s="87" t="s">
        <v>234</v>
      </c>
      <c r="G145" s="87" t="s">
        <v>235</v>
      </c>
      <c r="H145" s="87" t="s">
        <v>383</v>
      </c>
      <c r="I145" s="87" t="s">
        <v>382</v>
      </c>
      <c r="J145" s="87" t="s">
        <v>381</v>
      </c>
      <c r="K145" s="87" t="s">
        <v>380</v>
      </c>
      <c r="L145" s="87" t="s">
        <v>379</v>
      </c>
      <c r="M145" s="87" t="s">
        <v>378</v>
      </c>
      <c r="N145" s="87" t="s">
        <v>377</v>
      </c>
      <c r="O145" s="87" t="s">
        <v>394</v>
      </c>
      <c r="P145" s="87" t="s">
        <v>413</v>
      </c>
      <c r="Q145" s="87" t="s">
        <v>415</v>
      </c>
      <c r="R145" s="87" t="s">
        <v>417</v>
      </c>
      <c r="S145" s="87" t="s">
        <v>420</v>
      </c>
      <c r="T145" s="87" t="s">
        <v>421</v>
      </c>
      <c r="U145" s="87" t="s">
        <v>425</v>
      </c>
      <c r="V145" s="87" t="s">
        <v>426</v>
      </c>
      <c r="W145" s="87" t="s">
        <v>424</v>
      </c>
      <c r="X145" s="87" t="s">
        <v>437</v>
      </c>
      <c r="Y145" s="87" t="s">
        <v>439</v>
      </c>
      <c r="Z145" s="87" t="s">
        <v>447</v>
      </c>
      <c r="AA145" s="87" t="s">
        <v>458</v>
      </c>
      <c r="AB145" s="420" t="s">
        <v>459</v>
      </c>
      <c r="AC145" s="422"/>
      <c r="AD145" s="422"/>
      <c r="AE145" s="421"/>
      <c r="AF145" s="433" t="s">
        <v>462</v>
      </c>
      <c r="AG145" s="434"/>
      <c r="AH145" s="434"/>
      <c r="AI145" s="435"/>
      <c r="AJ145" s="420" t="s">
        <v>466</v>
      </c>
      <c r="AK145" s="422"/>
      <c r="AL145" s="422"/>
      <c r="AM145" s="421"/>
      <c r="AN145" s="433" t="s">
        <v>470</v>
      </c>
      <c r="AO145" s="434"/>
      <c r="AP145" s="434"/>
      <c r="AQ145" s="435"/>
      <c r="AR145" s="420" t="s">
        <v>478</v>
      </c>
      <c r="AS145" s="422"/>
      <c r="AT145" s="422"/>
      <c r="AU145" s="421"/>
      <c r="AV145" s="433" t="s">
        <v>483</v>
      </c>
      <c r="AW145" s="434"/>
      <c r="AX145" s="434"/>
      <c r="AY145" s="435"/>
      <c r="AZ145" s="436" t="s">
        <v>503</v>
      </c>
      <c r="BA145" s="436" t="s">
        <v>488</v>
      </c>
      <c r="BB145" s="436" t="s">
        <v>489</v>
      </c>
      <c r="BC145" s="436" t="s">
        <v>423</v>
      </c>
      <c r="BD145" s="436" t="s">
        <v>507</v>
      </c>
      <c r="BE145" s="436" t="s">
        <v>531</v>
      </c>
      <c r="BF145" s="437" t="s">
        <v>508</v>
      </c>
      <c r="BG145" s="437" t="s">
        <v>509</v>
      </c>
      <c r="BH145" s="420" t="s">
        <v>532</v>
      </c>
      <c r="BI145" s="422"/>
      <c r="BJ145" s="422"/>
      <c r="BK145" s="421"/>
      <c r="BL145" s="433" t="s">
        <v>539</v>
      </c>
      <c r="BM145" s="434"/>
      <c r="BN145" s="434"/>
      <c r="BO145" s="435"/>
      <c r="BP145" s="438" t="s">
        <v>538</v>
      </c>
      <c r="BQ145" s="420" t="s">
        <v>542</v>
      </c>
      <c r="BR145" s="422"/>
      <c r="BS145" s="422"/>
      <c r="BT145" s="421"/>
      <c r="BU145" s="438" t="s">
        <v>541</v>
      </c>
      <c r="BV145" s="420" t="s">
        <v>552</v>
      </c>
      <c r="BW145" s="422"/>
      <c r="BX145" s="422"/>
      <c r="BY145" s="421"/>
      <c r="BZ145" s="438" t="s">
        <v>553</v>
      </c>
      <c r="CA145" s="420" t="s">
        <v>578</v>
      </c>
      <c r="CB145" s="422"/>
      <c r="CC145" s="422"/>
      <c r="CD145" s="421"/>
      <c r="CE145" s="438" t="s">
        <v>579</v>
      </c>
      <c r="CF145" s="420" t="s">
        <v>581</v>
      </c>
      <c r="CG145" s="422"/>
      <c r="CH145" s="422"/>
      <c r="CI145" s="421"/>
      <c r="CJ145" s="438" t="s">
        <v>580</v>
      </c>
      <c r="CK145" s="420" t="s">
        <v>585</v>
      </c>
      <c r="CL145" s="422"/>
      <c r="CM145" s="422"/>
      <c r="CN145" s="421"/>
      <c r="CO145" s="438" t="s">
        <v>580</v>
      </c>
      <c r="CP145" s="420" t="s">
        <v>587</v>
      </c>
      <c r="CQ145" s="422"/>
      <c r="CR145" s="422"/>
      <c r="CS145" s="421"/>
      <c r="CT145" s="438" t="s">
        <v>588</v>
      </c>
      <c r="CU145" s="420" t="s">
        <v>590</v>
      </c>
      <c r="CV145" s="422"/>
      <c r="CW145" s="422"/>
      <c r="CX145" s="421"/>
      <c r="CY145" s="438" t="s">
        <v>591</v>
      </c>
      <c r="CZ145" s="294"/>
      <c r="DA145" s="294"/>
      <c r="DB145" s="294"/>
      <c r="DC145" s="95" t="s">
        <v>602</v>
      </c>
      <c r="DD145" s="95" t="s">
        <v>488</v>
      </c>
      <c r="DE145" s="95" t="s">
        <v>489</v>
      </c>
      <c r="DF145" s="95" t="s">
        <v>603</v>
      </c>
      <c r="DG145" s="95" t="s">
        <v>423</v>
      </c>
      <c r="DH145" s="85" t="s">
        <v>2</v>
      </c>
      <c r="DI145" s="427" t="s">
        <v>613</v>
      </c>
      <c r="DJ145" s="427"/>
      <c r="DK145" s="427"/>
      <c r="DL145" s="427"/>
      <c r="DM145" s="427"/>
      <c r="DN145" s="427"/>
      <c r="DO145" s="427"/>
      <c r="DP145" s="427"/>
      <c r="DQ145" s="423" t="s">
        <v>614</v>
      </c>
      <c r="DR145" s="424"/>
      <c r="DS145" s="424"/>
      <c r="DT145" s="424"/>
      <c r="DU145" s="425"/>
      <c r="DV145" s="87" t="s">
        <v>615</v>
      </c>
      <c r="DW145" s="423" t="s">
        <v>623</v>
      </c>
      <c r="DX145" s="424"/>
      <c r="DY145" s="424"/>
      <c r="DZ145" s="424"/>
      <c r="EA145" s="425"/>
      <c r="EB145" s="87" t="s">
        <v>624</v>
      </c>
      <c r="EC145" s="423" t="s">
        <v>627</v>
      </c>
      <c r="ED145" s="424"/>
      <c r="EE145" s="424"/>
      <c r="EF145" s="424"/>
      <c r="EG145" s="425"/>
      <c r="EH145" s="87" t="s">
        <v>628</v>
      </c>
      <c r="EI145" s="423" t="s">
        <v>631</v>
      </c>
      <c r="EJ145" s="424"/>
      <c r="EK145" s="424"/>
      <c r="EL145" s="424"/>
      <c r="EM145" s="425"/>
      <c r="EN145" s="87" t="s">
        <v>632</v>
      </c>
      <c r="EO145" s="423" t="s">
        <v>638</v>
      </c>
      <c r="EP145" s="424"/>
      <c r="EQ145" s="424"/>
      <c r="ER145" s="424"/>
      <c r="ES145" s="425"/>
      <c r="ET145" s="87" t="s">
        <v>637</v>
      </c>
      <c r="EU145" s="423" t="s">
        <v>641</v>
      </c>
      <c r="EV145" s="424"/>
      <c r="EW145" s="424"/>
      <c r="EX145" s="424"/>
      <c r="EY145" s="425"/>
      <c r="EZ145" s="87" t="s">
        <v>642</v>
      </c>
      <c r="FA145" s="423" t="s">
        <v>645</v>
      </c>
      <c r="FB145" s="424"/>
      <c r="FC145" s="424"/>
      <c r="FD145" s="424"/>
      <c r="FE145" s="425"/>
      <c r="FF145" s="87" t="s">
        <v>646</v>
      </c>
      <c r="FG145" s="423" t="s">
        <v>653</v>
      </c>
      <c r="FH145" s="424"/>
      <c r="FI145" s="424"/>
      <c r="FJ145" s="424"/>
      <c r="FK145" s="425"/>
      <c r="FL145" s="87" t="s">
        <v>654</v>
      </c>
      <c r="FM145" s="423" t="s">
        <v>662</v>
      </c>
      <c r="FN145" s="424"/>
      <c r="FO145" s="424"/>
      <c r="FP145" s="424"/>
      <c r="FQ145" s="425"/>
      <c r="FR145" s="87" t="s">
        <v>657</v>
      </c>
      <c r="FS145" s="423" t="s">
        <v>661</v>
      </c>
      <c r="FT145" s="424"/>
      <c r="FU145" s="424"/>
      <c r="FV145" s="424"/>
      <c r="FW145" s="425"/>
      <c r="FX145" s="87" t="s">
        <v>663</v>
      </c>
      <c r="FY145" s="423" t="s">
        <v>665</v>
      </c>
      <c r="FZ145" s="424"/>
      <c r="GA145" s="424"/>
      <c r="GB145" s="424"/>
      <c r="GC145" s="425"/>
      <c r="GD145" s="87" t="s">
        <v>666</v>
      </c>
      <c r="GE145" s="423" t="s">
        <v>668</v>
      </c>
      <c r="GF145" s="424"/>
      <c r="GG145" s="424"/>
      <c r="GH145" s="424"/>
      <c r="GI145" s="425"/>
      <c r="GJ145" s="87" t="s">
        <v>669</v>
      </c>
      <c r="GK145" s="423" t="s">
        <v>671</v>
      </c>
      <c r="GL145" s="424"/>
      <c r="GM145" s="424"/>
      <c r="GN145" s="424"/>
      <c r="GO145" s="425"/>
      <c r="GP145" s="87" t="s">
        <v>672</v>
      </c>
      <c r="GQ145" s="423" t="s">
        <v>674</v>
      </c>
      <c r="GR145" s="424"/>
      <c r="GS145" s="424"/>
      <c r="GT145" s="424"/>
      <c r="GU145" s="425"/>
      <c r="GV145" s="87" t="s">
        <v>675</v>
      </c>
      <c r="GW145" s="423" t="s">
        <v>696</v>
      </c>
      <c r="GX145" s="424"/>
      <c r="GY145" s="424"/>
      <c r="GZ145" s="424"/>
      <c r="HA145" s="425"/>
      <c r="HB145" s="87" t="s">
        <v>697</v>
      </c>
      <c r="HC145" s="85" t="s">
        <v>2</v>
      </c>
      <c r="HD145" s="6"/>
      <c r="HE145" s="439" t="s">
        <v>678</v>
      </c>
      <c r="HF145" s="439"/>
      <c r="HG145" s="439"/>
      <c r="HH145" s="439"/>
      <c r="HI145" s="439"/>
      <c r="HJ145" s="85" t="s">
        <v>2</v>
      </c>
      <c r="HK145" s="593" t="s">
        <v>698</v>
      </c>
      <c r="HL145" s="594"/>
      <c r="HM145" s="594"/>
      <c r="HN145" s="594"/>
      <c r="HO145" s="594"/>
      <c r="HP145" s="594"/>
      <c r="HQ145" s="594"/>
      <c r="HR145" s="594"/>
    </row>
    <row r="146" spans="1:226" s="74" customFormat="1" ht="31.2" thickBot="1" x14ac:dyDescent="0.35">
      <c r="A146" s="85"/>
      <c r="B146" s="446" t="s">
        <v>563</v>
      </c>
      <c r="C146" s="448"/>
      <c r="D146" s="447"/>
      <c r="E146" s="87"/>
      <c r="F146" s="87"/>
      <c r="G146" s="87"/>
      <c r="H146" s="88"/>
      <c r="I146" s="88"/>
      <c r="J146" s="294"/>
      <c r="K146" s="88"/>
      <c r="L146" s="87"/>
      <c r="M146" s="87"/>
      <c r="N146" s="87"/>
      <c r="O146" s="294"/>
      <c r="P146" s="294"/>
      <c r="Q146" s="294"/>
      <c r="R146" s="294"/>
      <c r="S146" s="294"/>
      <c r="T146" s="294"/>
      <c r="U146" s="294"/>
      <c r="V146" s="294"/>
      <c r="W146" s="294"/>
      <c r="X146" s="294"/>
      <c r="Y146" s="294"/>
      <c r="Z146" s="294"/>
      <c r="AA146" s="294"/>
      <c r="AB146" s="112" t="s">
        <v>234</v>
      </c>
      <c r="AC146" s="112" t="s">
        <v>454</v>
      </c>
      <c r="AD146" s="112" t="s">
        <v>455</v>
      </c>
      <c r="AE146" s="112" t="s">
        <v>456</v>
      </c>
      <c r="AF146" s="14" t="s">
        <v>234</v>
      </c>
      <c r="AG146" s="14" t="s">
        <v>454</v>
      </c>
      <c r="AH146" s="14" t="s">
        <v>455</v>
      </c>
      <c r="AI146" s="14" t="s">
        <v>456</v>
      </c>
      <c r="AJ146" s="112" t="s">
        <v>234</v>
      </c>
      <c r="AK146" s="112" t="s">
        <v>454</v>
      </c>
      <c r="AL146" s="112" t="s">
        <v>455</v>
      </c>
      <c r="AM146" s="112" t="s">
        <v>456</v>
      </c>
      <c r="AN146" s="14" t="s">
        <v>234</v>
      </c>
      <c r="AO146" s="14" t="s">
        <v>454</v>
      </c>
      <c r="AP146" s="14" t="s">
        <v>455</v>
      </c>
      <c r="AQ146" s="14" t="s">
        <v>456</v>
      </c>
      <c r="AR146" s="112" t="s">
        <v>234</v>
      </c>
      <c r="AS146" s="112" t="s">
        <v>454</v>
      </c>
      <c r="AT146" s="112" t="s">
        <v>455</v>
      </c>
      <c r="AU146" s="112" t="s">
        <v>456</v>
      </c>
      <c r="AV146" s="14" t="s">
        <v>234</v>
      </c>
      <c r="AW146" s="14" t="s">
        <v>454</v>
      </c>
      <c r="AX146" s="14" t="s">
        <v>455</v>
      </c>
      <c r="AY146" s="14" t="s">
        <v>456</v>
      </c>
      <c r="AZ146" s="443"/>
      <c r="BA146" s="443"/>
      <c r="BB146" s="443"/>
      <c r="BC146" s="443"/>
      <c r="BD146" s="443"/>
      <c r="BE146" s="443"/>
      <c r="BF146" s="444"/>
      <c r="BG146" s="444"/>
      <c r="BH146" s="112" t="s">
        <v>234</v>
      </c>
      <c r="BI146" s="112" t="s">
        <v>454</v>
      </c>
      <c r="BJ146" s="112" t="s">
        <v>455</v>
      </c>
      <c r="BK146" s="112" t="s">
        <v>456</v>
      </c>
      <c r="BL146" s="14" t="s">
        <v>234</v>
      </c>
      <c r="BM146" s="14" t="s">
        <v>454</v>
      </c>
      <c r="BN146" s="14" t="s">
        <v>455</v>
      </c>
      <c r="BO146" s="14" t="s">
        <v>456</v>
      </c>
      <c r="BP146" s="445"/>
      <c r="BQ146" s="112" t="s">
        <v>234</v>
      </c>
      <c r="BR146" s="112" t="s">
        <v>454</v>
      </c>
      <c r="BS146" s="112" t="s">
        <v>455</v>
      </c>
      <c r="BT146" s="112" t="s">
        <v>456</v>
      </c>
      <c r="BU146" s="445"/>
      <c r="BV146" s="112" t="s">
        <v>234</v>
      </c>
      <c r="BW146" s="112" t="s">
        <v>454</v>
      </c>
      <c r="BX146" s="112" t="s">
        <v>455</v>
      </c>
      <c r="BY146" s="112" t="s">
        <v>456</v>
      </c>
      <c r="BZ146" s="445"/>
      <c r="CA146" s="112" t="s">
        <v>234</v>
      </c>
      <c r="CB146" s="112" t="s">
        <v>454</v>
      </c>
      <c r="CC146" s="112" t="s">
        <v>455</v>
      </c>
      <c r="CD146" s="112" t="s">
        <v>456</v>
      </c>
      <c r="CE146" s="445"/>
      <c r="CF146" s="112" t="s">
        <v>234</v>
      </c>
      <c r="CG146" s="112" t="s">
        <v>454</v>
      </c>
      <c r="CH146" s="112" t="s">
        <v>455</v>
      </c>
      <c r="CI146" s="112" t="s">
        <v>456</v>
      </c>
      <c r="CJ146" s="445"/>
      <c r="CK146" s="112" t="s">
        <v>234</v>
      </c>
      <c r="CL146" s="112" t="s">
        <v>454</v>
      </c>
      <c r="CM146" s="112" t="s">
        <v>455</v>
      </c>
      <c r="CN146" s="112" t="s">
        <v>456</v>
      </c>
      <c r="CO146" s="445"/>
      <c r="CP146" s="112" t="s">
        <v>234</v>
      </c>
      <c r="CQ146" s="112" t="s">
        <v>454</v>
      </c>
      <c r="CR146" s="112" t="s">
        <v>455</v>
      </c>
      <c r="CS146" s="112" t="s">
        <v>456</v>
      </c>
      <c r="CT146" s="445"/>
      <c r="CU146" s="112" t="s">
        <v>234</v>
      </c>
      <c r="CV146" s="112" t="s">
        <v>454</v>
      </c>
      <c r="CW146" s="112" t="s">
        <v>455</v>
      </c>
      <c r="CX146" s="112" t="s">
        <v>456</v>
      </c>
      <c r="CY146" s="445"/>
      <c r="CZ146" s="295"/>
      <c r="DA146" s="295"/>
      <c r="DB146" s="295"/>
      <c r="DC146" s="95" t="s">
        <v>602</v>
      </c>
      <c r="DD146" s="95" t="s">
        <v>488</v>
      </c>
      <c r="DE146" s="95" t="s">
        <v>489</v>
      </c>
      <c r="DF146" s="95" t="s">
        <v>603</v>
      </c>
      <c r="DG146" s="95" t="s">
        <v>423</v>
      </c>
      <c r="DH146" s="89"/>
      <c r="DI146" s="90" t="s">
        <v>604</v>
      </c>
      <c r="DJ146" s="91" t="s">
        <v>605</v>
      </c>
      <c r="DK146" s="92" t="s">
        <v>606</v>
      </c>
      <c r="DL146" s="92" t="s">
        <v>607</v>
      </c>
      <c r="DM146" s="91" t="s">
        <v>608</v>
      </c>
      <c r="DN146" s="91" t="s">
        <v>609</v>
      </c>
      <c r="DO146" s="91" t="s">
        <v>611</v>
      </c>
      <c r="DP146" s="91" t="s">
        <v>610</v>
      </c>
      <c r="DQ146" s="112" t="s">
        <v>234</v>
      </c>
      <c r="DR146" s="112" t="s">
        <v>454</v>
      </c>
      <c r="DS146" s="112" t="s">
        <v>455</v>
      </c>
      <c r="DT146" s="93" t="s">
        <v>456</v>
      </c>
      <c r="DU146" s="94" t="s">
        <v>457</v>
      </c>
      <c r="DV146" s="87"/>
      <c r="DW146" s="112" t="s">
        <v>234</v>
      </c>
      <c r="DX146" s="112" t="s">
        <v>454</v>
      </c>
      <c r="DY146" s="112" t="s">
        <v>455</v>
      </c>
      <c r="DZ146" s="93" t="s">
        <v>456</v>
      </c>
      <c r="EA146" s="94" t="s">
        <v>457</v>
      </c>
      <c r="EB146" s="87"/>
      <c r="EC146" s="112" t="s">
        <v>234</v>
      </c>
      <c r="ED146" s="112" t="s">
        <v>454</v>
      </c>
      <c r="EE146" s="112" t="s">
        <v>455</v>
      </c>
      <c r="EF146" s="93" t="s">
        <v>456</v>
      </c>
      <c r="EG146" s="94" t="s">
        <v>457</v>
      </c>
      <c r="EH146" s="87"/>
      <c r="EI146" s="112" t="s">
        <v>234</v>
      </c>
      <c r="EJ146" s="112" t="s">
        <v>454</v>
      </c>
      <c r="EK146" s="112" t="s">
        <v>455</v>
      </c>
      <c r="EL146" s="93" t="s">
        <v>456</v>
      </c>
      <c r="EM146" s="94" t="s">
        <v>457</v>
      </c>
      <c r="EN146" s="87"/>
      <c r="EO146" s="112" t="s">
        <v>234</v>
      </c>
      <c r="EP146" s="112" t="s">
        <v>454</v>
      </c>
      <c r="EQ146" s="112" t="s">
        <v>455</v>
      </c>
      <c r="ER146" s="93" t="s">
        <v>456</v>
      </c>
      <c r="ES146" s="94" t="s">
        <v>457</v>
      </c>
      <c r="ET146" s="87"/>
      <c r="EU146" s="112" t="s">
        <v>234</v>
      </c>
      <c r="EV146" s="112" t="s">
        <v>454</v>
      </c>
      <c r="EW146" s="112" t="s">
        <v>455</v>
      </c>
      <c r="EX146" s="93" t="s">
        <v>456</v>
      </c>
      <c r="EY146" s="94" t="s">
        <v>457</v>
      </c>
      <c r="EZ146" s="87"/>
      <c r="FA146" s="112" t="s">
        <v>234</v>
      </c>
      <c r="FB146" s="112" t="s">
        <v>454</v>
      </c>
      <c r="FC146" s="112" t="s">
        <v>455</v>
      </c>
      <c r="FD146" s="93" t="s">
        <v>456</v>
      </c>
      <c r="FE146" s="94" t="s">
        <v>457</v>
      </c>
      <c r="FF146" s="87"/>
      <c r="FG146" s="112" t="s">
        <v>234</v>
      </c>
      <c r="FH146" s="112" t="s">
        <v>454</v>
      </c>
      <c r="FI146" s="112" t="s">
        <v>455</v>
      </c>
      <c r="FJ146" s="93" t="s">
        <v>456</v>
      </c>
      <c r="FK146" s="94" t="s">
        <v>457</v>
      </c>
      <c r="FL146" s="87"/>
      <c r="FM146" s="112" t="s">
        <v>234</v>
      </c>
      <c r="FN146" s="112" t="s">
        <v>454</v>
      </c>
      <c r="FO146" s="112" t="s">
        <v>455</v>
      </c>
      <c r="FP146" s="93" t="s">
        <v>456</v>
      </c>
      <c r="FQ146" s="94" t="s">
        <v>457</v>
      </c>
      <c r="FR146" s="87"/>
      <c r="FS146" s="112" t="s">
        <v>234</v>
      </c>
      <c r="FT146" s="112" t="s">
        <v>454</v>
      </c>
      <c r="FU146" s="112" t="s">
        <v>455</v>
      </c>
      <c r="FV146" s="93" t="s">
        <v>456</v>
      </c>
      <c r="FW146" s="94" t="s">
        <v>457</v>
      </c>
      <c r="FX146" s="87"/>
      <c r="FY146" s="112" t="s">
        <v>234</v>
      </c>
      <c r="FZ146" s="112" t="s">
        <v>454</v>
      </c>
      <c r="GA146" s="112" t="s">
        <v>455</v>
      </c>
      <c r="GB146" s="93" t="s">
        <v>456</v>
      </c>
      <c r="GC146" s="94" t="s">
        <v>457</v>
      </c>
      <c r="GD146" s="87"/>
      <c r="GE146" s="112" t="s">
        <v>234</v>
      </c>
      <c r="GF146" s="112" t="s">
        <v>454</v>
      </c>
      <c r="GG146" s="112" t="s">
        <v>455</v>
      </c>
      <c r="GH146" s="93" t="s">
        <v>456</v>
      </c>
      <c r="GI146" s="94" t="s">
        <v>457</v>
      </c>
      <c r="GJ146" s="87"/>
      <c r="GK146" s="112" t="s">
        <v>234</v>
      </c>
      <c r="GL146" s="112" t="s">
        <v>454</v>
      </c>
      <c r="GM146" s="112" t="s">
        <v>455</v>
      </c>
      <c r="GN146" s="93" t="s">
        <v>456</v>
      </c>
      <c r="GO146" s="94" t="s">
        <v>457</v>
      </c>
      <c r="GP146" s="87"/>
      <c r="GQ146" s="112" t="s">
        <v>234</v>
      </c>
      <c r="GR146" s="112" t="s">
        <v>454</v>
      </c>
      <c r="GS146" s="112" t="s">
        <v>455</v>
      </c>
      <c r="GT146" s="93" t="s">
        <v>456</v>
      </c>
      <c r="GU146" s="94" t="s">
        <v>457</v>
      </c>
      <c r="GV146" s="87"/>
      <c r="GW146" s="112" t="s">
        <v>234</v>
      </c>
      <c r="GX146" s="112" t="s">
        <v>454</v>
      </c>
      <c r="GY146" s="112" t="s">
        <v>455</v>
      </c>
      <c r="GZ146" s="93" t="s">
        <v>456</v>
      </c>
      <c r="HA146" s="94" t="s">
        <v>457</v>
      </c>
      <c r="HB146" s="87"/>
      <c r="HC146" s="85"/>
      <c r="HD146" s="6"/>
      <c r="HE146" s="95" t="s">
        <v>679</v>
      </c>
      <c r="HF146" s="95" t="s">
        <v>488</v>
      </c>
      <c r="HG146" s="220" t="s">
        <v>489</v>
      </c>
      <c r="HH146" s="95" t="s">
        <v>603</v>
      </c>
      <c r="HI146" s="95" t="s">
        <v>423</v>
      </c>
      <c r="HJ146" s="85"/>
      <c r="HK146" s="90" t="s">
        <v>680</v>
      </c>
      <c r="HL146" s="91" t="s">
        <v>681</v>
      </c>
      <c r="HM146" s="92" t="s">
        <v>606</v>
      </c>
      <c r="HN146" s="92" t="s">
        <v>607</v>
      </c>
      <c r="HO146" s="91" t="s">
        <v>608</v>
      </c>
      <c r="HP146" s="91" t="s">
        <v>609</v>
      </c>
      <c r="HQ146" s="92" t="s">
        <v>456</v>
      </c>
      <c r="HR146" s="91" t="s">
        <v>610</v>
      </c>
    </row>
    <row r="147" spans="1:226" x14ac:dyDescent="0.3">
      <c r="A147" s="65">
        <v>1</v>
      </c>
      <c r="B147" s="212" t="s">
        <v>533</v>
      </c>
      <c r="C147" s="174" t="s">
        <v>92</v>
      </c>
      <c r="D147" s="175" t="s">
        <v>93</v>
      </c>
      <c r="E147" s="72">
        <v>500</v>
      </c>
      <c r="F147" s="66">
        <v>23712</v>
      </c>
      <c r="G147" s="66">
        <v>50</v>
      </c>
      <c r="H147" s="67"/>
      <c r="I147" s="67">
        <v>24262</v>
      </c>
      <c r="J147" s="67">
        <f>E147+F147+G147</f>
        <v>24262</v>
      </c>
      <c r="K147" s="67"/>
      <c r="L147" s="67" t="e">
        <f>'Detail Up 1st July,2023'!#REF!</f>
        <v>#REF!</v>
      </c>
      <c r="M147" s="68">
        <v>24212</v>
      </c>
      <c r="N147" s="68">
        <v>24212</v>
      </c>
      <c r="O147" s="69">
        <v>24212</v>
      </c>
      <c r="P147" s="69">
        <v>24212</v>
      </c>
      <c r="Q147" s="69">
        <v>24212</v>
      </c>
      <c r="R147" s="69">
        <v>24212</v>
      </c>
      <c r="S147" s="69">
        <v>24212</v>
      </c>
      <c r="T147" s="69">
        <v>24212</v>
      </c>
      <c r="U147" s="69">
        <f>T147*5%</f>
        <v>1210.6000000000001</v>
      </c>
      <c r="V147" s="69">
        <f>T147+U147</f>
        <v>25422.6</v>
      </c>
      <c r="W147" s="69">
        <v>25424</v>
      </c>
      <c r="X147" s="69">
        <v>25424</v>
      </c>
      <c r="Y147" s="69">
        <v>25424</v>
      </c>
      <c r="Z147" s="69">
        <v>25424</v>
      </c>
      <c r="AA147" s="69">
        <f>25424+50</f>
        <v>25474</v>
      </c>
      <c r="AB147" s="66">
        <v>24924</v>
      </c>
      <c r="AC147" s="66">
        <v>500</v>
      </c>
      <c r="AD147" s="66">
        <v>50</v>
      </c>
      <c r="AE147" s="69">
        <f>AD147+AC147+AB147</f>
        <v>25474</v>
      </c>
      <c r="AF147" s="66">
        <v>24924</v>
      </c>
      <c r="AG147" s="66">
        <v>500</v>
      </c>
      <c r="AH147" s="66">
        <v>50</v>
      </c>
      <c r="AI147" s="69">
        <f>AH147+AG147+AF147</f>
        <v>25474</v>
      </c>
      <c r="AJ147" s="66">
        <v>24924</v>
      </c>
      <c r="AK147" s="66">
        <v>500</v>
      </c>
      <c r="AL147" s="66">
        <v>50</v>
      </c>
      <c r="AM147" s="69">
        <f>AL147+AK147+AJ147</f>
        <v>25474</v>
      </c>
      <c r="AN147" s="66">
        <v>24924</v>
      </c>
      <c r="AO147" s="66">
        <v>500</v>
      </c>
      <c r="AP147" s="66">
        <v>50</v>
      </c>
      <c r="AQ147" s="70">
        <f>AP147+AO147+AN147</f>
        <v>25474</v>
      </c>
      <c r="AR147" s="71">
        <v>24924</v>
      </c>
      <c r="AS147" s="72">
        <v>500</v>
      </c>
      <c r="AT147" s="66">
        <v>50</v>
      </c>
      <c r="AU147" s="73">
        <f t="shared" ref="AU147:AU153" si="548">AT147+AS147+AR147</f>
        <v>25474</v>
      </c>
      <c r="AV147" s="66">
        <f>AR147</f>
        <v>24924</v>
      </c>
      <c r="AW147" s="66">
        <v>500</v>
      </c>
      <c r="AX147" s="66">
        <v>50</v>
      </c>
      <c r="AY147" s="69">
        <f>AX147+AW147+AV147</f>
        <v>25474</v>
      </c>
      <c r="AZ147" s="8">
        <f>AY147*5%</f>
        <v>1273.7</v>
      </c>
      <c r="BA147" s="8">
        <v>0.7</v>
      </c>
      <c r="BB147" s="8">
        <f>AZ147-BA147</f>
        <v>1273</v>
      </c>
      <c r="BC147" s="8">
        <f>BB147+AY147</f>
        <v>26747</v>
      </c>
      <c r="BD147" s="8">
        <v>27</v>
      </c>
      <c r="BE147" s="8">
        <f>BD147+BC147</f>
        <v>26774</v>
      </c>
      <c r="BF147" s="10">
        <f>BE147-AY147</f>
        <v>1300</v>
      </c>
      <c r="BG147" s="11">
        <f>BF147-BB147</f>
        <v>27</v>
      </c>
      <c r="BH147" s="9">
        <v>26197</v>
      </c>
      <c r="BI147" s="9">
        <v>500</v>
      </c>
      <c r="BJ147" s="52">
        <f>50</f>
        <v>50</v>
      </c>
      <c r="BK147" s="319">
        <f t="shared" ref="BK147:BK153" si="549">BJ147+BI147+BH147</f>
        <v>26747</v>
      </c>
      <c r="BL147" s="319">
        <v>26197</v>
      </c>
      <c r="BM147" s="319">
        <v>500</v>
      </c>
      <c r="BN147" s="54">
        <v>50</v>
      </c>
      <c r="BO147" s="319">
        <f t="shared" ref="BO147:BO153" si="550">BN147+BM147+BL147</f>
        <v>26747</v>
      </c>
      <c r="BP147" s="319">
        <f t="shared" ref="BP147:BP153" si="551">BO147-BK147</f>
        <v>0</v>
      </c>
      <c r="BQ147" s="319">
        <v>26197</v>
      </c>
      <c r="BR147" s="319">
        <v>500</v>
      </c>
      <c r="BS147" s="54">
        <v>50</v>
      </c>
      <c r="BT147" s="319">
        <f t="shared" ref="BT147:BT153" si="552">BS147+BR147+BQ147</f>
        <v>26747</v>
      </c>
      <c r="BU147" s="319">
        <f t="shared" ref="BU147:BU153" si="553">BT147-BO147</f>
        <v>0</v>
      </c>
      <c r="BV147" s="9">
        <v>26197</v>
      </c>
      <c r="BW147" s="9">
        <v>500</v>
      </c>
      <c r="BX147" s="52">
        <v>50</v>
      </c>
      <c r="BY147" s="319">
        <f t="shared" ref="BY147:BY153" si="554">BX147+BW147+BV147</f>
        <v>26747</v>
      </c>
      <c r="BZ147" s="319">
        <f t="shared" ref="BZ147:BZ153" si="555">BY147-BT147</f>
        <v>0</v>
      </c>
      <c r="CA147" s="9">
        <v>26197</v>
      </c>
      <c r="CB147" s="9">
        <v>500</v>
      </c>
      <c r="CC147" s="52">
        <v>50</v>
      </c>
      <c r="CD147" s="319">
        <f t="shared" ref="CD147:CD153" si="556">CC147+CB147+CA147</f>
        <v>26747</v>
      </c>
      <c r="CE147" s="319">
        <f t="shared" ref="CE147:CE153" si="557">CD147-BY147</f>
        <v>0</v>
      </c>
      <c r="CF147" s="9">
        <v>26197</v>
      </c>
      <c r="CG147" s="9">
        <v>500</v>
      </c>
      <c r="CH147" s="52">
        <v>50</v>
      </c>
      <c r="CI147" s="319">
        <f t="shared" ref="CI147:CI153" si="558">CH147+CG147+CF147</f>
        <v>26747</v>
      </c>
      <c r="CJ147" s="319">
        <f t="shared" ref="CJ147:CJ153" si="559">CI147-CD147</f>
        <v>0</v>
      </c>
      <c r="CK147" s="9">
        <v>26197</v>
      </c>
      <c r="CL147" s="9">
        <v>500</v>
      </c>
      <c r="CM147" s="52">
        <v>50</v>
      </c>
      <c r="CN147" s="319">
        <f t="shared" ref="CN147:CN153" si="560">CM147+CL147+CK147</f>
        <v>26747</v>
      </c>
      <c r="CO147" s="319">
        <f t="shared" ref="CO147:CO153" si="561">CN147-CI147</f>
        <v>0</v>
      </c>
      <c r="CP147" s="9">
        <v>26197</v>
      </c>
      <c r="CQ147" s="9">
        <v>500</v>
      </c>
      <c r="CR147" s="52">
        <v>50</v>
      </c>
      <c r="CS147" s="319">
        <f t="shared" ref="CS147:CS153" si="562">CR147+CQ147+CP147</f>
        <v>26747</v>
      </c>
      <c r="CT147" s="319">
        <f t="shared" ref="CT147:CT153" si="563">CS147-CN147</f>
        <v>0</v>
      </c>
      <c r="CU147" s="9">
        <v>26197</v>
      </c>
      <c r="CV147" s="9">
        <v>500</v>
      </c>
      <c r="CW147" s="52">
        <v>50</v>
      </c>
      <c r="CX147" s="319">
        <f t="shared" ref="CX147:CX153" si="564">CW147+CV147+CU147</f>
        <v>26747</v>
      </c>
      <c r="CY147" s="319">
        <f t="shared" ref="CY147:CY153" si="565">CX147-CS147</f>
        <v>0</v>
      </c>
      <c r="CZ147" s="319">
        <f>CU147*0.1</f>
        <v>2619.7000000000003</v>
      </c>
      <c r="DA147" s="319">
        <f>CV147*0.1</f>
        <v>50</v>
      </c>
      <c r="DB147" s="319">
        <f>CW147*0.1</f>
        <v>5</v>
      </c>
      <c r="DC147" s="12">
        <f>DB147+DA147+CZ147</f>
        <v>2674.7000000000003</v>
      </c>
      <c r="DD147" s="12">
        <v>0.7</v>
      </c>
      <c r="DE147" s="13">
        <f t="shared" ref="DE147:DE153" si="566">DC147-DD147</f>
        <v>2674.0000000000005</v>
      </c>
      <c r="DF147" s="14">
        <f t="shared" ref="DF147:DF153" si="567">DE147:DE147</f>
        <v>2674.0000000000005</v>
      </c>
      <c r="DG147" s="13">
        <f t="shared" ref="DG147:DG153" si="568">DE147+CX147</f>
        <v>29421</v>
      </c>
      <c r="DH147" s="15">
        <f t="shared" ref="DH147:DH153" si="569">100/1278396949*CX147</f>
        <v>2.0922296490868734E-3</v>
      </c>
      <c r="DI147" s="16">
        <f t="shared" ref="DI147:DI153" si="570">CX147</f>
        <v>26747</v>
      </c>
      <c r="DJ147" s="132">
        <f>DI147*1.1</f>
        <v>29421.7</v>
      </c>
      <c r="DK147" s="17">
        <f>DJ147-DI147</f>
        <v>2674.7000000000007</v>
      </c>
      <c r="DL147" s="17">
        <f t="shared" ref="DL147:DL153" si="571">DD147</f>
        <v>0.7</v>
      </c>
      <c r="DM147" s="16">
        <f>DK147-DL147</f>
        <v>2674.0000000000009</v>
      </c>
      <c r="DN147" s="16">
        <f t="shared" ref="DN147:DN153" si="572">DM147-DE147</f>
        <v>0</v>
      </c>
      <c r="DO147" s="16">
        <f>DM147+DI147</f>
        <v>29421</v>
      </c>
      <c r="DP147" s="56">
        <f t="shared" ref="DP147:DP153" si="573">DO147-DG147</f>
        <v>0</v>
      </c>
      <c r="DQ147" s="9">
        <v>28816</v>
      </c>
      <c r="DR147" s="18" t="s">
        <v>621</v>
      </c>
      <c r="DS147" s="52">
        <f>50+55</f>
        <v>105</v>
      </c>
      <c r="DT147" s="324">
        <f>DQ147+DR147+DS147</f>
        <v>29421</v>
      </c>
      <c r="DU147" s="321">
        <f>DT147</f>
        <v>29421</v>
      </c>
      <c r="DV147" s="19">
        <f>DT147-DG147</f>
        <v>0</v>
      </c>
      <c r="DW147" s="9">
        <v>28871</v>
      </c>
      <c r="DX147" s="18" t="s">
        <v>621</v>
      </c>
      <c r="DY147" s="52">
        <v>50</v>
      </c>
      <c r="DZ147" s="324">
        <f>DW147+DX147+DY147</f>
        <v>29421</v>
      </c>
      <c r="EA147" s="321">
        <f>DZ147</f>
        <v>29421</v>
      </c>
      <c r="EB147" s="179">
        <f t="shared" ref="EB147:EB153" si="574">DZ147-DT147</f>
        <v>0</v>
      </c>
      <c r="EC147" s="9">
        <v>28871</v>
      </c>
      <c r="ED147" s="18" t="s">
        <v>621</v>
      </c>
      <c r="EE147" s="52">
        <v>50</v>
      </c>
      <c r="EF147" s="324">
        <f>EC147+ED147+EE147</f>
        <v>29421</v>
      </c>
      <c r="EG147" s="321">
        <f>EF147</f>
        <v>29421</v>
      </c>
      <c r="EH147" s="179">
        <f t="shared" ref="EH147:EH153" si="575">EF147-DZ147</f>
        <v>0</v>
      </c>
      <c r="EI147" s="9">
        <v>28871</v>
      </c>
      <c r="EJ147" s="18" t="s">
        <v>621</v>
      </c>
      <c r="EK147" s="52">
        <v>50</v>
      </c>
      <c r="EL147" s="324">
        <f>EI147+EJ147+EK147</f>
        <v>29421</v>
      </c>
      <c r="EM147" s="321">
        <f>EL147</f>
        <v>29421</v>
      </c>
      <c r="EN147" s="179">
        <f t="shared" ref="EN147:EN153" si="576">EL147-EF147</f>
        <v>0</v>
      </c>
      <c r="EO147" s="9">
        <v>28871</v>
      </c>
      <c r="EP147" s="9">
        <v>500</v>
      </c>
      <c r="EQ147" s="52">
        <v>50</v>
      </c>
      <c r="ER147" s="324">
        <f>EO147+EP147+EQ147</f>
        <v>29421</v>
      </c>
      <c r="ES147" s="321">
        <f>ER147</f>
        <v>29421</v>
      </c>
      <c r="ET147" s="179">
        <f t="shared" ref="ET147:ET153" si="577">ER147-EL147</f>
        <v>0</v>
      </c>
      <c r="EU147" s="9">
        <v>28871</v>
      </c>
      <c r="EV147" s="9">
        <v>500</v>
      </c>
      <c r="EW147" s="52">
        <v>50</v>
      </c>
      <c r="EX147" s="324">
        <f>EU147+EV147+EW147</f>
        <v>29421</v>
      </c>
      <c r="EY147" s="321">
        <f>EX147</f>
        <v>29421</v>
      </c>
      <c r="EZ147" s="179">
        <f t="shared" ref="EZ147:EZ153" si="578">EX147-ER147</f>
        <v>0</v>
      </c>
      <c r="FA147" s="9">
        <v>28871</v>
      </c>
      <c r="FB147" s="9">
        <v>500</v>
      </c>
      <c r="FC147" s="52">
        <v>50</v>
      </c>
      <c r="FD147" s="324">
        <f>FA147+FB147+FC147</f>
        <v>29421</v>
      </c>
      <c r="FE147" s="321">
        <f>FD147</f>
        <v>29421</v>
      </c>
      <c r="FF147" s="179">
        <f t="shared" ref="FF147:FF153" si="579">FD147-EX147</f>
        <v>0</v>
      </c>
      <c r="FG147" s="9">
        <v>28871</v>
      </c>
      <c r="FH147" s="9">
        <v>500</v>
      </c>
      <c r="FI147" s="52">
        <v>50</v>
      </c>
      <c r="FJ147" s="324">
        <f>FG147+FH147+FI147</f>
        <v>29421</v>
      </c>
      <c r="FK147" s="321">
        <f>FJ147</f>
        <v>29421</v>
      </c>
      <c r="FL147" s="179">
        <f t="shared" ref="FL147:FL153" si="580">FJ147-FD147</f>
        <v>0</v>
      </c>
      <c r="FM147" s="4">
        <v>28871</v>
      </c>
      <c r="FN147" s="4">
        <v>500</v>
      </c>
      <c r="FO147" s="52">
        <v>50</v>
      </c>
      <c r="FP147" s="324">
        <f>FM147+FN147+FO147</f>
        <v>29421</v>
      </c>
      <c r="FQ147" s="321">
        <f>FP147</f>
        <v>29421</v>
      </c>
      <c r="FR147" s="179">
        <f t="shared" ref="FR147:FR153" si="581">FP147-FJ147</f>
        <v>0</v>
      </c>
      <c r="FS147" s="4">
        <v>28871</v>
      </c>
      <c r="FT147" s="4">
        <v>500</v>
      </c>
      <c r="FU147" s="52">
        <v>50</v>
      </c>
      <c r="FV147" s="324">
        <f>FS147+FT147+FU147</f>
        <v>29421</v>
      </c>
      <c r="FW147" s="321">
        <f>FV147</f>
        <v>29421</v>
      </c>
      <c r="FX147" s="179">
        <f t="shared" ref="FX147:FX153" si="582">FV147-FP147</f>
        <v>0</v>
      </c>
      <c r="FY147" s="4">
        <v>28871</v>
      </c>
      <c r="FZ147" s="4">
        <v>500</v>
      </c>
      <c r="GA147" s="52">
        <v>50</v>
      </c>
      <c r="GB147" s="324">
        <f>FY147+FZ147+GA147</f>
        <v>29421</v>
      </c>
      <c r="GC147" s="321">
        <f>GB147</f>
        <v>29421</v>
      </c>
      <c r="GD147" s="179">
        <f t="shared" ref="GD147:GD153" si="583">GB147-FV147</f>
        <v>0</v>
      </c>
      <c r="GE147" s="9">
        <v>28871</v>
      </c>
      <c r="GF147" s="9">
        <v>500</v>
      </c>
      <c r="GG147" s="52">
        <v>50</v>
      </c>
      <c r="GH147" s="324">
        <f>GE147+GF147+GG147</f>
        <v>29421</v>
      </c>
      <c r="GI147" s="321">
        <f>GH147</f>
        <v>29421</v>
      </c>
      <c r="GJ147" s="179">
        <f t="shared" ref="GJ147:GJ153" si="584">GH147-GB147</f>
        <v>0</v>
      </c>
      <c r="GK147" s="9">
        <v>28871</v>
      </c>
      <c r="GL147" s="9">
        <v>500</v>
      </c>
      <c r="GM147" s="52">
        <v>50</v>
      </c>
      <c r="GN147" s="324">
        <f>GK147+GL147+GM147</f>
        <v>29421</v>
      </c>
      <c r="GO147" s="321">
        <f>GN147</f>
        <v>29421</v>
      </c>
      <c r="GP147" s="179">
        <f t="shared" ref="GP147:GP153" si="585">GN147-GH147</f>
        <v>0</v>
      </c>
      <c r="GQ147" s="9">
        <v>28871</v>
      </c>
      <c r="GR147" s="9">
        <v>500</v>
      </c>
      <c r="GS147" s="52">
        <v>50</v>
      </c>
      <c r="GT147" s="324">
        <f>GQ147+GR147+GS147</f>
        <v>29421</v>
      </c>
      <c r="GU147" s="321">
        <f>GT147</f>
        <v>29421</v>
      </c>
      <c r="GV147" s="179">
        <f t="shared" ref="GV147:GV153" si="586">GT147-GN147</f>
        <v>0</v>
      </c>
      <c r="GW147" s="9">
        <v>30314</v>
      </c>
      <c r="GX147" s="9">
        <v>500</v>
      </c>
      <c r="GY147" s="52">
        <f>50+27</f>
        <v>77</v>
      </c>
      <c r="GZ147" s="324">
        <f>GW147+GX147+GY147</f>
        <v>30891</v>
      </c>
      <c r="HA147" s="321">
        <f>GZ147</f>
        <v>30891</v>
      </c>
      <c r="HB147" s="179">
        <f t="shared" ref="HB147:HB153" si="587">GZ147-GT147</f>
        <v>1470</v>
      </c>
      <c r="HC147" s="102">
        <f t="shared" ref="HC147:HC153" si="588">100/1406236643.9*GT147</f>
        <v>2.0921798708363184E-3</v>
      </c>
      <c r="HD147" s="285">
        <f t="shared" ref="HD147:HD153" si="589">HB147-HO147</f>
        <v>-1.0000000000027285</v>
      </c>
      <c r="HE147" s="12">
        <f t="shared" ref="HE147:HE153" si="590">GT147*0.05</f>
        <v>1471.0500000000002</v>
      </c>
      <c r="HF147" s="12">
        <f t="shared" ref="HF147:HF153" si="591">IF(ISNUMBER(HE147), HE147-INT(HE147), "")</f>
        <v>5.0000000000181899E-2</v>
      </c>
      <c r="HG147" s="12">
        <f t="shared" ref="HG147:HG153" si="592">HE147-HF147</f>
        <v>1471</v>
      </c>
      <c r="HH147" s="14">
        <f t="shared" ref="HH147:HH153" si="593">HG147:HG147</f>
        <v>1471</v>
      </c>
      <c r="HI147" s="13">
        <f t="shared" ref="HI147:HI153" si="594">HG147+GT147</f>
        <v>30892</v>
      </c>
      <c r="HJ147" s="102">
        <f t="shared" ref="HJ147:HJ153" si="595">100/1406236643.9*HI147</f>
        <v>2.1967853087888089E-3</v>
      </c>
      <c r="HK147" s="16">
        <f t="shared" ref="HK147:HK153" si="596">GT147</f>
        <v>29421</v>
      </c>
      <c r="HL147" s="103">
        <f t="shared" ref="HL147:HL153" si="597">HK147*1.05</f>
        <v>30892.050000000003</v>
      </c>
      <c r="HM147" s="103">
        <f t="shared" ref="HM147:HM153" si="598">HL147-HK147</f>
        <v>1471.0500000000029</v>
      </c>
      <c r="HN147" s="17">
        <f t="shared" ref="HN147:HN153" si="599">HF147</f>
        <v>5.0000000000181899E-2</v>
      </c>
      <c r="HO147" s="56">
        <f t="shared" ref="HO147:HO153" si="600">HM147-HN147</f>
        <v>1471.0000000000027</v>
      </c>
      <c r="HP147" s="16">
        <f t="shared" ref="HP147:HP153" si="601">HO147-HG147</f>
        <v>2.7284841053187847E-12</v>
      </c>
      <c r="HQ147" s="16">
        <f t="shared" ref="HQ147:HQ153" si="602">HO147+HK147</f>
        <v>30892.000000000004</v>
      </c>
      <c r="HR147" s="16">
        <f t="shared" ref="HR147:HR153" si="603">HQ147-HI147</f>
        <v>0</v>
      </c>
    </row>
    <row r="148" spans="1:226" x14ac:dyDescent="0.3">
      <c r="A148" s="65">
        <v>2</v>
      </c>
      <c r="B148" s="213"/>
      <c r="C148" s="65" t="s">
        <v>259</v>
      </c>
      <c r="D148" s="176" t="s">
        <v>94</v>
      </c>
      <c r="E148" s="72">
        <v>0</v>
      </c>
      <c r="F148" s="66">
        <v>12825370</v>
      </c>
      <c r="G148" s="66">
        <v>0</v>
      </c>
      <c r="H148" s="67"/>
      <c r="I148" s="67">
        <v>12825370</v>
      </c>
      <c r="J148" s="67">
        <v>12825370</v>
      </c>
      <c r="K148" s="67"/>
      <c r="L148" s="67">
        <v>12825370</v>
      </c>
      <c r="M148" s="68">
        <v>12825370</v>
      </c>
      <c r="N148" s="68">
        <v>12825370</v>
      </c>
      <c r="O148" s="69">
        <v>12825370</v>
      </c>
      <c r="P148" s="69">
        <v>12825370</v>
      </c>
      <c r="Q148" s="69">
        <v>12825370</v>
      </c>
      <c r="R148" s="69">
        <v>12825370</v>
      </c>
      <c r="S148" s="69">
        <v>12825370</v>
      </c>
      <c r="T148" s="69">
        <v>12825370</v>
      </c>
      <c r="U148" s="69">
        <f>T148*5%</f>
        <v>641268.5</v>
      </c>
      <c r="V148" s="69">
        <f>T148+U148</f>
        <v>13466638.5</v>
      </c>
      <c r="W148" s="69">
        <v>13466638</v>
      </c>
      <c r="X148" s="69">
        <v>13466638</v>
      </c>
      <c r="Y148" s="69">
        <v>13466638</v>
      </c>
      <c r="Z148" s="69">
        <v>13466638</v>
      </c>
      <c r="AA148" s="69">
        <v>13466638</v>
      </c>
      <c r="AB148" s="69">
        <v>13466638</v>
      </c>
      <c r="AC148" s="66">
        <v>0</v>
      </c>
      <c r="AD148" s="66">
        <v>0</v>
      </c>
      <c r="AE148" s="69">
        <f>AD148+AC148+AB148</f>
        <v>13466638</v>
      </c>
      <c r="AF148" s="69">
        <v>13466638</v>
      </c>
      <c r="AG148" s="66">
        <v>0</v>
      </c>
      <c r="AH148" s="66">
        <v>0</v>
      </c>
      <c r="AI148" s="69">
        <f>AH148+AG148+AF148</f>
        <v>13466638</v>
      </c>
      <c r="AJ148" s="69">
        <v>13466638</v>
      </c>
      <c r="AK148" s="66">
        <v>0</v>
      </c>
      <c r="AL148" s="66">
        <v>0</v>
      </c>
      <c r="AM148" s="69">
        <f>AL148+AK148+AJ148</f>
        <v>13466638</v>
      </c>
      <c r="AN148" s="69">
        <v>13466638</v>
      </c>
      <c r="AO148" s="66">
        <v>0</v>
      </c>
      <c r="AP148" s="66">
        <v>0</v>
      </c>
      <c r="AQ148" s="70">
        <f>AP148+AO148+AN148</f>
        <v>13466638</v>
      </c>
      <c r="AR148" s="75">
        <v>13466638</v>
      </c>
      <c r="AS148" s="72">
        <v>0</v>
      </c>
      <c r="AT148" s="66">
        <v>0</v>
      </c>
      <c r="AU148" s="73">
        <f t="shared" si="548"/>
        <v>13466638</v>
      </c>
      <c r="AV148" s="66">
        <f t="shared" ref="AV148:AV153" si="604">AR148</f>
        <v>13466638</v>
      </c>
      <c r="AW148" s="66">
        <v>0</v>
      </c>
      <c r="AX148" s="66">
        <v>0</v>
      </c>
      <c r="AY148" s="69">
        <f t="shared" ref="AY148:AY153" si="605">AX148+AW148+AV148</f>
        <v>13466638</v>
      </c>
      <c r="AZ148" s="8">
        <f t="shared" ref="AZ148:AZ153" si="606">AY148*5%</f>
        <v>673331.9</v>
      </c>
      <c r="BA148" s="8">
        <v>0.9</v>
      </c>
      <c r="BB148" s="8">
        <f t="shared" ref="BB148:BB153" si="607">AZ148-BA148</f>
        <v>673331</v>
      </c>
      <c r="BC148" s="8">
        <f t="shared" ref="BC148:BC153" si="608">BB148+AY148</f>
        <v>14139969</v>
      </c>
      <c r="BD148" s="8"/>
      <c r="BE148" s="8">
        <f t="shared" ref="BE148:BE153" si="609">BD148+BC148</f>
        <v>14139969</v>
      </c>
      <c r="BF148" s="10">
        <f t="shared" ref="BF148:BF153" si="610">BE148-AY148</f>
        <v>673331</v>
      </c>
      <c r="BG148" s="11">
        <f t="shared" ref="BG148:BG153" si="611">BF148-BB148</f>
        <v>0</v>
      </c>
      <c r="BH148" s="319">
        <v>14139969</v>
      </c>
      <c r="BI148" s="319">
        <v>0</v>
      </c>
      <c r="BJ148" s="319">
        <v>0</v>
      </c>
      <c r="BK148" s="319">
        <f t="shared" si="549"/>
        <v>14139969</v>
      </c>
      <c r="BL148" s="319">
        <v>14139969</v>
      </c>
      <c r="BM148" s="319">
        <v>0</v>
      </c>
      <c r="BN148" s="319">
        <v>0</v>
      </c>
      <c r="BO148" s="319">
        <f t="shared" si="550"/>
        <v>14139969</v>
      </c>
      <c r="BP148" s="319">
        <f t="shared" si="551"/>
        <v>0</v>
      </c>
      <c r="BQ148" s="319">
        <v>14139969</v>
      </c>
      <c r="BR148" s="319">
        <v>0</v>
      </c>
      <c r="BS148" s="319">
        <v>0</v>
      </c>
      <c r="BT148" s="319">
        <f t="shared" si="552"/>
        <v>14139969</v>
      </c>
      <c r="BU148" s="319">
        <f t="shared" si="553"/>
        <v>0</v>
      </c>
      <c r="BV148" s="319">
        <v>14139969</v>
      </c>
      <c r="BW148" s="319">
        <v>0</v>
      </c>
      <c r="BX148" s="319">
        <v>0</v>
      </c>
      <c r="BY148" s="319">
        <f t="shared" si="554"/>
        <v>14139969</v>
      </c>
      <c r="BZ148" s="319">
        <f t="shared" si="555"/>
        <v>0</v>
      </c>
      <c r="CA148" s="319">
        <v>14139969</v>
      </c>
      <c r="CB148" s="319">
        <v>0</v>
      </c>
      <c r="CC148" s="319">
        <v>0</v>
      </c>
      <c r="CD148" s="319">
        <f t="shared" si="556"/>
        <v>14139969</v>
      </c>
      <c r="CE148" s="319">
        <f t="shared" si="557"/>
        <v>0</v>
      </c>
      <c r="CF148" s="319">
        <v>14139969</v>
      </c>
      <c r="CG148" s="319">
        <v>0</v>
      </c>
      <c r="CH148" s="319">
        <v>0</v>
      </c>
      <c r="CI148" s="319">
        <f t="shared" si="558"/>
        <v>14139969</v>
      </c>
      <c r="CJ148" s="319">
        <f t="shared" si="559"/>
        <v>0</v>
      </c>
      <c r="CK148" s="319">
        <v>14139969</v>
      </c>
      <c r="CL148" s="319">
        <v>0</v>
      </c>
      <c r="CM148" s="319">
        <v>0</v>
      </c>
      <c r="CN148" s="319">
        <f t="shared" si="560"/>
        <v>14139969</v>
      </c>
      <c r="CO148" s="319">
        <f t="shared" si="561"/>
        <v>0</v>
      </c>
      <c r="CP148" s="319">
        <v>14139969</v>
      </c>
      <c r="CQ148" s="319">
        <v>0</v>
      </c>
      <c r="CR148" s="319">
        <v>0</v>
      </c>
      <c r="CS148" s="319">
        <f t="shared" si="562"/>
        <v>14139969</v>
      </c>
      <c r="CT148" s="319">
        <f t="shared" si="563"/>
        <v>0</v>
      </c>
      <c r="CU148" s="319">
        <v>14139969</v>
      </c>
      <c r="CV148" s="319">
        <v>0</v>
      </c>
      <c r="CW148" s="319">
        <v>0</v>
      </c>
      <c r="CX148" s="319">
        <f t="shared" si="564"/>
        <v>14139969</v>
      </c>
      <c r="CY148" s="319">
        <f t="shared" si="565"/>
        <v>0</v>
      </c>
      <c r="CZ148" s="319"/>
      <c r="DA148" s="319"/>
      <c r="DB148" s="319"/>
      <c r="DC148" s="12">
        <f t="shared" ref="DC148:DC153" si="612">CX148*10%</f>
        <v>1413996.9000000001</v>
      </c>
      <c r="DD148" s="12">
        <v>0.9</v>
      </c>
      <c r="DE148" s="13">
        <f t="shared" si="566"/>
        <v>1413996.0000000002</v>
      </c>
      <c r="DF148" s="14">
        <f t="shared" si="567"/>
        <v>1413996.0000000002</v>
      </c>
      <c r="DG148" s="13">
        <f t="shared" si="568"/>
        <v>15553965</v>
      </c>
      <c r="DH148" s="15">
        <f t="shared" si="569"/>
        <v>1.1060703024252914</v>
      </c>
      <c r="DI148" s="16">
        <f t="shared" si="570"/>
        <v>14139969</v>
      </c>
      <c r="DJ148" s="132">
        <f t="shared" ref="DJ148:DJ153" si="613">DI148*1.1</f>
        <v>15553965.9</v>
      </c>
      <c r="DK148" s="17">
        <f t="shared" ref="DK148:DK153" si="614">DJ148-DI148</f>
        <v>1413996.9000000004</v>
      </c>
      <c r="DL148" s="17">
        <f t="shared" si="571"/>
        <v>0.9</v>
      </c>
      <c r="DM148" s="16">
        <f t="shared" ref="DM148:DM153" si="615">DK148-DL148</f>
        <v>1413996.0000000005</v>
      </c>
      <c r="DN148" s="16">
        <f t="shared" si="572"/>
        <v>0</v>
      </c>
      <c r="DO148" s="16">
        <f t="shared" ref="DO148:DO153" si="616">DM148+DI148</f>
        <v>15553965</v>
      </c>
      <c r="DP148" s="16">
        <f t="shared" si="573"/>
        <v>0</v>
      </c>
      <c r="DQ148" s="9">
        <v>15553965</v>
      </c>
      <c r="DR148" s="18" t="s">
        <v>238</v>
      </c>
      <c r="DS148" s="18" t="s">
        <v>238</v>
      </c>
      <c r="DT148" s="324">
        <f t="shared" ref="DT148:DT153" si="617">DQ148+DR148+DS148</f>
        <v>15553965</v>
      </c>
      <c r="DU148" s="321">
        <f t="shared" ref="DU148:DU153" si="618">DT148</f>
        <v>15553965</v>
      </c>
      <c r="DV148" s="19">
        <f t="shared" ref="DV148:DV153" si="619">DT148-DG148</f>
        <v>0</v>
      </c>
      <c r="DW148" s="9">
        <v>15553965</v>
      </c>
      <c r="DX148" s="18"/>
      <c r="DY148" s="18"/>
      <c r="DZ148" s="324">
        <f t="shared" ref="DZ148:DZ153" si="620">DW148+DX148+DY148</f>
        <v>15553965</v>
      </c>
      <c r="EA148" s="321">
        <f t="shared" ref="EA148:EA153" si="621">DZ148</f>
        <v>15553965</v>
      </c>
      <c r="EB148" s="179">
        <f t="shared" si="574"/>
        <v>0</v>
      </c>
      <c r="EC148" s="9">
        <v>15553965</v>
      </c>
      <c r="ED148" s="18" t="s">
        <v>238</v>
      </c>
      <c r="EE148" s="18" t="s">
        <v>238</v>
      </c>
      <c r="EF148" s="324">
        <f t="shared" ref="EF148:EF153" si="622">EC148+ED148+EE148</f>
        <v>15553965</v>
      </c>
      <c r="EG148" s="321">
        <f t="shared" ref="EG148:EG153" si="623">EF148</f>
        <v>15553965</v>
      </c>
      <c r="EH148" s="179">
        <f t="shared" si="575"/>
        <v>0</v>
      </c>
      <c r="EI148" s="9">
        <v>15553965</v>
      </c>
      <c r="EJ148" s="18" t="s">
        <v>238</v>
      </c>
      <c r="EK148" s="18" t="s">
        <v>238</v>
      </c>
      <c r="EL148" s="324">
        <f t="shared" ref="EL148:EL153" si="624">EI148+EJ148+EK148</f>
        <v>15553965</v>
      </c>
      <c r="EM148" s="321">
        <f t="shared" ref="EM148:EM153" si="625">EL148</f>
        <v>15553965</v>
      </c>
      <c r="EN148" s="179">
        <f t="shared" si="576"/>
        <v>0</v>
      </c>
      <c r="EO148" s="9">
        <v>15553965</v>
      </c>
      <c r="EP148" s="18" t="s">
        <v>238</v>
      </c>
      <c r="EQ148" s="18" t="s">
        <v>238</v>
      </c>
      <c r="ER148" s="324">
        <f t="shared" ref="ER148:ER153" si="626">EO148+EP148+EQ148</f>
        <v>15553965</v>
      </c>
      <c r="ES148" s="321">
        <f t="shared" ref="ES148:ES153" si="627">ER148</f>
        <v>15553965</v>
      </c>
      <c r="ET148" s="179">
        <f t="shared" si="577"/>
        <v>0</v>
      </c>
      <c r="EU148" s="9">
        <v>15553965</v>
      </c>
      <c r="EV148" s="18" t="s">
        <v>238</v>
      </c>
      <c r="EW148" s="18" t="s">
        <v>238</v>
      </c>
      <c r="EX148" s="324">
        <f t="shared" ref="EX148:EX153" si="628">EU148+EV148+EW148</f>
        <v>15553965</v>
      </c>
      <c r="EY148" s="321">
        <f t="shared" ref="EY148:EY153" si="629">EX148</f>
        <v>15553965</v>
      </c>
      <c r="EZ148" s="179">
        <f t="shared" si="578"/>
        <v>0</v>
      </c>
      <c r="FA148" s="9">
        <v>15553965</v>
      </c>
      <c r="FB148" s="18" t="s">
        <v>238</v>
      </c>
      <c r="FC148" s="18" t="s">
        <v>238</v>
      </c>
      <c r="FD148" s="324">
        <f t="shared" ref="FD148:FD153" si="630">FA148+FB148+FC148</f>
        <v>15553965</v>
      </c>
      <c r="FE148" s="321">
        <f t="shared" ref="FE148:FE153" si="631">FD148</f>
        <v>15553965</v>
      </c>
      <c r="FF148" s="179">
        <f t="shared" si="579"/>
        <v>0</v>
      </c>
      <c r="FG148" s="9">
        <v>15553965</v>
      </c>
      <c r="FH148" s="18" t="s">
        <v>238</v>
      </c>
      <c r="FI148" s="18" t="s">
        <v>238</v>
      </c>
      <c r="FJ148" s="324">
        <f t="shared" ref="FJ148:FJ153" si="632">FG148+FH148+FI148</f>
        <v>15553965</v>
      </c>
      <c r="FK148" s="321">
        <f t="shared" ref="FK148:FK153" si="633">FJ148</f>
        <v>15553965</v>
      </c>
      <c r="FL148" s="179">
        <f t="shared" si="580"/>
        <v>0</v>
      </c>
      <c r="FM148" s="9">
        <v>15553965</v>
      </c>
      <c r="FN148" s="18" t="s">
        <v>238</v>
      </c>
      <c r="FO148" s="18" t="s">
        <v>238</v>
      </c>
      <c r="FP148" s="324">
        <f t="shared" ref="FP148:FP153" si="634">FM148+FN148+FO148</f>
        <v>15553965</v>
      </c>
      <c r="FQ148" s="321">
        <f t="shared" ref="FQ148:FQ153" si="635">FP148</f>
        <v>15553965</v>
      </c>
      <c r="FR148" s="179">
        <f t="shared" si="581"/>
        <v>0</v>
      </c>
      <c r="FS148" s="9">
        <v>15553965</v>
      </c>
      <c r="FT148" s="18" t="s">
        <v>238</v>
      </c>
      <c r="FU148" s="18" t="s">
        <v>238</v>
      </c>
      <c r="FV148" s="324">
        <f t="shared" ref="FV148:FV153" si="636">FS148+FT148+FU148</f>
        <v>15553965</v>
      </c>
      <c r="FW148" s="321">
        <f t="shared" ref="FW148:FW153" si="637">FV148</f>
        <v>15553965</v>
      </c>
      <c r="FX148" s="179">
        <f t="shared" si="582"/>
        <v>0</v>
      </c>
      <c r="FY148" s="9">
        <v>15553965</v>
      </c>
      <c r="FZ148" s="18" t="s">
        <v>238</v>
      </c>
      <c r="GA148" s="18" t="s">
        <v>238</v>
      </c>
      <c r="GB148" s="324">
        <f t="shared" ref="GB148:GB153" si="638">FY148+FZ148+GA148</f>
        <v>15553965</v>
      </c>
      <c r="GC148" s="321">
        <f t="shared" ref="GC148:GC153" si="639">GB148</f>
        <v>15553965</v>
      </c>
      <c r="GD148" s="179">
        <f t="shared" si="583"/>
        <v>0</v>
      </c>
      <c r="GE148" s="9">
        <v>15553965</v>
      </c>
      <c r="GF148" s="18" t="s">
        <v>238</v>
      </c>
      <c r="GG148" s="18" t="s">
        <v>238</v>
      </c>
      <c r="GH148" s="324">
        <f t="shared" ref="GH148:GH153" si="640">GE148+GF148+GG148</f>
        <v>15553965</v>
      </c>
      <c r="GI148" s="321">
        <f t="shared" ref="GI148:GI153" si="641">GH148</f>
        <v>15553965</v>
      </c>
      <c r="GJ148" s="179">
        <f t="shared" si="584"/>
        <v>0</v>
      </c>
      <c r="GK148" s="9">
        <v>15553965</v>
      </c>
      <c r="GL148" s="18" t="s">
        <v>238</v>
      </c>
      <c r="GM148" s="18" t="s">
        <v>238</v>
      </c>
      <c r="GN148" s="324">
        <f t="shared" ref="GN148:GN153" si="642">GK148+GL148+GM148</f>
        <v>15553965</v>
      </c>
      <c r="GO148" s="321">
        <f t="shared" ref="GO148:GO153" si="643">GN148</f>
        <v>15553965</v>
      </c>
      <c r="GP148" s="179">
        <f t="shared" si="585"/>
        <v>0</v>
      </c>
      <c r="GQ148" s="9">
        <v>15553965</v>
      </c>
      <c r="GR148" s="18" t="s">
        <v>238</v>
      </c>
      <c r="GS148" s="18" t="s">
        <v>238</v>
      </c>
      <c r="GT148" s="324">
        <f t="shared" ref="GT148:GT153" si="644">GQ148+GR148+GS148</f>
        <v>15553965</v>
      </c>
      <c r="GU148" s="321">
        <f t="shared" ref="GU148:GU153" si="645">GT148</f>
        <v>15553965</v>
      </c>
      <c r="GV148" s="179">
        <f t="shared" si="586"/>
        <v>0</v>
      </c>
      <c r="GW148" s="9">
        <v>16331663</v>
      </c>
      <c r="GX148" s="18" t="s">
        <v>238</v>
      </c>
      <c r="GY148" s="18" t="s">
        <v>238</v>
      </c>
      <c r="GZ148" s="324">
        <f t="shared" ref="GZ148:GZ153" si="646">GW148+GX148+GY148</f>
        <v>16331663</v>
      </c>
      <c r="HA148" s="321">
        <f t="shared" ref="HA148:HA153" si="647">GZ148</f>
        <v>16331663</v>
      </c>
      <c r="HB148" s="179">
        <f t="shared" si="587"/>
        <v>777698</v>
      </c>
      <c r="HC148" s="102">
        <f t="shared" si="588"/>
        <v>1.1060702384246837</v>
      </c>
      <c r="HD148" s="285">
        <f t="shared" si="589"/>
        <v>0</v>
      </c>
      <c r="HE148" s="12">
        <f t="shared" si="590"/>
        <v>777698.25</v>
      </c>
      <c r="HF148" s="12">
        <f t="shared" si="591"/>
        <v>0.25</v>
      </c>
      <c r="HG148" s="12">
        <f t="shared" si="592"/>
        <v>777698</v>
      </c>
      <c r="HH148" s="14">
        <f t="shared" si="593"/>
        <v>777698</v>
      </c>
      <c r="HI148" s="13">
        <f t="shared" si="594"/>
        <v>16331663</v>
      </c>
      <c r="HJ148" s="102">
        <f t="shared" si="595"/>
        <v>1.1613737325679712</v>
      </c>
      <c r="HK148" s="16">
        <f t="shared" si="596"/>
        <v>15553965</v>
      </c>
      <c r="HL148" s="103">
        <f t="shared" si="597"/>
        <v>16331663.25</v>
      </c>
      <c r="HM148" s="103">
        <f t="shared" si="598"/>
        <v>777698.25</v>
      </c>
      <c r="HN148" s="17">
        <f t="shared" si="599"/>
        <v>0.25</v>
      </c>
      <c r="HO148" s="56">
        <f t="shared" si="600"/>
        <v>777698</v>
      </c>
      <c r="HP148" s="16">
        <f t="shared" si="601"/>
        <v>0</v>
      </c>
      <c r="HQ148" s="16">
        <f t="shared" si="602"/>
        <v>16331663</v>
      </c>
      <c r="HR148" s="16">
        <f t="shared" si="603"/>
        <v>0</v>
      </c>
    </row>
    <row r="149" spans="1:226" x14ac:dyDescent="0.3">
      <c r="A149" s="65">
        <v>3</v>
      </c>
      <c r="B149" s="213"/>
      <c r="C149" s="65" t="s">
        <v>260</v>
      </c>
      <c r="D149" s="176" t="s">
        <v>95</v>
      </c>
      <c r="E149" s="72">
        <v>0</v>
      </c>
      <c r="F149" s="66">
        <v>7700000</v>
      </c>
      <c r="G149" s="66">
        <v>0</v>
      </c>
      <c r="H149" s="67"/>
      <c r="I149" s="67">
        <v>7700000</v>
      </c>
      <c r="J149" s="67">
        <v>7700000</v>
      </c>
      <c r="K149" s="67"/>
      <c r="L149" s="67">
        <v>7700000</v>
      </c>
      <c r="M149" s="68">
        <v>7700000</v>
      </c>
      <c r="N149" s="68">
        <v>7700000</v>
      </c>
      <c r="O149" s="69">
        <v>7700000</v>
      </c>
      <c r="P149" s="69">
        <v>7700000</v>
      </c>
      <c r="Q149" s="69">
        <v>7700000</v>
      </c>
      <c r="R149" s="69">
        <v>7700000</v>
      </c>
      <c r="S149" s="69">
        <v>7700000</v>
      </c>
      <c r="T149" s="69">
        <v>7700000</v>
      </c>
      <c r="U149" s="69">
        <f>T149*5%</f>
        <v>385000</v>
      </c>
      <c r="V149" s="69">
        <f>T149+U149</f>
        <v>8085000</v>
      </c>
      <c r="W149" s="69">
        <v>8085000</v>
      </c>
      <c r="X149" s="69">
        <v>8085000</v>
      </c>
      <c r="Y149" s="69">
        <v>8085000</v>
      </c>
      <c r="Z149" s="69">
        <v>8085000</v>
      </c>
      <c r="AA149" s="69">
        <v>8085000</v>
      </c>
      <c r="AB149" s="69">
        <v>8085000</v>
      </c>
      <c r="AC149" s="66">
        <v>0</v>
      </c>
      <c r="AD149" s="66">
        <v>0</v>
      </c>
      <c r="AE149" s="69">
        <f>AD149+AC149+AB149</f>
        <v>8085000</v>
      </c>
      <c r="AF149" s="69">
        <v>8085000</v>
      </c>
      <c r="AG149" s="66">
        <v>0</v>
      </c>
      <c r="AH149" s="66">
        <v>0</v>
      </c>
      <c r="AI149" s="69">
        <f>AH149+AG149+AF149</f>
        <v>8085000</v>
      </c>
      <c r="AJ149" s="69">
        <v>8085000</v>
      </c>
      <c r="AK149" s="66">
        <v>0</v>
      </c>
      <c r="AL149" s="66">
        <v>0</v>
      </c>
      <c r="AM149" s="69">
        <f>AL149+AK149+AJ149</f>
        <v>8085000</v>
      </c>
      <c r="AN149" s="69">
        <v>8085000</v>
      </c>
      <c r="AO149" s="66">
        <v>0</v>
      </c>
      <c r="AP149" s="66">
        <v>0</v>
      </c>
      <c r="AQ149" s="70">
        <f>AP149+AO149+AN149</f>
        <v>8085000</v>
      </c>
      <c r="AR149" s="75">
        <v>8085000</v>
      </c>
      <c r="AS149" s="72">
        <v>0</v>
      </c>
      <c r="AT149" s="66">
        <v>0</v>
      </c>
      <c r="AU149" s="73">
        <f t="shared" si="548"/>
        <v>8085000</v>
      </c>
      <c r="AV149" s="66">
        <f t="shared" si="604"/>
        <v>8085000</v>
      </c>
      <c r="AW149" s="66">
        <v>0</v>
      </c>
      <c r="AX149" s="66">
        <v>0</v>
      </c>
      <c r="AY149" s="69">
        <f t="shared" si="605"/>
        <v>8085000</v>
      </c>
      <c r="AZ149" s="8">
        <f t="shared" si="606"/>
        <v>404250</v>
      </c>
      <c r="BA149" s="8"/>
      <c r="BB149" s="8">
        <f t="shared" si="607"/>
        <v>404250</v>
      </c>
      <c r="BC149" s="8">
        <f t="shared" si="608"/>
        <v>8489250</v>
      </c>
      <c r="BD149" s="8"/>
      <c r="BE149" s="8">
        <f t="shared" si="609"/>
        <v>8489250</v>
      </c>
      <c r="BF149" s="10">
        <f t="shared" si="610"/>
        <v>404250</v>
      </c>
      <c r="BG149" s="11">
        <f t="shared" si="611"/>
        <v>0</v>
      </c>
      <c r="BH149" s="319">
        <v>8489250</v>
      </c>
      <c r="BI149" s="319">
        <v>0</v>
      </c>
      <c r="BJ149" s="319">
        <v>0</v>
      </c>
      <c r="BK149" s="319">
        <f t="shared" si="549"/>
        <v>8489250</v>
      </c>
      <c r="BL149" s="319">
        <v>8489250</v>
      </c>
      <c r="BM149" s="319">
        <v>0</v>
      </c>
      <c r="BN149" s="319">
        <v>0</v>
      </c>
      <c r="BO149" s="319">
        <f t="shared" si="550"/>
        <v>8489250</v>
      </c>
      <c r="BP149" s="319">
        <f t="shared" si="551"/>
        <v>0</v>
      </c>
      <c r="BQ149" s="319">
        <v>8489250</v>
      </c>
      <c r="BR149" s="319">
        <v>0</v>
      </c>
      <c r="BS149" s="319">
        <v>0</v>
      </c>
      <c r="BT149" s="319">
        <f t="shared" si="552"/>
        <v>8489250</v>
      </c>
      <c r="BU149" s="319">
        <f t="shared" si="553"/>
        <v>0</v>
      </c>
      <c r="BV149" s="319">
        <v>8489250</v>
      </c>
      <c r="BW149" s="319">
        <v>0</v>
      </c>
      <c r="BX149" s="319">
        <v>0</v>
      </c>
      <c r="BY149" s="319">
        <f t="shared" si="554"/>
        <v>8489250</v>
      </c>
      <c r="BZ149" s="319">
        <f t="shared" si="555"/>
        <v>0</v>
      </c>
      <c r="CA149" s="319">
        <v>8489250</v>
      </c>
      <c r="CB149" s="319">
        <v>0</v>
      </c>
      <c r="CC149" s="319">
        <v>0</v>
      </c>
      <c r="CD149" s="319">
        <f t="shared" si="556"/>
        <v>8489250</v>
      </c>
      <c r="CE149" s="319">
        <f t="shared" si="557"/>
        <v>0</v>
      </c>
      <c r="CF149" s="319">
        <v>8489250</v>
      </c>
      <c r="CG149" s="319">
        <v>0</v>
      </c>
      <c r="CH149" s="319">
        <v>0</v>
      </c>
      <c r="CI149" s="319">
        <f t="shared" si="558"/>
        <v>8489250</v>
      </c>
      <c r="CJ149" s="319">
        <f t="shared" si="559"/>
        <v>0</v>
      </c>
      <c r="CK149" s="319">
        <v>8489250</v>
      </c>
      <c r="CL149" s="319">
        <v>0</v>
      </c>
      <c r="CM149" s="319">
        <v>0</v>
      </c>
      <c r="CN149" s="319">
        <f t="shared" si="560"/>
        <v>8489250</v>
      </c>
      <c r="CO149" s="319">
        <f t="shared" si="561"/>
        <v>0</v>
      </c>
      <c r="CP149" s="319">
        <v>8489250</v>
      </c>
      <c r="CQ149" s="319">
        <v>0</v>
      </c>
      <c r="CR149" s="319">
        <v>0</v>
      </c>
      <c r="CS149" s="319">
        <f t="shared" si="562"/>
        <v>8489250</v>
      </c>
      <c r="CT149" s="319">
        <f t="shared" si="563"/>
        <v>0</v>
      </c>
      <c r="CU149" s="319">
        <v>8489250</v>
      </c>
      <c r="CV149" s="319">
        <v>0</v>
      </c>
      <c r="CW149" s="319">
        <v>0</v>
      </c>
      <c r="CX149" s="319">
        <f t="shared" si="564"/>
        <v>8489250</v>
      </c>
      <c r="CY149" s="319">
        <f t="shared" si="565"/>
        <v>0</v>
      </c>
      <c r="CZ149" s="319"/>
      <c r="DA149" s="319"/>
      <c r="DB149" s="319"/>
      <c r="DC149" s="12">
        <f t="shared" si="612"/>
        <v>848925</v>
      </c>
      <c r="DD149" s="12">
        <v>0</v>
      </c>
      <c r="DE149" s="13">
        <f t="shared" si="566"/>
        <v>848925</v>
      </c>
      <c r="DF149" s="14">
        <f t="shared" si="567"/>
        <v>848925</v>
      </c>
      <c r="DG149" s="13">
        <f t="shared" si="568"/>
        <v>9338175</v>
      </c>
      <c r="DH149" s="15">
        <f t="shared" si="569"/>
        <v>0.66405430696940748</v>
      </c>
      <c r="DI149" s="16">
        <f t="shared" si="570"/>
        <v>8489250</v>
      </c>
      <c r="DJ149" s="132">
        <f t="shared" si="613"/>
        <v>9338175</v>
      </c>
      <c r="DK149" s="17">
        <f t="shared" si="614"/>
        <v>848925</v>
      </c>
      <c r="DL149" s="17">
        <f t="shared" si="571"/>
        <v>0</v>
      </c>
      <c r="DM149" s="16">
        <f t="shared" si="615"/>
        <v>848925</v>
      </c>
      <c r="DN149" s="16">
        <f t="shared" si="572"/>
        <v>0</v>
      </c>
      <c r="DO149" s="16">
        <f t="shared" si="616"/>
        <v>9338175</v>
      </c>
      <c r="DP149" s="16">
        <f t="shared" si="573"/>
        <v>0</v>
      </c>
      <c r="DQ149" s="9">
        <v>9338175</v>
      </c>
      <c r="DR149" s="18" t="s">
        <v>238</v>
      </c>
      <c r="DS149" s="18" t="s">
        <v>238</v>
      </c>
      <c r="DT149" s="324">
        <f t="shared" si="617"/>
        <v>9338175</v>
      </c>
      <c r="DU149" s="321">
        <f t="shared" si="618"/>
        <v>9338175</v>
      </c>
      <c r="DV149" s="19">
        <f t="shared" si="619"/>
        <v>0</v>
      </c>
      <c r="DW149" s="9">
        <v>9338175</v>
      </c>
      <c r="DX149" s="18"/>
      <c r="DY149" s="18"/>
      <c r="DZ149" s="324">
        <f t="shared" si="620"/>
        <v>9338175</v>
      </c>
      <c r="EA149" s="321">
        <f t="shared" si="621"/>
        <v>9338175</v>
      </c>
      <c r="EB149" s="179">
        <f t="shared" si="574"/>
        <v>0</v>
      </c>
      <c r="EC149" s="9">
        <v>9338175</v>
      </c>
      <c r="ED149" s="18" t="s">
        <v>238</v>
      </c>
      <c r="EE149" s="18" t="s">
        <v>238</v>
      </c>
      <c r="EF149" s="324">
        <f t="shared" si="622"/>
        <v>9338175</v>
      </c>
      <c r="EG149" s="321">
        <f t="shared" si="623"/>
        <v>9338175</v>
      </c>
      <c r="EH149" s="179">
        <f t="shared" si="575"/>
        <v>0</v>
      </c>
      <c r="EI149" s="9">
        <v>9338175</v>
      </c>
      <c r="EJ149" s="18" t="s">
        <v>238</v>
      </c>
      <c r="EK149" s="18" t="s">
        <v>238</v>
      </c>
      <c r="EL149" s="324">
        <f t="shared" si="624"/>
        <v>9338175</v>
      </c>
      <c r="EM149" s="321">
        <f t="shared" si="625"/>
        <v>9338175</v>
      </c>
      <c r="EN149" s="179">
        <f t="shared" si="576"/>
        <v>0</v>
      </c>
      <c r="EO149" s="9">
        <v>9338175</v>
      </c>
      <c r="EP149" s="18" t="s">
        <v>238</v>
      </c>
      <c r="EQ149" s="18" t="s">
        <v>238</v>
      </c>
      <c r="ER149" s="324">
        <f t="shared" si="626"/>
        <v>9338175</v>
      </c>
      <c r="ES149" s="321">
        <f t="shared" si="627"/>
        <v>9338175</v>
      </c>
      <c r="ET149" s="179">
        <f t="shared" si="577"/>
        <v>0</v>
      </c>
      <c r="EU149" s="9">
        <v>9338175</v>
      </c>
      <c r="EV149" s="18" t="s">
        <v>238</v>
      </c>
      <c r="EW149" s="18" t="s">
        <v>238</v>
      </c>
      <c r="EX149" s="324">
        <f t="shared" si="628"/>
        <v>9338175</v>
      </c>
      <c r="EY149" s="321">
        <f t="shared" si="629"/>
        <v>9338175</v>
      </c>
      <c r="EZ149" s="179">
        <f t="shared" si="578"/>
        <v>0</v>
      </c>
      <c r="FA149" s="9">
        <v>9338175</v>
      </c>
      <c r="FB149" s="18" t="s">
        <v>238</v>
      </c>
      <c r="FC149" s="18" t="s">
        <v>238</v>
      </c>
      <c r="FD149" s="324">
        <f t="shared" si="630"/>
        <v>9338175</v>
      </c>
      <c r="FE149" s="321">
        <f t="shared" si="631"/>
        <v>9338175</v>
      </c>
      <c r="FF149" s="179">
        <f t="shared" si="579"/>
        <v>0</v>
      </c>
      <c r="FG149" s="9">
        <v>9338175</v>
      </c>
      <c r="FH149" s="18" t="s">
        <v>238</v>
      </c>
      <c r="FI149" s="18" t="s">
        <v>238</v>
      </c>
      <c r="FJ149" s="324">
        <f t="shared" si="632"/>
        <v>9338175</v>
      </c>
      <c r="FK149" s="321">
        <f t="shared" si="633"/>
        <v>9338175</v>
      </c>
      <c r="FL149" s="179">
        <f t="shared" si="580"/>
        <v>0</v>
      </c>
      <c r="FM149" s="9">
        <v>9338175</v>
      </c>
      <c r="FN149" s="18" t="s">
        <v>238</v>
      </c>
      <c r="FO149" s="18" t="s">
        <v>238</v>
      </c>
      <c r="FP149" s="324">
        <f t="shared" si="634"/>
        <v>9338175</v>
      </c>
      <c r="FQ149" s="321">
        <f t="shared" si="635"/>
        <v>9338175</v>
      </c>
      <c r="FR149" s="179">
        <f t="shared" si="581"/>
        <v>0</v>
      </c>
      <c r="FS149" s="9">
        <v>9338175</v>
      </c>
      <c r="FT149" s="18" t="s">
        <v>238</v>
      </c>
      <c r="FU149" s="18" t="s">
        <v>238</v>
      </c>
      <c r="FV149" s="324">
        <f t="shared" si="636"/>
        <v>9338175</v>
      </c>
      <c r="FW149" s="321">
        <f t="shared" si="637"/>
        <v>9338175</v>
      </c>
      <c r="FX149" s="179">
        <f t="shared" si="582"/>
        <v>0</v>
      </c>
      <c r="FY149" s="9">
        <v>9338175</v>
      </c>
      <c r="FZ149" s="18" t="s">
        <v>238</v>
      </c>
      <c r="GA149" s="18" t="s">
        <v>238</v>
      </c>
      <c r="GB149" s="324">
        <f t="shared" si="638"/>
        <v>9338175</v>
      </c>
      <c r="GC149" s="321">
        <f t="shared" si="639"/>
        <v>9338175</v>
      </c>
      <c r="GD149" s="179">
        <f t="shared" si="583"/>
        <v>0</v>
      </c>
      <c r="GE149" s="9">
        <v>9338175</v>
      </c>
      <c r="GF149" s="18" t="s">
        <v>238</v>
      </c>
      <c r="GG149" s="18" t="s">
        <v>238</v>
      </c>
      <c r="GH149" s="324">
        <f t="shared" si="640"/>
        <v>9338175</v>
      </c>
      <c r="GI149" s="321">
        <f t="shared" si="641"/>
        <v>9338175</v>
      </c>
      <c r="GJ149" s="179">
        <f t="shared" si="584"/>
        <v>0</v>
      </c>
      <c r="GK149" s="9">
        <v>9338175</v>
      </c>
      <c r="GL149" s="18" t="s">
        <v>238</v>
      </c>
      <c r="GM149" s="18" t="s">
        <v>238</v>
      </c>
      <c r="GN149" s="324">
        <f t="shared" si="642"/>
        <v>9338175</v>
      </c>
      <c r="GO149" s="321">
        <f t="shared" si="643"/>
        <v>9338175</v>
      </c>
      <c r="GP149" s="179">
        <f t="shared" si="585"/>
        <v>0</v>
      </c>
      <c r="GQ149" s="9">
        <v>9338175</v>
      </c>
      <c r="GR149" s="18" t="s">
        <v>238</v>
      </c>
      <c r="GS149" s="18" t="s">
        <v>238</v>
      </c>
      <c r="GT149" s="324">
        <f t="shared" si="644"/>
        <v>9338175</v>
      </c>
      <c r="GU149" s="321">
        <f t="shared" si="645"/>
        <v>9338175</v>
      </c>
      <c r="GV149" s="179">
        <f t="shared" si="586"/>
        <v>0</v>
      </c>
      <c r="GW149" s="9">
        <v>9805083</v>
      </c>
      <c r="GX149" s="18" t="s">
        <v>238</v>
      </c>
      <c r="GY149" s="18" t="s">
        <v>238</v>
      </c>
      <c r="GZ149" s="324">
        <f t="shared" si="646"/>
        <v>9805083</v>
      </c>
      <c r="HA149" s="321">
        <f t="shared" si="647"/>
        <v>9805083</v>
      </c>
      <c r="HB149" s="179">
        <f t="shared" si="587"/>
        <v>466908</v>
      </c>
      <c r="HC149" s="102">
        <f t="shared" si="588"/>
        <v>0.66405430696940748</v>
      </c>
      <c r="HD149" s="285">
        <f t="shared" si="589"/>
        <v>0</v>
      </c>
      <c r="HE149" s="12">
        <f t="shared" si="590"/>
        <v>466908.75</v>
      </c>
      <c r="HF149" s="12">
        <f t="shared" si="591"/>
        <v>0.75</v>
      </c>
      <c r="HG149" s="12">
        <f t="shared" si="592"/>
        <v>466908</v>
      </c>
      <c r="HH149" s="14">
        <f t="shared" si="593"/>
        <v>466908</v>
      </c>
      <c r="HI149" s="13">
        <f t="shared" si="594"/>
        <v>9805083</v>
      </c>
      <c r="HJ149" s="102">
        <f t="shared" si="595"/>
        <v>0.69725696898403799</v>
      </c>
      <c r="HK149" s="16">
        <f t="shared" si="596"/>
        <v>9338175</v>
      </c>
      <c r="HL149" s="103">
        <f t="shared" si="597"/>
        <v>9805083.75</v>
      </c>
      <c r="HM149" s="103">
        <f t="shared" si="598"/>
        <v>466908.75</v>
      </c>
      <c r="HN149" s="17">
        <f t="shared" si="599"/>
        <v>0.75</v>
      </c>
      <c r="HO149" s="56">
        <f t="shared" si="600"/>
        <v>466908</v>
      </c>
      <c r="HP149" s="16">
        <f t="shared" si="601"/>
        <v>0</v>
      </c>
      <c r="HQ149" s="16">
        <f t="shared" si="602"/>
        <v>9805083</v>
      </c>
      <c r="HR149" s="16">
        <f t="shared" si="603"/>
        <v>0</v>
      </c>
    </row>
    <row r="150" spans="1:226" ht="10.8" thickBot="1" x14ac:dyDescent="0.35">
      <c r="A150" s="65">
        <v>4</v>
      </c>
      <c r="B150" s="213"/>
      <c r="C150" s="177" t="s">
        <v>261</v>
      </c>
      <c r="D150" s="178" t="s">
        <v>96</v>
      </c>
      <c r="E150" s="72">
        <v>0</v>
      </c>
      <c r="F150" s="66">
        <v>2772862</v>
      </c>
      <c r="G150" s="66">
        <v>0</v>
      </c>
      <c r="H150" s="67"/>
      <c r="I150" s="67">
        <v>2772862</v>
      </c>
      <c r="J150" s="67">
        <v>2772862</v>
      </c>
      <c r="K150" s="67"/>
      <c r="L150" s="67">
        <v>2772862</v>
      </c>
      <c r="M150" s="68">
        <v>2772862</v>
      </c>
      <c r="N150" s="68">
        <v>2772862</v>
      </c>
      <c r="O150" s="69">
        <v>2772862</v>
      </c>
      <c r="P150" s="69">
        <v>2772862</v>
      </c>
      <c r="Q150" s="69">
        <v>2772862</v>
      </c>
      <c r="R150" s="69">
        <v>2772862</v>
      </c>
      <c r="S150" s="69">
        <v>2772862</v>
      </c>
      <c r="T150" s="69">
        <v>2772862</v>
      </c>
      <c r="U150" s="69">
        <f>T150*5%</f>
        <v>138643.1</v>
      </c>
      <c r="V150" s="69">
        <f>T150+U150</f>
        <v>2911505.1</v>
      </c>
      <c r="W150" s="69">
        <v>2911505</v>
      </c>
      <c r="X150" s="69">
        <v>2911505</v>
      </c>
      <c r="Y150" s="69">
        <v>2911505</v>
      </c>
      <c r="Z150" s="69">
        <v>2911505</v>
      </c>
      <c r="AA150" s="69">
        <v>2911505</v>
      </c>
      <c r="AB150" s="69">
        <v>2911505</v>
      </c>
      <c r="AC150" s="66">
        <v>0</v>
      </c>
      <c r="AD150" s="66">
        <v>0</v>
      </c>
      <c r="AE150" s="69">
        <f>AD150+AC150+AB150</f>
        <v>2911505</v>
      </c>
      <c r="AF150" s="69">
        <v>2911505</v>
      </c>
      <c r="AG150" s="66">
        <v>0</v>
      </c>
      <c r="AH150" s="66">
        <v>0</v>
      </c>
      <c r="AI150" s="69">
        <f>AH150+AG150+AF150</f>
        <v>2911505</v>
      </c>
      <c r="AJ150" s="69">
        <v>2911505</v>
      </c>
      <c r="AK150" s="66">
        <v>0</v>
      </c>
      <c r="AL150" s="66">
        <v>0</v>
      </c>
      <c r="AM150" s="69">
        <f>AL150+AK150+AJ150</f>
        <v>2911505</v>
      </c>
      <c r="AN150" s="69">
        <v>2911505</v>
      </c>
      <c r="AO150" s="66">
        <v>0</v>
      </c>
      <c r="AP150" s="66">
        <v>0</v>
      </c>
      <c r="AQ150" s="70">
        <f>AP150+AO150+AN150</f>
        <v>2911505</v>
      </c>
      <c r="AR150" s="76">
        <v>2911505</v>
      </c>
      <c r="AS150" s="72">
        <v>0</v>
      </c>
      <c r="AT150" s="66">
        <v>0</v>
      </c>
      <c r="AU150" s="73">
        <f t="shared" si="548"/>
        <v>2911505</v>
      </c>
      <c r="AV150" s="66">
        <f t="shared" si="604"/>
        <v>2911505</v>
      </c>
      <c r="AW150" s="66">
        <v>0</v>
      </c>
      <c r="AX150" s="66">
        <v>0</v>
      </c>
      <c r="AY150" s="69">
        <f t="shared" si="605"/>
        <v>2911505</v>
      </c>
      <c r="AZ150" s="8">
        <f t="shared" si="606"/>
        <v>145575.25</v>
      </c>
      <c r="BA150" s="8">
        <v>0.25</v>
      </c>
      <c r="BB150" s="8">
        <f t="shared" si="607"/>
        <v>145575</v>
      </c>
      <c r="BC150" s="8">
        <f t="shared" si="608"/>
        <v>3057080</v>
      </c>
      <c r="BD150" s="8"/>
      <c r="BE150" s="8">
        <f t="shared" si="609"/>
        <v>3057080</v>
      </c>
      <c r="BF150" s="10">
        <f t="shared" si="610"/>
        <v>145575</v>
      </c>
      <c r="BG150" s="11">
        <f t="shared" si="611"/>
        <v>0</v>
      </c>
      <c r="BH150" s="319">
        <v>3057080</v>
      </c>
      <c r="BI150" s="319">
        <v>0</v>
      </c>
      <c r="BJ150" s="319">
        <v>0</v>
      </c>
      <c r="BK150" s="319">
        <f t="shared" si="549"/>
        <v>3057080</v>
      </c>
      <c r="BL150" s="319">
        <v>3057080</v>
      </c>
      <c r="BM150" s="319">
        <v>0</v>
      </c>
      <c r="BN150" s="319">
        <v>0</v>
      </c>
      <c r="BO150" s="319">
        <f t="shared" si="550"/>
        <v>3057080</v>
      </c>
      <c r="BP150" s="319">
        <f t="shared" si="551"/>
        <v>0</v>
      </c>
      <c r="BQ150" s="319">
        <v>3057080</v>
      </c>
      <c r="BR150" s="319">
        <v>0</v>
      </c>
      <c r="BS150" s="319">
        <v>0</v>
      </c>
      <c r="BT150" s="319">
        <f t="shared" si="552"/>
        <v>3057080</v>
      </c>
      <c r="BU150" s="319">
        <f t="shared" si="553"/>
        <v>0</v>
      </c>
      <c r="BV150" s="319">
        <v>3057080</v>
      </c>
      <c r="BW150" s="319">
        <v>0</v>
      </c>
      <c r="BX150" s="319">
        <v>0</v>
      </c>
      <c r="BY150" s="319">
        <f t="shared" si="554"/>
        <v>3057080</v>
      </c>
      <c r="BZ150" s="319">
        <f t="shared" si="555"/>
        <v>0</v>
      </c>
      <c r="CA150" s="319">
        <v>3057080</v>
      </c>
      <c r="CB150" s="319">
        <v>0</v>
      </c>
      <c r="CC150" s="319">
        <v>0</v>
      </c>
      <c r="CD150" s="319">
        <f t="shared" si="556"/>
        <v>3057080</v>
      </c>
      <c r="CE150" s="319">
        <f t="shared" si="557"/>
        <v>0</v>
      </c>
      <c r="CF150" s="319">
        <v>3057080</v>
      </c>
      <c r="CG150" s="319">
        <v>0</v>
      </c>
      <c r="CH150" s="319">
        <v>0</v>
      </c>
      <c r="CI150" s="319">
        <f t="shared" si="558"/>
        <v>3057080</v>
      </c>
      <c r="CJ150" s="319">
        <f t="shared" si="559"/>
        <v>0</v>
      </c>
      <c r="CK150" s="319">
        <v>3057080</v>
      </c>
      <c r="CL150" s="319">
        <v>0</v>
      </c>
      <c r="CM150" s="319">
        <v>0</v>
      </c>
      <c r="CN150" s="319">
        <f t="shared" si="560"/>
        <v>3057080</v>
      </c>
      <c r="CO150" s="319">
        <f t="shared" si="561"/>
        <v>0</v>
      </c>
      <c r="CP150" s="319">
        <v>3057080</v>
      </c>
      <c r="CQ150" s="319">
        <v>0</v>
      </c>
      <c r="CR150" s="319">
        <v>0</v>
      </c>
      <c r="CS150" s="319">
        <f t="shared" si="562"/>
        <v>3057080</v>
      </c>
      <c r="CT150" s="319">
        <f t="shared" si="563"/>
        <v>0</v>
      </c>
      <c r="CU150" s="319">
        <v>3057080</v>
      </c>
      <c r="CV150" s="319">
        <v>0</v>
      </c>
      <c r="CW150" s="319">
        <v>0</v>
      </c>
      <c r="CX150" s="319">
        <f t="shared" si="564"/>
        <v>3057080</v>
      </c>
      <c r="CY150" s="319">
        <f t="shared" si="565"/>
        <v>0</v>
      </c>
      <c r="CZ150" s="319"/>
      <c r="DA150" s="319"/>
      <c r="DB150" s="319"/>
      <c r="DC150" s="12">
        <f t="shared" si="612"/>
        <v>305708</v>
      </c>
      <c r="DD150" s="12">
        <v>0.4</v>
      </c>
      <c r="DE150" s="13">
        <f t="shared" si="566"/>
        <v>305707.59999999998</v>
      </c>
      <c r="DF150" s="14">
        <f t="shared" si="567"/>
        <v>305707.59999999998</v>
      </c>
      <c r="DG150" s="13">
        <f t="shared" si="568"/>
        <v>3362787.6</v>
      </c>
      <c r="DH150" s="15">
        <f t="shared" si="569"/>
        <v>0.23913386232588699</v>
      </c>
      <c r="DI150" s="16">
        <f t="shared" si="570"/>
        <v>3057080</v>
      </c>
      <c r="DJ150" s="132">
        <f t="shared" si="613"/>
        <v>3362788.0000000005</v>
      </c>
      <c r="DK150" s="17">
        <f t="shared" si="614"/>
        <v>305708.00000000047</v>
      </c>
      <c r="DL150" s="17">
        <f t="shared" si="571"/>
        <v>0.4</v>
      </c>
      <c r="DM150" s="16">
        <f t="shared" si="615"/>
        <v>305707.60000000044</v>
      </c>
      <c r="DN150" s="16">
        <f t="shared" si="572"/>
        <v>4.6566128730773926E-10</v>
      </c>
      <c r="DO150" s="16">
        <f t="shared" si="616"/>
        <v>3362787.6000000006</v>
      </c>
      <c r="DP150" s="16">
        <f t="shared" si="573"/>
        <v>0</v>
      </c>
      <c r="DQ150" s="9">
        <v>3362788</v>
      </c>
      <c r="DR150" s="18" t="s">
        <v>238</v>
      </c>
      <c r="DS150" s="18" t="s">
        <v>238</v>
      </c>
      <c r="DT150" s="324">
        <f t="shared" si="617"/>
        <v>3362788</v>
      </c>
      <c r="DU150" s="321">
        <f t="shared" si="618"/>
        <v>3362788</v>
      </c>
      <c r="DV150" s="19">
        <f t="shared" si="619"/>
        <v>0.39999999990686774</v>
      </c>
      <c r="DW150" s="9">
        <v>3362788</v>
      </c>
      <c r="DX150" s="18"/>
      <c r="DY150" s="18"/>
      <c r="DZ150" s="324">
        <f t="shared" si="620"/>
        <v>3362788</v>
      </c>
      <c r="EA150" s="321">
        <f t="shared" si="621"/>
        <v>3362788</v>
      </c>
      <c r="EB150" s="179">
        <f t="shared" si="574"/>
        <v>0</v>
      </c>
      <c r="EC150" s="9">
        <v>3362788</v>
      </c>
      <c r="ED150" s="18" t="s">
        <v>238</v>
      </c>
      <c r="EE150" s="18" t="s">
        <v>238</v>
      </c>
      <c r="EF150" s="324">
        <f t="shared" si="622"/>
        <v>3362788</v>
      </c>
      <c r="EG150" s="321">
        <f t="shared" si="623"/>
        <v>3362788</v>
      </c>
      <c r="EH150" s="179">
        <f t="shared" si="575"/>
        <v>0</v>
      </c>
      <c r="EI150" s="9">
        <v>3362788</v>
      </c>
      <c r="EJ150" s="18" t="s">
        <v>238</v>
      </c>
      <c r="EK150" s="18" t="s">
        <v>238</v>
      </c>
      <c r="EL150" s="324">
        <f t="shared" si="624"/>
        <v>3362788</v>
      </c>
      <c r="EM150" s="321">
        <f t="shared" si="625"/>
        <v>3362788</v>
      </c>
      <c r="EN150" s="179">
        <f t="shared" si="576"/>
        <v>0</v>
      </c>
      <c r="EO150" s="9">
        <v>3362788</v>
      </c>
      <c r="EP150" s="18" t="s">
        <v>238</v>
      </c>
      <c r="EQ150" s="18" t="s">
        <v>238</v>
      </c>
      <c r="ER150" s="324">
        <f t="shared" si="626"/>
        <v>3362788</v>
      </c>
      <c r="ES150" s="321">
        <f t="shared" si="627"/>
        <v>3362788</v>
      </c>
      <c r="ET150" s="179">
        <f t="shared" si="577"/>
        <v>0</v>
      </c>
      <c r="EU150" s="9">
        <v>3362788</v>
      </c>
      <c r="EV150" s="18" t="s">
        <v>238</v>
      </c>
      <c r="EW150" s="18" t="s">
        <v>238</v>
      </c>
      <c r="EX150" s="324">
        <f t="shared" si="628"/>
        <v>3362788</v>
      </c>
      <c r="EY150" s="321">
        <f t="shared" si="629"/>
        <v>3362788</v>
      </c>
      <c r="EZ150" s="179">
        <f t="shared" si="578"/>
        <v>0</v>
      </c>
      <c r="FA150" s="9">
        <v>3362788</v>
      </c>
      <c r="FB150" s="18" t="s">
        <v>238</v>
      </c>
      <c r="FC150" s="18" t="s">
        <v>238</v>
      </c>
      <c r="FD150" s="324">
        <f t="shared" si="630"/>
        <v>3362788</v>
      </c>
      <c r="FE150" s="321">
        <f t="shared" si="631"/>
        <v>3362788</v>
      </c>
      <c r="FF150" s="179">
        <f t="shared" si="579"/>
        <v>0</v>
      </c>
      <c r="FG150" s="9">
        <v>3362788</v>
      </c>
      <c r="FH150" s="18" t="s">
        <v>238</v>
      </c>
      <c r="FI150" s="18" t="s">
        <v>238</v>
      </c>
      <c r="FJ150" s="324">
        <f t="shared" si="632"/>
        <v>3362788</v>
      </c>
      <c r="FK150" s="321">
        <f t="shared" si="633"/>
        <v>3362788</v>
      </c>
      <c r="FL150" s="179">
        <f t="shared" si="580"/>
        <v>0</v>
      </c>
      <c r="FM150" s="9">
        <v>3362788</v>
      </c>
      <c r="FN150" s="18" t="s">
        <v>238</v>
      </c>
      <c r="FO150" s="18" t="s">
        <v>238</v>
      </c>
      <c r="FP150" s="324">
        <f t="shared" si="634"/>
        <v>3362788</v>
      </c>
      <c r="FQ150" s="321">
        <f t="shared" si="635"/>
        <v>3362788</v>
      </c>
      <c r="FR150" s="179">
        <f t="shared" si="581"/>
        <v>0</v>
      </c>
      <c r="FS150" s="9">
        <v>3362788</v>
      </c>
      <c r="FT150" s="18" t="s">
        <v>238</v>
      </c>
      <c r="FU150" s="18" t="s">
        <v>238</v>
      </c>
      <c r="FV150" s="324">
        <f t="shared" si="636"/>
        <v>3362788</v>
      </c>
      <c r="FW150" s="321">
        <f t="shared" si="637"/>
        <v>3362788</v>
      </c>
      <c r="FX150" s="179">
        <f t="shared" si="582"/>
        <v>0</v>
      </c>
      <c r="FY150" s="9">
        <v>3362788</v>
      </c>
      <c r="FZ150" s="18" t="s">
        <v>238</v>
      </c>
      <c r="GA150" s="18" t="s">
        <v>238</v>
      </c>
      <c r="GB150" s="324">
        <f t="shared" si="638"/>
        <v>3362788</v>
      </c>
      <c r="GC150" s="321">
        <f t="shared" si="639"/>
        <v>3362788</v>
      </c>
      <c r="GD150" s="179">
        <f t="shared" si="583"/>
        <v>0</v>
      </c>
      <c r="GE150" s="9">
        <v>3362788</v>
      </c>
      <c r="GF150" s="18" t="s">
        <v>238</v>
      </c>
      <c r="GG150" s="18" t="s">
        <v>238</v>
      </c>
      <c r="GH150" s="324">
        <f t="shared" si="640"/>
        <v>3362788</v>
      </c>
      <c r="GI150" s="321">
        <f t="shared" si="641"/>
        <v>3362788</v>
      </c>
      <c r="GJ150" s="179">
        <f t="shared" si="584"/>
        <v>0</v>
      </c>
      <c r="GK150" s="9">
        <v>3362788</v>
      </c>
      <c r="GL150" s="18" t="s">
        <v>238</v>
      </c>
      <c r="GM150" s="18" t="s">
        <v>238</v>
      </c>
      <c r="GN150" s="324">
        <f t="shared" si="642"/>
        <v>3362788</v>
      </c>
      <c r="GO150" s="321">
        <f t="shared" si="643"/>
        <v>3362788</v>
      </c>
      <c r="GP150" s="179">
        <f t="shared" si="585"/>
        <v>0</v>
      </c>
      <c r="GQ150" s="9">
        <v>3362788</v>
      </c>
      <c r="GR150" s="18" t="s">
        <v>238</v>
      </c>
      <c r="GS150" s="18" t="s">
        <v>238</v>
      </c>
      <c r="GT150" s="324">
        <f t="shared" si="644"/>
        <v>3362788</v>
      </c>
      <c r="GU150" s="321">
        <f t="shared" si="645"/>
        <v>3362788</v>
      </c>
      <c r="GV150" s="179">
        <f t="shared" si="586"/>
        <v>0</v>
      </c>
      <c r="GW150" s="9">
        <v>3530927</v>
      </c>
      <c r="GX150" s="18" t="s">
        <v>238</v>
      </c>
      <c r="GY150" s="18" t="s">
        <v>238</v>
      </c>
      <c r="GZ150" s="324">
        <f t="shared" si="646"/>
        <v>3530927</v>
      </c>
      <c r="HA150" s="321">
        <f t="shared" si="647"/>
        <v>3530927</v>
      </c>
      <c r="HB150" s="179">
        <f t="shared" si="587"/>
        <v>168139</v>
      </c>
      <c r="HC150" s="102">
        <f t="shared" si="588"/>
        <v>0.23913386232588701</v>
      </c>
      <c r="HD150" s="285">
        <f t="shared" si="589"/>
        <v>-3.4924596548080444E-10</v>
      </c>
      <c r="HE150" s="12">
        <f t="shared" si="590"/>
        <v>168139.40000000002</v>
      </c>
      <c r="HF150" s="12">
        <f t="shared" si="591"/>
        <v>0.40000000002328306</v>
      </c>
      <c r="HG150" s="12">
        <f t="shared" si="592"/>
        <v>168139</v>
      </c>
      <c r="HH150" s="14">
        <f t="shared" si="593"/>
        <v>168139</v>
      </c>
      <c r="HI150" s="13">
        <f t="shared" si="594"/>
        <v>3530927</v>
      </c>
      <c r="HJ150" s="102">
        <f t="shared" si="595"/>
        <v>0.25109052699746676</v>
      </c>
      <c r="HK150" s="16">
        <f t="shared" si="596"/>
        <v>3362788</v>
      </c>
      <c r="HL150" s="103">
        <f t="shared" si="597"/>
        <v>3530927.4000000004</v>
      </c>
      <c r="HM150" s="103">
        <f t="shared" si="598"/>
        <v>168139.40000000037</v>
      </c>
      <c r="HN150" s="17">
        <f t="shared" si="599"/>
        <v>0.40000000002328306</v>
      </c>
      <c r="HO150" s="56">
        <f t="shared" si="600"/>
        <v>168139.00000000035</v>
      </c>
      <c r="HP150" s="16">
        <f t="shared" si="601"/>
        <v>3.4924596548080444E-10</v>
      </c>
      <c r="HQ150" s="16">
        <f t="shared" si="602"/>
        <v>3530927.0000000005</v>
      </c>
      <c r="HR150" s="16">
        <f t="shared" si="603"/>
        <v>0</v>
      </c>
    </row>
    <row r="151" spans="1:226" x14ac:dyDescent="0.3">
      <c r="A151" s="65">
        <v>6</v>
      </c>
      <c r="B151" s="213"/>
      <c r="C151" s="172" t="s">
        <v>527</v>
      </c>
      <c r="D151" s="173" t="s">
        <v>499</v>
      </c>
      <c r="E151" s="66"/>
      <c r="F151" s="66"/>
      <c r="G151" s="66"/>
      <c r="H151" s="67"/>
      <c r="I151" s="67"/>
      <c r="J151" s="67"/>
      <c r="K151" s="67"/>
      <c r="L151" s="67"/>
      <c r="M151" s="68"/>
      <c r="N151" s="68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6"/>
      <c r="AD151" s="66"/>
      <c r="AE151" s="69"/>
      <c r="AF151" s="69"/>
      <c r="AG151" s="66"/>
      <c r="AH151" s="66"/>
      <c r="AI151" s="69"/>
      <c r="AJ151" s="69"/>
      <c r="AK151" s="66"/>
      <c r="AL151" s="66"/>
      <c r="AM151" s="69"/>
      <c r="AN151" s="69"/>
      <c r="AO151" s="66"/>
      <c r="AP151" s="66"/>
      <c r="AQ151" s="70"/>
      <c r="AR151" s="78">
        <v>10700000</v>
      </c>
      <c r="AS151" s="72">
        <v>0</v>
      </c>
      <c r="AT151" s="66">
        <v>0</v>
      </c>
      <c r="AU151" s="69">
        <f t="shared" si="548"/>
        <v>10700000</v>
      </c>
      <c r="AV151" s="66">
        <f t="shared" si="604"/>
        <v>10700000</v>
      </c>
      <c r="AW151" s="66">
        <v>0</v>
      </c>
      <c r="AX151" s="66">
        <v>0</v>
      </c>
      <c r="AY151" s="69">
        <f t="shared" si="605"/>
        <v>10700000</v>
      </c>
      <c r="AZ151" s="8">
        <f t="shared" si="606"/>
        <v>535000</v>
      </c>
      <c r="BA151" s="8"/>
      <c r="BB151" s="8">
        <f t="shared" si="607"/>
        <v>535000</v>
      </c>
      <c r="BC151" s="8">
        <f t="shared" si="608"/>
        <v>11235000</v>
      </c>
      <c r="BD151" s="8"/>
      <c r="BE151" s="8">
        <f t="shared" si="609"/>
        <v>11235000</v>
      </c>
      <c r="BF151" s="10">
        <f t="shared" si="610"/>
        <v>535000</v>
      </c>
      <c r="BG151" s="11">
        <f t="shared" si="611"/>
        <v>0</v>
      </c>
      <c r="BH151" s="319">
        <v>11235000</v>
      </c>
      <c r="BI151" s="319">
        <v>0</v>
      </c>
      <c r="BJ151" s="319">
        <v>0</v>
      </c>
      <c r="BK151" s="319">
        <f t="shared" si="549"/>
        <v>11235000</v>
      </c>
      <c r="BL151" s="319">
        <v>11235000</v>
      </c>
      <c r="BM151" s="319">
        <v>0</v>
      </c>
      <c r="BN151" s="319">
        <v>0</v>
      </c>
      <c r="BO151" s="319">
        <f t="shared" si="550"/>
        <v>11235000</v>
      </c>
      <c r="BP151" s="319">
        <f t="shared" si="551"/>
        <v>0</v>
      </c>
      <c r="BQ151" s="319">
        <v>11235000</v>
      </c>
      <c r="BR151" s="319">
        <v>0</v>
      </c>
      <c r="BS151" s="319">
        <v>0</v>
      </c>
      <c r="BT151" s="319">
        <f t="shared" si="552"/>
        <v>11235000</v>
      </c>
      <c r="BU151" s="319">
        <f t="shared" si="553"/>
        <v>0</v>
      </c>
      <c r="BV151" s="319">
        <v>11235000</v>
      </c>
      <c r="BW151" s="319">
        <v>0</v>
      </c>
      <c r="BX151" s="319">
        <v>0</v>
      </c>
      <c r="BY151" s="319">
        <f t="shared" si="554"/>
        <v>11235000</v>
      </c>
      <c r="BZ151" s="319">
        <f t="shared" si="555"/>
        <v>0</v>
      </c>
      <c r="CA151" s="319">
        <v>11235000</v>
      </c>
      <c r="CB151" s="319">
        <v>0</v>
      </c>
      <c r="CC151" s="319">
        <v>0</v>
      </c>
      <c r="CD151" s="319">
        <f t="shared" si="556"/>
        <v>11235000</v>
      </c>
      <c r="CE151" s="319">
        <f t="shared" si="557"/>
        <v>0</v>
      </c>
      <c r="CF151" s="319">
        <v>11235000</v>
      </c>
      <c r="CG151" s="319">
        <v>0</v>
      </c>
      <c r="CH151" s="319">
        <v>0</v>
      </c>
      <c r="CI151" s="319">
        <f t="shared" si="558"/>
        <v>11235000</v>
      </c>
      <c r="CJ151" s="319">
        <f t="shared" si="559"/>
        <v>0</v>
      </c>
      <c r="CK151" s="319">
        <v>11235000</v>
      </c>
      <c r="CL151" s="319">
        <v>0</v>
      </c>
      <c r="CM151" s="319">
        <v>0</v>
      </c>
      <c r="CN151" s="319">
        <f t="shared" si="560"/>
        <v>11235000</v>
      </c>
      <c r="CO151" s="319">
        <f t="shared" si="561"/>
        <v>0</v>
      </c>
      <c r="CP151" s="319">
        <v>11235000</v>
      </c>
      <c r="CQ151" s="319">
        <v>0</v>
      </c>
      <c r="CR151" s="319">
        <v>0</v>
      </c>
      <c r="CS151" s="319">
        <f t="shared" si="562"/>
        <v>11235000</v>
      </c>
      <c r="CT151" s="319">
        <f t="shared" si="563"/>
        <v>0</v>
      </c>
      <c r="CU151" s="319">
        <v>11235000</v>
      </c>
      <c r="CV151" s="319">
        <v>0</v>
      </c>
      <c r="CW151" s="319">
        <v>0</v>
      </c>
      <c r="CX151" s="319">
        <f t="shared" si="564"/>
        <v>11235000</v>
      </c>
      <c r="CY151" s="319">
        <f t="shared" si="565"/>
        <v>0</v>
      </c>
      <c r="CZ151" s="319"/>
      <c r="DA151" s="319"/>
      <c r="DB151" s="319"/>
      <c r="DC151" s="12">
        <f t="shared" si="612"/>
        <v>1123500</v>
      </c>
      <c r="DD151" s="12">
        <v>0</v>
      </c>
      <c r="DE151" s="13">
        <f t="shared" si="566"/>
        <v>1123500</v>
      </c>
      <c r="DF151" s="14">
        <f t="shared" si="567"/>
        <v>1123500</v>
      </c>
      <c r="DG151" s="13">
        <f t="shared" si="568"/>
        <v>12358500</v>
      </c>
      <c r="DH151" s="15">
        <f t="shared" si="569"/>
        <v>0.8788350135525862</v>
      </c>
      <c r="DI151" s="16">
        <f t="shared" si="570"/>
        <v>11235000</v>
      </c>
      <c r="DJ151" s="132">
        <f t="shared" si="613"/>
        <v>12358500.000000002</v>
      </c>
      <c r="DK151" s="17">
        <f t="shared" si="614"/>
        <v>1123500.0000000019</v>
      </c>
      <c r="DL151" s="17">
        <f t="shared" si="571"/>
        <v>0</v>
      </c>
      <c r="DM151" s="16">
        <f t="shared" si="615"/>
        <v>1123500.0000000019</v>
      </c>
      <c r="DN151" s="16">
        <f t="shared" si="572"/>
        <v>1.862645149230957E-9</v>
      </c>
      <c r="DO151" s="16">
        <f t="shared" si="616"/>
        <v>12358500.000000002</v>
      </c>
      <c r="DP151" s="16">
        <f t="shared" si="573"/>
        <v>0</v>
      </c>
      <c r="DQ151" s="9">
        <v>12358500</v>
      </c>
      <c r="DR151" s="18" t="s">
        <v>238</v>
      </c>
      <c r="DS151" s="18" t="s">
        <v>238</v>
      </c>
      <c r="DT151" s="324">
        <f t="shared" si="617"/>
        <v>12358500</v>
      </c>
      <c r="DU151" s="321">
        <f t="shared" si="618"/>
        <v>12358500</v>
      </c>
      <c r="DV151" s="19">
        <f t="shared" si="619"/>
        <v>0</v>
      </c>
      <c r="DW151" s="9">
        <v>12358500</v>
      </c>
      <c r="DX151" s="18"/>
      <c r="DY151" s="18"/>
      <c r="DZ151" s="324">
        <f t="shared" si="620"/>
        <v>12358500</v>
      </c>
      <c r="EA151" s="321">
        <f t="shared" si="621"/>
        <v>12358500</v>
      </c>
      <c r="EB151" s="179">
        <f t="shared" si="574"/>
        <v>0</v>
      </c>
      <c r="EC151" s="9">
        <v>12358500</v>
      </c>
      <c r="ED151" s="18" t="s">
        <v>238</v>
      </c>
      <c r="EE151" s="18" t="s">
        <v>238</v>
      </c>
      <c r="EF151" s="324">
        <f t="shared" si="622"/>
        <v>12358500</v>
      </c>
      <c r="EG151" s="321">
        <f t="shared" si="623"/>
        <v>12358500</v>
      </c>
      <c r="EH151" s="179">
        <f t="shared" si="575"/>
        <v>0</v>
      </c>
      <c r="EI151" s="9">
        <v>12358500</v>
      </c>
      <c r="EJ151" s="18" t="s">
        <v>238</v>
      </c>
      <c r="EK151" s="18" t="s">
        <v>238</v>
      </c>
      <c r="EL151" s="324">
        <f t="shared" si="624"/>
        <v>12358500</v>
      </c>
      <c r="EM151" s="321">
        <f t="shared" si="625"/>
        <v>12358500</v>
      </c>
      <c r="EN151" s="179">
        <f t="shared" si="576"/>
        <v>0</v>
      </c>
      <c r="EO151" s="9">
        <v>12358500</v>
      </c>
      <c r="EP151" s="18" t="s">
        <v>238</v>
      </c>
      <c r="EQ151" s="18" t="s">
        <v>238</v>
      </c>
      <c r="ER151" s="324">
        <f t="shared" si="626"/>
        <v>12358500</v>
      </c>
      <c r="ES151" s="321">
        <f t="shared" si="627"/>
        <v>12358500</v>
      </c>
      <c r="ET151" s="179">
        <f t="shared" si="577"/>
        <v>0</v>
      </c>
      <c r="EU151" s="9">
        <v>12358500</v>
      </c>
      <c r="EV151" s="18" t="s">
        <v>238</v>
      </c>
      <c r="EW151" s="18" t="s">
        <v>238</v>
      </c>
      <c r="EX151" s="324">
        <f t="shared" si="628"/>
        <v>12358500</v>
      </c>
      <c r="EY151" s="321">
        <f t="shared" si="629"/>
        <v>12358500</v>
      </c>
      <c r="EZ151" s="179">
        <f t="shared" si="578"/>
        <v>0</v>
      </c>
      <c r="FA151" s="9">
        <v>12358500</v>
      </c>
      <c r="FB151" s="18" t="s">
        <v>238</v>
      </c>
      <c r="FC151" s="18" t="s">
        <v>238</v>
      </c>
      <c r="FD151" s="324">
        <f t="shared" si="630"/>
        <v>12358500</v>
      </c>
      <c r="FE151" s="321">
        <f t="shared" si="631"/>
        <v>12358500</v>
      </c>
      <c r="FF151" s="179">
        <f t="shared" si="579"/>
        <v>0</v>
      </c>
      <c r="FG151" s="9">
        <v>12358500</v>
      </c>
      <c r="FH151" s="18" t="s">
        <v>238</v>
      </c>
      <c r="FI151" s="18" t="s">
        <v>238</v>
      </c>
      <c r="FJ151" s="324">
        <f t="shared" si="632"/>
        <v>12358500</v>
      </c>
      <c r="FK151" s="321">
        <f t="shared" si="633"/>
        <v>12358500</v>
      </c>
      <c r="FL151" s="179">
        <f t="shared" si="580"/>
        <v>0</v>
      </c>
      <c r="FM151" s="9">
        <v>12358500</v>
      </c>
      <c r="FN151" s="18" t="s">
        <v>238</v>
      </c>
      <c r="FO151" s="18" t="s">
        <v>238</v>
      </c>
      <c r="FP151" s="324">
        <f t="shared" si="634"/>
        <v>12358500</v>
      </c>
      <c r="FQ151" s="321">
        <f t="shared" si="635"/>
        <v>12358500</v>
      </c>
      <c r="FR151" s="179">
        <f t="shared" si="581"/>
        <v>0</v>
      </c>
      <c r="FS151" s="9">
        <v>12358500</v>
      </c>
      <c r="FT151" s="18" t="s">
        <v>238</v>
      </c>
      <c r="FU151" s="18" t="s">
        <v>238</v>
      </c>
      <c r="FV151" s="324">
        <f t="shared" si="636"/>
        <v>12358500</v>
      </c>
      <c r="FW151" s="321">
        <f t="shared" si="637"/>
        <v>12358500</v>
      </c>
      <c r="FX151" s="179">
        <f t="shared" si="582"/>
        <v>0</v>
      </c>
      <c r="FY151" s="9">
        <v>12358500</v>
      </c>
      <c r="FZ151" s="18" t="s">
        <v>238</v>
      </c>
      <c r="GA151" s="18" t="s">
        <v>238</v>
      </c>
      <c r="GB151" s="324">
        <f t="shared" si="638"/>
        <v>12358500</v>
      </c>
      <c r="GC151" s="321">
        <f t="shared" si="639"/>
        <v>12358500</v>
      </c>
      <c r="GD151" s="179">
        <f t="shared" si="583"/>
        <v>0</v>
      </c>
      <c r="GE151" s="9">
        <v>12358500</v>
      </c>
      <c r="GF151" s="18" t="s">
        <v>238</v>
      </c>
      <c r="GG151" s="18" t="s">
        <v>238</v>
      </c>
      <c r="GH151" s="324">
        <f t="shared" si="640"/>
        <v>12358500</v>
      </c>
      <c r="GI151" s="321">
        <f t="shared" si="641"/>
        <v>12358500</v>
      </c>
      <c r="GJ151" s="179">
        <f t="shared" si="584"/>
        <v>0</v>
      </c>
      <c r="GK151" s="9">
        <v>12358500</v>
      </c>
      <c r="GL151" s="18" t="s">
        <v>238</v>
      </c>
      <c r="GM151" s="18" t="s">
        <v>238</v>
      </c>
      <c r="GN151" s="324">
        <f t="shared" si="642"/>
        <v>12358500</v>
      </c>
      <c r="GO151" s="321">
        <f t="shared" si="643"/>
        <v>12358500</v>
      </c>
      <c r="GP151" s="179">
        <f t="shared" si="585"/>
        <v>0</v>
      </c>
      <c r="GQ151" s="9">
        <v>12358500</v>
      </c>
      <c r="GR151" s="18" t="s">
        <v>238</v>
      </c>
      <c r="GS151" s="18" t="s">
        <v>238</v>
      </c>
      <c r="GT151" s="324">
        <f t="shared" si="644"/>
        <v>12358500</v>
      </c>
      <c r="GU151" s="321">
        <f t="shared" si="645"/>
        <v>12358500</v>
      </c>
      <c r="GV151" s="179">
        <f t="shared" si="586"/>
        <v>0</v>
      </c>
      <c r="GW151" s="9">
        <v>12976425</v>
      </c>
      <c r="GX151" s="18" t="s">
        <v>238</v>
      </c>
      <c r="GY151" s="18" t="s">
        <v>238</v>
      </c>
      <c r="GZ151" s="324">
        <f t="shared" si="646"/>
        <v>12976425</v>
      </c>
      <c r="HA151" s="321">
        <f t="shared" si="647"/>
        <v>12976425</v>
      </c>
      <c r="HB151" s="179">
        <f t="shared" si="587"/>
        <v>617925</v>
      </c>
      <c r="HC151" s="102">
        <f t="shared" si="588"/>
        <v>0.87883501355258631</v>
      </c>
      <c r="HD151" s="285">
        <f t="shared" si="589"/>
        <v>0</v>
      </c>
      <c r="HE151" s="12">
        <f t="shared" si="590"/>
        <v>617925</v>
      </c>
      <c r="HF151" s="12">
        <f t="shared" si="591"/>
        <v>0</v>
      </c>
      <c r="HG151" s="12">
        <f t="shared" si="592"/>
        <v>617925</v>
      </c>
      <c r="HH151" s="14">
        <f t="shared" si="593"/>
        <v>617925</v>
      </c>
      <c r="HI151" s="13">
        <f t="shared" si="594"/>
        <v>12976425</v>
      </c>
      <c r="HJ151" s="102">
        <f t="shared" si="595"/>
        <v>0.9227767642302156</v>
      </c>
      <c r="HK151" s="16">
        <f t="shared" si="596"/>
        <v>12358500</v>
      </c>
      <c r="HL151" s="103">
        <f t="shared" si="597"/>
        <v>12976425</v>
      </c>
      <c r="HM151" s="103">
        <f t="shared" si="598"/>
        <v>617925</v>
      </c>
      <c r="HN151" s="17">
        <f t="shared" si="599"/>
        <v>0</v>
      </c>
      <c r="HO151" s="56">
        <f t="shared" si="600"/>
        <v>617925</v>
      </c>
      <c r="HP151" s="16">
        <f t="shared" si="601"/>
        <v>0</v>
      </c>
      <c r="HQ151" s="16">
        <f t="shared" si="602"/>
        <v>12976425</v>
      </c>
      <c r="HR151" s="16">
        <f t="shared" si="603"/>
        <v>0</v>
      </c>
    </row>
    <row r="152" spans="1:226" ht="10.8" thickBot="1" x14ac:dyDescent="0.35">
      <c r="A152" s="199">
        <v>7</v>
      </c>
      <c r="B152" s="214"/>
      <c r="C152" s="69" t="s">
        <v>526</v>
      </c>
      <c r="D152" s="200" t="s">
        <v>500</v>
      </c>
      <c r="E152" s="66"/>
      <c r="F152" s="66"/>
      <c r="G152" s="66"/>
      <c r="H152" s="67"/>
      <c r="I152" s="67"/>
      <c r="J152" s="67"/>
      <c r="K152" s="67"/>
      <c r="L152" s="67"/>
      <c r="M152" s="68"/>
      <c r="N152" s="68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6"/>
      <c r="AD152" s="66"/>
      <c r="AE152" s="69"/>
      <c r="AF152" s="69"/>
      <c r="AG152" s="66"/>
      <c r="AH152" s="66"/>
      <c r="AI152" s="69"/>
      <c r="AJ152" s="69"/>
      <c r="AK152" s="66"/>
      <c r="AL152" s="66"/>
      <c r="AM152" s="69"/>
      <c r="AN152" s="69"/>
      <c r="AO152" s="66"/>
      <c r="AP152" s="66"/>
      <c r="AQ152" s="70"/>
      <c r="AR152" s="76">
        <v>6000001</v>
      </c>
      <c r="AS152" s="72">
        <v>0</v>
      </c>
      <c r="AT152" s="66">
        <v>0</v>
      </c>
      <c r="AU152" s="73">
        <f t="shared" si="548"/>
        <v>6000001</v>
      </c>
      <c r="AV152" s="66">
        <f t="shared" si="604"/>
        <v>6000001</v>
      </c>
      <c r="AW152" s="66">
        <v>0</v>
      </c>
      <c r="AX152" s="66">
        <v>0</v>
      </c>
      <c r="AY152" s="69">
        <f t="shared" si="605"/>
        <v>6000001</v>
      </c>
      <c r="AZ152" s="8">
        <f t="shared" si="606"/>
        <v>300000.05</v>
      </c>
      <c r="BA152" s="8">
        <v>0.05</v>
      </c>
      <c r="BB152" s="8">
        <f t="shared" si="607"/>
        <v>300000</v>
      </c>
      <c r="BC152" s="8">
        <f t="shared" si="608"/>
        <v>6300001</v>
      </c>
      <c r="BD152" s="8"/>
      <c r="BE152" s="8">
        <f t="shared" si="609"/>
        <v>6300001</v>
      </c>
      <c r="BF152" s="10">
        <f t="shared" si="610"/>
        <v>300000</v>
      </c>
      <c r="BG152" s="11">
        <f t="shared" si="611"/>
        <v>0</v>
      </c>
      <c r="BH152" s="319">
        <v>6300001</v>
      </c>
      <c r="BI152" s="319">
        <v>0</v>
      </c>
      <c r="BJ152" s="319">
        <v>0</v>
      </c>
      <c r="BK152" s="319">
        <f t="shared" si="549"/>
        <v>6300001</v>
      </c>
      <c r="BL152" s="319">
        <v>6300001</v>
      </c>
      <c r="BM152" s="319">
        <v>0</v>
      </c>
      <c r="BN152" s="319">
        <v>0</v>
      </c>
      <c r="BO152" s="319">
        <f t="shared" si="550"/>
        <v>6300001</v>
      </c>
      <c r="BP152" s="319">
        <f t="shared" si="551"/>
        <v>0</v>
      </c>
      <c r="BQ152" s="319">
        <v>6300001</v>
      </c>
      <c r="BR152" s="319">
        <v>0</v>
      </c>
      <c r="BS152" s="319">
        <v>0</v>
      </c>
      <c r="BT152" s="319">
        <f t="shared" si="552"/>
        <v>6300001</v>
      </c>
      <c r="BU152" s="319">
        <f t="shared" si="553"/>
        <v>0</v>
      </c>
      <c r="BV152" s="319">
        <v>6300001</v>
      </c>
      <c r="BW152" s="319">
        <v>0</v>
      </c>
      <c r="BX152" s="319">
        <v>0</v>
      </c>
      <c r="BY152" s="319">
        <f t="shared" si="554"/>
        <v>6300001</v>
      </c>
      <c r="BZ152" s="319">
        <f t="shared" si="555"/>
        <v>0</v>
      </c>
      <c r="CA152" s="319">
        <v>6300001</v>
      </c>
      <c r="CB152" s="319">
        <v>0</v>
      </c>
      <c r="CC152" s="319">
        <v>0</v>
      </c>
      <c r="CD152" s="319">
        <f t="shared" si="556"/>
        <v>6300001</v>
      </c>
      <c r="CE152" s="319">
        <f t="shared" si="557"/>
        <v>0</v>
      </c>
      <c r="CF152" s="319">
        <v>6300001</v>
      </c>
      <c r="CG152" s="319">
        <v>0</v>
      </c>
      <c r="CH152" s="319">
        <v>0</v>
      </c>
      <c r="CI152" s="319">
        <f t="shared" si="558"/>
        <v>6300001</v>
      </c>
      <c r="CJ152" s="319">
        <f t="shared" si="559"/>
        <v>0</v>
      </c>
      <c r="CK152" s="319">
        <v>6300001</v>
      </c>
      <c r="CL152" s="319">
        <v>0</v>
      </c>
      <c r="CM152" s="319">
        <v>0</v>
      </c>
      <c r="CN152" s="319">
        <f t="shared" si="560"/>
        <v>6300001</v>
      </c>
      <c r="CO152" s="319">
        <f t="shared" si="561"/>
        <v>0</v>
      </c>
      <c r="CP152" s="319">
        <v>6300001</v>
      </c>
      <c r="CQ152" s="319">
        <v>0</v>
      </c>
      <c r="CR152" s="319">
        <v>0</v>
      </c>
      <c r="CS152" s="319">
        <f t="shared" si="562"/>
        <v>6300001</v>
      </c>
      <c r="CT152" s="319">
        <f t="shared" si="563"/>
        <v>0</v>
      </c>
      <c r="CU152" s="319">
        <v>6300001</v>
      </c>
      <c r="CV152" s="319">
        <v>0</v>
      </c>
      <c r="CW152" s="319">
        <v>0</v>
      </c>
      <c r="CX152" s="319">
        <f t="shared" si="564"/>
        <v>6300001</v>
      </c>
      <c r="CY152" s="319">
        <f t="shared" si="565"/>
        <v>0</v>
      </c>
      <c r="CZ152" s="319"/>
      <c r="DA152" s="319"/>
      <c r="DB152" s="319"/>
      <c r="DC152" s="12">
        <f t="shared" si="612"/>
        <v>630000.10000000009</v>
      </c>
      <c r="DD152" s="12">
        <v>0.1</v>
      </c>
      <c r="DE152" s="13">
        <f t="shared" si="566"/>
        <v>630000.00000000012</v>
      </c>
      <c r="DF152" s="14">
        <f t="shared" si="567"/>
        <v>630000.00000000012</v>
      </c>
      <c r="DG152" s="13">
        <f t="shared" si="568"/>
        <v>6930001</v>
      </c>
      <c r="DH152" s="15">
        <f t="shared" si="569"/>
        <v>0.4928047587197425</v>
      </c>
      <c r="DI152" s="16">
        <f t="shared" si="570"/>
        <v>6300001</v>
      </c>
      <c r="DJ152" s="132">
        <f t="shared" si="613"/>
        <v>6930001.1000000006</v>
      </c>
      <c r="DK152" s="17">
        <f t="shared" si="614"/>
        <v>630000.10000000056</v>
      </c>
      <c r="DL152" s="17">
        <f t="shared" si="571"/>
        <v>0.1</v>
      </c>
      <c r="DM152" s="16">
        <f t="shared" si="615"/>
        <v>630000.00000000058</v>
      </c>
      <c r="DN152" s="16">
        <f t="shared" si="572"/>
        <v>0</v>
      </c>
      <c r="DO152" s="16">
        <f t="shared" si="616"/>
        <v>6930001.0000000009</v>
      </c>
      <c r="DP152" s="16">
        <f t="shared" si="573"/>
        <v>0</v>
      </c>
      <c r="DQ152" s="9">
        <v>6930001</v>
      </c>
      <c r="DR152" s="18" t="s">
        <v>238</v>
      </c>
      <c r="DS152" s="18" t="s">
        <v>238</v>
      </c>
      <c r="DT152" s="324">
        <f t="shared" si="617"/>
        <v>6930001</v>
      </c>
      <c r="DU152" s="321">
        <f t="shared" si="618"/>
        <v>6930001</v>
      </c>
      <c r="DV152" s="19">
        <f t="shared" si="619"/>
        <v>0</v>
      </c>
      <c r="DW152" s="9">
        <v>6930001</v>
      </c>
      <c r="DX152" s="18"/>
      <c r="DY152" s="18"/>
      <c r="DZ152" s="324">
        <f t="shared" si="620"/>
        <v>6930001</v>
      </c>
      <c r="EA152" s="321">
        <f t="shared" si="621"/>
        <v>6930001</v>
      </c>
      <c r="EB152" s="179">
        <f t="shared" si="574"/>
        <v>0</v>
      </c>
      <c r="EC152" s="9">
        <v>6930001</v>
      </c>
      <c r="ED152" s="18" t="s">
        <v>238</v>
      </c>
      <c r="EE152" s="18" t="s">
        <v>238</v>
      </c>
      <c r="EF152" s="324">
        <f t="shared" si="622"/>
        <v>6930001</v>
      </c>
      <c r="EG152" s="321">
        <f t="shared" si="623"/>
        <v>6930001</v>
      </c>
      <c r="EH152" s="179">
        <f t="shared" si="575"/>
        <v>0</v>
      </c>
      <c r="EI152" s="9">
        <v>6930001</v>
      </c>
      <c r="EJ152" s="18" t="s">
        <v>238</v>
      </c>
      <c r="EK152" s="18" t="s">
        <v>238</v>
      </c>
      <c r="EL152" s="324">
        <f t="shared" si="624"/>
        <v>6930001</v>
      </c>
      <c r="EM152" s="321">
        <f t="shared" si="625"/>
        <v>6930001</v>
      </c>
      <c r="EN152" s="179">
        <f t="shared" si="576"/>
        <v>0</v>
      </c>
      <c r="EO152" s="9">
        <v>6930001</v>
      </c>
      <c r="EP152" s="18" t="s">
        <v>238</v>
      </c>
      <c r="EQ152" s="18" t="s">
        <v>238</v>
      </c>
      <c r="ER152" s="324">
        <f t="shared" si="626"/>
        <v>6930001</v>
      </c>
      <c r="ES152" s="321">
        <f t="shared" si="627"/>
        <v>6930001</v>
      </c>
      <c r="ET152" s="179">
        <f t="shared" si="577"/>
        <v>0</v>
      </c>
      <c r="EU152" s="9">
        <v>6930001</v>
      </c>
      <c r="EV152" s="18" t="s">
        <v>238</v>
      </c>
      <c r="EW152" s="18" t="s">
        <v>238</v>
      </c>
      <c r="EX152" s="324">
        <f t="shared" si="628"/>
        <v>6930001</v>
      </c>
      <c r="EY152" s="321">
        <f t="shared" si="629"/>
        <v>6930001</v>
      </c>
      <c r="EZ152" s="179">
        <f t="shared" si="578"/>
        <v>0</v>
      </c>
      <c r="FA152" s="9">
        <v>6930001</v>
      </c>
      <c r="FB152" s="18" t="s">
        <v>238</v>
      </c>
      <c r="FC152" s="18" t="s">
        <v>238</v>
      </c>
      <c r="FD152" s="324">
        <f t="shared" si="630"/>
        <v>6930001</v>
      </c>
      <c r="FE152" s="321">
        <f t="shared" si="631"/>
        <v>6930001</v>
      </c>
      <c r="FF152" s="179">
        <f t="shared" si="579"/>
        <v>0</v>
      </c>
      <c r="FG152" s="9">
        <v>6930001</v>
      </c>
      <c r="FH152" s="18" t="s">
        <v>238</v>
      </c>
      <c r="FI152" s="18" t="s">
        <v>238</v>
      </c>
      <c r="FJ152" s="324">
        <f t="shared" si="632"/>
        <v>6930001</v>
      </c>
      <c r="FK152" s="321">
        <f t="shared" si="633"/>
        <v>6930001</v>
      </c>
      <c r="FL152" s="179">
        <f t="shared" si="580"/>
        <v>0</v>
      </c>
      <c r="FM152" s="9">
        <v>6930001</v>
      </c>
      <c r="FN152" s="18" t="s">
        <v>238</v>
      </c>
      <c r="FO152" s="18" t="s">
        <v>238</v>
      </c>
      <c r="FP152" s="324">
        <f t="shared" si="634"/>
        <v>6930001</v>
      </c>
      <c r="FQ152" s="321">
        <f t="shared" si="635"/>
        <v>6930001</v>
      </c>
      <c r="FR152" s="179">
        <f t="shared" si="581"/>
        <v>0</v>
      </c>
      <c r="FS152" s="9">
        <v>6930001</v>
      </c>
      <c r="FT152" s="18" t="s">
        <v>238</v>
      </c>
      <c r="FU152" s="18" t="s">
        <v>238</v>
      </c>
      <c r="FV152" s="324">
        <f t="shared" si="636"/>
        <v>6930001</v>
      </c>
      <c r="FW152" s="321">
        <f t="shared" si="637"/>
        <v>6930001</v>
      </c>
      <c r="FX152" s="179">
        <f t="shared" si="582"/>
        <v>0</v>
      </c>
      <c r="FY152" s="9">
        <v>6930001</v>
      </c>
      <c r="FZ152" s="18" t="s">
        <v>238</v>
      </c>
      <c r="GA152" s="18" t="s">
        <v>238</v>
      </c>
      <c r="GB152" s="324">
        <f t="shared" si="638"/>
        <v>6930001</v>
      </c>
      <c r="GC152" s="321">
        <f t="shared" si="639"/>
        <v>6930001</v>
      </c>
      <c r="GD152" s="179">
        <f t="shared" si="583"/>
        <v>0</v>
      </c>
      <c r="GE152" s="9">
        <v>6930001</v>
      </c>
      <c r="GF152" s="18" t="s">
        <v>238</v>
      </c>
      <c r="GG152" s="18" t="s">
        <v>238</v>
      </c>
      <c r="GH152" s="324">
        <f t="shared" si="640"/>
        <v>6930001</v>
      </c>
      <c r="GI152" s="321">
        <f t="shared" si="641"/>
        <v>6930001</v>
      </c>
      <c r="GJ152" s="179">
        <f t="shared" si="584"/>
        <v>0</v>
      </c>
      <c r="GK152" s="9">
        <v>6930001</v>
      </c>
      <c r="GL152" s="18" t="s">
        <v>238</v>
      </c>
      <c r="GM152" s="18" t="s">
        <v>238</v>
      </c>
      <c r="GN152" s="324">
        <f t="shared" si="642"/>
        <v>6930001</v>
      </c>
      <c r="GO152" s="321">
        <f t="shared" si="643"/>
        <v>6930001</v>
      </c>
      <c r="GP152" s="179">
        <f t="shared" si="585"/>
        <v>0</v>
      </c>
      <c r="GQ152" s="9">
        <v>6930001</v>
      </c>
      <c r="GR152" s="18" t="s">
        <v>238</v>
      </c>
      <c r="GS152" s="18" t="s">
        <v>238</v>
      </c>
      <c r="GT152" s="324">
        <f t="shared" si="644"/>
        <v>6930001</v>
      </c>
      <c r="GU152" s="321">
        <f t="shared" si="645"/>
        <v>6930001</v>
      </c>
      <c r="GV152" s="179">
        <f t="shared" si="586"/>
        <v>0</v>
      </c>
      <c r="GW152" s="9">
        <v>7276501</v>
      </c>
      <c r="GX152" s="18" t="s">
        <v>238</v>
      </c>
      <c r="GY152" s="18" t="s">
        <v>238</v>
      </c>
      <c r="GZ152" s="324">
        <f t="shared" si="646"/>
        <v>7276501</v>
      </c>
      <c r="HA152" s="321">
        <f t="shared" si="647"/>
        <v>7276501</v>
      </c>
      <c r="HB152" s="179">
        <f t="shared" si="587"/>
        <v>346500</v>
      </c>
      <c r="HC152" s="102">
        <f t="shared" si="588"/>
        <v>0.49280475160856385</v>
      </c>
      <c r="HD152" s="285">
        <f t="shared" si="589"/>
        <v>-6.9849193096160889E-10</v>
      </c>
      <c r="HE152" s="12">
        <f t="shared" si="590"/>
        <v>346500.05000000005</v>
      </c>
      <c r="HF152" s="12">
        <f t="shared" si="591"/>
        <v>5.0000000046566129E-2</v>
      </c>
      <c r="HG152" s="12">
        <f t="shared" si="592"/>
        <v>346500</v>
      </c>
      <c r="HH152" s="14">
        <f t="shared" si="593"/>
        <v>346500</v>
      </c>
      <c r="HI152" s="13">
        <f t="shared" si="594"/>
        <v>7276501</v>
      </c>
      <c r="HJ152" s="102">
        <f t="shared" si="595"/>
        <v>0.51744498563340269</v>
      </c>
      <c r="HK152" s="16">
        <f t="shared" si="596"/>
        <v>6930001</v>
      </c>
      <c r="HL152" s="103">
        <f t="shared" si="597"/>
        <v>7276501.0500000007</v>
      </c>
      <c r="HM152" s="103">
        <f t="shared" si="598"/>
        <v>346500.05000000075</v>
      </c>
      <c r="HN152" s="17">
        <f t="shared" si="599"/>
        <v>5.0000000046566129E-2</v>
      </c>
      <c r="HO152" s="56">
        <f t="shared" si="600"/>
        <v>346500.0000000007</v>
      </c>
      <c r="HP152" s="16">
        <f t="shared" si="601"/>
        <v>6.9849193096160889E-10</v>
      </c>
      <c r="HQ152" s="16">
        <f t="shared" si="602"/>
        <v>7276501.0000000009</v>
      </c>
      <c r="HR152" s="16">
        <f t="shared" si="603"/>
        <v>0</v>
      </c>
    </row>
    <row r="153" spans="1:226" ht="10.8" thickBot="1" x14ac:dyDescent="0.35">
      <c r="A153" s="201">
        <v>8</v>
      </c>
      <c r="B153" s="202"/>
      <c r="C153" s="203" t="s">
        <v>477</v>
      </c>
      <c r="D153" s="204" t="s">
        <v>472</v>
      </c>
      <c r="E153" s="72"/>
      <c r="F153" s="66"/>
      <c r="G153" s="66"/>
      <c r="H153" s="67"/>
      <c r="I153" s="67"/>
      <c r="J153" s="67"/>
      <c r="K153" s="67"/>
      <c r="L153" s="67"/>
      <c r="M153" s="68"/>
      <c r="N153" s="68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6"/>
      <c r="AD153" s="66"/>
      <c r="AE153" s="69"/>
      <c r="AF153" s="69"/>
      <c r="AG153" s="66"/>
      <c r="AH153" s="66"/>
      <c r="AI153" s="69"/>
      <c r="AJ153" s="69"/>
      <c r="AK153" s="66"/>
      <c r="AL153" s="66"/>
      <c r="AM153" s="69"/>
      <c r="AN153" s="69">
        <v>3295000</v>
      </c>
      <c r="AO153" s="66">
        <v>0</v>
      </c>
      <c r="AP153" s="66">
        <v>0</v>
      </c>
      <c r="AQ153" s="70">
        <f>AP153+AO153+AN153</f>
        <v>3295000</v>
      </c>
      <c r="AR153" s="79" t="s">
        <v>482</v>
      </c>
      <c r="AS153" s="72">
        <v>0</v>
      </c>
      <c r="AT153" s="66">
        <v>0</v>
      </c>
      <c r="AU153" s="69">
        <f t="shared" si="548"/>
        <v>4736773</v>
      </c>
      <c r="AV153" s="66" t="str">
        <f t="shared" si="604"/>
        <v>4736773</v>
      </c>
      <c r="AW153" s="66">
        <v>0</v>
      </c>
      <c r="AX153" s="66">
        <v>0</v>
      </c>
      <c r="AY153" s="69">
        <f t="shared" si="605"/>
        <v>4736773</v>
      </c>
      <c r="AZ153" s="8">
        <f t="shared" si="606"/>
        <v>236838.65000000002</v>
      </c>
      <c r="BA153" s="8">
        <v>0.65</v>
      </c>
      <c r="BB153" s="8">
        <f t="shared" si="607"/>
        <v>236838.00000000003</v>
      </c>
      <c r="BC153" s="8">
        <f t="shared" si="608"/>
        <v>4973611</v>
      </c>
      <c r="BD153" s="8"/>
      <c r="BE153" s="8">
        <f t="shared" si="609"/>
        <v>4973611</v>
      </c>
      <c r="BF153" s="10">
        <f t="shared" si="610"/>
        <v>236838</v>
      </c>
      <c r="BG153" s="11">
        <f t="shared" si="611"/>
        <v>0</v>
      </c>
      <c r="BH153" s="319">
        <v>4973611</v>
      </c>
      <c r="BI153" s="319">
        <v>0</v>
      </c>
      <c r="BJ153" s="319">
        <v>0</v>
      </c>
      <c r="BK153" s="319">
        <f t="shared" si="549"/>
        <v>4973611</v>
      </c>
      <c r="BL153" s="319">
        <v>4973611</v>
      </c>
      <c r="BM153" s="319">
        <v>0</v>
      </c>
      <c r="BN153" s="319">
        <v>0</v>
      </c>
      <c r="BO153" s="319">
        <f t="shared" si="550"/>
        <v>4973611</v>
      </c>
      <c r="BP153" s="319">
        <f t="shared" si="551"/>
        <v>0</v>
      </c>
      <c r="BQ153" s="319">
        <v>4973611</v>
      </c>
      <c r="BR153" s="319">
        <v>0</v>
      </c>
      <c r="BS153" s="319">
        <v>0</v>
      </c>
      <c r="BT153" s="319">
        <f t="shared" si="552"/>
        <v>4973611</v>
      </c>
      <c r="BU153" s="319">
        <f t="shared" si="553"/>
        <v>0</v>
      </c>
      <c r="BV153" s="319">
        <v>6013859</v>
      </c>
      <c r="BW153" s="319">
        <v>0</v>
      </c>
      <c r="BX153" s="319">
        <v>0</v>
      </c>
      <c r="BY153" s="319">
        <f t="shared" si="554"/>
        <v>6013859</v>
      </c>
      <c r="BZ153" s="48">
        <f t="shared" si="555"/>
        <v>1040248</v>
      </c>
      <c r="CA153" s="9">
        <v>11985000</v>
      </c>
      <c r="CB153" s="319">
        <v>0</v>
      </c>
      <c r="CC153" s="319">
        <v>0</v>
      </c>
      <c r="CD153" s="319">
        <f t="shared" si="556"/>
        <v>11985000</v>
      </c>
      <c r="CE153" s="48">
        <f t="shared" si="557"/>
        <v>5971141</v>
      </c>
      <c r="CF153" s="9">
        <v>12110000</v>
      </c>
      <c r="CG153" s="319">
        <v>0</v>
      </c>
      <c r="CH153" s="319">
        <v>0</v>
      </c>
      <c r="CI153" s="319">
        <f t="shared" si="558"/>
        <v>12110000</v>
      </c>
      <c r="CJ153" s="48">
        <f t="shared" si="559"/>
        <v>125000</v>
      </c>
      <c r="CK153" s="9">
        <v>12110000</v>
      </c>
      <c r="CL153" s="319">
        <v>0</v>
      </c>
      <c r="CM153" s="319">
        <v>0</v>
      </c>
      <c r="CN153" s="319">
        <f t="shared" si="560"/>
        <v>12110000</v>
      </c>
      <c r="CO153" s="319">
        <f t="shared" si="561"/>
        <v>0</v>
      </c>
      <c r="CP153" s="9">
        <v>12610000</v>
      </c>
      <c r="CQ153" s="319">
        <v>0</v>
      </c>
      <c r="CR153" s="319">
        <v>0</v>
      </c>
      <c r="CS153" s="319">
        <f t="shared" si="562"/>
        <v>12610000</v>
      </c>
      <c r="CT153" s="49">
        <f t="shared" si="563"/>
        <v>500000</v>
      </c>
      <c r="CU153" s="9">
        <v>13310000</v>
      </c>
      <c r="CV153" s="18" t="s">
        <v>238</v>
      </c>
      <c r="CW153" s="18" t="s">
        <v>238</v>
      </c>
      <c r="CX153" s="319">
        <f t="shared" si="564"/>
        <v>13310000</v>
      </c>
      <c r="CY153" s="48">
        <f t="shared" si="565"/>
        <v>700000</v>
      </c>
      <c r="CZ153" s="48"/>
      <c r="DA153" s="48"/>
      <c r="DB153" s="48"/>
      <c r="DC153" s="12">
        <f t="shared" si="612"/>
        <v>1331000</v>
      </c>
      <c r="DD153" s="12">
        <v>0</v>
      </c>
      <c r="DE153" s="13">
        <f t="shared" si="566"/>
        <v>1331000</v>
      </c>
      <c r="DF153" s="14">
        <f t="shared" si="567"/>
        <v>1331000</v>
      </c>
      <c r="DG153" s="13">
        <f t="shared" si="568"/>
        <v>14641000</v>
      </c>
      <c r="DH153" s="15">
        <f t="shared" si="569"/>
        <v>1.0411476662558898</v>
      </c>
      <c r="DI153" s="16">
        <f t="shared" si="570"/>
        <v>13310000</v>
      </c>
      <c r="DJ153" s="132">
        <f t="shared" si="613"/>
        <v>14641000.000000002</v>
      </c>
      <c r="DK153" s="17">
        <f t="shared" si="614"/>
        <v>1331000.0000000019</v>
      </c>
      <c r="DL153" s="17">
        <f t="shared" si="571"/>
        <v>0</v>
      </c>
      <c r="DM153" s="16">
        <f t="shared" si="615"/>
        <v>1331000.0000000019</v>
      </c>
      <c r="DN153" s="16">
        <f t="shared" si="572"/>
        <v>1.862645149230957E-9</v>
      </c>
      <c r="DO153" s="16">
        <f t="shared" si="616"/>
        <v>14641000.000000002</v>
      </c>
      <c r="DP153" s="16">
        <f t="shared" si="573"/>
        <v>0</v>
      </c>
      <c r="DQ153" s="9">
        <v>14521000</v>
      </c>
      <c r="DR153" s="18" t="s">
        <v>238</v>
      </c>
      <c r="DS153" s="18" t="s">
        <v>238</v>
      </c>
      <c r="DT153" s="324">
        <f t="shared" si="617"/>
        <v>14521000</v>
      </c>
      <c r="DU153" s="321">
        <f t="shared" si="618"/>
        <v>14521000</v>
      </c>
      <c r="DV153" s="22">
        <f t="shared" si="619"/>
        <v>-120000</v>
      </c>
      <c r="DW153" s="9">
        <v>14521000</v>
      </c>
      <c r="DX153" s="18"/>
      <c r="DY153" s="18"/>
      <c r="DZ153" s="324">
        <f t="shared" si="620"/>
        <v>14521000</v>
      </c>
      <c r="EA153" s="321">
        <f t="shared" si="621"/>
        <v>14521000</v>
      </c>
      <c r="EB153" s="179">
        <f t="shared" si="574"/>
        <v>0</v>
      </c>
      <c r="EC153" s="9">
        <v>14521000</v>
      </c>
      <c r="ED153" s="18" t="s">
        <v>238</v>
      </c>
      <c r="EE153" s="18" t="s">
        <v>238</v>
      </c>
      <c r="EF153" s="324">
        <f t="shared" si="622"/>
        <v>14521000</v>
      </c>
      <c r="EG153" s="321">
        <f t="shared" si="623"/>
        <v>14521000</v>
      </c>
      <c r="EH153" s="179">
        <f t="shared" si="575"/>
        <v>0</v>
      </c>
      <c r="EI153" s="9">
        <v>14521000</v>
      </c>
      <c r="EJ153" s="18" t="s">
        <v>238</v>
      </c>
      <c r="EK153" s="18" t="s">
        <v>238</v>
      </c>
      <c r="EL153" s="324">
        <f t="shared" si="624"/>
        <v>14521000</v>
      </c>
      <c r="EM153" s="321">
        <f t="shared" si="625"/>
        <v>14521000</v>
      </c>
      <c r="EN153" s="179">
        <f t="shared" si="576"/>
        <v>0</v>
      </c>
      <c r="EO153" s="9">
        <v>14521000</v>
      </c>
      <c r="EP153" s="18" t="s">
        <v>238</v>
      </c>
      <c r="EQ153" s="18" t="s">
        <v>238</v>
      </c>
      <c r="ER153" s="324">
        <f t="shared" si="626"/>
        <v>14521000</v>
      </c>
      <c r="ES153" s="321">
        <f t="shared" si="627"/>
        <v>14521000</v>
      </c>
      <c r="ET153" s="179">
        <f t="shared" si="577"/>
        <v>0</v>
      </c>
      <c r="EU153" s="9">
        <v>14521000</v>
      </c>
      <c r="EV153" s="18" t="s">
        <v>238</v>
      </c>
      <c r="EW153" s="18" t="s">
        <v>238</v>
      </c>
      <c r="EX153" s="324">
        <f t="shared" si="628"/>
        <v>14521000</v>
      </c>
      <c r="EY153" s="321">
        <f t="shared" si="629"/>
        <v>14521000</v>
      </c>
      <c r="EZ153" s="179">
        <f t="shared" si="578"/>
        <v>0</v>
      </c>
      <c r="FA153" s="9">
        <v>14521000</v>
      </c>
      <c r="FB153" s="18" t="s">
        <v>238</v>
      </c>
      <c r="FC153" s="18" t="s">
        <v>238</v>
      </c>
      <c r="FD153" s="324">
        <f t="shared" si="630"/>
        <v>14521000</v>
      </c>
      <c r="FE153" s="321">
        <f t="shared" si="631"/>
        <v>14521000</v>
      </c>
      <c r="FF153" s="179">
        <f t="shared" si="579"/>
        <v>0</v>
      </c>
      <c r="FG153" s="9">
        <v>14521000</v>
      </c>
      <c r="FH153" s="18" t="s">
        <v>238</v>
      </c>
      <c r="FI153" s="18" t="s">
        <v>238</v>
      </c>
      <c r="FJ153" s="324">
        <f t="shared" si="632"/>
        <v>14521000</v>
      </c>
      <c r="FK153" s="321">
        <f t="shared" si="633"/>
        <v>14521000</v>
      </c>
      <c r="FL153" s="179">
        <f t="shared" si="580"/>
        <v>0</v>
      </c>
      <c r="FM153" s="9">
        <v>14521000</v>
      </c>
      <c r="FN153" s="18" t="s">
        <v>238</v>
      </c>
      <c r="FO153" s="18" t="s">
        <v>238</v>
      </c>
      <c r="FP153" s="324">
        <f t="shared" si="634"/>
        <v>14521000</v>
      </c>
      <c r="FQ153" s="321">
        <f t="shared" si="635"/>
        <v>14521000</v>
      </c>
      <c r="FR153" s="179">
        <f t="shared" si="581"/>
        <v>0</v>
      </c>
      <c r="FS153" s="9">
        <v>14521000</v>
      </c>
      <c r="FT153" s="18" t="s">
        <v>238</v>
      </c>
      <c r="FU153" s="18" t="s">
        <v>238</v>
      </c>
      <c r="FV153" s="324">
        <f t="shared" si="636"/>
        <v>14521000</v>
      </c>
      <c r="FW153" s="321">
        <f t="shared" si="637"/>
        <v>14521000</v>
      </c>
      <c r="FX153" s="179">
        <f t="shared" si="582"/>
        <v>0</v>
      </c>
      <c r="FY153" s="9">
        <v>14521000</v>
      </c>
      <c r="FZ153" s="18" t="s">
        <v>238</v>
      </c>
      <c r="GA153" s="18" t="s">
        <v>238</v>
      </c>
      <c r="GB153" s="324">
        <f t="shared" si="638"/>
        <v>14521000</v>
      </c>
      <c r="GC153" s="321">
        <f t="shared" si="639"/>
        <v>14521000</v>
      </c>
      <c r="GD153" s="179">
        <f t="shared" si="583"/>
        <v>0</v>
      </c>
      <c r="GE153" s="9">
        <v>14521000</v>
      </c>
      <c r="GF153" s="18" t="s">
        <v>238</v>
      </c>
      <c r="GG153" s="18" t="s">
        <v>238</v>
      </c>
      <c r="GH153" s="324">
        <f t="shared" si="640"/>
        <v>14521000</v>
      </c>
      <c r="GI153" s="321">
        <f t="shared" si="641"/>
        <v>14521000</v>
      </c>
      <c r="GJ153" s="179">
        <f t="shared" si="584"/>
        <v>0</v>
      </c>
      <c r="GK153" s="9">
        <v>14521000</v>
      </c>
      <c r="GL153" s="18" t="s">
        <v>238</v>
      </c>
      <c r="GM153" s="18" t="s">
        <v>238</v>
      </c>
      <c r="GN153" s="324">
        <f t="shared" si="642"/>
        <v>14521000</v>
      </c>
      <c r="GO153" s="321">
        <f t="shared" si="643"/>
        <v>14521000</v>
      </c>
      <c r="GP153" s="179">
        <f t="shared" si="585"/>
        <v>0</v>
      </c>
      <c r="GQ153" s="9">
        <v>14521000</v>
      </c>
      <c r="GR153" s="18" t="s">
        <v>238</v>
      </c>
      <c r="GS153" s="18" t="s">
        <v>238</v>
      </c>
      <c r="GT153" s="324">
        <f t="shared" si="644"/>
        <v>14521000</v>
      </c>
      <c r="GU153" s="321">
        <f t="shared" si="645"/>
        <v>14521000</v>
      </c>
      <c r="GV153" s="179">
        <f t="shared" si="586"/>
        <v>0</v>
      </c>
      <c r="GW153" s="9">
        <v>15247050</v>
      </c>
      <c r="GX153" s="18" t="s">
        <v>238</v>
      </c>
      <c r="GY153" s="18" t="s">
        <v>238</v>
      </c>
      <c r="GZ153" s="324">
        <f t="shared" si="646"/>
        <v>15247050</v>
      </c>
      <c r="HA153" s="321">
        <f t="shared" si="647"/>
        <v>15247050</v>
      </c>
      <c r="HB153" s="179">
        <f t="shared" si="587"/>
        <v>726050</v>
      </c>
      <c r="HC153" s="102">
        <f t="shared" si="588"/>
        <v>1.0326142518749934</v>
      </c>
      <c r="HD153" s="285">
        <f t="shared" si="589"/>
        <v>0</v>
      </c>
      <c r="HE153" s="12">
        <f t="shared" si="590"/>
        <v>726050</v>
      </c>
      <c r="HF153" s="12">
        <f t="shared" si="591"/>
        <v>0</v>
      </c>
      <c r="HG153" s="12">
        <f t="shared" si="592"/>
        <v>726050</v>
      </c>
      <c r="HH153" s="14">
        <f t="shared" si="593"/>
        <v>726050</v>
      </c>
      <c r="HI153" s="13">
        <f t="shared" si="594"/>
        <v>15247050</v>
      </c>
      <c r="HJ153" s="102">
        <f t="shared" si="595"/>
        <v>1.0842449644687431</v>
      </c>
      <c r="HK153" s="16">
        <f t="shared" si="596"/>
        <v>14521000</v>
      </c>
      <c r="HL153" s="103">
        <f t="shared" si="597"/>
        <v>15247050</v>
      </c>
      <c r="HM153" s="103">
        <f t="shared" si="598"/>
        <v>726050</v>
      </c>
      <c r="HN153" s="17">
        <f t="shared" si="599"/>
        <v>0</v>
      </c>
      <c r="HO153" s="56">
        <f t="shared" si="600"/>
        <v>726050</v>
      </c>
      <c r="HP153" s="16">
        <f t="shared" si="601"/>
        <v>0</v>
      </c>
      <c r="HQ153" s="16">
        <f t="shared" si="602"/>
        <v>15247050</v>
      </c>
      <c r="HR153" s="16">
        <f t="shared" si="603"/>
        <v>0</v>
      </c>
    </row>
    <row r="154" spans="1:226" x14ac:dyDescent="0.3">
      <c r="A154" s="140"/>
      <c r="B154" s="140"/>
      <c r="C154" s="140"/>
      <c r="D154" s="141" t="s">
        <v>216</v>
      </c>
      <c r="E154" s="121">
        <f t="shared" ref="E154:AJ154" si="648">SUM(E147:E153)</f>
        <v>500</v>
      </c>
      <c r="F154" s="121">
        <f t="shared" si="648"/>
        <v>23321944</v>
      </c>
      <c r="G154" s="121">
        <f t="shared" si="648"/>
        <v>50</v>
      </c>
      <c r="H154" s="121">
        <f t="shared" si="648"/>
        <v>0</v>
      </c>
      <c r="I154" s="121">
        <f t="shared" si="648"/>
        <v>23322494</v>
      </c>
      <c r="J154" s="121">
        <f t="shared" si="648"/>
        <v>23322494</v>
      </c>
      <c r="K154" s="121">
        <f t="shared" si="648"/>
        <v>0</v>
      </c>
      <c r="L154" s="121" t="e">
        <f t="shared" si="648"/>
        <v>#REF!</v>
      </c>
      <c r="M154" s="121">
        <f t="shared" si="648"/>
        <v>23322444</v>
      </c>
      <c r="N154" s="121">
        <f t="shared" si="648"/>
        <v>23322444</v>
      </c>
      <c r="O154" s="121">
        <f t="shared" si="648"/>
        <v>23322444</v>
      </c>
      <c r="P154" s="121">
        <f t="shared" si="648"/>
        <v>23322444</v>
      </c>
      <c r="Q154" s="121">
        <f t="shared" si="648"/>
        <v>23322444</v>
      </c>
      <c r="R154" s="121">
        <f t="shared" si="648"/>
        <v>23322444</v>
      </c>
      <c r="S154" s="121">
        <f t="shared" si="648"/>
        <v>23322444</v>
      </c>
      <c r="T154" s="121">
        <f t="shared" si="648"/>
        <v>23322444</v>
      </c>
      <c r="U154" s="121">
        <f t="shared" si="648"/>
        <v>1166122.2</v>
      </c>
      <c r="V154" s="121">
        <f t="shared" si="648"/>
        <v>24488566.200000003</v>
      </c>
      <c r="W154" s="121">
        <f t="shared" si="648"/>
        <v>24488567</v>
      </c>
      <c r="X154" s="121">
        <f t="shared" si="648"/>
        <v>24488567</v>
      </c>
      <c r="Y154" s="121">
        <f t="shared" si="648"/>
        <v>24488567</v>
      </c>
      <c r="Z154" s="121">
        <f t="shared" si="648"/>
        <v>24488567</v>
      </c>
      <c r="AA154" s="121">
        <f t="shared" si="648"/>
        <v>24488617</v>
      </c>
      <c r="AB154" s="121">
        <f t="shared" si="648"/>
        <v>24488067</v>
      </c>
      <c r="AC154" s="121">
        <f t="shared" si="648"/>
        <v>500</v>
      </c>
      <c r="AD154" s="121">
        <f t="shared" si="648"/>
        <v>50</v>
      </c>
      <c r="AE154" s="121">
        <f t="shared" si="648"/>
        <v>24488617</v>
      </c>
      <c r="AF154" s="121">
        <f t="shared" si="648"/>
        <v>24488067</v>
      </c>
      <c r="AG154" s="121">
        <f t="shared" si="648"/>
        <v>500</v>
      </c>
      <c r="AH154" s="121">
        <f t="shared" si="648"/>
        <v>50</v>
      </c>
      <c r="AI154" s="121">
        <f t="shared" si="648"/>
        <v>24488617</v>
      </c>
      <c r="AJ154" s="121">
        <f t="shared" si="648"/>
        <v>24488067</v>
      </c>
      <c r="AK154" s="121">
        <f t="shared" ref="AK154:BP154" si="649">SUM(AK147:AK153)</f>
        <v>500</v>
      </c>
      <c r="AL154" s="121">
        <f t="shared" si="649"/>
        <v>50</v>
      </c>
      <c r="AM154" s="121">
        <f t="shared" si="649"/>
        <v>24488617</v>
      </c>
      <c r="AN154" s="121">
        <f t="shared" si="649"/>
        <v>27783067</v>
      </c>
      <c r="AO154" s="121">
        <f t="shared" si="649"/>
        <v>500</v>
      </c>
      <c r="AP154" s="121">
        <f t="shared" si="649"/>
        <v>50</v>
      </c>
      <c r="AQ154" s="121">
        <f t="shared" si="649"/>
        <v>27783617</v>
      </c>
      <c r="AR154" s="121">
        <f t="shared" si="649"/>
        <v>41188068</v>
      </c>
      <c r="AS154" s="121">
        <f t="shared" si="649"/>
        <v>500</v>
      </c>
      <c r="AT154" s="121">
        <f t="shared" si="649"/>
        <v>50</v>
      </c>
      <c r="AU154" s="121">
        <f t="shared" si="649"/>
        <v>45925391</v>
      </c>
      <c r="AV154" s="121">
        <f t="shared" si="649"/>
        <v>41188068</v>
      </c>
      <c r="AW154" s="121">
        <f t="shared" si="649"/>
        <v>500</v>
      </c>
      <c r="AX154" s="121">
        <f t="shared" si="649"/>
        <v>50</v>
      </c>
      <c r="AY154" s="121">
        <f t="shared" si="649"/>
        <v>45925391</v>
      </c>
      <c r="AZ154" s="121">
        <f t="shared" si="649"/>
        <v>2296269.5500000003</v>
      </c>
      <c r="BA154" s="121">
        <f t="shared" si="649"/>
        <v>2.5500000000000003</v>
      </c>
      <c r="BB154" s="121">
        <f t="shared" si="649"/>
        <v>2296267</v>
      </c>
      <c r="BC154" s="121">
        <f t="shared" si="649"/>
        <v>48221658</v>
      </c>
      <c r="BD154" s="121">
        <f t="shared" si="649"/>
        <v>27</v>
      </c>
      <c r="BE154" s="121">
        <f t="shared" si="649"/>
        <v>48221685</v>
      </c>
      <c r="BF154" s="121">
        <f t="shared" si="649"/>
        <v>2296294</v>
      </c>
      <c r="BG154" s="121">
        <f t="shared" si="649"/>
        <v>27</v>
      </c>
      <c r="BH154" s="121">
        <f t="shared" si="649"/>
        <v>48221108</v>
      </c>
      <c r="BI154" s="121">
        <f t="shared" si="649"/>
        <v>500</v>
      </c>
      <c r="BJ154" s="121">
        <f t="shared" si="649"/>
        <v>50</v>
      </c>
      <c r="BK154" s="121">
        <f t="shared" si="649"/>
        <v>48221658</v>
      </c>
      <c r="BL154" s="121">
        <f t="shared" si="649"/>
        <v>48221108</v>
      </c>
      <c r="BM154" s="121">
        <f t="shared" si="649"/>
        <v>500</v>
      </c>
      <c r="BN154" s="121">
        <f t="shared" si="649"/>
        <v>50</v>
      </c>
      <c r="BO154" s="121">
        <f t="shared" si="649"/>
        <v>48221658</v>
      </c>
      <c r="BP154" s="121">
        <f t="shared" si="649"/>
        <v>0</v>
      </c>
      <c r="BQ154" s="121">
        <f t="shared" ref="BQ154:CV154" si="650">SUM(BQ147:BQ153)</f>
        <v>48221108</v>
      </c>
      <c r="BR154" s="121">
        <f t="shared" si="650"/>
        <v>500</v>
      </c>
      <c r="BS154" s="121">
        <f t="shared" si="650"/>
        <v>50</v>
      </c>
      <c r="BT154" s="121">
        <f t="shared" si="650"/>
        <v>48221658</v>
      </c>
      <c r="BU154" s="121">
        <f t="shared" si="650"/>
        <v>0</v>
      </c>
      <c r="BV154" s="121">
        <f t="shared" si="650"/>
        <v>49261356</v>
      </c>
      <c r="BW154" s="121">
        <f t="shared" si="650"/>
        <v>500</v>
      </c>
      <c r="BX154" s="121">
        <f t="shared" si="650"/>
        <v>50</v>
      </c>
      <c r="BY154" s="121">
        <f t="shared" si="650"/>
        <v>49261906</v>
      </c>
      <c r="BZ154" s="121">
        <f t="shared" si="650"/>
        <v>1040248</v>
      </c>
      <c r="CA154" s="121">
        <f t="shared" si="650"/>
        <v>55232497</v>
      </c>
      <c r="CB154" s="121">
        <f t="shared" si="650"/>
        <v>500</v>
      </c>
      <c r="CC154" s="121">
        <f t="shared" si="650"/>
        <v>50</v>
      </c>
      <c r="CD154" s="121">
        <f t="shared" si="650"/>
        <v>55233047</v>
      </c>
      <c r="CE154" s="121">
        <f t="shared" si="650"/>
        <v>5971141</v>
      </c>
      <c r="CF154" s="121">
        <f t="shared" si="650"/>
        <v>55357497</v>
      </c>
      <c r="CG154" s="121">
        <f t="shared" si="650"/>
        <v>500</v>
      </c>
      <c r="CH154" s="121">
        <f t="shared" si="650"/>
        <v>50</v>
      </c>
      <c r="CI154" s="121">
        <f t="shared" si="650"/>
        <v>55358047</v>
      </c>
      <c r="CJ154" s="121">
        <f t="shared" si="650"/>
        <v>125000</v>
      </c>
      <c r="CK154" s="121">
        <f t="shared" si="650"/>
        <v>55357497</v>
      </c>
      <c r="CL154" s="121">
        <f t="shared" si="650"/>
        <v>500</v>
      </c>
      <c r="CM154" s="121">
        <f t="shared" si="650"/>
        <v>50</v>
      </c>
      <c r="CN154" s="121">
        <f t="shared" si="650"/>
        <v>55358047</v>
      </c>
      <c r="CO154" s="121">
        <f t="shared" si="650"/>
        <v>0</v>
      </c>
      <c r="CP154" s="121">
        <f t="shared" si="650"/>
        <v>55857497</v>
      </c>
      <c r="CQ154" s="121">
        <f t="shared" si="650"/>
        <v>500</v>
      </c>
      <c r="CR154" s="121">
        <f t="shared" si="650"/>
        <v>50</v>
      </c>
      <c r="CS154" s="121">
        <f t="shared" si="650"/>
        <v>55858047</v>
      </c>
      <c r="CT154" s="121">
        <f t="shared" si="650"/>
        <v>500000</v>
      </c>
      <c r="CU154" s="121">
        <f t="shared" si="650"/>
        <v>56557497</v>
      </c>
      <c r="CV154" s="121">
        <f t="shared" si="650"/>
        <v>500</v>
      </c>
      <c r="CW154" s="121">
        <f t="shared" ref="CW154:EB154" si="651">SUM(CW147:CW153)</f>
        <v>50</v>
      </c>
      <c r="CX154" s="121">
        <f t="shared" si="651"/>
        <v>56558047</v>
      </c>
      <c r="CY154" s="121">
        <f t="shared" si="651"/>
        <v>700000</v>
      </c>
      <c r="CZ154" s="121">
        <f t="shared" si="651"/>
        <v>2619.7000000000003</v>
      </c>
      <c r="DA154" s="121">
        <f t="shared" si="651"/>
        <v>50</v>
      </c>
      <c r="DB154" s="121">
        <f t="shared" si="651"/>
        <v>5</v>
      </c>
      <c r="DC154" s="121">
        <f t="shared" si="651"/>
        <v>5655804.7000000002</v>
      </c>
      <c r="DD154" s="121">
        <f t="shared" si="651"/>
        <v>2.1</v>
      </c>
      <c r="DE154" s="121">
        <f t="shared" si="651"/>
        <v>5655802.6000000006</v>
      </c>
      <c r="DF154" s="121">
        <f t="shared" si="651"/>
        <v>5655802.6000000006</v>
      </c>
      <c r="DG154" s="121">
        <f t="shared" si="651"/>
        <v>62213849.600000001</v>
      </c>
      <c r="DH154" s="121">
        <f t="shared" si="651"/>
        <v>4.4241381398978916</v>
      </c>
      <c r="DI154" s="121">
        <f t="shared" si="651"/>
        <v>56558047</v>
      </c>
      <c r="DJ154" s="121">
        <f t="shared" si="651"/>
        <v>62213851.700000003</v>
      </c>
      <c r="DK154" s="121">
        <f t="shared" si="651"/>
        <v>5655804.7000000048</v>
      </c>
      <c r="DL154" s="121">
        <f t="shared" si="651"/>
        <v>2.1</v>
      </c>
      <c r="DM154" s="121">
        <f t="shared" si="651"/>
        <v>5655802.6000000052</v>
      </c>
      <c r="DN154" s="121">
        <f t="shared" si="651"/>
        <v>4.1909515857696533E-9</v>
      </c>
      <c r="DO154" s="121">
        <f t="shared" si="651"/>
        <v>62213849.600000001</v>
      </c>
      <c r="DP154" s="121">
        <f t="shared" si="651"/>
        <v>0</v>
      </c>
      <c r="DQ154" s="121">
        <f t="shared" si="651"/>
        <v>62093245</v>
      </c>
      <c r="DR154" s="121">
        <f t="shared" si="651"/>
        <v>0</v>
      </c>
      <c r="DS154" s="121">
        <f t="shared" si="651"/>
        <v>105</v>
      </c>
      <c r="DT154" s="121">
        <f t="shared" si="651"/>
        <v>62093850</v>
      </c>
      <c r="DU154" s="121">
        <f t="shared" si="651"/>
        <v>62093850</v>
      </c>
      <c r="DV154" s="121">
        <f t="shared" si="651"/>
        <v>-119999.60000000009</v>
      </c>
      <c r="DW154" s="121">
        <f t="shared" si="651"/>
        <v>62093300</v>
      </c>
      <c r="DX154" s="121">
        <f t="shared" si="651"/>
        <v>0</v>
      </c>
      <c r="DY154" s="121">
        <f t="shared" si="651"/>
        <v>50</v>
      </c>
      <c r="DZ154" s="121">
        <f t="shared" si="651"/>
        <v>62093850</v>
      </c>
      <c r="EA154" s="121">
        <f t="shared" si="651"/>
        <v>62093850</v>
      </c>
      <c r="EB154" s="121">
        <f t="shared" si="651"/>
        <v>0</v>
      </c>
      <c r="EC154" s="121">
        <f t="shared" ref="EC154:FH154" si="652">SUM(EC147:EC153)</f>
        <v>62093300</v>
      </c>
      <c r="ED154" s="121">
        <f t="shared" si="652"/>
        <v>0</v>
      </c>
      <c r="EE154" s="121">
        <f t="shared" si="652"/>
        <v>50</v>
      </c>
      <c r="EF154" s="121">
        <f t="shared" si="652"/>
        <v>62093850</v>
      </c>
      <c r="EG154" s="121">
        <f t="shared" si="652"/>
        <v>62093850</v>
      </c>
      <c r="EH154" s="121">
        <f t="shared" si="652"/>
        <v>0</v>
      </c>
      <c r="EI154" s="121">
        <f t="shared" si="652"/>
        <v>62093300</v>
      </c>
      <c r="EJ154" s="121">
        <f t="shared" si="652"/>
        <v>0</v>
      </c>
      <c r="EK154" s="121">
        <f t="shared" si="652"/>
        <v>50</v>
      </c>
      <c r="EL154" s="121">
        <f t="shared" si="652"/>
        <v>62093850</v>
      </c>
      <c r="EM154" s="121">
        <f t="shared" si="652"/>
        <v>62093850</v>
      </c>
      <c r="EN154" s="121">
        <f t="shared" si="652"/>
        <v>0</v>
      </c>
      <c r="EO154" s="121">
        <f t="shared" si="652"/>
        <v>62093300</v>
      </c>
      <c r="EP154" s="121">
        <f t="shared" si="652"/>
        <v>500</v>
      </c>
      <c r="EQ154" s="121">
        <f t="shared" si="652"/>
        <v>50</v>
      </c>
      <c r="ER154" s="121">
        <f t="shared" si="652"/>
        <v>62093850</v>
      </c>
      <c r="ES154" s="121">
        <f t="shared" si="652"/>
        <v>62093850</v>
      </c>
      <c r="ET154" s="121">
        <f t="shared" si="652"/>
        <v>0</v>
      </c>
      <c r="EU154" s="121">
        <f t="shared" si="652"/>
        <v>62093300</v>
      </c>
      <c r="EV154" s="121">
        <f t="shared" si="652"/>
        <v>500</v>
      </c>
      <c r="EW154" s="121">
        <f t="shared" si="652"/>
        <v>50</v>
      </c>
      <c r="EX154" s="121">
        <f t="shared" si="652"/>
        <v>62093850</v>
      </c>
      <c r="EY154" s="121">
        <f t="shared" si="652"/>
        <v>62093850</v>
      </c>
      <c r="EZ154" s="121">
        <f t="shared" si="652"/>
        <v>0</v>
      </c>
      <c r="FA154" s="121">
        <f t="shared" si="652"/>
        <v>62093300</v>
      </c>
      <c r="FB154" s="121">
        <f t="shared" si="652"/>
        <v>500</v>
      </c>
      <c r="FC154" s="121">
        <f t="shared" si="652"/>
        <v>50</v>
      </c>
      <c r="FD154" s="121">
        <f t="shared" si="652"/>
        <v>62093850</v>
      </c>
      <c r="FE154" s="121">
        <f t="shared" si="652"/>
        <v>62093850</v>
      </c>
      <c r="FF154" s="121">
        <f t="shared" si="652"/>
        <v>0</v>
      </c>
      <c r="FG154" s="121">
        <f t="shared" si="652"/>
        <v>62093300</v>
      </c>
      <c r="FH154" s="121">
        <f t="shared" si="652"/>
        <v>500</v>
      </c>
      <c r="FI154" s="121">
        <f t="shared" ref="FI154:HC154" si="653">SUM(FI147:FI153)</f>
        <v>50</v>
      </c>
      <c r="FJ154" s="121">
        <f t="shared" si="653"/>
        <v>62093850</v>
      </c>
      <c r="FK154" s="121">
        <f t="shared" si="653"/>
        <v>62093850</v>
      </c>
      <c r="FL154" s="121">
        <f t="shared" si="653"/>
        <v>0</v>
      </c>
      <c r="FM154" s="121">
        <f t="shared" si="653"/>
        <v>62093300</v>
      </c>
      <c r="FN154" s="121">
        <f t="shared" si="653"/>
        <v>500</v>
      </c>
      <c r="FO154" s="121">
        <f t="shared" si="653"/>
        <v>50</v>
      </c>
      <c r="FP154" s="121">
        <f t="shared" si="653"/>
        <v>62093850</v>
      </c>
      <c r="FQ154" s="121">
        <f t="shared" si="653"/>
        <v>62093850</v>
      </c>
      <c r="FR154" s="121">
        <f t="shared" si="653"/>
        <v>0</v>
      </c>
      <c r="FS154" s="121">
        <f t="shared" si="653"/>
        <v>62093300</v>
      </c>
      <c r="FT154" s="121">
        <f t="shared" si="653"/>
        <v>500</v>
      </c>
      <c r="FU154" s="121">
        <f t="shared" si="653"/>
        <v>50</v>
      </c>
      <c r="FV154" s="121">
        <f t="shared" si="653"/>
        <v>62093850</v>
      </c>
      <c r="FW154" s="121">
        <f t="shared" si="653"/>
        <v>62093850</v>
      </c>
      <c r="FX154" s="121">
        <f t="shared" si="653"/>
        <v>0</v>
      </c>
      <c r="FY154" s="121">
        <f t="shared" si="653"/>
        <v>62093300</v>
      </c>
      <c r="FZ154" s="121">
        <f t="shared" si="653"/>
        <v>500</v>
      </c>
      <c r="GA154" s="121">
        <f t="shared" si="653"/>
        <v>50</v>
      </c>
      <c r="GB154" s="121">
        <f t="shared" si="653"/>
        <v>62093850</v>
      </c>
      <c r="GC154" s="121">
        <f t="shared" si="653"/>
        <v>62093850</v>
      </c>
      <c r="GD154" s="121">
        <f t="shared" si="653"/>
        <v>0</v>
      </c>
      <c r="GE154" s="121">
        <f t="shared" ref="GE154:GJ154" si="654">SUM(GE147:GE153)</f>
        <v>62093300</v>
      </c>
      <c r="GF154" s="121">
        <f t="shared" si="654"/>
        <v>500</v>
      </c>
      <c r="GG154" s="121">
        <f t="shared" si="654"/>
        <v>50</v>
      </c>
      <c r="GH154" s="121">
        <f t="shared" si="654"/>
        <v>62093850</v>
      </c>
      <c r="GI154" s="121">
        <f t="shared" si="654"/>
        <v>62093850</v>
      </c>
      <c r="GJ154" s="121">
        <f t="shared" si="654"/>
        <v>0</v>
      </c>
      <c r="GK154" s="121">
        <f t="shared" ref="GK154:GP154" si="655">SUM(GK147:GK153)</f>
        <v>62093300</v>
      </c>
      <c r="GL154" s="121">
        <f t="shared" si="655"/>
        <v>500</v>
      </c>
      <c r="GM154" s="121">
        <f t="shared" si="655"/>
        <v>50</v>
      </c>
      <c r="GN154" s="121">
        <f t="shared" si="655"/>
        <v>62093850</v>
      </c>
      <c r="GO154" s="121">
        <f t="shared" si="655"/>
        <v>62093850</v>
      </c>
      <c r="GP154" s="121">
        <f t="shared" si="655"/>
        <v>0</v>
      </c>
      <c r="GQ154" s="121">
        <f t="shared" ref="GQ154:GV154" si="656">SUM(GQ147:GQ153)</f>
        <v>62093300</v>
      </c>
      <c r="GR154" s="121">
        <f t="shared" si="656"/>
        <v>500</v>
      </c>
      <c r="GS154" s="121">
        <f t="shared" si="656"/>
        <v>50</v>
      </c>
      <c r="GT154" s="121">
        <f t="shared" si="656"/>
        <v>62093850</v>
      </c>
      <c r="GU154" s="121">
        <f t="shared" si="656"/>
        <v>62093850</v>
      </c>
      <c r="GV154" s="121">
        <f t="shared" si="656"/>
        <v>0</v>
      </c>
      <c r="GW154" s="121">
        <f t="shared" ref="GW154:HB154" si="657">SUM(GW147:GW153)</f>
        <v>65197963</v>
      </c>
      <c r="GX154" s="121">
        <f t="shared" si="657"/>
        <v>500</v>
      </c>
      <c r="GY154" s="121">
        <f t="shared" si="657"/>
        <v>77</v>
      </c>
      <c r="GZ154" s="121">
        <f t="shared" si="657"/>
        <v>65198540</v>
      </c>
      <c r="HA154" s="121">
        <f t="shared" si="657"/>
        <v>65198540</v>
      </c>
      <c r="HB154" s="121">
        <f t="shared" si="657"/>
        <v>3104690</v>
      </c>
      <c r="HC154" s="121">
        <f t="shared" si="653"/>
        <v>4.4156046046269584</v>
      </c>
    </row>
    <row r="155" spans="1:226" x14ac:dyDescent="0.3">
      <c r="A155" s="98"/>
      <c r="B155" s="98"/>
      <c r="C155" s="98"/>
      <c r="D155" s="99"/>
      <c r="E155" s="108"/>
      <c r="F155" s="108"/>
      <c r="G155" s="108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127">
        <f>AY154*10*5%</f>
        <v>22962695.5</v>
      </c>
      <c r="AZ155" s="20"/>
      <c r="BA155" s="20"/>
      <c r="BB155" s="20"/>
      <c r="BC155" s="20"/>
      <c r="BD155" s="20"/>
      <c r="BE155" s="20"/>
      <c r="BF155" s="100"/>
      <c r="BG155" s="100"/>
      <c r="BH155" s="100"/>
      <c r="BI155" s="100"/>
      <c r="BJ155" s="100"/>
      <c r="BK155" s="100"/>
      <c r="BL155" s="100"/>
      <c r="BM155" s="100"/>
      <c r="BN155" s="100"/>
      <c r="BO155" s="100"/>
      <c r="BP155" s="100"/>
      <c r="BQ155" s="100"/>
      <c r="BR155" s="100"/>
      <c r="BS155" s="100"/>
      <c r="BT155" s="100"/>
      <c r="BU155" s="100"/>
      <c r="BV155" s="100"/>
      <c r="BW155" s="100"/>
      <c r="BX155" s="100"/>
      <c r="BY155" s="100"/>
      <c r="BZ155" s="100"/>
      <c r="CA155" s="100"/>
      <c r="CB155" s="100"/>
      <c r="CC155" s="100"/>
      <c r="CD155" s="100"/>
      <c r="CE155" s="100"/>
      <c r="CF155" s="100"/>
      <c r="CG155" s="100"/>
      <c r="CH155" s="100"/>
      <c r="CI155" s="100"/>
      <c r="CJ155" s="100"/>
      <c r="CK155" s="100"/>
      <c r="CL155" s="100"/>
      <c r="CM155" s="100"/>
      <c r="CN155" s="100"/>
      <c r="CO155" s="100"/>
      <c r="CP155" s="100"/>
      <c r="CQ155" s="100"/>
      <c r="CR155" s="100"/>
      <c r="CS155" s="100"/>
      <c r="CT155" s="100"/>
      <c r="CU155" s="100"/>
      <c r="CV155" s="100"/>
      <c r="CW155" s="100"/>
      <c r="CX155" s="100"/>
      <c r="CY155" s="100"/>
      <c r="CZ155" s="100"/>
      <c r="DA155" s="100"/>
      <c r="DB155" s="100"/>
      <c r="DC155" s="100"/>
      <c r="DD155" s="100"/>
      <c r="DE155" s="100"/>
      <c r="DF155" s="100"/>
      <c r="DG155" s="100"/>
      <c r="DH155" s="114"/>
    </row>
    <row r="156" spans="1:226" x14ac:dyDescent="0.3">
      <c r="A156" s="98"/>
      <c r="B156" s="98"/>
      <c r="C156" s="98"/>
      <c r="D156" s="99"/>
      <c r="E156" s="108"/>
      <c r="F156" s="108"/>
      <c r="G156" s="108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  <c r="BB156" s="20"/>
      <c r="BC156" s="20"/>
      <c r="BD156" s="20"/>
      <c r="BE156" s="20"/>
      <c r="BF156" s="100"/>
      <c r="BG156" s="100"/>
      <c r="BH156" s="100"/>
      <c r="BI156" s="100"/>
      <c r="BJ156" s="100"/>
      <c r="BK156" s="100"/>
      <c r="BL156" s="100"/>
      <c r="BM156" s="100"/>
      <c r="BN156" s="100"/>
      <c r="BO156" s="100"/>
      <c r="BP156" s="100"/>
      <c r="BQ156" s="100"/>
      <c r="BR156" s="100"/>
      <c r="BS156" s="100"/>
      <c r="BT156" s="100"/>
      <c r="BU156" s="100"/>
      <c r="BV156" s="100"/>
      <c r="BW156" s="100"/>
      <c r="BX156" s="100"/>
      <c r="BY156" s="100"/>
      <c r="BZ156" s="100"/>
      <c r="CA156" s="100"/>
      <c r="CB156" s="100"/>
      <c r="CC156" s="100"/>
      <c r="CD156" s="100"/>
      <c r="CE156" s="100"/>
      <c r="CF156" s="100"/>
      <c r="CG156" s="100"/>
      <c r="CH156" s="100"/>
      <c r="CI156" s="100"/>
      <c r="CJ156" s="100"/>
      <c r="CK156" s="100"/>
      <c r="CL156" s="100"/>
      <c r="CM156" s="100"/>
      <c r="CN156" s="100"/>
      <c r="CO156" s="100"/>
      <c r="CP156" s="100"/>
      <c r="CQ156" s="100"/>
      <c r="CR156" s="100"/>
      <c r="CS156" s="100"/>
      <c r="CT156" s="100"/>
      <c r="CU156" s="100"/>
      <c r="CV156" s="100"/>
      <c r="CW156" s="100"/>
      <c r="CX156" s="100"/>
      <c r="CY156" s="100"/>
      <c r="CZ156" s="100"/>
      <c r="DA156" s="100"/>
      <c r="DB156" s="100"/>
      <c r="DC156" s="100"/>
      <c r="DD156" s="100"/>
      <c r="DE156" s="100"/>
      <c r="DF156" s="100"/>
      <c r="DG156" s="100"/>
      <c r="DH156" s="114"/>
    </row>
    <row r="157" spans="1:226" s="74" customFormat="1" ht="52.5" customHeight="1" x14ac:dyDescent="0.3">
      <c r="A157" s="85" t="s">
        <v>0</v>
      </c>
      <c r="B157" s="85" t="s">
        <v>1</v>
      </c>
      <c r="C157" s="85" t="s">
        <v>217</v>
      </c>
      <c r="D157" s="86" t="s">
        <v>218</v>
      </c>
      <c r="E157" s="87" t="s">
        <v>233</v>
      </c>
      <c r="F157" s="87" t="s">
        <v>234</v>
      </c>
      <c r="G157" s="87" t="s">
        <v>235</v>
      </c>
      <c r="H157" s="87" t="s">
        <v>383</v>
      </c>
      <c r="I157" s="87" t="s">
        <v>382</v>
      </c>
      <c r="J157" s="87" t="s">
        <v>381</v>
      </c>
      <c r="K157" s="87" t="s">
        <v>380</v>
      </c>
      <c r="L157" s="87" t="s">
        <v>379</v>
      </c>
      <c r="M157" s="87" t="s">
        <v>378</v>
      </c>
      <c r="N157" s="87" t="s">
        <v>377</v>
      </c>
      <c r="O157" s="87" t="s">
        <v>394</v>
      </c>
      <c r="P157" s="87" t="s">
        <v>413</v>
      </c>
      <c r="Q157" s="87" t="s">
        <v>415</v>
      </c>
      <c r="R157" s="87" t="s">
        <v>417</v>
      </c>
      <c r="S157" s="87" t="s">
        <v>420</v>
      </c>
      <c r="T157" s="87" t="s">
        <v>421</v>
      </c>
      <c r="U157" s="87" t="s">
        <v>425</v>
      </c>
      <c r="V157" s="87" t="s">
        <v>426</v>
      </c>
      <c r="W157" s="87" t="s">
        <v>424</v>
      </c>
      <c r="X157" s="87" t="s">
        <v>437</v>
      </c>
      <c r="Y157" s="87" t="s">
        <v>439</v>
      </c>
      <c r="Z157" s="87" t="s">
        <v>447</v>
      </c>
      <c r="AA157" s="87" t="s">
        <v>458</v>
      </c>
      <c r="AB157" s="420" t="s">
        <v>459</v>
      </c>
      <c r="AC157" s="422"/>
      <c r="AD157" s="422"/>
      <c r="AE157" s="421"/>
      <c r="AF157" s="433" t="s">
        <v>462</v>
      </c>
      <c r="AG157" s="434"/>
      <c r="AH157" s="434"/>
      <c r="AI157" s="435"/>
      <c r="AJ157" s="420" t="s">
        <v>466</v>
      </c>
      <c r="AK157" s="422"/>
      <c r="AL157" s="422"/>
      <c r="AM157" s="421"/>
      <c r="AN157" s="433" t="s">
        <v>470</v>
      </c>
      <c r="AO157" s="434"/>
      <c r="AP157" s="434"/>
      <c r="AQ157" s="435"/>
      <c r="AR157" s="420" t="s">
        <v>478</v>
      </c>
      <c r="AS157" s="422"/>
      <c r="AT157" s="422"/>
      <c r="AU157" s="421"/>
      <c r="AV157" s="433" t="s">
        <v>483</v>
      </c>
      <c r="AW157" s="434"/>
      <c r="AX157" s="434"/>
      <c r="AY157" s="435"/>
      <c r="AZ157" s="436" t="s">
        <v>503</v>
      </c>
      <c r="BA157" s="436" t="s">
        <v>488</v>
      </c>
      <c r="BB157" s="436" t="s">
        <v>489</v>
      </c>
      <c r="BC157" s="436" t="s">
        <v>423</v>
      </c>
      <c r="BD157" s="436" t="s">
        <v>507</v>
      </c>
      <c r="BE157" s="436" t="s">
        <v>531</v>
      </c>
      <c r="BF157" s="437" t="s">
        <v>508</v>
      </c>
      <c r="BG157" s="437" t="s">
        <v>509</v>
      </c>
      <c r="BH157" s="420" t="s">
        <v>532</v>
      </c>
      <c r="BI157" s="422"/>
      <c r="BJ157" s="422"/>
      <c r="BK157" s="421"/>
      <c r="BL157" s="433" t="s">
        <v>539</v>
      </c>
      <c r="BM157" s="434"/>
      <c r="BN157" s="434"/>
      <c r="BO157" s="435"/>
      <c r="BP157" s="438" t="s">
        <v>538</v>
      </c>
      <c r="BQ157" s="420" t="s">
        <v>542</v>
      </c>
      <c r="BR157" s="422"/>
      <c r="BS157" s="422"/>
      <c r="BT157" s="421"/>
      <c r="BU157" s="438" t="s">
        <v>541</v>
      </c>
      <c r="BV157" s="420" t="s">
        <v>552</v>
      </c>
      <c r="BW157" s="422"/>
      <c r="BX157" s="422"/>
      <c r="BY157" s="421"/>
      <c r="BZ157" s="438" t="s">
        <v>553</v>
      </c>
      <c r="CA157" s="420" t="s">
        <v>578</v>
      </c>
      <c r="CB157" s="422"/>
      <c r="CC157" s="422"/>
      <c r="CD157" s="421"/>
      <c r="CE157" s="438" t="s">
        <v>579</v>
      </c>
      <c r="CF157" s="420" t="s">
        <v>581</v>
      </c>
      <c r="CG157" s="422"/>
      <c r="CH157" s="422"/>
      <c r="CI157" s="421"/>
      <c r="CJ157" s="438" t="s">
        <v>580</v>
      </c>
      <c r="CK157" s="420" t="s">
        <v>585</v>
      </c>
      <c r="CL157" s="422"/>
      <c r="CM157" s="422"/>
      <c r="CN157" s="421"/>
      <c r="CO157" s="438" t="s">
        <v>580</v>
      </c>
      <c r="CP157" s="420" t="s">
        <v>587</v>
      </c>
      <c r="CQ157" s="422"/>
      <c r="CR157" s="422"/>
      <c r="CS157" s="421"/>
      <c r="CT157" s="438" t="s">
        <v>588</v>
      </c>
      <c r="CU157" s="420" t="s">
        <v>590</v>
      </c>
      <c r="CV157" s="422"/>
      <c r="CW157" s="422"/>
      <c r="CX157" s="421"/>
      <c r="CY157" s="438" t="s">
        <v>591</v>
      </c>
      <c r="CZ157" s="294"/>
      <c r="DA157" s="294"/>
      <c r="DB157" s="294"/>
      <c r="DC157" s="95" t="s">
        <v>602</v>
      </c>
      <c r="DD157" s="95" t="s">
        <v>488</v>
      </c>
      <c r="DE157" s="95" t="s">
        <v>489</v>
      </c>
      <c r="DF157" s="95" t="s">
        <v>603</v>
      </c>
      <c r="DG157" s="95" t="s">
        <v>423</v>
      </c>
      <c r="DH157" s="85" t="s">
        <v>2</v>
      </c>
      <c r="DI157" s="427" t="s">
        <v>613</v>
      </c>
      <c r="DJ157" s="427"/>
      <c r="DK157" s="427"/>
      <c r="DL157" s="427"/>
      <c r="DM157" s="427"/>
      <c r="DN157" s="427"/>
      <c r="DO157" s="427"/>
      <c r="DP157" s="427"/>
      <c r="DQ157" s="423" t="s">
        <v>614</v>
      </c>
      <c r="DR157" s="424"/>
      <c r="DS157" s="424"/>
      <c r="DT157" s="424"/>
      <c r="DU157" s="425"/>
      <c r="DV157" s="87" t="s">
        <v>615</v>
      </c>
      <c r="DW157" s="423" t="s">
        <v>623</v>
      </c>
      <c r="DX157" s="424"/>
      <c r="DY157" s="424"/>
      <c r="DZ157" s="424"/>
      <c r="EA157" s="425"/>
      <c r="EB157" s="87" t="s">
        <v>624</v>
      </c>
      <c r="EC157" s="423" t="s">
        <v>627</v>
      </c>
      <c r="ED157" s="424"/>
      <c r="EE157" s="424"/>
      <c r="EF157" s="424"/>
      <c r="EG157" s="425"/>
      <c r="EH157" s="87" t="s">
        <v>628</v>
      </c>
      <c r="EI157" s="423" t="s">
        <v>631</v>
      </c>
      <c r="EJ157" s="424"/>
      <c r="EK157" s="424"/>
      <c r="EL157" s="424"/>
      <c r="EM157" s="425"/>
      <c r="EN157" s="87" t="s">
        <v>632</v>
      </c>
      <c r="EO157" s="423" t="s">
        <v>638</v>
      </c>
      <c r="EP157" s="424"/>
      <c r="EQ157" s="424"/>
      <c r="ER157" s="424"/>
      <c r="ES157" s="425"/>
      <c r="ET157" s="87" t="s">
        <v>637</v>
      </c>
      <c r="EU157" s="423" t="s">
        <v>641</v>
      </c>
      <c r="EV157" s="424"/>
      <c r="EW157" s="424"/>
      <c r="EX157" s="424"/>
      <c r="EY157" s="425"/>
      <c r="EZ157" s="87" t="s">
        <v>642</v>
      </c>
      <c r="FA157" s="423" t="s">
        <v>645</v>
      </c>
      <c r="FB157" s="424"/>
      <c r="FC157" s="424"/>
      <c r="FD157" s="424"/>
      <c r="FE157" s="425"/>
      <c r="FF157" s="87" t="s">
        <v>646</v>
      </c>
      <c r="FG157" s="423" t="s">
        <v>653</v>
      </c>
      <c r="FH157" s="424"/>
      <c r="FI157" s="424"/>
      <c r="FJ157" s="424"/>
      <c r="FK157" s="425"/>
      <c r="FL157" s="87" t="s">
        <v>654</v>
      </c>
      <c r="FM157" s="423" t="s">
        <v>662</v>
      </c>
      <c r="FN157" s="424"/>
      <c r="FO157" s="424"/>
      <c r="FP157" s="424"/>
      <c r="FQ157" s="425"/>
      <c r="FR157" s="87" t="s">
        <v>657</v>
      </c>
      <c r="FS157" s="423" t="s">
        <v>661</v>
      </c>
      <c r="FT157" s="424"/>
      <c r="FU157" s="424"/>
      <c r="FV157" s="424"/>
      <c r="FW157" s="425"/>
      <c r="FX157" s="87" t="s">
        <v>663</v>
      </c>
      <c r="FY157" s="423" t="s">
        <v>665</v>
      </c>
      <c r="FZ157" s="424"/>
      <c r="GA157" s="424"/>
      <c r="GB157" s="424"/>
      <c r="GC157" s="425"/>
      <c r="GD157" s="87" t="s">
        <v>666</v>
      </c>
      <c r="GE157" s="423" t="s">
        <v>668</v>
      </c>
      <c r="GF157" s="424"/>
      <c r="GG157" s="424"/>
      <c r="GH157" s="424"/>
      <c r="GI157" s="425"/>
      <c r="GJ157" s="87" t="s">
        <v>669</v>
      </c>
      <c r="GK157" s="423" t="s">
        <v>671</v>
      </c>
      <c r="GL157" s="424"/>
      <c r="GM157" s="424"/>
      <c r="GN157" s="424"/>
      <c r="GO157" s="425"/>
      <c r="GP157" s="87" t="s">
        <v>672</v>
      </c>
      <c r="GQ157" s="423" t="s">
        <v>674</v>
      </c>
      <c r="GR157" s="424"/>
      <c r="GS157" s="424"/>
      <c r="GT157" s="424"/>
      <c r="GU157" s="425"/>
      <c r="GV157" s="87" t="s">
        <v>675</v>
      </c>
      <c r="GW157" s="423" t="s">
        <v>696</v>
      </c>
      <c r="GX157" s="424"/>
      <c r="GY157" s="424"/>
      <c r="GZ157" s="424"/>
      <c r="HA157" s="425"/>
      <c r="HB157" s="87" t="s">
        <v>697</v>
      </c>
      <c r="HC157" s="85" t="s">
        <v>2</v>
      </c>
      <c r="HD157" s="6"/>
      <c r="HE157" s="439" t="s">
        <v>678</v>
      </c>
      <c r="HF157" s="439"/>
      <c r="HG157" s="439"/>
      <c r="HH157" s="439"/>
      <c r="HI157" s="439"/>
      <c r="HJ157" s="85" t="s">
        <v>2</v>
      </c>
      <c r="HK157" s="593" t="s">
        <v>698</v>
      </c>
      <c r="HL157" s="594"/>
      <c r="HM157" s="594"/>
      <c r="HN157" s="594"/>
      <c r="HO157" s="594"/>
      <c r="HP157" s="594"/>
      <c r="HQ157" s="594"/>
      <c r="HR157" s="594"/>
    </row>
    <row r="158" spans="1:226" s="74" customFormat="1" ht="30.6" x14ac:dyDescent="0.3">
      <c r="A158" s="85"/>
      <c r="B158" s="446" t="s">
        <v>564</v>
      </c>
      <c r="C158" s="441"/>
      <c r="D158" s="442"/>
      <c r="E158" s="87"/>
      <c r="F158" s="87"/>
      <c r="G158" s="87"/>
      <c r="H158" s="88"/>
      <c r="I158" s="88"/>
      <c r="J158" s="294"/>
      <c r="K158" s="88"/>
      <c r="L158" s="87"/>
      <c r="M158" s="87"/>
      <c r="N158" s="87"/>
      <c r="O158" s="294"/>
      <c r="P158" s="294"/>
      <c r="Q158" s="294"/>
      <c r="R158" s="294"/>
      <c r="S158" s="294"/>
      <c r="T158" s="294"/>
      <c r="U158" s="294"/>
      <c r="V158" s="294"/>
      <c r="W158" s="294"/>
      <c r="X158" s="294"/>
      <c r="Y158" s="294"/>
      <c r="Z158" s="294"/>
      <c r="AA158" s="294"/>
      <c r="AB158" s="112" t="s">
        <v>234</v>
      </c>
      <c r="AC158" s="112" t="s">
        <v>454</v>
      </c>
      <c r="AD158" s="112" t="s">
        <v>455</v>
      </c>
      <c r="AE158" s="112" t="s">
        <v>456</v>
      </c>
      <c r="AF158" s="14" t="s">
        <v>234</v>
      </c>
      <c r="AG158" s="14" t="s">
        <v>454</v>
      </c>
      <c r="AH158" s="14" t="s">
        <v>455</v>
      </c>
      <c r="AI158" s="14" t="s">
        <v>456</v>
      </c>
      <c r="AJ158" s="112" t="s">
        <v>234</v>
      </c>
      <c r="AK158" s="112" t="s">
        <v>454</v>
      </c>
      <c r="AL158" s="112" t="s">
        <v>455</v>
      </c>
      <c r="AM158" s="112" t="s">
        <v>456</v>
      </c>
      <c r="AN158" s="14" t="s">
        <v>234</v>
      </c>
      <c r="AO158" s="14" t="s">
        <v>454</v>
      </c>
      <c r="AP158" s="14" t="s">
        <v>455</v>
      </c>
      <c r="AQ158" s="14" t="s">
        <v>456</v>
      </c>
      <c r="AR158" s="112" t="s">
        <v>234</v>
      </c>
      <c r="AS158" s="112" t="s">
        <v>454</v>
      </c>
      <c r="AT158" s="112" t="s">
        <v>455</v>
      </c>
      <c r="AU158" s="112" t="s">
        <v>456</v>
      </c>
      <c r="AV158" s="14" t="s">
        <v>234</v>
      </c>
      <c r="AW158" s="14" t="s">
        <v>454</v>
      </c>
      <c r="AX158" s="14" t="s">
        <v>455</v>
      </c>
      <c r="AY158" s="14" t="s">
        <v>456</v>
      </c>
      <c r="AZ158" s="443"/>
      <c r="BA158" s="443"/>
      <c r="BB158" s="443"/>
      <c r="BC158" s="443"/>
      <c r="BD158" s="443"/>
      <c r="BE158" s="443"/>
      <c r="BF158" s="444"/>
      <c r="BG158" s="444"/>
      <c r="BH158" s="112" t="s">
        <v>234</v>
      </c>
      <c r="BI158" s="112" t="s">
        <v>454</v>
      </c>
      <c r="BJ158" s="112" t="s">
        <v>455</v>
      </c>
      <c r="BK158" s="112" t="s">
        <v>456</v>
      </c>
      <c r="BL158" s="14" t="s">
        <v>234</v>
      </c>
      <c r="BM158" s="14" t="s">
        <v>454</v>
      </c>
      <c r="BN158" s="14" t="s">
        <v>455</v>
      </c>
      <c r="BO158" s="14" t="s">
        <v>456</v>
      </c>
      <c r="BP158" s="445"/>
      <c r="BQ158" s="112" t="s">
        <v>234</v>
      </c>
      <c r="BR158" s="112" t="s">
        <v>454</v>
      </c>
      <c r="BS158" s="112" t="s">
        <v>455</v>
      </c>
      <c r="BT158" s="112" t="s">
        <v>456</v>
      </c>
      <c r="BU158" s="445"/>
      <c r="BV158" s="112" t="s">
        <v>234</v>
      </c>
      <c r="BW158" s="112" t="s">
        <v>454</v>
      </c>
      <c r="BX158" s="112" t="s">
        <v>455</v>
      </c>
      <c r="BY158" s="112" t="s">
        <v>456</v>
      </c>
      <c r="BZ158" s="445"/>
      <c r="CA158" s="112" t="s">
        <v>234</v>
      </c>
      <c r="CB158" s="112" t="s">
        <v>454</v>
      </c>
      <c r="CC158" s="112" t="s">
        <v>455</v>
      </c>
      <c r="CD158" s="112" t="s">
        <v>456</v>
      </c>
      <c r="CE158" s="445"/>
      <c r="CF158" s="112" t="s">
        <v>234</v>
      </c>
      <c r="CG158" s="112" t="s">
        <v>454</v>
      </c>
      <c r="CH158" s="112" t="s">
        <v>455</v>
      </c>
      <c r="CI158" s="112" t="s">
        <v>456</v>
      </c>
      <c r="CJ158" s="445"/>
      <c r="CK158" s="112" t="s">
        <v>234</v>
      </c>
      <c r="CL158" s="112" t="s">
        <v>454</v>
      </c>
      <c r="CM158" s="112" t="s">
        <v>455</v>
      </c>
      <c r="CN158" s="112" t="s">
        <v>456</v>
      </c>
      <c r="CO158" s="445"/>
      <c r="CP158" s="112" t="s">
        <v>234</v>
      </c>
      <c r="CQ158" s="112" t="s">
        <v>454</v>
      </c>
      <c r="CR158" s="112" t="s">
        <v>455</v>
      </c>
      <c r="CS158" s="112" t="s">
        <v>456</v>
      </c>
      <c r="CT158" s="445"/>
      <c r="CU158" s="112" t="s">
        <v>234</v>
      </c>
      <c r="CV158" s="112" t="s">
        <v>454</v>
      </c>
      <c r="CW158" s="112" t="s">
        <v>455</v>
      </c>
      <c r="CX158" s="112" t="s">
        <v>456</v>
      </c>
      <c r="CY158" s="445"/>
      <c r="CZ158" s="295"/>
      <c r="DA158" s="295"/>
      <c r="DB158" s="295"/>
      <c r="DC158" s="95" t="s">
        <v>602</v>
      </c>
      <c r="DD158" s="95" t="s">
        <v>488</v>
      </c>
      <c r="DE158" s="95" t="s">
        <v>489</v>
      </c>
      <c r="DF158" s="95" t="s">
        <v>603</v>
      </c>
      <c r="DG158" s="95" t="s">
        <v>423</v>
      </c>
      <c r="DH158" s="89"/>
      <c r="DI158" s="90" t="s">
        <v>604</v>
      </c>
      <c r="DJ158" s="91" t="s">
        <v>605</v>
      </c>
      <c r="DK158" s="92" t="s">
        <v>606</v>
      </c>
      <c r="DL158" s="92" t="s">
        <v>607</v>
      </c>
      <c r="DM158" s="91" t="s">
        <v>608</v>
      </c>
      <c r="DN158" s="91" t="s">
        <v>609</v>
      </c>
      <c r="DO158" s="91" t="s">
        <v>611</v>
      </c>
      <c r="DP158" s="91" t="s">
        <v>610</v>
      </c>
      <c r="DQ158" s="112" t="s">
        <v>234</v>
      </c>
      <c r="DR158" s="112" t="s">
        <v>454</v>
      </c>
      <c r="DS158" s="112" t="s">
        <v>455</v>
      </c>
      <c r="DT158" s="93" t="s">
        <v>456</v>
      </c>
      <c r="DU158" s="94" t="s">
        <v>457</v>
      </c>
      <c r="DV158" s="87"/>
      <c r="DW158" s="112" t="s">
        <v>234</v>
      </c>
      <c r="DX158" s="112" t="s">
        <v>454</v>
      </c>
      <c r="DY158" s="112" t="s">
        <v>455</v>
      </c>
      <c r="DZ158" s="93" t="s">
        <v>456</v>
      </c>
      <c r="EA158" s="94" t="s">
        <v>457</v>
      </c>
      <c r="EB158" s="87"/>
      <c r="EC158" s="112" t="s">
        <v>234</v>
      </c>
      <c r="ED158" s="112" t="s">
        <v>454</v>
      </c>
      <c r="EE158" s="112" t="s">
        <v>455</v>
      </c>
      <c r="EF158" s="93" t="s">
        <v>456</v>
      </c>
      <c r="EG158" s="94" t="s">
        <v>457</v>
      </c>
      <c r="EH158" s="87"/>
      <c r="EI158" s="112" t="s">
        <v>234</v>
      </c>
      <c r="EJ158" s="112" t="s">
        <v>454</v>
      </c>
      <c r="EK158" s="112" t="s">
        <v>455</v>
      </c>
      <c r="EL158" s="93" t="s">
        <v>456</v>
      </c>
      <c r="EM158" s="94" t="s">
        <v>457</v>
      </c>
      <c r="EN158" s="87"/>
      <c r="EO158" s="112" t="s">
        <v>234</v>
      </c>
      <c r="EP158" s="112" t="s">
        <v>454</v>
      </c>
      <c r="EQ158" s="112" t="s">
        <v>455</v>
      </c>
      <c r="ER158" s="93" t="s">
        <v>456</v>
      </c>
      <c r="ES158" s="94" t="s">
        <v>457</v>
      </c>
      <c r="ET158" s="87"/>
      <c r="EU158" s="112" t="s">
        <v>234</v>
      </c>
      <c r="EV158" s="112" t="s">
        <v>454</v>
      </c>
      <c r="EW158" s="112" t="s">
        <v>455</v>
      </c>
      <c r="EX158" s="93" t="s">
        <v>456</v>
      </c>
      <c r="EY158" s="94" t="s">
        <v>457</v>
      </c>
      <c r="EZ158" s="87"/>
      <c r="FA158" s="112" t="s">
        <v>234</v>
      </c>
      <c r="FB158" s="112" t="s">
        <v>454</v>
      </c>
      <c r="FC158" s="112" t="s">
        <v>455</v>
      </c>
      <c r="FD158" s="93" t="s">
        <v>456</v>
      </c>
      <c r="FE158" s="94" t="s">
        <v>457</v>
      </c>
      <c r="FF158" s="87"/>
      <c r="FG158" s="112" t="s">
        <v>234</v>
      </c>
      <c r="FH158" s="112" t="s">
        <v>454</v>
      </c>
      <c r="FI158" s="112" t="s">
        <v>455</v>
      </c>
      <c r="FJ158" s="93" t="s">
        <v>456</v>
      </c>
      <c r="FK158" s="94" t="s">
        <v>457</v>
      </c>
      <c r="FL158" s="87"/>
      <c r="FM158" s="112" t="s">
        <v>234</v>
      </c>
      <c r="FN158" s="112" t="s">
        <v>454</v>
      </c>
      <c r="FO158" s="112" t="s">
        <v>455</v>
      </c>
      <c r="FP158" s="93" t="s">
        <v>456</v>
      </c>
      <c r="FQ158" s="94" t="s">
        <v>457</v>
      </c>
      <c r="FR158" s="87"/>
      <c r="FS158" s="112" t="s">
        <v>234</v>
      </c>
      <c r="FT158" s="112" t="s">
        <v>454</v>
      </c>
      <c r="FU158" s="112" t="s">
        <v>455</v>
      </c>
      <c r="FV158" s="93" t="s">
        <v>456</v>
      </c>
      <c r="FW158" s="94" t="s">
        <v>457</v>
      </c>
      <c r="FX158" s="87"/>
      <c r="FY158" s="112" t="s">
        <v>234</v>
      </c>
      <c r="FZ158" s="112" t="s">
        <v>454</v>
      </c>
      <c r="GA158" s="112" t="s">
        <v>455</v>
      </c>
      <c r="GB158" s="93" t="s">
        <v>456</v>
      </c>
      <c r="GC158" s="94" t="s">
        <v>457</v>
      </c>
      <c r="GD158" s="87"/>
      <c r="GE158" s="112" t="s">
        <v>234</v>
      </c>
      <c r="GF158" s="112" t="s">
        <v>454</v>
      </c>
      <c r="GG158" s="112" t="s">
        <v>455</v>
      </c>
      <c r="GH158" s="93" t="s">
        <v>456</v>
      </c>
      <c r="GI158" s="94" t="s">
        <v>457</v>
      </c>
      <c r="GJ158" s="87"/>
      <c r="GK158" s="112" t="s">
        <v>234</v>
      </c>
      <c r="GL158" s="112" t="s">
        <v>454</v>
      </c>
      <c r="GM158" s="112" t="s">
        <v>455</v>
      </c>
      <c r="GN158" s="93" t="s">
        <v>456</v>
      </c>
      <c r="GO158" s="94" t="s">
        <v>457</v>
      </c>
      <c r="GP158" s="87"/>
      <c r="GQ158" s="112" t="s">
        <v>234</v>
      </c>
      <c r="GR158" s="112" t="s">
        <v>454</v>
      </c>
      <c r="GS158" s="112" t="s">
        <v>455</v>
      </c>
      <c r="GT158" s="93" t="s">
        <v>456</v>
      </c>
      <c r="GU158" s="94" t="s">
        <v>457</v>
      </c>
      <c r="GV158" s="87"/>
      <c r="GW158" s="112" t="s">
        <v>234</v>
      </c>
      <c r="GX158" s="112" t="s">
        <v>454</v>
      </c>
      <c r="GY158" s="112" t="s">
        <v>455</v>
      </c>
      <c r="GZ158" s="93" t="s">
        <v>456</v>
      </c>
      <c r="HA158" s="94" t="s">
        <v>457</v>
      </c>
      <c r="HB158" s="87"/>
      <c r="HC158" s="85"/>
      <c r="HD158" s="6"/>
      <c r="HE158" s="95" t="s">
        <v>679</v>
      </c>
      <c r="HF158" s="95" t="s">
        <v>488</v>
      </c>
      <c r="HG158" s="220" t="s">
        <v>489</v>
      </c>
      <c r="HH158" s="95" t="s">
        <v>603</v>
      </c>
      <c r="HI158" s="95" t="s">
        <v>423</v>
      </c>
      <c r="HJ158" s="85"/>
      <c r="HK158" s="90" t="s">
        <v>680</v>
      </c>
      <c r="HL158" s="91" t="s">
        <v>681</v>
      </c>
      <c r="HM158" s="92" t="s">
        <v>606</v>
      </c>
      <c r="HN158" s="92" t="s">
        <v>607</v>
      </c>
      <c r="HO158" s="91" t="s">
        <v>608</v>
      </c>
      <c r="HP158" s="91" t="s">
        <v>609</v>
      </c>
      <c r="HQ158" s="92" t="s">
        <v>456</v>
      </c>
      <c r="HR158" s="91" t="s">
        <v>610</v>
      </c>
    </row>
    <row r="159" spans="1:226" x14ac:dyDescent="0.3">
      <c r="A159" s="326">
        <v>1</v>
      </c>
      <c r="B159" s="307" t="s">
        <v>225</v>
      </c>
      <c r="C159" s="326" t="s">
        <v>333</v>
      </c>
      <c r="D159" s="21" t="s">
        <v>219</v>
      </c>
      <c r="E159" s="4"/>
      <c r="F159" s="4"/>
      <c r="G159" s="4"/>
      <c r="H159" s="325"/>
      <c r="I159" s="325">
        <v>8557026</v>
      </c>
      <c r="J159" s="325"/>
      <c r="K159" s="325"/>
      <c r="L159" s="325">
        <v>14901666</v>
      </c>
      <c r="M159" s="6">
        <v>14801666</v>
      </c>
      <c r="N159" s="325">
        <v>13701666</v>
      </c>
      <c r="O159" s="318">
        <v>12791666</v>
      </c>
      <c r="P159" s="318">
        <v>12491666</v>
      </c>
      <c r="Q159" s="318">
        <v>12491666</v>
      </c>
      <c r="R159" s="318">
        <v>12491666</v>
      </c>
      <c r="S159" s="318">
        <v>12491666</v>
      </c>
      <c r="T159" s="6">
        <v>12063626</v>
      </c>
      <c r="U159" s="7">
        <f t="shared" ref="U159:U165" si="658">T159*5%</f>
        <v>603181.30000000005</v>
      </c>
      <c r="V159" s="7">
        <f t="shared" ref="V159:V165" si="659">T159+U159</f>
        <v>12666807.300000001</v>
      </c>
      <c r="W159" s="7">
        <v>12688209</v>
      </c>
      <c r="X159" s="7">
        <v>12688209</v>
      </c>
      <c r="Y159" s="7">
        <v>12688209</v>
      </c>
      <c r="Z159" s="7">
        <v>12688209</v>
      </c>
      <c r="AA159" s="7">
        <v>12688209</v>
      </c>
      <c r="AB159" s="7">
        <v>12688209</v>
      </c>
      <c r="AC159" s="4">
        <v>0</v>
      </c>
      <c r="AD159" s="4">
        <v>0</v>
      </c>
      <c r="AE159" s="7">
        <f t="shared" ref="AE159:AE165" si="660">AD159+AC159+AB159</f>
        <v>12688209</v>
      </c>
      <c r="AF159" s="7">
        <v>12688209</v>
      </c>
      <c r="AG159" s="4">
        <v>0</v>
      </c>
      <c r="AH159" s="4">
        <v>0</v>
      </c>
      <c r="AI159" s="7">
        <f t="shared" ref="AI159:AI165" si="661">AH159+AG159+AF159</f>
        <v>12688209</v>
      </c>
      <c r="AJ159" s="7">
        <v>12688209</v>
      </c>
      <c r="AK159" s="4">
        <v>0</v>
      </c>
      <c r="AL159" s="4">
        <v>0</v>
      </c>
      <c r="AM159" s="7">
        <f t="shared" ref="AM159:AM165" si="662">AL159+AK159+AJ159</f>
        <v>12688209</v>
      </c>
      <c r="AN159" s="7">
        <v>12688209</v>
      </c>
      <c r="AO159" s="4">
        <v>0</v>
      </c>
      <c r="AP159" s="4">
        <v>0</v>
      </c>
      <c r="AQ159" s="7">
        <f t="shared" ref="AQ159:AQ165" si="663">AP159+AO159+AN159</f>
        <v>12688209</v>
      </c>
      <c r="AR159" s="7">
        <v>12688209</v>
      </c>
      <c r="AS159" s="4">
        <v>0</v>
      </c>
      <c r="AT159" s="4">
        <v>0</v>
      </c>
      <c r="AU159" s="7">
        <f t="shared" ref="AU159:AU165" si="664">AT159+AS159+AR159</f>
        <v>12688209</v>
      </c>
      <c r="AV159" s="7">
        <v>12688209</v>
      </c>
      <c r="AW159" s="4">
        <v>0</v>
      </c>
      <c r="AX159" s="4">
        <v>0</v>
      </c>
      <c r="AY159" s="7">
        <f t="shared" ref="AY159:AY165" si="665">AX159+AW159+AV159</f>
        <v>12688209</v>
      </c>
      <c r="AZ159" s="8">
        <f>AY159*5%</f>
        <v>634410.45000000007</v>
      </c>
      <c r="BA159" s="8">
        <v>0.45</v>
      </c>
      <c r="BB159" s="8">
        <f>AZ159-BA159</f>
        <v>634410.00000000012</v>
      </c>
      <c r="BC159" s="8">
        <f>BB159+AY159</f>
        <v>13322619</v>
      </c>
      <c r="BD159" s="8"/>
      <c r="BE159" s="8">
        <f>BD159+BC159</f>
        <v>13322619</v>
      </c>
      <c r="BF159" s="10">
        <f>BE159-AY159</f>
        <v>634410</v>
      </c>
      <c r="BG159" s="11">
        <f>BF159-BB159</f>
        <v>0</v>
      </c>
      <c r="BH159" s="319">
        <v>13322619</v>
      </c>
      <c r="BI159" s="319">
        <v>0</v>
      </c>
      <c r="BJ159" s="319">
        <v>0</v>
      </c>
      <c r="BK159" s="319">
        <f t="shared" ref="BK159:BK165" si="666">BJ159+BI159+BH159</f>
        <v>13322619</v>
      </c>
      <c r="BL159" s="319">
        <v>13322619</v>
      </c>
      <c r="BM159" s="319">
        <v>0</v>
      </c>
      <c r="BN159" s="319">
        <v>0</v>
      </c>
      <c r="BO159" s="319">
        <f t="shared" ref="BO159:BO165" si="667">BN159+BM159+BL159</f>
        <v>13322619</v>
      </c>
      <c r="BP159" s="319">
        <f>BO159-BK159</f>
        <v>0</v>
      </c>
      <c r="BQ159" s="319">
        <v>13322619</v>
      </c>
      <c r="BR159" s="319">
        <v>0</v>
      </c>
      <c r="BS159" s="319">
        <v>0</v>
      </c>
      <c r="BT159" s="319">
        <f t="shared" ref="BT159:BT165" si="668">BS159+BR159+BQ159</f>
        <v>13322619</v>
      </c>
      <c r="BU159" s="319">
        <f t="shared" ref="BU159:BU165" si="669">BT159-BO159</f>
        <v>0</v>
      </c>
      <c r="BV159" s="9">
        <v>10822619</v>
      </c>
      <c r="BW159" s="18" t="s">
        <v>238</v>
      </c>
      <c r="BX159" s="18" t="s">
        <v>238</v>
      </c>
      <c r="BY159" s="319">
        <f t="shared" ref="BY159:BY165" si="670">BX159+BW159+BV159</f>
        <v>10822619</v>
      </c>
      <c r="BZ159" s="48">
        <f t="shared" ref="BZ159:BZ165" si="671">BY159-BT159</f>
        <v>-2500000</v>
      </c>
      <c r="CA159" s="48">
        <v>10823507</v>
      </c>
      <c r="CB159" s="18" t="s">
        <v>238</v>
      </c>
      <c r="CC159" s="18" t="s">
        <v>238</v>
      </c>
      <c r="CD159" s="319">
        <f t="shared" ref="CD159:CD165" si="672">CC159+CB159+CA159</f>
        <v>10823507</v>
      </c>
      <c r="CE159" s="48">
        <f t="shared" ref="CE159:CE165" si="673">CD159-BY159</f>
        <v>888</v>
      </c>
      <c r="CF159" s="319">
        <v>10823507</v>
      </c>
      <c r="CG159" s="319">
        <v>0</v>
      </c>
      <c r="CH159" s="319">
        <v>0</v>
      </c>
      <c r="CI159" s="319">
        <f t="shared" ref="CI159:CI165" si="674">CH159+CG159+CF159</f>
        <v>10823507</v>
      </c>
      <c r="CJ159" s="319">
        <f t="shared" ref="CJ159:CJ165" si="675">CI159-CD159</f>
        <v>0</v>
      </c>
      <c r="CK159" s="319">
        <v>10823507</v>
      </c>
      <c r="CL159" s="319">
        <v>0</v>
      </c>
      <c r="CM159" s="319">
        <v>0</v>
      </c>
      <c r="CN159" s="319">
        <f t="shared" ref="CN159:CN165" si="676">CM159+CL159+CK159</f>
        <v>10823507</v>
      </c>
      <c r="CO159" s="319">
        <f t="shared" ref="CO159:CO165" si="677">CN159-CI159</f>
        <v>0</v>
      </c>
      <c r="CP159" s="319">
        <v>10823507</v>
      </c>
      <c r="CQ159" s="319">
        <v>0</v>
      </c>
      <c r="CR159" s="319">
        <v>0</v>
      </c>
      <c r="CS159" s="319">
        <f t="shared" ref="CS159:CS165" si="678">CR159+CQ159+CP159</f>
        <v>10823507</v>
      </c>
      <c r="CT159" s="319">
        <f t="shared" ref="CT159:CT165" si="679">CS159-CN159</f>
        <v>0</v>
      </c>
      <c r="CU159" s="9">
        <v>9023507</v>
      </c>
      <c r="CV159" s="18" t="s">
        <v>238</v>
      </c>
      <c r="CW159" s="18" t="s">
        <v>238</v>
      </c>
      <c r="CX159" s="319">
        <f t="shared" ref="CX159:CX165" si="680">CW159+CV159+CU159</f>
        <v>9023507</v>
      </c>
      <c r="CY159" s="48">
        <f t="shared" ref="CY159:CY165" si="681">CX159-CS159</f>
        <v>-1800000</v>
      </c>
      <c r="CZ159" s="48"/>
      <c r="DA159" s="48"/>
      <c r="DB159" s="48"/>
      <c r="DC159" s="12">
        <f>CX159*10%</f>
        <v>902350.70000000007</v>
      </c>
      <c r="DD159" s="12">
        <v>0.7</v>
      </c>
      <c r="DE159" s="13">
        <f>DC159-DD159</f>
        <v>902350.00000000012</v>
      </c>
      <c r="DF159" s="14">
        <f t="shared" ref="DF159:DF165" si="682">DE159:DE159</f>
        <v>902350.00000000012</v>
      </c>
      <c r="DG159" s="13">
        <f t="shared" ref="DG159:DG165" si="683">DE159+CX159</f>
        <v>9925857</v>
      </c>
      <c r="DH159" s="15">
        <f t="shared" ref="DH159:DH165" si="684">100/1278396949*CX159</f>
        <v>0.70584547366594186</v>
      </c>
      <c r="DI159" s="16">
        <f t="shared" ref="DI159:DI165" si="685">CX159</f>
        <v>9023507</v>
      </c>
      <c r="DJ159" s="132">
        <f>DI159*1.1</f>
        <v>9925857.7000000011</v>
      </c>
      <c r="DK159" s="17">
        <f>DJ159-DI159</f>
        <v>902350.70000000112</v>
      </c>
      <c r="DL159" s="17">
        <f t="shared" ref="DL159:DL165" si="686">DD159</f>
        <v>0.7</v>
      </c>
      <c r="DM159" s="16">
        <f>DK159-DL159</f>
        <v>902350.00000000116</v>
      </c>
      <c r="DN159" s="16">
        <f t="shared" ref="DN159:DN165" si="687">DM159-DE159</f>
        <v>1.0477378964424133E-9</v>
      </c>
      <c r="DO159" s="16">
        <f>DM159+DI159</f>
        <v>9925857.0000000019</v>
      </c>
      <c r="DP159" s="16">
        <f t="shared" ref="DP159:DP165" si="688">DO159-DG159</f>
        <v>0</v>
      </c>
      <c r="DQ159" s="9">
        <v>10105857</v>
      </c>
      <c r="DR159" s="18" t="s">
        <v>238</v>
      </c>
      <c r="DS159" s="18" t="s">
        <v>238</v>
      </c>
      <c r="DT159" s="324">
        <f>DQ159+DR159+DS159</f>
        <v>10105857</v>
      </c>
      <c r="DU159" s="321">
        <f>DT159</f>
        <v>10105857</v>
      </c>
      <c r="DV159" s="19">
        <f t="shared" ref="DV159:DV165" si="689">DT159-DG159</f>
        <v>180000</v>
      </c>
      <c r="DW159" s="9">
        <v>10005857</v>
      </c>
      <c r="DX159" s="18"/>
      <c r="DY159" s="18"/>
      <c r="DZ159" s="324">
        <f>DW159+DX159+DY159</f>
        <v>10005857</v>
      </c>
      <c r="EA159" s="321">
        <f>DZ159</f>
        <v>10005857</v>
      </c>
      <c r="EB159" s="22">
        <f t="shared" ref="EB159:EB165" si="690">DZ159-DT159</f>
        <v>-100000</v>
      </c>
      <c r="EC159" s="9">
        <v>10005857</v>
      </c>
      <c r="ED159" s="9">
        <v>0</v>
      </c>
      <c r="EE159" s="9">
        <v>0</v>
      </c>
      <c r="EF159" s="324">
        <f>EC159+ED159+EE159</f>
        <v>10005857</v>
      </c>
      <c r="EG159" s="321">
        <f>EF159</f>
        <v>10005857</v>
      </c>
      <c r="EH159" s="179">
        <f t="shared" ref="EH159:EH165" si="691">EF159-DZ159</f>
        <v>0</v>
      </c>
      <c r="EI159" s="9">
        <v>10005857</v>
      </c>
      <c r="EJ159" s="9">
        <v>0</v>
      </c>
      <c r="EK159" s="9">
        <v>0</v>
      </c>
      <c r="EL159" s="324">
        <f>EI159+EJ159+EK159</f>
        <v>10005857</v>
      </c>
      <c r="EM159" s="321">
        <f>EL159</f>
        <v>10005857</v>
      </c>
      <c r="EN159" s="179">
        <f t="shared" ref="EN159:EN165" si="692">EL159-EF159</f>
        <v>0</v>
      </c>
      <c r="EO159" s="9">
        <v>9894471</v>
      </c>
      <c r="EP159" s="9">
        <v>0</v>
      </c>
      <c r="EQ159" s="9">
        <v>0</v>
      </c>
      <c r="ER159" s="324">
        <f>EO159+EP159+EQ159</f>
        <v>9894471</v>
      </c>
      <c r="ES159" s="321">
        <f>ER159</f>
        <v>9894471</v>
      </c>
      <c r="ET159" s="22">
        <f t="shared" ref="ET159:ET165" si="693">ER159-EL159</f>
        <v>-111386</v>
      </c>
      <c r="EU159" s="9">
        <v>9894471</v>
      </c>
      <c r="EV159" s="9">
        <v>0</v>
      </c>
      <c r="EW159" s="9">
        <v>0</v>
      </c>
      <c r="EX159" s="324">
        <f>EU159+EV159+EW159</f>
        <v>9894471</v>
      </c>
      <c r="EY159" s="321">
        <f>EX159</f>
        <v>9894471</v>
      </c>
      <c r="EZ159" s="179">
        <f t="shared" ref="EZ159:EZ165" si="694">EX159-ER159</f>
        <v>0</v>
      </c>
      <c r="FA159" s="9">
        <v>9894471</v>
      </c>
      <c r="FB159" s="9">
        <v>0</v>
      </c>
      <c r="FC159" s="9">
        <v>0</v>
      </c>
      <c r="FD159" s="324">
        <f>FA159+FB159+FC159</f>
        <v>9894471</v>
      </c>
      <c r="FE159" s="321">
        <f>FD159</f>
        <v>9894471</v>
      </c>
      <c r="FF159" s="179">
        <f t="shared" ref="FF159:FF165" si="695">FD159-EX159</f>
        <v>0</v>
      </c>
      <c r="FG159" s="9">
        <v>9894471</v>
      </c>
      <c r="FH159" s="18" t="s">
        <v>238</v>
      </c>
      <c r="FI159" s="18" t="s">
        <v>238</v>
      </c>
      <c r="FJ159" s="324">
        <f>FG159+FH159+FI159</f>
        <v>9894471</v>
      </c>
      <c r="FK159" s="321">
        <f>FJ159</f>
        <v>9894471</v>
      </c>
      <c r="FL159" s="179">
        <f t="shared" ref="FL159:FL165" si="696">FJ159-FD159</f>
        <v>0</v>
      </c>
      <c r="FM159" s="9">
        <v>9894471</v>
      </c>
      <c r="FN159" s="18" t="s">
        <v>238</v>
      </c>
      <c r="FO159" s="18" t="s">
        <v>238</v>
      </c>
      <c r="FP159" s="324">
        <f>FM159+FN159+FO159</f>
        <v>9894471</v>
      </c>
      <c r="FQ159" s="321">
        <f>FP159</f>
        <v>9894471</v>
      </c>
      <c r="FR159" s="179">
        <f t="shared" ref="FR159:FR165" si="697">FP159-FJ159</f>
        <v>0</v>
      </c>
      <c r="FS159" s="9">
        <v>9894471</v>
      </c>
      <c r="FT159" s="18" t="s">
        <v>238</v>
      </c>
      <c r="FU159" s="18" t="s">
        <v>238</v>
      </c>
      <c r="FV159" s="324">
        <f>FS159+FT159+FU159</f>
        <v>9894471</v>
      </c>
      <c r="FW159" s="321">
        <f>FV159</f>
        <v>9894471</v>
      </c>
      <c r="FX159" s="179">
        <f t="shared" ref="FX159:FX165" si="698">FV159-FP159</f>
        <v>0</v>
      </c>
      <c r="FY159" s="9">
        <v>9894471</v>
      </c>
      <c r="FZ159" s="18" t="s">
        <v>238</v>
      </c>
      <c r="GA159" s="18" t="s">
        <v>238</v>
      </c>
      <c r="GB159" s="324">
        <f>FY159+FZ159+GA159</f>
        <v>9894471</v>
      </c>
      <c r="GC159" s="321">
        <f>GB159</f>
        <v>9894471</v>
      </c>
      <c r="GD159" s="179">
        <f t="shared" ref="GD159:GD165" si="699">GB159-FV159</f>
        <v>0</v>
      </c>
      <c r="GE159" s="9">
        <v>9894471</v>
      </c>
      <c r="GF159" s="18" t="s">
        <v>238</v>
      </c>
      <c r="GG159" s="18" t="s">
        <v>238</v>
      </c>
      <c r="GH159" s="324">
        <f>GE159+GF159+GG159</f>
        <v>9894471</v>
      </c>
      <c r="GI159" s="321">
        <f>GH159</f>
        <v>9894471</v>
      </c>
      <c r="GJ159" s="179">
        <f t="shared" ref="GJ159:GJ165" si="700">GH159-GB159</f>
        <v>0</v>
      </c>
      <c r="GK159" s="9">
        <v>9894471</v>
      </c>
      <c r="GL159" s="18" t="s">
        <v>238</v>
      </c>
      <c r="GM159" s="18" t="s">
        <v>238</v>
      </c>
      <c r="GN159" s="324">
        <f>GK159+GL159+GM159</f>
        <v>9894471</v>
      </c>
      <c r="GO159" s="321">
        <f>GN159</f>
        <v>9894471</v>
      </c>
      <c r="GP159" s="179">
        <f t="shared" ref="GP159:GP165" si="701">GN159-GH159</f>
        <v>0</v>
      </c>
      <c r="GQ159" s="9">
        <v>9894471</v>
      </c>
      <c r="GR159" s="18" t="s">
        <v>238</v>
      </c>
      <c r="GS159" s="18" t="s">
        <v>238</v>
      </c>
      <c r="GT159" s="324">
        <f>GQ159+GR159+GS159</f>
        <v>9894471</v>
      </c>
      <c r="GU159" s="321">
        <f>GT159</f>
        <v>9894471</v>
      </c>
      <c r="GV159" s="179">
        <f t="shared" ref="GV159:GV165" si="702">GT159-GN159</f>
        <v>0</v>
      </c>
      <c r="GW159" s="9">
        <v>10389194</v>
      </c>
      <c r="GX159" s="18" t="s">
        <v>238</v>
      </c>
      <c r="GY159" s="18" t="s">
        <v>238</v>
      </c>
      <c r="GZ159" s="324">
        <f>GW159+GX159+GY159</f>
        <v>10389194</v>
      </c>
      <c r="HA159" s="321">
        <f>GZ159</f>
        <v>10389194</v>
      </c>
      <c r="HB159" s="179">
        <f t="shared" ref="HB159:HB165" si="703">GZ159-GT159</f>
        <v>494723</v>
      </c>
      <c r="HC159" s="102">
        <f t="shared" ref="HC159:HC165" si="704">100/1406236643.9*GT159</f>
        <v>0.70361350935636779</v>
      </c>
      <c r="HD159" s="285">
        <f>HB159-HO159</f>
        <v>-6.9849193096160889E-10</v>
      </c>
      <c r="HE159" s="12">
        <f>GT159*0.05</f>
        <v>494723.55000000005</v>
      </c>
      <c r="HF159" s="12">
        <f t="shared" ref="HF159:HF165" si="705">IF(ISNUMBER(HE159), HE159-INT(HE159), "")</f>
        <v>0.55000000004656613</v>
      </c>
      <c r="HG159" s="12">
        <f>HE159-HF159</f>
        <v>494723</v>
      </c>
      <c r="HH159" s="14">
        <f>HG159:HG159</f>
        <v>494723</v>
      </c>
      <c r="HI159" s="13">
        <f>HG159+GT159</f>
        <v>10389194</v>
      </c>
      <c r="HJ159" s="102">
        <f>100/1406236643.9*HI159</f>
        <v>0.73879414571270363</v>
      </c>
      <c r="HK159" s="16">
        <f>GT159</f>
        <v>9894471</v>
      </c>
      <c r="HL159" s="103">
        <f>HK159*1.05</f>
        <v>10389194.550000001</v>
      </c>
      <c r="HM159" s="103">
        <f>HL159-HK159</f>
        <v>494723.55000000075</v>
      </c>
      <c r="HN159" s="17">
        <f>HF159</f>
        <v>0.55000000004656613</v>
      </c>
      <c r="HO159" s="56">
        <f>HM159-HN159</f>
        <v>494723.0000000007</v>
      </c>
      <c r="HP159" s="16">
        <f>HO159-HG159</f>
        <v>6.9849193096160889E-10</v>
      </c>
      <c r="HQ159" s="16">
        <f>HO159+HK159</f>
        <v>10389194</v>
      </c>
      <c r="HR159" s="16">
        <f>HQ159-HI159</f>
        <v>0</v>
      </c>
    </row>
    <row r="160" spans="1:226" x14ac:dyDescent="0.3">
      <c r="A160" s="326">
        <v>2</v>
      </c>
      <c r="B160" s="241" t="s">
        <v>434</v>
      </c>
      <c r="C160" s="6" t="s">
        <v>325</v>
      </c>
      <c r="D160" s="21" t="s">
        <v>182</v>
      </c>
      <c r="E160" s="4"/>
      <c r="F160" s="4"/>
      <c r="G160" s="4"/>
      <c r="H160" s="325"/>
      <c r="I160" s="325">
        <v>205128</v>
      </c>
      <c r="J160" s="325"/>
      <c r="K160" s="325"/>
      <c r="L160" s="325">
        <v>205128</v>
      </c>
      <c r="M160" s="6">
        <v>205128</v>
      </c>
      <c r="N160" s="6">
        <v>205128</v>
      </c>
      <c r="O160" s="7">
        <v>205128</v>
      </c>
      <c r="P160" s="7">
        <v>205128</v>
      </c>
      <c r="Q160" s="7">
        <v>205128</v>
      </c>
      <c r="R160" s="7">
        <v>205128</v>
      </c>
      <c r="S160" s="7">
        <v>205128</v>
      </c>
      <c r="T160" s="7">
        <v>205128</v>
      </c>
      <c r="U160" s="7">
        <f t="shared" si="658"/>
        <v>10256.400000000001</v>
      </c>
      <c r="V160" s="7">
        <f t="shared" si="659"/>
        <v>215384.4</v>
      </c>
      <c r="W160" s="7">
        <v>215384</v>
      </c>
      <c r="X160" s="7">
        <v>215384</v>
      </c>
      <c r="Y160" s="7">
        <v>215384</v>
      </c>
      <c r="Z160" s="7">
        <v>215384</v>
      </c>
      <c r="AA160" s="7">
        <v>215384</v>
      </c>
      <c r="AB160" s="7">
        <v>215384</v>
      </c>
      <c r="AC160" s="4">
        <v>0</v>
      </c>
      <c r="AD160" s="4">
        <v>0</v>
      </c>
      <c r="AE160" s="7">
        <f t="shared" si="660"/>
        <v>215384</v>
      </c>
      <c r="AF160" s="7">
        <v>215384</v>
      </c>
      <c r="AG160" s="4">
        <v>0</v>
      </c>
      <c r="AH160" s="4">
        <v>0</v>
      </c>
      <c r="AI160" s="7">
        <f t="shared" si="661"/>
        <v>215384</v>
      </c>
      <c r="AJ160" s="7">
        <v>215384</v>
      </c>
      <c r="AK160" s="4">
        <v>0</v>
      </c>
      <c r="AL160" s="4">
        <v>0</v>
      </c>
      <c r="AM160" s="7">
        <f t="shared" si="662"/>
        <v>215384</v>
      </c>
      <c r="AN160" s="7">
        <v>215384</v>
      </c>
      <c r="AO160" s="4">
        <v>0</v>
      </c>
      <c r="AP160" s="4">
        <v>0</v>
      </c>
      <c r="AQ160" s="7">
        <f t="shared" si="663"/>
        <v>215384</v>
      </c>
      <c r="AR160" s="325">
        <v>115384</v>
      </c>
      <c r="AS160" s="4">
        <v>0</v>
      </c>
      <c r="AT160" s="4">
        <v>0</v>
      </c>
      <c r="AU160" s="7">
        <f t="shared" si="664"/>
        <v>115384</v>
      </c>
      <c r="AV160" s="325">
        <v>115384</v>
      </c>
      <c r="AW160" s="4">
        <v>0</v>
      </c>
      <c r="AX160" s="4">
        <v>0</v>
      </c>
      <c r="AY160" s="7">
        <f t="shared" si="665"/>
        <v>115384</v>
      </c>
      <c r="AZ160" s="8">
        <f t="shared" ref="AZ160:AZ165" si="706">AY160*5%</f>
        <v>5769.2000000000007</v>
      </c>
      <c r="BA160" s="8">
        <v>0.2</v>
      </c>
      <c r="BB160" s="8">
        <f t="shared" ref="BB160:BB165" si="707">AZ160-BA160</f>
        <v>5769.0000000000009</v>
      </c>
      <c r="BC160" s="8">
        <f t="shared" ref="BC160:BC165" si="708">BB160+AY160</f>
        <v>121153</v>
      </c>
      <c r="BD160" s="8"/>
      <c r="BE160" s="8">
        <f t="shared" ref="BE160:BE165" si="709">BD160+BC160</f>
        <v>121153</v>
      </c>
      <c r="BF160" s="10">
        <f t="shared" ref="BF160:BF165" si="710">BE160-AY160</f>
        <v>5769</v>
      </c>
      <c r="BG160" s="11">
        <f t="shared" ref="BG160:BG165" si="711">BF160-BB160</f>
        <v>0</v>
      </c>
      <c r="BH160" s="319">
        <v>121153</v>
      </c>
      <c r="BI160" s="319">
        <v>0</v>
      </c>
      <c r="BJ160" s="319">
        <v>0</v>
      </c>
      <c r="BK160" s="319">
        <f t="shared" si="666"/>
        <v>121153</v>
      </c>
      <c r="BL160" s="319">
        <v>121153</v>
      </c>
      <c r="BM160" s="319">
        <v>0</v>
      </c>
      <c r="BN160" s="319">
        <v>0</v>
      </c>
      <c r="BO160" s="319">
        <f t="shared" si="667"/>
        <v>121153</v>
      </c>
      <c r="BP160" s="319">
        <f t="shared" ref="BP160:BP165" si="712">BO160-BK160</f>
        <v>0</v>
      </c>
      <c r="BQ160" s="319">
        <v>121153</v>
      </c>
      <c r="BR160" s="319">
        <v>0</v>
      </c>
      <c r="BS160" s="319">
        <v>0</v>
      </c>
      <c r="BT160" s="319">
        <f t="shared" si="668"/>
        <v>121153</v>
      </c>
      <c r="BU160" s="319">
        <f t="shared" si="669"/>
        <v>0</v>
      </c>
      <c r="BV160" s="319">
        <v>121153</v>
      </c>
      <c r="BW160" s="319">
        <v>0</v>
      </c>
      <c r="BX160" s="319">
        <v>0</v>
      </c>
      <c r="BY160" s="319">
        <f t="shared" si="670"/>
        <v>121153</v>
      </c>
      <c r="BZ160" s="319">
        <f t="shared" si="671"/>
        <v>0</v>
      </c>
      <c r="CA160" s="319">
        <v>121153</v>
      </c>
      <c r="CB160" s="319">
        <v>0</v>
      </c>
      <c r="CC160" s="319">
        <v>0</v>
      </c>
      <c r="CD160" s="319">
        <f t="shared" si="672"/>
        <v>121153</v>
      </c>
      <c r="CE160" s="319">
        <f t="shared" si="673"/>
        <v>0</v>
      </c>
      <c r="CF160" s="319">
        <v>121153</v>
      </c>
      <c r="CG160" s="319">
        <v>0</v>
      </c>
      <c r="CH160" s="319">
        <v>0</v>
      </c>
      <c r="CI160" s="319">
        <f t="shared" si="674"/>
        <v>121153</v>
      </c>
      <c r="CJ160" s="319">
        <f t="shared" si="675"/>
        <v>0</v>
      </c>
      <c r="CK160" s="319">
        <v>121153</v>
      </c>
      <c r="CL160" s="319">
        <v>0</v>
      </c>
      <c r="CM160" s="319">
        <v>0</v>
      </c>
      <c r="CN160" s="319">
        <f t="shared" si="676"/>
        <v>121153</v>
      </c>
      <c r="CO160" s="319">
        <f t="shared" si="677"/>
        <v>0</v>
      </c>
      <c r="CP160" s="319">
        <v>121153</v>
      </c>
      <c r="CQ160" s="319">
        <v>0</v>
      </c>
      <c r="CR160" s="319">
        <v>0</v>
      </c>
      <c r="CS160" s="319">
        <f t="shared" si="678"/>
        <v>121153</v>
      </c>
      <c r="CT160" s="319">
        <f t="shared" si="679"/>
        <v>0</v>
      </c>
      <c r="CU160" s="319">
        <v>121153</v>
      </c>
      <c r="CV160" s="319">
        <v>0</v>
      </c>
      <c r="CW160" s="319">
        <v>0</v>
      </c>
      <c r="CX160" s="319">
        <f t="shared" si="680"/>
        <v>121153</v>
      </c>
      <c r="CY160" s="319">
        <f t="shared" si="681"/>
        <v>0</v>
      </c>
      <c r="CZ160" s="319"/>
      <c r="DA160" s="319"/>
      <c r="DB160" s="319"/>
      <c r="DC160" s="12">
        <f t="shared" ref="DC160:DC165" si="713">CX160*10%</f>
        <v>12115.300000000001</v>
      </c>
      <c r="DD160" s="12">
        <v>0.3</v>
      </c>
      <c r="DE160" s="13">
        <f t="shared" ref="DE160:DE165" si="714">DC160-DD160</f>
        <v>12115.000000000002</v>
      </c>
      <c r="DF160" s="14">
        <f t="shared" si="682"/>
        <v>12115.000000000002</v>
      </c>
      <c r="DG160" s="13">
        <f t="shared" si="683"/>
        <v>133268</v>
      </c>
      <c r="DH160" s="15">
        <f t="shared" si="684"/>
        <v>9.4769468978136602E-3</v>
      </c>
      <c r="DI160" s="16">
        <f t="shared" si="685"/>
        <v>121153</v>
      </c>
      <c r="DJ160" s="132">
        <f t="shared" ref="DJ160:DJ165" si="715">DI160*1.1</f>
        <v>133268.30000000002</v>
      </c>
      <c r="DK160" s="17">
        <f t="shared" ref="DK160:DK165" si="716">DJ160-DI160</f>
        <v>12115.300000000017</v>
      </c>
      <c r="DL160" s="17">
        <f t="shared" si="686"/>
        <v>0.3</v>
      </c>
      <c r="DM160" s="16">
        <f t="shared" ref="DM160:DM165" si="717">DK160-DL160</f>
        <v>12115.000000000018</v>
      </c>
      <c r="DN160" s="16">
        <f t="shared" si="687"/>
        <v>1.6370904631912708E-11</v>
      </c>
      <c r="DO160" s="16">
        <f t="shared" ref="DO160:DO165" si="718">DM160+DI160</f>
        <v>133268.00000000003</v>
      </c>
      <c r="DP160" s="16">
        <f t="shared" si="688"/>
        <v>0</v>
      </c>
      <c r="DQ160" s="9">
        <v>133268</v>
      </c>
      <c r="DR160" s="18" t="s">
        <v>238</v>
      </c>
      <c r="DS160" s="18" t="s">
        <v>238</v>
      </c>
      <c r="DT160" s="324">
        <f t="shared" ref="DT160:DT165" si="719">DQ160+DR160+DS160</f>
        <v>133268</v>
      </c>
      <c r="DU160" s="321">
        <f t="shared" ref="DU160:DU165" si="720">DT160</f>
        <v>133268</v>
      </c>
      <c r="DV160" s="19">
        <f t="shared" si="689"/>
        <v>0</v>
      </c>
      <c r="DW160" s="9">
        <v>133268</v>
      </c>
      <c r="DX160" s="18"/>
      <c r="DY160" s="18"/>
      <c r="DZ160" s="324">
        <f t="shared" ref="DZ160:DZ165" si="721">DW160+DX160+DY160</f>
        <v>133268</v>
      </c>
      <c r="EA160" s="321">
        <f t="shared" ref="EA160:EA165" si="722">DZ160</f>
        <v>133268</v>
      </c>
      <c r="EB160" s="179">
        <f t="shared" si="690"/>
        <v>0</v>
      </c>
      <c r="EC160" s="9">
        <v>133268</v>
      </c>
      <c r="ED160" s="9">
        <v>0</v>
      </c>
      <c r="EE160" s="9">
        <v>0</v>
      </c>
      <c r="EF160" s="324">
        <f t="shared" ref="EF160:EF165" si="723">EC160+ED160+EE160</f>
        <v>133268</v>
      </c>
      <c r="EG160" s="321">
        <f t="shared" ref="EG160:EG165" si="724">EF160</f>
        <v>133268</v>
      </c>
      <c r="EH160" s="179">
        <f t="shared" si="691"/>
        <v>0</v>
      </c>
      <c r="EI160" s="9">
        <v>133268</v>
      </c>
      <c r="EJ160" s="9">
        <v>0</v>
      </c>
      <c r="EK160" s="9">
        <v>0</v>
      </c>
      <c r="EL160" s="324">
        <f t="shared" ref="EL160:EL165" si="725">EI160+EJ160+EK160</f>
        <v>133268</v>
      </c>
      <c r="EM160" s="321">
        <f t="shared" ref="EM160:EM165" si="726">EL160</f>
        <v>133268</v>
      </c>
      <c r="EN160" s="179">
        <f t="shared" si="692"/>
        <v>0</v>
      </c>
      <c r="EO160" s="9">
        <v>133268</v>
      </c>
      <c r="EP160" s="9">
        <v>0</v>
      </c>
      <c r="EQ160" s="9">
        <v>0</v>
      </c>
      <c r="ER160" s="324">
        <f t="shared" ref="ER160:ER165" si="727">EO160+EP160+EQ160</f>
        <v>133268</v>
      </c>
      <c r="ES160" s="321">
        <f t="shared" ref="ES160:ES165" si="728">ER160</f>
        <v>133268</v>
      </c>
      <c r="ET160" s="179">
        <f t="shared" si="693"/>
        <v>0</v>
      </c>
      <c r="EU160" s="9">
        <v>133268</v>
      </c>
      <c r="EV160" s="9">
        <v>0</v>
      </c>
      <c r="EW160" s="9">
        <v>0</v>
      </c>
      <c r="EX160" s="324">
        <f t="shared" ref="EX160:EX165" si="729">EU160+EV160+EW160</f>
        <v>133268</v>
      </c>
      <c r="EY160" s="321">
        <f t="shared" ref="EY160:EY165" si="730">EX160</f>
        <v>133268</v>
      </c>
      <c r="EZ160" s="179">
        <f t="shared" si="694"/>
        <v>0</v>
      </c>
      <c r="FA160" s="9">
        <v>133268</v>
      </c>
      <c r="FB160" s="9">
        <v>0</v>
      </c>
      <c r="FC160" s="9">
        <v>0</v>
      </c>
      <c r="FD160" s="324">
        <f t="shared" ref="FD160:FD165" si="731">FA160+FB160+FC160</f>
        <v>133268</v>
      </c>
      <c r="FE160" s="321">
        <f t="shared" ref="FE160:FE165" si="732">FD160</f>
        <v>133268</v>
      </c>
      <c r="FF160" s="179">
        <f t="shared" si="695"/>
        <v>0</v>
      </c>
      <c r="FG160" s="9">
        <v>133268</v>
      </c>
      <c r="FH160" s="18" t="s">
        <v>238</v>
      </c>
      <c r="FI160" s="18" t="s">
        <v>238</v>
      </c>
      <c r="FJ160" s="324">
        <f t="shared" ref="FJ160:FJ165" si="733">FG160+FH160+FI160</f>
        <v>133268</v>
      </c>
      <c r="FK160" s="321">
        <f t="shared" ref="FK160:FK165" si="734">FJ160</f>
        <v>133268</v>
      </c>
      <c r="FL160" s="179">
        <f t="shared" si="696"/>
        <v>0</v>
      </c>
      <c r="FM160" s="9">
        <v>133268</v>
      </c>
      <c r="FN160" s="18" t="s">
        <v>238</v>
      </c>
      <c r="FO160" s="18" t="s">
        <v>238</v>
      </c>
      <c r="FP160" s="324">
        <f t="shared" ref="FP160:FP165" si="735">FM160+FN160+FO160</f>
        <v>133268</v>
      </c>
      <c r="FQ160" s="321">
        <f t="shared" ref="FQ160:FQ165" si="736">FP160</f>
        <v>133268</v>
      </c>
      <c r="FR160" s="179">
        <f t="shared" si="697"/>
        <v>0</v>
      </c>
      <c r="FS160" s="9">
        <v>133268</v>
      </c>
      <c r="FT160" s="18" t="s">
        <v>238</v>
      </c>
      <c r="FU160" s="18" t="s">
        <v>238</v>
      </c>
      <c r="FV160" s="324">
        <f t="shared" ref="FV160:FV165" si="737">FS160+FT160+FU160</f>
        <v>133268</v>
      </c>
      <c r="FW160" s="321">
        <f t="shared" ref="FW160:FW165" si="738">FV160</f>
        <v>133268</v>
      </c>
      <c r="FX160" s="179">
        <f t="shared" si="698"/>
        <v>0</v>
      </c>
      <c r="FY160" s="9">
        <v>133268</v>
      </c>
      <c r="FZ160" s="18" t="s">
        <v>238</v>
      </c>
      <c r="GA160" s="18" t="s">
        <v>238</v>
      </c>
      <c r="GB160" s="324">
        <f t="shared" ref="GB160:GB165" si="739">FY160+FZ160+GA160</f>
        <v>133268</v>
      </c>
      <c r="GC160" s="321">
        <f t="shared" ref="GC160:GC165" si="740">GB160</f>
        <v>133268</v>
      </c>
      <c r="GD160" s="179">
        <f t="shared" si="699"/>
        <v>0</v>
      </c>
      <c r="GE160" s="9">
        <v>133268</v>
      </c>
      <c r="GF160" s="18" t="s">
        <v>238</v>
      </c>
      <c r="GG160" s="18" t="s">
        <v>238</v>
      </c>
      <c r="GH160" s="324">
        <f t="shared" ref="GH160:GH165" si="741">GE160+GF160+GG160</f>
        <v>133268</v>
      </c>
      <c r="GI160" s="321">
        <f t="shared" ref="GI160:GI165" si="742">GH160</f>
        <v>133268</v>
      </c>
      <c r="GJ160" s="179">
        <f t="shared" si="700"/>
        <v>0</v>
      </c>
      <c r="GK160" s="9">
        <v>133268</v>
      </c>
      <c r="GL160" s="18" t="s">
        <v>238</v>
      </c>
      <c r="GM160" s="18" t="s">
        <v>238</v>
      </c>
      <c r="GN160" s="324">
        <f t="shared" ref="GN160:GN165" si="743">GK160+GL160+GM160</f>
        <v>133268</v>
      </c>
      <c r="GO160" s="321">
        <f t="shared" ref="GO160:GO165" si="744">GN160</f>
        <v>133268</v>
      </c>
      <c r="GP160" s="179">
        <f t="shared" si="701"/>
        <v>0</v>
      </c>
      <c r="GQ160" s="9">
        <v>133268</v>
      </c>
      <c r="GR160" s="18" t="s">
        <v>238</v>
      </c>
      <c r="GS160" s="18" t="s">
        <v>238</v>
      </c>
      <c r="GT160" s="324">
        <f t="shared" ref="GT160:GT165" si="745">GQ160+GR160+GS160</f>
        <v>133268</v>
      </c>
      <c r="GU160" s="321">
        <f t="shared" ref="GU160:GU165" si="746">GT160</f>
        <v>133268</v>
      </c>
      <c r="GV160" s="179">
        <f t="shared" si="702"/>
        <v>0</v>
      </c>
      <c r="GW160" s="9">
        <v>139931</v>
      </c>
      <c r="GX160" s="18" t="s">
        <v>238</v>
      </c>
      <c r="GY160" s="18" t="s">
        <v>238</v>
      </c>
      <c r="GZ160" s="324">
        <f t="shared" ref="GZ160:GZ165" si="747">GW160+GX160+GY160</f>
        <v>139931</v>
      </c>
      <c r="HA160" s="321">
        <f t="shared" ref="HA160:HA165" si="748">GZ160</f>
        <v>139931</v>
      </c>
      <c r="HB160" s="179">
        <f t="shared" si="703"/>
        <v>6663</v>
      </c>
      <c r="HC160" s="102">
        <f t="shared" si="704"/>
        <v>9.4769255642777085E-3</v>
      </c>
      <c r="HD160" s="285">
        <f t="shared" ref="HD160:HD165" si="749">HB160-HO160</f>
        <v>0</v>
      </c>
      <c r="HE160" s="12">
        <f t="shared" ref="HE160:HE165" si="750">GT160*0.05</f>
        <v>6663.4000000000005</v>
      </c>
      <c r="HF160" s="12">
        <f t="shared" si="705"/>
        <v>0.4000000000005457</v>
      </c>
      <c r="HG160" s="12">
        <f t="shared" ref="HG160:HG165" si="751">HE160-HF160</f>
        <v>6663</v>
      </c>
      <c r="HH160" s="14">
        <f t="shared" ref="HH160:HH165" si="752">HG160:HG160</f>
        <v>6663</v>
      </c>
      <c r="HI160" s="13">
        <f t="shared" ref="HI160:HI165" si="753">HG160+GT160</f>
        <v>139931</v>
      </c>
      <c r="HJ160" s="102">
        <f t="shared" ref="HJ160:HJ165" si="754">100/1406236643.9*HI160</f>
        <v>9.9507433977769916E-3</v>
      </c>
      <c r="HK160" s="16">
        <f t="shared" ref="HK160:HK165" si="755">GT160</f>
        <v>133268</v>
      </c>
      <c r="HL160" s="103">
        <f t="shared" ref="HL160:HL165" si="756">HK160*1.05</f>
        <v>139931.4</v>
      </c>
      <c r="HM160" s="103">
        <f t="shared" ref="HM160:HM165" si="757">HL160-HK160</f>
        <v>6663.3999999999942</v>
      </c>
      <c r="HN160" s="17">
        <f t="shared" ref="HN160:HN165" si="758">HF160</f>
        <v>0.4000000000005457</v>
      </c>
      <c r="HO160" s="56">
        <f t="shared" ref="HO160:HO165" si="759">HM160-HN160</f>
        <v>6662.9999999999936</v>
      </c>
      <c r="HP160" s="16">
        <f t="shared" ref="HP160:HP165" si="760">HO160-HG160</f>
        <v>0</v>
      </c>
      <c r="HQ160" s="16">
        <f t="shared" ref="HQ160:HQ165" si="761">HO160+HK160</f>
        <v>139931</v>
      </c>
      <c r="HR160" s="16">
        <f t="shared" ref="HR160:HR165" si="762">HQ160-HI160</f>
        <v>0</v>
      </c>
    </row>
    <row r="161" spans="1:226" x14ac:dyDescent="0.3">
      <c r="A161" s="326">
        <v>4</v>
      </c>
      <c r="B161" s="241"/>
      <c r="C161" s="326" t="s">
        <v>223</v>
      </c>
      <c r="D161" s="21" t="s">
        <v>224</v>
      </c>
      <c r="E161" s="4"/>
      <c r="F161" s="4"/>
      <c r="G161" s="4"/>
      <c r="H161" s="325"/>
      <c r="I161" s="325">
        <v>0</v>
      </c>
      <c r="J161" s="325"/>
      <c r="K161" s="325"/>
      <c r="L161" s="325">
        <v>0</v>
      </c>
      <c r="M161" s="6">
        <v>0</v>
      </c>
      <c r="N161" s="6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f>T161*5%</f>
        <v>0</v>
      </c>
      <c r="V161" s="7">
        <f>T161+U161</f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4">
        <v>0</v>
      </c>
      <c r="AD161" s="4">
        <v>0</v>
      </c>
      <c r="AE161" s="7">
        <f>AD161+AC161+AB161</f>
        <v>0</v>
      </c>
      <c r="AF161" s="7">
        <v>0</v>
      </c>
      <c r="AG161" s="4">
        <v>0</v>
      </c>
      <c r="AH161" s="4">
        <v>0</v>
      </c>
      <c r="AI161" s="7">
        <f>AH161+AG161+AF161</f>
        <v>0</v>
      </c>
      <c r="AJ161" s="7">
        <v>0</v>
      </c>
      <c r="AK161" s="4">
        <v>0</v>
      </c>
      <c r="AL161" s="4">
        <v>0</v>
      </c>
      <c r="AM161" s="7">
        <f>AL161+AK161+AJ161</f>
        <v>0</v>
      </c>
      <c r="AN161" s="7">
        <v>0</v>
      </c>
      <c r="AO161" s="4">
        <v>0</v>
      </c>
      <c r="AP161" s="4">
        <v>0</v>
      </c>
      <c r="AQ161" s="7">
        <f>AP161+AO161+AN161</f>
        <v>0</v>
      </c>
      <c r="AR161" s="7">
        <v>0</v>
      </c>
      <c r="AS161" s="4">
        <v>0</v>
      </c>
      <c r="AT161" s="4">
        <v>0</v>
      </c>
      <c r="AU161" s="7">
        <f>AT161+AS161+AR161</f>
        <v>0</v>
      </c>
      <c r="AV161" s="7">
        <v>0</v>
      </c>
      <c r="AW161" s="4">
        <v>0</v>
      </c>
      <c r="AX161" s="4">
        <v>0</v>
      </c>
      <c r="AY161" s="7">
        <f>AX161+AW161+AV161</f>
        <v>0</v>
      </c>
      <c r="AZ161" s="8">
        <f>AY161*5%</f>
        <v>0</v>
      </c>
      <c r="BA161" s="8"/>
      <c r="BB161" s="8">
        <f>AZ161-BA161</f>
        <v>0</v>
      </c>
      <c r="BC161" s="8">
        <f>BB161+AY161</f>
        <v>0</v>
      </c>
      <c r="BD161" s="8"/>
      <c r="BE161" s="8">
        <f>BD161+BC161</f>
        <v>0</v>
      </c>
      <c r="BF161" s="10">
        <f>BE161-AY161</f>
        <v>0</v>
      </c>
      <c r="BG161" s="11">
        <f>BF161-BB161</f>
        <v>0</v>
      </c>
      <c r="BH161" s="319">
        <v>0</v>
      </c>
      <c r="BI161" s="319">
        <v>0</v>
      </c>
      <c r="BJ161" s="319">
        <v>0</v>
      </c>
      <c r="BK161" s="319">
        <f>BJ161+BI161+BH161</f>
        <v>0</v>
      </c>
      <c r="BL161" s="319"/>
      <c r="BM161" s="319">
        <v>0</v>
      </c>
      <c r="BN161" s="319">
        <v>0</v>
      </c>
      <c r="BO161" s="319">
        <f>BN161+BM161+BL161</f>
        <v>0</v>
      </c>
      <c r="BP161" s="319">
        <f>BO161-BK161</f>
        <v>0</v>
      </c>
      <c r="BQ161" s="319">
        <v>0</v>
      </c>
      <c r="BR161" s="319">
        <v>0</v>
      </c>
      <c r="BS161" s="319">
        <v>0</v>
      </c>
      <c r="BT161" s="319">
        <f>BS161+BR161+BQ161</f>
        <v>0</v>
      </c>
      <c r="BU161" s="319">
        <f>BT161-BO161</f>
        <v>0</v>
      </c>
      <c r="BV161" s="319">
        <v>0</v>
      </c>
      <c r="BW161" s="319">
        <v>0</v>
      </c>
      <c r="BX161" s="319">
        <v>0</v>
      </c>
      <c r="BY161" s="319">
        <f>BX161+BW161+BV161</f>
        <v>0</v>
      </c>
      <c r="BZ161" s="319">
        <f>BY161-BT161</f>
        <v>0</v>
      </c>
      <c r="CA161" s="319">
        <v>0</v>
      </c>
      <c r="CB161" s="319">
        <v>0</v>
      </c>
      <c r="CC161" s="319">
        <v>0</v>
      </c>
      <c r="CD161" s="319">
        <f>CC161+CB161+CA161</f>
        <v>0</v>
      </c>
      <c r="CE161" s="319">
        <f>CD161-BY161</f>
        <v>0</v>
      </c>
      <c r="CF161" s="319">
        <v>0</v>
      </c>
      <c r="CG161" s="319">
        <v>0</v>
      </c>
      <c r="CH161" s="319">
        <v>0</v>
      </c>
      <c r="CI161" s="319">
        <f t="shared" si="674"/>
        <v>0</v>
      </c>
      <c r="CJ161" s="319">
        <f>CI161-CD161</f>
        <v>0</v>
      </c>
      <c r="CK161" s="319">
        <v>0</v>
      </c>
      <c r="CL161" s="319">
        <v>0</v>
      </c>
      <c r="CM161" s="319">
        <v>0</v>
      </c>
      <c r="CN161" s="319">
        <f t="shared" si="676"/>
        <v>0</v>
      </c>
      <c r="CO161" s="319">
        <f t="shared" si="677"/>
        <v>0</v>
      </c>
      <c r="CP161" s="319">
        <v>0</v>
      </c>
      <c r="CQ161" s="319">
        <v>0</v>
      </c>
      <c r="CR161" s="319">
        <v>0</v>
      </c>
      <c r="CS161" s="319">
        <f t="shared" si="678"/>
        <v>0</v>
      </c>
      <c r="CT161" s="319">
        <f t="shared" si="679"/>
        <v>0</v>
      </c>
      <c r="CU161" s="319">
        <v>0</v>
      </c>
      <c r="CV161" s="319">
        <v>0</v>
      </c>
      <c r="CW161" s="319">
        <v>0</v>
      </c>
      <c r="CX161" s="319">
        <f t="shared" si="680"/>
        <v>0</v>
      </c>
      <c r="CY161" s="319">
        <f t="shared" si="681"/>
        <v>0</v>
      </c>
      <c r="CZ161" s="319"/>
      <c r="DA161" s="319"/>
      <c r="DB161" s="319"/>
      <c r="DC161" s="12">
        <f t="shared" si="713"/>
        <v>0</v>
      </c>
      <c r="DD161" s="12">
        <v>0</v>
      </c>
      <c r="DE161" s="13">
        <f t="shared" si="714"/>
        <v>0</v>
      </c>
      <c r="DF161" s="14">
        <f t="shared" si="682"/>
        <v>0</v>
      </c>
      <c r="DG161" s="13">
        <f t="shared" si="683"/>
        <v>0</v>
      </c>
      <c r="DH161" s="15">
        <f t="shared" si="684"/>
        <v>0</v>
      </c>
      <c r="DI161" s="16">
        <f t="shared" si="685"/>
        <v>0</v>
      </c>
      <c r="DJ161" s="132">
        <f t="shared" si="715"/>
        <v>0</v>
      </c>
      <c r="DK161" s="17">
        <f t="shared" si="716"/>
        <v>0</v>
      </c>
      <c r="DL161" s="17">
        <f t="shared" si="686"/>
        <v>0</v>
      </c>
      <c r="DM161" s="16">
        <f t="shared" si="717"/>
        <v>0</v>
      </c>
      <c r="DN161" s="16">
        <f t="shared" si="687"/>
        <v>0</v>
      </c>
      <c r="DO161" s="16">
        <f t="shared" si="718"/>
        <v>0</v>
      </c>
      <c r="DP161" s="16">
        <f t="shared" si="688"/>
        <v>0</v>
      </c>
      <c r="DQ161" s="9">
        <v>0</v>
      </c>
      <c r="DR161" s="18" t="s">
        <v>238</v>
      </c>
      <c r="DS161" s="18" t="s">
        <v>238</v>
      </c>
      <c r="DT161" s="324">
        <f t="shared" si="719"/>
        <v>0</v>
      </c>
      <c r="DU161" s="321">
        <f t="shared" si="720"/>
        <v>0</v>
      </c>
      <c r="DV161" s="19">
        <f t="shared" si="689"/>
        <v>0</v>
      </c>
      <c r="DW161" s="9"/>
      <c r="DX161" s="18"/>
      <c r="DY161" s="18"/>
      <c r="DZ161" s="324">
        <f t="shared" si="721"/>
        <v>0</v>
      </c>
      <c r="EA161" s="321">
        <f t="shared" si="722"/>
        <v>0</v>
      </c>
      <c r="EB161" s="179">
        <f t="shared" si="690"/>
        <v>0</v>
      </c>
      <c r="EC161" s="9">
        <v>0</v>
      </c>
      <c r="ED161" s="9">
        <v>0</v>
      </c>
      <c r="EE161" s="9">
        <v>0</v>
      </c>
      <c r="EF161" s="324">
        <f t="shared" si="723"/>
        <v>0</v>
      </c>
      <c r="EG161" s="321">
        <f t="shared" si="724"/>
        <v>0</v>
      </c>
      <c r="EH161" s="179">
        <f t="shared" si="691"/>
        <v>0</v>
      </c>
      <c r="EI161" s="9">
        <v>0</v>
      </c>
      <c r="EJ161" s="9">
        <v>0</v>
      </c>
      <c r="EK161" s="9">
        <v>0</v>
      </c>
      <c r="EL161" s="324">
        <f t="shared" si="725"/>
        <v>0</v>
      </c>
      <c r="EM161" s="321">
        <f t="shared" si="726"/>
        <v>0</v>
      </c>
      <c r="EN161" s="179">
        <f t="shared" si="692"/>
        <v>0</v>
      </c>
      <c r="EO161" s="9">
        <v>0</v>
      </c>
      <c r="EP161" s="9">
        <v>0</v>
      </c>
      <c r="EQ161" s="9">
        <v>0</v>
      </c>
      <c r="ER161" s="324">
        <f t="shared" si="727"/>
        <v>0</v>
      </c>
      <c r="ES161" s="321">
        <f t="shared" si="728"/>
        <v>0</v>
      </c>
      <c r="ET161" s="179">
        <f t="shared" si="693"/>
        <v>0</v>
      </c>
      <c r="EU161" s="9">
        <v>0</v>
      </c>
      <c r="EV161" s="9">
        <v>0</v>
      </c>
      <c r="EW161" s="9">
        <v>0</v>
      </c>
      <c r="EX161" s="324">
        <f t="shared" si="729"/>
        <v>0</v>
      </c>
      <c r="EY161" s="321">
        <f t="shared" si="730"/>
        <v>0</v>
      </c>
      <c r="EZ161" s="179">
        <f t="shared" si="694"/>
        <v>0</v>
      </c>
      <c r="FA161" s="9">
        <v>0</v>
      </c>
      <c r="FB161" s="9">
        <v>0</v>
      </c>
      <c r="FC161" s="9">
        <v>0</v>
      </c>
      <c r="FD161" s="324">
        <f t="shared" si="731"/>
        <v>0</v>
      </c>
      <c r="FE161" s="321">
        <f t="shared" si="732"/>
        <v>0</v>
      </c>
      <c r="FF161" s="179">
        <f t="shared" si="695"/>
        <v>0</v>
      </c>
      <c r="FG161" s="9"/>
      <c r="FH161" s="18" t="s">
        <v>238</v>
      </c>
      <c r="FI161" s="18" t="s">
        <v>238</v>
      </c>
      <c r="FJ161" s="324">
        <f t="shared" si="733"/>
        <v>0</v>
      </c>
      <c r="FK161" s="321">
        <f t="shared" si="734"/>
        <v>0</v>
      </c>
      <c r="FL161" s="179">
        <f t="shared" si="696"/>
        <v>0</v>
      </c>
      <c r="FM161" s="9">
        <v>0</v>
      </c>
      <c r="FN161" s="18" t="s">
        <v>238</v>
      </c>
      <c r="FO161" s="18" t="s">
        <v>238</v>
      </c>
      <c r="FP161" s="324">
        <f t="shared" si="735"/>
        <v>0</v>
      </c>
      <c r="FQ161" s="321">
        <f t="shared" si="736"/>
        <v>0</v>
      </c>
      <c r="FR161" s="179">
        <f t="shared" si="697"/>
        <v>0</v>
      </c>
      <c r="FS161" s="9">
        <v>0</v>
      </c>
      <c r="FT161" s="18" t="s">
        <v>238</v>
      </c>
      <c r="FU161" s="18" t="s">
        <v>238</v>
      </c>
      <c r="FV161" s="324">
        <f t="shared" si="737"/>
        <v>0</v>
      </c>
      <c r="FW161" s="321">
        <f t="shared" si="738"/>
        <v>0</v>
      </c>
      <c r="FX161" s="179">
        <f t="shared" si="698"/>
        <v>0</v>
      </c>
      <c r="FY161" s="9">
        <v>0</v>
      </c>
      <c r="FZ161" s="18" t="s">
        <v>238</v>
      </c>
      <c r="GA161" s="18" t="s">
        <v>238</v>
      </c>
      <c r="GB161" s="324">
        <f t="shared" si="739"/>
        <v>0</v>
      </c>
      <c r="GC161" s="321">
        <f t="shared" si="740"/>
        <v>0</v>
      </c>
      <c r="GD161" s="179">
        <f t="shared" si="699"/>
        <v>0</v>
      </c>
      <c r="GE161" s="9">
        <v>0</v>
      </c>
      <c r="GF161" s="18" t="s">
        <v>238</v>
      </c>
      <c r="GG161" s="18" t="s">
        <v>238</v>
      </c>
      <c r="GH161" s="324">
        <f t="shared" si="741"/>
        <v>0</v>
      </c>
      <c r="GI161" s="321">
        <f t="shared" si="742"/>
        <v>0</v>
      </c>
      <c r="GJ161" s="179">
        <f t="shared" si="700"/>
        <v>0</v>
      </c>
      <c r="GK161" s="9">
        <v>0</v>
      </c>
      <c r="GL161" s="18" t="s">
        <v>238</v>
      </c>
      <c r="GM161" s="18" t="s">
        <v>238</v>
      </c>
      <c r="GN161" s="324">
        <f t="shared" si="743"/>
        <v>0</v>
      </c>
      <c r="GO161" s="321">
        <f t="shared" si="744"/>
        <v>0</v>
      </c>
      <c r="GP161" s="179">
        <f t="shared" si="701"/>
        <v>0</v>
      </c>
      <c r="GQ161" s="9">
        <v>0</v>
      </c>
      <c r="GR161" s="18" t="s">
        <v>238</v>
      </c>
      <c r="GS161" s="18" t="s">
        <v>238</v>
      </c>
      <c r="GT161" s="324">
        <f t="shared" si="745"/>
        <v>0</v>
      </c>
      <c r="GU161" s="321">
        <f t="shared" si="746"/>
        <v>0</v>
      </c>
      <c r="GV161" s="179">
        <f t="shared" si="702"/>
        <v>0</v>
      </c>
      <c r="GW161" s="9">
        <v>0</v>
      </c>
      <c r="GX161" s="18" t="s">
        <v>238</v>
      </c>
      <c r="GY161" s="18" t="s">
        <v>238</v>
      </c>
      <c r="GZ161" s="324">
        <f t="shared" si="747"/>
        <v>0</v>
      </c>
      <c r="HA161" s="321">
        <f t="shared" si="748"/>
        <v>0</v>
      </c>
      <c r="HB161" s="179">
        <f t="shared" si="703"/>
        <v>0</v>
      </c>
      <c r="HC161" s="102">
        <f t="shared" si="704"/>
        <v>0</v>
      </c>
      <c r="HD161" s="285">
        <f t="shared" si="749"/>
        <v>0</v>
      </c>
      <c r="HE161" s="12">
        <f t="shared" si="750"/>
        <v>0</v>
      </c>
      <c r="HF161" s="12">
        <f t="shared" si="705"/>
        <v>0</v>
      </c>
      <c r="HG161" s="12">
        <f t="shared" si="751"/>
        <v>0</v>
      </c>
      <c r="HH161" s="14">
        <f t="shared" si="752"/>
        <v>0</v>
      </c>
      <c r="HI161" s="13">
        <f t="shared" si="753"/>
        <v>0</v>
      </c>
      <c r="HJ161" s="102">
        <f t="shared" si="754"/>
        <v>0</v>
      </c>
      <c r="HK161" s="16">
        <f t="shared" si="755"/>
        <v>0</v>
      </c>
      <c r="HL161" s="103">
        <f t="shared" si="756"/>
        <v>0</v>
      </c>
      <c r="HM161" s="103">
        <f t="shared" si="757"/>
        <v>0</v>
      </c>
      <c r="HN161" s="17">
        <f t="shared" si="758"/>
        <v>0</v>
      </c>
      <c r="HO161" s="56">
        <f t="shared" si="759"/>
        <v>0</v>
      </c>
      <c r="HP161" s="16">
        <f t="shared" si="760"/>
        <v>0</v>
      </c>
      <c r="HQ161" s="16">
        <f t="shared" si="761"/>
        <v>0</v>
      </c>
      <c r="HR161" s="16">
        <f t="shared" si="762"/>
        <v>0</v>
      </c>
    </row>
    <row r="162" spans="1:226" x14ac:dyDescent="0.3">
      <c r="A162" s="326">
        <v>3</v>
      </c>
      <c r="B162" s="307" t="s">
        <v>179</v>
      </c>
      <c r="C162" s="326" t="s">
        <v>328</v>
      </c>
      <c r="D162" s="21" t="s">
        <v>180</v>
      </c>
      <c r="E162" s="4"/>
      <c r="F162" s="4"/>
      <c r="G162" s="4"/>
      <c r="H162" s="325"/>
      <c r="I162" s="325">
        <v>9044640</v>
      </c>
      <c r="J162" s="325"/>
      <c r="K162" s="325"/>
      <c r="L162" s="325">
        <v>0</v>
      </c>
      <c r="M162" s="6">
        <v>0</v>
      </c>
      <c r="N162" s="6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f t="shared" si="658"/>
        <v>0</v>
      </c>
      <c r="V162" s="7">
        <f t="shared" si="659"/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4">
        <v>0</v>
      </c>
      <c r="AD162" s="4">
        <v>0</v>
      </c>
      <c r="AE162" s="7">
        <f t="shared" si="660"/>
        <v>0</v>
      </c>
      <c r="AF162" s="7">
        <v>0</v>
      </c>
      <c r="AG162" s="4">
        <v>0</v>
      </c>
      <c r="AH162" s="4">
        <v>0</v>
      </c>
      <c r="AI162" s="7">
        <f t="shared" si="661"/>
        <v>0</v>
      </c>
      <c r="AJ162" s="7">
        <v>0</v>
      </c>
      <c r="AK162" s="4">
        <v>0</v>
      </c>
      <c r="AL162" s="4">
        <v>0</v>
      </c>
      <c r="AM162" s="7">
        <f t="shared" si="662"/>
        <v>0</v>
      </c>
      <c r="AN162" s="7">
        <v>0</v>
      </c>
      <c r="AO162" s="4">
        <v>0</v>
      </c>
      <c r="AP162" s="4">
        <v>0</v>
      </c>
      <c r="AQ162" s="7">
        <f t="shared" si="663"/>
        <v>0</v>
      </c>
      <c r="AR162" s="7">
        <v>0</v>
      </c>
      <c r="AS162" s="4">
        <v>0</v>
      </c>
      <c r="AT162" s="4">
        <v>0</v>
      </c>
      <c r="AU162" s="7">
        <f t="shared" si="664"/>
        <v>0</v>
      </c>
      <c r="AV162" s="7">
        <v>0</v>
      </c>
      <c r="AW162" s="4">
        <v>0</v>
      </c>
      <c r="AX162" s="4">
        <v>0</v>
      </c>
      <c r="AY162" s="7">
        <f t="shared" si="665"/>
        <v>0</v>
      </c>
      <c r="AZ162" s="8">
        <f t="shared" si="706"/>
        <v>0</v>
      </c>
      <c r="BA162" s="8"/>
      <c r="BB162" s="8">
        <f t="shared" si="707"/>
        <v>0</v>
      </c>
      <c r="BC162" s="8">
        <f t="shared" si="708"/>
        <v>0</v>
      </c>
      <c r="BD162" s="8"/>
      <c r="BE162" s="8">
        <f t="shared" si="709"/>
        <v>0</v>
      </c>
      <c r="BF162" s="10">
        <f t="shared" si="710"/>
        <v>0</v>
      </c>
      <c r="BG162" s="11">
        <f t="shared" si="711"/>
        <v>0</v>
      </c>
      <c r="BH162" s="319">
        <v>0</v>
      </c>
      <c r="BI162" s="319">
        <v>0</v>
      </c>
      <c r="BJ162" s="319">
        <v>0</v>
      </c>
      <c r="BK162" s="319">
        <f t="shared" si="666"/>
        <v>0</v>
      </c>
      <c r="BL162" s="319">
        <v>0</v>
      </c>
      <c r="BM162" s="319">
        <v>0</v>
      </c>
      <c r="BN162" s="319">
        <v>0</v>
      </c>
      <c r="BO162" s="319">
        <f t="shared" si="667"/>
        <v>0</v>
      </c>
      <c r="BP162" s="319">
        <f t="shared" si="712"/>
        <v>0</v>
      </c>
      <c r="BQ162" s="319">
        <v>0</v>
      </c>
      <c r="BR162" s="319">
        <v>0</v>
      </c>
      <c r="BS162" s="319">
        <v>0</v>
      </c>
      <c r="BT162" s="319">
        <f t="shared" si="668"/>
        <v>0</v>
      </c>
      <c r="BU162" s="319">
        <f t="shared" si="669"/>
        <v>0</v>
      </c>
      <c r="BV162" s="319">
        <v>0</v>
      </c>
      <c r="BW162" s="319">
        <v>0</v>
      </c>
      <c r="BX162" s="319">
        <v>0</v>
      </c>
      <c r="BY162" s="319">
        <f t="shared" si="670"/>
        <v>0</v>
      </c>
      <c r="BZ162" s="319">
        <f t="shared" si="671"/>
        <v>0</v>
      </c>
      <c r="CA162" s="319">
        <v>0</v>
      </c>
      <c r="CB162" s="319">
        <v>0</v>
      </c>
      <c r="CC162" s="319">
        <v>0</v>
      </c>
      <c r="CD162" s="319">
        <f t="shared" si="672"/>
        <v>0</v>
      </c>
      <c r="CE162" s="319">
        <f t="shared" si="673"/>
        <v>0</v>
      </c>
      <c r="CF162" s="319">
        <v>0</v>
      </c>
      <c r="CG162" s="319">
        <v>0</v>
      </c>
      <c r="CH162" s="319">
        <v>0</v>
      </c>
      <c r="CI162" s="319">
        <f t="shared" si="674"/>
        <v>0</v>
      </c>
      <c r="CJ162" s="319">
        <f t="shared" si="675"/>
        <v>0</v>
      </c>
      <c r="CK162" s="319">
        <v>0</v>
      </c>
      <c r="CL162" s="319">
        <v>0</v>
      </c>
      <c r="CM162" s="319">
        <v>0</v>
      </c>
      <c r="CN162" s="319">
        <f t="shared" si="676"/>
        <v>0</v>
      </c>
      <c r="CO162" s="319">
        <f t="shared" si="677"/>
        <v>0</v>
      </c>
      <c r="CP162" s="319">
        <v>0</v>
      </c>
      <c r="CQ162" s="319">
        <v>0</v>
      </c>
      <c r="CR162" s="319">
        <v>0</v>
      </c>
      <c r="CS162" s="319">
        <f t="shared" si="678"/>
        <v>0</v>
      </c>
      <c r="CT162" s="319">
        <f t="shared" si="679"/>
        <v>0</v>
      </c>
      <c r="CU162" s="319">
        <v>0</v>
      </c>
      <c r="CV162" s="319">
        <v>0</v>
      </c>
      <c r="CW162" s="319">
        <v>0</v>
      </c>
      <c r="CX162" s="319">
        <f t="shared" si="680"/>
        <v>0</v>
      </c>
      <c r="CY162" s="319">
        <f t="shared" si="681"/>
        <v>0</v>
      </c>
      <c r="CZ162" s="319"/>
      <c r="DA162" s="319"/>
      <c r="DB162" s="319"/>
      <c r="DC162" s="12">
        <f t="shared" si="713"/>
        <v>0</v>
      </c>
      <c r="DD162" s="12">
        <v>0</v>
      </c>
      <c r="DE162" s="13">
        <f t="shared" si="714"/>
        <v>0</v>
      </c>
      <c r="DF162" s="14">
        <f t="shared" si="682"/>
        <v>0</v>
      </c>
      <c r="DG162" s="13">
        <f t="shared" si="683"/>
        <v>0</v>
      </c>
      <c r="DH162" s="15">
        <f t="shared" si="684"/>
        <v>0</v>
      </c>
      <c r="DI162" s="16">
        <f t="shared" si="685"/>
        <v>0</v>
      </c>
      <c r="DJ162" s="132">
        <f t="shared" si="715"/>
        <v>0</v>
      </c>
      <c r="DK162" s="17">
        <f t="shared" si="716"/>
        <v>0</v>
      </c>
      <c r="DL162" s="17">
        <f t="shared" si="686"/>
        <v>0</v>
      </c>
      <c r="DM162" s="16">
        <f t="shared" si="717"/>
        <v>0</v>
      </c>
      <c r="DN162" s="16">
        <f t="shared" si="687"/>
        <v>0</v>
      </c>
      <c r="DO162" s="16">
        <f t="shared" si="718"/>
        <v>0</v>
      </c>
      <c r="DP162" s="16">
        <f t="shared" si="688"/>
        <v>0</v>
      </c>
      <c r="DQ162" s="9">
        <v>0</v>
      </c>
      <c r="DR162" s="18" t="s">
        <v>238</v>
      </c>
      <c r="DS162" s="18" t="s">
        <v>238</v>
      </c>
      <c r="DT162" s="324">
        <f t="shared" si="719"/>
        <v>0</v>
      </c>
      <c r="DU162" s="321">
        <f t="shared" si="720"/>
        <v>0</v>
      </c>
      <c r="DV162" s="19">
        <f t="shared" si="689"/>
        <v>0</v>
      </c>
      <c r="DW162" s="9"/>
      <c r="DX162" s="18"/>
      <c r="DY162" s="18"/>
      <c r="DZ162" s="324">
        <f t="shared" si="721"/>
        <v>0</v>
      </c>
      <c r="EA162" s="321">
        <f t="shared" si="722"/>
        <v>0</v>
      </c>
      <c r="EB162" s="179">
        <f t="shared" si="690"/>
        <v>0</v>
      </c>
      <c r="EC162" s="9">
        <v>0</v>
      </c>
      <c r="ED162" s="9">
        <v>0</v>
      </c>
      <c r="EE162" s="9">
        <v>0</v>
      </c>
      <c r="EF162" s="324">
        <f t="shared" si="723"/>
        <v>0</v>
      </c>
      <c r="EG162" s="321">
        <f t="shared" si="724"/>
        <v>0</v>
      </c>
      <c r="EH162" s="179">
        <f t="shared" si="691"/>
        <v>0</v>
      </c>
      <c r="EI162" s="9">
        <v>0</v>
      </c>
      <c r="EJ162" s="9">
        <v>0</v>
      </c>
      <c r="EK162" s="9">
        <v>0</v>
      </c>
      <c r="EL162" s="324">
        <f t="shared" si="725"/>
        <v>0</v>
      </c>
      <c r="EM162" s="321">
        <f t="shared" si="726"/>
        <v>0</v>
      </c>
      <c r="EN162" s="179">
        <f t="shared" si="692"/>
        <v>0</v>
      </c>
      <c r="EO162" s="9">
        <v>0</v>
      </c>
      <c r="EP162" s="9">
        <v>0</v>
      </c>
      <c r="EQ162" s="9">
        <v>0</v>
      </c>
      <c r="ER162" s="324">
        <f t="shared" si="727"/>
        <v>0</v>
      </c>
      <c r="ES162" s="321">
        <f t="shared" si="728"/>
        <v>0</v>
      </c>
      <c r="ET162" s="179">
        <f t="shared" si="693"/>
        <v>0</v>
      </c>
      <c r="EU162" s="9">
        <v>0</v>
      </c>
      <c r="EV162" s="9">
        <v>0</v>
      </c>
      <c r="EW162" s="9">
        <v>0</v>
      </c>
      <c r="EX162" s="324">
        <f t="shared" si="729"/>
        <v>0</v>
      </c>
      <c r="EY162" s="321">
        <f t="shared" si="730"/>
        <v>0</v>
      </c>
      <c r="EZ162" s="179">
        <f t="shared" si="694"/>
        <v>0</v>
      </c>
      <c r="FA162" s="9">
        <v>0</v>
      </c>
      <c r="FB162" s="9">
        <v>0</v>
      </c>
      <c r="FC162" s="9">
        <v>0</v>
      </c>
      <c r="FD162" s="324">
        <f t="shared" si="731"/>
        <v>0</v>
      </c>
      <c r="FE162" s="321">
        <f t="shared" si="732"/>
        <v>0</v>
      </c>
      <c r="FF162" s="179">
        <f t="shared" si="695"/>
        <v>0</v>
      </c>
      <c r="FG162" s="9"/>
      <c r="FH162" s="18" t="s">
        <v>238</v>
      </c>
      <c r="FI162" s="18" t="s">
        <v>238</v>
      </c>
      <c r="FJ162" s="324">
        <f t="shared" si="733"/>
        <v>0</v>
      </c>
      <c r="FK162" s="321">
        <f t="shared" si="734"/>
        <v>0</v>
      </c>
      <c r="FL162" s="179">
        <f t="shared" si="696"/>
        <v>0</v>
      </c>
      <c r="FM162" s="9">
        <v>0</v>
      </c>
      <c r="FN162" s="18" t="s">
        <v>238</v>
      </c>
      <c r="FO162" s="18" t="s">
        <v>238</v>
      </c>
      <c r="FP162" s="324">
        <f t="shared" si="735"/>
        <v>0</v>
      </c>
      <c r="FQ162" s="321">
        <f t="shared" si="736"/>
        <v>0</v>
      </c>
      <c r="FR162" s="179">
        <f t="shared" si="697"/>
        <v>0</v>
      </c>
      <c r="FS162" s="9">
        <v>0</v>
      </c>
      <c r="FT162" s="18" t="s">
        <v>238</v>
      </c>
      <c r="FU162" s="18" t="s">
        <v>238</v>
      </c>
      <c r="FV162" s="324">
        <f t="shared" si="737"/>
        <v>0</v>
      </c>
      <c r="FW162" s="321">
        <f t="shared" si="738"/>
        <v>0</v>
      </c>
      <c r="FX162" s="179">
        <f t="shared" si="698"/>
        <v>0</v>
      </c>
      <c r="FY162" s="9">
        <v>0</v>
      </c>
      <c r="FZ162" s="18" t="s">
        <v>238</v>
      </c>
      <c r="GA162" s="18" t="s">
        <v>238</v>
      </c>
      <c r="GB162" s="324">
        <f t="shared" si="739"/>
        <v>0</v>
      </c>
      <c r="GC162" s="321">
        <f t="shared" si="740"/>
        <v>0</v>
      </c>
      <c r="GD162" s="179">
        <f t="shared" si="699"/>
        <v>0</v>
      </c>
      <c r="GE162" s="9">
        <v>0</v>
      </c>
      <c r="GF162" s="18" t="s">
        <v>238</v>
      </c>
      <c r="GG162" s="18" t="s">
        <v>238</v>
      </c>
      <c r="GH162" s="324">
        <f t="shared" si="741"/>
        <v>0</v>
      </c>
      <c r="GI162" s="321">
        <f t="shared" si="742"/>
        <v>0</v>
      </c>
      <c r="GJ162" s="179">
        <f t="shared" si="700"/>
        <v>0</v>
      </c>
      <c r="GK162" s="9">
        <v>0</v>
      </c>
      <c r="GL162" s="18" t="s">
        <v>238</v>
      </c>
      <c r="GM162" s="18" t="s">
        <v>238</v>
      </c>
      <c r="GN162" s="324">
        <f t="shared" si="743"/>
        <v>0</v>
      </c>
      <c r="GO162" s="321">
        <f t="shared" si="744"/>
        <v>0</v>
      </c>
      <c r="GP162" s="179">
        <f t="shared" si="701"/>
        <v>0</v>
      </c>
      <c r="GQ162" s="9">
        <v>0</v>
      </c>
      <c r="GR162" s="18" t="s">
        <v>238</v>
      </c>
      <c r="GS162" s="18" t="s">
        <v>238</v>
      </c>
      <c r="GT162" s="324">
        <f t="shared" si="745"/>
        <v>0</v>
      </c>
      <c r="GU162" s="321">
        <f t="shared" si="746"/>
        <v>0</v>
      </c>
      <c r="GV162" s="179">
        <f t="shared" si="702"/>
        <v>0</v>
      </c>
      <c r="GW162" s="9">
        <v>0</v>
      </c>
      <c r="GX162" s="18" t="s">
        <v>238</v>
      </c>
      <c r="GY162" s="18" t="s">
        <v>238</v>
      </c>
      <c r="GZ162" s="324">
        <f t="shared" si="747"/>
        <v>0</v>
      </c>
      <c r="HA162" s="321">
        <f t="shared" si="748"/>
        <v>0</v>
      </c>
      <c r="HB162" s="179">
        <f t="shared" si="703"/>
        <v>0</v>
      </c>
      <c r="HC162" s="102">
        <f t="shared" si="704"/>
        <v>0</v>
      </c>
      <c r="HD162" s="285">
        <f t="shared" si="749"/>
        <v>0</v>
      </c>
      <c r="HE162" s="12">
        <f t="shared" si="750"/>
        <v>0</v>
      </c>
      <c r="HF162" s="12">
        <f t="shared" si="705"/>
        <v>0</v>
      </c>
      <c r="HG162" s="12">
        <f t="shared" si="751"/>
        <v>0</v>
      </c>
      <c r="HH162" s="14">
        <f t="shared" si="752"/>
        <v>0</v>
      </c>
      <c r="HI162" s="13">
        <f t="shared" si="753"/>
        <v>0</v>
      </c>
      <c r="HJ162" s="102">
        <f t="shared" si="754"/>
        <v>0</v>
      </c>
      <c r="HK162" s="16">
        <f t="shared" si="755"/>
        <v>0</v>
      </c>
      <c r="HL162" s="103">
        <f t="shared" si="756"/>
        <v>0</v>
      </c>
      <c r="HM162" s="103">
        <f t="shared" si="757"/>
        <v>0</v>
      </c>
      <c r="HN162" s="17">
        <f t="shared" si="758"/>
        <v>0</v>
      </c>
      <c r="HO162" s="56">
        <f t="shared" si="759"/>
        <v>0</v>
      </c>
      <c r="HP162" s="16">
        <f t="shared" si="760"/>
        <v>0</v>
      </c>
      <c r="HQ162" s="16">
        <f t="shared" si="761"/>
        <v>0</v>
      </c>
      <c r="HR162" s="16">
        <f t="shared" si="762"/>
        <v>0</v>
      </c>
    </row>
    <row r="163" spans="1:226" x14ac:dyDescent="0.3">
      <c r="A163" s="326">
        <v>5</v>
      </c>
      <c r="B163" s="241" t="s">
        <v>435</v>
      </c>
      <c r="C163" s="326" t="s">
        <v>358</v>
      </c>
      <c r="D163" s="21" t="s">
        <v>221</v>
      </c>
      <c r="E163" s="4"/>
      <c r="F163" s="4"/>
      <c r="G163" s="4"/>
      <c r="H163" s="325"/>
      <c r="I163" s="325">
        <v>0</v>
      </c>
      <c r="J163" s="325"/>
      <c r="K163" s="325"/>
      <c r="L163" s="325">
        <v>0</v>
      </c>
      <c r="M163" s="6">
        <v>0</v>
      </c>
      <c r="N163" s="6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f t="shared" si="658"/>
        <v>0</v>
      </c>
      <c r="V163" s="7">
        <f t="shared" si="659"/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4">
        <v>0</v>
      </c>
      <c r="AD163" s="4">
        <v>0</v>
      </c>
      <c r="AE163" s="7">
        <f t="shared" si="660"/>
        <v>0</v>
      </c>
      <c r="AF163" s="7">
        <v>0</v>
      </c>
      <c r="AG163" s="4">
        <v>0</v>
      </c>
      <c r="AH163" s="4">
        <v>0</v>
      </c>
      <c r="AI163" s="7">
        <f t="shared" si="661"/>
        <v>0</v>
      </c>
      <c r="AJ163" s="7">
        <v>0</v>
      </c>
      <c r="AK163" s="4">
        <v>0</v>
      </c>
      <c r="AL163" s="4">
        <v>0</v>
      </c>
      <c r="AM163" s="7">
        <f t="shared" si="662"/>
        <v>0</v>
      </c>
      <c r="AN163" s="7">
        <v>0</v>
      </c>
      <c r="AO163" s="4">
        <v>0</v>
      </c>
      <c r="AP163" s="4">
        <v>0</v>
      </c>
      <c r="AQ163" s="7">
        <f t="shared" si="663"/>
        <v>0</v>
      </c>
      <c r="AR163" s="7">
        <v>0</v>
      </c>
      <c r="AS163" s="4">
        <v>0</v>
      </c>
      <c r="AT163" s="4">
        <v>0</v>
      </c>
      <c r="AU163" s="7">
        <f t="shared" si="664"/>
        <v>0</v>
      </c>
      <c r="AV163" s="7">
        <v>0</v>
      </c>
      <c r="AW163" s="4">
        <v>0</v>
      </c>
      <c r="AX163" s="4">
        <v>0</v>
      </c>
      <c r="AY163" s="7">
        <f t="shared" si="665"/>
        <v>0</v>
      </c>
      <c r="AZ163" s="8">
        <f t="shared" si="706"/>
        <v>0</v>
      </c>
      <c r="BA163" s="8"/>
      <c r="BB163" s="8">
        <f t="shared" si="707"/>
        <v>0</v>
      </c>
      <c r="BC163" s="8">
        <f t="shared" si="708"/>
        <v>0</v>
      </c>
      <c r="BD163" s="8"/>
      <c r="BE163" s="8">
        <f t="shared" si="709"/>
        <v>0</v>
      </c>
      <c r="BF163" s="10">
        <f t="shared" si="710"/>
        <v>0</v>
      </c>
      <c r="BG163" s="11">
        <f t="shared" si="711"/>
        <v>0</v>
      </c>
      <c r="BH163" s="319">
        <v>0</v>
      </c>
      <c r="BI163" s="319">
        <v>0</v>
      </c>
      <c r="BJ163" s="319">
        <v>0</v>
      </c>
      <c r="BK163" s="319">
        <f t="shared" si="666"/>
        <v>0</v>
      </c>
      <c r="BL163" s="319"/>
      <c r="BM163" s="319">
        <v>0</v>
      </c>
      <c r="BN163" s="319">
        <v>0</v>
      </c>
      <c r="BO163" s="319">
        <f t="shared" si="667"/>
        <v>0</v>
      </c>
      <c r="BP163" s="319">
        <f t="shared" si="712"/>
        <v>0</v>
      </c>
      <c r="BQ163" s="319">
        <v>0</v>
      </c>
      <c r="BR163" s="319">
        <v>0</v>
      </c>
      <c r="BS163" s="319">
        <v>0</v>
      </c>
      <c r="BT163" s="319">
        <f t="shared" si="668"/>
        <v>0</v>
      </c>
      <c r="BU163" s="319">
        <f t="shared" si="669"/>
        <v>0</v>
      </c>
      <c r="BV163" s="319">
        <v>0</v>
      </c>
      <c r="BW163" s="319">
        <v>0</v>
      </c>
      <c r="BX163" s="319">
        <v>0</v>
      </c>
      <c r="BY163" s="319">
        <f t="shared" si="670"/>
        <v>0</v>
      </c>
      <c r="BZ163" s="319">
        <f t="shared" si="671"/>
        <v>0</v>
      </c>
      <c r="CA163" s="319">
        <v>0</v>
      </c>
      <c r="CB163" s="319">
        <v>0</v>
      </c>
      <c r="CC163" s="319">
        <v>0</v>
      </c>
      <c r="CD163" s="319">
        <f t="shared" si="672"/>
        <v>0</v>
      </c>
      <c r="CE163" s="319">
        <f t="shared" si="673"/>
        <v>0</v>
      </c>
      <c r="CF163" s="319">
        <v>0</v>
      </c>
      <c r="CG163" s="319">
        <v>0</v>
      </c>
      <c r="CH163" s="319">
        <v>0</v>
      </c>
      <c r="CI163" s="319">
        <f t="shared" si="674"/>
        <v>0</v>
      </c>
      <c r="CJ163" s="319">
        <f t="shared" si="675"/>
        <v>0</v>
      </c>
      <c r="CK163" s="319">
        <v>0</v>
      </c>
      <c r="CL163" s="319">
        <v>0</v>
      </c>
      <c r="CM163" s="319">
        <v>0</v>
      </c>
      <c r="CN163" s="319">
        <f t="shared" si="676"/>
        <v>0</v>
      </c>
      <c r="CO163" s="319">
        <f t="shared" si="677"/>
        <v>0</v>
      </c>
      <c r="CP163" s="319">
        <v>0</v>
      </c>
      <c r="CQ163" s="319">
        <v>0</v>
      </c>
      <c r="CR163" s="319">
        <v>0</v>
      </c>
      <c r="CS163" s="319">
        <f t="shared" si="678"/>
        <v>0</v>
      </c>
      <c r="CT163" s="319">
        <f t="shared" si="679"/>
        <v>0</v>
      </c>
      <c r="CU163" s="319">
        <v>0</v>
      </c>
      <c r="CV163" s="319">
        <v>0</v>
      </c>
      <c r="CW163" s="319">
        <v>0</v>
      </c>
      <c r="CX163" s="319">
        <f t="shared" si="680"/>
        <v>0</v>
      </c>
      <c r="CY163" s="319">
        <f t="shared" si="681"/>
        <v>0</v>
      </c>
      <c r="CZ163" s="319"/>
      <c r="DA163" s="319"/>
      <c r="DB163" s="319"/>
      <c r="DC163" s="12">
        <f t="shared" si="713"/>
        <v>0</v>
      </c>
      <c r="DD163" s="12">
        <v>0</v>
      </c>
      <c r="DE163" s="13">
        <f t="shared" si="714"/>
        <v>0</v>
      </c>
      <c r="DF163" s="14">
        <f t="shared" si="682"/>
        <v>0</v>
      </c>
      <c r="DG163" s="13">
        <f t="shared" si="683"/>
        <v>0</v>
      </c>
      <c r="DH163" s="15">
        <f t="shared" si="684"/>
        <v>0</v>
      </c>
      <c r="DI163" s="16">
        <f t="shared" si="685"/>
        <v>0</v>
      </c>
      <c r="DJ163" s="132">
        <f t="shared" si="715"/>
        <v>0</v>
      </c>
      <c r="DK163" s="17">
        <f t="shared" si="716"/>
        <v>0</v>
      </c>
      <c r="DL163" s="17">
        <f t="shared" si="686"/>
        <v>0</v>
      </c>
      <c r="DM163" s="16">
        <f t="shared" si="717"/>
        <v>0</v>
      </c>
      <c r="DN163" s="16">
        <f t="shared" si="687"/>
        <v>0</v>
      </c>
      <c r="DO163" s="16">
        <f t="shared" si="718"/>
        <v>0</v>
      </c>
      <c r="DP163" s="16">
        <f t="shared" si="688"/>
        <v>0</v>
      </c>
      <c r="DQ163" s="9">
        <v>0</v>
      </c>
      <c r="DR163" s="18" t="s">
        <v>238</v>
      </c>
      <c r="DS163" s="18" t="s">
        <v>238</v>
      </c>
      <c r="DT163" s="324">
        <f t="shared" si="719"/>
        <v>0</v>
      </c>
      <c r="DU163" s="321">
        <f t="shared" si="720"/>
        <v>0</v>
      </c>
      <c r="DV163" s="19">
        <f t="shared" si="689"/>
        <v>0</v>
      </c>
      <c r="DW163" s="9"/>
      <c r="DX163" s="18"/>
      <c r="DY163" s="18"/>
      <c r="DZ163" s="324">
        <f t="shared" si="721"/>
        <v>0</v>
      </c>
      <c r="EA163" s="321">
        <f t="shared" si="722"/>
        <v>0</v>
      </c>
      <c r="EB163" s="179">
        <f t="shared" si="690"/>
        <v>0</v>
      </c>
      <c r="EC163" s="9">
        <v>0</v>
      </c>
      <c r="ED163" s="9">
        <v>0</v>
      </c>
      <c r="EE163" s="9">
        <v>0</v>
      </c>
      <c r="EF163" s="324">
        <f t="shared" si="723"/>
        <v>0</v>
      </c>
      <c r="EG163" s="321">
        <f t="shared" si="724"/>
        <v>0</v>
      </c>
      <c r="EH163" s="179">
        <f t="shared" si="691"/>
        <v>0</v>
      </c>
      <c r="EI163" s="9">
        <v>0</v>
      </c>
      <c r="EJ163" s="9">
        <v>0</v>
      </c>
      <c r="EK163" s="9">
        <v>0</v>
      </c>
      <c r="EL163" s="324">
        <f t="shared" si="725"/>
        <v>0</v>
      </c>
      <c r="EM163" s="321">
        <f t="shared" si="726"/>
        <v>0</v>
      </c>
      <c r="EN163" s="179">
        <f t="shared" si="692"/>
        <v>0</v>
      </c>
      <c r="EO163" s="9">
        <v>0</v>
      </c>
      <c r="EP163" s="9">
        <v>0</v>
      </c>
      <c r="EQ163" s="9">
        <v>0</v>
      </c>
      <c r="ER163" s="324">
        <f t="shared" si="727"/>
        <v>0</v>
      </c>
      <c r="ES163" s="321">
        <f t="shared" si="728"/>
        <v>0</v>
      </c>
      <c r="ET163" s="179">
        <f t="shared" si="693"/>
        <v>0</v>
      </c>
      <c r="EU163" s="9">
        <v>0</v>
      </c>
      <c r="EV163" s="9">
        <v>0</v>
      </c>
      <c r="EW163" s="9">
        <v>0</v>
      </c>
      <c r="EX163" s="324">
        <f t="shared" si="729"/>
        <v>0</v>
      </c>
      <c r="EY163" s="321">
        <f t="shared" si="730"/>
        <v>0</v>
      </c>
      <c r="EZ163" s="179">
        <f t="shared" si="694"/>
        <v>0</v>
      </c>
      <c r="FA163" s="9">
        <v>0</v>
      </c>
      <c r="FB163" s="9">
        <v>0</v>
      </c>
      <c r="FC163" s="9">
        <v>0</v>
      </c>
      <c r="FD163" s="324">
        <f t="shared" si="731"/>
        <v>0</v>
      </c>
      <c r="FE163" s="321">
        <f t="shared" si="732"/>
        <v>0</v>
      </c>
      <c r="FF163" s="179">
        <f t="shared" si="695"/>
        <v>0</v>
      </c>
      <c r="FG163" s="9"/>
      <c r="FH163" s="18" t="s">
        <v>238</v>
      </c>
      <c r="FI163" s="18" t="s">
        <v>238</v>
      </c>
      <c r="FJ163" s="324">
        <f t="shared" si="733"/>
        <v>0</v>
      </c>
      <c r="FK163" s="321">
        <f t="shared" si="734"/>
        <v>0</v>
      </c>
      <c r="FL163" s="179">
        <f t="shared" si="696"/>
        <v>0</v>
      </c>
      <c r="FM163" s="9">
        <v>0</v>
      </c>
      <c r="FN163" s="18" t="s">
        <v>238</v>
      </c>
      <c r="FO163" s="18" t="s">
        <v>238</v>
      </c>
      <c r="FP163" s="324">
        <f t="shared" si="735"/>
        <v>0</v>
      </c>
      <c r="FQ163" s="321">
        <f t="shared" si="736"/>
        <v>0</v>
      </c>
      <c r="FR163" s="179">
        <f t="shared" si="697"/>
        <v>0</v>
      </c>
      <c r="FS163" s="9">
        <v>0</v>
      </c>
      <c r="FT163" s="18" t="s">
        <v>238</v>
      </c>
      <c r="FU163" s="18" t="s">
        <v>238</v>
      </c>
      <c r="FV163" s="324">
        <f t="shared" si="737"/>
        <v>0</v>
      </c>
      <c r="FW163" s="321">
        <f t="shared" si="738"/>
        <v>0</v>
      </c>
      <c r="FX163" s="179">
        <f t="shared" si="698"/>
        <v>0</v>
      </c>
      <c r="FY163" s="9">
        <v>0</v>
      </c>
      <c r="FZ163" s="18" t="s">
        <v>238</v>
      </c>
      <c r="GA163" s="18" t="s">
        <v>238</v>
      </c>
      <c r="GB163" s="324">
        <f t="shared" si="739"/>
        <v>0</v>
      </c>
      <c r="GC163" s="321">
        <f t="shared" si="740"/>
        <v>0</v>
      </c>
      <c r="GD163" s="179">
        <f t="shared" si="699"/>
        <v>0</v>
      </c>
      <c r="GE163" s="9">
        <v>0</v>
      </c>
      <c r="GF163" s="18" t="s">
        <v>238</v>
      </c>
      <c r="GG163" s="18" t="s">
        <v>238</v>
      </c>
      <c r="GH163" s="324">
        <f t="shared" si="741"/>
        <v>0</v>
      </c>
      <c r="GI163" s="321">
        <f t="shared" si="742"/>
        <v>0</v>
      </c>
      <c r="GJ163" s="179">
        <f t="shared" si="700"/>
        <v>0</v>
      </c>
      <c r="GK163" s="9">
        <v>0</v>
      </c>
      <c r="GL163" s="18" t="s">
        <v>238</v>
      </c>
      <c r="GM163" s="18" t="s">
        <v>238</v>
      </c>
      <c r="GN163" s="324">
        <f t="shared" si="743"/>
        <v>0</v>
      </c>
      <c r="GO163" s="321">
        <f t="shared" si="744"/>
        <v>0</v>
      </c>
      <c r="GP163" s="179">
        <f t="shared" si="701"/>
        <v>0</v>
      </c>
      <c r="GQ163" s="9">
        <v>0</v>
      </c>
      <c r="GR163" s="18" t="s">
        <v>238</v>
      </c>
      <c r="GS163" s="18" t="s">
        <v>238</v>
      </c>
      <c r="GT163" s="324">
        <f t="shared" si="745"/>
        <v>0</v>
      </c>
      <c r="GU163" s="321">
        <f t="shared" si="746"/>
        <v>0</v>
      </c>
      <c r="GV163" s="179">
        <f t="shared" si="702"/>
        <v>0</v>
      </c>
      <c r="GW163" s="9">
        <v>0</v>
      </c>
      <c r="GX163" s="18" t="s">
        <v>238</v>
      </c>
      <c r="GY163" s="18" t="s">
        <v>238</v>
      </c>
      <c r="GZ163" s="324">
        <f t="shared" si="747"/>
        <v>0</v>
      </c>
      <c r="HA163" s="321">
        <f t="shared" si="748"/>
        <v>0</v>
      </c>
      <c r="HB163" s="179">
        <f t="shared" si="703"/>
        <v>0</v>
      </c>
      <c r="HC163" s="102">
        <f t="shared" si="704"/>
        <v>0</v>
      </c>
      <c r="HD163" s="285">
        <f t="shared" si="749"/>
        <v>0</v>
      </c>
      <c r="HE163" s="12">
        <f t="shared" si="750"/>
        <v>0</v>
      </c>
      <c r="HF163" s="12">
        <f t="shared" si="705"/>
        <v>0</v>
      </c>
      <c r="HG163" s="12">
        <f t="shared" si="751"/>
        <v>0</v>
      </c>
      <c r="HH163" s="14">
        <f t="shared" si="752"/>
        <v>0</v>
      </c>
      <c r="HI163" s="13">
        <f t="shared" si="753"/>
        <v>0</v>
      </c>
      <c r="HJ163" s="102">
        <f t="shared" si="754"/>
        <v>0</v>
      </c>
      <c r="HK163" s="16">
        <f t="shared" si="755"/>
        <v>0</v>
      </c>
      <c r="HL163" s="103">
        <f t="shared" si="756"/>
        <v>0</v>
      </c>
      <c r="HM163" s="103">
        <f t="shared" si="757"/>
        <v>0</v>
      </c>
      <c r="HN163" s="17">
        <f t="shared" si="758"/>
        <v>0</v>
      </c>
      <c r="HO163" s="56">
        <f t="shared" si="759"/>
        <v>0</v>
      </c>
      <c r="HP163" s="16">
        <f t="shared" si="760"/>
        <v>0</v>
      </c>
      <c r="HQ163" s="16">
        <f t="shared" si="761"/>
        <v>0</v>
      </c>
      <c r="HR163" s="16">
        <f t="shared" si="762"/>
        <v>0</v>
      </c>
    </row>
    <row r="164" spans="1:226" x14ac:dyDescent="0.3">
      <c r="A164" s="326">
        <v>6</v>
      </c>
      <c r="B164" s="241"/>
      <c r="C164" s="326" t="s">
        <v>349</v>
      </c>
      <c r="D164" s="21" t="s">
        <v>220</v>
      </c>
      <c r="E164" s="4"/>
      <c r="F164" s="4"/>
      <c r="G164" s="4"/>
      <c r="H164" s="325"/>
      <c r="I164" s="325">
        <v>0</v>
      </c>
      <c r="J164" s="325"/>
      <c r="K164" s="325"/>
      <c r="L164" s="325">
        <v>0</v>
      </c>
      <c r="M164" s="6">
        <v>0</v>
      </c>
      <c r="N164" s="6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f t="shared" si="658"/>
        <v>0</v>
      </c>
      <c r="V164" s="7">
        <f t="shared" si="659"/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4">
        <v>0</v>
      </c>
      <c r="AD164" s="4">
        <v>0</v>
      </c>
      <c r="AE164" s="7">
        <f t="shared" si="660"/>
        <v>0</v>
      </c>
      <c r="AF164" s="7">
        <v>0</v>
      </c>
      <c r="AG164" s="4">
        <v>0</v>
      </c>
      <c r="AH164" s="4">
        <v>0</v>
      </c>
      <c r="AI164" s="7">
        <f t="shared" si="661"/>
        <v>0</v>
      </c>
      <c r="AJ164" s="7">
        <v>0</v>
      </c>
      <c r="AK164" s="4">
        <v>0</v>
      </c>
      <c r="AL164" s="4">
        <v>0</v>
      </c>
      <c r="AM164" s="7">
        <f t="shared" si="662"/>
        <v>0</v>
      </c>
      <c r="AN164" s="7">
        <v>0</v>
      </c>
      <c r="AO164" s="4">
        <v>0</v>
      </c>
      <c r="AP164" s="4">
        <v>0</v>
      </c>
      <c r="AQ164" s="7">
        <f t="shared" si="663"/>
        <v>0</v>
      </c>
      <c r="AR164" s="7">
        <v>0</v>
      </c>
      <c r="AS164" s="4">
        <v>0</v>
      </c>
      <c r="AT164" s="4">
        <v>0</v>
      </c>
      <c r="AU164" s="7">
        <f t="shared" si="664"/>
        <v>0</v>
      </c>
      <c r="AV164" s="7">
        <v>0</v>
      </c>
      <c r="AW164" s="4">
        <v>0</v>
      </c>
      <c r="AX164" s="4">
        <v>0</v>
      </c>
      <c r="AY164" s="7">
        <f t="shared" si="665"/>
        <v>0</v>
      </c>
      <c r="AZ164" s="8">
        <f t="shared" si="706"/>
        <v>0</v>
      </c>
      <c r="BA164" s="8"/>
      <c r="BB164" s="8">
        <f t="shared" si="707"/>
        <v>0</v>
      </c>
      <c r="BC164" s="8">
        <f t="shared" si="708"/>
        <v>0</v>
      </c>
      <c r="BD164" s="8"/>
      <c r="BE164" s="8">
        <f t="shared" si="709"/>
        <v>0</v>
      </c>
      <c r="BF164" s="10">
        <f t="shared" si="710"/>
        <v>0</v>
      </c>
      <c r="BG164" s="11">
        <f>BF164-BB164</f>
        <v>0</v>
      </c>
      <c r="BH164" s="319">
        <v>0</v>
      </c>
      <c r="BI164" s="319">
        <v>0</v>
      </c>
      <c r="BJ164" s="319">
        <v>0</v>
      </c>
      <c r="BK164" s="319">
        <f t="shared" si="666"/>
        <v>0</v>
      </c>
      <c r="BL164" s="319"/>
      <c r="BM164" s="319">
        <v>0</v>
      </c>
      <c r="BN164" s="319">
        <v>0</v>
      </c>
      <c r="BO164" s="319">
        <f t="shared" si="667"/>
        <v>0</v>
      </c>
      <c r="BP164" s="319">
        <f t="shared" si="712"/>
        <v>0</v>
      </c>
      <c r="BQ164" s="319">
        <v>0</v>
      </c>
      <c r="BR164" s="319">
        <v>0</v>
      </c>
      <c r="BS164" s="319">
        <v>0</v>
      </c>
      <c r="BT164" s="319">
        <f t="shared" si="668"/>
        <v>0</v>
      </c>
      <c r="BU164" s="319">
        <f t="shared" si="669"/>
        <v>0</v>
      </c>
      <c r="BV164" s="319">
        <v>0</v>
      </c>
      <c r="BW164" s="319">
        <v>0</v>
      </c>
      <c r="BX164" s="319">
        <v>0</v>
      </c>
      <c r="BY164" s="319">
        <f t="shared" si="670"/>
        <v>0</v>
      </c>
      <c r="BZ164" s="319">
        <f t="shared" si="671"/>
        <v>0</v>
      </c>
      <c r="CA164" s="319">
        <v>0</v>
      </c>
      <c r="CB164" s="319">
        <v>0</v>
      </c>
      <c r="CC164" s="319">
        <v>0</v>
      </c>
      <c r="CD164" s="319">
        <f t="shared" si="672"/>
        <v>0</v>
      </c>
      <c r="CE164" s="319">
        <f t="shared" si="673"/>
        <v>0</v>
      </c>
      <c r="CF164" s="319">
        <v>0</v>
      </c>
      <c r="CG164" s="319">
        <v>0</v>
      </c>
      <c r="CH164" s="319">
        <v>0</v>
      </c>
      <c r="CI164" s="319">
        <f t="shared" si="674"/>
        <v>0</v>
      </c>
      <c r="CJ164" s="319">
        <f t="shared" si="675"/>
        <v>0</v>
      </c>
      <c r="CK164" s="319">
        <v>0</v>
      </c>
      <c r="CL164" s="319">
        <v>0</v>
      </c>
      <c r="CM164" s="319">
        <v>0</v>
      </c>
      <c r="CN164" s="319">
        <f t="shared" si="676"/>
        <v>0</v>
      </c>
      <c r="CO164" s="319">
        <f t="shared" si="677"/>
        <v>0</v>
      </c>
      <c r="CP164" s="319">
        <v>0</v>
      </c>
      <c r="CQ164" s="319">
        <v>0</v>
      </c>
      <c r="CR164" s="319">
        <v>0</v>
      </c>
      <c r="CS164" s="319">
        <f t="shared" si="678"/>
        <v>0</v>
      </c>
      <c r="CT164" s="319">
        <f t="shared" si="679"/>
        <v>0</v>
      </c>
      <c r="CU164" s="319">
        <v>0</v>
      </c>
      <c r="CV164" s="319">
        <v>0</v>
      </c>
      <c r="CW164" s="319">
        <v>0</v>
      </c>
      <c r="CX164" s="319">
        <f t="shared" si="680"/>
        <v>0</v>
      </c>
      <c r="CY164" s="319">
        <f t="shared" si="681"/>
        <v>0</v>
      </c>
      <c r="CZ164" s="319"/>
      <c r="DA164" s="319"/>
      <c r="DB164" s="319"/>
      <c r="DC164" s="12">
        <f t="shared" si="713"/>
        <v>0</v>
      </c>
      <c r="DD164" s="12">
        <v>0</v>
      </c>
      <c r="DE164" s="13">
        <f t="shared" si="714"/>
        <v>0</v>
      </c>
      <c r="DF164" s="14">
        <f t="shared" si="682"/>
        <v>0</v>
      </c>
      <c r="DG164" s="13">
        <f t="shared" si="683"/>
        <v>0</v>
      </c>
      <c r="DH164" s="15">
        <f t="shared" si="684"/>
        <v>0</v>
      </c>
      <c r="DI164" s="16">
        <f t="shared" si="685"/>
        <v>0</v>
      </c>
      <c r="DJ164" s="132">
        <f t="shared" si="715"/>
        <v>0</v>
      </c>
      <c r="DK164" s="17">
        <f t="shared" si="716"/>
        <v>0</v>
      </c>
      <c r="DL164" s="17">
        <f t="shared" si="686"/>
        <v>0</v>
      </c>
      <c r="DM164" s="16">
        <f t="shared" si="717"/>
        <v>0</v>
      </c>
      <c r="DN164" s="16">
        <f t="shared" si="687"/>
        <v>0</v>
      </c>
      <c r="DO164" s="16">
        <f t="shared" si="718"/>
        <v>0</v>
      </c>
      <c r="DP164" s="16">
        <f t="shared" si="688"/>
        <v>0</v>
      </c>
      <c r="DQ164" s="9">
        <v>0</v>
      </c>
      <c r="DR164" s="18" t="s">
        <v>238</v>
      </c>
      <c r="DS164" s="18" t="s">
        <v>238</v>
      </c>
      <c r="DT164" s="324">
        <f t="shared" si="719"/>
        <v>0</v>
      </c>
      <c r="DU164" s="321">
        <f t="shared" si="720"/>
        <v>0</v>
      </c>
      <c r="DV164" s="19">
        <f t="shared" si="689"/>
        <v>0</v>
      </c>
      <c r="DW164" s="9"/>
      <c r="DX164" s="18"/>
      <c r="DY164" s="18"/>
      <c r="DZ164" s="324">
        <f t="shared" si="721"/>
        <v>0</v>
      </c>
      <c r="EA164" s="321">
        <f t="shared" si="722"/>
        <v>0</v>
      </c>
      <c r="EB164" s="179">
        <f t="shared" si="690"/>
        <v>0</v>
      </c>
      <c r="EC164" s="9">
        <v>0</v>
      </c>
      <c r="ED164" s="9">
        <v>0</v>
      </c>
      <c r="EE164" s="9">
        <v>0</v>
      </c>
      <c r="EF164" s="324">
        <f t="shared" si="723"/>
        <v>0</v>
      </c>
      <c r="EG164" s="321">
        <f t="shared" si="724"/>
        <v>0</v>
      </c>
      <c r="EH164" s="179">
        <f t="shared" si="691"/>
        <v>0</v>
      </c>
      <c r="EI164" s="9">
        <v>0</v>
      </c>
      <c r="EJ164" s="9">
        <v>0</v>
      </c>
      <c r="EK164" s="9">
        <v>0</v>
      </c>
      <c r="EL164" s="324">
        <f t="shared" si="725"/>
        <v>0</v>
      </c>
      <c r="EM164" s="321">
        <f t="shared" si="726"/>
        <v>0</v>
      </c>
      <c r="EN164" s="179">
        <f t="shared" si="692"/>
        <v>0</v>
      </c>
      <c r="EO164" s="9">
        <v>0</v>
      </c>
      <c r="EP164" s="9">
        <v>0</v>
      </c>
      <c r="EQ164" s="9">
        <v>0</v>
      </c>
      <c r="ER164" s="324">
        <f t="shared" si="727"/>
        <v>0</v>
      </c>
      <c r="ES164" s="321">
        <f t="shared" si="728"/>
        <v>0</v>
      </c>
      <c r="ET164" s="179">
        <f t="shared" si="693"/>
        <v>0</v>
      </c>
      <c r="EU164" s="9">
        <v>0</v>
      </c>
      <c r="EV164" s="9">
        <v>0</v>
      </c>
      <c r="EW164" s="9">
        <v>0</v>
      </c>
      <c r="EX164" s="324">
        <f t="shared" si="729"/>
        <v>0</v>
      </c>
      <c r="EY164" s="321">
        <f t="shared" si="730"/>
        <v>0</v>
      </c>
      <c r="EZ164" s="179">
        <f t="shared" si="694"/>
        <v>0</v>
      </c>
      <c r="FA164" s="9">
        <v>0</v>
      </c>
      <c r="FB164" s="9">
        <v>0</v>
      </c>
      <c r="FC164" s="9">
        <v>0</v>
      </c>
      <c r="FD164" s="324">
        <f t="shared" si="731"/>
        <v>0</v>
      </c>
      <c r="FE164" s="321">
        <f t="shared" si="732"/>
        <v>0</v>
      </c>
      <c r="FF164" s="179">
        <f t="shared" si="695"/>
        <v>0</v>
      </c>
      <c r="FG164" s="9"/>
      <c r="FH164" s="18" t="s">
        <v>238</v>
      </c>
      <c r="FI164" s="18" t="s">
        <v>238</v>
      </c>
      <c r="FJ164" s="324">
        <f t="shared" si="733"/>
        <v>0</v>
      </c>
      <c r="FK164" s="321">
        <f t="shared" si="734"/>
        <v>0</v>
      </c>
      <c r="FL164" s="179">
        <f t="shared" si="696"/>
        <v>0</v>
      </c>
      <c r="FM164" s="9">
        <v>0</v>
      </c>
      <c r="FN164" s="18" t="s">
        <v>238</v>
      </c>
      <c r="FO164" s="18" t="s">
        <v>238</v>
      </c>
      <c r="FP164" s="324">
        <f t="shared" si="735"/>
        <v>0</v>
      </c>
      <c r="FQ164" s="321">
        <f t="shared" si="736"/>
        <v>0</v>
      </c>
      <c r="FR164" s="179">
        <f t="shared" si="697"/>
        <v>0</v>
      </c>
      <c r="FS164" s="9">
        <v>0</v>
      </c>
      <c r="FT164" s="18" t="s">
        <v>238</v>
      </c>
      <c r="FU164" s="18" t="s">
        <v>238</v>
      </c>
      <c r="FV164" s="324">
        <f t="shared" si="737"/>
        <v>0</v>
      </c>
      <c r="FW164" s="321">
        <f t="shared" si="738"/>
        <v>0</v>
      </c>
      <c r="FX164" s="179">
        <f t="shared" si="698"/>
        <v>0</v>
      </c>
      <c r="FY164" s="9">
        <v>0</v>
      </c>
      <c r="FZ164" s="18" t="s">
        <v>238</v>
      </c>
      <c r="GA164" s="18" t="s">
        <v>238</v>
      </c>
      <c r="GB164" s="324">
        <f t="shared" si="739"/>
        <v>0</v>
      </c>
      <c r="GC164" s="321">
        <f t="shared" si="740"/>
        <v>0</v>
      </c>
      <c r="GD164" s="179">
        <f t="shared" si="699"/>
        <v>0</v>
      </c>
      <c r="GE164" s="9">
        <v>0</v>
      </c>
      <c r="GF164" s="18" t="s">
        <v>238</v>
      </c>
      <c r="GG164" s="18" t="s">
        <v>238</v>
      </c>
      <c r="GH164" s="324">
        <f t="shared" si="741"/>
        <v>0</v>
      </c>
      <c r="GI164" s="321">
        <f t="shared" si="742"/>
        <v>0</v>
      </c>
      <c r="GJ164" s="179">
        <f t="shared" si="700"/>
        <v>0</v>
      </c>
      <c r="GK164" s="9">
        <v>0</v>
      </c>
      <c r="GL164" s="18" t="s">
        <v>238</v>
      </c>
      <c r="GM164" s="18" t="s">
        <v>238</v>
      </c>
      <c r="GN164" s="324">
        <f t="shared" si="743"/>
        <v>0</v>
      </c>
      <c r="GO164" s="321">
        <f t="shared" si="744"/>
        <v>0</v>
      </c>
      <c r="GP164" s="179">
        <f t="shared" si="701"/>
        <v>0</v>
      </c>
      <c r="GQ164" s="9">
        <v>0</v>
      </c>
      <c r="GR164" s="18" t="s">
        <v>238</v>
      </c>
      <c r="GS164" s="18" t="s">
        <v>238</v>
      </c>
      <c r="GT164" s="324">
        <f t="shared" si="745"/>
        <v>0</v>
      </c>
      <c r="GU164" s="321">
        <f t="shared" si="746"/>
        <v>0</v>
      </c>
      <c r="GV164" s="179">
        <f t="shared" si="702"/>
        <v>0</v>
      </c>
      <c r="GW164" s="9">
        <v>0</v>
      </c>
      <c r="GX164" s="18" t="s">
        <v>238</v>
      </c>
      <c r="GY164" s="18" t="s">
        <v>238</v>
      </c>
      <c r="GZ164" s="324">
        <f t="shared" si="747"/>
        <v>0</v>
      </c>
      <c r="HA164" s="321">
        <f t="shared" si="748"/>
        <v>0</v>
      </c>
      <c r="HB164" s="179">
        <f t="shared" si="703"/>
        <v>0</v>
      </c>
      <c r="HC164" s="102">
        <f t="shared" si="704"/>
        <v>0</v>
      </c>
      <c r="HD164" s="285">
        <f t="shared" si="749"/>
        <v>0</v>
      </c>
      <c r="HE164" s="12">
        <f t="shared" si="750"/>
        <v>0</v>
      </c>
      <c r="HF164" s="12">
        <f t="shared" si="705"/>
        <v>0</v>
      </c>
      <c r="HG164" s="12">
        <f t="shared" si="751"/>
        <v>0</v>
      </c>
      <c r="HH164" s="14">
        <f t="shared" si="752"/>
        <v>0</v>
      </c>
      <c r="HI164" s="13">
        <f t="shared" si="753"/>
        <v>0</v>
      </c>
      <c r="HJ164" s="102">
        <f t="shared" si="754"/>
        <v>0</v>
      </c>
      <c r="HK164" s="16">
        <f t="shared" si="755"/>
        <v>0</v>
      </c>
      <c r="HL164" s="103">
        <f t="shared" si="756"/>
        <v>0</v>
      </c>
      <c r="HM164" s="103">
        <f t="shared" si="757"/>
        <v>0</v>
      </c>
      <c r="HN164" s="17">
        <f t="shared" si="758"/>
        <v>0</v>
      </c>
      <c r="HO164" s="56">
        <f t="shared" si="759"/>
        <v>0</v>
      </c>
      <c r="HP164" s="16">
        <f t="shared" si="760"/>
        <v>0</v>
      </c>
      <c r="HQ164" s="16">
        <f t="shared" si="761"/>
        <v>0</v>
      </c>
      <c r="HR164" s="16">
        <f t="shared" si="762"/>
        <v>0</v>
      </c>
    </row>
    <row r="165" spans="1:226" x14ac:dyDescent="0.3">
      <c r="A165" s="326">
        <v>7</v>
      </c>
      <c r="B165" s="241"/>
      <c r="C165" s="326" t="s">
        <v>348</v>
      </c>
      <c r="D165" s="21" t="s">
        <v>222</v>
      </c>
      <c r="E165" s="4"/>
      <c r="F165" s="4"/>
      <c r="G165" s="4"/>
      <c r="H165" s="325"/>
      <c r="I165" s="325">
        <v>0</v>
      </c>
      <c r="J165" s="325"/>
      <c r="K165" s="325"/>
      <c r="L165" s="325">
        <v>0</v>
      </c>
      <c r="M165" s="6">
        <v>0</v>
      </c>
      <c r="N165" s="6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f t="shared" si="658"/>
        <v>0</v>
      </c>
      <c r="V165" s="7">
        <f t="shared" si="659"/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4">
        <v>0</v>
      </c>
      <c r="AD165" s="4">
        <v>0</v>
      </c>
      <c r="AE165" s="7">
        <f t="shared" si="660"/>
        <v>0</v>
      </c>
      <c r="AF165" s="7">
        <v>0</v>
      </c>
      <c r="AG165" s="4">
        <v>0</v>
      </c>
      <c r="AH165" s="4">
        <v>0</v>
      </c>
      <c r="AI165" s="7">
        <f t="shared" si="661"/>
        <v>0</v>
      </c>
      <c r="AJ165" s="7">
        <v>0</v>
      </c>
      <c r="AK165" s="4">
        <v>0</v>
      </c>
      <c r="AL165" s="4">
        <v>0</v>
      </c>
      <c r="AM165" s="7">
        <f t="shared" si="662"/>
        <v>0</v>
      </c>
      <c r="AN165" s="7">
        <v>0</v>
      </c>
      <c r="AO165" s="4">
        <v>0</v>
      </c>
      <c r="AP165" s="4">
        <v>0</v>
      </c>
      <c r="AQ165" s="7">
        <f t="shared" si="663"/>
        <v>0</v>
      </c>
      <c r="AR165" s="7">
        <v>0</v>
      </c>
      <c r="AS165" s="4">
        <v>0</v>
      </c>
      <c r="AT165" s="4">
        <v>0</v>
      </c>
      <c r="AU165" s="7">
        <f t="shared" si="664"/>
        <v>0</v>
      </c>
      <c r="AV165" s="7">
        <v>0</v>
      </c>
      <c r="AW165" s="4">
        <v>0</v>
      </c>
      <c r="AX165" s="4">
        <v>0</v>
      </c>
      <c r="AY165" s="7">
        <f t="shared" si="665"/>
        <v>0</v>
      </c>
      <c r="AZ165" s="8">
        <f t="shared" si="706"/>
        <v>0</v>
      </c>
      <c r="BA165" s="8"/>
      <c r="BB165" s="8">
        <f t="shared" si="707"/>
        <v>0</v>
      </c>
      <c r="BC165" s="8">
        <f t="shared" si="708"/>
        <v>0</v>
      </c>
      <c r="BD165" s="8"/>
      <c r="BE165" s="8">
        <f t="shared" si="709"/>
        <v>0</v>
      </c>
      <c r="BF165" s="10">
        <f t="shared" si="710"/>
        <v>0</v>
      </c>
      <c r="BG165" s="11">
        <f t="shared" si="711"/>
        <v>0</v>
      </c>
      <c r="BH165" s="319">
        <v>0</v>
      </c>
      <c r="BI165" s="319">
        <v>0</v>
      </c>
      <c r="BJ165" s="319">
        <v>0</v>
      </c>
      <c r="BK165" s="319">
        <f t="shared" si="666"/>
        <v>0</v>
      </c>
      <c r="BL165" s="319"/>
      <c r="BM165" s="319">
        <v>0</v>
      </c>
      <c r="BN165" s="319">
        <v>0</v>
      </c>
      <c r="BO165" s="319">
        <f t="shared" si="667"/>
        <v>0</v>
      </c>
      <c r="BP165" s="319">
        <f t="shared" si="712"/>
        <v>0</v>
      </c>
      <c r="BQ165" s="319">
        <v>0</v>
      </c>
      <c r="BR165" s="319">
        <v>0</v>
      </c>
      <c r="BS165" s="319">
        <v>0</v>
      </c>
      <c r="BT165" s="319">
        <f t="shared" si="668"/>
        <v>0</v>
      </c>
      <c r="BU165" s="319">
        <f t="shared" si="669"/>
        <v>0</v>
      </c>
      <c r="BV165" s="319">
        <v>0</v>
      </c>
      <c r="BW165" s="319">
        <v>0</v>
      </c>
      <c r="BX165" s="319">
        <v>0</v>
      </c>
      <c r="BY165" s="319">
        <f t="shared" si="670"/>
        <v>0</v>
      </c>
      <c r="BZ165" s="319">
        <f t="shared" si="671"/>
        <v>0</v>
      </c>
      <c r="CA165" s="319">
        <v>0</v>
      </c>
      <c r="CB165" s="319">
        <v>0</v>
      </c>
      <c r="CC165" s="319">
        <v>0</v>
      </c>
      <c r="CD165" s="319">
        <f t="shared" si="672"/>
        <v>0</v>
      </c>
      <c r="CE165" s="319">
        <f t="shared" si="673"/>
        <v>0</v>
      </c>
      <c r="CF165" s="319">
        <v>0</v>
      </c>
      <c r="CG165" s="319">
        <v>0</v>
      </c>
      <c r="CH165" s="319">
        <v>0</v>
      </c>
      <c r="CI165" s="319">
        <f t="shared" si="674"/>
        <v>0</v>
      </c>
      <c r="CJ165" s="319">
        <f t="shared" si="675"/>
        <v>0</v>
      </c>
      <c r="CK165" s="319">
        <v>0</v>
      </c>
      <c r="CL165" s="319">
        <v>0</v>
      </c>
      <c r="CM165" s="319">
        <v>0</v>
      </c>
      <c r="CN165" s="319">
        <f t="shared" si="676"/>
        <v>0</v>
      </c>
      <c r="CO165" s="319">
        <f t="shared" si="677"/>
        <v>0</v>
      </c>
      <c r="CP165" s="319">
        <v>0</v>
      </c>
      <c r="CQ165" s="319">
        <v>0</v>
      </c>
      <c r="CR165" s="319">
        <v>0</v>
      </c>
      <c r="CS165" s="319">
        <f t="shared" si="678"/>
        <v>0</v>
      </c>
      <c r="CT165" s="319">
        <f t="shared" si="679"/>
        <v>0</v>
      </c>
      <c r="CU165" s="319">
        <v>0</v>
      </c>
      <c r="CV165" s="319">
        <v>0</v>
      </c>
      <c r="CW165" s="319">
        <v>0</v>
      </c>
      <c r="CX165" s="319">
        <f t="shared" si="680"/>
        <v>0</v>
      </c>
      <c r="CY165" s="319">
        <f t="shared" si="681"/>
        <v>0</v>
      </c>
      <c r="CZ165" s="319"/>
      <c r="DA165" s="319"/>
      <c r="DB165" s="319"/>
      <c r="DC165" s="12">
        <f t="shared" si="713"/>
        <v>0</v>
      </c>
      <c r="DD165" s="12">
        <v>0</v>
      </c>
      <c r="DE165" s="13">
        <f t="shared" si="714"/>
        <v>0</v>
      </c>
      <c r="DF165" s="14">
        <f t="shared" si="682"/>
        <v>0</v>
      </c>
      <c r="DG165" s="13">
        <f t="shared" si="683"/>
        <v>0</v>
      </c>
      <c r="DH165" s="15">
        <f t="shared" si="684"/>
        <v>0</v>
      </c>
      <c r="DI165" s="16">
        <f t="shared" si="685"/>
        <v>0</v>
      </c>
      <c r="DJ165" s="132">
        <f t="shared" si="715"/>
        <v>0</v>
      </c>
      <c r="DK165" s="17">
        <f t="shared" si="716"/>
        <v>0</v>
      </c>
      <c r="DL165" s="17">
        <f t="shared" si="686"/>
        <v>0</v>
      </c>
      <c r="DM165" s="16">
        <f t="shared" si="717"/>
        <v>0</v>
      </c>
      <c r="DN165" s="16">
        <f t="shared" si="687"/>
        <v>0</v>
      </c>
      <c r="DO165" s="16">
        <f t="shared" si="718"/>
        <v>0</v>
      </c>
      <c r="DP165" s="16">
        <f t="shared" si="688"/>
        <v>0</v>
      </c>
      <c r="DQ165" s="9">
        <v>0</v>
      </c>
      <c r="DR165" s="18" t="s">
        <v>238</v>
      </c>
      <c r="DS165" s="18" t="s">
        <v>238</v>
      </c>
      <c r="DT165" s="324">
        <f t="shared" si="719"/>
        <v>0</v>
      </c>
      <c r="DU165" s="321">
        <f t="shared" si="720"/>
        <v>0</v>
      </c>
      <c r="DV165" s="19">
        <f t="shared" si="689"/>
        <v>0</v>
      </c>
      <c r="DW165" s="9"/>
      <c r="DX165" s="18"/>
      <c r="DY165" s="18"/>
      <c r="DZ165" s="324">
        <f t="shared" si="721"/>
        <v>0</v>
      </c>
      <c r="EA165" s="321">
        <f t="shared" si="722"/>
        <v>0</v>
      </c>
      <c r="EB165" s="179">
        <f t="shared" si="690"/>
        <v>0</v>
      </c>
      <c r="EC165" s="9">
        <v>0</v>
      </c>
      <c r="ED165" s="9">
        <v>0</v>
      </c>
      <c r="EE165" s="9">
        <v>0</v>
      </c>
      <c r="EF165" s="324">
        <f t="shared" si="723"/>
        <v>0</v>
      </c>
      <c r="EG165" s="321">
        <f t="shared" si="724"/>
        <v>0</v>
      </c>
      <c r="EH165" s="179">
        <f t="shared" si="691"/>
        <v>0</v>
      </c>
      <c r="EI165" s="9">
        <v>0</v>
      </c>
      <c r="EJ165" s="9">
        <v>0</v>
      </c>
      <c r="EK165" s="9">
        <v>0</v>
      </c>
      <c r="EL165" s="324">
        <f t="shared" si="725"/>
        <v>0</v>
      </c>
      <c r="EM165" s="321">
        <f t="shared" si="726"/>
        <v>0</v>
      </c>
      <c r="EN165" s="179">
        <f t="shared" si="692"/>
        <v>0</v>
      </c>
      <c r="EO165" s="9">
        <v>0</v>
      </c>
      <c r="EP165" s="9">
        <v>0</v>
      </c>
      <c r="EQ165" s="9">
        <v>0</v>
      </c>
      <c r="ER165" s="324">
        <f t="shared" si="727"/>
        <v>0</v>
      </c>
      <c r="ES165" s="321">
        <f t="shared" si="728"/>
        <v>0</v>
      </c>
      <c r="ET165" s="179">
        <f t="shared" si="693"/>
        <v>0</v>
      </c>
      <c r="EU165" s="9">
        <v>0</v>
      </c>
      <c r="EV165" s="9">
        <v>0</v>
      </c>
      <c r="EW165" s="9">
        <v>0</v>
      </c>
      <c r="EX165" s="324">
        <f t="shared" si="729"/>
        <v>0</v>
      </c>
      <c r="EY165" s="321">
        <f t="shared" si="730"/>
        <v>0</v>
      </c>
      <c r="EZ165" s="179">
        <f t="shared" si="694"/>
        <v>0</v>
      </c>
      <c r="FA165" s="9">
        <v>0</v>
      </c>
      <c r="FB165" s="9">
        <v>0</v>
      </c>
      <c r="FC165" s="9">
        <v>0</v>
      </c>
      <c r="FD165" s="324">
        <f t="shared" si="731"/>
        <v>0</v>
      </c>
      <c r="FE165" s="321">
        <f t="shared" si="732"/>
        <v>0</v>
      </c>
      <c r="FF165" s="179">
        <f t="shared" si="695"/>
        <v>0</v>
      </c>
      <c r="FG165" s="9"/>
      <c r="FH165" s="18" t="s">
        <v>238</v>
      </c>
      <c r="FI165" s="18" t="s">
        <v>238</v>
      </c>
      <c r="FJ165" s="324">
        <f t="shared" si="733"/>
        <v>0</v>
      </c>
      <c r="FK165" s="321">
        <f t="shared" si="734"/>
        <v>0</v>
      </c>
      <c r="FL165" s="179">
        <f t="shared" si="696"/>
        <v>0</v>
      </c>
      <c r="FM165" s="9">
        <v>0</v>
      </c>
      <c r="FN165" s="18" t="s">
        <v>238</v>
      </c>
      <c r="FO165" s="18" t="s">
        <v>238</v>
      </c>
      <c r="FP165" s="324">
        <f t="shared" si="735"/>
        <v>0</v>
      </c>
      <c r="FQ165" s="321">
        <f t="shared" si="736"/>
        <v>0</v>
      </c>
      <c r="FR165" s="179">
        <f t="shared" si="697"/>
        <v>0</v>
      </c>
      <c r="FS165" s="9">
        <v>0</v>
      </c>
      <c r="FT165" s="18" t="s">
        <v>238</v>
      </c>
      <c r="FU165" s="18" t="s">
        <v>238</v>
      </c>
      <c r="FV165" s="324">
        <f t="shared" si="737"/>
        <v>0</v>
      </c>
      <c r="FW165" s="321">
        <f t="shared" si="738"/>
        <v>0</v>
      </c>
      <c r="FX165" s="179">
        <f t="shared" si="698"/>
        <v>0</v>
      </c>
      <c r="FY165" s="9">
        <v>0</v>
      </c>
      <c r="FZ165" s="18" t="s">
        <v>238</v>
      </c>
      <c r="GA165" s="18" t="s">
        <v>238</v>
      </c>
      <c r="GB165" s="324">
        <f t="shared" si="739"/>
        <v>0</v>
      </c>
      <c r="GC165" s="321">
        <f t="shared" si="740"/>
        <v>0</v>
      </c>
      <c r="GD165" s="179">
        <f t="shared" si="699"/>
        <v>0</v>
      </c>
      <c r="GE165" s="9">
        <v>0</v>
      </c>
      <c r="GF165" s="18" t="s">
        <v>238</v>
      </c>
      <c r="GG165" s="18" t="s">
        <v>238</v>
      </c>
      <c r="GH165" s="324">
        <f t="shared" si="741"/>
        <v>0</v>
      </c>
      <c r="GI165" s="321">
        <f t="shared" si="742"/>
        <v>0</v>
      </c>
      <c r="GJ165" s="179">
        <f t="shared" si="700"/>
        <v>0</v>
      </c>
      <c r="GK165" s="9">
        <v>0</v>
      </c>
      <c r="GL165" s="18" t="s">
        <v>238</v>
      </c>
      <c r="GM165" s="18" t="s">
        <v>238</v>
      </c>
      <c r="GN165" s="324">
        <f t="shared" si="743"/>
        <v>0</v>
      </c>
      <c r="GO165" s="321">
        <f t="shared" si="744"/>
        <v>0</v>
      </c>
      <c r="GP165" s="179">
        <f t="shared" si="701"/>
        <v>0</v>
      </c>
      <c r="GQ165" s="9">
        <v>0</v>
      </c>
      <c r="GR165" s="18" t="s">
        <v>238</v>
      </c>
      <c r="GS165" s="18" t="s">
        <v>238</v>
      </c>
      <c r="GT165" s="324">
        <f t="shared" si="745"/>
        <v>0</v>
      </c>
      <c r="GU165" s="321">
        <f t="shared" si="746"/>
        <v>0</v>
      </c>
      <c r="GV165" s="179">
        <f t="shared" si="702"/>
        <v>0</v>
      </c>
      <c r="GW165" s="9">
        <v>0</v>
      </c>
      <c r="GX165" s="18" t="s">
        <v>238</v>
      </c>
      <c r="GY165" s="18" t="s">
        <v>238</v>
      </c>
      <c r="GZ165" s="324">
        <f t="shared" si="747"/>
        <v>0</v>
      </c>
      <c r="HA165" s="321">
        <f t="shared" si="748"/>
        <v>0</v>
      </c>
      <c r="HB165" s="179">
        <f t="shared" si="703"/>
        <v>0</v>
      </c>
      <c r="HC165" s="102">
        <f t="shared" si="704"/>
        <v>0</v>
      </c>
      <c r="HD165" s="285">
        <f t="shared" si="749"/>
        <v>0</v>
      </c>
      <c r="HE165" s="12">
        <f t="shared" si="750"/>
        <v>0</v>
      </c>
      <c r="HF165" s="12">
        <f t="shared" si="705"/>
        <v>0</v>
      </c>
      <c r="HG165" s="12">
        <f t="shared" si="751"/>
        <v>0</v>
      </c>
      <c r="HH165" s="14">
        <f t="shared" si="752"/>
        <v>0</v>
      </c>
      <c r="HI165" s="13">
        <f t="shared" si="753"/>
        <v>0</v>
      </c>
      <c r="HJ165" s="102">
        <f t="shared" si="754"/>
        <v>0</v>
      </c>
      <c r="HK165" s="16">
        <f t="shared" si="755"/>
        <v>0</v>
      </c>
      <c r="HL165" s="103">
        <f t="shared" si="756"/>
        <v>0</v>
      </c>
      <c r="HM165" s="103">
        <f t="shared" si="757"/>
        <v>0</v>
      </c>
      <c r="HN165" s="17">
        <f t="shared" si="758"/>
        <v>0</v>
      </c>
      <c r="HO165" s="56">
        <f t="shared" si="759"/>
        <v>0</v>
      </c>
      <c r="HP165" s="16">
        <f t="shared" si="760"/>
        <v>0</v>
      </c>
      <c r="HQ165" s="16">
        <f t="shared" si="761"/>
        <v>0</v>
      </c>
      <c r="HR165" s="16">
        <f t="shared" si="762"/>
        <v>0</v>
      </c>
    </row>
    <row r="166" spans="1:226" x14ac:dyDescent="0.3">
      <c r="A166" s="140"/>
      <c r="B166" s="140"/>
      <c r="C166" s="140"/>
      <c r="D166" s="141" t="s">
        <v>216</v>
      </c>
      <c r="E166" s="121">
        <f t="shared" ref="E166:BP166" si="763">SUM(E159:E165)</f>
        <v>0</v>
      </c>
      <c r="F166" s="121">
        <f t="shared" si="763"/>
        <v>0</v>
      </c>
      <c r="G166" s="121">
        <f t="shared" si="763"/>
        <v>0</v>
      </c>
      <c r="H166" s="121">
        <f t="shared" si="763"/>
        <v>0</v>
      </c>
      <c r="I166" s="121">
        <f t="shared" si="763"/>
        <v>17806794</v>
      </c>
      <c r="J166" s="121">
        <f t="shared" si="763"/>
        <v>0</v>
      </c>
      <c r="K166" s="121">
        <f t="shared" si="763"/>
        <v>0</v>
      </c>
      <c r="L166" s="121">
        <f t="shared" si="763"/>
        <v>15106794</v>
      </c>
      <c r="M166" s="121">
        <f t="shared" si="763"/>
        <v>15006794</v>
      </c>
      <c r="N166" s="121">
        <f t="shared" si="763"/>
        <v>13906794</v>
      </c>
      <c r="O166" s="121">
        <f t="shared" si="763"/>
        <v>12996794</v>
      </c>
      <c r="P166" s="121">
        <f t="shared" si="763"/>
        <v>12696794</v>
      </c>
      <c r="Q166" s="121">
        <f t="shared" si="763"/>
        <v>12696794</v>
      </c>
      <c r="R166" s="121">
        <f t="shared" si="763"/>
        <v>12696794</v>
      </c>
      <c r="S166" s="121">
        <f t="shared" si="763"/>
        <v>12696794</v>
      </c>
      <c r="T166" s="121">
        <f t="shared" si="763"/>
        <v>12268754</v>
      </c>
      <c r="U166" s="121">
        <f t="shared" si="763"/>
        <v>613437.70000000007</v>
      </c>
      <c r="V166" s="121">
        <f t="shared" si="763"/>
        <v>12882191.700000001</v>
      </c>
      <c r="W166" s="121">
        <f t="shared" si="763"/>
        <v>12903593</v>
      </c>
      <c r="X166" s="121">
        <f t="shared" si="763"/>
        <v>12903593</v>
      </c>
      <c r="Y166" s="121">
        <f t="shared" si="763"/>
        <v>12903593</v>
      </c>
      <c r="Z166" s="121">
        <f t="shared" si="763"/>
        <v>12903593</v>
      </c>
      <c r="AA166" s="121">
        <f t="shared" si="763"/>
        <v>12903593</v>
      </c>
      <c r="AB166" s="121">
        <f t="shared" si="763"/>
        <v>12903593</v>
      </c>
      <c r="AC166" s="121">
        <f t="shared" si="763"/>
        <v>0</v>
      </c>
      <c r="AD166" s="121">
        <f t="shared" si="763"/>
        <v>0</v>
      </c>
      <c r="AE166" s="121">
        <f t="shared" si="763"/>
        <v>12903593</v>
      </c>
      <c r="AF166" s="121">
        <f t="shared" si="763"/>
        <v>12903593</v>
      </c>
      <c r="AG166" s="121">
        <f t="shared" si="763"/>
        <v>0</v>
      </c>
      <c r="AH166" s="121">
        <f t="shared" si="763"/>
        <v>0</v>
      </c>
      <c r="AI166" s="121">
        <f t="shared" si="763"/>
        <v>12903593</v>
      </c>
      <c r="AJ166" s="121">
        <f t="shared" si="763"/>
        <v>12903593</v>
      </c>
      <c r="AK166" s="121">
        <f t="shared" si="763"/>
        <v>0</v>
      </c>
      <c r="AL166" s="121">
        <f t="shared" si="763"/>
        <v>0</v>
      </c>
      <c r="AM166" s="121">
        <f t="shared" si="763"/>
        <v>12903593</v>
      </c>
      <c r="AN166" s="121">
        <f t="shared" si="763"/>
        <v>12903593</v>
      </c>
      <c r="AO166" s="121">
        <f t="shared" si="763"/>
        <v>0</v>
      </c>
      <c r="AP166" s="121">
        <f t="shared" si="763"/>
        <v>0</v>
      </c>
      <c r="AQ166" s="121">
        <f t="shared" si="763"/>
        <v>12903593</v>
      </c>
      <c r="AR166" s="121">
        <f t="shared" si="763"/>
        <v>12803593</v>
      </c>
      <c r="AS166" s="121">
        <f t="shared" si="763"/>
        <v>0</v>
      </c>
      <c r="AT166" s="121">
        <f t="shared" si="763"/>
        <v>0</v>
      </c>
      <c r="AU166" s="121">
        <f t="shared" si="763"/>
        <v>12803593</v>
      </c>
      <c r="AV166" s="121">
        <f t="shared" si="763"/>
        <v>12803593</v>
      </c>
      <c r="AW166" s="121">
        <f t="shared" si="763"/>
        <v>0</v>
      </c>
      <c r="AX166" s="121">
        <f t="shared" si="763"/>
        <v>0</v>
      </c>
      <c r="AY166" s="121">
        <f t="shared" si="763"/>
        <v>12803593</v>
      </c>
      <c r="AZ166" s="121">
        <f t="shared" si="763"/>
        <v>640179.65</v>
      </c>
      <c r="BA166" s="121">
        <f t="shared" si="763"/>
        <v>0.65</v>
      </c>
      <c r="BB166" s="121">
        <f t="shared" si="763"/>
        <v>640179.00000000012</v>
      </c>
      <c r="BC166" s="121">
        <f t="shared" si="763"/>
        <v>13443772</v>
      </c>
      <c r="BD166" s="121">
        <f t="shared" si="763"/>
        <v>0</v>
      </c>
      <c r="BE166" s="121">
        <f t="shared" si="763"/>
        <v>13443772</v>
      </c>
      <c r="BF166" s="121">
        <f t="shared" si="763"/>
        <v>640179</v>
      </c>
      <c r="BG166" s="121">
        <f t="shared" si="763"/>
        <v>0</v>
      </c>
      <c r="BH166" s="121">
        <f t="shared" si="763"/>
        <v>13443772</v>
      </c>
      <c r="BI166" s="121">
        <f t="shared" si="763"/>
        <v>0</v>
      </c>
      <c r="BJ166" s="121">
        <f t="shared" si="763"/>
        <v>0</v>
      </c>
      <c r="BK166" s="121">
        <f t="shared" si="763"/>
        <v>13443772</v>
      </c>
      <c r="BL166" s="121">
        <f t="shared" si="763"/>
        <v>13443772</v>
      </c>
      <c r="BM166" s="121">
        <f t="shared" si="763"/>
        <v>0</v>
      </c>
      <c r="BN166" s="121">
        <f t="shared" si="763"/>
        <v>0</v>
      </c>
      <c r="BO166" s="121">
        <f t="shared" si="763"/>
        <v>13443772</v>
      </c>
      <c r="BP166" s="121">
        <f t="shared" si="763"/>
        <v>0</v>
      </c>
      <c r="BQ166" s="121">
        <f t="shared" ref="BQ166:EB166" si="764">SUM(BQ159:BQ165)</f>
        <v>13443772</v>
      </c>
      <c r="BR166" s="121">
        <f t="shared" si="764"/>
        <v>0</v>
      </c>
      <c r="BS166" s="121">
        <f t="shared" si="764"/>
        <v>0</v>
      </c>
      <c r="BT166" s="121">
        <f t="shared" si="764"/>
        <v>13443772</v>
      </c>
      <c r="BU166" s="121">
        <f t="shared" si="764"/>
        <v>0</v>
      </c>
      <c r="BV166" s="121">
        <f t="shared" si="764"/>
        <v>10943772</v>
      </c>
      <c r="BW166" s="121">
        <f t="shared" si="764"/>
        <v>0</v>
      </c>
      <c r="BX166" s="121">
        <f t="shared" si="764"/>
        <v>0</v>
      </c>
      <c r="BY166" s="121">
        <f t="shared" si="764"/>
        <v>10943772</v>
      </c>
      <c r="BZ166" s="121">
        <f t="shared" si="764"/>
        <v>-2500000</v>
      </c>
      <c r="CA166" s="121">
        <f t="shared" si="764"/>
        <v>10944660</v>
      </c>
      <c r="CB166" s="121">
        <f t="shared" si="764"/>
        <v>0</v>
      </c>
      <c r="CC166" s="121">
        <f t="shared" si="764"/>
        <v>0</v>
      </c>
      <c r="CD166" s="121">
        <f t="shared" si="764"/>
        <v>10944660</v>
      </c>
      <c r="CE166" s="121">
        <f t="shared" si="764"/>
        <v>888</v>
      </c>
      <c r="CF166" s="121">
        <f t="shared" si="764"/>
        <v>10944660</v>
      </c>
      <c r="CG166" s="121">
        <f t="shared" si="764"/>
        <v>0</v>
      </c>
      <c r="CH166" s="121">
        <f t="shared" si="764"/>
        <v>0</v>
      </c>
      <c r="CI166" s="121">
        <f t="shared" si="764"/>
        <v>10944660</v>
      </c>
      <c r="CJ166" s="121">
        <f t="shared" si="764"/>
        <v>0</v>
      </c>
      <c r="CK166" s="121">
        <f t="shared" si="764"/>
        <v>10944660</v>
      </c>
      <c r="CL166" s="121">
        <f t="shared" si="764"/>
        <v>0</v>
      </c>
      <c r="CM166" s="121">
        <f t="shared" si="764"/>
        <v>0</v>
      </c>
      <c r="CN166" s="121">
        <f t="shared" si="764"/>
        <v>10944660</v>
      </c>
      <c r="CO166" s="121">
        <f t="shared" si="764"/>
        <v>0</v>
      </c>
      <c r="CP166" s="121">
        <f t="shared" si="764"/>
        <v>10944660</v>
      </c>
      <c r="CQ166" s="121">
        <f t="shared" si="764"/>
        <v>0</v>
      </c>
      <c r="CR166" s="121">
        <f t="shared" si="764"/>
        <v>0</v>
      </c>
      <c r="CS166" s="121">
        <f t="shared" si="764"/>
        <v>10944660</v>
      </c>
      <c r="CT166" s="121">
        <f t="shared" si="764"/>
        <v>0</v>
      </c>
      <c r="CU166" s="121">
        <f t="shared" si="764"/>
        <v>9144660</v>
      </c>
      <c r="CV166" s="121">
        <f t="shared" si="764"/>
        <v>0</v>
      </c>
      <c r="CW166" s="121">
        <f t="shared" si="764"/>
        <v>0</v>
      </c>
      <c r="CX166" s="121">
        <f t="shared" si="764"/>
        <v>9144660</v>
      </c>
      <c r="CY166" s="121">
        <f t="shared" si="764"/>
        <v>-1800000</v>
      </c>
      <c r="CZ166" s="121">
        <f t="shared" si="764"/>
        <v>0</v>
      </c>
      <c r="DA166" s="121">
        <f t="shared" si="764"/>
        <v>0</v>
      </c>
      <c r="DB166" s="121">
        <f t="shared" si="764"/>
        <v>0</v>
      </c>
      <c r="DC166" s="121">
        <f t="shared" si="764"/>
        <v>914466.00000000012</v>
      </c>
      <c r="DD166" s="121">
        <f t="shared" si="764"/>
        <v>1</v>
      </c>
      <c r="DE166" s="121">
        <f t="shared" si="764"/>
        <v>914465.00000000012</v>
      </c>
      <c r="DF166" s="121">
        <f t="shared" si="764"/>
        <v>914465.00000000012</v>
      </c>
      <c r="DG166" s="121">
        <f t="shared" si="764"/>
        <v>10059125</v>
      </c>
      <c r="DH166" s="121">
        <f t="shared" si="764"/>
        <v>0.7153224205637555</v>
      </c>
      <c r="DI166" s="121">
        <f t="shared" si="764"/>
        <v>9144660</v>
      </c>
      <c r="DJ166" s="121">
        <f t="shared" si="764"/>
        <v>10059126.000000002</v>
      </c>
      <c r="DK166" s="121">
        <f t="shared" si="764"/>
        <v>914466.00000000116</v>
      </c>
      <c r="DL166" s="121">
        <f t="shared" si="764"/>
        <v>1</v>
      </c>
      <c r="DM166" s="121">
        <f t="shared" si="764"/>
        <v>914465.00000000116</v>
      </c>
      <c r="DN166" s="121">
        <f t="shared" si="764"/>
        <v>1.064108801074326E-9</v>
      </c>
      <c r="DO166" s="121">
        <f t="shared" si="764"/>
        <v>10059125.000000002</v>
      </c>
      <c r="DP166" s="121">
        <f t="shared" si="764"/>
        <v>0</v>
      </c>
      <c r="DQ166" s="121">
        <f t="shared" si="764"/>
        <v>10239125</v>
      </c>
      <c r="DR166" s="121">
        <f t="shared" si="764"/>
        <v>0</v>
      </c>
      <c r="DS166" s="121">
        <f t="shared" si="764"/>
        <v>0</v>
      </c>
      <c r="DT166" s="121">
        <f t="shared" si="764"/>
        <v>10239125</v>
      </c>
      <c r="DU166" s="121">
        <f t="shared" si="764"/>
        <v>10239125</v>
      </c>
      <c r="DV166" s="121">
        <f t="shared" si="764"/>
        <v>180000</v>
      </c>
      <c r="DW166" s="121">
        <f t="shared" si="764"/>
        <v>10139125</v>
      </c>
      <c r="DX166" s="121">
        <f t="shared" si="764"/>
        <v>0</v>
      </c>
      <c r="DY166" s="121">
        <f t="shared" si="764"/>
        <v>0</v>
      </c>
      <c r="DZ166" s="121">
        <f t="shared" si="764"/>
        <v>10139125</v>
      </c>
      <c r="EA166" s="121">
        <f t="shared" si="764"/>
        <v>10139125</v>
      </c>
      <c r="EB166" s="121">
        <f t="shared" si="764"/>
        <v>-100000</v>
      </c>
      <c r="EC166" s="121">
        <f t="shared" ref="EC166:FL166" si="765">SUM(EC159:EC165)</f>
        <v>10139125</v>
      </c>
      <c r="ED166" s="121">
        <f t="shared" si="765"/>
        <v>0</v>
      </c>
      <c r="EE166" s="121">
        <f t="shared" si="765"/>
        <v>0</v>
      </c>
      <c r="EF166" s="121">
        <f t="shared" si="765"/>
        <v>10139125</v>
      </c>
      <c r="EG166" s="121">
        <f t="shared" si="765"/>
        <v>10139125</v>
      </c>
      <c r="EH166" s="121">
        <f t="shared" si="765"/>
        <v>0</v>
      </c>
      <c r="EI166" s="121">
        <f t="shared" si="765"/>
        <v>10139125</v>
      </c>
      <c r="EJ166" s="121">
        <f t="shared" si="765"/>
        <v>0</v>
      </c>
      <c r="EK166" s="121">
        <f t="shared" si="765"/>
        <v>0</v>
      </c>
      <c r="EL166" s="121">
        <f t="shared" si="765"/>
        <v>10139125</v>
      </c>
      <c r="EM166" s="121">
        <f t="shared" si="765"/>
        <v>10139125</v>
      </c>
      <c r="EN166" s="121">
        <f t="shared" si="765"/>
        <v>0</v>
      </c>
      <c r="EO166" s="121">
        <f t="shared" si="765"/>
        <v>10027739</v>
      </c>
      <c r="EP166" s="121">
        <f t="shared" si="765"/>
        <v>0</v>
      </c>
      <c r="EQ166" s="121">
        <f t="shared" si="765"/>
        <v>0</v>
      </c>
      <c r="ER166" s="121">
        <f t="shared" si="765"/>
        <v>10027739</v>
      </c>
      <c r="ES166" s="121">
        <f t="shared" si="765"/>
        <v>10027739</v>
      </c>
      <c r="ET166" s="121">
        <f t="shared" si="765"/>
        <v>-111386</v>
      </c>
      <c r="EU166" s="121">
        <f t="shared" si="765"/>
        <v>10027739</v>
      </c>
      <c r="EV166" s="121">
        <f t="shared" si="765"/>
        <v>0</v>
      </c>
      <c r="EW166" s="121">
        <f t="shared" si="765"/>
        <v>0</v>
      </c>
      <c r="EX166" s="121">
        <f t="shared" si="765"/>
        <v>10027739</v>
      </c>
      <c r="EY166" s="121">
        <f t="shared" si="765"/>
        <v>10027739</v>
      </c>
      <c r="EZ166" s="121">
        <f t="shared" si="765"/>
        <v>0</v>
      </c>
      <c r="FA166" s="121">
        <f t="shared" si="765"/>
        <v>10027739</v>
      </c>
      <c r="FB166" s="121">
        <f t="shared" si="765"/>
        <v>0</v>
      </c>
      <c r="FC166" s="121">
        <f t="shared" si="765"/>
        <v>0</v>
      </c>
      <c r="FD166" s="121">
        <f t="shared" si="765"/>
        <v>10027739</v>
      </c>
      <c r="FE166" s="121">
        <f t="shared" si="765"/>
        <v>10027739</v>
      </c>
      <c r="FF166" s="121">
        <f t="shared" si="765"/>
        <v>0</v>
      </c>
      <c r="FG166" s="121">
        <f t="shared" si="765"/>
        <v>10027739</v>
      </c>
      <c r="FH166" s="121">
        <f t="shared" si="765"/>
        <v>0</v>
      </c>
      <c r="FI166" s="121">
        <f t="shared" si="765"/>
        <v>0</v>
      </c>
      <c r="FJ166" s="121">
        <f t="shared" si="765"/>
        <v>10027739</v>
      </c>
      <c r="FK166" s="121">
        <f t="shared" si="765"/>
        <v>10027739</v>
      </c>
      <c r="FL166" s="121">
        <f t="shared" si="765"/>
        <v>0</v>
      </c>
      <c r="FM166" s="121">
        <f t="shared" ref="FM166:FR166" si="766">SUM(FM159:FM165)</f>
        <v>10027739</v>
      </c>
      <c r="FN166" s="121">
        <f t="shared" si="766"/>
        <v>0</v>
      </c>
      <c r="FO166" s="121">
        <f t="shared" si="766"/>
        <v>0</v>
      </c>
      <c r="FP166" s="121">
        <f t="shared" si="766"/>
        <v>10027739</v>
      </c>
      <c r="FQ166" s="121">
        <f t="shared" si="766"/>
        <v>10027739</v>
      </c>
      <c r="FR166" s="121">
        <f t="shared" si="766"/>
        <v>0</v>
      </c>
      <c r="FS166" s="121">
        <f t="shared" ref="FS166:FX166" si="767">SUM(FS159:FS165)</f>
        <v>10027739</v>
      </c>
      <c r="FT166" s="121">
        <f t="shared" si="767"/>
        <v>0</v>
      </c>
      <c r="FU166" s="121">
        <f t="shared" si="767"/>
        <v>0</v>
      </c>
      <c r="FV166" s="121">
        <f t="shared" si="767"/>
        <v>10027739</v>
      </c>
      <c r="FW166" s="121">
        <f t="shared" si="767"/>
        <v>10027739</v>
      </c>
      <c r="FX166" s="121">
        <f t="shared" si="767"/>
        <v>0</v>
      </c>
      <c r="FY166" s="121">
        <f t="shared" ref="FY166:GD166" si="768">SUM(FY159:FY165)</f>
        <v>10027739</v>
      </c>
      <c r="FZ166" s="121">
        <f t="shared" si="768"/>
        <v>0</v>
      </c>
      <c r="GA166" s="121">
        <f t="shared" si="768"/>
        <v>0</v>
      </c>
      <c r="GB166" s="121">
        <f t="shared" si="768"/>
        <v>10027739</v>
      </c>
      <c r="GC166" s="121">
        <f t="shared" si="768"/>
        <v>10027739</v>
      </c>
      <c r="GD166" s="121">
        <f t="shared" si="768"/>
        <v>0</v>
      </c>
      <c r="GE166" s="121">
        <f t="shared" ref="GE166:GJ166" si="769">SUM(GE159:GE165)</f>
        <v>10027739</v>
      </c>
      <c r="GF166" s="121">
        <f t="shared" si="769"/>
        <v>0</v>
      </c>
      <c r="GG166" s="121">
        <f t="shared" si="769"/>
        <v>0</v>
      </c>
      <c r="GH166" s="121">
        <f t="shared" si="769"/>
        <v>10027739</v>
      </c>
      <c r="GI166" s="121">
        <f t="shared" si="769"/>
        <v>10027739</v>
      </c>
      <c r="GJ166" s="121">
        <f t="shared" si="769"/>
        <v>0</v>
      </c>
      <c r="GK166" s="121">
        <f t="shared" ref="GK166:GP166" si="770">SUM(GK159:GK165)</f>
        <v>10027739</v>
      </c>
      <c r="GL166" s="121">
        <f t="shared" si="770"/>
        <v>0</v>
      </c>
      <c r="GM166" s="121">
        <f t="shared" si="770"/>
        <v>0</v>
      </c>
      <c r="GN166" s="121">
        <f t="shared" si="770"/>
        <v>10027739</v>
      </c>
      <c r="GO166" s="121">
        <f t="shared" si="770"/>
        <v>10027739</v>
      </c>
      <c r="GP166" s="121">
        <f t="shared" si="770"/>
        <v>0</v>
      </c>
      <c r="GQ166" s="121">
        <f t="shared" ref="GQ166:GV166" si="771">SUM(GQ159:GQ165)</f>
        <v>10027739</v>
      </c>
      <c r="GR166" s="121">
        <f t="shared" si="771"/>
        <v>0</v>
      </c>
      <c r="GS166" s="121">
        <f t="shared" si="771"/>
        <v>0</v>
      </c>
      <c r="GT166" s="121">
        <f t="shared" si="771"/>
        <v>10027739</v>
      </c>
      <c r="GU166" s="121">
        <f t="shared" si="771"/>
        <v>10027739</v>
      </c>
      <c r="GV166" s="121">
        <f t="shared" si="771"/>
        <v>0</v>
      </c>
      <c r="GW166" s="121">
        <f t="shared" ref="GW166:HB166" si="772">SUM(GW159:GW165)</f>
        <v>10529125</v>
      </c>
      <c r="GX166" s="121">
        <f t="shared" si="772"/>
        <v>0</v>
      </c>
      <c r="GY166" s="121">
        <f t="shared" si="772"/>
        <v>0</v>
      </c>
      <c r="GZ166" s="121">
        <f t="shared" si="772"/>
        <v>10529125</v>
      </c>
      <c r="HA166" s="121">
        <f t="shared" si="772"/>
        <v>10529125</v>
      </c>
      <c r="HB166" s="121">
        <f t="shared" si="772"/>
        <v>501386</v>
      </c>
      <c r="HC166" s="121">
        <f>SUM(HC159:HC165)</f>
        <v>0.7130904349206455</v>
      </c>
    </row>
    <row r="167" spans="1:226" x14ac:dyDescent="0.3">
      <c r="A167" s="98"/>
      <c r="B167" s="98"/>
      <c r="C167" s="98"/>
      <c r="D167" s="99"/>
      <c r="E167" s="108"/>
      <c r="F167" s="108"/>
      <c r="G167" s="108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  <c r="AU167" s="20"/>
      <c r="AV167" s="20"/>
      <c r="AW167" s="20"/>
      <c r="AX167" s="20"/>
      <c r="AY167" s="127">
        <f>AY166*10*5%</f>
        <v>6401796.5</v>
      </c>
      <c r="AZ167" s="20"/>
      <c r="BA167" s="20"/>
      <c r="BB167" s="20"/>
      <c r="BC167" s="20"/>
      <c r="BD167" s="20"/>
      <c r="BE167" s="20"/>
      <c r="BF167" s="100"/>
      <c r="BG167" s="100"/>
      <c r="BH167" s="100"/>
      <c r="BI167" s="100"/>
      <c r="BJ167" s="100"/>
      <c r="BK167" s="100"/>
      <c r="BL167" s="100"/>
      <c r="BM167" s="100"/>
      <c r="BN167" s="100"/>
      <c r="BO167" s="100"/>
      <c r="BP167" s="100"/>
      <c r="BQ167" s="100"/>
      <c r="BR167" s="100"/>
      <c r="BS167" s="100"/>
      <c r="BT167" s="100"/>
      <c r="BU167" s="100"/>
      <c r="BV167" s="100"/>
      <c r="BW167" s="100"/>
      <c r="BX167" s="100"/>
      <c r="BY167" s="100"/>
      <c r="BZ167" s="100"/>
      <c r="CA167" s="100"/>
      <c r="CB167" s="100"/>
      <c r="CC167" s="100"/>
      <c r="CD167" s="100"/>
      <c r="CE167" s="100"/>
      <c r="CF167" s="100"/>
      <c r="CG167" s="100"/>
      <c r="CH167" s="100"/>
      <c r="CI167" s="100"/>
      <c r="CJ167" s="100"/>
      <c r="CK167" s="100"/>
      <c r="CL167" s="100"/>
      <c r="CM167" s="100"/>
      <c r="CN167" s="100"/>
      <c r="CO167" s="100"/>
      <c r="CP167" s="100"/>
      <c r="CQ167" s="100"/>
      <c r="CR167" s="100"/>
      <c r="CS167" s="100"/>
      <c r="CT167" s="100"/>
      <c r="CU167" s="100"/>
      <c r="CV167" s="100"/>
      <c r="CW167" s="100"/>
      <c r="CX167" s="100"/>
      <c r="CY167" s="100"/>
      <c r="CZ167" s="100"/>
      <c r="DA167" s="100"/>
      <c r="DB167" s="100"/>
      <c r="DC167" s="100"/>
      <c r="DD167" s="100"/>
      <c r="DE167" s="100"/>
      <c r="DF167" s="100"/>
      <c r="DG167" s="100"/>
      <c r="DH167" s="114"/>
    </row>
    <row r="168" spans="1:226" x14ac:dyDescent="0.3">
      <c r="A168" s="98"/>
      <c r="B168" s="98"/>
      <c r="C168" s="98"/>
      <c r="D168" s="99"/>
      <c r="E168" s="108"/>
      <c r="F168" s="108"/>
      <c r="G168" s="108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100"/>
      <c r="BG168" s="100"/>
      <c r="BH168" s="100"/>
      <c r="BI168" s="100"/>
      <c r="BJ168" s="100"/>
      <c r="BK168" s="100"/>
      <c r="BL168" s="100"/>
      <c r="BM168" s="100"/>
      <c r="BN168" s="100"/>
      <c r="BO168" s="100"/>
      <c r="BP168" s="100"/>
      <c r="BQ168" s="100"/>
      <c r="BR168" s="100"/>
      <c r="BS168" s="100"/>
      <c r="BT168" s="100"/>
      <c r="BU168" s="100"/>
      <c r="BV168" s="100"/>
      <c r="BW168" s="100"/>
      <c r="BX168" s="100"/>
      <c r="BY168" s="100"/>
      <c r="BZ168" s="100"/>
      <c r="CA168" s="100"/>
      <c r="CB168" s="100"/>
      <c r="CC168" s="100"/>
      <c r="CD168" s="100"/>
      <c r="CE168" s="100"/>
      <c r="CF168" s="100"/>
      <c r="CG168" s="100"/>
      <c r="CH168" s="100"/>
      <c r="CI168" s="100"/>
      <c r="CJ168" s="100"/>
      <c r="CK168" s="100"/>
      <c r="CL168" s="100"/>
      <c r="CM168" s="100"/>
      <c r="CN168" s="100"/>
      <c r="CO168" s="100"/>
      <c r="CP168" s="100"/>
      <c r="CQ168" s="100"/>
      <c r="CR168" s="100"/>
      <c r="CS168" s="100"/>
      <c r="CT168" s="100"/>
      <c r="CU168" s="100"/>
      <c r="CV168" s="100"/>
      <c r="CW168" s="100"/>
      <c r="CX168" s="100"/>
      <c r="CY168" s="100"/>
      <c r="CZ168" s="100"/>
      <c r="DA168" s="100"/>
      <c r="DB168" s="100"/>
      <c r="DC168" s="100"/>
      <c r="DD168" s="100"/>
      <c r="DE168" s="100"/>
      <c r="DF168" s="100"/>
      <c r="DG168" s="100"/>
      <c r="DH168" s="114"/>
    </row>
    <row r="169" spans="1:226" s="74" customFormat="1" ht="52.5" customHeight="1" x14ac:dyDescent="0.3">
      <c r="A169" s="85" t="s">
        <v>0</v>
      </c>
      <c r="B169" s="85" t="s">
        <v>1</v>
      </c>
      <c r="C169" s="85" t="s">
        <v>217</v>
      </c>
      <c r="D169" s="86" t="s">
        <v>218</v>
      </c>
      <c r="E169" s="87" t="s">
        <v>233</v>
      </c>
      <c r="F169" s="87" t="s">
        <v>234</v>
      </c>
      <c r="G169" s="87" t="s">
        <v>235</v>
      </c>
      <c r="H169" s="87" t="s">
        <v>383</v>
      </c>
      <c r="I169" s="87" t="s">
        <v>382</v>
      </c>
      <c r="J169" s="87" t="s">
        <v>381</v>
      </c>
      <c r="K169" s="87" t="s">
        <v>380</v>
      </c>
      <c r="L169" s="87" t="s">
        <v>379</v>
      </c>
      <c r="M169" s="87" t="s">
        <v>378</v>
      </c>
      <c r="N169" s="87" t="s">
        <v>377</v>
      </c>
      <c r="O169" s="87" t="s">
        <v>394</v>
      </c>
      <c r="P169" s="87" t="s">
        <v>413</v>
      </c>
      <c r="Q169" s="87" t="s">
        <v>415</v>
      </c>
      <c r="R169" s="87" t="s">
        <v>417</v>
      </c>
      <c r="S169" s="87" t="s">
        <v>420</v>
      </c>
      <c r="T169" s="87" t="s">
        <v>421</v>
      </c>
      <c r="U169" s="87" t="s">
        <v>425</v>
      </c>
      <c r="V169" s="87" t="s">
        <v>426</v>
      </c>
      <c r="W169" s="87" t="s">
        <v>424</v>
      </c>
      <c r="X169" s="87" t="s">
        <v>437</v>
      </c>
      <c r="Y169" s="87" t="s">
        <v>439</v>
      </c>
      <c r="Z169" s="87" t="s">
        <v>447</v>
      </c>
      <c r="AA169" s="87" t="s">
        <v>458</v>
      </c>
      <c r="AB169" s="420" t="s">
        <v>459</v>
      </c>
      <c r="AC169" s="422"/>
      <c r="AD169" s="422"/>
      <c r="AE169" s="421"/>
      <c r="AF169" s="433" t="s">
        <v>462</v>
      </c>
      <c r="AG169" s="434"/>
      <c r="AH169" s="434"/>
      <c r="AI169" s="435"/>
      <c r="AJ169" s="420" t="s">
        <v>466</v>
      </c>
      <c r="AK169" s="422"/>
      <c r="AL169" s="422"/>
      <c r="AM169" s="421"/>
      <c r="AN169" s="433" t="s">
        <v>470</v>
      </c>
      <c r="AO169" s="434"/>
      <c r="AP169" s="434"/>
      <c r="AQ169" s="435"/>
      <c r="AR169" s="420" t="s">
        <v>478</v>
      </c>
      <c r="AS169" s="422"/>
      <c r="AT169" s="422"/>
      <c r="AU169" s="421"/>
      <c r="AV169" s="433" t="s">
        <v>483</v>
      </c>
      <c r="AW169" s="434"/>
      <c r="AX169" s="434"/>
      <c r="AY169" s="435"/>
      <c r="AZ169" s="436" t="s">
        <v>503</v>
      </c>
      <c r="BA169" s="436" t="s">
        <v>488</v>
      </c>
      <c r="BB169" s="436" t="s">
        <v>489</v>
      </c>
      <c r="BC169" s="436" t="s">
        <v>423</v>
      </c>
      <c r="BD169" s="436" t="s">
        <v>507</v>
      </c>
      <c r="BE169" s="436" t="s">
        <v>531</v>
      </c>
      <c r="BF169" s="437" t="s">
        <v>508</v>
      </c>
      <c r="BG169" s="437" t="s">
        <v>509</v>
      </c>
      <c r="BH169" s="420" t="s">
        <v>532</v>
      </c>
      <c r="BI169" s="422"/>
      <c r="BJ169" s="422"/>
      <c r="BK169" s="421"/>
      <c r="BL169" s="433" t="s">
        <v>539</v>
      </c>
      <c r="BM169" s="434"/>
      <c r="BN169" s="434"/>
      <c r="BO169" s="435"/>
      <c r="BP169" s="438" t="s">
        <v>538</v>
      </c>
      <c r="BQ169" s="420" t="s">
        <v>542</v>
      </c>
      <c r="BR169" s="422"/>
      <c r="BS169" s="422"/>
      <c r="BT169" s="421"/>
      <c r="BU169" s="438" t="s">
        <v>541</v>
      </c>
      <c r="BV169" s="420" t="s">
        <v>552</v>
      </c>
      <c r="BW169" s="422"/>
      <c r="BX169" s="422"/>
      <c r="BY169" s="421"/>
      <c r="BZ169" s="438" t="s">
        <v>553</v>
      </c>
      <c r="CA169" s="420" t="s">
        <v>578</v>
      </c>
      <c r="CB169" s="422"/>
      <c r="CC169" s="422"/>
      <c r="CD169" s="421"/>
      <c r="CE169" s="438" t="s">
        <v>579</v>
      </c>
      <c r="CF169" s="420" t="s">
        <v>581</v>
      </c>
      <c r="CG169" s="422"/>
      <c r="CH169" s="422"/>
      <c r="CI169" s="421"/>
      <c r="CJ169" s="438" t="s">
        <v>580</v>
      </c>
      <c r="CK169" s="420" t="s">
        <v>585</v>
      </c>
      <c r="CL169" s="422"/>
      <c r="CM169" s="422"/>
      <c r="CN169" s="421"/>
      <c r="CO169" s="438" t="s">
        <v>580</v>
      </c>
      <c r="CP169" s="420" t="s">
        <v>587</v>
      </c>
      <c r="CQ169" s="422"/>
      <c r="CR169" s="422"/>
      <c r="CS169" s="421"/>
      <c r="CT169" s="438" t="s">
        <v>588</v>
      </c>
      <c r="CU169" s="420" t="s">
        <v>590</v>
      </c>
      <c r="CV169" s="422"/>
      <c r="CW169" s="422"/>
      <c r="CX169" s="421"/>
      <c r="CY169" s="438" t="s">
        <v>591</v>
      </c>
      <c r="CZ169" s="294"/>
      <c r="DA169" s="294"/>
      <c r="DB169" s="294"/>
      <c r="DC169" s="95" t="s">
        <v>602</v>
      </c>
      <c r="DD169" s="95" t="s">
        <v>488</v>
      </c>
      <c r="DE169" s="95" t="s">
        <v>489</v>
      </c>
      <c r="DF169" s="95" t="s">
        <v>603</v>
      </c>
      <c r="DG169" s="95" t="s">
        <v>423</v>
      </c>
      <c r="DH169" s="85" t="s">
        <v>2</v>
      </c>
      <c r="DI169" s="427" t="s">
        <v>613</v>
      </c>
      <c r="DJ169" s="427"/>
      <c r="DK169" s="427"/>
      <c r="DL169" s="427"/>
      <c r="DM169" s="427"/>
      <c r="DN169" s="427"/>
      <c r="DO169" s="427"/>
      <c r="DP169" s="427"/>
      <c r="DQ169" s="423" t="s">
        <v>614</v>
      </c>
      <c r="DR169" s="424"/>
      <c r="DS169" s="424"/>
      <c r="DT169" s="424"/>
      <c r="DU169" s="425"/>
      <c r="DV169" s="87" t="s">
        <v>615</v>
      </c>
      <c r="DW169" s="423" t="s">
        <v>623</v>
      </c>
      <c r="DX169" s="424"/>
      <c r="DY169" s="424"/>
      <c r="DZ169" s="424"/>
      <c r="EA169" s="425"/>
      <c r="EB169" s="87" t="s">
        <v>624</v>
      </c>
      <c r="EC169" s="423" t="s">
        <v>627</v>
      </c>
      <c r="ED169" s="424"/>
      <c r="EE169" s="424"/>
      <c r="EF169" s="424"/>
      <c r="EG169" s="425"/>
      <c r="EH169" s="87" t="s">
        <v>628</v>
      </c>
      <c r="EI169" s="423" t="s">
        <v>631</v>
      </c>
      <c r="EJ169" s="424"/>
      <c r="EK169" s="424"/>
      <c r="EL169" s="424"/>
      <c r="EM169" s="425"/>
      <c r="EN169" s="87" t="s">
        <v>632</v>
      </c>
      <c r="EO169" s="423" t="s">
        <v>638</v>
      </c>
      <c r="EP169" s="424"/>
      <c r="EQ169" s="424"/>
      <c r="ER169" s="424"/>
      <c r="ES169" s="425"/>
      <c r="ET169" s="87" t="s">
        <v>637</v>
      </c>
      <c r="EU169" s="423" t="s">
        <v>641</v>
      </c>
      <c r="EV169" s="424"/>
      <c r="EW169" s="424"/>
      <c r="EX169" s="424"/>
      <c r="EY169" s="425"/>
      <c r="EZ169" s="87" t="s">
        <v>642</v>
      </c>
      <c r="FA169" s="423" t="s">
        <v>645</v>
      </c>
      <c r="FB169" s="424"/>
      <c r="FC169" s="424"/>
      <c r="FD169" s="424"/>
      <c r="FE169" s="425"/>
      <c r="FF169" s="87" t="s">
        <v>646</v>
      </c>
      <c r="FG169" s="423" t="s">
        <v>653</v>
      </c>
      <c r="FH169" s="424"/>
      <c r="FI169" s="424"/>
      <c r="FJ169" s="424"/>
      <c r="FK169" s="425"/>
      <c r="FL169" s="87" t="s">
        <v>654</v>
      </c>
      <c r="FM169" s="423" t="s">
        <v>662</v>
      </c>
      <c r="FN169" s="424"/>
      <c r="FO169" s="424"/>
      <c r="FP169" s="424"/>
      <c r="FQ169" s="425"/>
      <c r="FR169" s="87" t="s">
        <v>657</v>
      </c>
      <c r="FS169" s="423" t="s">
        <v>661</v>
      </c>
      <c r="FT169" s="424"/>
      <c r="FU169" s="424"/>
      <c r="FV169" s="424"/>
      <c r="FW169" s="425"/>
      <c r="FX169" s="87" t="s">
        <v>663</v>
      </c>
      <c r="FY169" s="423" t="s">
        <v>665</v>
      </c>
      <c r="FZ169" s="424"/>
      <c r="GA169" s="424"/>
      <c r="GB169" s="424"/>
      <c r="GC169" s="425"/>
      <c r="GD169" s="87" t="s">
        <v>666</v>
      </c>
      <c r="GE169" s="423" t="s">
        <v>668</v>
      </c>
      <c r="GF169" s="424"/>
      <c r="GG169" s="424"/>
      <c r="GH169" s="424"/>
      <c r="GI169" s="425"/>
      <c r="GJ169" s="87" t="s">
        <v>669</v>
      </c>
      <c r="GK169" s="423" t="s">
        <v>671</v>
      </c>
      <c r="GL169" s="424"/>
      <c r="GM169" s="424"/>
      <c r="GN169" s="424"/>
      <c r="GO169" s="425"/>
      <c r="GP169" s="87" t="s">
        <v>672</v>
      </c>
      <c r="GQ169" s="423" t="s">
        <v>674</v>
      </c>
      <c r="GR169" s="424"/>
      <c r="GS169" s="424"/>
      <c r="GT169" s="424"/>
      <c r="GU169" s="425"/>
      <c r="GV169" s="87" t="s">
        <v>675</v>
      </c>
      <c r="GW169" s="423" t="s">
        <v>696</v>
      </c>
      <c r="GX169" s="424"/>
      <c r="GY169" s="424"/>
      <c r="GZ169" s="424"/>
      <c r="HA169" s="425"/>
      <c r="HB169" s="87" t="s">
        <v>697</v>
      </c>
      <c r="HC169" s="85" t="s">
        <v>2</v>
      </c>
      <c r="HD169" s="6"/>
      <c r="HE169" s="439" t="s">
        <v>678</v>
      </c>
      <c r="HF169" s="439"/>
      <c r="HG169" s="439"/>
      <c r="HH169" s="439"/>
      <c r="HI169" s="439"/>
      <c r="HJ169" s="85" t="s">
        <v>2</v>
      </c>
      <c r="HK169" s="593" t="s">
        <v>698</v>
      </c>
      <c r="HL169" s="594"/>
      <c r="HM169" s="594"/>
      <c r="HN169" s="594"/>
      <c r="HO169" s="594"/>
      <c r="HP169" s="594"/>
      <c r="HQ169" s="594"/>
      <c r="HR169" s="594"/>
    </row>
    <row r="170" spans="1:226" s="74" customFormat="1" ht="31.2" thickBot="1" x14ac:dyDescent="0.35">
      <c r="A170" s="89"/>
      <c r="B170" s="440" t="s">
        <v>565</v>
      </c>
      <c r="C170" s="448"/>
      <c r="D170" s="447"/>
      <c r="E170" s="87"/>
      <c r="F170" s="87"/>
      <c r="G170" s="87"/>
      <c r="H170" s="88"/>
      <c r="I170" s="88"/>
      <c r="J170" s="294"/>
      <c r="K170" s="88"/>
      <c r="L170" s="87"/>
      <c r="M170" s="87"/>
      <c r="N170" s="87"/>
      <c r="O170" s="294"/>
      <c r="P170" s="294"/>
      <c r="Q170" s="294"/>
      <c r="R170" s="294"/>
      <c r="S170" s="294"/>
      <c r="T170" s="294"/>
      <c r="U170" s="294"/>
      <c r="V170" s="294"/>
      <c r="W170" s="294"/>
      <c r="X170" s="294"/>
      <c r="Y170" s="294"/>
      <c r="Z170" s="294"/>
      <c r="AA170" s="294"/>
      <c r="AB170" s="112" t="s">
        <v>234</v>
      </c>
      <c r="AC170" s="112" t="s">
        <v>454</v>
      </c>
      <c r="AD170" s="112" t="s">
        <v>455</v>
      </c>
      <c r="AE170" s="112" t="s">
        <v>456</v>
      </c>
      <c r="AF170" s="14" t="s">
        <v>234</v>
      </c>
      <c r="AG170" s="14" t="s">
        <v>454</v>
      </c>
      <c r="AH170" s="14" t="s">
        <v>455</v>
      </c>
      <c r="AI170" s="14" t="s">
        <v>456</v>
      </c>
      <c r="AJ170" s="112" t="s">
        <v>234</v>
      </c>
      <c r="AK170" s="112" t="s">
        <v>454</v>
      </c>
      <c r="AL170" s="112" t="s">
        <v>455</v>
      </c>
      <c r="AM170" s="112" t="s">
        <v>456</v>
      </c>
      <c r="AN170" s="14" t="s">
        <v>234</v>
      </c>
      <c r="AO170" s="14" t="s">
        <v>454</v>
      </c>
      <c r="AP170" s="14" t="s">
        <v>455</v>
      </c>
      <c r="AQ170" s="14" t="s">
        <v>456</v>
      </c>
      <c r="AR170" s="112" t="s">
        <v>234</v>
      </c>
      <c r="AS170" s="112" t="s">
        <v>454</v>
      </c>
      <c r="AT170" s="112" t="s">
        <v>455</v>
      </c>
      <c r="AU170" s="112" t="s">
        <v>456</v>
      </c>
      <c r="AV170" s="14" t="s">
        <v>234</v>
      </c>
      <c r="AW170" s="14" t="s">
        <v>454</v>
      </c>
      <c r="AX170" s="14" t="s">
        <v>455</v>
      </c>
      <c r="AY170" s="14" t="s">
        <v>456</v>
      </c>
      <c r="AZ170" s="443"/>
      <c r="BA170" s="443"/>
      <c r="BB170" s="443"/>
      <c r="BC170" s="443"/>
      <c r="BD170" s="443"/>
      <c r="BE170" s="443"/>
      <c r="BF170" s="444"/>
      <c r="BG170" s="444"/>
      <c r="BH170" s="112" t="s">
        <v>234</v>
      </c>
      <c r="BI170" s="112" t="s">
        <v>454</v>
      </c>
      <c r="BJ170" s="112" t="s">
        <v>455</v>
      </c>
      <c r="BK170" s="112" t="s">
        <v>456</v>
      </c>
      <c r="BL170" s="14" t="s">
        <v>234</v>
      </c>
      <c r="BM170" s="14" t="s">
        <v>454</v>
      </c>
      <c r="BN170" s="14" t="s">
        <v>455</v>
      </c>
      <c r="BO170" s="14" t="s">
        <v>456</v>
      </c>
      <c r="BP170" s="445"/>
      <c r="BQ170" s="112" t="s">
        <v>234</v>
      </c>
      <c r="BR170" s="112" t="s">
        <v>454</v>
      </c>
      <c r="BS170" s="112" t="s">
        <v>455</v>
      </c>
      <c r="BT170" s="112" t="s">
        <v>456</v>
      </c>
      <c r="BU170" s="445"/>
      <c r="BV170" s="112" t="s">
        <v>234</v>
      </c>
      <c r="BW170" s="112" t="s">
        <v>454</v>
      </c>
      <c r="BX170" s="112" t="s">
        <v>455</v>
      </c>
      <c r="BY170" s="112" t="s">
        <v>456</v>
      </c>
      <c r="BZ170" s="445"/>
      <c r="CA170" s="112" t="s">
        <v>234</v>
      </c>
      <c r="CB170" s="112" t="s">
        <v>454</v>
      </c>
      <c r="CC170" s="112" t="s">
        <v>455</v>
      </c>
      <c r="CD170" s="112" t="s">
        <v>456</v>
      </c>
      <c r="CE170" s="445"/>
      <c r="CF170" s="112" t="s">
        <v>234</v>
      </c>
      <c r="CG170" s="112" t="s">
        <v>454</v>
      </c>
      <c r="CH170" s="112" t="s">
        <v>455</v>
      </c>
      <c r="CI170" s="112" t="s">
        <v>456</v>
      </c>
      <c r="CJ170" s="445"/>
      <c r="CK170" s="112" t="s">
        <v>234</v>
      </c>
      <c r="CL170" s="112" t="s">
        <v>454</v>
      </c>
      <c r="CM170" s="112" t="s">
        <v>455</v>
      </c>
      <c r="CN170" s="112" t="s">
        <v>456</v>
      </c>
      <c r="CO170" s="445"/>
      <c r="CP170" s="112" t="s">
        <v>234</v>
      </c>
      <c r="CQ170" s="112" t="s">
        <v>454</v>
      </c>
      <c r="CR170" s="112" t="s">
        <v>455</v>
      </c>
      <c r="CS170" s="112" t="s">
        <v>456</v>
      </c>
      <c r="CT170" s="445"/>
      <c r="CU170" s="112" t="s">
        <v>234</v>
      </c>
      <c r="CV170" s="112" t="s">
        <v>454</v>
      </c>
      <c r="CW170" s="112" t="s">
        <v>455</v>
      </c>
      <c r="CX170" s="112" t="s">
        <v>456</v>
      </c>
      <c r="CY170" s="445"/>
      <c r="CZ170" s="295"/>
      <c r="DA170" s="295"/>
      <c r="DB170" s="295"/>
      <c r="DC170" s="95" t="s">
        <v>602</v>
      </c>
      <c r="DD170" s="95" t="s">
        <v>488</v>
      </c>
      <c r="DE170" s="95" t="s">
        <v>489</v>
      </c>
      <c r="DF170" s="95" t="s">
        <v>603</v>
      </c>
      <c r="DG170" s="95" t="s">
        <v>423</v>
      </c>
      <c r="DH170" s="89"/>
      <c r="DI170" s="90" t="s">
        <v>604</v>
      </c>
      <c r="DJ170" s="91" t="s">
        <v>605</v>
      </c>
      <c r="DK170" s="92" t="s">
        <v>606</v>
      </c>
      <c r="DL170" s="92" t="s">
        <v>607</v>
      </c>
      <c r="DM170" s="91" t="s">
        <v>608</v>
      </c>
      <c r="DN170" s="91" t="s">
        <v>609</v>
      </c>
      <c r="DO170" s="91" t="s">
        <v>611</v>
      </c>
      <c r="DP170" s="91" t="s">
        <v>610</v>
      </c>
      <c r="DQ170" s="112" t="s">
        <v>234</v>
      </c>
      <c r="DR170" s="112" t="s">
        <v>454</v>
      </c>
      <c r="DS170" s="112" t="s">
        <v>455</v>
      </c>
      <c r="DT170" s="93" t="s">
        <v>456</v>
      </c>
      <c r="DU170" s="94" t="s">
        <v>457</v>
      </c>
      <c r="DV170" s="87"/>
      <c r="DW170" s="112" t="s">
        <v>234</v>
      </c>
      <c r="DX170" s="112" t="s">
        <v>454</v>
      </c>
      <c r="DY170" s="112" t="s">
        <v>455</v>
      </c>
      <c r="DZ170" s="93" t="s">
        <v>456</v>
      </c>
      <c r="EA170" s="94" t="s">
        <v>457</v>
      </c>
      <c r="EB170" s="87"/>
      <c r="EC170" s="112" t="s">
        <v>234</v>
      </c>
      <c r="ED170" s="112" t="s">
        <v>454</v>
      </c>
      <c r="EE170" s="112" t="s">
        <v>455</v>
      </c>
      <c r="EF170" s="93" t="s">
        <v>456</v>
      </c>
      <c r="EG170" s="94" t="s">
        <v>457</v>
      </c>
      <c r="EH170" s="87"/>
      <c r="EI170" s="112" t="s">
        <v>234</v>
      </c>
      <c r="EJ170" s="112" t="s">
        <v>454</v>
      </c>
      <c r="EK170" s="112" t="s">
        <v>455</v>
      </c>
      <c r="EL170" s="93" t="s">
        <v>456</v>
      </c>
      <c r="EM170" s="94" t="s">
        <v>457</v>
      </c>
      <c r="EN170" s="87"/>
      <c r="EO170" s="112" t="s">
        <v>234</v>
      </c>
      <c r="EP170" s="112" t="s">
        <v>454</v>
      </c>
      <c r="EQ170" s="112" t="s">
        <v>455</v>
      </c>
      <c r="ER170" s="93" t="s">
        <v>456</v>
      </c>
      <c r="ES170" s="94" t="s">
        <v>457</v>
      </c>
      <c r="ET170" s="87"/>
      <c r="EU170" s="112" t="s">
        <v>234</v>
      </c>
      <c r="EV170" s="112" t="s">
        <v>454</v>
      </c>
      <c r="EW170" s="112" t="s">
        <v>455</v>
      </c>
      <c r="EX170" s="93" t="s">
        <v>456</v>
      </c>
      <c r="EY170" s="94" t="s">
        <v>457</v>
      </c>
      <c r="EZ170" s="87"/>
      <c r="FA170" s="112" t="s">
        <v>234</v>
      </c>
      <c r="FB170" s="112" t="s">
        <v>454</v>
      </c>
      <c r="FC170" s="112" t="s">
        <v>455</v>
      </c>
      <c r="FD170" s="93" t="s">
        <v>456</v>
      </c>
      <c r="FE170" s="94" t="s">
        <v>457</v>
      </c>
      <c r="FF170" s="87"/>
      <c r="FG170" s="112" t="s">
        <v>234</v>
      </c>
      <c r="FH170" s="112" t="s">
        <v>454</v>
      </c>
      <c r="FI170" s="112" t="s">
        <v>455</v>
      </c>
      <c r="FJ170" s="93" t="s">
        <v>456</v>
      </c>
      <c r="FK170" s="94" t="s">
        <v>457</v>
      </c>
      <c r="FL170" s="87"/>
      <c r="FM170" s="112" t="s">
        <v>234</v>
      </c>
      <c r="FN170" s="112" t="s">
        <v>454</v>
      </c>
      <c r="FO170" s="112" t="s">
        <v>455</v>
      </c>
      <c r="FP170" s="93" t="s">
        <v>456</v>
      </c>
      <c r="FQ170" s="94" t="s">
        <v>457</v>
      </c>
      <c r="FR170" s="87"/>
      <c r="FS170" s="112" t="s">
        <v>234</v>
      </c>
      <c r="FT170" s="112" t="s">
        <v>454</v>
      </c>
      <c r="FU170" s="112" t="s">
        <v>455</v>
      </c>
      <c r="FV170" s="93" t="s">
        <v>456</v>
      </c>
      <c r="FW170" s="94" t="s">
        <v>457</v>
      </c>
      <c r="FX170" s="87"/>
      <c r="FY170" s="112" t="s">
        <v>234</v>
      </c>
      <c r="FZ170" s="112" t="s">
        <v>454</v>
      </c>
      <c r="GA170" s="112" t="s">
        <v>455</v>
      </c>
      <c r="GB170" s="93" t="s">
        <v>456</v>
      </c>
      <c r="GC170" s="94" t="s">
        <v>457</v>
      </c>
      <c r="GD170" s="87"/>
      <c r="GE170" s="112" t="s">
        <v>234</v>
      </c>
      <c r="GF170" s="112" t="s">
        <v>454</v>
      </c>
      <c r="GG170" s="112" t="s">
        <v>455</v>
      </c>
      <c r="GH170" s="93" t="s">
        <v>456</v>
      </c>
      <c r="GI170" s="94" t="s">
        <v>457</v>
      </c>
      <c r="GJ170" s="87"/>
      <c r="GK170" s="112" t="s">
        <v>234</v>
      </c>
      <c r="GL170" s="112" t="s">
        <v>454</v>
      </c>
      <c r="GM170" s="112" t="s">
        <v>455</v>
      </c>
      <c r="GN170" s="93" t="s">
        <v>456</v>
      </c>
      <c r="GO170" s="94" t="s">
        <v>457</v>
      </c>
      <c r="GP170" s="87"/>
      <c r="GQ170" s="112" t="s">
        <v>234</v>
      </c>
      <c r="GR170" s="112" t="s">
        <v>454</v>
      </c>
      <c r="GS170" s="112" t="s">
        <v>455</v>
      </c>
      <c r="GT170" s="93" t="s">
        <v>456</v>
      </c>
      <c r="GU170" s="94" t="s">
        <v>457</v>
      </c>
      <c r="GV170" s="87"/>
      <c r="GW170" s="112" t="s">
        <v>234</v>
      </c>
      <c r="GX170" s="112" t="s">
        <v>454</v>
      </c>
      <c r="GY170" s="112" t="s">
        <v>455</v>
      </c>
      <c r="GZ170" s="93" t="s">
        <v>456</v>
      </c>
      <c r="HA170" s="94" t="s">
        <v>457</v>
      </c>
      <c r="HB170" s="87"/>
      <c r="HC170" s="85"/>
      <c r="HD170" s="6"/>
      <c r="HE170" s="95" t="s">
        <v>679</v>
      </c>
      <c r="HF170" s="95" t="s">
        <v>488</v>
      </c>
      <c r="HG170" s="220" t="s">
        <v>489</v>
      </c>
      <c r="HH170" s="95" t="s">
        <v>603</v>
      </c>
      <c r="HI170" s="95" t="s">
        <v>423</v>
      </c>
      <c r="HJ170" s="85"/>
      <c r="HK170" s="90" t="s">
        <v>680</v>
      </c>
      <c r="HL170" s="91" t="s">
        <v>681</v>
      </c>
      <c r="HM170" s="92" t="s">
        <v>606</v>
      </c>
      <c r="HN170" s="92" t="s">
        <v>607</v>
      </c>
      <c r="HO170" s="91" t="s">
        <v>608</v>
      </c>
      <c r="HP170" s="91" t="s">
        <v>609</v>
      </c>
      <c r="HQ170" s="92" t="s">
        <v>456</v>
      </c>
      <c r="HR170" s="91" t="s">
        <v>610</v>
      </c>
    </row>
    <row r="171" spans="1:226" ht="10.8" thickBot="1" x14ac:dyDescent="0.35">
      <c r="A171" s="193">
        <v>1</v>
      </c>
      <c r="B171" s="194" t="s">
        <v>102</v>
      </c>
      <c r="C171" s="195" t="s">
        <v>103</v>
      </c>
      <c r="D171" s="196" t="s">
        <v>104</v>
      </c>
      <c r="E171" s="27"/>
      <c r="F171" s="9"/>
      <c r="G171" s="9"/>
      <c r="H171" s="324"/>
      <c r="I171" s="324">
        <v>23192353</v>
      </c>
      <c r="J171" s="324"/>
      <c r="K171" s="324"/>
      <c r="L171" s="324">
        <v>23192353</v>
      </c>
      <c r="M171" s="23">
        <v>23192353</v>
      </c>
      <c r="N171" s="23">
        <v>23192353</v>
      </c>
      <c r="O171" s="298">
        <v>23192353</v>
      </c>
      <c r="P171" s="298">
        <v>23192353</v>
      </c>
      <c r="Q171" s="298">
        <v>23192353</v>
      </c>
      <c r="R171" s="298">
        <v>23192353</v>
      </c>
      <c r="S171" s="298">
        <v>23192353</v>
      </c>
      <c r="T171" s="298">
        <v>23192353</v>
      </c>
      <c r="U171" s="298">
        <f>T171*5%</f>
        <v>1159617.6500000001</v>
      </c>
      <c r="V171" s="298">
        <f>T171+U171</f>
        <v>24351970.649999999</v>
      </c>
      <c r="W171" s="298">
        <v>24351970</v>
      </c>
      <c r="X171" s="298">
        <v>24351970</v>
      </c>
      <c r="Y171" s="298">
        <v>24351970</v>
      </c>
      <c r="Z171" s="298">
        <v>24351970</v>
      </c>
      <c r="AA171" s="298">
        <v>24351970</v>
      </c>
      <c r="AB171" s="298">
        <v>24351970</v>
      </c>
      <c r="AC171" s="9">
        <v>0</v>
      </c>
      <c r="AD171" s="9">
        <v>0</v>
      </c>
      <c r="AE171" s="298">
        <f>AD171+AC171+AB171</f>
        <v>24351970</v>
      </c>
      <c r="AF171" s="298">
        <v>24351970</v>
      </c>
      <c r="AG171" s="9">
        <v>0</v>
      </c>
      <c r="AH171" s="9">
        <v>0</v>
      </c>
      <c r="AI171" s="298">
        <f>AH171+AG171+AF171</f>
        <v>24351970</v>
      </c>
      <c r="AJ171" s="298">
        <v>24351970</v>
      </c>
      <c r="AK171" s="9">
        <v>0</v>
      </c>
      <c r="AL171" s="9">
        <v>0</v>
      </c>
      <c r="AM171" s="298">
        <f t="shared" ref="AM171:AM180" si="773">AL171+AK171+AJ171</f>
        <v>24351970</v>
      </c>
      <c r="AN171" s="298">
        <v>24351970</v>
      </c>
      <c r="AO171" s="9">
        <v>0</v>
      </c>
      <c r="AP171" s="9">
        <v>0</v>
      </c>
      <c r="AQ171" s="298">
        <f t="shared" ref="AQ171:AQ180" si="774">AP171+AO171+AN171</f>
        <v>24351970</v>
      </c>
      <c r="AR171" s="298">
        <v>24351970</v>
      </c>
      <c r="AS171" s="9">
        <v>0</v>
      </c>
      <c r="AT171" s="9">
        <v>0</v>
      </c>
      <c r="AU171" s="298">
        <f t="shared" ref="AU171:AU180" si="775">AT171+AS171+AR171</f>
        <v>24351970</v>
      </c>
      <c r="AV171" s="298">
        <v>24351970</v>
      </c>
      <c r="AW171" s="9">
        <v>0</v>
      </c>
      <c r="AX171" s="9">
        <v>0</v>
      </c>
      <c r="AY171" s="298">
        <f t="shared" ref="AY171:AY180" si="776">AX171+AW171+AV171</f>
        <v>24351970</v>
      </c>
      <c r="AZ171" s="8">
        <f>AY171*5%</f>
        <v>1217598.5</v>
      </c>
      <c r="BA171" s="8">
        <v>0.5</v>
      </c>
      <c r="BB171" s="8">
        <f>AZ171-BA171</f>
        <v>1217598</v>
      </c>
      <c r="BC171" s="8">
        <f>BB171+AY171</f>
        <v>25569568</v>
      </c>
      <c r="BD171" s="8"/>
      <c r="BE171" s="8">
        <f>BD171+BC171</f>
        <v>25569568</v>
      </c>
      <c r="BF171" s="10">
        <f>BE171-AY171</f>
        <v>1217598</v>
      </c>
      <c r="BG171" s="11">
        <f>BF171-BB171</f>
        <v>0</v>
      </c>
      <c r="BH171" s="319">
        <v>25569568</v>
      </c>
      <c r="BI171" s="319">
        <v>0</v>
      </c>
      <c r="BJ171" s="319">
        <v>0</v>
      </c>
      <c r="BK171" s="319">
        <f t="shared" ref="BK171:BK180" si="777">BJ171+BI171+BH171</f>
        <v>25569568</v>
      </c>
      <c r="BL171" s="319">
        <v>25569568</v>
      </c>
      <c r="BM171" s="319">
        <v>0</v>
      </c>
      <c r="BN171" s="319">
        <v>0</v>
      </c>
      <c r="BO171" s="319">
        <f t="shared" ref="BO171:BO180" si="778">BN171+BM171+BL171</f>
        <v>25569568</v>
      </c>
      <c r="BP171" s="319">
        <f>BO171-BK171</f>
        <v>0</v>
      </c>
      <c r="BQ171" s="319">
        <v>25569568</v>
      </c>
      <c r="BR171" s="319">
        <v>0</v>
      </c>
      <c r="BS171" s="319">
        <v>0</v>
      </c>
      <c r="BT171" s="319">
        <f t="shared" ref="BT171:BT180" si="779">BS171+BR171+BQ171</f>
        <v>25569568</v>
      </c>
      <c r="BU171" s="319">
        <f t="shared" ref="BU171:BU180" si="780">BT171-BO171</f>
        <v>0</v>
      </c>
      <c r="BV171" s="319">
        <v>25569568</v>
      </c>
      <c r="BW171" s="319">
        <v>0</v>
      </c>
      <c r="BX171" s="319">
        <v>0</v>
      </c>
      <c r="BY171" s="319">
        <f t="shared" ref="BY171:BY180" si="781">BX171+BW171+BV171</f>
        <v>25569568</v>
      </c>
      <c r="BZ171" s="319">
        <f t="shared" ref="BZ171:BZ180" si="782">BY171-BT171</f>
        <v>0</v>
      </c>
      <c r="CA171" s="319">
        <v>25569568</v>
      </c>
      <c r="CB171" s="319">
        <v>0</v>
      </c>
      <c r="CC171" s="319">
        <v>0</v>
      </c>
      <c r="CD171" s="319">
        <f t="shared" ref="CD171:CD180" si="783">CC171+CB171+CA171</f>
        <v>25569568</v>
      </c>
      <c r="CE171" s="319">
        <f t="shared" ref="CE171:CE180" si="784">CD171-BY171</f>
        <v>0</v>
      </c>
      <c r="CF171" s="319">
        <v>25569568</v>
      </c>
      <c r="CG171" s="319">
        <v>0</v>
      </c>
      <c r="CH171" s="319">
        <v>0</v>
      </c>
      <c r="CI171" s="319">
        <f t="shared" ref="CI171:CI180" si="785">CH171+CG171+CF171</f>
        <v>25569568</v>
      </c>
      <c r="CJ171" s="319">
        <f t="shared" ref="CJ171:CJ180" si="786">CI171-CD171</f>
        <v>0</v>
      </c>
      <c r="CK171" s="319">
        <v>25569568</v>
      </c>
      <c r="CL171" s="319">
        <v>0</v>
      </c>
      <c r="CM171" s="319">
        <v>0</v>
      </c>
      <c r="CN171" s="319">
        <f t="shared" ref="CN171:CN180" si="787">CM171+CL171+CK171</f>
        <v>25569568</v>
      </c>
      <c r="CO171" s="319">
        <f t="shared" ref="CO171:CO180" si="788">CN171-CI171</f>
        <v>0</v>
      </c>
      <c r="CP171" s="319">
        <v>25569568</v>
      </c>
      <c r="CQ171" s="319">
        <v>0</v>
      </c>
      <c r="CR171" s="319">
        <v>0</v>
      </c>
      <c r="CS171" s="319">
        <f t="shared" ref="CS171:CS180" si="789">CR171+CQ171+CP171</f>
        <v>25569568</v>
      </c>
      <c r="CT171" s="319">
        <f t="shared" ref="CT171:CT180" si="790">CS171-CN171</f>
        <v>0</v>
      </c>
      <c r="CU171" s="319">
        <v>25569568</v>
      </c>
      <c r="CV171" s="319">
        <v>0</v>
      </c>
      <c r="CW171" s="319">
        <v>0</v>
      </c>
      <c r="CX171" s="319">
        <f t="shared" ref="CX171:CX180" si="791">CW171+CV171+CU171</f>
        <v>25569568</v>
      </c>
      <c r="CY171" s="319">
        <f t="shared" ref="CY171:CY180" si="792">CX171-CS171</f>
        <v>0</v>
      </c>
      <c r="CZ171" s="319"/>
      <c r="DA171" s="319"/>
      <c r="DB171" s="319"/>
      <c r="DC171" s="12">
        <f>CX171*10%</f>
        <v>2556956.8000000003</v>
      </c>
      <c r="DD171" s="12">
        <v>0.8</v>
      </c>
      <c r="DE171" s="13">
        <f>DC171-DD171</f>
        <v>2556956.0000000005</v>
      </c>
      <c r="DF171" s="14">
        <f t="shared" ref="DF171:DF180" si="793">DE171:DE171</f>
        <v>2556956.0000000005</v>
      </c>
      <c r="DG171" s="13">
        <f t="shared" ref="DG171:DG180" si="794">DE171+CX171</f>
        <v>28126524</v>
      </c>
      <c r="DH171" s="15">
        <f t="shared" ref="DH171:DH180" si="795">100/1278396949*CX171</f>
        <v>2.0001274267747018</v>
      </c>
      <c r="DI171" s="16">
        <f t="shared" ref="DI171:DI180" si="796">CX171</f>
        <v>25569568</v>
      </c>
      <c r="DJ171" s="132">
        <f>DI171*1.1</f>
        <v>28126524.800000001</v>
      </c>
      <c r="DK171" s="17">
        <f>DJ171-DI171</f>
        <v>2556956.8000000007</v>
      </c>
      <c r="DL171" s="17">
        <f t="shared" ref="DL171:DL180" si="797">DD171</f>
        <v>0.8</v>
      </c>
      <c r="DM171" s="16">
        <f>DK171-DL171</f>
        <v>2556956.0000000009</v>
      </c>
      <c r="DN171" s="16">
        <f t="shared" ref="DN171:DN180" si="798">DM171-DE171</f>
        <v>0</v>
      </c>
      <c r="DO171" s="16">
        <f>DM171+DI171</f>
        <v>28126524</v>
      </c>
      <c r="DP171" s="16">
        <f t="shared" ref="DP171:DP180" si="799">DO171-DG171</f>
        <v>0</v>
      </c>
      <c r="DQ171" s="9">
        <v>28126524</v>
      </c>
      <c r="DR171" s="18" t="s">
        <v>238</v>
      </c>
      <c r="DS171" s="18" t="s">
        <v>238</v>
      </c>
      <c r="DT171" s="324">
        <f>DQ171+DR171+DS171</f>
        <v>28126524</v>
      </c>
      <c r="DU171" s="321">
        <f>DT171</f>
        <v>28126524</v>
      </c>
      <c r="DV171" s="19">
        <f>DT171-DG171</f>
        <v>0</v>
      </c>
      <c r="DW171" s="9">
        <v>24771365</v>
      </c>
      <c r="DX171" s="18"/>
      <c r="DY171" s="18"/>
      <c r="DZ171" s="324">
        <f>DW171+DX171+DY171</f>
        <v>24771365</v>
      </c>
      <c r="EA171" s="321">
        <f>DZ171</f>
        <v>24771365</v>
      </c>
      <c r="EB171" s="22">
        <f t="shared" ref="EB171:EB180" si="800">DZ171-DT171</f>
        <v>-3355159</v>
      </c>
      <c r="EC171" s="9">
        <v>23496161</v>
      </c>
      <c r="ED171" s="18" t="s">
        <v>238</v>
      </c>
      <c r="EE171" s="18" t="s">
        <v>238</v>
      </c>
      <c r="EF171" s="324">
        <f>EC171+ED171+EE171</f>
        <v>23496161</v>
      </c>
      <c r="EG171" s="321">
        <f>EF171</f>
        <v>23496161</v>
      </c>
      <c r="EH171" s="22">
        <f t="shared" ref="EH171:EH180" si="801">EF171-DZ171</f>
        <v>-1275204</v>
      </c>
      <c r="EI171" s="9">
        <v>23496161</v>
      </c>
      <c r="EJ171" s="18" t="s">
        <v>238</v>
      </c>
      <c r="EK171" s="18" t="s">
        <v>238</v>
      </c>
      <c r="EL171" s="324">
        <f>EI171+EJ171+EK171</f>
        <v>23496161</v>
      </c>
      <c r="EM171" s="321">
        <f>EL171</f>
        <v>23496161</v>
      </c>
      <c r="EN171" s="179">
        <f t="shared" ref="EN171:EN180" si="802">EL171-EF171</f>
        <v>0</v>
      </c>
      <c r="EO171" s="9">
        <v>23496161</v>
      </c>
      <c r="EP171" s="18" t="s">
        <v>238</v>
      </c>
      <c r="EQ171" s="18" t="s">
        <v>238</v>
      </c>
      <c r="ER171" s="324">
        <f>EO171+EP171+EQ171</f>
        <v>23496161</v>
      </c>
      <c r="ES171" s="321">
        <f>ER171</f>
        <v>23496161</v>
      </c>
      <c r="ET171" s="179">
        <f t="shared" ref="ET171:ET180" si="803">ER171-EL171</f>
        <v>0</v>
      </c>
      <c r="EU171" s="9">
        <v>23496161</v>
      </c>
      <c r="EV171" s="18" t="s">
        <v>238</v>
      </c>
      <c r="EW171" s="18" t="s">
        <v>238</v>
      </c>
      <c r="EX171" s="324">
        <f>EU171+EV171+EW171</f>
        <v>23496161</v>
      </c>
      <c r="EY171" s="321">
        <f>EX171</f>
        <v>23496161</v>
      </c>
      <c r="EZ171" s="179">
        <f t="shared" ref="EZ171:EZ180" si="804">EX171-ER171</f>
        <v>0</v>
      </c>
      <c r="FA171" s="9">
        <v>23496161</v>
      </c>
      <c r="FB171" s="18" t="s">
        <v>238</v>
      </c>
      <c r="FC171" s="18" t="s">
        <v>238</v>
      </c>
      <c r="FD171" s="324">
        <f>FA171+FB171+FC171</f>
        <v>23496161</v>
      </c>
      <c r="FE171" s="321">
        <f>FD171</f>
        <v>23496161</v>
      </c>
      <c r="FF171" s="179">
        <f t="shared" ref="FF171:FF180" si="805">FD171-EX171</f>
        <v>0</v>
      </c>
      <c r="FG171" s="9">
        <v>23496161</v>
      </c>
      <c r="FH171" s="18" t="s">
        <v>238</v>
      </c>
      <c r="FI171" s="18" t="s">
        <v>238</v>
      </c>
      <c r="FJ171" s="324">
        <f>FG171+FH171+FI171</f>
        <v>23496161</v>
      </c>
      <c r="FK171" s="321">
        <f>FJ171</f>
        <v>23496161</v>
      </c>
      <c r="FL171" s="179">
        <f t="shared" ref="FL171:FL180" si="806">FJ171-FD171</f>
        <v>0</v>
      </c>
      <c r="FM171" s="9">
        <v>23496161</v>
      </c>
      <c r="FN171" s="18" t="s">
        <v>238</v>
      </c>
      <c r="FO171" s="18" t="s">
        <v>238</v>
      </c>
      <c r="FP171" s="324">
        <f>FM171+FN171+FO171</f>
        <v>23496161</v>
      </c>
      <c r="FQ171" s="321">
        <f>FP171</f>
        <v>23496161</v>
      </c>
      <c r="FR171" s="179">
        <f t="shared" ref="FR171:FR180" si="807">FP171-FJ171</f>
        <v>0</v>
      </c>
      <c r="FS171" s="9">
        <v>23496161</v>
      </c>
      <c r="FT171" s="18" t="s">
        <v>238</v>
      </c>
      <c r="FU171" s="18" t="s">
        <v>238</v>
      </c>
      <c r="FV171" s="324">
        <f>FS171+FT171+FU171</f>
        <v>23496161</v>
      </c>
      <c r="FW171" s="321">
        <f>FV171</f>
        <v>23496161</v>
      </c>
      <c r="FX171" s="179">
        <f t="shared" ref="FX171:FX180" si="808">FV171-FP171</f>
        <v>0</v>
      </c>
      <c r="FY171" s="9">
        <v>23496161</v>
      </c>
      <c r="FZ171" s="18" t="s">
        <v>238</v>
      </c>
      <c r="GA171" s="18" t="s">
        <v>238</v>
      </c>
      <c r="GB171" s="324">
        <f>FY171+FZ171+GA171</f>
        <v>23496161</v>
      </c>
      <c r="GC171" s="321">
        <f>GB171</f>
        <v>23496161</v>
      </c>
      <c r="GD171" s="179">
        <f t="shared" ref="GD171:GD180" si="809">GB171-FV171</f>
        <v>0</v>
      </c>
      <c r="GE171" s="9">
        <v>23496161</v>
      </c>
      <c r="GF171" s="18" t="s">
        <v>238</v>
      </c>
      <c r="GG171" s="18" t="s">
        <v>238</v>
      </c>
      <c r="GH171" s="324">
        <f>GE171+GF171+GG171</f>
        <v>23496161</v>
      </c>
      <c r="GI171" s="321">
        <f>GH171</f>
        <v>23496161</v>
      </c>
      <c r="GJ171" s="179">
        <f t="shared" ref="GJ171:GJ180" si="810">GH171-GB171</f>
        <v>0</v>
      </c>
      <c r="GK171" s="9">
        <v>23496161</v>
      </c>
      <c r="GL171" s="18" t="s">
        <v>238</v>
      </c>
      <c r="GM171" s="18" t="s">
        <v>238</v>
      </c>
      <c r="GN171" s="324">
        <f>GK171+GL171+GM171</f>
        <v>23496161</v>
      </c>
      <c r="GO171" s="321">
        <f>GN171</f>
        <v>23496161</v>
      </c>
      <c r="GP171" s="179">
        <f t="shared" ref="GP171:GP180" si="811">GN171-GH171</f>
        <v>0</v>
      </c>
      <c r="GQ171" s="9">
        <v>23496161</v>
      </c>
      <c r="GR171" s="18" t="s">
        <v>238</v>
      </c>
      <c r="GS171" s="18" t="s">
        <v>238</v>
      </c>
      <c r="GT171" s="324">
        <f>GQ171+GR171+GS171</f>
        <v>23496161</v>
      </c>
      <c r="GU171" s="321">
        <f>GT171</f>
        <v>23496161</v>
      </c>
      <c r="GV171" s="179">
        <f t="shared" ref="GV171:GV180" si="812">GT171-GN171</f>
        <v>0</v>
      </c>
      <c r="GW171" s="9">
        <v>24670969</v>
      </c>
      <c r="GX171" s="18" t="s">
        <v>238</v>
      </c>
      <c r="GY171" s="18" t="s">
        <v>238</v>
      </c>
      <c r="GZ171" s="324">
        <f>GW171+GX171+GY171</f>
        <v>24670969</v>
      </c>
      <c r="HA171" s="321">
        <f>GZ171</f>
        <v>24670969</v>
      </c>
      <c r="HB171" s="179">
        <f t="shared" ref="HB171:HB180" si="813">GZ171-GT171</f>
        <v>1174808</v>
      </c>
      <c r="HC171" s="102">
        <f t="shared" ref="HC171:HC180" si="814">100/1406236643.9*GT171</f>
        <v>1.6708539847771775</v>
      </c>
      <c r="HD171" s="285">
        <f>HB171-HO171</f>
        <v>0</v>
      </c>
      <c r="HE171" s="12">
        <f>GT171*0.05</f>
        <v>1174808.05</v>
      </c>
      <c r="HF171" s="12">
        <f>IF(ISNUMBER($HE171), $HE171-INT($HE171), "")</f>
        <v>5.0000000046566129E-2</v>
      </c>
      <c r="HG171" s="12">
        <f>HE171-HF171</f>
        <v>1174808</v>
      </c>
      <c r="HH171" s="14">
        <f>HG171:HG171</f>
        <v>1174808</v>
      </c>
      <c r="HI171" s="13">
        <f>HG171+GT171</f>
        <v>24670969</v>
      </c>
      <c r="HJ171" s="102">
        <f>100/1406236643.9*HI171</f>
        <v>1.7543966804604472</v>
      </c>
      <c r="HK171" s="16">
        <f>GT171</f>
        <v>23496161</v>
      </c>
      <c r="HL171" s="103">
        <f>HK171*1.05</f>
        <v>24670969.050000001</v>
      </c>
      <c r="HM171" s="103">
        <f>HL171-HK171</f>
        <v>1174808.0500000007</v>
      </c>
      <c r="HN171" s="17">
        <f>HF171</f>
        <v>5.0000000046566129E-2</v>
      </c>
      <c r="HO171" s="56">
        <f>HM171-HN171</f>
        <v>1174808.0000000007</v>
      </c>
      <c r="HP171" s="16">
        <f>HO171-HG171</f>
        <v>0</v>
      </c>
      <c r="HQ171" s="16">
        <f>HO171+HK171</f>
        <v>24670969</v>
      </c>
      <c r="HR171" s="16">
        <f>HQ171-HI171</f>
        <v>0</v>
      </c>
    </row>
    <row r="172" spans="1:226" x14ac:dyDescent="0.3">
      <c r="A172" s="297">
        <v>2</v>
      </c>
      <c r="B172" s="131" t="s">
        <v>436</v>
      </c>
      <c r="C172" s="297" t="s">
        <v>329</v>
      </c>
      <c r="D172" s="192" t="s">
        <v>118</v>
      </c>
      <c r="E172" s="9"/>
      <c r="F172" s="9"/>
      <c r="G172" s="9"/>
      <c r="H172" s="324"/>
      <c r="I172" s="324">
        <v>34</v>
      </c>
      <c r="J172" s="324"/>
      <c r="K172" s="324"/>
      <c r="L172" s="324">
        <v>34</v>
      </c>
      <c r="M172" s="23">
        <v>34</v>
      </c>
      <c r="N172" s="23">
        <v>34</v>
      </c>
      <c r="O172" s="298">
        <v>34</v>
      </c>
      <c r="P172" s="298">
        <v>34</v>
      </c>
      <c r="Q172" s="298">
        <v>34</v>
      </c>
      <c r="R172" s="298">
        <v>34</v>
      </c>
      <c r="S172" s="298">
        <v>34</v>
      </c>
      <c r="T172" s="298">
        <v>34</v>
      </c>
      <c r="U172" s="298">
        <f>T172*5%</f>
        <v>1.7000000000000002</v>
      </c>
      <c r="V172" s="298">
        <f>T172+U172</f>
        <v>35.700000000000003</v>
      </c>
      <c r="W172" s="298">
        <v>35</v>
      </c>
      <c r="X172" s="298">
        <v>35</v>
      </c>
      <c r="Y172" s="298">
        <v>35</v>
      </c>
      <c r="Z172" s="298">
        <v>35</v>
      </c>
      <c r="AA172" s="298">
        <v>35</v>
      </c>
      <c r="AB172" s="298">
        <v>35</v>
      </c>
      <c r="AC172" s="9">
        <v>0</v>
      </c>
      <c r="AD172" s="9">
        <v>0</v>
      </c>
      <c r="AE172" s="298">
        <f>AD172+AC172+AB172</f>
        <v>35</v>
      </c>
      <c r="AF172" s="298">
        <v>35</v>
      </c>
      <c r="AG172" s="9">
        <v>0</v>
      </c>
      <c r="AH172" s="9">
        <v>0</v>
      </c>
      <c r="AI172" s="298">
        <f>AH172+AG172+AF172</f>
        <v>35</v>
      </c>
      <c r="AJ172" s="298">
        <v>35</v>
      </c>
      <c r="AK172" s="9">
        <v>0</v>
      </c>
      <c r="AL172" s="9">
        <v>0</v>
      </c>
      <c r="AM172" s="298">
        <f>AL172+AK172+AJ172</f>
        <v>35</v>
      </c>
      <c r="AN172" s="298">
        <v>35</v>
      </c>
      <c r="AO172" s="9">
        <v>0</v>
      </c>
      <c r="AP172" s="9">
        <v>0</v>
      </c>
      <c r="AQ172" s="298">
        <f>AP172+AO172+AN172</f>
        <v>35</v>
      </c>
      <c r="AR172" s="298">
        <v>35</v>
      </c>
      <c r="AS172" s="9">
        <v>0</v>
      </c>
      <c r="AT172" s="9">
        <v>0</v>
      </c>
      <c r="AU172" s="298">
        <f>AT172+AS172+AR172</f>
        <v>35</v>
      </c>
      <c r="AV172" s="298">
        <v>35</v>
      </c>
      <c r="AW172" s="9">
        <v>0</v>
      </c>
      <c r="AX172" s="9">
        <v>0</v>
      </c>
      <c r="AY172" s="298">
        <f>AX172+AW172+AV172</f>
        <v>35</v>
      </c>
      <c r="AZ172" s="8">
        <f t="shared" ref="AZ172:AZ180" si="815">AY172*5%</f>
        <v>1.75</v>
      </c>
      <c r="BA172" s="8">
        <v>0.75</v>
      </c>
      <c r="BB172" s="8">
        <f t="shared" ref="BB172:BB180" si="816">AZ172-BA172</f>
        <v>1</v>
      </c>
      <c r="BC172" s="8">
        <f t="shared" ref="BC172:BC180" si="817">BB172+AY172</f>
        <v>36</v>
      </c>
      <c r="BD172" s="8"/>
      <c r="BE172" s="8">
        <f t="shared" ref="BE172:BE180" si="818">BD172+BC172</f>
        <v>36</v>
      </c>
      <c r="BF172" s="10">
        <f t="shared" ref="BF172:BF180" si="819">BE172-AY172</f>
        <v>1</v>
      </c>
      <c r="BG172" s="11">
        <f t="shared" ref="BG172:BG180" si="820">BF172-BB172</f>
        <v>0</v>
      </c>
      <c r="BH172" s="319">
        <v>36</v>
      </c>
      <c r="BI172" s="319">
        <v>0</v>
      </c>
      <c r="BJ172" s="319">
        <v>0</v>
      </c>
      <c r="BK172" s="319">
        <f t="shared" si="777"/>
        <v>36</v>
      </c>
      <c r="BL172" s="319">
        <v>36</v>
      </c>
      <c r="BM172" s="319">
        <v>0</v>
      </c>
      <c r="BN172" s="319">
        <v>0</v>
      </c>
      <c r="BO172" s="319">
        <f t="shared" si="778"/>
        <v>36</v>
      </c>
      <c r="BP172" s="319">
        <f t="shared" ref="BP172:BP180" si="821">BO172-BK172</f>
        <v>0</v>
      </c>
      <c r="BQ172" s="319">
        <v>36</v>
      </c>
      <c r="BR172" s="319">
        <v>0</v>
      </c>
      <c r="BS172" s="319">
        <v>0</v>
      </c>
      <c r="BT172" s="319">
        <f t="shared" si="779"/>
        <v>36</v>
      </c>
      <c r="BU172" s="319">
        <f t="shared" si="780"/>
        <v>0</v>
      </c>
      <c r="BV172" s="319">
        <v>36</v>
      </c>
      <c r="BW172" s="319">
        <v>0</v>
      </c>
      <c r="BX172" s="319">
        <v>0</v>
      </c>
      <c r="BY172" s="319">
        <f t="shared" si="781"/>
        <v>36</v>
      </c>
      <c r="BZ172" s="319">
        <f t="shared" si="782"/>
        <v>0</v>
      </c>
      <c r="CA172" s="319">
        <v>36</v>
      </c>
      <c r="CB172" s="319">
        <v>0</v>
      </c>
      <c r="CC172" s="319">
        <v>0</v>
      </c>
      <c r="CD172" s="319">
        <f t="shared" si="783"/>
        <v>36</v>
      </c>
      <c r="CE172" s="319">
        <f t="shared" si="784"/>
        <v>0</v>
      </c>
      <c r="CF172" s="319">
        <v>36</v>
      </c>
      <c r="CG172" s="319">
        <v>0</v>
      </c>
      <c r="CH172" s="319">
        <v>0</v>
      </c>
      <c r="CI172" s="319">
        <f t="shared" si="785"/>
        <v>36</v>
      </c>
      <c r="CJ172" s="319">
        <f t="shared" si="786"/>
        <v>0</v>
      </c>
      <c r="CK172" s="319">
        <v>36</v>
      </c>
      <c r="CL172" s="319">
        <v>0</v>
      </c>
      <c r="CM172" s="319">
        <v>0</v>
      </c>
      <c r="CN172" s="319">
        <f t="shared" si="787"/>
        <v>36</v>
      </c>
      <c r="CO172" s="319">
        <f t="shared" si="788"/>
        <v>0</v>
      </c>
      <c r="CP172" s="319">
        <v>36</v>
      </c>
      <c r="CQ172" s="319">
        <v>0</v>
      </c>
      <c r="CR172" s="319">
        <v>0</v>
      </c>
      <c r="CS172" s="319">
        <f t="shared" si="789"/>
        <v>36</v>
      </c>
      <c r="CT172" s="319">
        <f t="shared" si="790"/>
        <v>0</v>
      </c>
      <c r="CU172" s="319">
        <v>36</v>
      </c>
      <c r="CV172" s="319">
        <v>0</v>
      </c>
      <c r="CW172" s="319">
        <v>0</v>
      </c>
      <c r="CX172" s="319">
        <f t="shared" si="791"/>
        <v>36</v>
      </c>
      <c r="CY172" s="319">
        <f t="shared" si="792"/>
        <v>0</v>
      </c>
      <c r="CZ172" s="319"/>
      <c r="DA172" s="319"/>
      <c r="DB172" s="319"/>
      <c r="DC172" s="12">
        <f t="shared" ref="DC172:DC180" si="822">CX172*10%</f>
        <v>3.6</v>
      </c>
      <c r="DD172" s="12">
        <v>0.6</v>
      </c>
      <c r="DE172" s="13">
        <f t="shared" ref="DE172:DE180" si="823">DC172-DD172</f>
        <v>3</v>
      </c>
      <c r="DF172" s="14">
        <f t="shared" si="793"/>
        <v>3</v>
      </c>
      <c r="DG172" s="13">
        <f t="shared" si="794"/>
        <v>39</v>
      </c>
      <c r="DH172" s="15">
        <f t="shared" si="795"/>
        <v>2.8160267456958703E-6</v>
      </c>
      <c r="DI172" s="16">
        <f t="shared" si="796"/>
        <v>36</v>
      </c>
      <c r="DJ172" s="132">
        <f t="shared" ref="DJ172:DJ180" si="824">DI172*1.1</f>
        <v>39.6</v>
      </c>
      <c r="DK172" s="17">
        <f t="shared" ref="DK172:DK180" si="825">DJ172-DI172</f>
        <v>3.6000000000000014</v>
      </c>
      <c r="DL172" s="17">
        <f t="shared" si="797"/>
        <v>0.6</v>
      </c>
      <c r="DM172" s="16">
        <f t="shared" ref="DM172:DM180" si="826">DK172-DL172</f>
        <v>3.0000000000000013</v>
      </c>
      <c r="DN172" s="16">
        <f t="shared" si="798"/>
        <v>0</v>
      </c>
      <c r="DO172" s="16">
        <f t="shared" ref="DO172:DO180" si="827">DM172+DI172</f>
        <v>39</v>
      </c>
      <c r="DP172" s="16">
        <f t="shared" si="799"/>
        <v>0</v>
      </c>
      <c r="DQ172" s="9">
        <v>39</v>
      </c>
      <c r="DR172" s="18" t="s">
        <v>238</v>
      </c>
      <c r="DS172" s="18" t="s">
        <v>238</v>
      </c>
      <c r="DT172" s="324">
        <f t="shared" ref="DT172:DT180" si="828">DQ172+DR172+DS172</f>
        <v>39</v>
      </c>
      <c r="DU172" s="321">
        <f t="shared" ref="DU172:DU180" si="829">DT172</f>
        <v>39</v>
      </c>
      <c r="DV172" s="19">
        <f t="shared" ref="DV172:DV180" si="830">DT172-DG172</f>
        <v>0</v>
      </c>
      <c r="DW172" s="9">
        <v>39</v>
      </c>
      <c r="DX172" s="18"/>
      <c r="DY172" s="18"/>
      <c r="DZ172" s="324">
        <f t="shared" ref="DZ172:DZ180" si="831">DW172+DX172+DY172</f>
        <v>39</v>
      </c>
      <c r="EA172" s="321">
        <f t="shared" ref="EA172:EA180" si="832">DZ172</f>
        <v>39</v>
      </c>
      <c r="EB172" s="179">
        <f t="shared" si="800"/>
        <v>0</v>
      </c>
      <c r="EC172" s="9">
        <v>39</v>
      </c>
      <c r="ED172" s="18" t="s">
        <v>238</v>
      </c>
      <c r="EE172" s="18" t="s">
        <v>238</v>
      </c>
      <c r="EF172" s="324">
        <f t="shared" ref="EF172:EF180" si="833">EC172+ED172+EE172</f>
        <v>39</v>
      </c>
      <c r="EG172" s="321">
        <f t="shared" ref="EG172:EG180" si="834">EF172</f>
        <v>39</v>
      </c>
      <c r="EH172" s="179">
        <f t="shared" si="801"/>
        <v>0</v>
      </c>
      <c r="EI172" s="9">
        <v>39</v>
      </c>
      <c r="EJ172" s="18" t="s">
        <v>238</v>
      </c>
      <c r="EK172" s="18" t="s">
        <v>238</v>
      </c>
      <c r="EL172" s="324">
        <f t="shared" ref="EL172:EL180" si="835">EI172+EJ172+EK172</f>
        <v>39</v>
      </c>
      <c r="EM172" s="321">
        <f t="shared" ref="EM172:EM180" si="836">EL172</f>
        <v>39</v>
      </c>
      <c r="EN172" s="179">
        <f t="shared" si="802"/>
        <v>0</v>
      </c>
      <c r="EO172" s="9">
        <v>39</v>
      </c>
      <c r="EP172" s="18" t="s">
        <v>238</v>
      </c>
      <c r="EQ172" s="18" t="s">
        <v>238</v>
      </c>
      <c r="ER172" s="324">
        <f t="shared" ref="ER172:ER180" si="837">EO172+EP172+EQ172</f>
        <v>39</v>
      </c>
      <c r="ES172" s="321">
        <f t="shared" ref="ES172:ES180" si="838">ER172</f>
        <v>39</v>
      </c>
      <c r="ET172" s="179">
        <f t="shared" si="803"/>
        <v>0</v>
      </c>
      <c r="EU172" s="9">
        <v>39</v>
      </c>
      <c r="EV172" s="18" t="s">
        <v>238</v>
      </c>
      <c r="EW172" s="18" t="s">
        <v>238</v>
      </c>
      <c r="EX172" s="324">
        <f t="shared" ref="EX172:EX180" si="839">EU172+EV172+EW172</f>
        <v>39</v>
      </c>
      <c r="EY172" s="321">
        <f t="shared" ref="EY172:EY180" si="840">EX172</f>
        <v>39</v>
      </c>
      <c r="EZ172" s="179">
        <f t="shared" si="804"/>
        <v>0</v>
      </c>
      <c r="FA172" s="9">
        <v>39</v>
      </c>
      <c r="FB172" s="18" t="s">
        <v>238</v>
      </c>
      <c r="FC172" s="18" t="s">
        <v>238</v>
      </c>
      <c r="FD172" s="324">
        <f t="shared" ref="FD172:FD180" si="841">FA172+FB172+FC172</f>
        <v>39</v>
      </c>
      <c r="FE172" s="321">
        <f t="shared" ref="FE172:FE180" si="842">FD172</f>
        <v>39</v>
      </c>
      <c r="FF172" s="179">
        <f t="shared" si="805"/>
        <v>0</v>
      </c>
      <c r="FG172" s="9">
        <v>39</v>
      </c>
      <c r="FH172" s="18" t="s">
        <v>238</v>
      </c>
      <c r="FI172" s="18" t="s">
        <v>238</v>
      </c>
      <c r="FJ172" s="324">
        <f t="shared" ref="FJ172:FJ180" si="843">FG172+FH172+FI172</f>
        <v>39</v>
      </c>
      <c r="FK172" s="321">
        <f t="shared" ref="FK172:FK180" si="844">FJ172</f>
        <v>39</v>
      </c>
      <c r="FL172" s="179">
        <f t="shared" si="806"/>
        <v>0</v>
      </c>
      <c r="FM172" s="9">
        <v>39</v>
      </c>
      <c r="FN172" s="18" t="s">
        <v>238</v>
      </c>
      <c r="FO172" s="18" t="s">
        <v>238</v>
      </c>
      <c r="FP172" s="324">
        <f t="shared" ref="FP172:FP180" si="845">FM172+FN172+FO172</f>
        <v>39</v>
      </c>
      <c r="FQ172" s="321">
        <f t="shared" ref="FQ172:FQ180" si="846">FP172</f>
        <v>39</v>
      </c>
      <c r="FR172" s="179">
        <f t="shared" si="807"/>
        <v>0</v>
      </c>
      <c r="FS172" s="9">
        <v>39</v>
      </c>
      <c r="FT172" s="18" t="s">
        <v>238</v>
      </c>
      <c r="FU172" s="18" t="s">
        <v>238</v>
      </c>
      <c r="FV172" s="324">
        <f t="shared" ref="FV172:FV180" si="847">FS172+FT172+FU172</f>
        <v>39</v>
      </c>
      <c r="FW172" s="321">
        <f t="shared" ref="FW172:FW180" si="848">FV172</f>
        <v>39</v>
      </c>
      <c r="FX172" s="179">
        <f t="shared" si="808"/>
        <v>0</v>
      </c>
      <c r="FY172" s="9">
        <v>39</v>
      </c>
      <c r="FZ172" s="18" t="s">
        <v>238</v>
      </c>
      <c r="GA172" s="18" t="s">
        <v>238</v>
      </c>
      <c r="GB172" s="324">
        <f t="shared" ref="GB172:GB180" si="849">FY172+FZ172+GA172</f>
        <v>39</v>
      </c>
      <c r="GC172" s="321">
        <f t="shared" ref="GC172:GC180" si="850">GB172</f>
        <v>39</v>
      </c>
      <c r="GD172" s="179">
        <f t="shared" si="809"/>
        <v>0</v>
      </c>
      <c r="GE172" s="9">
        <v>39</v>
      </c>
      <c r="GF172" s="18" t="s">
        <v>238</v>
      </c>
      <c r="GG172" s="18" t="s">
        <v>238</v>
      </c>
      <c r="GH172" s="324">
        <f t="shared" ref="GH172:GH180" si="851">GE172+GF172+GG172</f>
        <v>39</v>
      </c>
      <c r="GI172" s="321">
        <f t="shared" ref="GI172:GI180" si="852">GH172</f>
        <v>39</v>
      </c>
      <c r="GJ172" s="179">
        <f t="shared" si="810"/>
        <v>0</v>
      </c>
      <c r="GK172" s="9">
        <v>39</v>
      </c>
      <c r="GL172" s="18" t="s">
        <v>238</v>
      </c>
      <c r="GM172" s="18" t="s">
        <v>238</v>
      </c>
      <c r="GN172" s="324">
        <f t="shared" ref="GN172:GN180" si="853">GK172+GL172+GM172</f>
        <v>39</v>
      </c>
      <c r="GO172" s="321">
        <f t="shared" ref="GO172:GO180" si="854">GN172</f>
        <v>39</v>
      </c>
      <c r="GP172" s="179">
        <f t="shared" si="811"/>
        <v>0</v>
      </c>
      <c r="GQ172" s="9">
        <v>39</v>
      </c>
      <c r="GR172" s="18" t="s">
        <v>238</v>
      </c>
      <c r="GS172" s="18" t="s">
        <v>238</v>
      </c>
      <c r="GT172" s="324">
        <f t="shared" ref="GT172:GT180" si="855">GQ172+GR172+GS172</f>
        <v>39</v>
      </c>
      <c r="GU172" s="321">
        <f t="shared" ref="GU172:GU180" si="856">GT172</f>
        <v>39</v>
      </c>
      <c r="GV172" s="179">
        <f t="shared" si="812"/>
        <v>0</v>
      </c>
      <c r="GW172" s="9">
        <v>40</v>
      </c>
      <c r="GX172" s="18" t="s">
        <v>238</v>
      </c>
      <c r="GY172" s="18" t="s">
        <v>238</v>
      </c>
      <c r="GZ172" s="324">
        <f t="shared" ref="GZ172:GZ180" si="857">GW172+GX172+GY172</f>
        <v>40</v>
      </c>
      <c r="HA172" s="321">
        <f t="shared" ref="HA172:HA180" si="858">GZ172</f>
        <v>40</v>
      </c>
      <c r="HB172" s="179">
        <f t="shared" si="813"/>
        <v>1</v>
      </c>
      <c r="HC172" s="102">
        <f t="shared" si="814"/>
        <v>2.7733596737913877E-6</v>
      </c>
      <c r="HD172" s="285">
        <f t="shared" ref="HD172:HD180" si="859">HB172-HO172</f>
        <v>-2.6645352591003757E-15</v>
      </c>
      <c r="HE172" s="12">
        <f t="shared" ref="HE172:HE180" si="860">GT172*0.05</f>
        <v>1.9500000000000002</v>
      </c>
      <c r="HF172" s="12">
        <f t="shared" ref="HF172:HF180" si="861">IF(ISNUMBER($HE172), $HE172-INT($HE172), "")</f>
        <v>0.95000000000000018</v>
      </c>
      <c r="HG172" s="12">
        <f t="shared" ref="HG172:HG180" si="862">HE172-HF172</f>
        <v>1</v>
      </c>
      <c r="HH172" s="14">
        <f t="shared" ref="HH172:HH180" si="863">HG172:HG172</f>
        <v>1</v>
      </c>
      <c r="HI172" s="13">
        <f t="shared" ref="HI172:HI180" si="864">HG172+GT172</f>
        <v>40</v>
      </c>
      <c r="HJ172" s="102">
        <f t="shared" ref="HJ172:HJ180" si="865">100/1406236643.9*HI172</f>
        <v>2.8444714602988593E-6</v>
      </c>
      <c r="HK172" s="16">
        <f t="shared" ref="HK172:HK180" si="866">GT172</f>
        <v>39</v>
      </c>
      <c r="HL172" s="103">
        <f t="shared" ref="HL172:HL180" si="867">HK172*1.05</f>
        <v>40.950000000000003</v>
      </c>
      <c r="HM172" s="103">
        <f t="shared" ref="HM172:HM180" si="868">HL172-HK172</f>
        <v>1.9500000000000028</v>
      </c>
      <c r="HN172" s="17">
        <f t="shared" ref="HN172:HN180" si="869">HF172</f>
        <v>0.95000000000000018</v>
      </c>
      <c r="HO172" s="56">
        <f t="shared" ref="HO172:HO180" si="870">HM172-HN172</f>
        <v>1.0000000000000027</v>
      </c>
      <c r="HP172" s="16">
        <f t="shared" ref="HP172:HP180" si="871">HO172-HG172</f>
        <v>2.6645352591003757E-15</v>
      </c>
      <c r="HQ172" s="16">
        <f t="shared" ref="HQ172:HQ180" si="872">HO172+HK172</f>
        <v>40</v>
      </c>
      <c r="HR172" s="16">
        <f t="shared" ref="HR172:HR180" si="873">HQ172-HI172</f>
        <v>0</v>
      </c>
    </row>
    <row r="173" spans="1:226" ht="10.8" thickBot="1" x14ac:dyDescent="0.35">
      <c r="A173" s="296">
        <v>3</v>
      </c>
      <c r="B173" s="188" t="s">
        <v>109</v>
      </c>
      <c r="C173" s="296" t="s">
        <v>286</v>
      </c>
      <c r="D173" s="191" t="s">
        <v>110</v>
      </c>
      <c r="E173" s="9"/>
      <c r="F173" s="9"/>
      <c r="G173" s="9"/>
      <c r="H173" s="324"/>
      <c r="I173" s="324">
        <v>19</v>
      </c>
      <c r="J173" s="324"/>
      <c r="K173" s="324"/>
      <c r="L173" s="324">
        <v>19</v>
      </c>
      <c r="M173" s="23">
        <v>19</v>
      </c>
      <c r="N173" s="23">
        <v>19</v>
      </c>
      <c r="O173" s="298">
        <v>19</v>
      </c>
      <c r="P173" s="298">
        <v>19</v>
      </c>
      <c r="Q173" s="298">
        <v>19</v>
      </c>
      <c r="R173" s="298">
        <v>19</v>
      </c>
      <c r="S173" s="298">
        <v>19</v>
      </c>
      <c r="T173" s="298">
        <v>19</v>
      </c>
      <c r="U173" s="298">
        <f t="shared" ref="U173:U180" si="874">T173*5%</f>
        <v>0.95000000000000007</v>
      </c>
      <c r="V173" s="298">
        <f t="shared" ref="V173:V180" si="875">T173+U173</f>
        <v>19.95</v>
      </c>
      <c r="W173" s="298">
        <v>19</v>
      </c>
      <c r="X173" s="298">
        <v>19</v>
      </c>
      <c r="Y173" s="298">
        <v>19</v>
      </c>
      <c r="Z173" s="298">
        <v>19</v>
      </c>
      <c r="AA173" s="298">
        <v>19</v>
      </c>
      <c r="AB173" s="298">
        <v>19</v>
      </c>
      <c r="AC173" s="9">
        <v>0</v>
      </c>
      <c r="AD173" s="9">
        <v>0</v>
      </c>
      <c r="AE173" s="298">
        <f t="shared" ref="AE173:AE180" si="876">AD173+AC173+AB173</f>
        <v>19</v>
      </c>
      <c r="AF173" s="298">
        <v>19</v>
      </c>
      <c r="AG173" s="9">
        <v>0</v>
      </c>
      <c r="AH173" s="9">
        <v>0</v>
      </c>
      <c r="AI173" s="298">
        <f t="shared" ref="AI173:AI180" si="877">AH173+AG173+AF173</f>
        <v>19</v>
      </c>
      <c r="AJ173" s="298">
        <v>19</v>
      </c>
      <c r="AK173" s="9">
        <v>0</v>
      </c>
      <c r="AL173" s="9">
        <v>0</v>
      </c>
      <c r="AM173" s="298">
        <f t="shared" si="773"/>
        <v>19</v>
      </c>
      <c r="AN173" s="298">
        <v>19</v>
      </c>
      <c r="AO173" s="9">
        <v>0</v>
      </c>
      <c r="AP173" s="9">
        <v>0</v>
      </c>
      <c r="AQ173" s="298">
        <f t="shared" si="774"/>
        <v>19</v>
      </c>
      <c r="AR173" s="298">
        <v>19</v>
      </c>
      <c r="AS173" s="9">
        <v>0</v>
      </c>
      <c r="AT173" s="9">
        <v>0</v>
      </c>
      <c r="AU173" s="298">
        <f t="shared" si="775"/>
        <v>19</v>
      </c>
      <c r="AV173" s="298">
        <v>19</v>
      </c>
      <c r="AW173" s="9">
        <v>0</v>
      </c>
      <c r="AX173" s="9">
        <v>0</v>
      </c>
      <c r="AY173" s="298">
        <f t="shared" si="776"/>
        <v>19</v>
      </c>
      <c r="AZ173" s="8">
        <f t="shared" si="815"/>
        <v>0.95000000000000007</v>
      </c>
      <c r="BA173" s="8">
        <v>0.95</v>
      </c>
      <c r="BB173" s="8">
        <f t="shared" si="816"/>
        <v>0</v>
      </c>
      <c r="BC173" s="8">
        <f t="shared" si="817"/>
        <v>19</v>
      </c>
      <c r="BD173" s="8"/>
      <c r="BE173" s="8">
        <f t="shared" si="818"/>
        <v>19</v>
      </c>
      <c r="BF173" s="10">
        <f t="shared" si="819"/>
        <v>0</v>
      </c>
      <c r="BG173" s="11">
        <f t="shared" si="820"/>
        <v>0</v>
      </c>
      <c r="BH173" s="319">
        <v>19</v>
      </c>
      <c r="BI173" s="319">
        <v>0</v>
      </c>
      <c r="BJ173" s="319">
        <v>0</v>
      </c>
      <c r="BK173" s="319">
        <f t="shared" si="777"/>
        <v>19</v>
      </c>
      <c r="BL173" s="319">
        <v>19</v>
      </c>
      <c r="BM173" s="319">
        <v>0</v>
      </c>
      <c r="BN173" s="319">
        <v>0</v>
      </c>
      <c r="BO173" s="319">
        <f t="shared" si="778"/>
        <v>19</v>
      </c>
      <c r="BP173" s="319">
        <f t="shared" si="821"/>
        <v>0</v>
      </c>
      <c r="BQ173" s="319">
        <v>19</v>
      </c>
      <c r="BR173" s="319">
        <v>0</v>
      </c>
      <c r="BS173" s="319">
        <v>0</v>
      </c>
      <c r="BT173" s="319">
        <f t="shared" si="779"/>
        <v>19</v>
      </c>
      <c r="BU173" s="319">
        <f t="shared" si="780"/>
        <v>0</v>
      </c>
      <c r="BV173" s="319">
        <v>19</v>
      </c>
      <c r="BW173" s="319">
        <v>0</v>
      </c>
      <c r="BX173" s="319">
        <v>0</v>
      </c>
      <c r="BY173" s="319">
        <f t="shared" si="781"/>
        <v>19</v>
      </c>
      <c r="BZ173" s="319">
        <f t="shared" si="782"/>
        <v>0</v>
      </c>
      <c r="CA173" s="319">
        <v>19</v>
      </c>
      <c r="CB173" s="319">
        <v>0</v>
      </c>
      <c r="CC173" s="319">
        <v>0</v>
      </c>
      <c r="CD173" s="319">
        <f t="shared" si="783"/>
        <v>19</v>
      </c>
      <c r="CE173" s="319">
        <f t="shared" si="784"/>
        <v>0</v>
      </c>
      <c r="CF173" s="319">
        <v>19</v>
      </c>
      <c r="CG173" s="319">
        <v>0</v>
      </c>
      <c r="CH173" s="319">
        <v>0</v>
      </c>
      <c r="CI173" s="319">
        <f t="shared" si="785"/>
        <v>19</v>
      </c>
      <c r="CJ173" s="319">
        <f t="shared" si="786"/>
        <v>0</v>
      </c>
      <c r="CK173" s="319">
        <v>19</v>
      </c>
      <c r="CL173" s="319">
        <v>0</v>
      </c>
      <c r="CM173" s="319">
        <v>0</v>
      </c>
      <c r="CN173" s="319">
        <f t="shared" si="787"/>
        <v>19</v>
      </c>
      <c r="CO173" s="319">
        <f t="shared" si="788"/>
        <v>0</v>
      </c>
      <c r="CP173" s="319">
        <v>19</v>
      </c>
      <c r="CQ173" s="319">
        <v>0</v>
      </c>
      <c r="CR173" s="319">
        <v>0</v>
      </c>
      <c r="CS173" s="319">
        <f t="shared" si="789"/>
        <v>19</v>
      </c>
      <c r="CT173" s="319">
        <f t="shared" si="790"/>
        <v>0</v>
      </c>
      <c r="CU173" s="319">
        <v>19</v>
      </c>
      <c r="CV173" s="319">
        <v>0</v>
      </c>
      <c r="CW173" s="319">
        <v>0</v>
      </c>
      <c r="CX173" s="319">
        <f t="shared" si="791"/>
        <v>19</v>
      </c>
      <c r="CY173" s="319">
        <f t="shared" si="792"/>
        <v>0</v>
      </c>
      <c r="CZ173" s="319"/>
      <c r="DA173" s="319"/>
      <c r="DB173" s="319"/>
      <c r="DC173" s="12">
        <f t="shared" si="822"/>
        <v>1.9000000000000001</v>
      </c>
      <c r="DD173" s="12">
        <v>0.9</v>
      </c>
      <c r="DE173" s="13">
        <f t="shared" si="823"/>
        <v>1</v>
      </c>
      <c r="DF173" s="14">
        <f t="shared" si="793"/>
        <v>1</v>
      </c>
      <c r="DG173" s="13">
        <f t="shared" si="794"/>
        <v>20</v>
      </c>
      <c r="DH173" s="15">
        <f t="shared" si="795"/>
        <v>1.4862363380061539E-6</v>
      </c>
      <c r="DI173" s="16">
        <f t="shared" si="796"/>
        <v>19</v>
      </c>
      <c r="DJ173" s="132">
        <f t="shared" si="824"/>
        <v>20.900000000000002</v>
      </c>
      <c r="DK173" s="17">
        <f t="shared" si="825"/>
        <v>1.9000000000000021</v>
      </c>
      <c r="DL173" s="17">
        <f t="shared" si="797"/>
        <v>0.9</v>
      </c>
      <c r="DM173" s="16">
        <f t="shared" si="826"/>
        <v>1.0000000000000022</v>
      </c>
      <c r="DN173" s="16">
        <f t="shared" si="798"/>
        <v>2.2204460492503131E-15</v>
      </c>
      <c r="DO173" s="16">
        <f t="shared" si="827"/>
        <v>20.000000000000004</v>
      </c>
      <c r="DP173" s="16">
        <f t="shared" si="799"/>
        <v>0</v>
      </c>
      <c r="DQ173" s="9">
        <v>20</v>
      </c>
      <c r="DR173" s="18" t="s">
        <v>238</v>
      </c>
      <c r="DS173" s="18" t="s">
        <v>238</v>
      </c>
      <c r="DT173" s="324">
        <f t="shared" si="828"/>
        <v>20</v>
      </c>
      <c r="DU173" s="321">
        <f t="shared" si="829"/>
        <v>20</v>
      </c>
      <c r="DV173" s="19">
        <f t="shared" si="830"/>
        <v>0</v>
      </c>
      <c r="DW173" s="9">
        <v>20</v>
      </c>
      <c r="DX173" s="18"/>
      <c r="DY173" s="18"/>
      <c r="DZ173" s="324">
        <f t="shared" si="831"/>
        <v>20</v>
      </c>
      <c r="EA173" s="321">
        <f t="shared" si="832"/>
        <v>20</v>
      </c>
      <c r="EB173" s="179">
        <f t="shared" si="800"/>
        <v>0</v>
      </c>
      <c r="EC173" s="9">
        <v>20</v>
      </c>
      <c r="ED173" s="18" t="s">
        <v>238</v>
      </c>
      <c r="EE173" s="18" t="s">
        <v>238</v>
      </c>
      <c r="EF173" s="324">
        <f t="shared" si="833"/>
        <v>20</v>
      </c>
      <c r="EG173" s="321">
        <f t="shared" si="834"/>
        <v>20</v>
      </c>
      <c r="EH173" s="179">
        <f t="shared" si="801"/>
        <v>0</v>
      </c>
      <c r="EI173" s="9">
        <v>20</v>
      </c>
      <c r="EJ173" s="18" t="s">
        <v>238</v>
      </c>
      <c r="EK173" s="18" t="s">
        <v>238</v>
      </c>
      <c r="EL173" s="324">
        <f t="shared" si="835"/>
        <v>20</v>
      </c>
      <c r="EM173" s="321">
        <f t="shared" si="836"/>
        <v>20</v>
      </c>
      <c r="EN173" s="179">
        <f t="shared" si="802"/>
        <v>0</v>
      </c>
      <c r="EO173" s="9">
        <v>20</v>
      </c>
      <c r="EP173" s="18" t="s">
        <v>238</v>
      </c>
      <c r="EQ173" s="18" t="s">
        <v>238</v>
      </c>
      <c r="ER173" s="324">
        <f t="shared" si="837"/>
        <v>20</v>
      </c>
      <c r="ES173" s="321">
        <f t="shared" si="838"/>
        <v>20</v>
      </c>
      <c r="ET173" s="179">
        <f t="shared" si="803"/>
        <v>0</v>
      </c>
      <c r="EU173" s="9">
        <v>20</v>
      </c>
      <c r="EV173" s="18" t="s">
        <v>238</v>
      </c>
      <c r="EW173" s="18" t="s">
        <v>238</v>
      </c>
      <c r="EX173" s="324">
        <f t="shared" si="839"/>
        <v>20</v>
      </c>
      <c r="EY173" s="321">
        <f t="shared" si="840"/>
        <v>20</v>
      </c>
      <c r="EZ173" s="179">
        <f t="shared" si="804"/>
        <v>0</v>
      </c>
      <c r="FA173" s="9">
        <v>20</v>
      </c>
      <c r="FB173" s="18" t="s">
        <v>238</v>
      </c>
      <c r="FC173" s="18" t="s">
        <v>238</v>
      </c>
      <c r="FD173" s="324">
        <f t="shared" si="841"/>
        <v>20</v>
      </c>
      <c r="FE173" s="321">
        <f t="shared" si="842"/>
        <v>20</v>
      </c>
      <c r="FF173" s="179">
        <f t="shared" si="805"/>
        <v>0</v>
      </c>
      <c r="FG173" s="9">
        <v>20</v>
      </c>
      <c r="FH173" s="18" t="s">
        <v>238</v>
      </c>
      <c r="FI173" s="18" t="s">
        <v>238</v>
      </c>
      <c r="FJ173" s="324">
        <f t="shared" si="843"/>
        <v>20</v>
      </c>
      <c r="FK173" s="321">
        <f t="shared" si="844"/>
        <v>20</v>
      </c>
      <c r="FL173" s="179">
        <f t="shared" si="806"/>
        <v>0</v>
      </c>
      <c r="FM173" s="9">
        <v>20</v>
      </c>
      <c r="FN173" s="18" t="s">
        <v>238</v>
      </c>
      <c r="FO173" s="18" t="s">
        <v>238</v>
      </c>
      <c r="FP173" s="324">
        <f t="shared" si="845"/>
        <v>20</v>
      </c>
      <c r="FQ173" s="321">
        <f t="shared" si="846"/>
        <v>20</v>
      </c>
      <c r="FR173" s="179">
        <f t="shared" si="807"/>
        <v>0</v>
      </c>
      <c r="FS173" s="9">
        <v>20</v>
      </c>
      <c r="FT173" s="18" t="s">
        <v>238</v>
      </c>
      <c r="FU173" s="18" t="s">
        <v>238</v>
      </c>
      <c r="FV173" s="324">
        <f t="shared" si="847"/>
        <v>20</v>
      </c>
      <c r="FW173" s="321">
        <f t="shared" si="848"/>
        <v>20</v>
      </c>
      <c r="FX173" s="179">
        <f t="shared" si="808"/>
        <v>0</v>
      </c>
      <c r="FY173" s="9">
        <v>20</v>
      </c>
      <c r="FZ173" s="18" t="s">
        <v>238</v>
      </c>
      <c r="GA173" s="18" t="s">
        <v>238</v>
      </c>
      <c r="GB173" s="324">
        <f t="shared" si="849"/>
        <v>20</v>
      </c>
      <c r="GC173" s="321">
        <f t="shared" si="850"/>
        <v>20</v>
      </c>
      <c r="GD173" s="179">
        <f t="shared" si="809"/>
        <v>0</v>
      </c>
      <c r="GE173" s="9">
        <v>20</v>
      </c>
      <c r="GF173" s="18" t="s">
        <v>238</v>
      </c>
      <c r="GG173" s="18" t="s">
        <v>238</v>
      </c>
      <c r="GH173" s="324">
        <f t="shared" si="851"/>
        <v>20</v>
      </c>
      <c r="GI173" s="321">
        <f t="shared" si="852"/>
        <v>20</v>
      </c>
      <c r="GJ173" s="179">
        <f t="shared" si="810"/>
        <v>0</v>
      </c>
      <c r="GK173" s="9">
        <v>20</v>
      </c>
      <c r="GL173" s="18" t="s">
        <v>238</v>
      </c>
      <c r="GM173" s="18" t="s">
        <v>238</v>
      </c>
      <c r="GN173" s="324">
        <f t="shared" si="853"/>
        <v>20</v>
      </c>
      <c r="GO173" s="321">
        <f t="shared" si="854"/>
        <v>20</v>
      </c>
      <c r="GP173" s="179">
        <f t="shared" si="811"/>
        <v>0</v>
      </c>
      <c r="GQ173" s="9">
        <v>20</v>
      </c>
      <c r="GR173" s="18" t="s">
        <v>238</v>
      </c>
      <c r="GS173" s="18" t="s">
        <v>238</v>
      </c>
      <c r="GT173" s="324">
        <f t="shared" si="855"/>
        <v>20</v>
      </c>
      <c r="GU173" s="321">
        <f t="shared" si="856"/>
        <v>20</v>
      </c>
      <c r="GV173" s="179">
        <f t="shared" si="812"/>
        <v>0</v>
      </c>
      <c r="GW173" s="9">
        <v>21</v>
      </c>
      <c r="GX173" s="18" t="s">
        <v>238</v>
      </c>
      <c r="GY173" s="18" t="s">
        <v>238</v>
      </c>
      <c r="GZ173" s="324">
        <f t="shared" si="857"/>
        <v>21</v>
      </c>
      <c r="HA173" s="321">
        <f t="shared" si="858"/>
        <v>21</v>
      </c>
      <c r="HB173" s="179">
        <f t="shared" si="813"/>
        <v>1</v>
      </c>
      <c r="HC173" s="102">
        <f t="shared" si="814"/>
        <v>1.4222357301494297E-6</v>
      </c>
      <c r="HD173" s="285">
        <f t="shared" si="859"/>
        <v>0</v>
      </c>
      <c r="HE173" s="12">
        <f t="shared" si="860"/>
        <v>1</v>
      </c>
      <c r="HF173" s="12">
        <f t="shared" si="861"/>
        <v>0</v>
      </c>
      <c r="HG173" s="12">
        <f t="shared" si="862"/>
        <v>1</v>
      </c>
      <c r="HH173" s="14">
        <f t="shared" si="863"/>
        <v>1</v>
      </c>
      <c r="HI173" s="13">
        <f t="shared" si="864"/>
        <v>21</v>
      </c>
      <c r="HJ173" s="102">
        <f t="shared" si="865"/>
        <v>1.4933475166569011E-6</v>
      </c>
      <c r="HK173" s="16">
        <f t="shared" si="866"/>
        <v>20</v>
      </c>
      <c r="HL173" s="103">
        <f t="shared" si="867"/>
        <v>21</v>
      </c>
      <c r="HM173" s="103">
        <f t="shared" si="868"/>
        <v>1</v>
      </c>
      <c r="HN173" s="17">
        <f t="shared" si="869"/>
        <v>0</v>
      </c>
      <c r="HO173" s="56">
        <f t="shared" si="870"/>
        <v>1</v>
      </c>
      <c r="HP173" s="16">
        <f t="shared" si="871"/>
        <v>0</v>
      </c>
      <c r="HQ173" s="16">
        <f t="shared" si="872"/>
        <v>21</v>
      </c>
      <c r="HR173" s="16">
        <f t="shared" si="873"/>
        <v>0</v>
      </c>
    </row>
    <row r="174" spans="1:226" x14ac:dyDescent="0.3">
      <c r="A174" s="142">
        <v>4</v>
      </c>
      <c r="B174" s="461" t="s">
        <v>111</v>
      </c>
      <c r="C174" s="143" t="s">
        <v>112</v>
      </c>
      <c r="D174" s="144" t="s">
        <v>113</v>
      </c>
      <c r="E174" s="27"/>
      <c r="F174" s="9"/>
      <c r="G174" s="9"/>
      <c r="H174" s="324"/>
      <c r="I174" s="324">
        <v>22874470</v>
      </c>
      <c r="J174" s="324"/>
      <c r="K174" s="324"/>
      <c r="L174" s="324">
        <v>22874470</v>
      </c>
      <c r="M174" s="23">
        <v>22874470</v>
      </c>
      <c r="N174" s="23">
        <v>22874470</v>
      </c>
      <c r="O174" s="298">
        <v>22874470</v>
      </c>
      <c r="P174" s="298">
        <v>22874470</v>
      </c>
      <c r="Q174" s="298">
        <v>22874470</v>
      </c>
      <c r="R174" s="298">
        <v>22874470</v>
      </c>
      <c r="S174" s="298">
        <v>22874470</v>
      </c>
      <c r="T174" s="298">
        <v>22874470</v>
      </c>
      <c r="U174" s="298">
        <f t="shared" si="874"/>
        <v>1143723.5</v>
      </c>
      <c r="V174" s="298">
        <f t="shared" si="875"/>
        <v>24018193.5</v>
      </c>
      <c r="W174" s="298">
        <v>24018193</v>
      </c>
      <c r="X174" s="298">
        <v>24018193</v>
      </c>
      <c r="Y174" s="298">
        <v>24018193</v>
      </c>
      <c r="Z174" s="298">
        <v>24018193</v>
      </c>
      <c r="AA174" s="298">
        <v>24018193</v>
      </c>
      <c r="AB174" s="298">
        <v>24018193</v>
      </c>
      <c r="AC174" s="9">
        <v>0</v>
      </c>
      <c r="AD174" s="9">
        <v>0</v>
      </c>
      <c r="AE174" s="298">
        <f t="shared" si="876"/>
        <v>24018193</v>
      </c>
      <c r="AF174" s="298">
        <v>24018193</v>
      </c>
      <c r="AG174" s="9">
        <v>0</v>
      </c>
      <c r="AH174" s="9">
        <v>0</v>
      </c>
      <c r="AI174" s="298">
        <f t="shared" si="877"/>
        <v>24018193</v>
      </c>
      <c r="AJ174" s="298">
        <v>24018193</v>
      </c>
      <c r="AK174" s="9">
        <v>0</v>
      </c>
      <c r="AL174" s="9">
        <v>0</v>
      </c>
      <c r="AM174" s="298">
        <f t="shared" si="773"/>
        <v>24018193</v>
      </c>
      <c r="AN174" s="325">
        <v>22644315</v>
      </c>
      <c r="AO174" s="9">
        <v>0</v>
      </c>
      <c r="AP174" s="9">
        <v>0</v>
      </c>
      <c r="AQ174" s="298">
        <f t="shared" si="774"/>
        <v>22644315</v>
      </c>
      <c r="AR174" s="325">
        <v>22644315</v>
      </c>
      <c r="AS174" s="9">
        <v>0</v>
      </c>
      <c r="AT174" s="9">
        <v>0</v>
      </c>
      <c r="AU174" s="298">
        <f t="shared" si="775"/>
        <v>22644315</v>
      </c>
      <c r="AV174" s="325">
        <v>22644315</v>
      </c>
      <c r="AW174" s="9">
        <v>0</v>
      </c>
      <c r="AX174" s="9">
        <v>0</v>
      </c>
      <c r="AY174" s="298">
        <f t="shared" si="776"/>
        <v>22644315</v>
      </c>
      <c r="AZ174" s="8">
        <f t="shared" si="815"/>
        <v>1132215.75</v>
      </c>
      <c r="BA174" s="8">
        <v>0.75</v>
      </c>
      <c r="BB174" s="8">
        <f t="shared" si="816"/>
        <v>1132215</v>
      </c>
      <c r="BC174" s="8">
        <f t="shared" si="817"/>
        <v>23776530</v>
      </c>
      <c r="BD174" s="8"/>
      <c r="BE174" s="8">
        <f t="shared" si="818"/>
        <v>23776530</v>
      </c>
      <c r="BF174" s="10">
        <f t="shared" si="819"/>
        <v>1132215</v>
      </c>
      <c r="BG174" s="11">
        <f t="shared" si="820"/>
        <v>0</v>
      </c>
      <c r="BH174" s="319">
        <v>23776530</v>
      </c>
      <c r="BI174" s="319">
        <v>0</v>
      </c>
      <c r="BJ174" s="319">
        <v>0</v>
      </c>
      <c r="BK174" s="319">
        <f t="shared" si="777"/>
        <v>23776530</v>
      </c>
      <c r="BL174" s="319">
        <v>23776530</v>
      </c>
      <c r="BM174" s="319">
        <v>0</v>
      </c>
      <c r="BN174" s="319">
        <v>0</v>
      </c>
      <c r="BO174" s="319">
        <f t="shared" si="778"/>
        <v>23776530</v>
      </c>
      <c r="BP174" s="319">
        <f t="shared" si="821"/>
        <v>0</v>
      </c>
      <c r="BQ174" s="319">
        <v>23776530</v>
      </c>
      <c r="BR174" s="319">
        <v>0</v>
      </c>
      <c r="BS174" s="319">
        <v>0</v>
      </c>
      <c r="BT174" s="319">
        <f t="shared" si="779"/>
        <v>23776530</v>
      </c>
      <c r="BU174" s="319">
        <f t="shared" si="780"/>
        <v>0</v>
      </c>
      <c r="BV174" s="4">
        <v>24276530</v>
      </c>
      <c r="BW174" s="4">
        <v>0</v>
      </c>
      <c r="BX174" s="4">
        <v>0</v>
      </c>
      <c r="BY174" s="319">
        <f t="shared" si="781"/>
        <v>24276530</v>
      </c>
      <c r="BZ174" s="48">
        <f t="shared" si="782"/>
        <v>500000</v>
      </c>
      <c r="CA174" s="4">
        <v>24276530</v>
      </c>
      <c r="CB174" s="4">
        <v>0</v>
      </c>
      <c r="CC174" s="4">
        <v>0</v>
      </c>
      <c r="CD174" s="319">
        <f t="shared" si="783"/>
        <v>24276530</v>
      </c>
      <c r="CE174" s="48">
        <f t="shared" si="784"/>
        <v>0</v>
      </c>
      <c r="CF174" s="48">
        <v>24276530</v>
      </c>
      <c r="CG174" s="319">
        <v>0</v>
      </c>
      <c r="CH174" s="319">
        <v>0</v>
      </c>
      <c r="CI174" s="319">
        <f t="shared" si="785"/>
        <v>24276530</v>
      </c>
      <c r="CJ174" s="319">
        <f t="shared" si="786"/>
        <v>0</v>
      </c>
      <c r="CK174" s="319">
        <v>24276530</v>
      </c>
      <c r="CL174" s="319">
        <v>0</v>
      </c>
      <c r="CM174" s="319">
        <v>0</v>
      </c>
      <c r="CN174" s="319">
        <f t="shared" si="787"/>
        <v>24276530</v>
      </c>
      <c r="CO174" s="319">
        <f t="shared" si="788"/>
        <v>0</v>
      </c>
      <c r="CP174" s="319">
        <v>24276530</v>
      </c>
      <c r="CQ174" s="319">
        <v>0</v>
      </c>
      <c r="CR174" s="319">
        <v>0</v>
      </c>
      <c r="CS174" s="319">
        <f t="shared" si="789"/>
        <v>24276530</v>
      </c>
      <c r="CT174" s="319">
        <f t="shared" si="790"/>
        <v>0</v>
      </c>
      <c r="CU174" s="319">
        <v>24276530</v>
      </c>
      <c r="CV174" s="319">
        <v>0</v>
      </c>
      <c r="CW174" s="319">
        <v>0</v>
      </c>
      <c r="CX174" s="319">
        <f t="shared" si="791"/>
        <v>24276530</v>
      </c>
      <c r="CY174" s="319">
        <f t="shared" si="792"/>
        <v>0</v>
      </c>
      <c r="CZ174" s="319"/>
      <c r="DA174" s="319"/>
      <c r="DB174" s="319"/>
      <c r="DC174" s="12">
        <f t="shared" si="822"/>
        <v>2427653</v>
      </c>
      <c r="DD174" s="12">
        <v>0</v>
      </c>
      <c r="DE174" s="13">
        <f t="shared" si="823"/>
        <v>2427653</v>
      </c>
      <c r="DF174" s="14">
        <f t="shared" si="793"/>
        <v>2427653</v>
      </c>
      <c r="DG174" s="13">
        <f t="shared" si="794"/>
        <v>26704183</v>
      </c>
      <c r="DH174" s="15">
        <f t="shared" si="795"/>
        <v>1.8989821603524493</v>
      </c>
      <c r="DI174" s="16">
        <f t="shared" si="796"/>
        <v>24276530</v>
      </c>
      <c r="DJ174" s="132">
        <f t="shared" si="824"/>
        <v>26704183.000000004</v>
      </c>
      <c r="DK174" s="17">
        <f t="shared" si="825"/>
        <v>2427653.0000000037</v>
      </c>
      <c r="DL174" s="17">
        <f t="shared" si="797"/>
        <v>0</v>
      </c>
      <c r="DM174" s="16">
        <f t="shared" si="826"/>
        <v>2427653.0000000037</v>
      </c>
      <c r="DN174" s="16">
        <f t="shared" si="798"/>
        <v>3.7252902984619141E-9</v>
      </c>
      <c r="DO174" s="16">
        <f t="shared" si="827"/>
        <v>26704183.000000004</v>
      </c>
      <c r="DP174" s="16">
        <f t="shared" si="799"/>
        <v>0</v>
      </c>
      <c r="DQ174" s="9">
        <v>26704183</v>
      </c>
      <c r="DR174" s="18" t="s">
        <v>238</v>
      </c>
      <c r="DS174" s="18" t="s">
        <v>238</v>
      </c>
      <c r="DT174" s="324">
        <f t="shared" si="828"/>
        <v>26704183</v>
      </c>
      <c r="DU174" s="321">
        <f t="shared" si="829"/>
        <v>26704183</v>
      </c>
      <c r="DV174" s="19">
        <f t="shared" si="830"/>
        <v>0</v>
      </c>
      <c r="DW174" s="9">
        <v>26704183</v>
      </c>
      <c r="DX174" s="18"/>
      <c r="DY174" s="18"/>
      <c r="DZ174" s="324">
        <f t="shared" si="831"/>
        <v>26704183</v>
      </c>
      <c r="EA174" s="321">
        <f t="shared" si="832"/>
        <v>26704183</v>
      </c>
      <c r="EB174" s="179">
        <f t="shared" si="800"/>
        <v>0</v>
      </c>
      <c r="EC174" s="9">
        <v>26704183</v>
      </c>
      <c r="ED174" s="18" t="s">
        <v>238</v>
      </c>
      <c r="EE174" s="18" t="s">
        <v>238</v>
      </c>
      <c r="EF174" s="324">
        <f t="shared" si="833"/>
        <v>26704183</v>
      </c>
      <c r="EG174" s="321">
        <f t="shared" si="834"/>
        <v>26704183</v>
      </c>
      <c r="EH174" s="179">
        <f t="shared" si="801"/>
        <v>0</v>
      </c>
      <c r="EI174" s="9">
        <v>26704183</v>
      </c>
      <c r="EJ174" s="18" t="s">
        <v>238</v>
      </c>
      <c r="EK174" s="18" t="s">
        <v>238</v>
      </c>
      <c r="EL174" s="324">
        <f t="shared" si="835"/>
        <v>26704183</v>
      </c>
      <c r="EM174" s="321">
        <f t="shared" si="836"/>
        <v>26704183</v>
      </c>
      <c r="EN174" s="179">
        <f t="shared" si="802"/>
        <v>0</v>
      </c>
      <c r="EO174" s="9">
        <v>26704183</v>
      </c>
      <c r="EP174" s="18" t="s">
        <v>238</v>
      </c>
      <c r="EQ174" s="18" t="s">
        <v>238</v>
      </c>
      <c r="ER174" s="324">
        <f t="shared" si="837"/>
        <v>26704183</v>
      </c>
      <c r="ES174" s="321">
        <f t="shared" si="838"/>
        <v>26704183</v>
      </c>
      <c r="ET174" s="179">
        <f t="shared" si="803"/>
        <v>0</v>
      </c>
      <c r="EU174" s="9">
        <v>26704183</v>
      </c>
      <c r="EV174" s="18" t="s">
        <v>238</v>
      </c>
      <c r="EW174" s="18" t="s">
        <v>238</v>
      </c>
      <c r="EX174" s="324">
        <f t="shared" si="839"/>
        <v>26704183</v>
      </c>
      <c r="EY174" s="321">
        <f t="shared" si="840"/>
        <v>26704183</v>
      </c>
      <c r="EZ174" s="179">
        <f t="shared" si="804"/>
        <v>0</v>
      </c>
      <c r="FA174" s="9">
        <v>26704183</v>
      </c>
      <c r="FB174" s="18" t="s">
        <v>238</v>
      </c>
      <c r="FC174" s="18" t="s">
        <v>238</v>
      </c>
      <c r="FD174" s="324">
        <f t="shared" si="841"/>
        <v>26704183</v>
      </c>
      <c r="FE174" s="321">
        <f t="shared" si="842"/>
        <v>26704183</v>
      </c>
      <c r="FF174" s="179">
        <f t="shared" si="805"/>
        <v>0</v>
      </c>
      <c r="FG174" s="9">
        <v>26704183</v>
      </c>
      <c r="FH174" s="18" t="s">
        <v>238</v>
      </c>
      <c r="FI174" s="18" t="s">
        <v>238</v>
      </c>
      <c r="FJ174" s="324">
        <f t="shared" si="843"/>
        <v>26704183</v>
      </c>
      <c r="FK174" s="321">
        <f t="shared" si="844"/>
        <v>26704183</v>
      </c>
      <c r="FL174" s="179">
        <f t="shared" si="806"/>
        <v>0</v>
      </c>
      <c r="FM174" s="9">
        <v>26704183</v>
      </c>
      <c r="FN174" s="18" t="s">
        <v>238</v>
      </c>
      <c r="FO174" s="18" t="s">
        <v>238</v>
      </c>
      <c r="FP174" s="324">
        <f t="shared" si="845"/>
        <v>26704183</v>
      </c>
      <c r="FQ174" s="321">
        <f t="shared" si="846"/>
        <v>26704183</v>
      </c>
      <c r="FR174" s="179">
        <f t="shared" si="807"/>
        <v>0</v>
      </c>
      <c r="FS174" s="9">
        <v>26704183</v>
      </c>
      <c r="FT174" s="18" t="s">
        <v>238</v>
      </c>
      <c r="FU174" s="18" t="s">
        <v>238</v>
      </c>
      <c r="FV174" s="324">
        <f t="shared" si="847"/>
        <v>26704183</v>
      </c>
      <c r="FW174" s="321">
        <f t="shared" si="848"/>
        <v>26704183</v>
      </c>
      <c r="FX174" s="179">
        <f t="shared" si="808"/>
        <v>0</v>
      </c>
      <c r="FY174" s="9">
        <v>26704183</v>
      </c>
      <c r="FZ174" s="18" t="s">
        <v>238</v>
      </c>
      <c r="GA174" s="18" t="s">
        <v>238</v>
      </c>
      <c r="GB174" s="324">
        <f t="shared" si="849"/>
        <v>26704183</v>
      </c>
      <c r="GC174" s="321">
        <f t="shared" si="850"/>
        <v>26704183</v>
      </c>
      <c r="GD174" s="179">
        <f t="shared" si="809"/>
        <v>0</v>
      </c>
      <c r="GE174" s="9">
        <v>26704183</v>
      </c>
      <c r="GF174" s="18" t="s">
        <v>238</v>
      </c>
      <c r="GG174" s="18" t="s">
        <v>238</v>
      </c>
      <c r="GH174" s="324">
        <f t="shared" si="851"/>
        <v>26704183</v>
      </c>
      <c r="GI174" s="321">
        <f t="shared" si="852"/>
        <v>26704183</v>
      </c>
      <c r="GJ174" s="179">
        <f t="shared" si="810"/>
        <v>0</v>
      </c>
      <c r="GK174" s="9">
        <v>26704183</v>
      </c>
      <c r="GL174" s="18" t="s">
        <v>238</v>
      </c>
      <c r="GM174" s="18" t="s">
        <v>238</v>
      </c>
      <c r="GN174" s="324">
        <f t="shared" si="853"/>
        <v>26704183</v>
      </c>
      <c r="GO174" s="321">
        <f t="shared" si="854"/>
        <v>26704183</v>
      </c>
      <c r="GP174" s="179">
        <f t="shared" si="811"/>
        <v>0</v>
      </c>
      <c r="GQ174" s="9">
        <v>26704183</v>
      </c>
      <c r="GR174" s="18" t="s">
        <v>238</v>
      </c>
      <c r="GS174" s="18" t="s">
        <v>238</v>
      </c>
      <c r="GT174" s="324">
        <f t="shared" si="855"/>
        <v>26704183</v>
      </c>
      <c r="GU174" s="321">
        <f t="shared" si="856"/>
        <v>26704183</v>
      </c>
      <c r="GV174" s="179">
        <f t="shared" si="812"/>
        <v>0</v>
      </c>
      <c r="GW174" s="9">
        <v>28039392</v>
      </c>
      <c r="GX174" s="18" t="s">
        <v>238</v>
      </c>
      <c r="GY174" s="18" t="s">
        <v>238</v>
      </c>
      <c r="GZ174" s="324">
        <f t="shared" si="857"/>
        <v>28039392</v>
      </c>
      <c r="HA174" s="321">
        <f t="shared" si="858"/>
        <v>28039392</v>
      </c>
      <c r="HB174" s="179">
        <f t="shared" si="813"/>
        <v>1335209</v>
      </c>
      <c r="HC174" s="102">
        <f t="shared" si="814"/>
        <v>1.8989821603524493</v>
      </c>
      <c r="HD174" s="285">
        <f t="shared" si="859"/>
        <v>-2.0954757928848267E-9</v>
      </c>
      <c r="HE174" s="12">
        <f t="shared" si="860"/>
        <v>1335209.1500000001</v>
      </c>
      <c r="HF174" s="12">
        <f t="shared" si="861"/>
        <v>0.15000000013969839</v>
      </c>
      <c r="HG174" s="12">
        <f t="shared" si="862"/>
        <v>1335209</v>
      </c>
      <c r="HH174" s="14">
        <f t="shared" si="863"/>
        <v>1335209</v>
      </c>
      <c r="HI174" s="13">
        <f t="shared" si="864"/>
        <v>28039392</v>
      </c>
      <c r="HJ174" s="102">
        <f t="shared" si="865"/>
        <v>1.9939312577033037</v>
      </c>
      <c r="HK174" s="16">
        <f t="shared" si="866"/>
        <v>26704183</v>
      </c>
      <c r="HL174" s="103">
        <f t="shared" si="867"/>
        <v>28039392.150000002</v>
      </c>
      <c r="HM174" s="103">
        <f t="shared" si="868"/>
        <v>1335209.1500000022</v>
      </c>
      <c r="HN174" s="17">
        <f t="shared" si="869"/>
        <v>0.15000000013969839</v>
      </c>
      <c r="HO174" s="56">
        <f t="shared" si="870"/>
        <v>1335209.0000000021</v>
      </c>
      <c r="HP174" s="16">
        <f t="shared" si="871"/>
        <v>2.0954757928848267E-9</v>
      </c>
      <c r="HQ174" s="16">
        <f t="shared" si="872"/>
        <v>28039392.000000004</v>
      </c>
      <c r="HR174" s="16">
        <f t="shared" si="873"/>
        <v>0</v>
      </c>
    </row>
    <row r="175" spans="1:226" ht="10.8" thickBot="1" x14ac:dyDescent="0.35">
      <c r="A175" s="146">
        <v>5</v>
      </c>
      <c r="B175" s="462"/>
      <c r="C175" s="147" t="s">
        <v>287</v>
      </c>
      <c r="D175" s="148" t="s">
        <v>121</v>
      </c>
      <c r="E175" s="27"/>
      <c r="F175" s="9"/>
      <c r="G175" s="9"/>
      <c r="H175" s="324"/>
      <c r="I175" s="324">
        <v>318780</v>
      </c>
      <c r="J175" s="324"/>
      <c r="K175" s="324"/>
      <c r="L175" s="324">
        <v>318780</v>
      </c>
      <c r="M175" s="23">
        <v>318780</v>
      </c>
      <c r="N175" s="23">
        <v>318780</v>
      </c>
      <c r="O175" s="298">
        <v>318780</v>
      </c>
      <c r="P175" s="298">
        <v>318780</v>
      </c>
      <c r="Q175" s="298">
        <v>318780</v>
      </c>
      <c r="R175" s="298">
        <v>318780</v>
      </c>
      <c r="S175" s="298">
        <v>318780</v>
      </c>
      <c r="T175" s="298">
        <v>318780</v>
      </c>
      <c r="U175" s="298">
        <f t="shared" si="874"/>
        <v>15939</v>
      </c>
      <c r="V175" s="298">
        <f t="shared" si="875"/>
        <v>334719</v>
      </c>
      <c r="W175" s="298">
        <v>334719</v>
      </c>
      <c r="X175" s="298">
        <v>334719</v>
      </c>
      <c r="Y175" s="298">
        <v>334719</v>
      </c>
      <c r="Z175" s="298">
        <v>334719</v>
      </c>
      <c r="AA175" s="298">
        <v>334719</v>
      </c>
      <c r="AB175" s="298">
        <v>334719</v>
      </c>
      <c r="AC175" s="9">
        <v>0</v>
      </c>
      <c r="AD175" s="9">
        <v>0</v>
      </c>
      <c r="AE175" s="298">
        <f t="shared" si="876"/>
        <v>334719</v>
      </c>
      <c r="AF175" s="298">
        <v>334719</v>
      </c>
      <c r="AG175" s="9">
        <v>0</v>
      </c>
      <c r="AH175" s="9">
        <v>0</v>
      </c>
      <c r="AI175" s="298">
        <f t="shared" si="877"/>
        <v>334719</v>
      </c>
      <c r="AJ175" s="298">
        <v>334719</v>
      </c>
      <c r="AK175" s="9">
        <v>0</v>
      </c>
      <c r="AL175" s="9">
        <v>0</v>
      </c>
      <c r="AM175" s="298">
        <f t="shared" si="773"/>
        <v>334719</v>
      </c>
      <c r="AN175" s="298">
        <v>334719</v>
      </c>
      <c r="AO175" s="9">
        <v>0</v>
      </c>
      <c r="AP175" s="9">
        <v>0</v>
      </c>
      <c r="AQ175" s="298">
        <f t="shared" si="774"/>
        <v>334719</v>
      </c>
      <c r="AR175" s="298">
        <v>334719</v>
      </c>
      <c r="AS175" s="9">
        <v>0</v>
      </c>
      <c r="AT175" s="9">
        <v>0</v>
      </c>
      <c r="AU175" s="298">
        <f t="shared" si="775"/>
        <v>334719</v>
      </c>
      <c r="AV175" s="298">
        <v>334719</v>
      </c>
      <c r="AW175" s="9">
        <v>0</v>
      </c>
      <c r="AX175" s="9">
        <v>0</v>
      </c>
      <c r="AY175" s="298">
        <f t="shared" si="776"/>
        <v>334719</v>
      </c>
      <c r="AZ175" s="8">
        <f t="shared" si="815"/>
        <v>16735.95</v>
      </c>
      <c r="BA175" s="8">
        <v>0.95</v>
      </c>
      <c r="BB175" s="8">
        <f t="shared" si="816"/>
        <v>16735</v>
      </c>
      <c r="BC175" s="8">
        <f t="shared" si="817"/>
        <v>351454</v>
      </c>
      <c r="BD175" s="8"/>
      <c r="BE175" s="8">
        <f t="shared" si="818"/>
        <v>351454</v>
      </c>
      <c r="BF175" s="10">
        <f t="shared" si="819"/>
        <v>16735</v>
      </c>
      <c r="BG175" s="11">
        <f t="shared" si="820"/>
        <v>0</v>
      </c>
      <c r="BH175" s="319">
        <v>351454</v>
      </c>
      <c r="BI175" s="319">
        <v>0</v>
      </c>
      <c r="BJ175" s="319">
        <v>0</v>
      </c>
      <c r="BK175" s="319">
        <f t="shared" si="777"/>
        <v>351454</v>
      </c>
      <c r="BL175" s="319">
        <v>351454</v>
      </c>
      <c r="BM175" s="319">
        <v>0</v>
      </c>
      <c r="BN175" s="319">
        <v>0</v>
      </c>
      <c r="BO175" s="319">
        <f t="shared" si="778"/>
        <v>351454</v>
      </c>
      <c r="BP175" s="319">
        <f t="shared" si="821"/>
        <v>0</v>
      </c>
      <c r="BQ175" s="319">
        <v>351454</v>
      </c>
      <c r="BR175" s="319">
        <v>0</v>
      </c>
      <c r="BS175" s="319">
        <v>0</v>
      </c>
      <c r="BT175" s="319">
        <f t="shared" si="779"/>
        <v>351454</v>
      </c>
      <c r="BU175" s="319">
        <f t="shared" si="780"/>
        <v>0</v>
      </c>
      <c r="BV175" s="319">
        <v>351454</v>
      </c>
      <c r="BW175" s="319">
        <v>0</v>
      </c>
      <c r="BX175" s="319">
        <v>0</v>
      </c>
      <c r="BY175" s="319">
        <f t="shared" si="781"/>
        <v>351454</v>
      </c>
      <c r="BZ175" s="319">
        <f t="shared" si="782"/>
        <v>0</v>
      </c>
      <c r="CA175" s="319">
        <v>351454</v>
      </c>
      <c r="CB175" s="319">
        <v>0</v>
      </c>
      <c r="CC175" s="319">
        <v>0</v>
      </c>
      <c r="CD175" s="319">
        <f t="shared" si="783"/>
        <v>351454</v>
      </c>
      <c r="CE175" s="319">
        <f t="shared" si="784"/>
        <v>0</v>
      </c>
      <c r="CF175" s="319">
        <v>351454</v>
      </c>
      <c r="CG175" s="319">
        <v>0</v>
      </c>
      <c r="CH175" s="319">
        <v>0</v>
      </c>
      <c r="CI175" s="319">
        <f t="shared" si="785"/>
        <v>351454</v>
      </c>
      <c r="CJ175" s="319">
        <f t="shared" si="786"/>
        <v>0</v>
      </c>
      <c r="CK175" s="319">
        <v>351454</v>
      </c>
      <c r="CL175" s="319">
        <v>0</v>
      </c>
      <c r="CM175" s="319">
        <v>0</v>
      </c>
      <c r="CN175" s="319">
        <f t="shared" si="787"/>
        <v>351454</v>
      </c>
      <c r="CO175" s="319">
        <f t="shared" si="788"/>
        <v>0</v>
      </c>
      <c r="CP175" s="319">
        <v>351454</v>
      </c>
      <c r="CQ175" s="319">
        <v>0</v>
      </c>
      <c r="CR175" s="319">
        <v>0</v>
      </c>
      <c r="CS175" s="319">
        <f t="shared" si="789"/>
        <v>351454</v>
      </c>
      <c r="CT175" s="319">
        <f t="shared" si="790"/>
        <v>0</v>
      </c>
      <c r="CU175" s="319">
        <v>351454</v>
      </c>
      <c r="CV175" s="319">
        <v>0</v>
      </c>
      <c r="CW175" s="319">
        <v>0</v>
      </c>
      <c r="CX175" s="319">
        <f t="shared" si="791"/>
        <v>351454</v>
      </c>
      <c r="CY175" s="319">
        <f t="shared" si="792"/>
        <v>0</v>
      </c>
      <c r="CZ175" s="319"/>
      <c r="DA175" s="319"/>
      <c r="DB175" s="319"/>
      <c r="DC175" s="12">
        <f t="shared" si="822"/>
        <v>35145.4</v>
      </c>
      <c r="DD175" s="12">
        <v>0.4</v>
      </c>
      <c r="DE175" s="13">
        <f t="shared" si="823"/>
        <v>35145</v>
      </c>
      <c r="DF175" s="14">
        <f t="shared" si="793"/>
        <v>35145</v>
      </c>
      <c r="DG175" s="13">
        <f t="shared" si="794"/>
        <v>386599</v>
      </c>
      <c r="DH175" s="15">
        <f t="shared" si="795"/>
        <v>2.7491773996716568E-2</v>
      </c>
      <c r="DI175" s="16">
        <f t="shared" si="796"/>
        <v>351454</v>
      </c>
      <c r="DJ175" s="132">
        <f t="shared" si="824"/>
        <v>386599.4</v>
      </c>
      <c r="DK175" s="17">
        <f t="shared" si="825"/>
        <v>35145.400000000023</v>
      </c>
      <c r="DL175" s="17">
        <f t="shared" si="797"/>
        <v>0.4</v>
      </c>
      <c r="DM175" s="16">
        <f t="shared" si="826"/>
        <v>35145.000000000022</v>
      </c>
      <c r="DN175" s="16">
        <f t="shared" si="798"/>
        <v>0</v>
      </c>
      <c r="DO175" s="16">
        <f t="shared" si="827"/>
        <v>386599</v>
      </c>
      <c r="DP175" s="16">
        <f t="shared" si="799"/>
        <v>0</v>
      </c>
      <c r="DQ175" s="9">
        <v>386599</v>
      </c>
      <c r="DR175" s="18" t="s">
        <v>238</v>
      </c>
      <c r="DS175" s="18" t="s">
        <v>238</v>
      </c>
      <c r="DT175" s="324">
        <f t="shared" si="828"/>
        <v>386599</v>
      </c>
      <c r="DU175" s="321">
        <f t="shared" si="829"/>
        <v>386599</v>
      </c>
      <c r="DV175" s="19">
        <f t="shared" si="830"/>
        <v>0</v>
      </c>
      <c r="DW175" s="9">
        <v>386599</v>
      </c>
      <c r="DX175" s="18"/>
      <c r="DY175" s="18"/>
      <c r="DZ175" s="324">
        <f t="shared" si="831"/>
        <v>386599</v>
      </c>
      <c r="EA175" s="321">
        <f t="shared" si="832"/>
        <v>386599</v>
      </c>
      <c r="EB175" s="179">
        <f t="shared" si="800"/>
        <v>0</v>
      </c>
      <c r="EC175" s="9">
        <v>386599</v>
      </c>
      <c r="ED175" s="18" t="s">
        <v>238</v>
      </c>
      <c r="EE175" s="18" t="s">
        <v>238</v>
      </c>
      <c r="EF175" s="324">
        <f t="shared" si="833"/>
        <v>386599</v>
      </c>
      <c r="EG175" s="321">
        <f t="shared" si="834"/>
        <v>386599</v>
      </c>
      <c r="EH175" s="179">
        <f t="shared" si="801"/>
        <v>0</v>
      </c>
      <c r="EI175" s="9">
        <v>386599</v>
      </c>
      <c r="EJ175" s="18" t="s">
        <v>238</v>
      </c>
      <c r="EK175" s="18" t="s">
        <v>238</v>
      </c>
      <c r="EL175" s="324">
        <f t="shared" si="835"/>
        <v>386599</v>
      </c>
      <c r="EM175" s="321">
        <f t="shared" si="836"/>
        <v>386599</v>
      </c>
      <c r="EN175" s="179">
        <f t="shared" si="802"/>
        <v>0</v>
      </c>
      <c r="EO175" s="9">
        <v>386599</v>
      </c>
      <c r="EP175" s="18" t="s">
        <v>238</v>
      </c>
      <c r="EQ175" s="18" t="s">
        <v>238</v>
      </c>
      <c r="ER175" s="324">
        <f t="shared" si="837"/>
        <v>386599</v>
      </c>
      <c r="ES175" s="321">
        <f t="shared" si="838"/>
        <v>386599</v>
      </c>
      <c r="ET175" s="179">
        <f t="shared" si="803"/>
        <v>0</v>
      </c>
      <c r="EU175" s="9">
        <v>386599</v>
      </c>
      <c r="EV175" s="18" t="s">
        <v>238</v>
      </c>
      <c r="EW175" s="18" t="s">
        <v>238</v>
      </c>
      <c r="EX175" s="324">
        <f t="shared" si="839"/>
        <v>386599</v>
      </c>
      <c r="EY175" s="321">
        <f t="shared" si="840"/>
        <v>386599</v>
      </c>
      <c r="EZ175" s="179">
        <f t="shared" si="804"/>
        <v>0</v>
      </c>
      <c r="FA175" s="9">
        <v>386599</v>
      </c>
      <c r="FB175" s="18" t="s">
        <v>238</v>
      </c>
      <c r="FC175" s="18" t="s">
        <v>238</v>
      </c>
      <c r="FD175" s="324">
        <f t="shared" si="841"/>
        <v>386599</v>
      </c>
      <c r="FE175" s="321">
        <f t="shared" si="842"/>
        <v>386599</v>
      </c>
      <c r="FF175" s="179">
        <f t="shared" si="805"/>
        <v>0</v>
      </c>
      <c r="FG175" s="9">
        <v>386599</v>
      </c>
      <c r="FH175" s="18" t="s">
        <v>238</v>
      </c>
      <c r="FI175" s="18" t="s">
        <v>238</v>
      </c>
      <c r="FJ175" s="324">
        <f t="shared" si="843"/>
        <v>386599</v>
      </c>
      <c r="FK175" s="321">
        <f t="shared" si="844"/>
        <v>386599</v>
      </c>
      <c r="FL175" s="179">
        <f t="shared" si="806"/>
        <v>0</v>
      </c>
      <c r="FM175" s="9">
        <v>386599</v>
      </c>
      <c r="FN175" s="18" t="s">
        <v>238</v>
      </c>
      <c r="FO175" s="18" t="s">
        <v>238</v>
      </c>
      <c r="FP175" s="324">
        <f t="shared" si="845"/>
        <v>386599</v>
      </c>
      <c r="FQ175" s="321">
        <f t="shared" si="846"/>
        <v>386599</v>
      </c>
      <c r="FR175" s="179">
        <f t="shared" si="807"/>
        <v>0</v>
      </c>
      <c r="FS175" s="9">
        <v>386599</v>
      </c>
      <c r="FT175" s="18" t="s">
        <v>238</v>
      </c>
      <c r="FU175" s="18" t="s">
        <v>238</v>
      </c>
      <c r="FV175" s="324">
        <f t="shared" si="847"/>
        <v>386599</v>
      </c>
      <c r="FW175" s="321">
        <f t="shared" si="848"/>
        <v>386599</v>
      </c>
      <c r="FX175" s="179">
        <f t="shared" si="808"/>
        <v>0</v>
      </c>
      <c r="FY175" s="9">
        <v>386599</v>
      </c>
      <c r="FZ175" s="18" t="s">
        <v>238</v>
      </c>
      <c r="GA175" s="18" t="s">
        <v>238</v>
      </c>
      <c r="GB175" s="324">
        <f t="shared" si="849"/>
        <v>386599</v>
      </c>
      <c r="GC175" s="321">
        <f t="shared" si="850"/>
        <v>386599</v>
      </c>
      <c r="GD175" s="179">
        <f t="shared" si="809"/>
        <v>0</v>
      </c>
      <c r="GE175" s="9">
        <v>386599</v>
      </c>
      <c r="GF175" s="18" t="s">
        <v>238</v>
      </c>
      <c r="GG175" s="18" t="s">
        <v>238</v>
      </c>
      <c r="GH175" s="324">
        <f t="shared" si="851"/>
        <v>386599</v>
      </c>
      <c r="GI175" s="321">
        <f t="shared" si="852"/>
        <v>386599</v>
      </c>
      <c r="GJ175" s="179">
        <f t="shared" si="810"/>
        <v>0</v>
      </c>
      <c r="GK175" s="9">
        <v>386599</v>
      </c>
      <c r="GL175" s="18" t="s">
        <v>238</v>
      </c>
      <c r="GM175" s="18" t="s">
        <v>238</v>
      </c>
      <c r="GN175" s="324">
        <f t="shared" si="853"/>
        <v>386599</v>
      </c>
      <c r="GO175" s="321">
        <f t="shared" si="854"/>
        <v>386599</v>
      </c>
      <c r="GP175" s="179">
        <f t="shared" si="811"/>
        <v>0</v>
      </c>
      <c r="GQ175" s="9">
        <v>386599</v>
      </c>
      <c r="GR175" s="18" t="s">
        <v>238</v>
      </c>
      <c r="GS175" s="18" t="s">
        <v>238</v>
      </c>
      <c r="GT175" s="324">
        <f t="shared" si="855"/>
        <v>386599</v>
      </c>
      <c r="GU175" s="321">
        <f t="shared" si="856"/>
        <v>386599</v>
      </c>
      <c r="GV175" s="179">
        <f t="shared" si="812"/>
        <v>0</v>
      </c>
      <c r="GW175" s="9">
        <v>405928</v>
      </c>
      <c r="GX175" s="18" t="s">
        <v>238</v>
      </c>
      <c r="GY175" s="18" t="s">
        <v>238</v>
      </c>
      <c r="GZ175" s="324">
        <f t="shared" si="857"/>
        <v>405928</v>
      </c>
      <c r="HA175" s="321">
        <f t="shared" si="858"/>
        <v>405928</v>
      </c>
      <c r="HB175" s="179">
        <f t="shared" si="813"/>
        <v>19329</v>
      </c>
      <c r="HC175" s="102">
        <f t="shared" si="814"/>
        <v>2.7491745552001966E-2</v>
      </c>
      <c r="HD175" s="285">
        <f t="shared" si="859"/>
        <v>0</v>
      </c>
      <c r="HE175" s="12">
        <f t="shared" si="860"/>
        <v>19329.95</v>
      </c>
      <c r="HF175" s="12">
        <f t="shared" si="861"/>
        <v>0.9500000000007276</v>
      </c>
      <c r="HG175" s="12">
        <f t="shared" si="862"/>
        <v>19329</v>
      </c>
      <c r="HH175" s="14">
        <f t="shared" si="863"/>
        <v>19329</v>
      </c>
      <c r="HI175" s="13">
        <f t="shared" si="864"/>
        <v>405928</v>
      </c>
      <c r="HJ175" s="102">
        <f t="shared" si="865"/>
        <v>2.8866265273404884E-2</v>
      </c>
      <c r="HK175" s="16">
        <f t="shared" si="866"/>
        <v>386599</v>
      </c>
      <c r="HL175" s="103">
        <f t="shared" si="867"/>
        <v>405928.95</v>
      </c>
      <c r="HM175" s="103">
        <f t="shared" si="868"/>
        <v>19329.950000000012</v>
      </c>
      <c r="HN175" s="17">
        <f t="shared" si="869"/>
        <v>0.9500000000007276</v>
      </c>
      <c r="HO175" s="56">
        <f t="shared" si="870"/>
        <v>19329.000000000011</v>
      </c>
      <c r="HP175" s="16">
        <f t="shared" si="871"/>
        <v>0</v>
      </c>
      <c r="HQ175" s="16">
        <f t="shared" si="872"/>
        <v>405928</v>
      </c>
      <c r="HR175" s="16">
        <f t="shared" si="873"/>
        <v>0</v>
      </c>
    </row>
    <row r="176" spans="1:226" x14ac:dyDescent="0.3">
      <c r="A176" s="297">
        <v>6</v>
      </c>
      <c r="B176" s="189" t="s">
        <v>114</v>
      </c>
      <c r="C176" s="297" t="s">
        <v>347</v>
      </c>
      <c r="D176" s="192" t="s">
        <v>115</v>
      </c>
      <c r="E176" s="9"/>
      <c r="F176" s="9"/>
      <c r="G176" s="9"/>
      <c r="H176" s="324"/>
      <c r="I176" s="324">
        <v>55</v>
      </c>
      <c r="J176" s="324"/>
      <c r="K176" s="324"/>
      <c r="L176" s="324">
        <v>55</v>
      </c>
      <c r="M176" s="23">
        <v>55</v>
      </c>
      <c r="N176" s="23">
        <v>55</v>
      </c>
      <c r="O176" s="298">
        <v>55</v>
      </c>
      <c r="P176" s="298">
        <v>55</v>
      </c>
      <c r="Q176" s="298">
        <v>55</v>
      </c>
      <c r="R176" s="298">
        <v>55</v>
      </c>
      <c r="S176" s="298">
        <v>55</v>
      </c>
      <c r="T176" s="298">
        <v>55</v>
      </c>
      <c r="U176" s="298">
        <f t="shared" si="874"/>
        <v>2.75</v>
      </c>
      <c r="V176" s="298">
        <f t="shared" si="875"/>
        <v>57.75</v>
      </c>
      <c r="W176" s="298">
        <v>57</v>
      </c>
      <c r="X176" s="298">
        <v>57</v>
      </c>
      <c r="Y176" s="298">
        <v>57</v>
      </c>
      <c r="Z176" s="298">
        <v>57</v>
      </c>
      <c r="AA176" s="298">
        <v>57</v>
      </c>
      <c r="AB176" s="298">
        <v>57</v>
      </c>
      <c r="AC176" s="9">
        <v>0</v>
      </c>
      <c r="AD176" s="9">
        <v>0</v>
      </c>
      <c r="AE176" s="298">
        <f t="shared" si="876"/>
        <v>57</v>
      </c>
      <c r="AF176" s="298">
        <v>57</v>
      </c>
      <c r="AG176" s="9">
        <v>0</v>
      </c>
      <c r="AH176" s="9">
        <v>0</v>
      </c>
      <c r="AI176" s="298">
        <f t="shared" si="877"/>
        <v>57</v>
      </c>
      <c r="AJ176" s="298">
        <v>57</v>
      </c>
      <c r="AK176" s="9">
        <v>0</v>
      </c>
      <c r="AL176" s="9">
        <v>0</v>
      </c>
      <c r="AM176" s="298">
        <f t="shared" si="773"/>
        <v>57</v>
      </c>
      <c r="AN176" s="298">
        <v>57</v>
      </c>
      <c r="AO176" s="9">
        <v>0</v>
      </c>
      <c r="AP176" s="9">
        <v>0</v>
      </c>
      <c r="AQ176" s="298">
        <f t="shared" si="774"/>
        <v>57</v>
      </c>
      <c r="AR176" s="298">
        <v>57</v>
      </c>
      <c r="AS176" s="9">
        <v>0</v>
      </c>
      <c r="AT176" s="9">
        <v>0</v>
      </c>
      <c r="AU176" s="298">
        <f t="shared" si="775"/>
        <v>57</v>
      </c>
      <c r="AV176" s="298">
        <v>57</v>
      </c>
      <c r="AW176" s="9">
        <v>0</v>
      </c>
      <c r="AX176" s="9">
        <v>0</v>
      </c>
      <c r="AY176" s="298">
        <f t="shared" si="776"/>
        <v>57</v>
      </c>
      <c r="AZ176" s="8">
        <f t="shared" si="815"/>
        <v>2.85</v>
      </c>
      <c r="BA176" s="8">
        <v>0.85</v>
      </c>
      <c r="BB176" s="8">
        <f t="shared" si="816"/>
        <v>2</v>
      </c>
      <c r="BC176" s="8">
        <f t="shared" si="817"/>
        <v>59</v>
      </c>
      <c r="BD176" s="8"/>
      <c r="BE176" s="8">
        <f t="shared" si="818"/>
        <v>59</v>
      </c>
      <c r="BF176" s="10">
        <f t="shared" si="819"/>
        <v>2</v>
      </c>
      <c r="BG176" s="11">
        <f t="shared" si="820"/>
        <v>0</v>
      </c>
      <c r="BH176" s="319">
        <v>59</v>
      </c>
      <c r="BI176" s="319">
        <v>0</v>
      </c>
      <c r="BJ176" s="319">
        <v>0</v>
      </c>
      <c r="BK176" s="319">
        <f t="shared" si="777"/>
        <v>59</v>
      </c>
      <c r="BL176" s="319">
        <v>59</v>
      </c>
      <c r="BM176" s="319">
        <v>0</v>
      </c>
      <c r="BN176" s="319">
        <v>0</v>
      </c>
      <c r="BO176" s="319">
        <f t="shared" si="778"/>
        <v>59</v>
      </c>
      <c r="BP176" s="319">
        <f t="shared" si="821"/>
        <v>0</v>
      </c>
      <c r="BQ176" s="319">
        <v>59</v>
      </c>
      <c r="BR176" s="319">
        <v>0</v>
      </c>
      <c r="BS176" s="319">
        <v>0</v>
      </c>
      <c r="BT176" s="319">
        <f t="shared" si="779"/>
        <v>59</v>
      </c>
      <c r="BU176" s="319">
        <f t="shared" si="780"/>
        <v>0</v>
      </c>
      <c r="BV176" s="319">
        <v>59</v>
      </c>
      <c r="BW176" s="319">
        <v>0</v>
      </c>
      <c r="BX176" s="319">
        <v>0</v>
      </c>
      <c r="BY176" s="319">
        <f t="shared" si="781"/>
        <v>59</v>
      </c>
      <c r="BZ176" s="319">
        <f t="shared" si="782"/>
        <v>0</v>
      </c>
      <c r="CA176" s="319">
        <v>59</v>
      </c>
      <c r="CB176" s="319">
        <v>0</v>
      </c>
      <c r="CC176" s="319">
        <v>0</v>
      </c>
      <c r="CD176" s="319">
        <f t="shared" si="783"/>
        <v>59</v>
      </c>
      <c r="CE176" s="319">
        <f t="shared" si="784"/>
        <v>0</v>
      </c>
      <c r="CF176" s="319">
        <v>59</v>
      </c>
      <c r="CG176" s="319">
        <v>0</v>
      </c>
      <c r="CH176" s="319">
        <v>0</v>
      </c>
      <c r="CI176" s="319">
        <f t="shared" si="785"/>
        <v>59</v>
      </c>
      <c r="CJ176" s="319">
        <f t="shared" si="786"/>
        <v>0</v>
      </c>
      <c r="CK176" s="319">
        <v>59</v>
      </c>
      <c r="CL176" s="319">
        <v>0</v>
      </c>
      <c r="CM176" s="319">
        <v>0</v>
      </c>
      <c r="CN176" s="319">
        <f t="shared" si="787"/>
        <v>59</v>
      </c>
      <c r="CO176" s="319">
        <f t="shared" si="788"/>
        <v>0</v>
      </c>
      <c r="CP176" s="319">
        <v>59</v>
      </c>
      <c r="CQ176" s="319">
        <v>0</v>
      </c>
      <c r="CR176" s="319">
        <v>0</v>
      </c>
      <c r="CS176" s="319">
        <f t="shared" si="789"/>
        <v>59</v>
      </c>
      <c r="CT176" s="319">
        <f t="shared" si="790"/>
        <v>0</v>
      </c>
      <c r="CU176" s="319">
        <v>59</v>
      </c>
      <c r="CV176" s="319">
        <v>0</v>
      </c>
      <c r="CW176" s="319">
        <v>0</v>
      </c>
      <c r="CX176" s="319">
        <f t="shared" si="791"/>
        <v>59</v>
      </c>
      <c r="CY176" s="319">
        <f t="shared" si="792"/>
        <v>0</v>
      </c>
      <c r="CZ176" s="319"/>
      <c r="DA176" s="319"/>
      <c r="DB176" s="319"/>
      <c r="DC176" s="12">
        <f t="shared" si="822"/>
        <v>5.9</v>
      </c>
      <c r="DD176" s="12">
        <v>0.9</v>
      </c>
      <c r="DE176" s="13">
        <f t="shared" si="823"/>
        <v>5</v>
      </c>
      <c r="DF176" s="14">
        <f t="shared" si="793"/>
        <v>5</v>
      </c>
      <c r="DG176" s="13">
        <f t="shared" si="794"/>
        <v>64</v>
      </c>
      <c r="DH176" s="15">
        <f t="shared" si="795"/>
        <v>4.6151549443348985E-6</v>
      </c>
      <c r="DI176" s="16">
        <f t="shared" si="796"/>
        <v>59</v>
      </c>
      <c r="DJ176" s="132">
        <f t="shared" si="824"/>
        <v>64.900000000000006</v>
      </c>
      <c r="DK176" s="17">
        <f t="shared" si="825"/>
        <v>5.9000000000000057</v>
      </c>
      <c r="DL176" s="17">
        <f t="shared" si="797"/>
        <v>0.9</v>
      </c>
      <c r="DM176" s="16">
        <f t="shared" si="826"/>
        <v>5.0000000000000053</v>
      </c>
      <c r="DN176" s="16">
        <f t="shared" si="798"/>
        <v>0</v>
      </c>
      <c r="DO176" s="16">
        <f t="shared" si="827"/>
        <v>64</v>
      </c>
      <c r="DP176" s="16">
        <f t="shared" si="799"/>
        <v>0</v>
      </c>
      <c r="DQ176" s="9">
        <v>64</v>
      </c>
      <c r="DR176" s="18" t="s">
        <v>238</v>
      </c>
      <c r="DS176" s="18" t="s">
        <v>238</v>
      </c>
      <c r="DT176" s="324">
        <f t="shared" si="828"/>
        <v>64</v>
      </c>
      <c r="DU176" s="321">
        <f t="shared" si="829"/>
        <v>64</v>
      </c>
      <c r="DV176" s="19">
        <f t="shared" si="830"/>
        <v>0</v>
      </c>
      <c r="DW176" s="9">
        <v>64</v>
      </c>
      <c r="DX176" s="18"/>
      <c r="DY176" s="18"/>
      <c r="DZ176" s="324">
        <f t="shared" si="831"/>
        <v>64</v>
      </c>
      <c r="EA176" s="321">
        <f t="shared" si="832"/>
        <v>64</v>
      </c>
      <c r="EB176" s="179">
        <f t="shared" si="800"/>
        <v>0</v>
      </c>
      <c r="EC176" s="9">
        <v>64</v>
      </c>
      <c r="ED176" s="18" t="s">
        <v>238</v>
      </c>
      <c r="EE176" s="18" t="s">
        <v>238</v>
      </c>
      <c r="EF176" s="324">
        <f t="shared" si="833"/>
        <v>64</v>
      </c>
      <c r="EG176" s="321">
        <f t="shared" si="834"/>
        <v>64</v>
      </c>
      <c r="EH176" s="179">
        <f t="shared" si="801"/>
        <v>0</v>
      </c>
      <c r="EI176" s="9">
        <v>64</v>
      </c>
      <c r="EJ176" s="18" t="s">
        <v>238</v>
      </c>
      <c r="EK176" s="18" t="s">
        <v>238</v>
      </c>
      <c r="EL176" s="324">
        <f t="shared" si="835"/>
        <v>64</v>
      </c>
      <c r="EM176" s="321">
        <f t="shared" si="836"/>
        <v>64</v>
      </c>
      <c r="EN176" s="179">
        <f t="shared" si="802"/>
        <v>0</v>
      </c>
      <c r="EO176" s="9">
        <v>64</v>
      </c>
      <c r="EP176" s="18" t="s">
        <v>238</v>
      </c>
      <c r="EQ176" s="18" t="s">
        <v>238</v>
      </c>
      <c r="ER176" s="324">
        <f t="shared" si="837"/>
        <v>64</v>
      </c>
      <c r="ES176" s="321">
        <f t="shared" si="838"/>
        <v>64</v>
      </c>
      <c r="ET176" s="179">
        <f t="shared" si="803"/>
        <v>0</v>
      </c>
      <c r="EU176" s="9">
        <v>64</v>
      </c>
      <c r="EV176" s="18" t="s">
        <v>238</v>
      </c>
      <c r="EW176" s="18" t="s">
        <v>238</v>
      </c>
      <c r="EX176" s="324">
        <f t="shared" si="839"/>
        <v>64</v>
      </c>
      <c r="EY176" s="321">
        <f t="shared" si="840"/>
        <v>64</v>
      </c>
      <c r="EZ176" s="179">
        <f t="shared" si="804"/>
        <v>0</v>
      </c>
      <c r="FA176" s="9">
        <v>64</v>
      </c>
      <c r="FB176" s="18" t="s">
        <v>238</v>
      </c>
      <c r="FC176" s="18" t="s">
        <v>238</v>
      </c>
      <c r="FD176" s="324">
        <f t="shared" si="841"/>
        <v>64</v>
      </c>
      <c r="FE176" s="321">
        <f t="shared" si="842"/>
        <v>64</v>
      </c>
      <c r="FF176" s="179">
        <f t="shared" si="805"/>
        <v>0</v>
      </c>
      <c r="FG176" s="9">
        <v>64</v>
      </c>
      <c r="FH176" s="18" t="s">
        <v>238</v>
      </c>
      <c r="FI176" s="18" t="s">
        <v>238</v>
      </c>
      <c r="FJ176" s="324">
        <f t="shared" si="843"/>
        <v>64</v>
      </c>
      <c r="FK176" s="321">
        <f t="shared" si="844"/>
        <v>64</v>
      </c>
      <c r="FL176" s="179">
        <f t="shared" si="806"/>
        <v>0</v>
      </c>
      <c r="FM176" s="9">
        <v>64</v>
      </c>
      <c r="FN176" s="18" t="s">
        <v>238</v>
      </c>
      <c r="FO176" s="18" t="s">
        <v>238</v>
      </c>
      <c r="FP176" s="324">
        <f t="shared" si="845"/>
        <v>64</v>
      </c>
      <c r="FQ176" s="321">
        <f t="shared" si="846"/>
        <v>64</v>
      </c>
      <c r="FR176" s="179">
        <f t="shared" si="807"/>
        <v>0</v>
      </c>
      <c r="FS176" s="9">
        <v>64</v>
      </c>
      <c r="FT176" s="18" t="s">
        <v>238</v>
      </c>
      <c r="FU176" s="18" t="s">
        <v>238</v>
      </c>
      <c r="FV176" s="324">
        <f t="shared" si="847"/>
        <v>64</v>
      </c>
      <c r="FW176" s="321">
        <f t="shared" si="848"/>
        <v>64</v>
      </c>
      <c r="FX176" s="179">
        <f t="shared" si="808"/>
        <v>0</v>
      </c>
      <c r="FY176" s="9">
        <v>64</v>
      </c>
      <c r="FZ176" s="18" t="s">
        <v>238</v>
      </c>
      <c r="GA176" s="18" t="s">
        <v>238</v>
      </c>
      <c r="GB176" s="324">
        <f t="shared" si="849"/>
        <v>64</v>
      </c>
      <c r="GC176" s="321">
        <f t="shared" si="850"/>
        <v>64</v>
      </c>
      <c r="GD176" s="179">
        <f t="shared" si="809"/>
        <v>0</v>
      </c>
      <c r="GE176" s="9">
        <v>64</v>
      </c>
      <c r="GF176" s="18" t="s">
        <v>238</v>
      </c>
      <c r="GG176" s="18" t="s">
        <v>238</v>
      </c>
      <c r="GH176" s="324">
        <f t="shared" si="851"/>
        <v>64</v>
      </c>
      <c r="GI176" s="321">
        <f t="shared" si="852"/>
        <v>64</v>
      </c>
      <c r="GJ176" s="179">
        <f t="shared" si="810"/>
        <v>0</v>
      </c>
      <c r="GK176" s="9">
        <v>64</v>
      </c>
      <c r="GL176" s="18" t="s">
        <v>238</v>
      </c>
      <c r="GM176" s="18" t="s">
        <v>238</v>
      </c>
      <c r="GN176" s="324">
        <f t="shared" si="853"/>
        <v>64</v>
      </c>
      <c r="GO176" s="321">
        <f t="shared" si="854"/>
        <v>64</v>
      </c>
      <c r="GP176" s="179">
        <f t="shared" si="811"/>
        <v>0</v>
      </c>
      <c r="GQ176" s="9">
        <v>64</v>
      </c>
      <c r="GR176" s="18" t="s">
        <v>238</v>
      </c>
      <c r="GS176" s="18" t="s">
        <v>238</v>
      </c>
      <c r="GT176" s="324">
        <f t="shared" si="855"/>
        <v>64</v>
      </c>
      <c r="GU176" s="321">
        <f t="shared" si="856"/>
        <v>64</v>
      </c>
      <c r="GV176" s="179">
        <f t="shared" si="812"/>
        <v>0</v>
      </c>
      <c r="GW176" s="9">
        <v>67</v>
      </c>
      <c r="GX176" s="18" t="s">
        <v>238</v>
      </c>
      <c r="GY176" s="18" t="s">
        <v>238</v>
      </c>
      <c r="GZ176" s="324">
        <f t="shared" si="857"/>
        <v>67</v>
      </c>
      <c r="HA176" s="321">
        <f t="shared" si="858"/>
        <v>67</v>
      </c>
      <c r="HB176" s="179">
        <f t="shared" si="813"/>
        <v>3</v>
      </c>
      <c r="HC176" s="102">
        <f t="shared" si="814"/>
        <v>4.5511543364781748E-6</v>
      </c>
      <c r="HD176" s="285">
        <f t="shared" si="859"/>
        <v>0</v>
      </c>
      <c r="HE176" s="12">
        <f t="shared" si="860"/>
        <v>3.2</v>
      </c>
      <c r="HF176" s="12">
        <f t="shared" si="861"/>
        <v>0.20000000000000018</v>
      </c>
      <c r="HG176" s="12">
        <f t="shared" si="862"/>
        <v>3</v>
      </c>
      <c r="HH176" s="14">
        <f t="shared" si="863"/>
        <v>3</v>
      </c>
      <c r="HI176" s="13">
        <f t="shared" si="864"/>
        <v>67</v>
      </c>
      <c r="HJ176" s="102">
        <f t="shared" si="865"/>
        <v>4.7644896960005893E-6</v>
      </c>
      <c r="HK176" s="16">
        <f t="shared" si="866"/>
        <v>64</v>
      </c>
      <c r="HL176" s="103">
        <f t="shared" si="867"/>
        <v>67.2</v>
      </c>
      <c r="HM176" s="103">
        <f t="shared" si="868"/>
        <v>3.2000000000000028</v>
      </c>
      <c r="HN176" s="17">
        <f t="shared" si="869"/>
        <v>0.20000000000000018</v>
      </c>
      <c r="HO176" s="56">
        <f t="shared" si="870"/>
        <v>3.0000000000000027</v>
      </c>
      <c r="HP176" s="16">
        <f t="shared" si="871"/>
        <v>0</v>
      </c>
      <c r="HQ176" s="16">
        <f t="shared" si="872"/>
        <v>67</v>
      </c>
      <c r="HR176" s="16">
        <f t="shared" si="873"/>
        <v>0</v>
      </c>
    </row>
    <row r="177" spans="1:226" x14ac:dyDescent="0.3">
      <c r="A177" s="310">
        <v>7</v>
      </c>
      <c r="B177" s="80" t="s">
        <v>107</v>
      </c>
      <c r="C177" s="310" t="s">
        <v>373</v>
      </c>
      <c r="D177" s="2" t="s">
        <v>108</v>
      </c>
      <c r="E177" s="9"/>
      <c r="F177" s="9"/>
      <c r="G177" s="9"/>
      <c r="H177" s="324"/>
      <c r="I177" s="324">
        <v>36</v>
      </c>
      <c r="J177" s="324"/>
      <c r="K177" s="324"/>
      <c r="L177" s="324">
        <v>36</v>
      </c>
      <c r="M177" s="23">
        <v>36</v>
      </c>
      <c r="N177" s="23">
        <v>36</v>
      </c>
      <c r="O177" s="298">
        <v>36</v>
      </c>
      <c r="P177" s="298">
        <v>36</v>
      </c>
      <c r="Q177" s="298">
        <v>36</v>
      </c>
      <c r="R177" s="298">
        <v>36</v>
      </c>
      <c r="S177" s="298">
        <v>36</v>
      </c>
      <c r="T177" s="298">
        <v>36</v>
      </c>
      <c r="U177" s="298">
        <f>T177*5%</f>
        <v>1.8</v>
      </c>
      <c r="V177" s="298">
        <f>T177+U177</f>
        <v>37.799999999999997</v>
      </c>
      <c r="W177" s="298">
        <v>37</v>
      </c>
      <c r="X177" s="298">
        <v>37</v>
      </c>
      <c r="Y177" s="298">
        <v>37</v>
      </c>
      <c r="Z177" s="298">
        <v>37</v>
      </c>
      <c r="AA177" s="298">
        <v>37</v>
      </c>
      <c r="AB177" s="298">
        <v>37</v>
      </c>
      <c r="AC177" s="9">
        <v>0</v>
      </c>
      <c r="AD177" s="9">
        <v>0</v>
      </c>
      <c r="AE177" s="298">
        <f>AD177+AC177+AB177</f>
        <v>37</v>
      </c>
      <c r="AF177" s="298">
        <v>37</v>
      </c>
      <c r="AG177" s="9">
        <v>0</v>
      </c>
      <c r="AH177" s="9">
        <v>0</v>
      </c>
      <c r="AI177" s="298">
        <f>AH177+AG177+AF177</f>
        <v>37</v>
      </c>
      <c r="AJ177" s="298">
        <v>0</v>
      </c>
      <c r="AK177" s="9">
        <v>0</v>
      </c>
      <c r="AL177" s="9">
        <v>0</v>
      </c>
      <c r="AM177" s="298">
        <f>AL177+AK177+AJ177</f>
        <v>0</v>
      </c>
      <c r="AN177" s="298">
        <v>0</v>
      </c>
      <c r="AO177" s="9">
        <v>0</v>
      </c>
      <c r="AP177" s="9">
        <v>0</v>
      </c>
      <c r="AQ177" s="298">
        <f>AP177+AO177+AN177</f>
        <v>0</v>
      </c>
      <c r="AR177" s="298">
        <v>0</v>
      </c>
      <c r="AS177" s="9">
        <v>0</v>
      </c>
      <c r="AT177" s="9">
        <v>0</v>
      </c>
      <c r="AU177" s="298">
        <f>AT177+AS177+AR177</f>
        <v>0</v>
      </c>
      <c r="AV177" s="298">
        <v>0</v>
      </c>
      <c r="AW177" s="9">
        <v>0</v>
      </c>
      <c r="AX177" s="9">
        <v>0</v>
      </c>
      <c r="AY177" s="298">
        <f>AX177+AW177+AV177</f>
        <v>0</v>
      </c>
      <c r="AZ177" s="8">
        <f t="shared" si="815"/>
        <v>0</v>
      </c>
      <c r="BA177" s="8"/>
      <c r="BB177" s="8">
        <f t="shared" si="816"/>
        <v>0</v>
      </c>
      <c r="BC177" s="8">
        <f t="shared" si="817"/>
        <v>0</v>
      </c>
      <c r="BD177" s="8"/>
      <c r="BE177" s="8">
        <f t="shared" si="818"/>
        <v>0</v>
      </c>
      <c r="BF177" s="10">
        <f t="shared" si="819"/>
        <v>0</v>
      </c>
      <c r="BG177" s="11">
        <f t="shared" si="820"/>
        <v>0</v>
      </c>
      <c r="BH177" s="319">
        <v>0</v>
      </c>
      <c r="BI177" s="319">
        <v>0</v>
      </c>
      <c r="BJ177" s="319">
        <v>0</v>
      </c>
      <c r="BK177" s="319">
        <f t="shared" si="777"/>
        <v>0</v>
      </c>
      <c r="BL177" s="319"/>
      <c r="BM177" s="319">
        <v>0</v>
      </c>
      <c r="BN177" s="319">
        <v>0</v>
      </c>
      <c r="BO177" s="319">
        <f t="shared" si="778"/>
        <v>0</v>
      </c>
      <c r="BP177" s="319">
        <f t="shared" si="821"/>
        <v>0</v>
      </c>
      <c r="BQ177" s="319"/>
      <c r="BR177" s="319">
        <v>0</v>
      </c>
      <c r="BS177" s="319">
        <v>0</v>
      </c>
      <c r="BT177" s="319">
        <f t="shared" si="779"/>
        <v>0</v>
      </c>
      <c r="BU177" s="319">
        <f t="shared" si="780"/>
        <v>0</v>
      </c>
      <c r="BV177" s="319">
        <v>0</v>
      </c>
      <c r="BW177" s="319">
        <v>0</v>
      </c>
      <c r="BX177" s="319">
        <v>0</v>
      </c>
      <c r="BY177" s="319">
        <f t="shared" si="781"/>
        <v>0</v>
      </c>
      <c r="BZ177" s="319">
        <f t="shared" si="782"/>
        <v>0</v>
      </c>
      <c r="CA177" s="319">
        <v>0</v>
      </c>
      <c r="CB177" s="319">
        <v>0</v>
      </c>
      <c r="CC177" s="319">
        <v>0</v>
      </c>
      <c r="CD177" s="319">
        <f t="shared" si="783"/>
        <v>0</v>
      </c>
      <c r="CE177" s="319">
        <f t="shared" si="784"/>
        <v>0</v>
      </c>
      <c r="CF177" s="319">
        <v>0</v>
      </c>
      <c r="CG177" s="319">
        <v>0</v>
      </c>
      <c r="CH177" s="319">
        <v>0</v>
      </c>
      <c r="CI177" s="319">
        <f t="shared" si="785"/>
        <v>0</v>
      </c>
      <c r="CJ177" s="319">
        <f t="shared" si="786"/>
        <v>0</v>
      </c>
      <c r="CK177" s="319">
        <v>0</v>
      </c>
      <c r="CL177" s="319">
        <v>0</v>
      </c>
      <c r="CM177" s="319">
        <v>0</v>
      </c>
      <c r="CN177" s="319">
        <f t="shared" si="787"/>
        <v>0</v>
      </c>
      <c r="CO177" s="319">
        <f t="shared" si="788"/>
        <v>0</v>
      </c>
      <c r="CP177" s="319">
        <v>0</v>
      </c>
      <c r="CQ177" s="319">
        <v>0</v>
      </c>
      <c r="CR177" s="319">
        <v>0</v>
      </c>
      <c r="CS177" s="319">
        <f t="shared" si="789"/>
        <v>0</v>
      </c>
      <c r="CT177" s="319">
        <f t="shared" si="790"/>
        <v>0</v>
      </c>
      <c r="CU177" s="319">
        <v>0</v>
      </c>
      <c r="CV177" s="319">
        <v>0</v>
      </c>
      <c r="CW177" s="319">
        <v>0</v>
      </c>
      <c r="CX177" s="319">
        <f t="shared" si="791"/>
        <v>0</v>
      </c>
      <c r="CY177" s="319">
        <f t="shared" si="792"/>
        <v>0</v>
      </c>
      <c r="CZ177" s="319"/>
      <c r="DA177" s="319"/>
      <c r="DB177" s="319"/>
      <c r="DC177" s="12">
        <f t="shared" si="822"/>
        <v>0</v>
      </c>
      <c r="DD177" s="12">
        <v>0</v>
      </c>
      <c r="DE177" s="13">
        <f t="shared" si="823"/>
        <v>0</v>
      </c>
      <c r="DF177" s="14">
        <f t="shared" si="793"/>
        <v>0</v>
      </c>
      <c r="DG177" s="13">
        <f t="shared" si="794"/>
        <v>0</v>
      </c>
      <c r="DH177" s="15">
        <f t="shared" si="795"/>
        <v>0</v>
      </c>
      <c r="DI177" s="16">
        <f t="shared" si="796"/>
        <v>0</v>
      </c>
      <c r="DJ177" s="132">
        <f t="shared" si="824"/>
        <v>0</v>
      </c>
      <c r="DK177" s="17">
        <f t="shared" si="825"/>
        <v>0</v>
      </c>
      <c r="DL177" s="17">
        <f t="shared" si="797"/>
        <v>0</v>
      </c>
      <c r="DM177" s="16">
        <f t="shared" si="826"/>
        <v>0</v>
      </c>
      <c r="DN177" s="16">
        <f t="shared" si="798"/>
        <v>0</v>
      </c>
      <c r="DO177" s="16">
        <f t="shared" si="827"/>
        <v>0</v>
      </c>
      <c r="DP177" s="16">
        <f t="shared" si="799"/>
        <v>0</v>
      </c>
      <c r="DQ177" s="9">
        <v>0</v>
      </c>
      <c r="DR177" s="18" t="s">
        <v>238</v>
      </c>
      <c r="DS177" s="18" t="s">
        <v>238</v>
      </c>
      <c r="DT177" s="324">
        <f t="shared" si="828"/>
        <v>0</v>
      </c>
      <c r="DU177" s="321">
        <f t="shared" si="829"/>
        <v>0</v>
      </c>
      <c r="DV177" s="19">
        <f t="shared" si="830"/>
        <v>0</v>
      </c>
      <c r="DW177" s="9"/>
      <c r="DX177" s="18"/>
      <c r="DY177" s="18"/>
      <c r="DZ177" s="324">
        <f t="shared" si="831"/>
        <v>0</v>
      </c>
      <c r="EA177" s="321">
        <f t="shared" si="832"/>
        <v>0</v>
      </c>
      <c r="EB177" s="179">
        <f t="shared" si="800"/>
        <v>0</v>
      </c>
      <c r="EC177" s="9">
        <v>0</v>
      </c>
      <c r="ED177" s="18" t="s">
        <v>238</v>
      </c>
      <c r="EE177" s="18" t="s">
        <v>238</v>
      </c>
      <c r="EF177" s="324">
        <f t="shared" si="833"/>
        <v>0</v>
      </c>
      <c r="EG177" s="321">
        <f t="shared" si="834"/>
        <v>0</v>
      </c>
      <c r="EH177" s="179">
        <f t="shared" si="801"/>
        <v>0</v>
      </c>
      <c r="EI177" s="9">
        <v>0</v>
      </c>
      <c r="EJ177" s="18" t="s">
        <v>238</v>
      </c>
      <c r="EK177" s="18" t="s">
        <v>238</v>
      </c>
      <c r="EL177" s="324">
        <f t="shared" si="835"/>
        <v>0</v>
      </c>
      <c r="EM177" s="321">
        <f t="shared" si="836"/>
        <v>0</v>
      </c>
      <c r="EN177" s="179">
        <f t="shared" si="802"/>
        <v>0</v>
      </c>
      <c r="EO177" s="9">
        <v>0</v>
      </c>
      <c r="EP177" s="18" t="s">
        <v>238</v>
      </c>
      <c r="EQ177" s="18" t="s">
        <v>238</v>
      </c>
      <c r="ER177" s="324">
        <f t="shared" si="837"/>
        <v>0</v>
      </c>
      <c r="ES177" s="321">
        <f t="shared" si="838"/>
        <v>0</v>
      </c>
      <c r="ET177" s="179">
        <f t="shared" si="803"/>
        <v>0</v>
      </c>
      <c r="EU177" s="9">
        <v>0</v>
      </c>
      <c r="EV177" s="18" t="s">
        <v>238</v>
      </c>
      <c r="EW177" s="18" t="s">
        <v>238</v>
      </c>
      <c r="EX177" s="324">
        <f t="shared" si="839"/>
        <v>0</v>
      </c>
      <c r="EY177" s="321">
        <f t="shared" si="840"/>
        <v>0</v>
      </c>
      <c r="EZ177" s="179">
        <f t="shared" si="804"/>
        <v>0</v>
      </c>
      <c r="FA177" s="9">
        <v>0</v>
      </c>
      <c r="FB177" s="18" t="s">
        <v>238</v>
      </c>
      <c r="FC177" s="18" t="s">
        <v>238</v>
      </c>
      <c r="FD177" s="324">
        <f t="shared" si="841"/>
        <v>0</v>
      </c>
      <c r="FE177" s="321">
        <f t="shared" si="842"/>
        <v>0</v>
      </c>
      <c r="FF177" s="179">
        <f t="shared" si="805"/>
        <v>0</v>
      </c>
      <c r="FG177" s="18" t="s">
        <v>238</v>
      </c>
      <c r="FH177" s="18" t="s">
        <v>238</v>
      </c>
      <c r="FI177" s="18" t="s">
        <v>238</v>
      </c>
      <c r="FJ177" s="324">
        <f t="shared" si="843"/>
        <v>0</v>
      </c>
      <c r="FK177" s="321">
        <f t="shared" si="844"/>
        <v>0</v>
      </c>
      <c r="FL177" s="179">
        <f t="shared" si="806"/>
        <v>0</v>
      </c>
      <c r="FM177" s="18" t="s">
        <v>238</v>
      </c>
      <c r="FN177" s="18" t="s">
        <v>238</v>
      </c>
      <c r="FO177" s="18" t="s">
        <v>238</v>
      </c>
      <c r="FP177" s="324">
        <f t="shared" si="845"/>
        <v>0</v>
      </c>
      <c r="FQ177" s="321">
        <f t="shared" si="846"/>
        <v>0</v>
      </c>
      <c r="FR177" s="179">
        <f t="shared" si="807"/>
        <v>0</v>
      </c>
      <c r="FS177" s="18" t="s">
        <v>238</v>
      </c>
      <c r="FT177" s="18" t="s">
        <v>238</v>
      </c>
      <c r="FU177" s="18" t="s">
        <v>238</v>
      </c>
      <c r="FV177" s="324">
        <f t="shared" si="847"/>
        <v>0</v>
      </c>
      <c r="FW177" s="321">
        <f t="shared" si="848"/>
        <v>0</v>
      </c>
      <c r="FX177" s="179">
        <f t="shared" si="808"/>
        <v>0</v>
      </c>
      <c r="FY177" s="18" t="s">
        <v>238</v>
      </c>
      <c r="FZ177" s="18" t="s">
        <v>238</v>
      </c>
      <c r="GA177" s="18" t="s">
        <v>238</v>
      </c>
      <c r="GB177" s="324">
        <f t="shared" si="849"/>
        <v>0</v>
      </c>
      <c r="GC177" s="321">
        <f t="shared" si="850"/>
        <v>0</v>
      </c>
      <c r="GD177" s="179">
        <f t="shared" si="809"/>
        <v>0</v>
      </c>
      <c r="GE177" s="18" t="s">
        <v>238</v>
      </c>
      <c r="GF177" s="18" t="s">
        <v>238</v>
      </c>
      <c r="GG177" s="18" t="s">
        <v>238</v>
      </c>
      <c r="GH177" s="324">
        <f t="shared" si="851"/>
        <v>0</v>
      </c>
      <c r="GI177" s="321">
        <f t="shared" si="852"/>
        <v>0</v>
      </c>
      <c r="GJ177" s="179">
        <f t="shared" si="810"/>
        <v>0</v>
      </c>
      <c r="GK177" s="18" t="s">
        <v>238</v>
      </c>
      <c r="GL177" s="18" t="s">
        <v>238</v>
      </c>
      <c r="GM177" s="18" t="s">
        <v>238</v>
      </c>
      <c r="GN177" s="324">
        <f t="shared" si="853"/>
        <v>0</v>
      </c>
      <c r="GO177" s="321">
        <f t="shared" si="854"/>
        <v>0</v>
      </c>
      <c r="GP177" s="179">
        <f t="shared" si="811"/>
        <v>0</v>
      </c>
      <c r="GQ177" s="18" t="s">
        <v>238</v>
      </c>
      <c r="GR177" s="18" t="s">
        <v>238</v>
      </c>
      <c r="GS177" s="18" t="s">
        <v>238</v>
      </c>
      <c r="GT177" s="324">
        <f t="shared" si="855"/>
        <v>0</v>
      </c>
      <c r="GU177" s="321">
        <f t="shared" si="856"/>
        <v>0</v>
      </c>
      <c r="GV177" s="179">
        <f t="shared" si="812"/>
        <v>0</v>
      </c>
      <c r="GW177" s="18" t="s">
        <v>238</v>
      </c>
      <c r="GX177" s="18" t="s">
        <v>238</v>
      </c>
      <c r="GY177" s="18" t="s">
        <v>238</v>
      </c>
      <c r="GZ177" s="324">
        <f t="shared" si="857"/>
        <v>0</v>
      </c>
      <c r="HA177" s="321">
        <f t="shared" si="858"/>
        <v>0</v>
      </c>
      <c r="HB177" s="179">
        <f t="shared" si="813"/>
        <v>0</v>
      </c>
      <c r="HC177" s="102">
        <f t="shared" si="814"/>
        <v>0</v>
      </c>
      <c r="HD177" s="285">
        <f t="shared" si="859"/>
        <v>0</v>
      </c>
      <c r="HE177" s="12">
        <f t="shared" si="860"/>
        <v>0</v>
      </c>
      <c r="HF177" s="12">
        <f t="shared" si="861"/>
        <v>0</v>
      </c>
      <c r="HG177" s="12">
        <f t="shared" si="862"/>
        <v>0</v>
      </c>
      <c r="HH177" s="14">
        <f t="shared" si="863"/>
        <v>0</v>
      </c>
      <c r="HI177" s="13">
        <f t="shared" si="864"/>
        <v>0</v>
      </c>
      <c r="HJ177" s="102">
        <f t="shared" si="865"/>
        <v>0</v>
      </c>
      <c r="HK177" s="16">
        <f t="shared" si="866"/>
        <v>0</v>
      </c>
      <c r="HL177" s="103">
        <f t="shared" si="867"/>
        <v>0</v>
      </c>
      <c r="HM177" s="103">
        <f t="shared" si="868"/>
        <v>0</v>
      </c>
      <c r="HN177" s="17">
        <f t="shared" si="869"/>
        <v>0</v>
      </c>
      <c r="HO177" s="56">
        <f t="shared" si="870"/>
        <v>0</v>
      </c>
      <c r="HP177" s="16">
        <f t="shared" si="871"/>
        <v>0</v>
      </c>
      <c r="HQ177" s="16">
        <f t="shared" si="872"/>
        <v>0</v>
      </c>
      <c r="HR177" s="16">
        <f t="shared" si="873"/>
        <v>0</v>
      </c>
    </row>
    <row r="178" spans="1:226" x14ac:dyDescent="0.3">
      <c r="A178" s="310">
        <v>9</v>
      </c>
      <c r="B178" s="303" t="s">
        <v>105</v>
      </c>
      <c r="C178" s="310" t="s">
        <v>350</v>
      </c>
      <c r="D178" s="2" t="s">
        <v>106</v>
      </c>
      <c r="E178" s="9"/>
      <c r="F178" s="9"/>
      <c r="G178" s="9"/>
      <c r="H178" s="324"/>
      <c r="I178" s="324">
        <v>0</v>
      </c>
      <c r="J178" s="324"/>
      <c r="K178" s="324"/>
      <c r="L178" s="324">
        <v>0</v>
      </c>
      <c r="M178" s="23">
        <v>0</v>
      </c>
      <c r="N178" s="23">
        <v>0</v>
      </c>
      <c r="O178" s="298">
        <v>0</v>
      </c>
      <c r="P178" s="298">
        <v>0</v>
      </c>
      <c r="Q178" s="298">
        <v>0</v>
      </c>
      <c r="R178" s="298">
        <v>0</v>
      </c>
      <c r="S178" s="298">
        <v>0</v>
      </c>
      <c r="T178" s="298">
        <v>0</v>
      </c>
      <c r="U178" s="298">
        <f>T178*5%</f>
        <v>0</v>
      </c>
      <c r="V178" s="298">
        <f>T178+U178</f>
        <v>0</v>
      </c>
      <c r="W178" s="298">
        <v>0</v>
      </c>
      <c r="X178" s="298">
        <v>0</v>
      </c>
      <c r="Y178" s="298">
        <v>0</v>
      </c>
      <c r="Z178" s="298">
        <v>0</v>
      </c>
      <c r="AA178" s="298">
        <v>0</v>
      </c>
      <c r="AB178" s="298">
        <v>0</v>
      </c>
      <c r="AC178" s="9">
        <v>0</v>
      </c>
      <c r="AD178" s="9">
        <v>0</v>
      </c>
      <c r="AE178" s="298">
        <f>AD178+AC178+AB178</f>
        <v>0</v>
      </c>
      <c r="AF178" s="298">
        <v>0</v>
      </c>
      <c r="AG178" s="9">
        <v>0</v>
      </c>
      <c r="AH178" s="9">
        <v>0</v>
      </c>
      <c r="AI178" s="298">
        <f>AH178+AG178+AF178</f>
        <v>0</v>
      </c>
      <c r="AJ178" s="298">
        <v>0</v>
      </c>
      <c r="AK178" s="9">
        <v>0</v>
      </c>
      <c r="AL178" s="9">
        <v>0</v>
      </c>
      <c r="AM178" s="298">
        <f>AL178+AK178+AJ178</f>
        <v>0</v>
      </c>
      <c r="AN178" s="298">
        <v>0</v>
      </c>
      <c r="AO178" s="9">
        <v>0</v>
      </c>
      <c r="AP178" s="9">
        <v>0</v>
      </c>
      <c r="AQ178" s="298">
        <f>AP178+AO178+AN178</f>
        <v>0</v>
      </c>
      <c r="AR178" s="298">
        <v>0</v>
      </c>
      <c r="AS178" s="9">
        <v>0</v>
      </c>
      <c r="AT178" s="9">
        <v>0</v>
      </c>
      <c r="AU178" s="298">
        <f>AT178+AS178+AR178</f>
        <v>0</v>
      </c>
      <c r="AV178" s="298">
        <v>0</v>
      </c>
      <c r="AW178" s="9">
        <v>0</v>
      </c>
      <c r="AX178" s="9">
        <v>0</v>
      </c>
      <c r="AY178" s="298">
        <f>AX178+AW178+AV178</f>
        <v>0</v>
      </c>
      <c r="AZ178" s="8">
        <f t="shared" si="815"/>
        <v>0</v>
      </c>
      <c r="BA178" s="8"/>
      <c r="BB178" s="8">
        <f t="shared" si="816"/>
        <v>0</v>
      </c>
      <c r="BC178" s="8">
        <f t="shared" si="817"/>
        <v>0</v>
      </c>
      <c r="BD178" s="8"/>
      <c r="BE178" s="8">
        <f t="shared" si="818"/>
        <v>0</v>
      </c>
      <c r="BF178" s="10">
        <f t="shared" si="819"/>
        <v>0</v>
      </c>
      <c r="BG178" s="11">
        <f t="shared" si="820"/>
        <v>0</v>
      </c>
      <c r="BH178" s="319">
        <v>0</v>
      </c>
      <c r="BI178" s="319">
        <v>0</v>
      </c>
      <c r="BJ178" s="319">
        <v>0</v>
      </c>
      <c r="BK178" s="319">
        <f t="shared" si="777"/>
        <v>0</v>
      </c>
      <c r="BL178" s="319"/>
      <c r="BM178" s="319">
        <v>0</v>
      </c>
      <c r="BN178" s="319">
        <v>0</v>
      </c>
      <c r="BO178" s="319">
        <f t="shared" si="778"/>
        <v>0</v>
      </c>
      <c r="BP178" s="319">
        <f t="shared" si="821"/>
        <v>0</v>
      </c>
      <c r="BQ178" s="319"/>
      <c r="BR178" s="319">
        <v>0</v>
      </c>
      <c r="BS178" s="319">
        <v>0</v>
      </c>
      <c r="BT178" s="319">
        <f t="shared" si="779"/>
        <v>0</v>
      </c>
      <c r="BU178" s="319">
        <f t="shared" si="780"/>
        <v>0</v>
      </c>
      <c r="BV178" s="319">
        <v>0</v>
      </c>
      <c r="BW178" s="319">
        <v>0</v>
      </c>
      <c r="BX178" s="319">
        <v>0</v>
      </c>
      <c r="BY178" s="319">
        <f t="shared" si="781"/>
        <v>0</v>
      </c>
      <c r="BZ178" s="319">
        <f t="shared" si="782"/>
        <v>0</v>
      </c>
      <c r="CA178" s="319">
        <v>0</v>
      </c>
      <c r="CB178" s="319">
        <v>0</v>
      </c>
      <c r="CC178" s="319">
        <v>0</v>
      </c>
      <c r="CD178" s="319">
        <f t="shared" si="783"/>
        <v>0</v>
      </c>
      <c r="CE178" s="319">
        <f t="shared" si="784"/>
        <v>0</v>
      </c>
      <c r="CF178" s="319">
        <v>0</v>
      </c>
      <c r="CG178" s="319">
        <v>0</v>
      </c>
      <c r="CH178" s="319">
        <v>0</v>
      </c>
      <c r="CI178" s="319">
        <f t="shared" si="785"/>
        <v>0</v>
      </c>
      <c r="CJ178" s="319">
        <f t="shared" si="786"/>
        <v>0</v>
      </c>
      <c r="CK178" s="319">
        <v>0</v>
      </c>
      <c r="CL178" s="319">
        <v>0</v>
      </c>
      <c r="CM178" s="319">
        <v>0</v>
      </c>
      <c r="CN178" s="319">
        <f t="shared" si="787"/>
        <v>0</v>
      </c>
      <c r="CO178" s="319">
        <f t="shared" si="788"/>
        <v>0</v>
      </c>
      <c r="CP178" s="319">
        <v>0</v>
      </c>
      <c r="CQ178" s="319">
        <v>0</v>
      </c>
      <c r="CR178" s="319">
        <v>0</v>
      </c>
      <c r="CS178" s="319">
        <f t="shared" si="789"/>
        <v>0</v>
      </c>
      <c r="CT178" s="319">
        <f t="shared" si="790"/>
        <v>0</v>
      </c>
      <c r="CU178" s="319">
        <v>0</v>
      </c>
      <c r="CV178" s="319">
        <v>0</v>
      </c>
      <c r="CW178" s="319">
        <v>0</v>
      </c>
      <c r="CX178" s="319">
        <f t="shared" si="791"/>
        <v>0</v>
      </c>
      <c r="CY178" s="319">
        <f t="shared" si="792"/>
        <v>0</v>
      </c>
      <c r="CZ178" s="319"/>
      <c r="DA178" s="319"/>
      <c r="DB178" s="319"/>
      <c r="DC178" s="12">
        <f t="shared" si="822"/>
        <v>0</v>
      </c>
      <c r="DD178" s="12">
        <v>0</v>
      </c>
      <c r="DE178" s="13">
        <f t="shared" si="823"/>
        <v>0</v>
      </c>
      <c r="DF178" s="14">
        <f t="shared" si="793"/>
        <v>0</v>
      </c>
      <c r="DG178" s="13">
        <f t="shared" si="794"/>
        <v>0</v>
      </c>
      <c r="DH178" s="15">
        <f t="shared" si="795"/>
        <v>0</v>
      </c>
      <c r="DI178" s="16">
        <f t="shared" si="796"/>
        <v>0</v>
      </c>
      <c r="DJ178" s="132">
        <f t="shared" si="824"/>
        <v>0</v>
      </c>
      <c r="DK178" s="17">
        <f t="shared" si="825"/>
        <v>0</v>
      </c>
      <c r="DL178" s="17">
        <f t="shared" si="797"/>
        <v>0</v>
      </c>
      <c r="DM178" s="16">
        <f t="shared" si="826"/>
        <v>0</v>
      </c>
      <c r="DN178" s="16">
        <f t="shared" si="798"/>
        <v>0</v>
      </c>
      <c r="DO178" s="16">
        <f t="shared" si="827"/>
        <v>0</v>
      </c>
      <c r="DP178" s="16">
        <f t="shared" si="799"/>
        <v>0</v>
      </c>
      <c r="DQ178" s="9">
        <v>0</v>
      </c>
      <c r="DR178" s="18" t="s">
        <v>238</v>
      </c>
      <c r="DS178" s="18" t="s">
        <v>238</v>
      </c>
      <c r="DT178" s="324">
        <f t="shared" si="828"/>
        <v>0</v>
      </c>
      <c r="DU178" s="321">
        <f t="shared" si="829"/>
        <v>0</v>
      </c>
      <c r="DV178" s="19">
        <f t="shared" si="830"/>
        <v>0</v>
      </c>
      <c r="DW178" s="9"/>
      <c r="DX178" s="18"/>
      <c r="DY178" s="18"/>
      <c r="DZ178" s="324">
        <f t="shared" si="831"/>
        <v>0</v>
      </c>
      <c r="EA178" s="321">
        <f t="shared" si="832"/>
        <v>0</v>
      </c>
      <c r="EB178" s="179">
        <f t="shared" si="800"/>
        <v>0</v>
      </c>
      <c r="EC178" s="9">
        <v>0</v>
      </c>
      <c r="ED178" s="18" t="s">
        <v>238</v>
      </c>
      <c r="EE178" s="18" t="s">
        <v>238</v>
      </c>
      <c r="EF178" s="324">
        <f t="shared" si="833"/>
        <v>0</v>
      </c>
      <c r="EG178" s="321">
        <f t="shared" si="834"/>
        <v>0</v>
      </c>
      <c r="EH178" s="179">
        <f t="shared" si="801"/>
        <v>0</v>
      </c>
      <c r="EI178" s="9">
        <v>0</v>
      </c>
      <c r="EJ178" s="18" t="s">
        <v>238</v>
      </c>
      <c r="EK178" s="18" t="s">
        <v>238</v>
      </c>
      <c r="EL178" s="324">
        <f t="shared" si="835"/>
        <v>0</v>
      </c>
      <c r="EM178" s="321">
        <f t="shared" si="836"/>
        <v>0</v>
      </c>
      <c r="EN178" s="179">
        <f t="shared" si="802"/>
        <v>0</v>
      </c>
      <c r="EO178" s="9">
        <v>0</v>
      </c>
      <c r="EP178" s="18" t="s">
        <v>238</v>
      </c>
      <c r="EQ178" s="18" t="s">
        <v>238</v>
      </c>
      <c r="ER178" s="324">
        <f t="shared" si="837"/>
        <v>0</v>
      </c>
      <c r="ES178" s="321">
        <f t="shared" si="838"/>
        <v>0</v>
      </c>
      <c r="ET178" s="179">
        <f t="shared" si="803"/>
        <v>0</v>
      </c>
      <c r="EU178" s="9">
        <v>0</v>
      </c>
      <c r="EV178" s="18" t="s">
        <v>238</v>
      </c>
      <c r="EW178" s="18" t="s">
        <v>238</v>
      </c>
      <c r="EX178" s="324">
        <f t="shared" si="839"/>
        <v>0</v>
      </c>
      <c r="EY178" s="321">
        <f t="shared" si="840"/>
        <v>0</v>
      </c>
      <c r="EZ178" s="179">
        <f t="shared" si="804"/>
        <v>0</v>
      </c>
      <c r="FA178" s="9">
        <v>0</v>
      </c>
      <c r="FB178" s="18" t="s">
        <v>238</v>
      </c>
      <c r="FC178" s="18" t="s">
        <v>238</v>
      </c>
      <c r="FD178" s="324">
        <f t="shared" si="841"/>
        <v>0</v>
      </c>
      <c r="FE178" s="321">
        <f t="shared" si="842"/>
        <v>0</v>
      </c>
      <c r="FF178" s="179">
        <f t="shared" si="805"/>
        <v>0</v>
      </c>
      <c r="FG178" s="18" t="s">
        <v>238</v>
      </c>
      <c r="FH178" s="18" t="s">
        <v>238</v>
      </c>
      <c r="FI178" s="18" t="s">
        <v>238</v>
      </c>
      <c r="FJ178" s="324">
        <f t="shared" si="843"/>
        <v>0</v>
      </c>
      <c r="FK178" s="321">
        <f t="shared" si="844"/>
        <v>0</v>
      </c>
      <c r="FL178" s="179">
        <f t="shared" si="806"/>
        <v>0</v>
      </c>
      <c r="FM178" s="18" t="s">
        <v>238</v>
      </c>
      <c r="FN178" s="18" t="s">
        <v>238</v>
      </c>
      <c r="FO178" s="18" t="s">
        <v>238</v>
      </c>
      <c r="FP178" s="324">
        <f t="shared" si="845"/>
        <v>0</v>
      </c>
      <c r="FQ178" s="321">
        <f t="shared" si="846"/>
        <v>0</v>
      </c>
      <c r="FR178" s="179">
        <f t="shared" si="807"/>
        <v>0</v>
      </c>
      <c r="FS178" s="18" t="s">
        <v>238</v>
      </c>
      <c r="FT178" s="18" t="s">
        <v>238</v>
      </c>
      <c r="FU178" s="18" t="s">
        <v>238</v>
      </c>
      <c r="FV178" s="324">
        <f t="shared" si="847"/>
        <v>0</v>
      </c>
      <c r="FW178" s="321">
        <f t="shared" si="848"/>
        <v>0</v>
      </c>
      <c r="FX178" s="179">
        <f t="shared" si="808"/>
        <v>0</v>
      </c>
      <c r="FY178" s="18" t="s">
        <v>238</v>
      </c>
      <c r="FZ178" s="18" t="s">
        <v>238</v>
      </c>
      <c r="GA178" s="18" t="s">
        <v>238</v>
      </c>
      <c r="GB178" s="324">
        <f t="shared" si="849"/>
        <v>0</v>
      </c>
      <c r="GC178" s="321">
        <f t="shared" si="850"/>
        <v>0</v>
      </c>
      <c r="GD178" s="179">
        <f t="shared" si="809"/>
        <v>0</v>
      </c>
      <c r="GE178" s="18" t="s">
        <v>238</v>
      </c>
      <c r="GF178" s="18" t="s">
        <v>238</v>
      </c>
      <c r="GG178" s="18" t="s">
        <v>238</v>
      </c>
      <c r="GH178" s="324">
        <f t="shared" si="851"/>
        <v>0</v>
      </c>
      <c r="GI178" s="321">
        <f t="shared" si="852"/>
        <v>0</v>
      </c>
      <c r="GJ178" s="179">
        <f t="shared" si="810"/>
        <v>0</v>
      </c>
      <c r="GK178" s="18" t="s">
        <v>238</v>
      </c>
      <c r="GL178" s="18" t="s">
        <v>238</v>
      </c>
      <c r="GM178" s="18" t="s">
        <v>238</v>
      </c>
      <c r="GN178" s="324">
        <f t="shared" si="853"/>
        <v>0</v>
      </c>
      <c r="GO178" s="321">
        <f t="shared" si="854"/>
        <v>0</v>
      </c>
      <c r="GP178" s="179">
        <f t="shared" si="811"/>
        <v>0</v>
      </c>
      <c r="GQ178" s="18" t="s">
        <v>238</v>
      </c>
      <c r="GR178" s="18" t="s">
        <v>238</v>
      </c>
      <c r="GS178" s="18" t="s">
        <v>238</v>
      </c>
      <c r="GT178" s="324">
        <f t="shared" si="855"/>
        <v>0</v>
      </c>
      <c r="GU178" s="321">
        <f t="shared" si="856"/>
        <v>0</v>
      </c>
      <c r="GV178" s="179">
        <f t="shared" si="812"/>
        <v>0</v>
      </c>
      <c r="GW178" s="18" t="s">
        <v>238</v>
      </c>
      <c r="GX178" s="18" t="s">
        <v>238</v>
      </c>
      <c r="GY178" s="18" t="s">
        <v>238</v>
      </c>
      <c r="GZ178" s="324">
        <f t="shared" si="857"/>
        <v>0</v>
      </c>
      <c r="HA178" s="321">
        <f t="shared" si="858"/>
        <v>0</v>
      </c>
      <c r="HB178" s="179">
        <f t="shared" si="813"/>
        <v>0</v>
      </c>
      <c r="HC178" s="102">
        <f t="shared" si="814"/>
        <v>0</v>
      </c>
      <c r="HD178" s="285">
        <f t="shared" si="859"/>
        <v>0</v>
      </c>
      <c r="HE178" s="12">
        <f t="shared" si="860"/>
        <v>0</v>
      </c>
      <c r="HF178" s="12">
        <f t="shared" si="861"/>
        <v>0</v>
      </c>
      <c r="HG178" s="12">
        <f t="shared" si="862"/>
        <v>0</v>
      </c>
      <c r="HH178" s="14">
        <f t="shared" si="863"/>
        <v>0</v>
      </c>
      <c r="HI178" s="13">
        <f t="shared" si="864"/>
        <v>0</v>
      </c>
      <c r="HJ178" s="102">
        <f t="shared" si="865"/>
        <v>0</v>
      </c>
      <c r="HK178" s="16">
        <f t="shared" si="866"/>
        <v>0</v>
      </c>
      <c r="HL178" s="103">
        <f t="shared" si="867"/>
        <v>0</v>
      </c>
      <c r="HM178" s="103">
        <f t="shared" si="868"/>
        <v>0</v>
      </c>
      <c r="HN178" s="17">
        <f t="shared" si="869"/>
        <v>0</v>
      </c>
      <c r="HO178" s="56">
        <f t="shared" si="870"/>
        <v>0</v>
      </c>
      <c r="HP178" s="16">
        <f t="shared" si="871"/>
        <v>0</v>
      </c>
      <c r="HQ178" s="16">
        <f t="shared" si="872"/>
        <v>0</v>
      </c>
      <c r="HR178" s="16">
        <f t="shared" si="873"/>
        <v>0</v>
      </c>
    </row>
    <row r="179" spans="1:226" x14ac:dyDescent="0.3">
      <c r="A179" s="310">
        <v>10</v>
      </c>
      <c r="B179" s="299" t="s">
        <v>116</v>
      </c>
      <c r="C179" s="310" t="s">
        <v>288</v>
      </c>
      <c r="D179" s="2" t="s">
        <v>117</v>
      </c>
      <c r="E179" s="9"/>
      <c r="F179" s="9"/>
      <c r="G179" s="9"/>
      <c r="H179" s="324"/>
      <c r="I179" s="324">
        <v>0</v>
      </c>
      <c r="J179" s="324"/>
      <c r="K179" s="324"/>
      <c r="L179" s="324">
        <v>0</v>
      </c>
      <c r="M179" s="23">
        <v>0</v>
      </c>
      <c r="N179" s="23">
        <v>0</v>
      </c>
      <c r="O179" s="298">
        <v>0</v>
      </c>
      <c r="P179" s="298">
        <v>0</v>
      </c>
      <c r="Q179" s="298">
        <v>0</v>
      </c>
      <c r="R179" s="298">
        <v>0</v>
      </c>
      <c r="S179" s="298">
        <v>0</v>
      </c>
      <c r="T179" s="298">
        <v>0</v>
      </c>
      <c r="U179" s="298">
        <f t="shared" si="874"/>
        <v>0</v>
      </c>
      <c r="V179" s="298">
        <f t="shared" si="875"/>
        <v>0</v>
      </c>
      <c r="W179" s="298">
        <v>0</v>
      </c>
      <c r="X179" s="298">
        <v>0</v>
      </c>
      <c r="Y179" s="298">
        <v>0</v>
      </c>
      <c r="Z179" s="298">
        <v>0</v>
      </c>
      <c r="AA179" s="298">
        <v>0</v>
      </c>
      <c r="AB179" s="298">
        <v>0</v>
      </c>
      <c r="AC179" s="9">
        <v>0</v>
      </c>
      <c r="AD179" s="9">
        <v>0</v>
      </c>
      <c r="AE179" s="298">
        <f t="shared" si="876"/>
        <v>0</v>
      </c>
      <c r="AF179" s="298">
        <v>0</v>
      </c>
      <c r="AG179" s="9">
        <v>0</v>
      </c>
      <c r="AH179" s="9">
        <v>0</v>
      </c>
      <c r="AI179" s="298">
        <f t="shared" si="877"/>
        <v>0</v>
      </c>
      <c r="AJ179" s="298">
        <v>0</v>
      </c>
      <c r="AK179" s="9">
        <v>0</v>
      </c>
      <c r="AL179" s="9">
        <v>0</v>
      </c>
      <c r="AM179" s="298">
        <f t="shared" si="773"/>
        <v>0</v>
      </c>
      <c r="AN179" s="298">
        <v>0</v>
      </c>
      <c r="AO179" s="9">
        <v>0</v>
      </c>
      <c r="AP179" s="9">
        <v>0</v>
      </c>
      <c r="AQ179" s="298">
        <f t="shared" si="774"/>
        <v>0</v>
      </c>
      <c r="AR179" s="298">
        <v>0</v>
      </c>
      <c r="AS179" s="9">
        <v>0</v>
      </c>
      <c r="AT179" s="9">
        <v>0</v>
      </c>
      <c r="AU179" s="298">
        <f t="shared" si="775"/>
        <v>0</v>
      </c>
      <c r="AV179" s="298">
        <v>0</v>
      </c>
      <c r="AW179" s="9">
        <v>0</v>
      </c>
      <c r="AX179" s="9">
        <v>0</v>
      </c>
      <c r="AY179" s="298">
        <f t="shared" si="776"/>
        <v>0</v>
      </c>
      <c r="AZ179" s="8">
        <f t="shared" si="815"/>
        <v>0</v>
      </c>
      <c r="BA179" s="8"/>
      <c r="BB179" s="8">
        <f t="shared" si="816"/>
        <v>0</v>
      </c>
      <c r="BC179" s="8">
        <f t="shared" si="817"/>
        <v>0</v>
      </c>
      <c r="BD179" s="8"/>
      <c r="BE179" s="8">
        <f t="shared" si="818"/>
        <v>0</v>
      </c>
      <c r="BF179" s="10">
        <f t="shared" si="819"/>
        <v>0</v>
      </c>
      <c r="BG179" s="11">
        <f t="shared" si="820"/>
        <v>0</v>
      </c>
      <c r="BH179" s="319">
        <v>0</v>
      </c>
      <c r="BI179" s="319">
        <v>0</v>
      </c>
      <c r="BJ179" s="319">
        <v>0</v>
      </c>
      <c r="BK179" s="319">
        <f t="shared" si="777"/>
        <v>0</v>
      </c>
      <c r="BL179" s="319"/>
      <c r="BM179" s="319">
        <v>0</v>
      </c>
      <c r="BN179" s="319">
        <v>0</v>
      </c>
      <c r="BO179" s="319">
        <f t="shared" si="778"/>
        <v>0</v>
      </c>
      <c r="BP179" s="319">
        <f t="shared" si="821"/>
        <v>0</v>
      </c>
      <c r="BQ179" s="319"/>
      <c r="BR179" s="319">
        <v>0</v>
      </c>
      <c r="BS179" s="319">
        <v>0</v>
      </c>
      <c r="BT179" s="319">
        <f t="shared" si="779"/>
        <v>0</v>
      </c>
      <c r="BU179" s="319">
        <f t="shared" si="780"/>
        <v>0</v>
      </c>
      <c r="BV179" s="319">
        <v>0</v>
      </c>
      <c r="BW179" s="319">
        <v>0</v>
      </c>
      <c r="BX179" s="319">
        <v>0</v>
      </c>
      <c r="BY179" s="319">
        <f t="shared" si="781"/>
        <v>0</v>
      </c>
      <c r="BZ179" s="319">
        <f t="shared" si="782"/>
        <v>0</v>
      </c>
      <c r="CA179" s="319">
        <v>0</v>
      </c>
      <c r="CB179" s="319">
        <v>0</v>
      </c>
      <c r="CC179" s="319">
        <v>0</v>
      </c>
      <c r="CD179" s="319">
        <f t="shared" si="783"/>
        <v>0</v>
      </c>
      <c r="CE179" s="319">
        <f t="shared" si="784"/>
        <v>0</v>
      </c>
      <c r="CF179" s="319">
        <v>0</v>
      </c>
      <c r="CG179" s="319">
        <v>0</v>
      </c>
      <c r="CH179" s="319">
        <v>0</v>
      </c>
      <c r="CI179" s="319">
        <f t="shared" si="785"/>
        <v>0</v>
      </c>
      <c r="CJ179" s="319">
        <f t="shared" si="786"/>
        <v>0</v>
      </c>
      <c r="CK179" s="319">
        <v>0</v>
      </c>
      <c r="CL179" s="319">
        <v>0</v>
      </c>
      <c r="CM179" s="319">
        <v>0</v>
      </c>
      <c r="CN179" s="319">
        <f t="shared" si="787"/>
        <v>0</v>
      </c>
      <c r="CO179" s="319">
        <f t="shared" si="788"/>
        <v>0</v>
      </c>
      <c r="CP179" s="319">
        <v>0</v>
      </c>
      <c r="CQ179" s="319">
        <v>0</v>
      </c>
      <c r="CR179" s="319">
        <v>0</v>
      </c>
      <c r="CS179" s="319">
        <f t="shared" si="789"/>
        <v>0</v>
      </c>
      <c r="CT179" s="319">
        <f t="shared" si="790"/>
        <v>0</v>
      </c>
      <c r="CU179" s="319">
        <v>0</v>
      </c>
      <c r="CV179" s="319">
        <v>0</v>
      </c>
      <c r="CW179" s="319">
        <v>0</v>
      </c>
      <c r="CX179" s="319">
        <f t="shared" si="791"/>
        <v>0</v>
      </c>
      <c r="CY179" s="319">
        <f t="shared" si="792"/>
        <v>0</v>
      </c>
      <c r="CZ179" s="319"/>
      <c r="DA179" s="319"/>
      <c r="DB179" s="319"/>
      <c r="DC179" s="12">
        <f t="shared" si="822"/>
        <v>0</v>
      </c>
      <c r="DD179" s="12">
        <v>0</v>
      </c>
      <c r="DE179" s="13">
        <f t="shared" si="823"/>
        <v>0</v>
      </c>
      <c r="DF179" s="14">
        <f t="shared" si="793"/>
        <v>0</v>
      </c>
      <c r="DG179" s="13">
        <f t="shared" si="794"/>
        <v>0</v>
      </c>
      <c r="DH179" s="15">
        <f t="shared" si="795"/>
        <v>0</v>
      </c>
      <c r="DI179" s="16">
        <f t="shared" si="796"/>
        <v>0</v>
      </c>
      <c r="DJ179" s="132">
        <f t="shared" si="824"/>
        <v>0</v>
      </c>
      <c r="DK179" s="17">
        <f t="shared" si="825"/>
        <v>0</v>
      </c>
      <c r="DL179" s="17">
        <f t="shared" si="797"/>
        <v>0</v>
      </c>
      <c r="DM179" s="16">
        <f t="shared" si="826"/>
        <v>0</v>
      </c>
      <c r="DN179" s="16">
        <f t="shared" si="798"/>
        <v>0</v>
      </c>
      <c r="DO179" s="16">
        <f t="shared" si="827"/>
        <v>0</v>
      </c>
      <c r="DP179" s="16">
        <f t="shared" si="799"/>
        <v>0</v>
      </c>
      <c r="DQ179" s="9">
        <v>0</v>
      </c>
      <c r="DR179" s="18" t="s">
        <v>238</v>
      </c>
      <c r="DS179" s="18" t="s">
        <v>238</v>
      </c>
      <c r="DT179" s="324">
        <f t="shared" si="828"/>
        <v>0</v>
      </c>
      <c r="DU179" s="321">
        <f t="shared" si="829"/>
        <v>0</v>
      </c>
      <c r="DV179" s="19">
        <f t="shared" si="830"/>
        <v>0</v>
      </c>
      <c r="DW179" s="9"/>
      <c r="DX179" s="18"/>
      <c r="DY179" s="18"/>
      <c r="DZ179" s="324">
        <f t="shared" si="831"/>
        <v>0</v>
      </c>
      <c r="EA179" s="321">
        <f t="shared" si="832"/>
        <v>0</v>
      </c>
      <c r="EB179" s="179">
        <f t="shared" si="800"/>
        <v>0</v>
      </c>
      <c r="EC179" s="9">
        <v>0</v>
      </c>
      <c r="ED179" s="18" t="s">
        <v>238</v>
      </c>
      <c r="EE179" s="18" t="s">
        <v>238</v>
      </c>
      <c r="EF179" s="324">
        <f t="shared" si="833"/>
        <v>0</v>
      </c>
      <c r="EG179" s="321">
        <f t="shared" si="834"/>
        <v>0</v>
      </c>
      <c r="EH179" s="179">
        <f t="shared" si="801"/>
        <v>0</v>
      </c>
      <c r="EI179" s="9">
        <v>0</v>
      </c>
      <c r="EJ179" s="18" t="s">
        <v>238</v>
      </c>
      <c r="EK179" s="18" t="s">
        <v>238</v>
      </c>
      <c r="EL179" s="324">
        <f t="shared" si="835"/>
        <v>0</v>
      </c>
      <c r="EM179" s="321">
        <f t="shared" si="836"/>
        <v>0</v>
      </c>
      <c r="EN179" s="179">
        <f t="shared" si="802"/>
        <v>0</v>
      </c>
      <c r="EO179" s="9">
        <v>0</v>
      </c>
      <c r="EP179" s="18" t="s">
        <v>238</v>
      </c>
      <c r="EQ179" s="18" t="s">
        <v>238</v>
      </c>
      <c r="ER179" s="324">
        <f t="shared" si="837"/>
        <v>0</v>
      </c>
      <c r="ES179" s="321">
        <f t="shared" si="838"/>
        <v>0</v>
      </c>
      <c r="ET179" s="179">
        <f t="shared" si="803"/>
        <v>0</v>
      </c>
      <c r="EU179" s="9">
        <v>0</v>
      </c>
      <c r="EV179" s="18" t="s">
        <v>238</v>
      </c>
      <c r="EW179" s="18" t="s">
        <v>238</v>
      </c>
      <c r="EX179" s="324">
        <f t="shared" si="839"/>
        <v>0</v>
      </c>
      <c r="EY179" s="321">
        <f t="shared" si="840"/>
        <v>0</v>
      </c>
      <c r="EZ179" s="179">
        <f t="shared" si="804"/>
        <v>0</v>
      </c>
      <c r="FA179" s="9">
        <v>0</v>
      </c>
      <c r="FB179" s="18" t="s">
        <v>238</v>
      </c>
      <c r="FC179" s="18" t="s">
        <v>238</v>
      </c>
      <c r="FD179" s="324">
        <f t="shared" si="841"/>
        <v>0</v>
      </c>
      <c r="FE179" s="321">
        <f t="shared" si="842"/>
        <v>0</v>
      </c>
      <c r="FF179" s="179">
        <f t="shared" si="805"/>
        <v>0</v>
      </c>
      <c r="FG179" s="18" t="s">
        <v>238</v>
      </c>
      <c r="FH179" s="18" t="s">
        <v>238</v>
      </c>
      <c r="FI179" s="18" t="s">
        <v>238</v>
      </c>
      <c r="FJ179" s="324">
        <f t="shared" si="843"/>
        <v>0</v>
      </c>
      <c r="FK179" s="321">
        <f t="shared" si="844"/>
        <v>0</v>
      </c>
      <c r="FL179" s="179">
        <f t="shared" si="806"/>
        <v>0</v>
      </c>
      <c r="FM179" s="18" t="s">
        <v>238</v>
      </c>
      <c r="FN179" s="18" t="s">
        <v>238</v>
      </c>
      <c r="FO179" s="18" t="s">
        <v>238</v>
      </c>
      <c r="FP179" s="324">
        <f t="shared" si="845"/>
        <v>0</v>
      </c>
      <c r="FQ179" s="321">
        <f t="shared" si="846"/>
        <v>0</v>
      </c>
      <c r="FR179" s="179">
        <f t="shared" si="807"/>
        <v>0</v>
      </c>
      <c r="FS179" s="18" t="s">
        <v>238</v>
      </c>
      <c r="FT179" s="18" t="s">
        <v>238</v>
      </c>
      <c r="FU179" s="18" t="s">
        <v>238</v>
      </c>
      <c r="FV179" s="324">
        <f t="shared" si="847"/>
        <v>0</v>
      </c>
      <c r="FW179" s="321">
        <f t="shared" si="848"/>
        <v>0</v>
      </c>
      <c r="FX179" s="179">
        <f t="shared" si="808"/>
        <v>0</v>
      </c>
      <c r="FY179" s="18" t="s">
        <v>238</v>
      </c>
      <c r="FZ179" s="18" t="s">
        <v>238</v>
      </c>
      <c r="GA179" s="18" t="s">
        <v>238</v>
      </c>
      <c r="GB179" s="324">
        <f t="shared" si="849"/>
        <v>0</v>
      </c>
      <c r="GC179" s="321">
        <f t="shared" si="850"/>
        <v>0</v>
      </c>
      <c r="GD179" s="179">
        <f t="shared" si="809"/>
        <v>0</v>
      </c>
      <c r="GE179" s="18" t="s">
        <v>238</v>
      </c>
      <c r="GF179" s="18" t="s">
        <v>238</v>
      </c>
      <c r="GG179" s="18" t="s">
        <v>238</v>
      </c>
      <c r="GH179" s="324">
        <f t="shared" si="851"/>
        <v>0</v>
      </c>
      <c r="GI179" s="321">
        <f t="shared" si="852"/>
        <v>0</v>
      </c>
      <c r="GJ179" s="179">
        <f t="shared" si="810"/>
        <v>0</v>
      </c>
      <c r="GK179" s="18" t="s">
        <v>238</v>
      </c>
      <c r="GL179" s="18" t="s">
        <v>238</v>
      </c>
      <c r="GM179" s="18" t="s">
        <v>238</v>
      </c>
      <c r="GN179" s="324">
        <f t="shared" si="853"/>
        <v>0</v>
      </c>
      <c r="GO179" s="321">
        <f t="shared" si="854"/>
        <v>0</v>
      </c>
      <c r="GP179" s="179">
        <f t="shared" si="811"/>
        <v>0</v>
      </c>
      <c r="GQ179" s="18" t="s">
        <v>238</v>
      </c>
      <c r="GR179" s="18" t="s">
        <v>238</v>
      </c>
      <c r="GS179" s="18" t="s">
        <v>238</v>
      </c>
      <c r="GT179" s="324">
        <f t="shared" si="855"/>
        <v>0</v>
      </c>
      <c r="GU179" s="321">
        <f t="shared" si="856"/>
        <v>0</v>
      </c>
      <c r="GV179" s="179">
        <f t="shared" si="812"/>
        <v>0</v>
      </c>
      <c r="GW179" s="18" t="s">
        <v>238</v>
      </c>
      <c r="GX179" s="18" t="s">
        <v>238</v>
      </c>
      <c r="GY179" s="18" t="s">
        <v>238</v>
      </c>
      <c r="GZ179" s="324">
        <f t="shared" si="857"/>
        <v>0</v>
      </c>
      <c r="HA179" s="321">
        <f t="shared" si="858"/>
        <v>0</v>
      </c>
      <c r="HB179" s="179">
        <f t="shared" si="813"/>
        <v>0</v>
      </c>
      <c r="HC179" s="102">
        <f t="shared" si="814"/>
        <v>0</v>
      </c>
      <c r="HD179" s="285">
        <f t="shared" si="859"/>
        <v>0</v>
      </c>
      <c r="HE179" s="12">
        <f t="shared" si="860"/>
        <v>0</v>
      </c>
      <c r="HF179" s="12">
        <f t="shared" si="861"/>
        <v>0</v>
      </c>
      <c r="HG179" s="12">
        <f t="shared" si="862"/>
        <v>0</v>
      </c>
      <c r="HH179" s="14">
        <f t="shared" si="863"/>
        <v>0</v>
      </c>
      <c r="HI179" s="13">
        <f t="shared" si="864"/>
        <v>0</v>
      </c>
      <c r="HJ179" s="102">
        <f t="shared" si="865"/>
        <v>0</v>
      </c>
      <c r="HK179" s="16">
        <f t="shared" si="866"/>
        <v>0</v>
      </c>
      <c r="HL179" s="103">
        <f t="shared" si="867"/>
        <v>0</v>
      </c>
      <c r="HM179" s="103">
        <f t="shared" si="868"/>
        <v>0</v>
      </c>
      <c r="HN179" s="17">
        <f t="shared" si="869"/>
        <v>0</v>
      </c>
      <c r="HO179" s="56">
        <f t="shared" si="870"/>
        <v>0</v>
      </c>
      <c r="HP179" s="16">
        <f t="shared" si="871"/>
        <v>0</v>
      </c>
      <c r="HQ179" s="16">
        <f t="shared" si="872"/>
        <v>0</v>
      </c>
      <c r="HR179" s="16">
        <f t="shared" si="873"/>
        <v>0</v>
      </c>
    </row>
    <row r="180" spans="1:226" x14ac:dyDescent="0.3">
      <c r="A180" s="310">
        <v>11</v>
      </c>
      <c r="B180" s="303" t="s">
        <v>119</v>
      </c>
      <c r="C180" s="310" t="s">
        <v>346</v>
      </c>
      <c r="D180" s="2" t="s">
        <v>120</v>
      </c>
      <c r="E180" s="9"/>
      <c r="F180" s="9"/>
      <c r="G180" s="9"/>
      <c r="H180" s="324"/>
      <c r="I180" s="324">
        <v>0</v>
      </c>
      <c r="J180" s="324"/>
      <c r="K180" s="324"/>
      <c r="L180" s="324">
        <v>0</v>
      </c>
      <c r="M180" s="23">
        <v>0</v>
      </c>
      <c r="N180" s="23">
        <v>0</v>
      </c>
      <c r="O180" s="298">
        <v>0</v>
      </c>
      <c r="P180" s="298">
        <v>0</v>
      </c>
      <c r="Q180" s="298">
        <v>0</v>
      </c>
      <c r="R180" s="298">
        <v>0</v>
      </c>
      <c r="S180" s="298">
        <v>0</v>
      </c>
      <c r="T180" s="298">
        <v>0</v>
      </c>
      <c r="U180" s="298">
        <f t="shared" si="874"/>
        <v>0</v>
      </c>
      <c r="V180" s="298">
        <f t="shared" si="875"/>
        <v>0</v>
      </c>
      <c r="W180" s="298">
        <v>0</v>
      </c>
      <c r="X180" s="298">
        <v>0</v>
      </c>
      <c r="Y180" s="298">
        <v>0</v>
      </c>
      <c r="Z180" s="298">
        <v>0</v>
      </c>
      <c r="AA180" s="298">
        <v>0</v>
      </c>
      <c r="AB180" s="298">
        <v>0</v>
      </c>
      <c r="AC180" s="9">
        <v>0</v>
      </c>
      <c r="AD180" s="9">
        <v>0</v>
      </c>
      <c r="AE180" s="298">
        <f t="shared" si="876"/>
        <v>0</v>
      </c>
      <c r="AF180" s="298">
        <v>0</v>
      </c>
      <c r="AG180" s="9">
        <v>0</v>
      </c>
      <c r="AH180" s="9">
        <v>0</v>
      </c>
      <c r="AI180" s="298">
        <f t="shared" si="877"/>
        <v>0</v>
      </c>
      <c r="AJ180" s="298">
        <v>0</v>
      </c>
      <c r="AK180" s="9">
        <v>0</v>
      </c>
      <c r="AL180" s="9">
        <v>0</v>
      </c>
      <c r="AM180" s="298">
        <f t="shared" si="773"/>
        <v>0</v>
      </c>
      <c r="AN180" s="298">
        <v>0</v>
      </c>
      <c r="AO180" s="9">
        <v>0</v>
      </c>
      <c r="AP180" s="9">
        <v>0</v>
      </c>
      <c r="AQ180" s="298">
        <f t="shared" si="774"/>
        <v>0</v>
      </c>
      <c r="AR180" s="298">
        <v>0</v>
      </c>
      <c r="AS180" s="9">
        <v>0</v>
      </c>
      <c r="AT180" s="9">
        <v>0</v>
      </c>
      <c r="AU180" s="298">
        <f t="shared" si="775"/>
        <v>0</v>
      </c>
      <c r="AV180" s="298">
        <v>0</v>
      </c>
      <c r="AW180" s="9">
        <v>0</v>
      </c>
      <c r="AX180" s="9">
        <v>0</v>
      </c>
      <c r="AY180" s="298">
        <f t="shared" si="776"/>
        <v>0</v>
      </c>
      <c r="AZ180" s="8">
        <f t="shared" si="815"/>
        <v>0</v>
      </c>
      <c r="BA180" s="8"/>
      <c r="BB180" s="8">
        <f t="shared" si="816"/>
        <v>0</v>
      </c>
      <c r="BC180" s="8">
        <f t="shared" si="817"/>
        <v>0</v>
      </c>
      <c r="BD180" s="8"/>
      <c r="BE180" s="8">
        <f t="shared" si="818"/>
        <v>0</v>
      </c>
      <c r="BF180" s="10">
        <f t="shared" si="819"/>
        <v>0</v>
      </c>
      <c r="BG180" s="11">
        <f t="shared" si="820"/>
        <v>0</v>
      </c>
      <c r="BH180" s="319">
        <v>0</v>
      </c>
      <c r="BI180" s="319">
        <v>0</v>
      </c>
      <c r="BJ180" s="319">
        <v>0</v>
      </c>
      <c r="BK180" s="319">
        <f t="shared" si="777"/>
        <v>0</v>
      </c>
      <c r="BL180" s="319"/>
      <c r="BM180" s="319">
        <v>0</v>
      </c>
      <c r="BN180" s="319">
        <v>0</v>
      </c>
      <c r="BO180" s="319">
        <f t="shared" si="778"/>
        <v>0</v>
      </c>
      <c r="BP180" s="319">
        <f t="shared" si="821"/>
        <v>0</v>
      </c>
      <c r="BQ180" s="319"/>
      <c r="BR180" s="319">
        <v>0</v>
      </c>
      <c r="BS180" s="319">
        <v>0</v>
      </c>
      <c r="BT180" s="319">
        <f t="shared" si="779"/>
        <v>0</v>
      </c>
      <c r="BU180" s="319">
        <f t="shared" si="780"/>
        <v>0</v>
      </c>
      <c r="BV180" s="319">
        <v>0</v>
      </c>
      <c r="BW180" s="319">
        <v>0</v>
      </c>
      <c r="BX180" s="319">
        <v>0</v>
      </c>
      <c r="BY180" s="319">
        <f t="shared" si="781"/>
        <v>0</v>
      </c>
      <c r="BZ180" s="319">
        <f t="shared" si="782"/>
        <v>0</v>
      </c>
      <c r="CA180" s="319">
        <v>0</v>
      </c>
      <c r="CB180" s="319">
        <v>0</v>
      </c>
      <c r="CC180" s="319">
        <v>0</v>
      </c>
      <c r="CD180" s="319">
        <f t="shared" si="783"/>
        <v>0</v>
      </c>
      <c r="CE180" s="319">
        <f t="shared" si="784"/>
        <v>0</v>
      </c>
      <c r="CF180" s="319">
        <v>0</v>
      </c>
      <c r="CG180" s="319">
        <v>0</v>
      </c>
      <c r="CH180" s="319">
        <v>0</v>
      </c>
      <c r="CI180" s="319">
        <f t="shared" si="785"/>
        <v>0</v>
      </c>
      <c r="CJ180" s="319">
        <f t="shared" si="786"/>
        <v>0</v>
      </c>
      <c r="CK180" s="319">
        <v>0</v>
      </c>
      <c r="CL180" s="319">
        <v>0</v>
      </c>
      <c r="CM180" s="319">
        <v>0</v>
      </c>
      <c r="CN180" s="319">
        <f t="shared" si="787"/>
        <v>0</v>
      </c>
      <c r="CO180" s="319">
        <f t="shared" si="788"/>
        <v>0</v>
      </c>
      <c r="CP180" s="319">
        <v>0</v>
      </c>
      <c r="CQ180" s="319">
        <v>0</v>
      </c>
      <c r="CR180" s="319">
        <v>0</v>
      </c>
      <c r="CS180" s="319">
        <f t="shared" si="789"/>
        <v>0</v>
      </c>
      <c r="CT180" s="319">
        <f t="shared" si="790"/>
        <v>0</v>
      </c>
      <c r="CU180" s="319">
        <v>0</v>
      </c>
      <c r="CV180" s="319">
        <v>0</v>
      </c>
      <c r="CW180" s="319">
        <v>0</v>
      </c>
      <c r="CX180" s="319">
        <f t="shared" si="791"/>
        <v>0</v>
      </c>
      <c r="CY180" s="319">
        <f t="shared" si="792"/>
        <v>0</v>
      </c>
      <c r="CZ180" s="319"/>
      <c r="DA180" s="319"/>
      <c r="DB180" s="319"/>
      <c r="DC180" s="12">
        <f t="shared" si="822"/>
        <v>0</v>
      </c>
      <c r="DD180" s="12">
        <v>0</v>
      </c>
      <c r="DE180" s="13">
        <f t="shared" si="823"/>
        <v>0</v>
      </c>
      <c r="DF180" s="14">
        <f t="shared" si="793"/>
        <v>0</v>
      </c>
      <c r="DG180" s="13">
        <f t="shared" si="794"/>
        <v>0</v>
      </c>
      <c r="DH180" s="15">
        <f t="shared" si="795"/>
        <v>0</v>
      </c>
      <c r="DI180" s="16">
        <f t="shared" si="796"/>
        <v>0</v>
      </c>
      <c r="DJ180" s="132">
        <f t="shared" si="824"/>
        <v>0</v>
      </c>
      <c r="DK180" s="17">
        <f t="shared" si="825"/>
        <v>0</v>
      </c>
      <c r="DL180" s="17">
        <f t="shared" si="797"/>
        <v>0</v>
      </c>
      <c r="DM180" s="16">
        <f t="shared" si="826"/>
        <v>0</v>
      </c>
      <c r="DN180" s="16">
        <f t="shared" si="798"/>
        <v>0</v>
      </c>
      <c r="DO180" s="16">
        <f t="shared" si="827"/>
        <v>0</v>
      </c>
      <c r="DP180" s="16">
        <f t="shared" si="799"/>
        <v>0</v>
      </c>
      <c r="DQ180" s="9">
        <v>0</v>
      </c>
      <c r="DR180" s="18" t="s">
        <v>238</v>
      </c>
      <c r="DS180" s="18" t="s">
        <v>238</v>
      </c>
      <c r="DT180" s="324">
        <f t="shared" si="828"/>
        <v>0</v>
      </c>
      <c r="DU180" s="321">
        <f t="shared" si="829"/>
        <v>0</v>
      </c>
      <c r="DV180" s="19">
        <f t="shared" si="830"/>
        <v>0</v>
      </c>
      <c r="DW180" s="9"/>
      <c r="DX180" s="18"/>
      <c r="DY180" s="18"/>
      <c r="DZ180" s="324">
        <f t="shared" si="831"/>
        <v>0</v>
      </c>
      <c r="EA180" s="321">
        <f t="shared" si="832"/>
        <v>0</v>
      </c>
      <c r="EB180" s="179">
        <f t="shared" si="800"/>
        <v>0</v>
      </c>
      <c r="EC180" s="9">
        <v>0</v>
      </c>
      <c r="ED180" s="18" t="s">
        <v>238</v>
      </c>
      <c r="EE180" s="18" t="s">
        <v>238</v>
      </c>
      <c r="EF180" s="324">
        <f t="shared" si="833"/>
        <v>0</v>
      </c>
      <c r="EG180" s="321">
        <f t="shared" si="834"/>
        <v>0</v>
      </c>
      <c r="EH180" s="179">
        <f t="shared" si="801"/>
        <v>0</v>
      </c>
      <c r="EI180" s="9">
        <v>0</v>
      </c>
      <c r="EJ180" s="18" t="s">
        <v>238</v>
      </c>
      <c r="EK180" s="18" t="s">
        <v>238</v>
      </c>
      <c r="EL180" s="324">
        <f t="shared" si="835"/>
        <v>0</v>
      </c>
      <c r="EM180" s="321">
        <f t="shared" si="836"/>
        <v>0</v>
      </c>
      <c r="EN180" s="179">
        <f t="shared" si="802"/>
        <v>0</v>
      </c>
      <c r="EO180" s="9">
        <v>0</v>
      </c>
      <c r="EP180" s="18" t="s">
        <v>238</v>
      </c>
      <c r="EQ180" s="18" t="s">
        <v>238</v>
      </c>
      <c r="ER180" s="324">
        <f t="shared" si="837"/>
        <v>0</v>
      </c>
      <c r="ES180" s="321">
        <f t="shared" si="838"/>
        <v>0</v>
      </c>
      <c r="ET180" s="179">
        <f t="shared" si="803"/>
        <v>0</v>
      </c>
      <c r="EU180" s="9">
        <v>0</v>
      </c>
      <c r="EV180" s="18" t="s">
        <v>238</v>
      </c>
      <c r="EW180" s="18" t="s">
        <v>238</v>
      </c>
      <c r="EX180" s="324">
        <f t="shared" si="839"/>
        <v>0</v>
      </c>
      <c r="EY180" s="321">
        <f t="shared" si="840"/>
        <v>0</v>
      </c>
      <c r="EZ180" s="179">
        <f t="shared" si="804"/>
        <v>0</v>
      </c>
      <c r="FA180" s="9">
        <v>0</v>
      </c>
      <c r="FB180" s="18" t="s">
        <v>238</v>
      </c>
      <c r="FC180" s="18" t="s">
        <v>238</v>
      </c>
      <c r="FD180" s="324">
        <f t="shared" si="841"/>
        <v>0</v>
      </c>
      <c r="FE180" s="321">
        <f t="shared" si="842"/>
        <v>0</v>
      </c>
      <c r="FF180" s="179">
        <f t="shared" si="805"/>
        <v>0</v>
      </c>
      <c r="FG180" s="18" t="s">
        <v>238</v>
      </c>
      <c r="FH180" s="18" t="s">
        <v>238</v>
      </c>
      <c r="FI180" s="18" t="s">
        <v>238</v>
      </c>
      <c r="FJ180" s="324">
        <f t="shared" si="843"/>
        <v>0</v>
      </c>
      <c r="FK180" s="321">
        <f t="shared" si="844"/>
        <v>0</v>
      </c>
      <c r="FL180" s="179">
        <f t="shared" si="806"/>
        <v>0</v>
      </c>
      <c r="FM180" s="18" t="s">
        <v>238</v>
      </c>
      <c r="FN180" s="18" t="s">
        <v>238</v>
      </c>
      <c r="FO180" s="18" t="s">
        <v>238</v>
      </c>
      <c r="FP180" s="324">
        <f t="shared" si="845"/>
        <v>0</v>
      </c>
      <c r="FQ180" s="321">
        <f t="shared" si="846"/>
        <v>0</v>
      </c>
      <c r="FR180" s="179">
        <f t="shared" si="807"/>
        <v>0</v>
      </c>
      <c r="FS180" s="18" t="s">
        <v>238</v>
      </c>
      <c r="FT180" s="18" t="s">
        <v>238</v>
      </c>
      <c r="FU180" s="18" t="s">
        <v>238</v>
      </c>
      <c r="FV180" s="324">
        <f t="shared" si="847"/>
        <v>0</v>
      </c>
      <c r="FW180" s="321">
        <f t="shared" si="848"/>
        <v>0</v>
      </c>
      <c r="FX180" s="179">
        <f t="shared" si="808"/>
        <v>0</v>
      </c>
      <c r="FY180" s="18" t="s">
        <v>238</v>
      </c>
      <c r="FZ180" s="18" t="s">
        <v>238</v>
      </c>
      <c r="GA180" s="18" t="s">
        <v>238</v>
      </c>
      <c r="GB180" s="324">
        <f t="shared" si="849"/>
        <v>0</v>
      </c>
      <c r="GC180" s="321">
        <f t="shared" si="850"/>
        <v>0</v>
      </c>
      <c r="GD180" s="179">
        <f t="shared" si="809"/>
        <v>0</v>
      </c>
      <c r="GE180" s="18" t="s">
        <v>238</v>
      </c>
      <c r="GF180" s="18" t="s">
        <v>238</v>
      </c>
      <c r="GG180" s="18" t="s">
        <v>238</v>
      </c>
      <c r="GH180" s="324">
        <f t="shared" si="851"/>
        <v>0</v>
      </c>
      <c r="GI180" s="321">
        <f t="shared" si="852"/>
        <v>0</v>
      </c>
      <c r="GJ180" s="179">
        <f t="shared" si="810"/>
        <v>0</v>
      </c>
      <c r="GK180" s="18" t="s">
        <v>238</v>
      </c>
      <c r="GL180" s="18" t="s">
        <v>238</v>
      </c>
      <c r="GM180" s="18" t="s">
        <v>238</v>
      </c>
      <c r="GN180" s="324">
        <f t="shared" si="853"/>
        <v>0</v>
      </c>
      <c r="GO180" s="321">
        <f t="shared" si="854"/>
        <v>0</v>
      </c>
      <c r="GP180" s="179">
        <f t="shared" si="811"/>
        <v>0</v>
      </c>
      <c r="GQ180" s="18" t="s">
        <v>238</v>
      </c>
      <c r="GR180" s="18" t="s">
        <v>238</v>
      </c>
      <c r="GS180" s="18" t="s">
        <v>238</v>
      </c>
      <c r="GT180" s="324">
        <f t="shared" si="855"/>
        <v>0</v>
      </c>
      <c r="GU180" s="321">
        <f t="shared" si="856"/>
        <v>0</v>
      </c>
      <c r="GV180" s="179">
        <f t="shared" si="812"/>
        <v>0</v>
      </c>
      <c r="GW180" s="18" t="s">
        <v>238</v>
      </c>
      <c r="GX180" s="18" t="s">
        <v>238</v>
      </c>
      <c r="GY180" s="18" t="s">
        <v>238</v>
      </c>
      <c r="GZ180" s="324">
        <f t="shared" si="857"/>
        <v>0</v>
      </c>
      <c r="HA180" s="321">
        <f t="shared" si="858"/>
        <v>0</v>
      </c>
      <c r="HB180" s="179">
        <f t="shared" si="813"/>
        <v>0</v>
      </c>
      <c r="HC180" s="102">
        <f t="shared" si="814"/>
        <v>0</v>
      </c>
      <c r="HD180" s="285">
        <f t="shared" si="859"/>
        <v>0</v>
      </c>
      <c r="HE180" s="12">
        <f t="shared" si="860"/>
        <v>0</v>
      </c>
      <c r="HF180" s="12">
        <f t="shared" si="861"/>
        <v>0</v>
      </c>
      <c r="HG180" s="12">
        <f t="shared" si="862"/>
        <v>0</v>
      </c>
      <c r="HH180" s="14">
        <f t="shared" si="863"/>
        <v>0</v>
      </c>
      <c r="HI180" s="13">
        <f t="shared" si="864"/>
        <v>0</v>
      </c>
      <c r="HJ180" s="102">
        <f t="shared" si="865"/>
        <v>0</v>
      </c>
      <c r="HK180" s="16">
        <f t="shared" si="866"/>
        <v>0</v>
      </c>
      <c r="HL180" s="103">
        <f t="shared" si="867"/>
        <v>0</v>
      </c>
      <c r="HM180" s="103">
        <f t="shared" si="868"/>
        <v>0</v>
      </c>
      <c r="HN180" s="17">
        <f t="shared" si="869"/>
        <v>0</v>
      </c>
      <c r="HO180" s="56">
        <f t="shared" si="870"/>
        <v>0</v>
      </c>
      <c r="HP180" s="16">
        <f t="shared" si="871"/>
        <v>0</v>
      </c>
      <c r="HQ180" s="16">
        <f t="shared" si="872"/>
        <v>0</v>
      </c>
      <c r="HR180" s="16">
        <f t="shared" si="873"/>
        <v>0</v>
      </c>
    </row>
    <row r="181" spans="1:226" x14ac:dyDescent="0.3">
      <c r="A181" s="140"/>
      <c r="B181" s="140"/>
      <c r="C181" s="140"/>
      <c r="D181" s="141" t="s">
        <v>216</v>
      </c>
      <c r="E181" s="121">
        <f t="shared" ref="E181:BP181" si="878">SUM(E171:E180)</f>
        <v>0</v>
      </c>
      <c r="F181" s="121">
        <f t="shared" si="878"/>
        <v>0</v>
      </c>
      <c r="G181" s="121">
        <f t="shared" si="878"/>
        <v>0</v>
      </c>
      <c r="H181" s="121">
        <f t="shared" si="878"/>
        <v>0</v>
      </c>
      <c r="I181" s="121">
        <f t="shared" si="878"/>
        <v>46385747</v>
      </c>
      <c r="J181" s="121">
        <f t="shared" si="878"/>
        <v>0</v>
      </c>
      <c r="K181" s="121">
        <f t="shared" si="878"/>
        <v>0</v>
      </c>
      <c r="L181" s="121">
        <f t="shared" si="878"/>
        <v>46385747</v>
      </c>
      <c r="M181" s="121">
        <f t="shared" si="878"/>
        <v>46385747</v>
      </c>
      <c r="N181" s="121">
        <f t="shared" si="878"/>
        <v>46385747</v>
      </c>
      <c r="O181" s="121">
        <f t="shared" si="878"/>
        <v>46385747</v>
      </c>
      <c r="P181" s="121">
        <f t="shared" si="878"/>
        <v>46385747</v>
      </c>
      <c r="Q181" s="121">
        <f t="shared" si="878"/>
        <v>46385747</v>
      </c>
      <c r="R181" s="121">
        <f t="shared" si="878"/>
        <v>46385747</v>
      </c>
      <c r="S181" s="121">
        <f t="shared" si="878"/>
        <v>46385747</v>
      </c>
      <c r="T181" s="121">
        <f t="shared" si="878"/>
        <v>46385747</v>
      </c>
      <c r="U181" s="121">
        <f t="shared" si="878"/>
        <v>2319287.3499999996</v>
      </c>
      <c r="V181" s="121">
        <f t="shared" si="878"/>
        <v>48705034.349999994</v>
      </c>
      <c r="W181" s="121">
        <f t="shared" si="878"/>
        <v>48705030</v>
      </c>
      <c r="X181" s="121">
        <f t="shared" si="878"/>
        <v>48705030</v>
      </c>
      <c r="Y181" s="121">
        <f t="shared" si="878"/>
        <v>48705030</v>
      </c>
      <c r="Z181" s="121">
        <f t="shared" si="878"/>
        <v>48705030</v>
      </c>
      <c r="AA181" s="121">
        <f t="shared" si="878"/>
        <v>48705030</v>
      </c>
      <c r="AB181" s="121">
        <f t="shared" si="878"/>
        <v>48705030</v>
      </c>
      <c r="AC181" s="121">
        <f t="shared" si="878"/>
        <v>0</v>
      </c>
      <c r="AD181" s="121">
        <f t="shared" si="878"/>
        <v>0</v>
      </c>
      <c r="AE181" s="121">
        <f t="shared" si="878"/>
        <v>48705030</v>
      </c>
      <c r="AF181" s="121">
        <f t="shared" si="878"/>
        <v>48705030</v>
      </c>
      <c r="AG181" s="121">
        <f t="shared" si="878"/>
        <v>0</v>
      </c>
      <c r="AH181" s="121">
        <f t="shared" si="878"/>
        <v>0</v>
      </c>
      <c r="AI181" s="121">
        <f t="shared" si="878"/>
        <v>48705030</v>
      </c>
      <c r="AJ181" s="121">
        <f t="shared" si="878"/>
        <v>48704993</v>
      </c>
      <c r="AK181" s="121">
        <f t="shared" si="878"/>
        <v>0</v>
      </c>
      <c r="AL181" s="121">
        <f t="shared" si="878"/>
        <v>0</v>
      </c>
      <c r="AM181" s="121">
        <f t="shared" si="878"/>
        <v>48704993</v>
      </c>
      <c r="AN181" s="121">
        <f t="shared" si="878"/>
        <v>47331115</v>
      </c>
      <c r="AO181" s="121">
        <f t="shared" si="878"/>
        <v>0</v>
      </c>
      <c r="AP181" s="121">
        <f t="shared" si="878"/>
        <v>0</v>
      </c>
      <c r="AQ181" s="121">
        <f t="shared" si="878"/>
        <v>47331115</v>
      </c>
      <c r="AR181" s="121">
        <f t="shared" si="878"/>
        <v>47331115</v>
      </c>
      <c r="AS181" s="121">
        <f t="shared" si="878"/>
        <v>0</v>
      </c>
      <c r="AT181" s="121">
        <f t="shared" si="878"/>
        <v>0</v>
      </c>
      <c r="AU181" s="121">
        <f t="shared" si="878"/>
        <v>47331115</v>
      </c>
      <c r="AV181" s="121">
        <f t="shared" si="878"/>
        <v>47331115</v>
      </c>
      <c r="AW181" s="121">
        <f t="shared" si="878"/>
        <v>0</v>
      </c>
      <c r="AX181" s="121">
        <f t="shared" si="878"/>
        <v>0</v>
      </c>
      <c r="AY181" s="121">
        <f t="shared" si="878"/>
        <v>47331115</v>
      </c>
      <c r="AZ181" s="121">
        <f t="shared" si="878"/>
        <v>2366555.7500000005</v>
      </c>
      <c r="BA181" s="121">
        <f t="shared" si="878"/>
        <v>4.75</v>
      </c>
      <c r="BB181" s="121">
        <f t="shared" si="878"/>
        <v>2366551</v>
      </c>
      <c r="BC181" s="121">
        <f t="shared" si="878"/>
        <v>49697666</v>
      </c>
      <c r="BD181" s="121">
        <f t="shared" si="878"/>
        <v>0</v>
      </c>
      <c r="BE181" s="121">
        <f t="shared" si="878"/>
        <v>49697666</v>
      </c>
      <c r="BF181" s="121">
        <f t="shared" si="878"/>
        <v>2366551</v>
      </c>
      <c r="BG181" s="121">
        <f t="shared" si="878"/>
        <v>0</v>
      </c>
      <c r="BH181" s="121">
        <f t="shared" si="878"/>
        <v>49697666</v>
      </c>
      <c r="BI181" s="121">
        <f t="shared" si="878"/>
        <v>0</v>
      </c>
      <c r="BJ181" s="121">
        <f t="shared" si="878"/>
        <v>0</v>
      </c>
      <c r="BK181" s="121">
        <f t="shared" si="878"/>
        <v>49697666</v>
      </c>
      <c r="BL181" s="121">
        <f t="shared" si="878"/>
        <v>49697666</v>
      </c>
      <c r="BM181" s="121">
        <f t="shared" si="878"/>
        <v>0</v>
      </c>
      <c r="BN181" s="121">
        <f t="shared" si="878"/>
        <v>0</v>
      </c>
      <c r="BO181" s="121">
        <f t="shared" si="878"/>
        <v>49697666</v>
      </c>
      <c r="BP181" s="121">
        <f t="shared" si="878"/>
        <v>0</v>
      </c>
      <c r="BQ181" s="121">
        <f t="shared" ref="BQ181:EB181" si="879">SUM(BQ171:BQ180)</f>
        <v>49697666</v>
      </c>
      <c r="BR181" s="121">
        <f t="shared" si="879"/>
        <v>0</v>
      </c>
      <c r="BS181" s="121">
        <f t="shared" si="879"/>
        <v>0</v>
      </c>
      <c r="BT181" s="121">
        <f t="shared" si="879"/>
        <v>49697666</v>
      </c>
      <c r="BU181" s="121">
        <f t="shared" si="879"/>
        <v>0</v>
      </c>
      <c r="BV181" s="121">
        <f t="shared" si="879"/>
        <v>50197666</v>
      </c>
      <c r="BW181" s="121">
        <f t="shared" si="879"/>
        <v>0</v>
      </c>
      <c r="BX181" s="121">
        <f t="shared" si="879"/>
        <v>0</v>
      </c>
      <c r="BY181" s="121">
        <f t="shared" si="879"/>
        <v>50197666</v>
      </c>
      <c r="BZ181" s="121">
        <f t="shared" si="879"/>
        <v>500000</v>
      </c>
      <c r="CA181" s="121">
        <f t="shared" si="879"/>
        <v>50197666</v>
      </c>
      <c r="CB181" s="121">
        <f t="shared" si="879"/>
        <v>0</v>
      </c>
      <c r="CC181" s="121">
        <f t="shared" si="879"/>
        <v>0</v>
      </c>
      <c r="CD181" s="121">
        <f t="shared" si="879"/>
        <v>50197666</v>
      </c>
      <c r="CE181" s="121">
        <f t="shared" si="879"/>
        <v>0</v>
      </c>
      <c r="CF181" s="121">
        <f t="shared" si="879"/>
        <v>50197666</v>
      </c>
      <c r="CG181" s="121">
        <f t="shared" si="879"/>
        <v>0</v>
      </c>
      <c r="CH181" s="121">
        <f t="shared" si="879"/>
        <v>0</v>
      </c>
      <c r="CI181" s="121">
        <f t="shared" si="879"/>
        <v>50197666</v>
      </c>
      <c r="CJ181" s="121">
        <f t="shared" si="879"/>
        <v>0</v>
      </c>
      <c r="CK181" s="121">
        <f t="shared" si="879"/>
        <v>50197666</v>
      </c>
      <c r="CL181" s="121">
        <f t="shared" si="879"/>
        <v>0</v>
      </c>
      <c r="CM181" s="121">
        <f t="shared" si="879"/>
        <v>0</v>
      </c>
      <c r="CN181" s="121">
        <f t="shared" si="879"/>
        <v>50197666</v>
      </c>
      <c r="CO181" s="121">
        <f t="shared" si="879"/>
        <v>0</v>
      </c>
      <c r="CP181" s="121">
        <f t="shared" si="879"/>
        <v>50197666</v>
      </c>
      <c r="CQ181" s="121">
        <f t="shared" si="879"/>
        <v>0</v>
      </c>
      <c r="CR181" s="121">
        <f t="shared" si="879"/>
        <v>0</v>
      </c>
      <c r="CS181" s="121">
        <f t="shared" si="879"/>
        <v>50197666</v>
      </c>
      <c r="CT181" s="121">
        <f t="shared" si="879"/>
        <v>0</v>
      </c>
      <c r="CU181" s="121">
        <f t="shared" si="879"/>
        <v>50197666</v>
      </c>
      <c r="CV181" s="121">
        <f t="shared" si="879"/>
        <v>0</v>
      </c>
      <c r="CW181" s="121">
        <f t="shared" si="879"/>
        <v>0</v>
      </c>
      <c r="CX181" s="121">
        <f t="shared" si="879"/>
        <v>50197666</v>
      </c>
      <c r="CY181" s="121">
        <f t="shared" si="879"/>
        <v>0</v>
      </c>
      <c r="CZ181" s="121">
        <f t="shared" si="879"/>
        <v>0</v>
      </c>
      <c r="DA181" s="121">
        <f t="shared" si="879"/>
        <v>0</v>
      </c>
      <c r="DB181" s="121">
        <f t="shared" si="879"/>
        <v>0</v>
      </c>
      <c r="DC181" s="121">
        <f t="shared" si="879"/>
        <v>5019766.6000000015</v>
      </c>
      <c r="DD181" s="121">
        <f t="shared" si="879"/>
        <v>3.5999999999999996</v>
      </c>
      <c r="DE181" s="121">
        <f t="shared" si="879"/>
        <v>5019763</v>
      </c>
      <c r="DF181" s="121">
        <f t="shared" si="879"/>
        <v>5019763</v>
      </c>
      <c r="DG181" s="121">
        <f t="shared" si="879"/>
        <v>55217429</v>
      </c>
      <c r="DH181" s="121">
        <f t="shared" si="879"/>
        <v>3.9266102785418955</v>
      </c>
      <c r="DI181" s="121">
        <f t="shared" si="879"/>
        <v>50197666</v>
      </c>
      <c r="DJ181" s="121">
        <f t="shared" si="879"/>
        <v>55217432.600000001</v>
      </c>
      <c r="DK181" s="121">
        <f t="shared" si="879"/>
        <v>5019766.6000000052</v>
      </c>
      <c r="DL181" s="121">
        <f t="shared" si="879"/>
        <v>3.5999999999999996</v>
      </c>
      <c r="DM181" s="121">
        <f t="shared" si="879"/>
        <v>5019763.0000000047</v>
      </c>
      <c r="DN181" s="121">
        <f t="shared" si="879"/>
        <v>3.7252925189079633E-9</v>
      </c>
      <c r="DO181" s="121">
        <f t="shared" si="879"/>
        <v>55217429</v>
      </c>
      <c r="DP181" s="121">
        <f t="shared" si="879"/>
        <v>0</v>
      </c>
      <c r="DQ181" s="121">
        <f t="shared" si="879"/>
        <v>55217429</v>
      </c>
      <c r="DR181" s="121">
        <f t="shared" si="879"/>
        <v>0</v>
      </c>
      <c r="DS181" s="121">
        <f t="shared" si="879"/>
        <v>0</v>
      </c>
      <c r="DT181" s="121">
        <f t="shared" si="879"/>
        <v>55217429</v>
      </c>
      <c r="DU181" s="121">
        <f t="shared" si="879"/>
        <v>55217429</v>
      </c>
      <c r="DV181" s="121">
        <f t="shared" si="879"/>
        <v>0</v>
      </c>
      <c r="DW181" s="121">
        <f t="shared" si="879"/>
        <v>51862270</v>
      </c>
      <c r="DX181" s="121">
        <f t="shared" si="879"/>
        <v>0</v>
      </c>
      <c r="DY181" s="121">
        <f t="shared" si="879"/>
        <v>0</v>
      </c>
      <c r="DZ181" s="121">
        <f t="shared" si="879"/>
        <v>51862270</v>
      </c>
      <c r="EA181" s="121">
        <f t="shared" si="879"/>
        <v>51862270</v>
      </c>
      <c r="EB181" s="121">
        <f t="shared" si="879"/>
        <v>-3355159</v>
      </c>
      <c r="EC181" s="121">
        <f t="shared" ref="EC181:FL181" si="880">SUM(EC171:EC180)</f>
        <v>50587066</v>
      </c>
      <c r="ED181" s="121">
        <f t="shared" si="880"/>
        <v>0</v>
      </c>
      <c r="EE181" s="121">
        <f t="shared" si="880"/>
        <v>0</v>
      </c>
      <c r="EF181" s="121">
        <f t="shared" si="880"/>
        <v>50587066</v>
      </c>
      <c r="EG181" s="121">
        <f t="shared" si="880"/>
        <v>50587066</v>
      </c>
      <c r="EH181" s="121">
        <f t="shared" si="880"/>
        <v>-1275204</v>
      </c>
      <c r="EI181" s="121">
        <f t="shared" si="880"/>
        <v>50587066</v>
      </c>
      <c r="EJ181" s="121">
        <f t="shared" si="880"/>
        <v>0</v>
      </c>
      <c r="EK181" s="121">
        <f t="shared" si="880"/>
        <v>0</v>
      </c>
      <c r="EL181" s="121">
        <f t="shared" si="880"/>
        <v>50587066</v>
      </c>
      <c r="EM181" s="121">
        <f t="shared" si="880"/>
        <v>50587066</v>
      </c>
      <c r="EN181" s="121">
        <f t="shared" si="880"/>
        <v>0</v>
      </c>
      <c r="EO181" s="121">
        <f t="shared" si="880"/>
        <v>50587066</v>
      </c>
      <c r="EP181" s="121">
        <f t="shared" si="880"/>
        <v>0</v>
      </c>
      <c r="EQ181" s="121">
        <f t="shared" si="880"/>
        <v>0</v>
      </c>
      <c r="ER181" s="121">
        <f t="shared" si="880"/>
        <v>50587066</v>
      </c>
      <c r="ES181" s="121">
        <f t="shared" si="880"/>
        <v>50587066</v>
      </c>
      <c r="ET181" s="121">
        <f t="shared" si="880"/>
        <v>0</v>
      </c>
      <c r="EU181" s="121">
        <f t="shared" si="880"/>
        <v>50587066</v>
      </c>
      <c r="EV181" s="121">
        <f t="shared" si="880"/>
        <v>0</v>
      </c>
      <c r="EW181" s="121">
        <f t="shared" si="880"/>
        <v>0</v>
      </c>
      <c r="EX181" s="121">
        <f t="shared" si="880"/>
        <v>50587066</v>
      </c>
      <c r="EY181" s="121">
        <f t="shared" si="880"/>
        <v>50587066</v>
      </c>
      <c r="EZ181" s="121">
        <f t="shared" si="880"/>
        <v>0</v>
      </c>
      <c r="FA181" s="121">
        <f t="shared" si="880"/>
        <v>50587066</v>
      </c>
      <c r="FB181" s="121">
        <f t="shared" si="880"/>
        <v>0</v>
      </c>
      <c r="FC181" s="121">
        <f t="shared" si="880"/>
        <v>0</v>
      </c>
      <c r="FD181" s="121">
        <f t="shared" si="880"/>
        <v>50587066</v>
      </c>
      <c r="FE181" s="121">
        <f t="shared" si="880"/>
        <v>50587066</v>
      </c>
      <c r="FF181" s="121">
        <f t="shared" si="880"/>
        <v>0</v>
      </c>
      <c r="FG181" s="121">
        <f t="shared" si="880"/>
        <v>50587066</v>
      </c>
      <c r="FH181" s="121">
        <f t="shared" si="880"/>
        <v>0</v>
      </c>
      <c r="FI181" s="121">
        <f t="shared" si="880"/>
        <v>0</v>
      </c>
      <c r="FJ181" s="121">
        <f t="shared" si="880"/>
        <v>50587066</v>
      </c>
      <c r="FK181" s="121">
        <f t="shared" si="880"/>
        <v>50587066</v>
      </c>
      <c r="FL181" s="121">
        <f t="shared" si="880"/>
        <v>0</v>
      </c>
      <c r="FM181" s="121">
        <f t="shared" ref="FM181:FR181" si="881">SUM(FM171:FM180)</f>
        <v>50587066</v>
      </c>
      <c r="FN181" s="121">
        <f t="shared" si="881"/>
        <v>0</v>
      </c>
      <c r="FO181" s="121">
        <f t="shared" si="881"/>
        <v>0</v>
      </c>
      <c r="FP181" s="121">
        <f t="shared" si="881"/>
        <v>50587066</v>
      </c>
      <c r="FQ181" s="121">
        <f t="shared" si="881"/>
        <v>50587066</v>
      </c>
      <c r="FR181" s="121">
        <f t="shared" si="881"/>
        <v>0</v>
      </c>
      <c r="FS181" s="121">
        <f t="shared" ref="FS181:FX181" si="882">SUM(FS171:FS180)</f>
        <v>50587066</v>
      </c>
      <c r="FT181" s="121">
        <f t="shared" si="882"/>
        <v>0</v>
      </c>
      <c r="FU181" s="121">
        <f t="shared" si="882"/>
        <v>0</v>
      </c>
      <c r="FV181" s="121">
        <f t="shared" si="882"/>
        <v>50587066</v>
      </c>
      <c r="FW181" s="121">
        <f t="shared" si="882"/>
        <v>50587066</v>
      </c>
      <c r="FX181" s="121">
        <f t="shared" si="882"/>
        <v>0</v>
      </c>
      <c r="FY181" s="121">
        <f t="shared" ref="FY181:GD181" si="883">SUM(FY171:FY180)</f>
        <v>50587066</v>
      </c>
      <c r="FZ181" s="121">
        <f t="shared" si="883"/>
        <v>0</v>
      </c>
      <c r="GA181" s="121">
        <f t="shared" si="883"/>
        <v>0</v>
      </c>
      <c r="GB181" s="121">
        <f t="shared" si="883"/>
        <v>50587066</v>
      </c>
      <c r="GC181" s="121">
        <f t="shared" si="883"/>
        <v>50587066</v>
      </c>
      <c r="GD181" s="121">
        <f t="shared" si="883"/>
        <v>0</v>
      </c>
      <c r="GE181" s="121">
        <f t="shared" ref="GE181:GJ181" si="884">SUM(GE171:GE180)</f>
        <v>50587066</v>
      </c>
      <c r="GF181" s="121">
        <f t="shared" si="884"/>
        <v>0</v>
      </c>
      <c r="GG181" s="121">
        <f t="shared" si="884"/>
        <v>0</v>
      </c>
      <c r="GH181" s="121">
        <f t="shared" si="884"/>
        <v>50587066</v>
      </c>
      <c r="GI181" s="121">
        <f t="shared" si="884"/>
        <v>50587066</v>
      </c>
      <c r="GJ181" s="121">
        <f t="shared" si="884"/>
        <v>0</v>
      </c>
      <c r="GK181" s="121">
        <f t="shared" ref="GK181:GP181" si="885">SUM(GK171:GK180)</f>
        <v>50587066</v>
      </c>
      <c r="GL181" s="121">
        <f t="shared" si="885"/>
        <v>0</v>
      </c>
      <c r="GM181" s="121">
        <f t="shared" si="885"/>
        <v>0</v>
      </c>
      <c r="GN181" s="121">
        <f t="shared" si="885"/>
        <v>50587066</v>
      </c>
      <c r="GO181" s="121">
        <f t="shared" si="885"/>
        <v>50587066</v>
      </c>
      <c r="GP181" s="121">
        <f t="shared" si="885"/>
        <v>0</v>
      </c>
      <c r="GQ181" s="121">
        <f t="shared" ref="GQ181:GV181" si="886">SUM(GQ171:GQ180)</f>
        <v>50587066</v>
      </c>
      <c r="GR181" s="121">
        <f t="shared" si="886"/>
        <v>0</v>
      </c>
      <c r="GS181" s="121">
        <f t="shared" si="886"/>
        <v>0</v>
      </c>
      <c r="GT181" s="121">
        <f t="shared" si="886"/>
        <v>50587066</v>
      </c>
      <c r="GU181" s="121">
        <f t="shared" si="886"/>
        <v>50587066</v>
      </c>
      <c r="GV181" s="121">
        <f t="shared" si="886"/>
        <v>0</v>
      </c>
      <c r="GW181" s="121">
        <f t="shared" ref="GW181:HB181" si="887">SUM(GW171:GW180)</f>
        <v>53116417</v>
      </c>
      <c r="GX181" s="121">
        <f t="shared" si="887"/>
        <v>0</v>
      </c>
      <c r="GY181" s="121">
        <f t="shared" si="887"/>
        <v>0</v>
      </c>
      <c r="GZ181" s="121">
        <f t="shared" si="887"/>
        <v>53116417</v>
      </c>
      <c r="HA181" s="121">
        <f t="shared" si="887"/>
        <v>53116417</v>
      </c>
      <c r="HB181" s="121">
        <f t="shared" si="887"/>
        <v>2529351</v>
      </c>
      <c r="HC181" s="121">
        <f>SUM(HC171:HC180)</f>
        <v>3.5973366374313689</v>
      </c>
    </row>
    <row r="182" spans="1:226" x14ac:dyDescent="0.3">
      <c r="A182" s="98"/>
      <c r="B182" s="98"/>
      <c r="C182" s="98"/>
      <c r="D182" s="99"/>
      <c r="E182" s="108"/>
      <c r="F182" s="108"/>
      <c r="G182" s="108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127">
        <f>AY181*10*5%</f>
        <v>23665557.5</v>
      </c>
      <c r="AZ182" s="20"/>
      <c r="BA182" s="20"/>
      <c r="BB182" s="20"/>
      <c r="BC182" s="20"/>
      <c r="BD182" s="20"/>
      <c r="BE182" s="20"/>
      <c r="BF182" s="100"/>
      <c r="BG182" s="100"/>
      <c r="BH182" s="100"/>
      <c r="BI182" s="100"/>
      <c r="BJ182" s="100"/>
      <c r="BK182" s="100"/>
      <c r="BL182" s="100"/>
      <c r="BM182" s="100"/>
      <c r="BN182" s="100"/>
      <c r="BO182" s="100"/>
      <c r="BP182" s="100"/>
      <c r="BQ182" s="100"/>
      <c r="BR182" s="100"/>
      <c r="BS182" s="100"/>
      <c r="BT182" s="100"/>
      <c r="BU182" s="100"/>
      <c r="BV182" s="100"/>
      <c r="BW182" s="100"/>
      <c r="BX182" s="100"/>
      <c r="BY182" s="100"/>
      <c r="BZ182" s="100"/>
      <c r="CA182" s="100"/>
      <c r="CB182" s="100"/>
      <c r="CC182" s="100"/>
      <c r="CD182" s="100"/>
      <c r="CE182" s="100"/>
      <c r="CF182" s="100"/>
      <c r="CG182" s="100"/>
      <c r="CH182" s="100"/>
      <c r="CI182" s="100"/>
      <c r="CJ182" s="100"/>
      <c r="CK182" s="100"/>
      <c r="CL182" s="100"/>
      <c r="CM182" s="100"/>
      <c r="CN182" s="100"/>
      <c r="CO182" s="100"/>
      <c r="CP182" s="100"/>
      <c r="CQ182" s="100"/>
      <c r="CR182" s="100"/>
      <c r="CS182" s="100"/>
      <c r="CT182" s="100"/>
      <c r="CU182" s="100"/>
      <c r="CV182" s="100"/>
      <c r="CW182" s="100"/>
      <c r="CX182" s="100"/>
      <c r="CY182" s="100"/>
      <c r="CZ182" s="100"/>
      <c r="DA182" s="100"/>
      <c r="DB182" s="100"/>
      <c r="DC182" s="100"/>
      <c r="DD182" s="100"/>
      <c r="DE182" s="100"/>
      <c r="DF182" s="100"/>
      <c r="DG182" s="100"/>
      <c r="DH182" s="114"/>
    </row>
    <row r="183" spans="1:226" x14ac:dyDescent="0.3">
      <c r="A183" s="98"/>
      <c r="B183" s="98"/>
      <c r="C183" s="98"/>
      <c r="D183" s="99"/>
      <c r="E183" s="108"/>
      <c r="F183" s="108"/>
      <c r="G183" s="108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  <c r="BB183" s="20"/>
      <c r="BC183" s="20"/>
      <c r="BD183" s="20"/>
      <c r="BE183" s="20"/>
      <c r="BF183" s="100"/>
      <c r="BG183" s="100"/>
      <c r="BH183" s="100"/>
      <c r="BI183" s="100"/>
      <c r="BJ183" s="100"/>
      <c r="BK183" s="100"/>
      <c r="BL183" s="100"/>
      <c r="BM183" s="100"/>
      <c r="BN183" s="100"/>
      <c r="BO183" s="100"/>
      <c r="BP183" s="100"/>
      <c r="BQ183" s="100"/>
      <c r="BR183" s="100"/>
      <c r="BS183" s="100"/>
      <c r="BT183" s="100"/>
      <c r="BU183" s="100"/>
      <c r="BV183" s="100"/>
      <c r="BW183" s="100"/>
      <c r="BX183" s="100"/>
      <c r="BY183" s="100"/>
      <c r="BZ183" s="100"/>
      <c r="CA183" s="100"/>
      <c r="CB183" s="100"/>
      <c r="CC183" s="100"/>
      <c r="CD183" s="100"/>
      <c r="CE183" s="100"/>
      <c r="CF183" s="100"/>
      <c r="CG183" s="100"/>
      <c r="CH183" s="100"/>
      <c r="CI183" s="100"/>
      <c r="CJ183" s="100"/>
      <c r="CK183" s="100"/>
      <c r="CL183" s="100"/>
      <c r="CM183" s="100"/>
      <c r="CN183" s="100"/>
      <c r="CO183" s="100"/>
      <c r="CP183" s="100"/>
      <c r="CQ183" s="100"/>
      <c r="CR183" s="100"/>
      <c r="CS183" s="100"/>
      <c r="CT183" s="100"/>
      <c r="CU183" s="100"/>
      <c r="CV183" s="100"/>
      <c r="CW183" s="100"/>
      <c r="CX183" s="100"/>
      <c r="CY183" s="100"/>
      <c r="CZ183" s="100"/>
      <c r="DA183" s="100"/>
      <c r="DB183" s="100"/>
      <c r="DC183" s="100"/>
      <c r="DD183" s="100"/>
      <c r="DE183" s="100"/>
      <c r="DF183" s="100"/>
      <c r="DG183" s="100"/>
      <c r="DH183" s="114"/>
    </row>
    <row r="184" spans="1:226" s="74" customFormat="1" ht="52.5" customHeight="1" x14ac:dyDescent="0.3">
      <c r="A184" s="85" t="s">
        <v>0</v>
      </c>
      <c r="B184" s="85" t="s">
        <v>1</v>
      </c>
      <c r="C184" s="85" t="s">
        <v>217</v>
      </c>
      <c r="D184" s="86" t="s">
        <v>218</v>
      </c>
      <c r="E184" s="87" t="s">
        <v>233</v>
      </c>
      <c r="F184" s="87" t="s">
        <v>234</v>
      </c>
      <c r="G184" s="87" t="s">
        <v>235</v>
      </c>
      <c r="H184" s="87" t="s">
        <v>383</v>
      </c>
      <c r="I184" s="87" t="s">
        <v>382</v>
      </c>
      <c r="J184" s="87" t="s">
        <v>381</v>
      </c>
      <c r="K184" s="87" t="s">
        <v>380</v>
      </c>
      <c r="L184" s="87" t="s">
        <v>379</v>
      </c>
      <c r="M184" s="87" t="s">
        <v>378</v>
      </c>
      <c r="N184" s="87" t="s">
        <v>377</v>
      </c>
      <c r="O184" s="87" t="s">
        <v>394</v>
      </c>
      <c r="P184" s="87" t="s">
        <v>413</v>
      </c>
      <c r="Q184" s="87" t="s">
        <v>415</v>
      </c>
      <c r="R184" s="87" t="s">
        <v>417</v>
      </c>
      <c r="S184" s="87" t="s">
        <v>420</v>
      </c>
      <c r="T184" s="87" t="s">
        <v>421</v>
      </c>
      <c r="U184" s="87" t="s">
        <v>425</v>
      </c>
      <c r="V184" s="87" t="s">
        <v>426</v>
      </c>
      <c r="W184" s="87" t="s">
        <v>424</v>
      </c>
      <c r="X184" s="87" t="s">
        <v>437</v>
      </c>
      <c r="Y184" s="87" t="s">
        <v>439</v>
      </c>
      <c r="Z184" s="87" t="s">
        <v>447</v>
      </c>
      <c r="AA184" s="87" t="s">
        <v>458</v>
      </c>
      <c r="AB184" s="420" t="s">
        <v>459</v>
      </c>
      <c r="AC184" s="422"/>
      <c r="AD184" s="422"/>
      <c r="AE184" s="421"/>
      <c r="AF184" s="433" t="s">
        <v>462</v>
      </c>
      <c r="AG184" s="434"/>
      <c r="AH184" s="434"/>
      <c r="AI184" s="435"/>
      <c r="AJ184" s="420" t="s">
        <v>466</v>
      </c>
      <c r="AK184" s="422"/>
      <c r="AL184" s="422"/>
      <c r="AM184" s="421"/>
      <c r="AN184" s="433" t="s">
        <v>470</v>
      </c>
      <c r="AO184" s="434"/>
      <c r="AP184" s="434"/>
      <c r="AQ184" s="435"/>
      <c r="AR184" s="420" t="s">
        <v>478</v>
      </c>
      <c r="AS184" s="422"/>
      <c r="AT184" s="422"/>
      <c r="AU184" s="421"/>
      <c r="AV184" s="433" t="s">
        <v>483</v>
      </c>
      <c r="AW184" s="434"/>
      <c r="AX184" s="434"/>
      <c r="AY184" s="435"/>
      <c r="AZ184" s="436" t="s">
        <v>503</v>
      </c>
      <c r="BA184" s="436" t="s">
        <v>488</v>
      </c>
      <c r="BB184" s="436" t="s">
        <v>489</v>
      </c>
      <c r="BC184" s="436" t="s">
        <v>423</v>
      </c>
      <c r="BD184" s="436" t="s">
        <v>507</v>
      </c>
      <c r="BE184" s="436" t="s">
        <v>531</v>
      </c>
      <c r="BF184" s="437" t="s">
        <v>508</v>
      </c>
      <c r="BG184" s="437" t="s">
        <v>509</v>
      </c>
      <c r="BH184" s="420" t="s">
        <v>532</v>
      </c>
      <c r="BI184" s="422"/>
      <c r="BJ184" s="422"/>
      <c r="BK184" s="421"/>
      <c r="BL184" s="433" t="s">
        <v>539</v>
      </c>
      <c r="BM184" s="434"/>
      <c r="BN184" s="434"/>
      <c r="BO184" s="435"/>
      <c r="BP184" s="438" t="s">
        <v>538</v>
      </c>
      <c r="BQ184" s="420" t="s">
        <v>542</v>
      </c>
      <c r="BR184" s="422"/>
      <c r="BS184" s="422"/>
      <c r="BT184" s="421"/>
      <c r="BU184" s="438" t="s">
        <v>541</v>
      </c>
      <c r="BV184" s="420" t="s">
        <v>552</v>
      </c>
      <c r="BW184" s="422"/>
      <c r="BX184" s="422"/>
      <c r="BY184" s="421"/>
      <c r="BZ184" s="438" t="s">
        <v>553</v>
      </c>
      <c r="CA184" s="420" t="s">
        <v>578</v>
      </c>
      <c r="CB184" s="422"/>
      <c r="CC184" s="422"/>
      <c r="CD184" s="421"/>
      <c r="CE184" s="438" t="s">
        <v>579</v>
      </c>
      <c r="CF184" s="420" t="s">
        <v>581</v>
      </c>
      <c r="CG184" s="422"/>
      <c r="CH184" s="422"/>
      <c r="CI184" s="421"/>
      <c r="CJ184" s="438" t="s">
        <v>580</v>
      </c>
      <c r="CK184" s="420" t="s">
        <v>585</v>
      </c>
      <c r="CL184" s="422"/>
      <c r="CM184" s="422"/>
      <c r="CN184" s="421"/>
      <c r="CO184" s="438" t="s">
        <v>580</v>
      </c>
      <c r="CP184" s="420" t="s">
        <v>587</v>
      </c>
      <c r="CQ184" s="422"/>
      <c r="CR184" s="422"/>
      <c r="CS184" s="421"/>
      <c r="CT184" s="438" t="s">
        <v>588</v>
      </c>
      <c r="CU184" s="420" t="s">
        <v>590</v>
      </c>
      <c r="CV184" s="422"/>
      <c r="CW184" s="422"/>
      <c r="CX184" s="421"/>
      <c r="CY184" s="438" t="s">
        <v>591</v>
      </c>
      <c r="CZ184" s="294"/>
      <c r="DA184" s="294"/>
      <c r="DB184" s="294"/>
      <c r="DC184" s="95" t="s">
        <v>602</v>
      </c>
      <c r="DD184" s="95" t="s">
        <v>488</v>
      </c>
      <c r="DE184" s="95" t="s">
        <v>489</v>
      </c>
      <c r="DF184" s="95" t="s">
        <v>603</v>
      </c>
      <c r="DG184" s="95" t="s">
        <v>423</v>
      </c>
      <c r="DH184" s="85" t="s">
        <v>2</v>
      </c>
      <c r="DI184" s="427" t="s">
        <v>613</v>
      </c>
      <c r="DJ184" s="427"/>
      <c r="DK184" s="427"/>
      <c r="DL184" s="427"/>
      <c r="DM184" s="427"/>
      <c r="DN184" s="427"/>
      <c r="DO184" s="427"/>
      <c r="DP184" s="427"/>
      <c r="DQ184" s="423" t="s">
        <v>614</v>
      </c>
      <c r="DR184" s="424"/>
      <c r="DS184" s="424"/>
      <c r="DT184" s="424"/>
      <c r="DU184" s="425"/>
      <c r="DV184" s="87" t="s">
        <v>615</v>
      </c>
      <c r="DW184" s="423" t="s">
        <v>623</v>
      </c>
      <c r="DX184" s="424"/>
      <c r="DY184" s="424"/>
      <c r="DZ184" s="424"/>
      <c r="EA184" s="425"/>
      <c r="EB184" s="87" t="s">
        <v>624</v>
      </c>
      <c r="EC184" s="423" t="s">
        <v>627</v>
      </c>
      <c r="ED184" s="424"/>
      <c r="EE184" s="424"/>
      <c r="EF184" s="424"/>
      <c r="EG184" s="425"/>
      <c r="EH184" s="87" t="s">
        <v>628</v>
      </c>
      <c r="EI184" s="423" t="s">
        <v>631</v>
      </c>
      <c r="EJ184" s="424"/>
      <c r="EK184" s="424"/>
      <c r="EL184" s="424"/>
      <c r="EM184" s="425"/>
      <c r="EN184" s="87" t="s">
        <v>632</v>
      </c>
      <c r="EO184" s="423" t="s">
        <v>638</v>
      </c>
      <c r="EP184" s="424"/>
      <c r="EQ184" s="424"/>
      <c r="ER184" s="424"/>
      <c r="ES184" s="425"/>
      <c r="ET184" s="87" t="s">
        <v>637</v>
      </c>
      <c r="EU184" s="423" t="s">
        <v>641</v>
      </c>
      <c r="EV184" s="424"/>
      <c r="EW184" s="424"/>
      <c r="EX184" s="424"/>
      <c r="EY184" s="425"/>
      <c r="EZ184" s="87" t="s">
        <v>642</v>
      </c>
      <c r="FA184" s="423" t="s">
        <v>645</v>
      </c>
      <c r="FB184" s="424"/>
      <c r="FC184" s="424"/>
      <c r="FD184" s="424"/>
      <c r="FE184" s="425"/>
      <c r="FF184" s="87" t="s">
        <v>646</v>
      </c>
      <c r="FG184" s="423" t="s">
        <v>653</v>
      </c>
      <c r="FH184" s="424"/>
      <c r="FI184" s="424"/>
      <c r="FJ184" s="424"/>
      <c r="FK184" s="425"/>
      <c r="FL184" s="87" t="s">
        <v>654</v>
      </c>
      <c r="FM184" s="423" t="s">
        <v>662</v>
      </c>
      <c r="FN184" s="424"/>
      <c r="FO184" s="424"/>
      <c r="FP184" s="424"/>
      <c r="FQ184" s="425"/>
      <c r="FR184" s="87" t="s">
        <v>657</v>
      </c>
      <c r="FS184" s="423" t="s">
        <v>661</v>
      </c>
      <c r="FT184" s="424"/>
      <c r="FU184" s="424"/>
      <c r="FV184" s="424"/>
      <c r="FW184" s="425"/>
      <c r="FX184" s="87" t="s">
        <v>663</v>
      </c>
      <c r="FY184" s="423" t="s">
        <v>665</v>
      </c>
      <c r="FZ184" s="424"/>
      <c r="GA184" s="424"/>
      <c r="GB184" s="424"/>
      <c r="GC184" s="425"/>
      <c r="GD184" s="87" t="s">
        <v>666</v>
      </c>
      <c r="GE184" s="423" t="s">
        <v>668</v>
      </c>
      <c r="GF184" s="424"/>
      <c r="GG184" s="424"/>
      <c r="GH184" s="424"/>
      <c r="GI184" s="425"/>
      <c r="GJ184" s="87" t="s">
        <v>669</v>
      </c>
      <c r="GK184" s="423" t="s">
        <v>671</v>
      </c>
      <c r="GL184" s="424"/>
      <c r="GM184" s="424"/>
      <c r="GN184" s="424"/>
      <c r="GO184" s="425"/>
      <c r="GP184" s="87" t="s">
        <v>672</v>
      </c>
      <c r="GQ184" s="423" t="s">
        <v>674</v>
      </c>
      <c r="GR184" s="424"/>
      <c r="GS184" s="424"/>
      <c r="GT184" s="424"/>
      <c r="GU184" s="425"/>
      <c r="GV184" s="87" t="s">
        <v>675</v>
      </c>
      <c r="GW184" s="423" t="s">
        <v>696</v>
      </c>
      <c r="GX184" s="424"/>
      <c r="GY184" s="424"/>
      <c r="GZ184" s="424"/>
      <c r="HA184" s="425"/>
      <c r="HB184" s="87" t="s">
        <v>697</v>
      </c>
      <c r="HC184" s="85" t="s">
        <v>2</v>
      </c>
      <c r="HD184" s="6"/>
      <c r="HE184" s="439" t="s">
        <v>678</v>
      </c>
      <c r="HF184" s="439"/>
      <c r="HG184" s="439"/>
      <c r="HH184" s="439"/>
      <c r="HI184" s="439"/>
      <c r="HJ184" s="85" t="s">
        <v>2</v>
      </c>
      <c r="HK184" s="593" t="s">
        <v>698</v>
      </c>
      <c r="HL184" s="594"/>
      <c r="HM184" s="594"/>
      <c r="HN184" s="594"/>
      <c r="HO184" s="594"/>
      <c r="HP184" s="594"/>
      <c r="HQ184" s="594"/>
      <c r="HR184" s="594"/>
    </row>
    <row r="185" spans="1:226" s="74" customFormat="1" ht="30.6" x14ac:dyDescent="0.3">
      <c r="A185" s="85"/>
      <c r="B185" s="446" t="s">
        <v>566</v>
      </c>
      <c r="C185" s="441"/>
      <c r="D185" s="442"/>
      <c r="E185" s="87"/>
      <c r="F185" s="87"/>
      <c r="G185" s="87"/>
      <c r="H185" s="88"/>
      <c r="I185" s="88"/>
      <c r="J185" s="294"/>
      <c r="K185" s="88"/>
      <c r="L185" s="87"/>
      <c r="M185" s="87"/>
      <c r="N185" s="87"/>
      <c r="O185" s="294"/>
      <c r="P185" s="294"/>
      <c r="Q185" s="294"/>
      <c r="R185" s="294"/>
      <c r="S185" s="294"/>
      <c r="T185" s="294"/>
      <c r="U185" s="294"/>
      <c r="V185" s="294"/>
      <c r="W185" s="294"/>
      <c r="X185" s="294"/>
      <c r="Y185" s="294"/>
      <c r="Z185" s="294"/>
      <c r="AA185" s="294"/>
      <c r="AB185" s="112" t="s">
        <v>234</v>
      </c>
      <c r="AC185" s="112" t="s">
        <v>454</v>
      </c>
      <c r="AD185" s="112" t="s">
        <v>455</v>
      </c>
      <c r="AE185" s="112" t="s">
        <v>456</v>
      </c>
      <c r="AF185" s="14" t="s">
        <v>234</v>
      </c>
      <c r="AG185" s="14" t="s">
        <v>454</v>
      </c>
      <c r="AH185" s="14" t="s">
        <v>455</v>
      </c>
      <c r="AI185" s="14" t="s">
        <v>456</v>
      </c>
      <c r="AJ185" s="112" t="s">
        <v>234</v>
      </c>
      <c r="AK185" s="112" t="s">
        <v>454</v>
      </c>
      <c r="AL185" s="112" t="s">
        <v>455</v>
      </c>
      <c r="AM185" s="112" t="s">
        <v>456</v>
      </c>
      <c r="AN185" s="14" t="s">
        <v>234</v>
      </c>
      <c r="AO185" s="14" t="s">
        <v>454</v>
      </c>
      <c r="AP185" s="14" t="s">
        <v>455</v>
      </c>
      <c r="AQ185" s="14" t="s">
        <v>456</v>
      </c>
      <c r="AR185" s="112" t="s">
        <v>234</v>
      </c>
      <c r="AS185" s="112" t="s">
        <v>454</v>
      </c>
      <c r="AT185" s="112" t="s">
        <v>455</v>
      </c>
      <c r="AU185" s="112" t="s">
        <v>456</v>
      </c>
      <c r="AV185" s="14" t="s">
        <v>234</v>
      </c>
      <c r="AW185" s="14" t="s">
        <v>454</v>
      </c>
      <c r="AX185" s="14" t="s">
        <v>455</v>
      </c>
      <c r="AY185" s="14" t="s">
        <v>456</v>
      </c>
      <c r="AZ185" s="443"/>
      <c r="BA185" s="443"/>
      <c r="BB185" s="443"/>
      <c r="BC185" s="443"/>
      <c r="BD185" s="443"/>
      <c r="BE185" s="443"/>
      <c r="BF185" s="444"/>
      <c r="BG185" s="444"/>
      <c r="BH185" s="112" t="s">
        <v>234</v>
      </c>
      <c r="BI185" s="112" t="s">
        <v>454</v>
      </c>
      <c r="BJ185" s="112" t="s">
        <v>455</v>
      </c>
      <c r="BK185" s="112" t="s">
        <v>456</v>
      </c>
      <c r="BL185" s="14" t="s">
        <v>234</v>
      </c>
      <c r="BM185" s="14" t="s">
        <v>454</v>
      </c>
      <c r="BN185" s="14" t="s">
        <v>455</v>
      </c>
      <c r="BO185" s="14" t="s">
        <v>456</v>
      </c>
      <c r="BP185" s="445"/>
      <c r="BQ185" s="112" t="s">
        <v>234</v>
      </c>
      <c r="BR185" s="112" t="s">
        <v>454</v>
      </c>
      <c r="BS185" s="112" t="s">
        <v>455</v>
      </c>
      <c r="BT185" s="112" t="s">
        <v>456</v>
      </c>
      <c r="BU185" s="445"/>
      <c r="BV185" s="112" t="s">
        <v>234</v>
      </c>
      <c r="BW185" s="112" t="s">
        <v>454</v>
      </c>
      <c r="BX185" s="112" t="s">
        <v>455</v>
      </c>
      <c r="BY185" s="112" t="s">
        <v>456</v>
      </c>
      <c r="BZ185" s="445"/>
      <c r="CA185" s="112" t="s">
        <v>234</v>
      </c>
      <c r="CB185" s="112" t="s">
        <v>454</v>
      </c>
      <c r="CC185" s="112" t="s">
        <v>455</v>
      </c>
      <c r="CD185" s="112" t="s">
        <v>456</v>
      </c>
      <c r="CE185" s="445"/>
      <c r="CF185" s="112" t="s">
        <v>234</v>
      </c>
      <c r="CG185" s="112" t="s">
        <v>454</v>
      </c>
      <c r="CH185" s="112" t="s">
        <v>455</v>
      </c>
      <c r="CI185" s="112" t="s">
        <v>456</v>
      </c>
      <c r="CJ185" s="445"/>
      <c r="CK185" s="112" t="s">
        <v>234</v>
      </c>
      <c r="CL185" s="112" t="s">
        <v>454</v>
      </c>
      <c r="CM185" s="112" t="s">
        <v>455</v>
      </c>
      <c r="CN185" s="112" t="s">
        <v>456</v>
      </c>
      <c r="CO185" s="445"/>
      <c r="CP185" s="112" t="s">
        <v>234</v>
      </c>
      <c r="CQ185" s="112" t="s">
        <v>454</v>
      </c>
      <c r="CR185" s="112" t="s">
        <v>455</v>
      </c>
      <c r="CS185" s="112" t="s">
        <v>456</v>
      </c>
      <c r="CT185" s="445"/>
      <c r="CU185" s="112" t="s">
        <v>234</v>
      </c>
      <c r="CV185" s="112" t="s">
        <v>454</v>
      </c>
      <c r="CW185" s="112" t="s">
        <v>455</v>
      </c>
      <c r="CX185" s="112" t="s">
        <v>456</v>
      </c>
      <c r="CY185" s="445"/>
      <c r="CZ185" s="295"/>
      <c r="DA185" s="295"/>
      <c r="DB185" s="295"/>
      <c r="DC185" s="95" t="s">
        <v>602</v>
      </c>
      <c r="DD185" s="95" t="s">
        <v>488</v>
      </c>
      <c r="DE185" s="95" t="s">
        <v>489</v>
      </c>
      <c r="DF185" s="95" t="s">
        <v>603</v>
      </c>
      <c r="DG185" s="95" t="s">
        <v>423</v>
      </c>
      <c r="DH185" s="89"/>
      <c r="DI185" s="90" t="s">
        <v>604</v>
      </c>
      <c r="DJ185" s="91" t="s">
        <v>605</v>
      </c>
      <c r="DK185" s="92" t="s">
        <v>606</v>
      </c>
      <c r="DL185" s="92" t="s">
        <v>607</v>
      </c>
      <c r="DM185" s="91" t="s">
        <v>608</v>
      </c>
      <c r="DN185" s="91" t="s">
        <v>609</v>
      </c>
      <c r="DO185" s="91" t="s">
        <v>611</v>
      </c>
      <c r="DP185" s="91" t="s">
        <v>610</v>
      </c>
      <c r="DQ185" s="112" t="s">
        <v>234</v>
      </c>
      <c r="DR185" s="112" t="s">
        <v>454</v>
      </c>
      <c r="DS185" s="112" t="s">
        <v>455</v>
      </c>
      <c r="DT185" s="93" t="s">
        <v>456</v>
      </c>
      <c r="DU185" s="94" t="s">
        <v>457</v>
      </c>
      <c r="DV185" s="87"/>
      <c r="DW185" s="112" t="s">
        <v>234</v>
      </c>
      <c r="DX185" s="112" t="s">
        <v>454</v>
      </c>
      <c r="DY185" s="112" t="s">
        <v>455</v>
      </c>
      <c r="DZ185" s="93" t="s">
        <v>456</v>
      </c>
      <c r="EA185" s="94" t="s">
        <v>457</v>
      </c>
      <c r="EB185" s="87"/>
      <c r="EC185" s="112" t="s">
        <v>234</v>
      </c>
      <c r="ED185" s="112" t="s">
        <v>454</v>
      </c>
      <c r="EE185" s="112" t="s">
        <v>455</v>
      </c>
      <c r="EF185" s="93" t="s">
        <v>456</v>
      </c>
      <c r="EG185" s="94" t="s">
        <v>457</v>
      </c>
      <c r="EH185" s="87"/>
      <c r="EI185" s="112" t="s">
        <v>234</v>
      </c>
      <c r="EJ185" s="112" t="s">
        <v>454</v>
      </c>
      <c r="EK185" s="112" t="s">
        <v>455</v>
      </c>
      <c r="EL185" s="93" t="s">
        <v>456</v>
      </c>
      <c r="EM185" s="94" t="s">
        <v>457</v>
      </c>
      <c r="EN185" s="87"/>
      <c r="EO185" s="112" t="s">
        <v>234</v>
      </c>
      <c r="EP185" s="112" t="s">
        <v>454</v>
      </c>
      <c r="EQ185" s="112" t="s">
        <v>455</v>
      </c>
      <c r="ER185" s="93" t="s">
        <v>456</v>
      </c>
      <c r="ES185" s="94" t="s">
        <v>457</v>
      </c>
      <c r="ET185" s="87"/>
      <c r="EU185" s="112" t="s">
        <v>234</v>
      </c>
      <c r="EV185" s="112" t="s">
        <v>454</v>
      </c>
      <c r="EW185" s="112" t="s">
        <v>455</v>
      </c>
      <c r="EX185" s="93" t="s">
        <v>456</v>
      </c>
      <c r="EY185" s="94" t="s">
        <v>457</v>
      </c>
      <c r="EZ185" s="87"/>
      <c r="FA185" s="112" t="s">
        <v>234</v>
      </c>
      <c r="FB185" s="112" t="s">
        <v>454</v>
      </c>
      <c r="FC185" s="112" t="s">
        <v>455</v>
      </c>
      <c r="FD185" s="93" t="s">
        <v>456</v>
      </c>
      <c r="FE185" s="94" t="s">
        <v>457</v>
      </c>
      <c r="FF185" s="87"/>
      <c r="FG185" s="112" t="s">
        <v>234</v>
      </c>
      <c r="FH185" s="112" t="s">
        <v>454</v>
      </c>
      <c r="FI185" s="112" t="s">
        <v>455</v>
      </c>
      <c r="FJ185" s="93" t="s">
        <v>456</v>
      </c>
      <c r="FK185" s="94" t="s">
        <v>457</v>
      </c>
      <c r="FL185" s="87"/>
      <c r="FM185" s="112" t="s">
        <v>234</v>
      </c>
      <c r="FN185" s="112" t="s">
        <v>454</v>
      </c>
      <c r="FO185" s="112" t="s">
        <v>455</v>
      </c>
      <c r="FP185" s="93" t="s">
        <v>456</v>
      </c>
      <c r="FQ185" s="94" t="s">
        <v>457</v>
      </c>
      <c r="FR185" s="87"/>
      <c r="FS185" s="112" t="s">
        <v>234</v>
      </c>
      <c r="FT185" s="112" t="s">
        <v>454</v>
      </c>
      <c r="FU185" s="112" t="s">
        <v>455</v>
      </c>
      <c r="FV185" s="93" t="s">
        <v>456</v>
      </c>
      <c r="FW185" s="94" t="s">
        <v>457</v>
      </c>
      <c r="FX185" s="87"/>
      <c r="FY185" s="112" t="s">
        <v>234</v>
      </c>
      <c r="FZ185" s="112" t="s">
        <v>454</v>
      </c>
      <c r="GA185" s="112" t="s">
        <v>455</v>
      </c>
      <c r="GB185" s="93" t="s">
        <v>456</v>
      </c>
      <c r="GC185" s="94" t="s">
        <v>457</v>
      </c>
      <c r="GD185" s="87"/>
      <c r="GE185" s="112" t="s">
        <v>234</v>
      </c>
      <c r="GF185" s="112" t="s">
        <v>454</v>
      </c>
      <c r="GG185" s="112" t="s">
        <v>455</v>
      </c>
      <c r="GH185" s="93" t="s">
        <v>456</v>
      </c>
      <c r="GI185" s="94" t="s">
        <v>457</v>
      </c>
      <c r="GJ185" s="87"/>
      <c r="GK185" s="112" t="s">
        <v>234</v>
      </c>
      <c r="GL185" s="112" t="s">
        <v>454</v>
      </c>
      <c r="GM185" s="112" t="s">
        <v>455</v>
      </c>
      <c r="GN185" s="93" t="s">
        <v>456</v>
      </c>
      <c r="GO185" s="94" t="s">
        <v>457</v>
      </c>
      <c r="GP185" s="87"/>
      <c r="GQ185" s="112" t="s">
        <v>234</v>
      </c>
      <c r="GR185" s="112" t="s">
        <v>454</v>
      </c>
      <c r="GS185" s="112" t="s">
        <v>455</v>
      </c>
      <c r="GT185" s="93" t="s">
        <v>456</v>
      </c>
      <c r="GU185" s="94" t="s">
        <v>457</v>
      </c>
      <c r="GV185" s="87"/>
      <c r="GW185" s="112" t="s">
        <v>234</v>
      </c>
      <c r="GX185" s="112" t="s">
        <v>454</v>
      </c>
      <c r="GY185" s="112" t="s">
        <v>455</v>
      </c>
      <c r="GZ185" s="93" t="s">
        <v>456</v>
      </c>
      <c r="HA185" s="94" t="s">
        <v>457</v>
      </c>
      <c r="HB185" s="87"/>
      <c r="HC185" s="85"/>
      <c r="HD185" s="6"/>
      <c r="HE185" s="95" t="s">
        <v>679</v>
      </c>
      <c r="HF185" s="95" t="s">
        <v>488</v>
      </c>
      <c r="HG185" s="220" t="s">
        <v>489</v>
      </c>
      <c r="HH185" s="95" t="s">
        <v>603</v>
      </c>
      <c r="HI185" s="95" t="s">
        <v>423</v>
      </c>
      <c r="HJ185" s="85"/>
      <c r="HK185" s="90" t="s">
        <v>680</v>
      </c>
      <c r="HL185" s="91" t="s">
        <v>681</v>
      </c>
      <c r="HM185" s="92" t="s">
        <v>606</v>
      </c>
      <c r="HN185" s="92" t="s">
        <v>607</v>
      </c>
      <c r="HO185" s="91" t="s">
        <v>608</v>
      </c>
      <c r="HP185" s="91" t="s">
        <v>609</v>
      </c>
      <c r="HQ185" s="92" t="s">
        <v>456</v>
      </c>
      <c r="HR185" s="91" t="s">
        <v>610</v>
      </c>
    </row>
    <row r="186" spans="1:226" x14ac:dyDescent="0.3">
      <c r="A186" s="326">
        <v>1</v>
      </c>
      <c r="B186" s="105" t="s">
        <v>72</v>
      </c>
      <c r="C186" s="6" t="s">
        <v>321</v>
      </c>
      <c r="D186" s="59" t="s">
        <v>74</v>
      </c>
      <c r="E186" s="4"/>
      <c r="F186" s="4"/>
      <c r="G186" s="4"/>
      <c r="H186" s="325"/>
      <c r="I186" s="325">
        <v>23234214</v>
      </c>
      <c r="J186" s="325"/>
      <c r="K186" s="325"/>
      <c r="L186" s="325">
        <v>23234214</v>
      </c>
      <c r="M186" s="6">
        <v>23234214</v>
      </c>
      <c r="N186" s="6">
        <v>23234214</v>
      </c>
      <c r="O186" s="7">
        <v>23234214</v>
      </c>
      <c r="P186" s="7">
        <v>23234214</v>
      </c>
      <c r="Q186" s="7">
        <v>23234214</v>
      </c>
      <c r="R186" s="7">
        <v>23234214</v>
      </c>
      <c r="S186" s="7">
        <v>23234214</v>
      </c>
      <c r="T186" s="7">
        <v>23234214</v>
      </c>
      <c r="U186" s="7">
        <f t="shared" ref="U186:U193" si="888">T186*5%</f>
        <v>1161710.7</v>
      </c>
      <c r="V186" s="7">
        <f t="shared" ref="V186:V193" si="889">T186+U186</f>
        <v>24395924.699999999</v>
      </c>
      <c r="W186" s="323">
        <v>24395924</v>
      </c>
      <c r="X186" s="7">
        <v>13324536</v>
      </c>
      <c r="Y186" s="7">
        <v>13324536</v>
      </c>
      <c r="Z186" s="7">
        <v>13324536</v>
      </c>
      <c r="AA186" s="7">
        <v>0</v>
      </c>
      <c r="AB186" s="7">
        <v>0</v>
      </c>
      <c r="AC186" s="7">
        <v>0</v>
      </c>
      <c r="AD186" s="7">
        <v>0</v>
      </c>
      <c r="AE186" s="7">
        <f t="shared" ref="AE186:AE193" si="890">AD186+AC186+AB186</f>
        <v>0</v>
      </c>
      <c r="AF186" s="7">
        <v>0</v>
      </c>
      <c r="AG186" s="7">
        <v>0</v>
      </c>
      <c r="AH186" s="7">
        <v>0</v>
      </c>
      <c r="AI186" s="7">
        <f t="shared" ref="AI186:AI193" si="891">AH186+AG186+AF186</f>
        <v>0</v>
      </c>
      <c r="AJ186" s="7">
        <v>0</v>
      </c>
      <c r="AK186" s="7">
        <v>0</v>
      </c>
      <c r="AL186" s="7">
        <v>0</v>
      </c>
      <c r="AM186" s="7">
        <f t="shared" ref="AM186:AM193" si="892">AL186+AK186+AJ186</f>
        <v>0</v>
      </c>
      <c r="AN186" s="7">
        <v>0</v>
      </c>
      <c r="AO186" s="7">
        <v>0</v>
      </c>
      <c r="AP186" s="7">
        <v>0</v>
      </c>
      <c r="AQ186" s="7">
        <f t="shared" ref="AQ186:AQ193" si="893">AP186+AO186+AN186</f>
        <v>0</v>
      </c>
      <c r="AR186" s="7">
        <v>0</v>
      </c>
      <c r="AS186" s="7">
        <v>0</v>
      </c>
      <c r="AT186" s="7">
        <v>0</v>
      </c>
      <c r="AU186" s="7">
        <f t="shared" ref="AU186:AU193" si="894">AT186+AS186+AR186</f>
        <v>0</v>
      </c>
      <c r="AV186" s="7">
        <v>0</v>
      </c>
      <c r="AW186" s="7">
        <v>0</v>
      </c>
      <c r="AX186" s="7">
        <v>0</v>
      </c>
      <c r="AY186" s="7">
        <f t="shared" ref="AY186:AY193" si="895">AX186+AW186+AV186</f>
        <v>0</v>
      </c>
      <c r="AZ186" s="8">
        <f>AY186*5%</f>
        <v>0</v>
      </c>
      <c r="BA186" s="8"/>
      <c r="BB186" s="8">
        <f>AZ186-BA186</f>
        <v>0</v>
      </c>
      <c r="BC186" s="8">
        <f>BB186+AY186</f>
        <v>0</v>
      </c>
      <c r="BD186" s="8"/>
      <c r="BE186" s="8">
        <f>BD186+BC186</f>
        <v>0</v>
      </c>
      <c r="BF186" s="10">
        <f>BE186-AY186</f>
        <v>0</v>
      </c>
      <c r="BG186" s="11">
        <f>BF186-BB186</f>
        <v>0</v>
      </c>
      <c r="BH186" s="319">
        <v>0</v>
      </c>
      <c r="BI186" s="319">
        <v>0</v>
      </c>
      <c r="BJ186" s="319">
        <v>0</v>
      </c>
      <c r="BK186" s="319">
        <f t="shared" ref="BK186:BK193" si="896">BJ186+BI186+BH186</f>
        <v>0</v>
      </c>
      <c r="BL186" s="319"/>
      <c r="BM186" s="319">
        <v>0</v>
      </c>
      <c r="BN186" s="319">
        <v>0</v>
      </c>
      <c r="BO186" s="319">
        <f t="shared" ref="BO186:BO193" si="897">BN186+BM186+BL186</f>
        <v>0</v>
      </c>
      <c r="BP186" s="319">
        <f>BO186-BK186</f>
        <v>0</v>
      </c>
      <c r="BQ186" s="319">
        <v>0</v>
      </c>
      <c r="BR186" s="319">
        <v>0</v>
      </c>
      <c r="BS186" s="319">
        <v>0</v>
      </c>
      <c r="BT186" s="319">
        <f t="shared" ref="BT186:BT193" si="898">BS186+BR186+BQ186</f>
        <v>0</v>
      </c>
      <c r="BU186" s="319">
        <f t="shared" ref="BU186:BU193" si="899">BT186-BO186</f>
        <v>0</v>
      </c>
      <c r="BV186" s="319">
        <v>0</v>
      </c>
      <c r="BW186" s="319">
        <v>0</v>
      </c>
      <c r="BX186" s="319">
        <v>0</v>
      </c>
      <c r="BY186" s="319">
        <f t="shared" ref="BY186:BY193" si="900">BX186+BW186+BV186</f>
        <v>0</v>
      </c>
      <c r="BZ186" s="319">
        <f t="shared" ref="BZ186:BZ193" si="901">BY186-BT186</f>
        <v>0</v>
      </c>
      <c r="CA186" s="319">
        <v>0</v>
      </c>
      <c r="CB186" s="319">
        <v>0</v>
      </c>
      <c r="CC186" s="319">
        <v>0</v>
      </c>
      <c r="CD186" s="319">
        <f t="shared" ref="CD186:CD193" si="902">CC186+CB186+CA186</f>
        <v>0</v>
      </c>
      <c r="CE186" s="319">
        <f t="shared" ref="CE186:CE193" si="903">CD186-BY186</f>
        <v>0</v>
      </c>
      <c r="CF186" s="319">
        <v>0</v>
      </c>
      <c r="CG186" s="319">
        <v>0</v>
      </c>
      <c r="CH186" s="319">
        <v>0</v>
      </c>
      <c r="CI186" s="319">
        <f t="shared" ref="CI186:CI193" si="904">CH186+CG186+CF186</f>
        <v>0</v>
      </c>
      <c r="CJ186" s="319">
        <f t="shared" ref="CJ186:CJ193" si="905">CI186-CD186</f>
        <v>0</v>
      </c>
      <c r="CK186" s="319">
        <v>0</v>
      </c>
      <c r="CL186" s="319">
        <v>0</v>
      </c>
      <c r="CM186" s="319">
        <v>0</v>
      </c>
      <c r="CN186" s="319">
        <f t="shared" ref="CN186:CN193" si="906">CM186+CL186+CK186</f>
        <v>0</v>
      </c>
      <c r="CO186" s="319">
        <f t="shared" ref="CO186:CO193" si="907">CN186-CI186</f>
        <v>0</v>
      </c>
      <c r="CP186" s="319">
        <v>0</v>
      </c>
      <c r="CQ186" s="319">
        <v>0</v>
      </c>
      <c r="CR186" s="319">
        <v>0</v>
      </c>
      <c r="CS186" s="319">
        <f t="shared" ref="CS186:CS193" si="908">CR186+CQ186+CP186</f>
        <v>0</v>
      </c>
      <c r="CT186" s="319">
        <f t="shared" ref="CT186:CT193" si="909">CS186-CN186</f>
        <v>0</v>
      </c>
      <c r="CU186" s="319">
        <v>0</v>
      </c>
      <c r="CV186" s="319">
        <v>0</v>
      </c>
      <c r="CW186" s="319">
        <v>0</v>
      </c>
      <c r="CX186" s="319">
        <f t="shared" ref="CX186:CX193" si="910">CW186+CV186+CU186</f>
        <v>0</v>
      </c>
      <c r="CY186" s="319">
        <f t="shared" ref="CY186:CY193" si="911">CX186-CS186</f>
        <v>0</v>
      </c>
      <c r="CZ186" s="319"/>
      <c r="DA186" s="319"/>
      <c r="DB186" s="319"/>
      <c r="DC186" s="12">
        <f>CX186*10%</f>
        <v>0</v>
      </c>
      <c r="DD186" s="12">
        <v>0</v>
      </c>
      <c r="DE186" s="13">
        <f>DC186-DD186</f>
        <v>0</v>
      </c>
      <c r="DF186" s="14">
        <f t="shared" ref="DF186:DF193" si="912">DE186:DE186</f>
        <v>0</v>
      </c>
      <c r="DG186" s="13">
        <f t="shared" ref="DG186:DG193" si="913">DE186+CX186</f>
        <v>0</v>
      </c>
      <c r="DH186" s="15">
        <f t="shared" ref="DH186:DH193" si="914">100/1278396949*CX186</f>
        <v>0</v>
      </c>
      <c r="DI186" s="16">
        <f t="shared" ref="DI186:DI193" si="915">CX186</f>
        <v>0</v>
      </c>
      <c r="DJ186" s="132">
        <f>DI186*1.1</f>
        <v>0</v>
      </c>
      <c r="DK186" s="17">
        <f>DJ186-DI186</f>
        <v>0</v>
      </c>
      <c r="DL186" s="17">
        <f t="shared" ref="DL186:DL193" si="916">DD186</f>
        <v>0</v>
      </c>
      <c r="DM186" s="16">
        <f>DK186-DL186</f>
        <v>0</v>
      </c>
      <c r="DN186" s="16">
        <f t="shared" ref="DN186:DN193" si="917">DM186-DE186</f>
        <v>0</v>
      </c>
      <c r="DO186" s="16">
        <f>DM186+DI186</f>
        <v>0</v>
      </c>
      <c r="DP186" s="16">
        <f t="shared" ref="DP186:DP193" si="918">DO186-DG186</f>
        <v>0</v>
      </c>
      <c r="DQ186" s="9">
        <v>0</v>
      </c>
      <c r="DR186" s="18" t="s">
        <v>238</v>
      </c>
      <c r="DS186" s="18" t="s">
        <v>238</v>
      </c>
      <c r="DT186" s="324">
        <f>DQ186+DR186+DS186</f>
        <v>0</v>
      </c>
      <c r="DU186" s="321">
        <f>DT186</f>
        <v>0</v>
      </c>
      <c r="DV186" s="19">
        <f>DT186-DG186</f>
        <v>0</v>
      </c>
      <c r="DW186" s="9"/>
      <c r="DX186" s="18"/>
      <c r="DY186" s="18"/>
      <c r="DZ186" s="324">
        <f>DW186+DX186+DY186</f>
        <v>0</v>
      </c>
      <c r="EA186" s="321">
        <f>DZ186</f>
        <v>0</v>
      </c>
      <c r="EB186" s="179">
        <f t="shared" ref="EB186:EB193" si="919">DZ186-DT186</f>
        <v>0</v>
      </c>
      <c r="EC186" s="9">
        <v>0</v>
      </c>
      <c r="ED186" s="9">
        <v>0</v>
      </c>
      <c r="EE186" s="9">
        <v>0</v>
      </c>
      <c r="EF186" s="324">
        <f>EC186+ED186+EE186</f>
        <v>0</v>
      </c>
      <c r="EG186" s="321">
        <f>EF186</f>
        <v>0</v>
      </c>
      <c r="EH186" s="179">
        <f t="shared" ref="EH186:EH193" si="920">EF186-DZ186</f>
        <v>0</v>
      </c>
      <c r="EI186" s="9">
        <v>0</v>
      </c>
      <c r="EJ186" s="9">
        <v>0</v>
      </c>
      <c r="EK186" s="9">
        <v>0</v>
      </c>
      <c r="EL186" s="324">
        <f>EI186+EJ186+EK186</f>
        <v>0</v>
      </c>
      <c r="EM186" s="321">
        <f>EL186</f>
        <v>0</v>
      </c>
      <c r="EN186" s="179">
        <f t="shared" ref="EN186:EN193" si="921">EL186-EF186</f>
        <v>0</v>
      </c>
      <c r="EO186" s="9">
        <v>0</v>
      </c>
      <c r="EP186" s="9">
        <v>0</v>
      </c>
      <c r="EQ186" s="9">
        <v>0</v>
      </c>
      <c r="ER186" s="324">
        <f>EO186+EP186+EQ186</f>
        <v>0</v>
      </c>
      <c r="ES186" s="321">
        <f>ER186</f>
        <v>0</v>
      </c>
      <c r="ET186" s="179">
        <f t="shared" ref="ET186:ET193" si="922">ER186-EL186</f>
        <v>0</v>
      </c>
      <c r="EU186" s="9">
        <v>0</v>
      </c>
      <c r="EV186" s="9">
        <v>0</v>
      </c>
      <c r="EW186" s="9">
        <v>0</v>
      </c>
      <c r="EX186" s="324">
        <f>EU186+EV186+EW186</f>
        <v>0</v>
      </c>
      <c r="EY186" s="321">
        <f>EX186</f>
        <v>0</v>
      </c>
      <c r="EZ186" s="179">
        <f t="shared" ref="EZ186:EZ193" si="923">EX186-ER186</f>
        <v>0</v>
      </c>
      <c r="FA186" s="9">
        <v>0</v>
      </c>
      <c r="FB186" s="9">
        <v>0</v>
      </c>
      <c r="FC186" s="9">
        <v>0</v>
      </c>
      <c r="FD186" s="324">
        <f>FA186+FB186+FC186</f>
        <v>0</v>
      </c>
      <c r="FE186" s="321">
        <f>FD186</f>
        <v>0</v>
      </c>
      <c r="FF186" s="179">
        <f t="shared" ref="FF186:FF193" si="924">FD186-EX186</f>
        <v>0</v>
      </c>
      <c r="FG186" s="18" t="s">
        <v>238</v>
      </c>
      <c r="FH186" s="18" t="s">
        <v>238</v>
      </c>
      <c r="FI186" s="18" t="s">
        <v>238</v>
      </c>
      <c r="FJ186" s="324">
        <f>FG186+FH186+FI186</f>
        <v>0</v>
      </c>
      <c r="FK186" s="321">
        <f>FJ186</f>
        <v>0</v>
      </c>
      <c r="FL186" s="179">
        <f t="shared" ref="FL186:FL193" si="925">FJ186-FD186</f>
        <v>0</v>
      </c>
      <c r="FM186" s="18" t="s">
        <v>238</v>
      </c>
      <c r="FN186" s="18" t="s">
        <v>238</v>
      </c>
      <c r="FO186" s="18" t="s">
        <v>238</v>
      </c>
      <c r="FP186" s="324">
        <f>FM186+FN186+FO186</f>
        <v>0</v>
      </c>
      <c r="FQ186" s="321">
        <f>FP186</f>
        <v>0</v>
      </c>
      <c r="FR186" s="179">
        <f t="shared" ref="FR186:FR193" si="926">FP186-FJ186</f>
        <v>0</v>
      </c>
      <c r="FS186" s="18" t="s">
        <v>238</v>
      </c>
      <c r="FT186" s="18" t="s">
        <v>238</v>
      </c>
      <c r="FU186" s="18" t="s">
        <v>238</v>
      </c>
      <c r="FV186" s="324">
        <f>FS186+FT186+FU186</f>
        <v>0</v>
      </c>
      <c r="FW186" s="321">
        <f>FV186</f>
        <v>0</v>
      </c>
      <c r="FX186" s="179">
        <f t="shared" ref="FX186:FX193" si="927">FV186-FP186</f>
        <v>0</v>
      </c>
      <c r="FY186" s="18" t="s">
        <v>238</v>
      </c>
      <c r="FZ186" s="18" t="s">
        <v>238</v>
      </c>
      <c r="GA186" s="18" t="s">
        <v>238</v>
      </c>
      <c r="GB186" s="324">
        <f>FY186+FZ186+GA186</f>
        <v>0</v>
      </c>
      <c r="GC186" s="321">
        <f>GB186</f>
        <v>0</v>
      </c>
      <c r="GD186" s="179">
        <f t="shared" ref="GD186:GD193" si="928">GB186-FV186</f>
        <v>0</v>
      </c>
      <c r="GE186" s="18" t="s">
        <v>238</v>
      </c>
      <c r="GF186" s="18" t="s">
        <v>238</v>
      </c>
      <c r="GG186" s="18" t="s">
        <v>238</v>
      </c>
      <c r="GH186" s="324">
        <f>GE186+GF186+GG186</f>
        <v>0</v>
      </c>
      <c r="GI186" s="321">
        <f>GH186</f>
        <v>0</v>
      </c>
      <c r="GJ186" s="179">
        <f t="shared" ref="GJ186:GJ193" si="929">GH186-GB186</f>
        <v>0</v>
      </c>
      <c r="GK186" s="18" t="s">
        <v>238</v>
      </c>
      <c r="GL186" s="18" t="s">
        <v>238</v>
      </c>
      <c r="GM186" s="18" t="s">
        <v>238</v>
      </c>
      <c r="GN186" s="324">
        <f>GK186+GL186+GM186</f>
        <v>0</v>
      </c>
      <c r="GO186" s="321">
        <f>GN186</f>
        <v>0</v>
      </c>
      <c r="GP186" s="179">
        <f t="shared" ref="GP186:GP193" si="930">GN186-GH186</f>
        <v>0</v>
      </c>
      <c r="GQ186" s="18" t="s">
        <v>238</v>
      </c>
      <c r="GR186" s="18" t="s">
        <v>238</v>
      </c>
      <c r="GS186" s="18" t="s">
        <v>238</v>
      </c>
      <c r="GT186" s="324">
        <f>GQ186+GR186+GS186</f>
        <v>0</v>
      </c>
      <c r="GU186" s="321">
        <f>GT186</f>
        <v>0</v>
      </c>
      <c r="GV186" s="179">
        <f t="shared" ref="GV186:GV193" si="931">GT186-GN186</f>
        <v>0</v>
      </c>
      <c r="GW186" s="18" t="s">
        <v>238</v>
      </c>
      <c r="GX186" s="18" t="s">
        <v>238</v>
      </c>
      <c r="GY186" s="18" t="s">
        <v>238</v>
      </c>
      <c r="GZ186" s="324">
        <f>GW186+GX186+GY186</f>
        <v>0</v>
      </c>
      <c r="HA186" s="321">
        <f>GZ186</f>
        <v>0</v>
      </c>
      <c r="HB186" s="179">
        <f t="shared" ref="HB186:HB193" si="932">GZ186-GT186</f>
        <v>0</v>
      </c>
      <c r="HC186" s="102">
        <f t="shared" ref="HC186:HC193" si="933">100/1406236643.9*GT186</f>
        <v>0</v>
      </c>
      <c r="HD186" s="285">
        <f>HB186-HO186</f>
        <v>0</v>
      </c>
      <c r="HE186" s="12">
        <f>GT186*0.05</f>
        <v>0</v>
      </c>
      <c r="HF186" s="12">
        <f t="shared" ref="HF186:HF193" si="934">IF(ISNUMBER($HE186), $HE186-INT($HE186), "")</f>
        <v>0</v>
      </c>
      <c r="HG186" s="12">
        <f>HE186-HF186</f>
        <v>0</v>
      </c>
      <c r="HH186" s="14">
        <f>HG186:HG186</f>
        <v>0</v>
      </c>
      <c r="HI186" s="13">
        <f>HG186+GT186</f>
        <v>0</v>
      </c>
      <c r="HJ186" s="102">
        <f>100/1406236643.9*HI186</f>
        <v>0</v>
      </c>
      <c r="HK186" s="16">
        <f>GT186</f>
        <v>0</v>
      </c>
      <c r="HL186" s="103">
        <f>HK186*1.05</f>
        <v>0</v>
      </c>
      <c r="HM186" s="103">
        <f>HL186-HK186</f>
        <v>0</v>
      </c>
      <c r="HN186" s="17">
        <f>HF186</f>
        <v>0</v>
      </c>
      <c r="HO186" s="56">
        <f>HM186-HN186</f>
        <v>0</v>
      </c>
      <c r="HP186" s="16">
        <f>HO186-HG186</f>
        <v>0</v>
      </c>
      <c r="HQ186" s="16">
        <f>HO186+HK186</f>
        <v>0</v>
      </c>
      <c r="HR186" s="16">
        <f>HQ186-HI186</f>
        <v>0</v>
      </c>
    </row>
    <row r="187" spans="1:226" x14ac:dyDescent="0.3">
      <c r="A187" s="326">
        <v>2</v>
      </c>
      <c r="B187" s="240"/>
      <c r="C187" s="326" t="s">
        <v>73</v>
      </c>
      <c r="D187" s="21" t="s">
        <v>226</v>
      </c>
      <c r="E187" s="4"/>
      <c r="F187" s="4"/>
      <c r="G187" s="4"/>
      <c r="H187" s="325"/>
      <c r="I187" s="325">
        <v>0</v>
      </c>
      <c r="J187" s="325"/>
      <c r="K187" s="325"/>
      <c r="L187" s="325">
        <v>0</v>
      </c>
      <c r="M187" s="6">
        <v>0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  <c r="U187" s="7">
        <f>T187*5%</f>
        <v>0</v>
      </c>
      <c r="V187" s="7">
        <f>T187+U187</f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f>AD187+AC187+AB187</f>
        <v>0</v>
      </c>
      <c r="AF187" s="7">
        <v>0</v>
      </c>
      <c r="AG187" s="7">
        <v>0</v>
      </c>
      <c r="AH187" s="7">
        <v>0</v>
      </c>
      <c r="AI187" s="7">
        <f>AH187+AG187+AF187</f>
        <v>0</v>
      </c>
      <c r="AJ187" s="7">
        <v>0</v>
      </c>
      <c r="AK187" s="7">
        <v>0</v>
      </c>
      <c r="AL187" s="7">
        <v>0</v>
      </c>
      <c r="AM187" s="7">
        <f>AL187+AK187+AJ187</f>
        <v>0</v>
      </c>
      <c r="AN187" s="7">
        <v>0</v>
      </c>
      <c r="AO187" s="7">
        <v>0</v>
      </c>
      <c r="AP187" s="7">
        <v>0</v>
      </c>
      <c r="AQ187" s="7">
        <f>AP187+AO187+AN187</f>
        <v>0</v>
      </c>
      <c r="AR187" s="7">
        <v>0</v>
      </c>
      <c r="AS187" s="7">
        <v>0</v>
      </c>
      <c r="AT187" s="7">
        <v>0</v>
      </c>
      <c r="AU187" s="7">
        <f>AT187+AS187+AR187</f>
        <v>0</v>
      </c>
      <c r="AV187" s="7">
        <v>0</v>
      </c>
      <c r="AW187" s="7">
        <v>0</v>
      </c>
      <c r="AX187" s="7">
        <v>0</v>
      </c>
      <c r="AY187" s="7">
        <f>AX187+AW187+AV187</f>
        <v>0</v>
      </c>
      <c r="AZ187" s="8">
        <f>AY187*5%</f>
        <v>0</v>
      </c>
      <c r="BA187" s="8"/>
      <c r="BB187" s="8">
        <f>AZ187-BA187</f>
        <v>0</v>
      </c>
      <c r="BC187" s="8">
        <f>BB187+AY187</f>
        <v>0</v>
      </c>
      <c r="BD187" s="8"/>
      <c r="BE187" s="8">
        <f>BD187+BC187</f>
        <v>0</v>
      </c>
      <c r="BF187" s="10">
        <f>BE187-AY187</f>
        <v>0</v>
      </c>
      <c r="BG187" s="11">
        <f>BF187-BB187</f>
        <v>0</v>
      </c>
      <c r="BH187" s="319">
        <v>0</v>
      </c>
      <c r="BI187" s="319">
        <v>0</v>
      </c>
      <c r="BJ187" s="319">
        <v>0</v>
      </c>
      <c r="BK187" s="319">
        <f>BJ187+BI187+BH187</f>
        <v>0</v>
      </c>
      <c r="BL187" s="319"/>
      <c r="BM187" s="319">
        <v>0</v>
      </c>
      <c r="BN187" s="319">
        <v>0</v>
      </c>
      <c r="BO187" s="319">
        <f>BN187+BM187+BL187</f>
        <v>0</v>
      </c>
      <c r="BP187" s="319">
        <f>BO187-BK187</f>
        <v>0</v>
      </c>
      <c r="BQ187" s="319">
        <v>0</v>
      </c>
      <c r="BR187" s="319">
        <v>0</v>
      </c>
      <c r="BS187" s="319">
        <v>0</v>
      </c>
      <c r="BT187" s="319">
        <f>BS187+BR187+BQ187</f>
        <v>0</v>
      </c>
      <c r="BU187" s="319">
        <f>BT187-BO187</f>
        <v>0</v>
      </c>
      <c r="BV187" s="319">
        <v>0</v>
      </c>
      <c r="BW187" s="319">
        <v>0</v>
      </c>
      <c r="BX187" s="319">
        <v>0</v>
      </c>
      <c r="BY187" s="319">
        <f>BX187+BW187+BV187</f>
        <v>0</v>
      </c>
      <c r="BZ187" s="319">
        <f>BY187-BT187</f>
        <v>0</v>
      </c>
      <c r="CA187" s="319">
        <v>0</v>
      </c>
      <c r="CB187" s="319">
        <v>0</v>
      </c>
      <c r="CC187" s="319">
        <v>0</v>
      </c>
      <c r="CD187" s="319">
        <f>CC187+CB187+CA187</f>
        <v>0</v>
      </c>
      <c r="CE187" s="319">
        <f>CD187-BY187</f>
        <v>0</v>
      </c>
      <c r="CF187" s="319">
        <v>0</v>
      </c>
      <c r="CG187" s="319">
        <v>0</v>
      </c>
      <c r="CH187" s="319">
        <v>0</v>
      </c>
      <c r="CI187" s="319">
        <f>CH187+CG187+CF187</f>
        <v>0</v>
      </c>
      <c r="CJ187" s="319">
        <f>CI187-CD187</f>
        <v>0</v>
      </c>
      <c r="CK187" s="319">
        <v>0</v>
      </c>
      <c r="CL187" s="319">
        <v>0</v>
      </c>
      <c r="CM187" s="319">
        <v>0</v>
      </c>
      <c r="CN187" s="319">
        <f t="shared" si="906"/>
        <v>0</v>
      </c>
      <c r="CO187" s="319">
        <f t="shared" si="907"/>
        <v>0</v>
      </c>
      <c r="CP187" s="319">
        <v>0</v>
      </c>
      <c r="CQ187" s="319">
        <v>0</v>
      </c>
      <c r="CR187" s="319">
        <v>0</v>
      </c>
      <c r="CS187" s="319">
        <f t="shared" si="908"/>
        <v>0</v>
      </c>
      <c r="CT187" s="319">
        <f t="shared" si="909"/>
        <v>0</v>
      </c>
      <c r="CU187" s="319">
        <v>0</v>
      </c>
      <c r="CV187" s="319">
        <v>0</v>
      </c>
      <c r="CW187" s="319">
        <v>0</v>
      </c>
      <c r="CX187" s="319">
        <f t="shared" si="910"/>
        <v>0</v>
      </c>
      <c r="CY187" s="319">
        <f t="shared" si="911"/>
        <v>0</v>
      </c>
      <c r="CZ187" s="319"/>
      <c r="DA187" s="319"/>
      <c r="DB187" s="319"/>
      <c r="DC187" s="12">
        <f t="shared" ref="DC187:DC193" si="935">CX187*10%</f>
        <v>0</v>
      </c>
      <c r="DD187" s="12">
        <v>0</v>
      </c>
      <c r="DE187" s="13">
        <f t="shared" ref="DE187:DE193" si="936">DC187-DD187</f>
        <v>0</v>
      </c>
      <c r="DF187" s="14">
        <f t="shared" si="912"/>
        <v>0</v>
      </c>
      <c r="DG187" s="13">
        <f t="shared" si="913"/>
        <v>0</v>
      </c>
      <c r="DH187" s="15">
        <f t="shared" si="914"/>
        <v>0</v>
      </c>
      <c r="DI187" s="16">
        <f t="shared" si="915"/>
        <v>0</v>
      </c>
      <c r="DJ187" s="132">
        <f t="shared" ref="DJ187:DJ193" si="937">DI187*1.1</f>
        <v>0</v>
      </c>
      <c r="DK187" s="17">
        <f t="shared" ref="DK187:DK193" si="938">DJ187-DI187</f>
        <v>0</v>
      </c>
      <c r="DL187" s="17">
        <f t="shared" si="916"/>
        <v>0</v>
      </c>
      <c r="DM187" s="16">
        <f t="shared" ref="DM187:DM193" si="939">DK187-DL187</f>
        <v>0</v>
      </c>
      <c r="DN187" s="16">
        <f t="shared" si="917"/>
        <v>0</v>
      </c>
      <c r="DO187" s="16">
        <f t="shared" ref="DO187:DO193" si="940">DM187+DI187</f>
        <v>0</v>
      </c>
      <c r="DP187" s="16">
        <f t="shared" si="918"/>
        <v>0</v>
      </c>
      <c r="DQ187" s="9">
        <v>0</v>
      </c>
      <c r="DR187" s="18" t="s">
        <v>238</v>
      </c>
      <c r="DS187" s="18" t="s">
        <v>238</v>
      </c>
      <c r="DT187" s="324">
        <f t="shared" ref="DT187:DT193" si="941">DQ187+DR187+DS187</f>
        <v>0</v>
      </c>
      <c r="DU187" s="321">
        <f t="shared" ref="DU187:DU193" si="942">DT187</f>
        <v>0</v>
      </c>
      <c r="DV187" s="19">
        <f t="shared" ref="DV187:DV193" si="943">DT187-DG187</f>
        <v>0</v>
      </c>
      <c r="DW187" s="9"/>
      <c r="DX187" s="18"/>
      <c r="DY187" s="18"/>
      <c r="DZ187" s="324">
        <f t="shared" ref="DZ187:DZ193" si="944">DW187+DX187+DY187</f>
        <v>0</v>
      </c>
      <c r="EA187" s="321">
        <f t="shared" ref="EA187:EA193" si="945">DZ187</f>
        <v>0</v>
      </c>
      <c r="EB187" s="179">
        <f t="shared" si="919"/>
        <v>0</v>
      </c>
      <c r="EC187" s="9">
        <v>0</v>
      </c>
      <c r="ED187" s="9">
        <v>0</v>
      </c>
      <c r="EE187" s="9">
        <v>0</v>
      </c>
      <c r="EF187" s="324">
        <f t="shared" ref="EF187:EF193" si="946">EC187+ED187+EE187</f>
        <v>0</v>
      </c>
      <c r="EG187" s="321">
        <f t="shared" ref="EG187:EG193" si="947">EF187</f>
        <v>0</v>
      </c>
      <c r="EH187" s="179">
        <f t="shared" si="920"/>
        <v>0</v>
      </c>
      <c r="EI187" s="9">
        <v>0</v>
      </c>
      <c r="EJ187" s="9">
        <v>0</v>
      </c>
      <c r="EK187" s="9">
        <v>0</v>
      </c>
      <c r="EL187" s="324">
        <f t="shared" ref="EL187:EL193" si="948">EI187+EJ187+EK187</f>
        <v>0</v>
      </c>
      <c r="EM187" s="321">
        <f t="shared" ref="EM187:EM193" si="949">EL187</f>
        <v>0</v>
      </c>
      <c r="EN187" s="179">
        <f t="shared" si="921"/>
        <v>0</v>
      </c>
      <c r="EO187" s="9">
        <v>0</v>
      </c>
      <c r="EP187" s="9">
        <v>0</v>
      </c>
      <c r="EQ187" s="9">
        <v>0</v>
      </c>
      <c r="ER187" s="324">
        <f t="shared" ref="ER187:ER193" si="950">EO187+EP187+EQ187</f>
        <v>0</v>
      </c>
      <c r="ES187" s="321">
        <f t="shared" ref="ES187:ES193" si="951">ER187</f>
        <v>0</v>
      </c>
      <c r="ET187" s="179">
        <f t="shared" si="922"/>
        <v>0</v>
      </c>
      <c r="EU187" s="9">
        <v>0</v>
      </c>
      <c r="EV187" s="9">
        <v>0</v>
      </c>
      <c r="EW187" s="9">
        <v>0</v>
      </c>
      <c r="EX187" s="324">
        <f t="shared" ref="EX187:EX193" si="952">EU187+EV187+EW187</f>
        <v>0</v>
      </c>
      <c r="EY187" s="321">
        <f t="shared" ref="EY187:EY193" si="953">EX187</f>
        <v>0</v>
      </c>
      <c r="EZ187" s="179">
        <f t="shared" si="923"/>
        <v>0</v>
      </c>
      <c r="FA187" s="9">
        <v>0</v>
      </c>
      <c r="FB187" s="9">
        <v>0</v>
      </c>
      <c r="FC187" s="9">
        <v>0</v>
      </c>
      <c r="FD187" s="324">
        <f t="shared" ref="FD187:FD193" si="954">FA187+FB187+FC187</f>
        <v>0</v>
      </c>
      <c r="FE187" s="321">
        <f t="shared" ref="FE187:FE193" si="955">FD187</f>
        <v>0</v>
      </c>
      <c r="FF187" s="179">
        <f t="shared" si="924"/>
        <v>0</v>
      </c>
      <c r="FG187" s="18" t="s">
        <v>238</v>
      </c>
      <c r="FH187" s="18" t="s">
        <v>238</v>
      </c>
      <c r="FI187" s="18" t="s">
        <v>238</v>
      </c>
      <c r="FJ187" s="324">
        <f t="shared" ref="FJ187:FJ193" si="956">FG187+FH187+FI187</f>
        <v>0</v>
      </c>
      <c r="FK187" s="321">
        <f t="shared" ref="FK187:FK193" si="957">FJ187</f>
        <v>0</v>
      </c>
      <c r="FL187" s="179">
        <f t="shared" si="925"/>
        <v>0</v>
      </c>
      <c r="FM187" s="18" t="s">
        <v>238</v>
      </c>
      <c r="FN187" s="18" t="s">
        <v>238</v>
      </c>
      <c r="FO187" s="18" t="s">
        <v>238</v>
      </c>
      <c r="FP187" s="324">
        <f t="shared" ref="FP187:FP193" si="958">FM187+FN187+FO187</f>
        <v>0</v>
      </c>
      <c r="FQ187" s="321">
        <f t="shared" ref="FQ187:FQ193" si="959">FP187</f>
        <v>0</v>
      </c>
      <c r="FR187" s="179">
        <f t="shared" si="926"/>
        <v>0</v>
      </c>
      <c r="FS187" s="18" t="s">
        <v>238</v>
      </c>
      <c r="FT187" s="18" t="s">
        <v>238</v>
      </c>
      <c r="FU187" s="18" t="s">
        <v>238</v>
      </c>
      <c r="FV187" s="324">
        <f t="shared" ref="FV187:FV193" si="960">FS187+FT187+FU187</f>
        <v>0</v>
      </c>
      <c r="FW187" s="321">
        <f t="shared" ref="FW187:FW193" si="961">FV187</f>
        <v>0</v>
      </c>
      <c r="FX187" s="179">
        <f t="shared" si="927"/>
        <v>0</v>
      </c>
      <c r="FY187" s="18" t="s">
        <v>238</v>
      </c>
      <c r="FZ187" s="18" t="s">
        <v>238</v>
      </c>
      <c r="GA187" s="18" t="s">
        <v>238</v>
      </c>
      <c r="GB187" s="324">
        <f t="shared" ref="GB187:GB193" si="962">FY187+FZ187+GA187</f>
        <v>0</v>
      </c>
      <c r="GC187" s="321">
        <f t="shared" ref="GC187:GC193" si="963">GB187</f>
        <v>0</v>
      </c>
      <c r="GD187" s="179">
        <f t="shared" si="928"/>
        <v>0</v>
      </c>
      <c r="GE187" s="18" t="s">
        <v>238</v>
      </c>
      <c r="GF187" s="18" t="s">
        <v>238</v>
      </c>
      <c r="GG187" s="18" t="s">
        <v>238</v>
      </c>
      <c r="GH187" s="324">
        <f t="shared" ref="GH187:GH193" si="964">GE187+GF187+GG187</f>
        <v>0</v>
      </c>
      <c r="GI187" s="321">
        <f t="shared" ref="GI187:GI193" si="965">GH187</f>
        <v>0</v>
      </c>
      <c r="GJ187" s="179">
        <f t="shared" si="929"/>
        <v>0</v>
      </c>
      <c r="GK187" s="18" t="s">
        <v>238</v>
      </c>
      <c r="GL187" s="18" t="s">
        <v>238</v>
      </c>
      <c r="GM187" s="18" t="s">
        <v>238</v>
      </c>
      <c r="GN187" s="324">
        <f t="shared" ref="GN187:GN193" si="966">GK187+GL187+GM187</f>
        <v>0</v>
      </c>
      <c r="GO187" s="321">
        <f t="shared" ref="GO187:GO193" si="967">GN187</f>
        <v>0</v>
      </c>
      <c r="GP187" s="179">
        <f t="shared" si="930"/>
        <v>0</v>
      </c>
      <c r="GQ187" s="18" t="s">
        <v>238</v>
      </c>
      <c r="GR187" s="18" t="s">
        <v>238</v>
      </c>
      <c r="GS187" s="18" t="s">
        <v>238</v>
      </c>
      <c r="GT187" s="324">
        <f t="shared" ref="GT187:GT193" si="968">GQ187+GR187+GS187</f>
        <v>0</v>
      </c>
      <c r="GU187" s="321">
        <f t="shared" ref="GU187:GU193" si="969">GT187</f>
        <v>0</v>
      </c>
      <c r="GV187" s="179">
        <f t="shared" si="931"/>
        <v>0</v>
      </c>
      <c r="GW187" s="18" t="s">
        <v>238</v>
      </c>
      <c r="GX187" s="18" t="s">
        <v>238</v>
      </c>
      <c r="GY187" s="18" t="s">
        <v>238</v>
      </c>
      <c r="GZ187" s="324">
        <f t="shared" ref="GZ187:GZ193" si="970">GW187+GX187+GY187</f>
        <v>0</v>
      </c>
      <c r="HA187" s="321">
        <f t="shared" ref="HA187:HA193" si="971">GZ187</f>
        <v>0</v>
      </c>
      <c r="HB187" s="179">
        <f t="shared" si="932"/>
        <v>0</v>
      </c>
      <c r="HC187" s="102">
        <f t="shared" si="933"/>
        <v>0</v>
      </c>
      <c r="HD187" s="285">
        <f t="shared" ref="HD187:HD193" si="972">HB187-HO187</f>
        <v>0</v>
      </c>
      <c r="HE187" s="12">
        <f t="shared" ref="HE187:HE193" si="973">GT187*0.05</f>
        <v>0</v>
      </c>
      <c r="HF187" s="12">
        <f t="shared" si="934"/>
        <v>0</v>
      </c>
      <c r="HG187" s="12">
        <f t="shared" ref="HG187:HG193" si="974">HE187-HF187</f>
        <v>0</v>
      </c>
      <c r="HH187" s="14">
        <f t="shared" ref="HH187:HH193" si="975">HG187:HG187</f>
        <v>0</v>
      </c>
      <c r="HI187" s="13">
        <f t="shared" ref="HI187:HI193" si="976">HG187+GT187</f>
        <v>0</v>
      </c>
      <c r="HJ187" s="102">
        <f t="shared" ref="HJ187:HJ193" si="977">100/1406236643.9*HI187</f>
        <v>0</v>
      </c>
      <c r="HK187" s="16">
        <f t="shared" ref="HK187:HK193" si="978">GT187</f>
        <v>0</v>
      </c>
      <c r="HL187" s="103">
        <f t="shared" ref="HL187:HL193" si="979">HK187*1.05</f>
        <v>0</v>
      </c>
      <c r="HM187" s="103">
        <f t="shared" ref="HM187:HM193" si="980">HL187-HK187</f>
        <v>0</v>
      </c>
      <c r="HN187" s="17">
        <f t="shared" ref="HN187:HN193" si="981">HF187</f>
        <v>0</v>
      </c>
      <c r="HO187" s="56">
        <f t="shared" ref="HO187:HO193" si="982">HM187-HN187</f>
        <v>0</v>
      </c>
      <c r="HP187" s="16">
        <f t="shared" ref="HP187:HP193" si="983">HO187-HG187</f>
        <v>0</v>
      </c>
      <c r="HQ187" s="16">
        <f t="shared" ref="HQ187:HQ193" si="984">HO187+HK187</f>
        <v>0</v>
      </c>
      <c r="HR187" s="16">
        <f t="shared" ref="HR187:HR193" si="985">HQ187-HI187</f>
        <v>0</v>
      </c>
    </row>
    <row r="188" spans="1:226" x14ac:dyDescent="0.3">
      <c r="A188" s="326">
        <v>3</v>
      </c>
      <c r="B188" s="326" t="s">
        <v>227</v>
      </c>
      <c r="C188" s="326" t="s">
        <v>77</v>
      </c>
      <c r="D188" s="21" t="s">
        <v>78</v>
      </c>
      <c r="E188" s="4"/>
      <c r="F188" s="4"/>
      <c r="G188" s="4"/>
      <c r="H188" s="325"/>
      <c r="I188" s="325">
        <v>439794</v>
      </c>
      <c r="J188" s="325"/>
      <c r="K188" s="325"/>
      <c r="L188" s="325">
        <v>439794</v>
      </c>
      <c r="M188" s="6">
        <v>439794</v>
      </c>
      <c r="N188" s="6">
        <v>439794</v>
      </c>
      <c r="O188" s="7">
        <v>439794</v>
      </c>
      <c r="P188" s="7">
        <v>439794</v>
      </c>
      <c r="Q188" s="7">
        <v>439794</v>
      </c>
      <c r="R188" s="7">
        <v>439794</v>
      </c>
      <c r="S188" s="7">
        <v>439794</v>
      </c>
      <c r="T188" s="6">
        <v>299794</v>
      </c>
      <c r="U188" s="7">
        <f t="shared" si="888"/>
        <v>14989.7</v>
      </c>
      <c r="V188" s="7">
        <f t="shared" si="889"/>
        <v>314783.7</v>
      </c>
      <c r="W188" s="7">
        <v>321783</v>
      </c>
      <c r="X188" s="7">
        <v>321783</v>
      </c>
      <c r="Y188" s="7">
        <v>321783</v>
      </c>
      <c r="Z188" s="7">
        <v>321783</v>
      </c>
      <c r="AA188" s="7">
        <v>0</v>
      </c>
      <c r="AB188" s="7">
        <v>0</v>
      </c>
      <c r="AC188" s="7">
        <v>0</v>
      </c>
      <c r="AD188" s="7">
        <v>0</v>
      </c>
      <c r="AE188" s="7">
        <f t="shared" si="890"/>
        <v>0</v>
      </c>
      <c r="AF188" s="7">
        <v>0</v>
      </c>
      <c r="AG188" s="7">
        <v>0</v>
      </c>
      <c r="AH188" s="7">
        <v>0</v>
      </c>
      <c r="AI188" s="7">
        <f t="shared" si="891"/>
        <v>0</v>
      </c>
      <c r="AJ188" s="7">
        <v>0</v>
      </c>
      <c r="AK188" s="7">
        <v>0</v>
      </c>
      <c r="AL188" s="7">
        <v>0</v>
      </c>
      <c r="AM188" s="7">
        <f t="shared" si="892"/>
        <v>0</v>
      </c>
      <c r="AN188" s="7">
        <v>0</v>
      </c>
      <c r="AO188" s="7">
        <v>0</v>
      </c>
      <c r="AP188" s="7">
        <v>0</v>
      </c>
      <c r="AQ188" s="7">
        <f t="shared" si="893"/>
        <v>0</v>
      </c>
      <c r="AR188" s="7">
        <v>0</v>
      </c>
      <c r="AS188" s="7">
        <v>0</v>
      </c>
      <c r="AT188" s="7">
        <v>0</v>
      </c>
      <c r="AU188" s="7">
        <f t="shared" si="894"/>
        <v>0</v>
      </c>
      <c r="AV188" s="7">
        <v>0</v>
      </c>
      <c r="AW188" s="7">
        <v>0</v>
      </c>
      <c r="AX188" s="7">
        <v>0</v>
      </c>
      <c r="AY188" s="7">
        <f t="shared" si="895"/>
        <v>0</v>
      </c>
      <c r="AZ188" s="8">
        <f t="shared" ref="AZ188:AZ193" si="986">AY188*5%</f>
        <v>0</v>
      </c>
      <c r="BA188" s="8"/>
      <c r="BB188" s="8">
        <f t="shared" ref="BB188:BB193" si="987">AZ188-BA188</f>
        <v>0</v>
      </c>
      <c r="BC188" s="8">
        <f t="shared" ref="BC188:BC193" si="988">BB188+AY188</f>
        <v>0</v>
      </c>
      <c r="BD188" s="8"/>
      <c r="BE188" s="8">
        <f t="shared" ref="BE188:BE193" si="989">BD188+BC188</f>
        <v>0</v>
      </c>
      <c r="BF188" s="10">
        <f t="shared" ref="BF188:BF193" si="990">BE188-AY188</f>
        <v>0</v>
      </c>
      <c r="BG188" s="11">
        <f t="shared" ref="BG188:BG193" si="991">BF188-BB188</f>
        <v>0</v>
      </c>
      <c r="BH188" s="319">
        <v>0</v>
      </c>
      <c r="BI188" s="319">
        <v>0</v>
      </c>
      <c r="BJ188" s="319">
        <v>0</v>
      </c>
      <c r="BK188" s="319">
        <f t="shared" si="896"/>
        <v>0</v>
      </c>
      <c r="BL188" s="319"/>
      <c r="BM188" s="319">
        <v>0</v>
      </c>
      <c r="BN188" s="319">
        <v>0</v>
      </c>
      <c r="BO188" s="319">
        <f t="shared" si="897"/>
        <v>0</v>
      </c>
      <c r="BP188" s="319">
        <f t="shared" ref="BP188:BP193" si="992">BO188-BK188</f>
        <v>0</v>
      </c>
      <c r="BQ188" s="319">
        <v>0</v>
      </c>
      <c r="BR188" s="319">
        <v>0</v>
      </c>
      <c r="BS188" s="319">
        <v>0</v>
      </c>
      <c r="BT188" s="319">
        <f t="shared" si="898"/>
        <v>0</v>
      </c>
      <c r="BU188" s="319">
        <f t="shared" si="899"/>
        <v>0</v>
      </c>
      <c r="BV188" s="319">
        <v>0</v>
      </c>
      <c r="BW188" s="319">
        <v>0</v>
      </c>
      <c r="BX188" s="319">
        <v>0</v>
      </c>
      <c r="BY188" s="319">
        <f t="shared" si="900"/>
        <v>0</v>
      </c>
      <c r="BZ188" s="319">
        <f t="shared" si="901"/>
        <v>0</v>
      </c>
      <c r="CA188" s="319">
        <v>0</v>
      </c>
      <c r="CB188" s="319">
        <v>0</v>
      </c>
      <c r="CC188" s="319">
        <v>0</v>
      </c>
      <c r="CD188" s="319">
        <f t="shared" si="902"/>
        <v>0</v>
      </c>
      <c r="CE188" s="319">
        <f t="shared" si="903"/>
        <v>0</v>
      </c>
      <c r="CF188" s="319">
        <v>0</v>
      </c>
      <c r="CG188" s="319">
        <v>0</v>
      </c>
      <c r="CH188" s="319">
        <v>0</v>
      </c>
      <c r="CI188" s="319">
        <f t="shared" si="904"/>
        <v>0</v>
      </c>
      <c r="CJ188" s="319">
        <f t="shared" si="905"/>
        <v>0</v>
      </c>
      <c r="CK188" s="319">
        <v>0</v>
      </c>
      <c r="CL188" s="319">
        <v>0</v>
      </c>
      <c r="CM188" s="319">
        <v>0</v>
      </c>
      <c r="CN188" s="319">
        <f t="shared" si="906"/>
        <v>0</v>
      </c>
      <c r="CO188" s="319">
        <f t="shared" si="907"/>
        <v>0</v>
      </c>
      <c r="CP188" s="319">
        <v>0</v>
      </c>
      <c r="CQ188" s="319">
        <v>0</v>
      </c>
      <c r="CR188" s="319">
        <v>0</v>
      </c>
      <c r="CS188" s="319">
        <f t="shared" si="908"/>
        <v>0</v>
      </c>
      <c r="CT188" s="319">
        <f t="shared" si="909"/>
        <v>0</v>
      </c>
      <c r="CU188" s="319">
        <v>0</v>
      </c>
      <c r="CV188" s="319">
        <v>0</v>
      </c>
      <c r="CW188" s="319">
        <v>0</v>
      </c>
      <c r="CX188" s="319">
        <f t="shared" si="910"/>
        <v>0</v>
      </c>
      <c r="CY188" s="319">
        <f t="shared" si="911"/>
        <v>0</v>
      </c>
      <c r="CZ188" s="319"/>
      <c r="DA188" s="319"/>
      <c r="DB188" s="319"/>
      <c r="DC188" s="12">
        <f t="shared" si="935"/>
        <v>0</v>
      </c>
      <c r="DD188" s="12">
        <v>0</v>
      </c>
      <c r="DE188" s="13">
        <f t="shared" si="936"/>
        <v>0</v>
      </c>
      <c r="DF188" s="14">
        <f t="shared" si="912"/>
        <v>0</v>
      </c>
      <c r="DG188" s="13">
        <f t="shared" si="913"/>
        <v>0</v>
      </c>
      <c r="DH188" s="15">
        <f t="shared" si="914"/>
        <v>0</v>
      </c>
      <c r="DI188" s="16">
        <f t="shared" si="915"/>
        <v>0</v>
      </c>
      <c r="DJ188" s="132">
        <f t="shared" si="937"/>
        <v>0</v>
      </c>
      <c r="DK188" s="17">
        <f t="shared" si="938"/>
        <v>0</v>
      </c>
      <c r="DL188" s="17">
        <f t="shared" si="916"/>
        <v>0</v>
      </c>
      <c r="DM188" s="16">
        <f t="shared" si="939"/>
        <v>0</v>
      </c>
      <c r="DN188" s="16">
        <f t="shared" si="917"/>
        <v>0</v>
      </c>
      <c r="DO188" s="16">
        <f t="shared" si="940"/>
        <v>0</v>
      </c>
      <c r="DP188" s="16">
        <f t="shared" si="918"/>
        <v>0</v>
      </c>
      <c r="DQ188" s="9">
        <v>0</v>
      </c>
      <c r="DR188" s="18" t="s">
        <v>238</v>
      </c>
      <c r="DS188" s="18" t="s">
        <v>238</v>
      </c>
      <c r="DT188" s="324">
        <f t="shared" si="941"/>
        <v>0</v>
      </c>
      <c r="DU188" s="321">
        <f t="shared" si="942"/>
        <v>0</v>
      </c>
      <c r="DV188" s="19">
        <f t="shared" si="943"/>
        <v>0</v>
      </c>
      <c r="DW188" s="9"/>
      <c r="DX188" s="18"/>
      <c r="DY188" s="18"/>
      <c r="DZ188" s="324">
        <f t="shared" si="944"/>
        <v>0</v>
      </c>
      <c r="EA188" s="321">
        <f t="shared" si="945"/>
        <v>0</v>
      </c>
      <c r="EB188" s="179">
        <f t="shared" si="919"/>
        <v>0</v>
      </c>
      <c r="EC188" s="9">
        <v>0</v>
      </c>
      <c r="ED188" s="9">
        <v>0</v>
      </c>
      <c r="EE188" s="9">
        <v>0</v>
      </c>
      <c r="EF188" s="324">
        <f t="shared" si="946"/>
        <v>0</v>
      </c>
      <c r="EG188" s="321">
        <f t="shared" si="947"/>
        <v>0</v>
      </c>
      <c r="EH188" s="179">
        <f t="shared" si="920"/>
        <v>0</v>
      </c>
      <c r="EI188" s="9">
        <v>0</v>
      </c>
      <c r="EJ188" s="9">
        <v>0</v>
      </c>
      <c r="EK188" s="9">
        <v>0</v>
      </c>
      <c r="EL188" s="324">
        <f t="shared" si="948"/>
        <v>0</v>
      </c>
      <c r="EM188" s="321">
        <f t="shared" si="949"/>
        <v>0</v>
      </c>
      <c r="EN188" s="179">
        <f t="shared" si="921"/>
        <v>0</v>
      </c>
      <c r="EO188" s="9">
        <v>0</v>
      </c>
      <c r="EP188" s="9">
        <v>0</v>
      </c>
      <c r="EQ188" s="9">
        <v>0</v>
      </c>
      <c r="ER188" s="324">
        <f t="shared" si="950"/>
        <v>0</v>
      </c>
      <c r="ES188" s="321">
        <f t="shared" si="951"/>
        <v>0</v>
      </c>
      <c r="ET188" s="179">
        <f t="shared" si="922"/>
        <v>0</v>
      </c>
      <c r="EU188" s="9">
        <v>0</v>
      </c>
      <c r="EV188" s="9">
        <v>0</v>
      </c>
      <c r="EW188" s="9">
        <v>0</v>
      </c>
      <c r="EX188" s="324">
        <f t="shared" si="952"/>
        <v>0</v>
      </c>
      <c r="EY188" s="321">
        <f t="shared" si="953"/>
        <v>0</v>
      </c>
      <c r="EZ188" s="179">
        <f t="shared" si="923"/>
        <v>0</v>
      </c>
      <c r="FA188" s="9">
        <v>0</v>
      </c>
      <c r="FB188" s="9">
        <v>0</v>
      </c>
      <c r="FC188" s="9">
        <v>0</v>
      </c>
      <c r="FD188" s="324">
        <f t="shared" si="954"/>
        <v>0</v>
      </c>
      <c r="FE188" s="321">
        <f t="shared" si="955"/>
        <v>0</v>
      </c>
      <c r="FF188" s="179">
        <f t="shared" si="924"/>
        <v>0</v>
      </c>
      <c r="FG188" s="18" t="s">
        <v>238</v>
      </c>
      <c r="FH188" s="18" t="s">
        <v>238</v>
      </c>
      <c r="FI188" s="18" t="s">
        <v>238</v>
      </c>
      <c r="FJ188" s="324">
        <f t="shared" si="956"/>
        <v>0</v>
      </c>
      <c r="FK188" s="321">
        <f t="shared" si="957"/>
        <v>0</v>
      </c>
      <c r="FL188" s="179">
        <f t="shared" si="925"/>
        <v>0</v>
      </c>
      <c r="FM188" s="18" t="s">
        <v>238</v>
      </c>
      <c r="FN188" s="18" t="s">
        <v>238</v>
      </c>
      <c r="FO188" s="18" t="s">
        <v>238</v>
      </c>
      <c r="FP188" s="324">
        <f t="shared" si="958"/>
        <v>0</v>
      </c>
      <c r="FQ188" s="321">
        <f t="shared" si="959"/>
        <v>0</v>
      </c>
      <c r="FR188" s="179">
        <f t="shared" si="926"/>
        <v>0</v>
      </c>
      <c r="FS188" s="18" t="s">
        <v>238</v>
      </c>
      <c r="FT188" s="18" t="s">
        <v>238</v>
      </c>
      <c r="FU188" s="18" t="s">
        <v>238</v>
      </c>
      <c r="FV188" s="324">
        <f t="shared" si="960"/>
        <v>0</v>
      </c>
      <c r="FW188" s="321">
        <f t="shared" si="961"/>
        <v>0</v>
      </c>
      <c r="FX188" s="179">
        <f t="shared" si="927"/>
        <v>0</v>
      </c>
      <c r="FY188" s="18" t="s">
        <v>238</v>
      </c>
      <c r="FZ188" s="18" t="s">
        <v>238</v>
      </c>
      <c r="GA188" s="18" t="s">
        <v>238</v>
      </c>
      <c r="GB188" s="324">
        <f t="shared" si="962"/>
        <v>0</v>
      </c>
      <c r="GC188" s="321">
        <f t="shared" si="963"/>
        <v>0</v>
      </c>
      <c r="GD188" s="179">
        <f t="shared" si="928"/>
        <v>0</v>
      </c>
      <c r="GE188" s="18" t="s">
        <v>238</v>
      </c>
      <c r="GF188" s="18" t="s">
        <v>238</v>
      </c>
      <c r="GG188" s="18" t="s">
        <v>238</v>
      </c>
      <c r="GH188" s="324">
        <f t="shared" si="964"/>
        <v>0</v>
      </c>
      <c r="GI188" s="321">
        <f t="shared" si="965"/>
        <v>0</v>
      </c>
      <c r="GJ188" s="179">
        <f t="shared" si="929"/>
        <v>0</v>
      </c>
      <c r="GK188" s="18" t="s">
        <v>238</v>
      </c>
      <c r="GL188" s="18" t="s">
        <v>238</v>
      </c>
      <c r="GM188" s="18" t="s">
        <v>238</v>
      </c>
      <c r="GN188" s="324">
        <f t="shared" si="966"/>
        <v>0</v>
      </c>
      <c r="GO188" s="321">
        <f t="shared" si="967"/>
        <v>0</v>
      </c>
      <c r="GP188" s="179">
        <f t="shared" si="930"/>
        <v>0</v>
      </c>
      <c r="GQ188" s="18" t="s">
        <v>238</v>
      </c>
      <c r="GR188" s="18" t="s">
        <v>238</v>
      </c>
      <c r="GS188" s="18" t="s">
        <v>238</v>
      </c>
      <c r="GT188" s="324">
        <f t="shared" si="968"/>
        <v>0</v>
      </c>
      <c r="GU188" s="321">
        <f t="shared" si="969"/>
        <v>0</v>
      </c>
      <c r="GV188" s="179">
        <f t="shared" si="931"/>
        <v>0</v>
      </c>
      <c r="GW188" s="18" t="s">
        <v>238</v>
      </c>
      <c r="GX188" s="18" t="s">
        <v>238</v>
      </c>
      <c r="GY188" s="18" t="s">
        <v>238</v>
      </c>
      <c r="GZ188" s="324">
        <f t="shared" si="970"/>
        <v>0</v>
      </c>
      <c r="HA188" s="321">
        <f t="shared" si="971"/>
        <v>0</v>
      </c>
      <c r="HB188" s="179">
        <f t="shared" si="932"/>
        <v>0</v>
      </c>
      <c r="HC188" s="102">
        <f t="shared" si="933"/>
        <v>0</v>
      </c>
      <c r="HD188" s="285">
        <f t="shared" si="972"/>
        <v>0</v>
      </c>
      <c r="HE188" s="12">
        <f t="shared" si="973"/>
        <v>0</v>
      </c>
      <c r="HF188" s="12">
        <f t="shared" si="934"/>
        <v>0</v>
      </c>
      <c r="HG188" s="12">
        <f t="shared" si="974"/>
        <v>0</v>
      </c>
      <c r="HH188" s="14">
        <f t="shared" si="975"/>
        <v>0</v>
      </c>
      <c r="HI188" s="13">
        <f t="shared" si="976"/>
        <v>0</v>
      </c>
      <c r="HJ188" s="102">
        <f t="shared" si="977"/>
        <v>0</v>
      </c>
      <c r="HK188" s="16">
        <f t="shared" si="978"/>
        <v>0</v>
      </c>
      <c r="HL188" s="103">
        <f t="shared" si="979"/>
        <v>0</v>
      </c>
      <c r="HM188" s="103">
        <f t="shared" si="980"/>
        <v>0</v>
      </c>
      <c r="HN188" s="17">
        <f t="shared" si="981"/>
        <v>0</v>
      </c>
      <c r="HO188" s="56">
        <f t="shared" si="982"/>
        <v>0</v>
      </c>
      <c r="HP188" s="16">
        <f t="shared" si="983"/>
        <v>0</v>
      </c>
      <c r="HQ188" s="16">
        <f t="shared" si="984"/>
        <v>0</v>
      </c>
      <c r="HR188" s="16">
        <f t="shared" si="985"/>
        <v>0</v>
      </c>
    </row>
    <row r="189" spans="1:226" x14ac:dyDescent="0.3">
      <c r="A189" s="326">
        <v>4</v>
      </c>
      <c r="B189" s="326" t="s">
        <v>79</v>
      </c>
      <c r="C189" s="326" t="s">
        <v>80</v>
      </c>
      <c r="D189" s="21" t="s">
        <v>81</v>
      </c>
      <c r="E189" s="4"/>
      <c r="F189" s="4"/>
      <c r="G189" s="4"/>
      <c r="H189" s="325"/>
      <c r="I189" s="325">
        <v>1178416</v>
      </c>
      <c r="J189" s="325"/>
      <c r="K189" s="325"/>
      <c r="L189" s="325">
        <v>1178416</v>
      </c>
      <c r="M189" s="6">
        <v>1178416</v>
      </c>
      <c r="N189" s="6">
        <v>1178416</v>
      </c>
      <c r="O189" s="7">
        <v>1178416</v>
      </c>
      <c r="P189" s="7">
        <v>1178416</v>
      </c>
      <c r="Q189" s="7">
        <v>1178416</v>
      </c>
      <c r="R189" s="7">
        <v>1178416</v>
      </c>
      <c r="S189" s="7">
        <v>1178416</v>
      </c>
      <c r="T189" s="7">
        <v>1178416</v>
      </c>
      <c r="U189" s="7">
        <f t="shared" si="888"/>
        <v>58920.800000000003</v>
      </c>
      <c r="V189" s="7">
        <f t="shared" si="889"/>
        <v>1237336.8</v>
      </c>
      <c r="W189" s="7">
        <v>1237336</v>
      </c>
      <c r="X189" s="7">
        <v>1237336</v>
      </c>
      <c r="Y189" s="7">
        <v>1237336</v>
      </c>
      <c r="Z189" s="7">
        <v>1237336</v>
      </c>
      <c r="AA189" s="6">
        <v>727300</v>
      </c>
      <c r="AB189" s="4">
        <v>0</v>
      </c>
      <c r="AC189" s="4">
        <v>0</v>
      </c>
      <c r="AD189" s="4">
        <v>0</v>
      </c>
      <c r="AE189" s="7">
        <f t="shared" si="890"/>
        <v>0</v>
      </c>
      <c r="AF189" s="4">
        <v>0</v>
      </c>
      <c r="AG189" s="4">
        <v>0</v>
      </c>
      <c r="AH189" s="4">
        <v>0</v>
      </c>
      <c r="AI189" s="7">
        <f t="shared" si="891"/>
        <v>0</v>
      </c>
      <c r="AJ189" s="4">
        <v>0</v>
      </c>
      <c r="AK189" s="4">
        <v>0</v>
      </c>
      <c r="AL189" s="4">
        <v>0</v>
      </c>
      <c r="AM189" s="7">
        <f t="shared" si="892"/>
        <v>0</v>
      </c>
      <c r="AN189" s="4">
        <v>0</v>
      </c>
      <c r="AO189" s="4">
        <v>0</v>
      </c>
      <c r="AP189" s="4">
        <v>0</v>
      </c>
      <c r="AQ189" s="7">
        <f t="shared" si="893"/>
        <v>0</v>
      </c>
      <c r="AR189" s="4">
        <v>0</v>
      </c>
      <c r="AS189" s="4">
        <v>0</v>
      </c>
      <c r="AT189" s="4">
        <v>0</v>
      </c>
      <c r="AU189" s="7">
        <f t="shared" si="894"/>
        <v>0</v>
      </c>
      <c r="AV189" s="4">
        <v>0</v>
      </c>
      <c r="AW189" s="4">
        <v>0</v>
      </c>
      <c r="AX189" s="4">
        <v>0</v>
      </c>
      <c r="AY189" s="7">
        <f t="shared" si="895"/>
        <v>0</v>
      </c>
      <c r="AZ189" s="8">
        <f t="shared" si="986"/>
        <v>0</v>
      </c>
      <c r="BA189" s="8"/>
      <c r="BB189" s="8">
        <f t="shared" si="987"/>
        <v>0</v>
      </c>
      <c r="BC189" s="8">
        <f t="shared" si="988"/>
        <v>0</v>
      </c>
      <c r="BD189" s="8"/>
      <c r="BE189" s="8">
        <f t="shared" si="989"/>
        <v>0</v>
      </c>
      <c r="BF189" s="10">
        <f t="shared" si="990"/>
        <v>0</v>
      </c>
      <c r="BG189" s="11">
        <f t="shared" si="991"/>
        <v>0</v>
      </c>
      <c r="BH189" s="319">
        <v>0</v>
      </c>
      <c r="BI189" s="319">
        <v>0</v>
      </c>
      <c r="BJ189" s="319">
        <v>0</v>
      </c>
      <c r="BK189" s="319">
        <f t="shared" si="896"/>
        <v>0</v>
      </c>
      <c r="BL189" s="319"/>
      <c r="BM189" s="319">
        <v>0</v>
      </c>
      <c r="BN189" s="319">
        <v>0</v>
      </c>
      <c r="BO189" s="319">
        <f t="shared" si="897"/>
        <v>0</v>
      </c>
      <c r="BP189" s="319">
        <f t="shared" si="992"/>
        <v>0</v>
      </c>
      <c r="BQ189" s="319">
        <v>0</v>
      </c>
      <c r="BR189" s="319">
        <v>0</v>
      </c>
      <c r="BS189" s="319">
        <v>0</v>
      </c>
      <c r="BT189" s="319">
        <f t="shared" si="898"/>
        <v>0</v>
      </c>
      <c r="BU189" s="319">
        <f t="shared" si="899"/>
        <v>0</v>
      </c>
      <c r="BV189" s="319">
        <v>0</v>
      </c>
      <c r="BW189" s="319">
        <v>0</v>
      </c>
      <c r="BX189" s="319">
        <v>0</v>
      </c>
      <c r="BY189" s="319">
        <f t="shared" si="900"/>
        <v>0</v>
      </c>
      <c r="BZ189" s="319">
        <f t="shared" si="901"/>
        <v>0</v>
      </c>
      <c r="CA189" s="319">
        <v>0</v>
      </c>
      <c r="CB189" s="319">
        <v>0</v>
      </c>
      <c r="CC189" s="319">
        <v>0</v>
      </c>
      <c r="CD189" s="319">
        <f t="shared" si="902"/>
        <v>0</v>
      </c>
      <c r="CE189" s="319">
        <f t="shared" si="903"/>
        <v>0</v>
      </c>
      <c r="CF189" s="319">
        <v>0</v>
      </c>
      <c r="CG189" s="319">
        <v>0</v>
      </c>
      <c r="CH189" s="319">
        <v>0</v>
      </c>
      <c r="CI189" s="319">
        <f t="shared" si="904"/>
        <v>0</v>
      </c>
      <c r="CJ189" s="319">
        <f t="shared" si="905"/>
        <v>0</v>
      </c>
      <c r="CK189" s="319">
        <v>0</v>
      </c>
      <c r="CL189" s="319">
        <v>0</v>
      </c>
      <c r="CM189" s="319">
        <v>0</v>
      </c>
      <c r="CN189" s="319">
        <f t="shared" si="906"/>
        <v>0</v>
      </c>
      <c r="CO189" s="319">
        <f t="shared" si="907"/>
        <v>0</v>
      </c>
      <c r="CP189" s="319">
        <v>0</v>
      </c>
      <c r="CQ189" s="319">
        <v>0</v>
      </c>
      <c r="CR189" s="319">
        <v>0</v>
      </c>
      <c r="CS189" s="319">
        <f t="shared" si="908"/>
        <v>0</v>
      </c>
      <c r="CT189" s="319">
        <f t="shared" si="909"/>
        <v>0</v>
      </c>
      <c r="CU189" s="319">
        <v>0</v>
      </c>
      <c r="CV189" s="319">
        <v>0</v>
      </c>
      <c r="CW189" s="319">
        <v>0</v>
      </c>
      <c r="CX189" s="319">
        <f t="shared" si="910"/>
        <v>0</v>
      </c>
      <c r="CY189" s="319">
        <f t="shared" si="911"/>
        <v>0</v>
      </c>
      <c r="CZ189" s="319"/>
      <c r="DA189" s="319"/>
      <c r="DB189" s="319"/>
      <c r="DC189" s="12">
        <f t="shared" si="935"/>
        <v>0</v>
      </c>
      <c r="DD189" s="12">
        <v>0</v>
      </c>
      <c r="DE189" s="13">
        <f t="shared" si="936"/>
        <v>0</v>
      </c>
      <c r="DF189" s="14">
        <f t="shared" si="912"/>
        <v>0</v>
      </c>
      <c r="DG189" s="13">
        <f t="shared" si="913"/>
        <v>0</v>
      </c>
      <c r="DH189" s="15">
        <f t="shared" si="914"/>
        <v>0</v>
      </c>
      <c r="DI189" s="16">
        <f t="shared" si="915"/>
        <v>0</v>
      </c>
      <c r="DJ189" s="132">
        <f t="shared" si="937"/>
        <v>0</v>
      </c>
      <c r="DK189" s="17">
        <f t="shared" si="938"/>
        <v>0</v>
      </c>
      <c r="DL189" s="17">
        <f t="shared" si="916"/>
        <v>0</v>
      </c>
      <c r="DM189" s="16">
        <f t="shared" si="939"/>
        <v>0</v>
      </c>
      <c r="DN189" s="16">
        <f t="shared" si="917"/>
        <v>0</v>
      </c>
      <c r="DO189" s="16">
        <f t="shared" si="940"/>
        <v>0</v>
      </c>
      <c r="DP189" s="16">
        <f t="shared" si="918"/>
        <v>0</v>
      </c>
      <c r="DQ189" s="9">
        <v>0</v>
      </c>
      <c r="DR189" s="18" t="s">
        <v>238</v>
      </c>
      <c r="DS189" s="18" t="s">
        <v>238</v>
      </c>
      <c r="DT189" s="324">
        <f t="shared" si="941"/>
        <v>0</v>
      </c>
      <c r="DU189" s="321">
        <f t="shared" si="942"/>
        <v>0</v>
      </c>
      <c r="DV189" s="19">
        <f t="shared" si="943"/>
        <v>0</v>
      </c>
      <c r="DW189" s="9"/>
      <c r="DX189" s="18"/>
      <c r="DY189" s="18"/>
      <c r="DZ189" s="324">
        <f t="shared" si="944"/>
        <v>0</v>
      </c>
      <c r="EA189" s="321">
        <f t="shared" si="945"/>
        <v>0</v>
      </c>
      <c r="EB189" s="179">
        <f t="shared" si="919"/>
        <v>0</v>
      </c>
      <c r="EC189" s="9">
        <v>0</v>
      </c>
      <c r="ED189" s="9">
        <v>0</v>
      </c>
      <c r="EE189" s="9">
        <v>0</v>
      </c>
      <c r="EF189" s="324">
        <f t="shared" si="946"/>
        <v>0</v>
      </c>
      <c r="EG189" s="321">
        <f t="shared" si="947"/>
        <v>0</v>
      </c>
      <c r="EH189" s="179">
        <f t="shared" si="920"/>
        <v>0</v>
      </c>
      <c r="EI189" s="9">
        <v>0</v>
      </c>
      <c r="EJ189" s="9">
        <v>0</v>
      </c>
      <c r="EK189" s="9">
        <v>0</v>
      </c>
      <c r="EL189" s="324">
        <f t="shared" si="948"/>
        <v>0</v>
      </c>
      <c r="EM189" s="321">
        <f t="shared" si="949"/>
        <v>0</v>
      </c>
      <c r="EN189" s="179">
        <f t="shared" si="921"/>
        <v>0</v>
      </c>
      <c r="EO189" s="9">
        <v>0</v>
      </c>
      <c r="EP189" s="9">
        <v>0</v>
      </c>
      <c r="EQ189" s="9">
        <v>0</v>
      </c>
      <c r="ER189" s="324">
        <f t="shared" si="950"/>
        <v>0</v>
      </c>
      <c r="ES189" s="321">
        <f t="shared" si="951"/>
        <v>0</v>
      </c>
      <c r="ET189" s="179">
        <f t="shared" si="922"/>
        <v>0</v>
      </c>
      <c r="EU189" s="9">
        <v>0</v>
      </c>
      <c r="EV189" s="9">
        <v>0</v>
      </c>
      <c r="EW189" s="9">
        <v>0</v>
      </c>
      <c r="EX189" s="324">
        <f t="shared" si="952"/>
        <v>0</v>
      </c>
      <c r="EY189" s="321">
        <f t="shared" si="953"/>
        <v>0</v>
      </c>
      <c r="EZ189" s="179">
        <f t="shared" si="923"/>
        <v>0</v>
      </c>
      <c r="FA189" s="9">
        <v>0</v>
      </c>
      <c r="FB189" s="9">
        <v>0</v>
      </c>
      <c r="FC189" s="9">
        <v>0</v>
      </c>
      <c r="FD189" s="324">
        <f t="shared" si="954"/>
        <v>0</v>
      </c>
      <c r="FE189" s="321">
        <f t="shared" si="955"/>
        <v>0</v>
      </c>
      <c r="FF189" s="179">
        <f t="shared" si="924"/>
        <v>0</v>
      </c>
      <c r="FG189" s="18" t="s">
        <v>238</v>
      </c>
      <c r="FH189" s="18" t="s">
        <v>238</v>
      </c>
      <c r="FI189" s="18" t="s">
        <v>238</v>
      </c>
      <c r="FJ189" s="324">
        <f t="shared" si="956"/>
        <v>0</v>
      </c>
      <c r="FK189" s="321">
        <f t="shared" si="957"/>
        <v>0</v>
      </c>
      <c r="FL189" s="179">
        <f t="shared" si="925"/>
        <v>0</v>
      </c>
      <c r="FM189" s="18" t="s">
        <v>238</v>
      </c>
      <c r="FN189" s="18" t="s">
        <v>238</v>
      </c>
      <c r="FO189" s="18" t="s">
        <v>238</v>
      </c>
      <c r="FP189" s="324">
        <f t="shared" si="958"/>
        <v>0</v>
      </c>
      <c r="FQ189" s="321">
        <f t="shared" si="959"/>
        <v>0</v>
      </c>
      <c r="FR189" s="179">
        <f t="shared" si="926"/>
        <v>0</v>
      </c>
      <c r="FS189" s="18" t="s">
        <v>238</v>
      </c>
      <c r="FT189" s="18" t="s">
        <v>238</v>
      </c>
      <c r="FU189" s="18" t="s">
        <v>238</v>
      </c>
      <c r="FV189" s="324">
        <f t="shared" si="960"/>
        <v>0</v>
      </c>
      <c r="FW189" s="321">
        <f t="shared" si="961"/>
        <v>0</v>
      </c>
      <c r="FX189" s="179">
        <f t="shared" si="927"/>
        <v>0</v>
      </c>
      <c r="FY189" s="18" t="s">
        <v>238</v>
      </c>
      <c r="FZ189" s="18" t="s">
        <v>238</v>
      </c>
      <c r="GA189" s="18" t="s">
        <v>238</v>
      </c>
      <c r="GB189" s="324">
        <f t="shared" si="962"/>
        <v>0</v>
      </c>
      <c r="GC189" s="321">
        <f t="shared" si="963"/>
        <v>0</v>
      </c>
      <c r="GD189" s="179">
        <f t="shared" si="928"/>
        <v>0</v>
      </c>
      <c r="GE189" s="18" t="s">
        <v>238</v>
      </c>
      <c r="GF189" s="18" t="s">
        <v>238</v>
      </c>
      <c r="GG189" s="18" t="s">
        <v>238</v>
      </c>
      <c r="GH189" s="324">
        <f t="shared" si="964"/>
        <v>0</v>
      </c>
      <c r="GI189" s="321">
        <f t="shared" si="965"/>
        <v>0</v>
      </c>
      <c r="GJ189" s="179">
        <f t="shared" si="929"/>
        <v>0</v>
      </c>
      <c r="GK189" s="18" t="s">
        <v>238</v>
      </c>
      <c r="GL189" s="18" t="s">
        <v>238</v>
      </c>
      <c r="GM189" s="18" t="s">
        <v>238</v>
      </c>
      <c r="GN189" s="324">
        <f t="shared" si="966"/>
        <v>0</v>
      </c>
      <c r="GO189" s="321">
        <f t="shared" si="967"/>
        <v>0</v>
      </c>
      <c r="GP189" s="179">
        <f t="shared" si="930"/>
        <v>0</v>
      </c>
      <c r="GQ189" s="18" t="s">
        <v>238</v>
      </c>
      <c r="GR189" s="18" t="s">
        <v>238</v>
      </c>
      <c r="GS189" s="18" t="s">
        <v>238</v>
      </c>
      <c r="GT189" s="324">
        <f t="shared" si="968"/>
        <v>0</v>
      </c>
      <c r="GU189" s="321">
        <f t="shared" si="969"/>
        <v>0</v>
      </c>
      <c r="GV189" s="179">
        <f t="shared" si="931"/>
        <v>0</v>
      </c>
      <c r="GW189" s="18" t="s">
        <v>238</v>
      </c>
      <c r="GX189" s="18" t="s">
        <v>238</v>
      </c>
      <c r="GY189" s="18" t="s">
        <v>238</v>
      </c>
      <c r="GZ189" s="324">
        <f t="shared" si="970"/>
        <v>0</v>
      </c>
      <c r="HA189" s="321">
        <f t="shared" si="971"/>
        <v>0</v>
      </c>
      <c r="HB189" s="179">
        <f t="shared" si="932"/>
        <v>0</v>
      </c>
      <c r="HC189" s="102">
        <f t="shared" si="933"/>
        <v>0</v>
      </c>
      <c r="HD189" s="285">
        <f t="shared" si="972"/>
        <v>0</v>
      </c>
      <c r="HE189" s="12">
        <f t="shared" si="973"/>
        <v>0</v>
      </c>
      <c r="HF189" s="12">
        <f t="shared" si="934"/>
        <v>0</v>
      </c>
      <c r="HG189" s="12">
        <f t="shared" si="974"/>
        <v>0</v>
      </c>
      <c r="HH189" s="14">
        <f t="shared" si="975"/>
        <v>0</v>
      </c>
      <c r="HI189" s="13">
        <f t="shared" si="976"/>
        <v>0</v>
      </c>
      <c r="HJ189" s="102">
        <f t="shared" si="977"/>
        <v>0</v>
      </c>
      <c r="HK189" s="16">
        <f t="shared" si="978"/>
        <v>0</v>
      </c>
      <c r="HL189" s="103">
        <f t="shared" si="979"/>
        <v>0</v>
      </c>
      <c r="HM189" s="103">
        <f t="shared" si="980"/>
        <v>0</v>
      </c>
      <c r="HN189" s="17">
        <f t="shared" si="981"/>
        <v>0</v>
      </c>
      <c r="HO189" s="56">
        <f t="shared" si="982"/>
        <v>0</v>
      </c>
      <c r="HP189" s="16">
        <f t="shared" si="983"/>
        <v>0</v>
      </c>
      <c r="HQ189" s="16">
        <f t="shared" si="984"/>
        <v>0</v>
      </c>
      <c r="HR189" s="16">
        <f t="shared" si="985"/>
        <v>0</v>
      </c>
    </row>
    <row r="190" spans="1:226" x14ac:dyDescent="0.3">
      <c r="A190" s="326">
        <v>5</v>
      </c>
      <c r="B190" s="326" t="s">
        <v>82</v>
      </c>
      <c r="C190" s="326" t="s">
        <v>375</v>
      </c>
      <c r="D190" s="21" t="s">
        <v>83</v>
      </c>
      <c r="E190" s="4"/>
      <c r="F190" s="4"/>
      <c r="G190" s="4"/>
      <c r="H190" s="325"/>
      <c r="I190" s="325">
        <v>2145856</v>
      </c>
      <c r="J190" s="325"/>
      <c r="K190" s="325"/>
      <c r="L190" s="325">
        <v>2145856</v>
      </c>
      <c r="M190" s="6">
        <v>2145856</v>
      </c>
      <c r="N190" s="6">
        <v>2145856</v>
      </c>
      <c r="O190" s="7">
        <v>2145856</v>
      </c>
      <c r="P190" s="7">
        <v>2145856</v>
      </c>
      <c r="Q190" s="7">
        <v>2145856</v>
      </c>
      <c r="R190" s="7">
        <v>2145856</v>
      </c>
      <c r="S190" s="7">
        <v>2145856</v>
      </c>
      <c r="T190" s="7">
        <v>2145856</v>
      </c>
      <c r="U190" s="7">
        <f t="shared" si="888"/>
        <v>107292.8</v>
      </c>
      <c r="V190" s="7">
        <f t="shared" si="889"/>
        <v>2253148.7999999998</v>
      </c>
      <c r="W190" s="7">
        <v>2253148</v>
      </c>
      <c r="X190" s="7">
        <v>13324536</v>
      </c>
      <c r="Y190" s="7">
        <v>13324536</v>
      </c>
      <c r="Z190" s="7">
        <v>13324536</v>
      </c>
      <c r="AA190" s="6">
        <v>8592969</v>
      </c>
      <c r="AB190" s="4">
        <v>0</v>
      </c>
      <c r="AC190" s="4">
        <v>0</v>
      </c>
      <c r="AD190" s="4">
        <v>0</v>
      </c>
      <c r="AE190" s="7">
        <f t="shared" si="890"/>
        <v>0</v>
      </c>
      <c r="AF190" s="4">
        <v>0</v>
      </c>
      <c r="AG190" s="4">
        <v>0</v>
      </c>
      <c r="AH190" s="4">
        <v>0</v>
      </c>
      <c r="AI190" s="7">
        <f t="shared" si="891"/>
        <v>0</v>
      </c>
      <c r="AJ190" s="4">
        <v>0</v>
      </c>
      <c r="AK190" s="4">
        <v>0</v>
      </c>
      <c r="AL190" s="4">
        <v>0</v>
      </c>
      <c r="AM190" s="7">
        <f t="shared" si="892"/>
        <v>0</v>
      </c>
      <c r="AN190" s="4">
        <v>0</v>
      </c>
      <c r="AO190" s="4">
        <v>0</v>
      </c>
      <c r="AP190" s="4">
        <v>0</v>
      </c>
      <c r="AQ190" s="7">
        <f t="shared" si="893"/>
        <v>0</v>
      </c>
      <c r="AR190" s="4">
        <v>0</v>
      </c>
      <c r="AS190" s="4">
        <v>0</v>
      </c>
      <c r="AT190" s="4">
        <v>0</v>
      </c>
      <c r="AU190" s="7">
        <f t="shared" si="894"/>
        <v>0</v>
      </c>
      <c r="AV190" s="4">
        <v>0</v>
      </c>
      <c r="AW190" s="4">
        <v>0</v>
      </c>
      <c r="AX190" s="4">
        <v>0</v>
      </c>
      <c r="AY190" s="7">
        <f t="shared" si="895"/>
        <v>0</v>
      </c>
      <c r="AZ190" s="8">
        <f t="shared" si="986"/>
        <v>0</v>
      </c>
      <c r="BA190" s="8"/>
      <c r="BB190" s="8">
        <f t="shared" si="987"/>
        <v>0</v>
      </c>
      <c r="BC190" s="8">
        <f t="shared" si="988"/>
        <v>0</v>
      </c>
      <c r="BD190" s="8"/>
      <c r="BE190" s="8">
        <f t="shared" si="989"/>
        <v>0</v>
      </c>
      <c r="BF190" s="10">
        <f t="shared" si="990"/>
        <v>0</v>
      </c>
      <c r="BG190" s="11">
        <f t="shared" si="991"/>
        <v>0</v>
      </c>
      <c r="BH190" s="319">
        <v>0</v>
      </c>
      <c r="BI190" s="319">
        <v>0</v>
      </c>
      <c r="BJ190" s="319">
        <v>0</v>
      </c>
      <c r="BK190" s="319">
        <f t="shared" si="896"/>
        <v>0</v>
      </c>
      <c r="BL190" s="319"/>
      <c r="BM190" s="319">
        <v>0</v>
      </c>
      <c r="BN190" s="319">
        <v>0</v>
      </c>
      <c r="BO190" s="319">
        <f t="shared" si="897"/>
        <v>0</v>
      </c>
      <c r="BP190" s="319">
        <f t="shared" si="992"/>
        <v>0</v>
      </c>
      <c r="BQ190" s="319">
        <v>0</v>
      </c>
      <c r="BR190" s="319">
        <v>0</v>
      </c>
      <c r="BS190" s="319">
        <v>0</v>
      </c>
      <c r="BT190" s="319">
        <f t="shared" si="898"/>
        <v>0</v>
      </c>
      <c r="BU190" s="319">
        <f t="shared" si="899"/>
        <v>0</v>
      </c>
      <c r="BV190" s="319">
        <v>0</v>
      </c>
      <c r="BW190" s="319">
        <v>0</v>
      </c>
      <c r="BX190" s="319">
        <v>0</v>
      </c>
      <c r="BY190" s="319">
        <f t="shared" si="900"/>
        <v>0</v>
      </c>
      <c r="BZ190" s="319">
        <f t="shared" si="901"/>
        <v>0</v>
      </c>
      <c r="CA190" s="319">
        <v>0</v>
      </c>
      <c r="CB190" s="319">
        <v>0</v>
      </c>
      <c r="CC190" s="319">
        <v>0</v>
      </c>
      <c r="CD190" s="319">
        <f t="shared" si="902"/>
        <v>0</v>
      </c>
      <c r="CE190" s="319">
        <f t="shared" si="903"/>
        <v>0</v>
      </c>
      <c r="CF190" s="319">
        <v>0</v>
      </c>
      <c r="CG190" s="319">
        <v>0</v>
      </c>
      <c r="CH190" s="319">
        <v>0</v>
      </c>
      <c r="CI190" s="319">
        <f t="shared" si="904"/>
        <v>0</v>
      </c>
      <c r="CJ190" s="319">
        <f t="shared" si="905"/>
        <v>0</v>
      </c>
      <c r="CK190" s="319">
        <v>0</v>
      </c>
      <c r="CL190" s="319">
        <v>0</v>
      </c>
      <c r="CM190" s="319">
        <v>0</v>
      </c>
      <c r="CN190" s="319">
        <f t="shared" si="906"/>
        <v>0</v>
      </c>
      <c r="CO190" s="319">
        <f t="shared" si="907"/>
        <v>0</v>
      </c>
      <c r="CP190" s="319">
        <v>0</v>
      </c>
      <c r="CQ190" s="319">
        <v>0</v>
      </c>
      <c r="CR190" s="319">
        <v>0</v>
      </c>
      <c r="CS190" s="319">
        <f t="shared" si="908"/>
        <v>0</v>
      </c>
      <c r="CT190" s="319">
        <f t="shared" si="909"/>
        <v>0</v>
      </c>
      <c r="CU190" s="319">
        <v>0</v>
      </c>
      <c r="CV190" s="319">
        <v>0</v>
      </c>
      <c r="CW190" s="319">
        <v>0</v>
      </c>
      <c r="CX190" s="319">
        <f t="shared" si="910"/>
        <v>0</v>
      </c>
      <c r="CY190" s="319">
        <f t="shared" si="911"/>
        <v>0</v>
      </c>
      <c r="CZ190" s="319"/>
      <c r="DA190" s="319"/>
      <c r="DB190" s="319"/>
      <c r="DC190" s="12">
        <f t="shared" si="935"/>
        <v>0</v>
      </c>
      <c r="DD190" s="12">
        <v>0</v>
      </c>
      <c r="DE190" s="13">
        <f t="shared" si="936"/>
        <v>0</v>
      </c>
      <c r="DF190" s="14">
        <f t="shared" si="912"/>
        <v>0</v>
      </c>
      <c r="DG190" s="13">
        <f t="shared" si="913"/>
        <v>0</v>
      </c>
      <c r="DH190" s="15">
        <f t="shared" si="914"/>
        <v>0</v>
      </c>
      <c r="DI190" s="16">
        <f t="shared" si="915"/>
        <v>0</v>
      </c>
      <c r="DJ190" s="132">
        <f t="shared" si="937"/>
        <v>0</v>
      </c>
      <c r="DK190" s="17">
        <f t="shared" si="938"/>
        <v>0</v>
      </c>
      <c r="DL190" s="17">
        <f t="shared" si="916"/>
        <v>0</v>
      </c>
      <c r="DM190" s="16">
        <f t="shared" si="939"/>
        <v>0</v>
      </c>
      <c r="DN190" s="16">
        <f t="shared" si="917"/>
        <v>0</v>
      </c>
      <c r="DO190" s="16">
        <f t="shared" si="940"/>
        <v>0</v>
      </c>
      <c r="DP190" s="16">
        <f t="shared" si="918"/>
        <v>0</v>
      </c>
      <c r="DQ190" s="9">
        <v>0</v>
      </c>
      <c r="DR190" s="18" t="s">
        <v>238</v>
      </c>
      <c r="DS190" s="18" t="s">
        <v>238</v>
      </c>
      <c r="DT190" s="324">
        <f t="shared" si="941"/>
        <v>0</v>
      </c>
      <c r="DU190" s="321">
        <f t="shared" si="942"/>
        <v>0</v>
      </c>
      <c r="DV190" s="19">
        <f t="shared" si="943"/>
        <v>0</v>
      </c>
      <c r="DW190" s="9"/>
      <c r="DX190" s="18"/>
      <c r="DY190" s="18"/>
      <c r="DZ190" s="324">
        <f t="shared" si="944"/>
        <v>0</v>
      </c>
      <c r="EA190" s="321">
        <f t="shared" si="945"/>
        <v>0</v>
      </c>
      <c r="EB190" s="179">
        <f t="shared" si="919"/>
        <v>0</v>
      </c>
      <c r="EC190" s="9">
        <v>0</v>
      </c>
      <c r="ED190" s="9">
        <v>0</v>
      </c>
      <c r="EE190" s="9">
        <v>0</v>
      </c>
      <c r="EF190" s="324">
        <f t="shared" si="946"/>
        <v>0</v>
      </c>
      <c r="EG190" s="321">
        <f t="shared" si="947"/>
        <v>0</v>
      </c>
      <c r="EH190" s="179">
        <f t="shared" si="920"/>
        <v>0</v>
      </c>
      <c r="EI190" s="9">
        <v>0</v>
      </c>
      <c r="EJ190" s="9">
        <v>0</v>
      </c>
      <c r="EK190" s="9">
        <v>0</v>
      </c>
      <c r="EL190" s="324">
        <f t="shared" si="948"/>
        <v>0</v>
      </c>
      <c r="EM190" s="321">
        <f t="shared" si="949"/>
        <v>0</v>
      </c>
      <c r="EN190" s="179">
        <f t="shared" si="921"/>
        <v>0</v>
      </c>
      <c r="EO190" s="9">
        <v>0</v>
      </c>
      <c r="EP190" s="9">
        <v>0</v>
      </c>
      <c r="EQ190" s="9">
        <v>0</v>
      </c>
      <c r="ER190" s="324">
        <f t="shared" si="950"/>
        <v>0</v>
      </c>
      <c r="ES190" s="321">
        <f t="shared" si="951"/>
        <v>0</v>
      </c>
      <c r="ET190" s="179">
        <f t="shared" si="922"/>
        <v>0</v>
      </c>
      <c r="EU190" s="9">
        <v>0</v>
      </c>
      <c r="EV190" s="9">
        <v>0</v>
      </c>
      <c r="EW190" s="9">
        <v>0</v>
      </c>
      <c r="EX190" s="324">
        <f t="shared" si="952"/>
        <v>0</v>
      </c>
      <c r="EY190" s="321">
        <f t="shared" si="953"/>
        <v>0</v>
      </c>
      <c r="EZ190" s="179">
        <f t="shared" si="923"/>
        <v>0</v>
      </c>
      <c r="FA190" s="9">
        <v>0</v>
      </c>
      <c r="FB190" s="9">
        <v>0</v>
      </c>
      <c r="FC190" s="9">
        <v>0</v>
      </c>
      <c r="FD190" s="324">
        <f t="shared" si="954"/>
        <v>0</v>
      </c>
      <c r="FE190" s="321">
        <f t="shared" si="955"/>
        <v>0</v>
      </c>
      <c r="FF190" s="179">
        <f t="shared" si="924"/>
        <v>0</v>
      </c>
      <c r="FG190" s="18" t="s">
        <v>238</v>
      </c>
      <c r="FH190" s="18" t="s">
        <v>238</v>
      </c>
      <c r="FI190" s="18" t="s">
        <v>238</v>
      </c>
      <c r="FJ190" s="324">
        <f t="shared" si="956"/>
        <v>0</v>
      </c>
      <c r="FK190" s="321">
        <f t="shared" si="957"/>
        <v>0</v>
      </c>
      <c r="FL190" s="179">
        <f t="shared" si="925"/>
        <v>0</v>
      </c>
      <c r="FM190" s="18" t="s">
        <v>238</v>
      </c>
      <c r="FN190" s="18" t="s">
        <v>238</v>
      </c>
      <c r="FO190" s="18" t="s">
        <v>238</v>
      </c>
      <c r="FP190" s="324">
        <f t="shared" si="958"/>
        <v>0</v>
      </c>
      <c r="FQ190" s="321">
        <f t="shared" si="959"/>
        <v>0</v>
      </c>
      <c r="FR190" s="179">
        <f t="shared" si="926"/>
        <v>0</v>
      </c>
      <c r="FS190" s="18" t="s">
        <v>238</v>
      </c>
      <c r="FT190" s="18" t="s">
        <v>238</v>
      </c>
      <c r="FU190" s="18" t="s">
        <v>238</v>
      </c>
      <c r="FV190" s="324">
        <f t="shared" si="960"/>
        <v>0</v>
      </c>
      <c r="FW190" s="321">
        <f t="shared" si="961"/>
        <v>0</v>
      </c>
      <c r="FX190" s="179">
        <f t="shared" si="927"/>
        <v>0</v>
      </c>
      <c r="FY190" s="18" t="s">
        <v>238</v>
      </c>
      <c r="FZ190" s="18" t="s">
        <v>238</v>
      </c>
      <c r="GA190" s="18" t="s">
        <v>238</v>
      </c>
      <c r="GB190" s="324">
        <f t="shared" si="962"/>
        <v>0</v>
      </c>
      <c r="GC190" s="321">
        <f t="shared" si="963"/>
        <v>0</v>
      </c>
      <c r="GD190" s="179">
        <f t="shared" si="928"/>
        <v>0</v>
      </c>
      <c r="GE190" s="18" t="s">
        <v>238</v>
      </c>
      <c r="GF190" s="18" t="s">
        <v>238</v>
      </c>
      <c r="GG190" s="18" t="s">
        <v>238</v>
      </c>
      <c r="GH190" s="324">
        <f t="shared" si="964"/>
        <v>0</v>
      </c>
      <c r="GI190" s="321">
        <f t="shared" si="965"/>
        <v>0</v>
      </c>
      <c r="GJ190" s="179">
        <f t="shared" si="929"/>
        <v>0</v>
      </c>
      <c r="GK190" s="18" t="s">
        <v>238</v>
      </c>
      <c r="GL190" s="18" t="s">
        <v>238</v>
      </c>
      <c r="GM190" s="18" t="s">
        <v>238</v>
      </c>
      <c r="GN190" s="324">
        <f t="shared" si="966"/>
        <v>0</v>
      </c>
      <c r="GO190" s="321">
        <f t="shared" si="967"/>
        <v>0</v>
      </c>
      <c r="GP190" s="179">
        <f t="shared" si="930"/>
        <v>0</v>
      </c>
      <c r="GQ190" s="18" t="s">
        <v>238</v>
      </c>
      <c r="GR190" s="18" t="s">
        <v>238</v>
      </c>
      <c r="GS190" s="18" t="s">
        <v>238</v>
      </c>
      <c r="GT190" s="324">
        <f t="shared" si="968"/>
        <v>0</v>
      </c>
      <c r="GU190" s="321">
        <f t="shared" si="969"/>
        <v>0</v>
      </c>
      <c r="GV190" s="179">
        <f t="shared" si="931"/>
        <v>0</v>
      </c>
      <c r="GW190" s="18" t="s">
        <v>238</v>
      </c>
      <c r="GX190" s="18" t="s">
        <v>238</v>
      </c>
      <c r="GY190" s="18" t="s">
        <v>238</v>
      </c>
      <c r="GZ190" s="324">
        <f t="shared" si="970"/>
        <v>0</v>
      </c>
      <c r="HA190" s="321">
        <f t="shared" si="971"/>
        <v>0</v>
      </c>
      <c r="HB190" s="179">
        <f t="shared" si="932"/>
        <v>0</v>
      </c>
      <c r="HC190" s="102">
        <f t="shared" si="933"/>
        <v>0</v>
      </c>
      <c r="HD190" s="285">
        <f t="shared" si="972"/>
        <v>0</v>
      </c>
      <c r="HE190" s="12">
        <f t="shared" si="973"/>
        <v>0</v>
      </c>
      <c r="HF190" s="12">
        <f t="shared" si="934"/>
        <v>0</v>
      </c>
      <c r="HG190" s="12">
        <f t="shared" si="974"/>
        <v>0</v>
      </c>
      <c r="HH190" s="14">
        <f t="shared" si="975"/>
        <v>0</v>
      </c>
      <c r="HI190" s="13">
        <f t="shared" si="976"/>
        <v>0</v>
      </c>
      <c r="HJ190" s="102">
        <f t="shared" si="977"/>
        <v>0</v>
      </c>
      <c r="HK190" s="16">
        <f t="shared" si="978"/>
        <v>0</v>
      </c>
      <c r="HL190" s="103">
        <f t="shared" si="979"/>
        <v>0</v>
      </c>
      <c r="HM190" s="103">
        <f t="shared" si="980"/>
        <v>0</v>
      </c>
      <c r="HN190" s="17">
        <f t="shared" si="981"/>
        <v>0</v>
      </c>
      <c r="HO190" s="56">
        <f t="shared" si="982"/>
        <v>0</v>
      </c>
      <c r="HP190" s="16">
        <f t="shared" si="983"/>
        <v>0</v>
      </c>
      <c r="HQ190" s="16">
        <f t="shared" si="984"/>
        <v>0</v>
      </c>
      <c r="HR190" s="16">
        <f t="shared" si="985"/>
        <v>0</v>
      </c>
    </row>
    <row r="191" spans="1:226" x14ac:dyDescent="0.3">
      <c r="A191" s="326">
        <v>6</v>
      </c>
      <c r="B191" s="326" t="s">
        <v>84</v>
      </c>
      <c r="C191" s="326" t="s">
        <v>322</v>
      </c>
      <c r="D191" s="21" t="s">
        <v>85</v>
      </c>
      <c r="E191" s="4"/>
      <c r="F191" s="4"/>
      <c r="G191" s="4"/>
      <c r="H191" s="325"/>
      <c r="I191" s="325">
        <v>496808</v>
      </c>
      <c r="J191" s="325"/>
      <c r="K191" s="325"/>
      <c r="L191" s="325">
        <v>496808</v>
      </c>
      <c r="M191" s="6">
        <v>496808</v>
      </c>
      <c r="N191" s="6">
        <v>496808</v>
      </c>
      <c r="O191" s="7">
        <v>496808</v>
      </c>
      <c r="P191" s="7">
        <v>496808</v>
      </c>
      <c r="Q191" s="7">
        <v>496808</v>
      </c>
      <c r="R191" s="7">
        <v>496808</v>
      </c>
      <c r="S191" s="7">
        <v>496808</v>
      </c>
      <c r="T191" s="7">
        <v>496808</v>
      </c>
      <c r="U191" s="7">
        <f t="shared" si="888"/>
        <v>24840.400000000001</v>
      </c>
      <c r="V191" s="7">
        <f t="shared" si="889"/>
        <v>521648.4</v>
      </c>
      <c r="W191" s="7">
        <v>521648</v>
      </c>
      <c r="X191" s="7">
        <v>521648</v>
      </c>
      <c r="Y191" s="7">
        <v>521648</v>
      </c>
      <c r="Z191" s="7">
        <v>521648</v>
      </c>
      <c r="AA191" s="7">
        <v>0</v>
      </c>
      <c r="AB191" s="7">
        <v>0</v>
      </c>
      <c r="AC191" s="7">
        <v>0</v>
      </c>
      <c r="AD191" s="7">
        <v>0</v>
      </c>
      <c r="AE191" s="7">
        <f t="shared" si="890"/>
        <v>0</v>
      </c>
      <c r="AF191" s="7">
        <v>0</v>
      </c>
      <c r="AG191" s="7">
        <v>0</v>
      </c>
      <c r="AH191" s="7">
        <v>0</v>
      </c>
      <c r="AI191" s="7">
        <f t="shared" si="891"/>
        <v>0</v>
      </c>
      <c r="AJ191" s="7">
        <v>0</v>
      </c>
      <c r="AK191" s="7">
        <v>0</v>
      </c>
      <c r="AL191" s="7">
        <v>0</v>
      </c>
      <c r="AM191" s="7">
        <f t="shared" si="892"/>
        <v>0</v>
      </c>
      <c r="AN191" s="7">
        <v>0</v>
      </c>
      <c r="AO191" s="7">
        <v>0</v>
      </c>
      <c r="AP191" s="7">
        <v>0</v>
      </c>
      <c r="AQ191" s="7">
        <f t="shared" si="893"/>
        <v>0</v>
      </c>
      <c r="AR191" s="7">
        <v>0</v>
      </c>
      <c r="AS191" s="7">
        <v>0</v>
      </c>
      <c r="AT191" s="7">
        <v>0</v>
      </c>
      <c r="AU191" s="7">
        <f t="shared" si="894"/>
        <v>0</v>
      </c>
      <c r="AV191" s="7">
        <v>0</v>
      </c>
      <c r="AW191" s="7">
        <v>0</v>
      </c>
      <c r="AX191" s="7">
        <v>0</v>
      </c>
      <c r="AY191" s="7">
        <f t="shared" si="895"/>
        <v>0</v>
      </c>
      <c r="AZ191" s="8">
        <f t="shared" si="986"/>
        <v>0</v>
      </c>
      <c r="BA191" s="8"/>
      <c r="BB191" s="8">
        <f t="shared" si="987"/>
        <v>0</v>
      </c>
      <c r="BC191" s="8">
        <f t="shared" si="988"/>
        <v>0</v>
      </c>
      <c r="BD191" s="8"/>
      <c r="BE191" s="8">
        <f t="shared" si="989"/>
        <v>0</v>
      </c>
      <c r="BF191" s="10">
        <f t="shared" si="990"/>
        <v>0</v>
      </c>
      <c r="BG191" s="11">
        <f t="shared" si="991"/>
        <v>0</v>
      </c>
      <c r="BH191" s="319">
        <v>0</v>
      </c>
      <c r="BI191" s="319">
        <v>0</v>
      </c>
      <c r="BJ191" s="319">
        <v>0</v>
      </c>
      <c r="BK191" s="319">
        <f t="shared" si="896"/>
        <v>0</v>
      </c>
      <c r="BL191" s="319"/>
      <c r="BM191" s="319">
        <v>0</v>
      </c>
      <c r="BN191" s="319">
        <v>0</v>
      </c>
      <c r="BO191" s="319">
        <f t="shared" si="897"/>
        <v>0</v>
      </c>
      <c r="BP191" s="319">
        <f t="shared" si="992"/>
        <v>0</v>
      </c>
      <c r="BQ191" s="319">
        <v>0</v>
      </c>
      <c r="BR191" s="319">
        <v>0</v>
      </c>
      <c r="BS191" s="319">
        <v>0</v>
      </c>
      <c r="BT191" s="319">
        <f t="shared" si="898"/>
        <v>0</v>
      </c>
      <c r="BU191" s="319">
        <f t="shared" si="899"/>
        <v>0</v>
      </c>
      <c r="BV191" s="319">
        <v>0</v>
      </c>
      <c r="BW191" s="319">
        <v>0</v>
      </c>
      <c r="BX191" s="319">
        <v>0</v>
      </c>
      <c r="BY191" s="319">
        <f t="shared" si="900"/>
        <v>0</v>
      </c>
      <c r="BZ191" s="319">
        <f t="shared" si="901"/>
        <v>0</v>
      </c>
      <c r="CA191" s="319">
        <v>0</v>
      </c>
      <c r="CB191" s="319">
        <v>0</v>
      </c>
      <c r="CC191" s="319">
        <v>0</v>
      </c>
      <c r="CD191" s="319">
        <f t="shared" si="902"/>
        <v>0</v>
      </c>
      <c r="CE191" s="319">
        <f t="shared" si="903"/>
        <v>0</v>
      </c>
      <c r="CF191" s="319">
        <v>0</v>
      </c>
      <c r="CG191" s="319">
        <v>0</v>
      </c>
      <c r="CH191" s="319">
        <v>0</v>
      </c>
      <c r="CI191" s="319">
        <f t="shared" si="904"/>
        <v>0</v>
      </c>
      <c r="CJ191" s="319">
        <f t="shared" si="905"/>
        <v>0</v>
      </c>
      <c r="CK191" s="319">
        <v>0</v>
      </c>
      <c r="CL191" s="319">
        <v>0</v>
      </c>
      <c r="CM191" s="319">
        <v>0</v>
      </c>
      <c r="CN191" s="319">
        <f t="shared" si="906"/>
        <v>0</v>
      </c>
      <c r="CO191" s="319">
        <f t="shared" si="907"/>
        <v>0</v>
      </c>
      <c r="CP191" s="319">
        <v>0</v>
      </c>
      <c r="CQ191" s="319">
        <v>0</v>
      </c>
      <c r="CR191" s="319">
        <v>0</v>
      </c>
      <c r="CS191" s="319">
        <f t="shared" si="908"/>
        <v>0</v>
      </c>
      <c r="CT191" s="319">
        <f t="shared" si="909"/>
        <v>0</v>
      </c>
      <c r="CU191" s="319">
        <v>0</v>
      </c>
      <c r="CV191" s="319">
        <v>0</v>
      </c>
      <c r="CW191" s="319">
        <v>0</v>
      </c>
      <c r="CX191" s="319">
        <f t="shared" si="910"/>
        <v>0</v>
      </c>
      <c r="CY191" s="319">
        <f t="shared" si="911"/>
        <v>0</v>
      </c>
      <c r="CZ191" s="319"/>
      <c r="DA191" s="319"/>
      <c r="DB191" s="319"/>
      <c r="DC191" s="12">
        <f t="shared" si="935"/>
        <v>0</v>
      </c>
      <c r="DD191" s="12">
        <v>0</v>
      </c>
      <c r="DE191" s="13">
        <f t="shared" si="936"/>
        <v>0</v>
      </c>
      <c r="DF191" s="14">
        <f t="shared" si="912"/>
        <v>0</v>
      </c>
      <c r="DG191" s="13">
        <f t="shared" si="913"/>
        <v>0</v>
      </c>
      <c r="DH191" s="15">
        <f t="shared" si="914"/>
        <v>0</v>
      </c>
      <c r="DI191" s="16">
        <f t="shared" si="915"/>
        <v>0</v>
      </c>
      <c r="DJ191" s="132">
        <f t="shared" si="937"/>
        <v>0</v>
      </c>
      <c r="DK191" s="17">
        <f t="shared" si="938"/>
        <v>0</v>
      </c>
      <c r="DL191" s="17">
        <f t="shared" si="916"/>
        <v>0</v>
      </c>
      <c r="DM191" s="16">
        <f t="shared" si="939"/>
        <v>0</v>
      </c>
      <c r="DN191" s="16">
        <f t="shared" si="917"/>
        <v>0</v>
      </c>
      <c r="DO191" s="16">
        <f t="shared" si="940"/>
        <v>0</v>
      </c>
      <c r="DP191" s="16">
        <f t="shared" si="918"/>
        <v>0</v>
      </c>
      <c r="DQ191" s="9">
        <v>0</v>
      </c>
      <c r="DR191" s="18" t="s">
        <v>238</v>
      </c>
      <c r="DS191" s="18" t="s">
        <v>238</v>
      </c>
      <c r="DT191" s="324">
        <f t="shared" si="941"/>
        <v>0</v>
      </c>
      <c r="DU191" s="321">
        <f t="shared" si="942"/>
        <v>0</v>
      </c>
      <c r="DV191" s="19">
        <f t="shared" si="943"/>
        <v>0</v>
      </c>
      <c r="DW191" s="9"/>
      <c r="DX191" s="18"/>
      <c r="DY191" s="18"/>
      <c r="DZ191" s="324">
        <f t="shared" si="944"/>
        <v>0</v>
      </c>
      <c r="EA191" s="321">
        <f t="shared" si="945"/>
        <v>0</v>
      </c>
      <c r="EB191" s="179">
        <f t="shared" si="919"/>
        <v>0</v>
      </c>
      <c r="EC191" s="9">
        <v>0</v>
      </c>
      <c r="ED191" s="9">
        <v>0</v>
      </c>
      <c r="EE191" s="9">
        <v>0</v>
      </c>
      <c r="EF191" s="324">
        <f t="shared" si="946"/>
        <v>0</v>
      </c>
      <c r="EG191" s="321">
        <f t="shared" si="947"/>
        <v>0</v>
      </c>
      <c r="EH191" s="179">
        <f t="shared" si="920"/>
        <v>0</v>
      </c>
      <c r="EI191" s="9">
        <v>0</v>
      </c>
      <c r="EJ191" s="9">
        <v>0</v>
      </c>
      <c r="EK191" s="9">
        <v>0</v>
      </c>
      <c r="EL191" s="324">
        <f t="shared" si="948"/>
        <v>0</v>
      </c>
      <c r="EM191" s="321">
        <f t="shared" si="949"/>
        <v>0</v>
      </c>
      <c r="EN191" s="179">
        <f t="shared" si="921"/>
        <v>0</v>
      </c>
      <c r="EO191" s="9">
        <v>0</v>
      </c>
      <c r="EP191" s="9">
        <v>0</v>
      </c>
      <c r="EQ191" s="9">
        <v>0</v>
      </c>
      <c r="ER191" s="324">
        <f t="shared" si="950"/>
        <v>0</v>
      </c>
      <c r="ES191" s="321">
        <f t="shared" si="951"/>
        <v>0</v>
      </c>
      <c r="ET191" s="179">
        <f t="shared" si="922"/>
        <v>0</v>
      </c>
      <c r="EU191" s="9">
        <v>0</v>
      </c>
      <c r="EV191" s="9">
        <v>0</v>
      </c>
      <c r="EW191" s="9">
        <v>0</v>
      </c>
      <c r="EX191" s="324">
        <f t="shared" si="952"/>
        <v>0</v>
      </c>
      <c r="EY191" s="321">
        <f t="shared" si="953"/>
        <v>0</v>
      </c>
      <c r="EZ191" s="179">
        <f t="shared" si="923"/>
        <v>0</v>
      </c>
      <c r="FA191" s="9">
        <v>0</v>
      </c>
      <c r="FB191" s="9">
        <v>0</v>
      </c>
      <c r="FC191" s="9">
        <v>0</v>
      </c>
      <c r="FD191" s="324">
        <f t="shared" si="954"/>
        <v>0</v>
      </c>
      <c r="FE191" s="321">
        <f t="shared" si="955"/>
        <v>0</v>
      </c>
      <c r="FF191" s="179">
        <f t="shared" si="924"/>
        <v>0</v>
      </c>
      <c r="FG191" s="18" t="s">
        <v>238</v>
      </c>
      <c r="FH191" s="18" t="s">
        <v>238</v>
      </c>
      <c r="FI191" s="18" t="s">
        <v>238</v>
      </c>
      <c r="FJ191" s="324">
        <f t="shared" si="956"/>
        <v>0</v>
      </c>
      <c r="FK191" s="321">
        <f t="shared" si="957"/>
        <v>0</v>
      </c>
      <c r="FL191" s="179">
        <f t="shared" si="925"/>
        <v>0</v>
      </c>
      <c r="FM191" s="18" t="s">
        <v>238</v>
      </c>
      <c r="FN191" s="18" t="s">
        <v>238</v>
      </c>
      <c r="FO191" s="18" t="s">
        <v>238</v>
      </c>
      <c r="FP191" s="324">
        <f t="shared" si="958"/>
        <v>0</v>
      </c>
      <c r="FQ191" s="321">
        <f t="shared" si="959"/>
        <v>0</v>
      </c>
      <c r="FR191" s="179">
        <f t="shared" si="926"/>
        <v>0</v>
      </c>
      <c r="FS191" s="18" t="s">
        <v>238</v>
      </c>
      <c r="FT191" s="18" t="s">
        <v>238</v>
      </c>
      <c r="FU191" s="18" t="s">
        <v>238</v>
      </c>
      <c r="FV191" s="324">
        <f t="shared" si="960"/>
        <v>0</v>
      </c>
      <c r="FW191" s="321">
        <f t="shared" si="961"/>
        <v>0</v>
      </c>
      <c r="FX191" s="179">
        <f t="shared" si="927"/>
        <v>0</v>
      </c>
      <c r="FY191" s="18" t="s">
        <v>238</v>
      </c>
      <c r="FZ191" s="18" t="s">
        <v>238</v>
      </c>
      <c r="GA191" s="18" t="s">
        <v>238</v>
      </c>
      <c r="GB191" s="324">
        <f t="shared" si="962"/>
        <v>0</v>
      </c>
      <c r="GC191" s="321">
        <f t="shared" si="963"/>
        <v>0</v>
      </c>
      <c r="GD191" s="179">
        <f t="shared" si="928"/>
        <v>0</v>
      </c>
      <c r="GE191" s="18" t="s">
        <v>238</v>
      </c>
      <c r="GF191" s="18" t="s">
        <v>238</v>
      </c>
      <c r="GG191" s="18" t="s">
        <v>238</v>
      </c>
      <c r="GH191" s="324">
        <f t="shared" si="964"/>
        <v>0</v>
      </c>
      <c r="GI191" s="321">
        <f t="shared" si="965"/>
        <v>0</v>
      </c>
      <c r="GJ191" s="179">
        <f t="shared" si="929"/>
        <v>0</v>
      </c>
      <c r="GK191" s="18" t="s">
        <v>238</v>
      </c>
      <c r="GL191" s="18" t="s">
        <v>238</v>
      </c>
      <c r="GM191" s="18" t="s">
        <v>238</v>
      </c>
      <c r="GN191" s="324">
        <f t="shared" si="966"/>
        <v>0</v>
      </c>
      <c r="GO191" s="321">
        <f t="shared" si="967"/>
        <v>0</v>
      </c>
      <c r="GP191" s="179">
        <f t="shared" si="930"/>
        <v>0</v>
      </c>
      <c r="GQ191" s="18" t="s">
        <v>238</v>
      </c>
      <c r="GR191" s="18" t="s">
        <v>238</v>
      </c>
      <c r="GS191" s="18" t="s">
        <v>238</v>
      </c>
      <c r="GT191" s="324">
        <f t="shared" si="968"/>
        <v>0</v>
      </c>
      <c r="GU191" s="321">
        <f t="shared" si="969"/>
        <v>0</v>
      </c>
      <c r="GV191" s="179">
        <f t="shared" si="931"/>
        <v>0</v>
      </c>
      <c r="GW191" s="18" t="s">
        <v>238</v>
      </c>
      <c r="GX191" s="18" t="s">
        <v>238</v>
      </c>
      <c r="GY191" s="18" t="s">
        <v>238</v>
      </c>
      <c r="GZ191" s="324">
        <f t="shared" si="970"/>
        <v>0</v>
      </c>
      <c r="HA191" s="321">
        <f t="shared" si="971"/>
        <v>0</v>
      </c>
      <c r="HB191" s="179">
        <f t="shared" si="932"/>
        <v>0</v>
      </c>
      <c r="HC191" s="102">
        <f t="shared" si="933"/>
        <v>0</v>
      </c>
      <c r="HD191" s="285">
        <f t="shared" si="972"/>
        <v>0</v>
      </c>
      <c r="HE191" s="12">
        <f t="shared" si="973"/>
        <v>0</v>
      </c>
      <c r="HF191" s="12">
        <f t="shared" si="934"/>
        <v>0</v>
      </c>
      <c r="HG191" s="12">
        <f t="shared" si="974"/>
        <v>0</v>
      </c>
      <c r="HH191" s="14">
        <f t="shared" si="975"/>
        <v>0</v>
      </c>
      <c r="HI191" s="13">
        <f t="shared" si="976"/>
        <v>0</v>
      </c>
      <c r="HJ191" s="102">
        <f t="shared" si="977"/>
        <v>0</v>
      </c>
      <c r="HK191" s="16">
        <f t="shared" si="978"/>
        <v>0</v>
      </c>
      <c r="HL191" s="103">
        <f t="shared" si="979"/>
        <v>0</v>
      </c>
      <c r="HM191" s="103">
        <f t="shared" si="980"/>
        <v>0</v>
      </c>
      <c r="HN191" s="17">
        <f t="shared" si="981"/>
        <v>0</v>
      </c>
      <c r="HO191" s="56">
        <f t="shared" si="982"/>
        <v>0</v>
      </c>
      <c r="HP191" s="16">
        <f t="shared" si="983"/>
        <v>0</v>
      </c>
      <c r="HQ191" s="16">
        <f t="shared" si="984"/>
        <v>0</v>
      </c>
      <c r="HR191" s="16">
        <f t="shared" si="985"/>
        <v>0</v>
      </c>
    </row>
    <row r="192" spans="1:226" x14ac:dyDescent="0.3">
      <c r="A192" s="326">
        <v>7</v>
      </c>
      <c r="B192" s="105" t="s">
        <v>582</v>
      </c>
      <c r="C192" s="326" t="s">
        <v>374</v>
      </c>
      <c r="D192" s="21" t="s">
        <v>76</v>
      </c>
      <c r="E192" s="4"/>
      <c r="F192" s="4"/>
      <c r="G192" s="4"/>
      <c r="H192" s="325"/>
      <c r="I192" s="325">
        <v>4764358</v>
      </c>
      <c r="J192" s="325"/>
      <c r="K192" s="325"/>
      <c r="L192" s="325">
        <v>4764358</v>
      </c>
      <c r="M192" s="6">
        <v>4764358</v>
      </c>
      <c r="N192" s="6">
        <v>4764358</v>
      </c>
      <c r="O192" s="7">
        <v>4764358</v>
      </c>
      <c r="P192" s="7">
        <v>4764358</v>
      </c>
      <c r="Q192" s="7">
        <v>4764358</v>
      </c>
      <c r="R192" s="7">
        <v>4764358</v>
      </c>
      <c r="S192" s="7">
        <v>4764358</v>
      </c>
      <c r="T192" s="7">
        <v>4764358</v>
      </c>
      <c r="U192" s="7">
        <f>T192*5%</f>
        <v>238217.90000000002</v>
      </c>
      <c r="V192" s="7">
        <f>T192+U192</f>
        <v>5002575.9000000004</v>
      </c>
      <c r="W192" s="7">
        <v>5002575</v>
      </c>
      <c r="X192" s="7">
        <v>5002575</v>
      </c>
      <c r="Y192" s="7">
        <v>5002575</v>
      </c>
      <c r="Z192" s="7">
        <v>5002575</v>
      </c>
      <c r="AA192" s="7">
        <v>0</v>
      </c>
      <c r="AB192" s="7">
        <v>0</v>
      </c>
      <c r="AC192" s="7">
        <v>0</v>
      </c>
      <c r="AD192" s="7">
        <v>0</v>
      </c>
      <c r="AE192" s="7">
        <f>AD192+AC192+AB192</f>
        <v>0</v>
      </c>
      <c r="AF192" s="7">
        <v>0</v>
      </c>
      <c r="AG192" s="7">
        <v>0</v>
      </c>
      <c r="AH192" s="7">
        <v>0</v>
      </c>
      <c r="AI192" s="7">
        <f>AH192+AG192+AF192</f>
        <v>0</v>
      </c>
      <c r="AJ192" s="7">
        <v>0</v>
      </c>
      <c r="AK192" s="7">
        <v>0</v>
      </c>
      <c r="AL192" s="7">
        <v>0</v>
      </c>
      <c r="AM192" s="7">
        <f>AL192+AK192+AJ192</f>
        <v>0</v>
      </c>
      <c r="AN192" s="7">
        <v>0</v>
      </c>
      <c r="AO192" s="7">
        <v>0</v>
      </c>
      <c r="AP192" s="7">
        <v>0</v>
      </c>
      <c r="AQ192" s="7">
        <f>AP192+AO192+AN192</f>
        <v>0</v>
      </c>
      <c r="AR192" s="7">
        <v>0</v>
      </c>
      <c r="AS192" s="7">
        <v>0</v>
      </c>
      <c r="AT192" s="7">
        <v>0</v>
      </c>
      <c r="AU192" s="7">
        <f>AT192+AS192+AR192</f>
        <v>0</v>
      </c>
      <c r="AV192" s="7">
        <v>0</v>
      </c>
      <c r="AW192" s="7">
        <v>0</v>
      </c>
      <c r="AX192" s="7">
        <v>0</v>
      </c>
      <c r="AY192" s="7">
        <f>AX192+AW192+AV192</f>
        <v>0</v>
      </c>
      <c r="AZ192" s="8">
        <f>AY192*5%</f>
        <v>0</v>
      </c>
      <c r="BA192" s="8"/>
      <c r="BB192" s="8">
        <f>AZ192-BA192</f>
        <v>0</v>
      </c>
      <c r="BC192" s="8">
        <f>BB192+AY192</f>
        <v>0</v>
      </c>
      <c r="BD192" s="8"/>
      <c r="BE192" s="8">
        <f>BD192+BC192</f>
        <v>0</v>
      </c>
      <c r="BF192" s="10">
        <f>BE192-AY192</f>
        <v>0</v>
      </c>
      <c r="BG192" s="11">
        <f>BF192-BB192</f>
        <v>0</v>
      </c>
      <c r="BH192" s="319">
        <v>0</v>
      </c>
      <c r="BI192" s="319">
        <v>0</v>
      </c>
      <c r="BJ192" s="319">
        <v>0</v>
      </c>
      <c r="BK192" s="319">
        <f>BJ192+BI192+BH192</f>
        <v>0</v>
      </c>
      <c r="BL192" s="319"/>
      <c r="BM192" s="319">
        <v>0</v>
      </c>
      <c r="BN192" s="319">
        <v>0</v>
      </c>
      <c r="BO192" s="319">
        <f>BN192+BM192+BL192</f>
        <v>0</v>
      </c>
      <c r="BP192" s="319">
        <f>BO192-BK192</f>
        <v>0</v>
      </c>
      <c r="BQ192" s="319">
        <v>0</v>
      </c>
      <c r="BR192" s="319">
        <v>0</v>
      </c>
      <c r="BS192" s="319">
        <v>0</v>
      </c>
      <c r="BT192" s="319">
        <f>BS192+BR192+BQ192</f>
        <v>0</v>
      </c>
      <c r="BU192" s="319">
        <f>BT192-BO192</f>
        <v>0</v>
      </c>
      <c r="BV192" s="319">
        <v>0</v>
      </c>
      <c r="BW192" s="319">
        <v>0</v>
      </c>
      <c r="BX192" s="319">
        <v>0</v>
      </c>
      <c r="BY192" s="319">
        <f>BX192+BW192+BV192</f>
        <v>0</v>
      </c>
      <c r="BZ192" s="319">
        <f>BY192-BT192</f>
        <v>0</v>
      </c>
      <c r="CA192" s="319">
        <v>0</v>
      </c>
      <c r="CB192" s="319">
        <v>0</v>
      </c>
      <c r="CC192" s="319">
        <v>0</v>
      </c>
      <c r="CD192" s="319">
        <f>CC192+CB192+CA192</f>
        <v>0</v>
      </c>
      <c r="CE192" s="319">
        <f>CD192-BY192</f>
        <v>0</v>
      </c>
      <c r="CF192" s="319">
        <v>0</v>
      </c>
      <c r="CG192" s="319">
        <v>0</v>
      </c>
      <c r="CH192" s="319">
        <v>0</v>
      </c>
      <c r="CI192" s="319">
        <f>CH192+CG192+CF192</f>
        <v>0</v>
      </c>
      <c r="CJ192" s="319">
        <f>CI192-CD192</f>
        <v>0</v>
      </c>
      <c r="CK192" s="319">
        <v>0</v>
      </c>
      <c r="CL192" s="319">
        <v>0</v>
      </c>
      <c r="CM192" s="319">
        <v>0</v>
      </c>
      <c r="CN192" s="319">
        <f t="shared" si="906"/>
        <v>0</v>
      </c>
      <c r="CO192" s="319">
        <f t="shared" si="907"/>
        <v>0</v>
      </c>
      <c r="CP192" s="319">
        <v>0</v>
      </c>
      <c r="CQ192" s="319">
        <v>0</v>
      </c>
      <c r="CR192" s="319">
        <v>0</v>
      </c>
      <c r="CS192" s="319">
        <f t="shared" si="908"/>
        <v>0</v>
      </c>
      <c r="CT192" s="319">
        <f t="shared" si="909"/>
        <v>0</v>
      </c>
      <c r="CU192" s="319">
        <v>0</v>
      </c>
      <c r="CV192" s="319">
        <v>0</v>
      </c>
      <c r="CW192" s="319">
        <v>0</v>
      </c>
      <c r="CX192" s="319">
        <f t="shared" si="910"/>
        <v>0</v>
      </c>
      <c r="CY192" s="319">
        <f t="shared" si="911"/>
        <v>0</v>
      </c>
      <c r="CZ192" s="319"/>
      <c r="DA192" s="319"/>
      <c r="DB192" s="319"/>
      <c r="DC192" s="12">
        <f t="shared" si="935"/>
        <v>0</v>
      </c>
      <c r="DD192" s="12">
        <v>0</v>
      </c>
      <c r="DE192" s="13">
        <f t="shared" si="936"/>
        <v>0</v>
      </c>
      <c r="DF192" s="14">
        <f t="shared" si="912"/>
        <v>0</v>
      </c>
      <c r="DG192" s="13">
        <f t="shared" si="913"/>
        <v>0</v>
      </c>
      <c r="DH192" s="15">
        <f t="shared" si="914"/>
        <v>0</v>
      </c>
      <c r="DI192" s="16">
        <f t="shared" si="915"/>
        <v>0</v>
      </c>
      <c r="DJ192" s="132">
        <f t="shared" si="937"/>
        <v>0</v>
      </c>
      <c r="DK192" s="17">
        <f t="shared" si="938"/>
        <v>0</v>
      </c>
      <c r="DL192" s="17">
        <f t="shared" si="916"/>
        <v>0</v>
      </c>
      <c r="DM192" s="16">
        <f t="shared" si="939"/>
        <v>0</v>
      </c>
      <c r="DN192" s="16">
        <f t="shared" si="917"/>
        <v>0</v>
      </c>
      <c r="DO192" s="16">
        <f t="shared" si="940"/>
        <v>0</v>
      </c>
      <c r="DP192" s="16">
        <f t="shared" si="918"/>
        <v>0</v>
      </c>
      <c r="DQ192" s="9">
        <v>0</v>
      </c>
      <c r="DR192" s="18" t="s">
        <v>238</v>
      </c>
      <c r="DS192" s="18" t="s">
        <v>238</v>
      </c>
      <c r="DT192" s="324">
        <f t="shared" si="941"/>
        <v>0</v>
      </c>
      <c r="DU192" s="321">
        <f t="shared" si="942"/>
        <v>0</v>
      </c>
      <c r="DV192" s="19">
        <f t="shared" si="943"/>
        <v>0</v>
      </c>
      <c r="DW192" s="9"/>
      <c r="DX192" s="18"/>
      <c r="DY192" s="18"/>
      <c r="DZ192" s="324">
        <f t="shared" si="944"/>
        <v>0</v>
      </c>
      <c r="EA192" s="321">
        <f t="shared" si="945"/>
        <v>0</v>
      </c>
      <c r="EB192" s="179">
        <f t="shared" si="919"/>
        <v>0</v>
      </c>
      <c r="EC192" s="9">
        <v>0</v>
      </c>
      <c r="ED192" s="9">
        <v>0</v>
      </c>
      <c r="EE192" s="9">
        <v>0</v>
      </c>
      <c r="EF192" s="324">
        <f t="shared" si="946"/>
        <v>0</v>
      </c>
      <c r="EG192" s="321">
        <f t="shared" si="947"/>
        <v>0</v>
      </c>
      <c r="EH192" s="179">
        <f t="shared" si="920"/>
        <v>0</v>
      </c>
      <c r="EI192" s="9">
        <v>0</v>
      </c>
      <c r="EJ192" s="9">
        <v>0</v>
      </c>
      <c r="EK192" s="9">
        <v>0</v>
      </c>
      <c r="EL192" s="324">
        <f t="shared" si="948"/>
        <v>0</v>
      </c>
      <c r="EM192" s="321">
        <f t="shared" si="949"/>
        <v>0</v>
      </c>
      <c r="EN192" s="179">
        <f t="shared" si="921"/>
        <v>0</v>
      </c>
      <c r="EO192" s="9">
        <v>0</v>
      </c>
      <c r="EP192" s="9">
        <v>0</v>
      </c>
      <c r="EQ192" s="9">
        <v>0</v>
      </c>
      <c r="ER192" s="324">
        <f t="shared" si="950"/>
        <v>0</v>
      </c>
      <c r="ES192" s="321">
        <f t="shared" si="951"/>
        <v>0</v>
      </c>
      <c r="ET192" s="179">
        <f t="shared" si="922"/>
        <v>0</v>
      </c>
      <c r="EU192" s="9">
        <v>0</v>
      </c>
      <c r="EV192" s="9">
        <v>0</v>
      </c>
      <c r="EW192" s="9">
        <v>0</v>
      </c>
      <c r="EX192" s="324">
        <f t="shared" si="952"/>
        <v>0</v>
      </c>
      <c r="EY192" s="321">
        <f t="shared" si="953"/>
        <v>0</v>
      </c>
      <c r="EZ192" s="179">
        <f t="shared" si="923"/>
        <v>0</v>
      </c>
      <c r="FA192" s="9">
        <v>0</v>
      </c>
      <c r="FB192" s="9">
        <v>0</v>
      </c>
      <c r="FC192" s="9">
        <v>0</v>
      </c>
      <c r="FD192" s="324">
        <f t="shared" si="954"/>
        <v>0</v>
      </c>
      <c r="FE192" s="321">
        <f t="shared" si="955"/>
        <v>0</v>
      </c>
      <c r="FF192" s="179">
        <f t="shared" si="924"/>
        <v>0</v>
      </c>
      <c r="FG192" s="18" t="s">
        <v>238</v>
      </c>
      <c r="FH192" s="18" t="s">
        <v>238</v>
      </c>
      <c r="FI192" s="18" t="s">
        <v>238</v>
      </c>
      <c r="FJ192" s="324">
        <f t="shared" si="956"/>
        <v>0</v>
      </c>
      <c r="FK192" s="321">
        <f t="shared" si="957"/>
        <v>0</v>
      </c>
      <c r="FL192" s="179">
        <f t="shared" si="925"/>
        <v>0</v>
      </c>
      <c r="FM192" s="18" t="s">
        <v>238</v>
      </c>
      <c r="FN192" s="18" t="s">
        <v>238</v>
      </c>
      <c r="FO192" s="18" t="s">
        <v>238</v>
      </c>
      <c r="FP192" s="324">
        <f t="shared" si="958"/>
        <v>0</v>
      </c>
      <c r="FQ192" s="321">
        <f t="shared" si="959"/>
        <v>0</v>
      </c>
      <c r="FR192" s="179">
        <f t="shared" si="926"/>
        <v>0</v>
      </c>
      <c r="FS192" s="18" t="s">
        <v>238</v>
      </c>
      <c r="FT192" s="18" t="s">
        <v>238</v>
      </c>
      <c r="FU192" s="18" t="s">
        <v>238</v>
      </c>
      <c r="FV192" s="324">
        <f t="shared" si="960"/>
        <v>0</v>
      </c>
      <c r="FW192" s="321">
        <f t="shared" si="961"/>
        <v>0</v>
      </c>
      <c r="FX192" s="179">
        <f t="shared" si="927"/>
        <v>0</v>
      </c>
      <c r="FY192" s="18" t="s">
        <v>238</v>
      </c>
      <c r="FZ192" s="18" t="s">
        <v>238</v>
      </c>
      <c r="GA192" s="18" t="s">
        <v>238</v>
      </c>
      <c r="GB192" s="324">
        <f t="shared" si="962"/>
        <v>0</v>
      </c>
      <c r="GC192" s="321">
        <f t="shared" si="963"/>
        <v>0</v>
      </c>
      <c r="GD192" s="179">
        <f t="shared" si="928"/>
        <v>0</v>
      </c>
      <c r="GE192" s="18" t="s">
        <v>238</v>
      </c>
      <c r="GF192" s="18" t="s">
        <v>238</v>
      </c>
      <c r="GG192" s="18" t="s">
        <v>238</v>
      </c>
      <c r="GH192" s="324">
        <f t="shared" si="964"/>
        <v>0</v>
      </c>
      <c r="GI192" s="321">
        <f t="shared" si="965"/>
        <v>0</v>
      </c>
      <c r="GJ192" s="179">
        <f t="shared" si="929"/>
        <v>0</v>
      </c>
      <c r="GK192" s="18" t="s">
        <v>238</v>
      </c>
      <c r="GL192" s="18" t="s">
        <v>238</v>
      </c>
      <c r="GM192" s="18" t="s">
        <v>238</v>
      </c>
      <c r="GN192" s="324">
        <f t="shared" si="966"/>
        <v>0</v>
      </c>
      <c r="GO192" s="321">
        <f t="shared" si="967"/>
        <v>0</v>
      </c>
      <c r="GP192" s="179">
        <f t="shared" si="930"/>
        <v>0</v>
      </c>
      <c r="GQ192" s="18" t="s">
        <v>238</v>
      </c>
      <c r="GR192" s="18" t="s">
        <v>238</v>
      </c>
      <c r="GS192" s="18" t="s">
        <v>238</v>
      </c>
      <c r="GT192" s="324">
        <f t="shared" si="968"/>
        <v>0</v>
      </c>
      <c r="GU192" s="321">
        <f t="shared" si="969"/>
        <v>0</v>
      </c>
      <c r="GV192" s="179">
        <f t="shared" si="931"/>
        <v>0</v>
      </c>
      <c r="GW192" s="18" t="s">
        <v>238</v>
      </c>
      <c r="GX192" s="18" t="s">
        <v>238</v>
      </c>
      <c r="GY192" s="18" t="s">
        <v>238</v>
      </c>
      <c r="GZ192" s="324">
        <f t="shared" si="970"/>
        <v>0</v>
      </c>
      <c r="HA192" s="321">
        <f t="shared" si="971"/>
        <v>0</v>
      </c>
      <c r="HB192" s="179">
        <f t="shared" si="932"/>
        <v>0</v>
      </c>
      <c r="HC192" s="102">
        <f t="shared" si="933"/>
        <v>0</v>
      </c>
      <c r="HD192" s="285">
        <f t="shared" si="972"/>
        <v>0</v>
      </c>
      <c r="HE192" s="12">
        <f t="shared" si="973"/>
        <v>0</v>
      </c>
      <c r="HF192" s="12">
        <f t="shared" si="934"/>
        <v>0</v>
      </c>
      <c r="HG192" s="12">
        <f t="shared" si="974"/>
        <v>0</v>
      </c>
      <c r="HH192" s="14">
        <f t="shared" si="975"/>
        <v>0</v>
      </c>
      <c r="HI192" s="13">
        <f t="shared" si="976"/>
        <v>0</v>
      </c>
      <c r="HJ192" s="102">
        <f t="shared" si="977"/>
        <v>0</v>
      </c>
      <c r="HK192" s="16">
        <f t="shared" si="978"/>
        <v>0</v>
      </c>
      <c r="HL192" s="103">
        <f t="shared" si="979"/>
        <v>0</v>
      </c>
      <c r="HM192" s="103">
        <f t="shared" si="980"/>
        <v>0</v>
      </c>
      <c r="HN192" s="17">
        <f t="shared" si="981"/>
        <v>0</v>
      </c>
      <c r="HO192" s="56">
        <f t="shared" si="982"/>
        <v>0</v>
      </c>
      <c r="HP192" s="16">
        <f t="shared" si="983"/>
        <v>0</v>
      </c>
      <c r="HQ192" s="16">
        <f t="shared" si="984"/>
        <v>0</v>
      </c>
      <c r="HR192" s="16">
        <f t="shared" si="985"/>
        <v>0</v>
      </c>
    </row>
    <row r="193" spans="1:226" x14ac:dyDescent="0.3">
      <c r="A193" s="326">
        <v>8</v>
      </c>
      <c r="B193" s="106"/>
      <c r="C193" s="326" t="s">
        <v>292</v>
      </c>
      <c r="D193" s="21" t="s">
        <v>75</v>
      </c>
      <c r="E193" s="4"/>
      <c r="F193" s="4"/>
      <c r="G193" s="4"/>
      <c r="H193" s="325"/>
      <c r="I193" s="325">
        <v>0</v>
      </c>
      <c r="J193" s="325"/>
      <c r="K193" s="325"/>
      <c r="L193" s="325">
        <v>0</v>
      </c>
      <c r="M193" s="6">
        <v>0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0</v>
      </c>
      <c r="T193" s="6">
        <v>0</v>
      </c>
      <c r="U193" s="7">
        <f t="shared" si="888"/>
        <v>0</v>
      </c>
      <c r="V193" s="7">
        <f t="shared" si="889"/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f t="shared" si="890"/>
        <v>0</v>
      </c>
      <c r="AF193" s="7">
        <v>0</v>
      </c>
      <c r="AG193" s="7">
        <v>0</v>
      </c>
      <c r="AH193" s="7">
        <v>0</v>
      </c>
      <c r="AI193" s="7">
        <f t="shared" si="891"/>
        <v>0</v>
      </c>
      <c r="AJ193" s="7">
        <v>0</v>
      </c>
      <c r="AK193" s="7">
        <v>0</v>
      </c>
      <c r="AL193" s="7">
        <v>0</v>
      </c>
      <c r="AM193" s="7">
        <f t="shared" si="892"/>
        <v>0</v>
      </c>
      <c r="AN193" s="7">
        <v>0</v>
      </c>
      <c r="AO193" s="7">
        <v>0</v>
      </c>
      <c r="AP193" s="7">
        <v>0</v>
      </c>
      <c r="AQ193" s="7">
        <f t="shared" si="893"/>
        <v>0</v>
      </c>
      <c r="AR193" s="7">
        <v>0</v>
      </c>
      <c r="AS193" s="7">
        <v>0</v>
      </c>
      <c r="AT193" s="7">
        <v>0</v>
      </c>
      <c r="AU193" s="7">
        <f t="shared" si="894"/>
        <v>0</v>
      </c>
      <c r="AV193" s="7">
        <v>0</v>
      </c>
      <c r="AW193" s="7">
        <v>0</v>
      </c>
      <c r="AX193" s="7">
        <v>0</v>
      </c>
      <c r="AY193" s="7">
        <f t="shared" si="895"/>
        <v>0</v>
      </c>
      <c r="AZ193" s="8">
        <f t="shared" si="986"/>
        <v>0</v>
      </c>
      <c r="BA193" s="8"/>
      <c r="BB193" s="8">
        <f t="shared" si="987"/>
        <v>0</v>
      </c>
      <c r="BC193" s="8">
        <f t="shared" si="988"/>
        <v>0</v>
      </c>
      <c r="BD193" s="8"/>
      <c r="BE193" s="8">
        <f t="shared" si="989"/>
        <v>0</v>
      </c>
      <c r="BF193" s="10">
        <f t="shared" si="990"/>
        <v>0</v>
      </c>
      <c r="BG193" s="11">
        <f t="shared" si="991"/>
        <v>0</v>
      </c>
      <c r="BH193" s="319">
        <v>0</v>
      </c>
      <c r="BI193" s="319">
        <v>0</v>
      </c>
      <c r="BJ193" s="319">
        <v>0</v>
      </c>
      <c r="BK193" s="319">
        <f t="shared" si="896"/>
        <v>0</v>
      </c>
      <c r="BL193" s="319"/>
      <c r="BM193" s="319">
        <v>0</v>
      </c>
      <c r="BN193" s="319">
        <v>0</v>
      </c>
      <c r="BO193" s="319">
        <f t="shared" si="897"/>
        <v>0</v>
      </c>
      <c r="BP193" s="319">
        <f t="shared" si="992"/>
        <v>0</v>
      </c>
      <c r="BQ193" s="319">
        <v>0</v>
      </c>
      <c r="BR193" s="319">
        <v>0</v>
      </c>
      <c r="BS193" s="319">
        <v>0</v>
      </c>
      <c r="BT193" s="319">
        <f t="shared" si="898"/>
        <v>0</v>
      </c>
      <c r="BU193" s="319">
        <f t="shared" si="899"/>
        <v>0</v>
      </c>
      <c r="BV193" s="319">
        <v>0</v>
      </c>
      <c r="BW193" s="319">
        <v>0</v>
      </c>
      <c r="BX193" s="319">
        <v>0</v>
      </c>
      <c r="BY193" s="319">
        <f t="shared" si="900"/>
        <v>0</v>
      </c>
      <c r="BZ193" s="319">
        <f t="shared" si="901"/>
        <v>0</v>
      </c>
      <c r="CA193" s="319">
        <v>0</v>
      </c>
      <c r="CB193" s="319">
        <v>0</v>
      </c>
      <c r="CC193" s="319">
        <v>0</v>
      </c>
      <c r="CD193" s="319">
        <f t="shared" si="902"/>
        <v>0</v>
      </c>
      <c r="CE193" s="319">
        <f t="shared" si="903"/>
        <v>0</v>
      </c>
      <c r="CF193" s="319">
        <v>0</v>
      </c>
      <c r="CG193" s="319">
        <v>0</v>
      </c>
      <c r="CH193" s="319">
        <v>0</v>
      </c>
      <c r="CI193" s="319">
        <f t="shared" si="904"/>
        <v>0</v>
      </c>
      <c r="CJ193" s="319">
        <f t="shared" si="905"/>
        <v>0</v>
      </c>
      <c r="CK193" s="319">
        <v>0</v>
      </c>
      <c r="CL193" s="319">
        <v>0</v>
      </c>
      <c r="CM193" s="319">
        <v>0</v>
      </c>
      <c r="CN193" s="319">
        <f t="shared" si="906"/>
        <v>0</v>
      </c>
      <c r="CO193" s="319">
        <f t="shared" si="907"/>
        <v>0</v>
      </c>
      <c r="CP193" s="319">
        <v>0</v>
      </c>
      <c r="CQ193" s="319">
        <v>0</v>
      </c>
      <c r="CR193" s="319">
        <v>0</v>
      </c>
      <c r="CS193" s="319">
        <f t="shared" si="908"/>
        <v>0</v>
      </c>
      <c r="CT193" s="319">
        <f t="shared" si="909"/>
        <v>0</v>
      </c>
      <c r="CU193" s="319">
        <v>0</v>
      </c>
      <c r="CV193" s="319">
        <v>0</v>
      </c>
      <c r="CW193" s="319">
        <v>0</v>
      </c>
      <c r="CX193" s="319">
        <f t="shared" si="910"/>
        <v>0</v>
      </c>
      <c r="CY193" s="319">
        <f t="shared" si="911"/>
        <v>0</v>
      </c>
      <c r="CZ193" s="319"/>
      <c r="DA193" s="319"/>
      <c r="DB193" s="319"/>
      <c r="DC193" s="12">
        <f t="shared" si="935"/>
        <v>0</v>
      </c>
      <c r="DD193" s="12">
        <v>0</v>
      </c>
      <c r="DE193" s="13">
        <f t="shared" si="936"/>
        <v>0</v>
      </c>
      <c r="DF193" s="14">
        <f t="shared" si="912"/>
        <v>0</v>
      </c>
      <c r="DG193" s="13">
        <f t="shared" si="913"/>
        <v>0</v>
      </c>
      <c r="DH193" s="15">
        <f t="shared" si="914"/>
        <v>0</v>
      </c>
      <c r="DI193" s="16">
        <f t="shared" si="915"/>
        <v>0</v>
      </c>
      <c r="DJ193" s="132">
        <f t="shared" si="937"/>
        <v>0</v>
      </c>
      <c r="DK193" s="17">
        <f t="shared" si="938"/>
        <v>0</v>
      </c>
      <c r="DL193" s="17">
        <f t="shared" si="916"/>
        <v>0</v>
      </c>
      <c r="DM193" s="16">
        <f t="shared" si="939"/>
        <v>0</v>
      </c>
      <c r="DN193" s="16">
        <f t="shared" si="917"/>
        <v>0</v>
      </c>
      <c r="DO193" s="16">
        <f t="shared" si="940"/>
        <v>0</v>
      </c>
      <c r="DP193" s="16">
        <f t="shared" si="918"/>
        <v>0</v>
      </c>
      <c r="DQ193" s="9">
        <v>0</v>
      </c>
      <c r="DR193" s="18" t="s">
        <v>238</v>
      </c>
      <c r="DS193" s="18" t="s">
        <v>238</v>
      </c>
      <c r="DT193" s="324">
        <f t="shared" si="941"/>
        <v>0</v>
      </c>
      <c r="DU193" s="321">
        <f t="shared" si="942"/>
        <v>0</v>
      </c>
      <c r="DV193" s="19">
        <f t="shared" si="943"/>
        <v>0</v>
      </c>
      <c r="DW193" s="9"/>
      <c r="DX193" s="18"/>
      <c r="DY193" s="18"/>
      <c r="DZ193" s="324">
        <f t="shared" si="944"/>
        <v>0</v>
      </c>
      <c r="EA193" s="321">
        <f t="shared" si="945"/>
        <v>0</v>
      </c>
      <c r="EB193" s="179">
        <f t="shared" si="919"/>
        <v>0</v>
      </c>
      <c r="EC193" s="9">
        <v>0</v>
      </c>
      <c r="ED193" s="9">
        <v>0</v>
      </c>
      <c r="EE193" s="9">
        <v>0</v>
      </c>
      <c r="EF193" s="324">
        <f t="shared" si="946"/>
        <v>0</v>
      </c>
      <c r="EG193" s="321">
        <f t="shared" si="947"/>
        <v>0</v>
      </c>
      <c r="EH193" s="179">
        <f t="shared" si="920"/>
        <v>0</v>
      </c>
      <c r="EI193" s="9">
        <v>0</v>
      </c>
      <c r="EJ193" s="9">
        <v>0</v>
      </c>
      <c r="EK193" s="9">
        <v>0</v>
      </c>
      <c r="EL193" s="324">
        <f t="shared" si="948"/>
        <v>0</v>
      </c>
      <c r="EM193" s="321">
        <f t="shared" si="949"/>
        <v>0</v>
      </c>
      <c r="EN193" s="179">
        <f t="shared" si="921"/>
        <v>0</v>
      </c>
      <c r="EO193" s="9">
        <v>0</v>
      </c>
      <c r="EP193" s="9">
        <v>0</v>
      </c>
      <c r="EQ193" s="9">
        <v>0</v>
      </c>
      <c r="ER193" s="324">
        <f t="shared" si="950"/>
        <v>0</v>
      </c>
      <c r="ES193" s="321">
        <f t="shared" si="951"/>
        <v>0</v>
      </c>
      <c r="ET193" s="179">
        <f t="shared" si="922"/>
        <v>0</v>
      </c>
      <c r="EU193" s="9">
        <v>0</v>
      </c>
      <c r="EV193" s="9">
        <v>0</v>
      </c>
      <c r="EW193" s="9">
        <v>0</v>
      </c>
      <c r="EX193" s="324">
        <f t="shared" si="952"/>
        <v>0</v>
      </c>
      <c r="EY193" s="321">
        <f t="shared" si="953"/>
        <v>0</v>
      </c>
      <c r="EZ193" s="179">
        <f t="shared" si="923"/>
        <v>0</v>
      </c>
      <c r="FA193" s="9">
        <v>0</v>
      </c>
      <c r="FB193" s="9">
        <v>0</v>
      </c>
      <c r="FC193" s="9">
        <v>0</v>
      </c>
      <c r="FD193" s="324">
        <f t="shared" si="954"/>
        <v>0</v>
      </c>
      <c r="FE193" s="321">
        <f t="shared" si="955"/>
        <v>0</v>
      </c>
      <c r="FF193" s="179">
        <f t="shared" si="924"/>
        <v>0</v>
      </c>
      <c r="FG193" s="18" t="s">
        <v>238</v>
      </c>
      <c r="FH193" s="18" t="s">
        <v>238</v>
      </c>
      <c r="FI193" s="18" t="s">
        <v>238</v>
      </c>
      <c r="FJ193" s="324">
        <f t="shared" si="956"/>
        <v>0</v>
      </c>
      <c r="FK193" s="321">
        <f t="shared" si="957"/>
        <v>0</v>
      </c>
      <c r="FL193" s="179">
        <f t="shared" si="925"/>
        <v>0</v>
      </c>
      <c r="FM193" s="18" t="s">
        <v>238</v>
      </c>
      <c r="FN193" s="18" t="s">
        <v>238</v>
      </c>
      <c r="FO193" s="18" t="s">
        <v>238</v>
      </c>
      <c r="FP193" s="324">
        <f t="shared" si="958"/>
        <v>0</v>
      </c>
      <c r="FQ193" s="321">
        <f t="shared" si="959"/>
        <v>0</v>
      </c>
      <c r="FR193" s="179">
        <f t="shared" si="926"/>
        <v>0</v>
      </c>
      <c r="FS193" s="18" t="s">
        <v>238</v>
      </c>
      <c r="FT193" s="18" t="s">
        <v>238</v>
      </c>
      <c r="FU193" s="18" t="s">
        <v>238</v>
      </c>
      <c r="FV193" s="324">
        <f t="shared" si="960"/>
        <v>0</v>
      </c>
      <c r="FW193" s="321">
        <f t="shared" si="961"/>
        <v>0</v>
      </c>
      <c r="FX193" s="179">
        <f t="shared" si="927"/>
        <v>0</v>
      </c>
      <c r="FY193" s="18" t="s">
        <v>238</v>
      </c>
      <c r="FZ193" s="18" t="s">
        <v>238</v>
      </c>
      <c r="GA193" s="18" t="s">
        <v>238</v>
      </c>
      <c r="GB193" s="324">
        <f t="shared" si="962"/>
        <v>0</v>
      </c>
      <c r="GC193" s="321">
        <f t="shared" si="963"/>
        <v>0</v>
      </c>
      <c r="GD193" s="179">
        <f t="shared" si="928"/>
        <v>0</v>
      </c>
      <c r="GE193" s="18" t="s">
        <v>238</v>
      </c>
      <c r="GF193" s="18" t="s">
        <v>238</v>
      </c>
      <c r="GG193" s="18" t="s">
        <v>238</v>
      </c>
      <c r="GH193" s="324">
        <f t="shared" si="964"/>
        <v>0</v>
      </c>
      <c r="GI193" s="321">
        <f t="shared" si="965"/>
        <v>0</v>
      </c>
      <c r="GJ193" s="179">
        <f t="shared" si="929"/>
        <v>0</v>
      </c>
      <c r="GK193" s="18" t="s">
        <v>238</v>
      </c>
      <c r="GL193" s="18" t="s">
        <v>238</v>
      </c>
      <c r="GM193" s="18" t="s">
        <v>238</v>
      </c>
      <c r="GN193" s="324">
        <f t="shared" si="966"/>
        <v>0</v>
      </c>
      <c r="GO193" s="321">
        <f t="shared" si="967"/>
        <v>0</v>
      </c>
      <c r="GP193" s="179">
        <f t="shared" si="930"/>
        <v>0</v>
      </c>
      <c r="GQ193" s="18" t="s">
        <v>238</v>
      </c>
      <c r="GR193" s="18" t="s">
        <v>238</v>
      </c>
      <c r="GS193" s="18" t="s">
        <v>238</v>
      </c>
      <c r="GT193" s="324">
        <f t="shared" si="968"/>
        <v>0</v>
      </c>
      <c r="GU193" s="321">
        <f t="shared" si="969"/>
        <v>0</v>
      </c>
      <c r="GV193" s="179">
        <f t="shared" si="931"/>
        <v>0</v>
      </c>
      <c r="GW193" s="18" t="s">
        <v>238</v>
      </c>
      <c r="GX193" s="18" t="s">
        <v>238</v>
      </c>
      <c r="GY193" s="18" t="s">
        <v>238</v>
      </c>
      <c r="GZ193" s="324">
        <f t="shared" si="970"/>
        <v>0</v>
      </c>
      <c r="HA193" s="321">
        <f t="shared" si="971"/>
        <v>0</v>
      </c>
      <c r="HB193" s="179">
        <f t="shared" si="932"/>
        <v>0</v>
      </c>
      <c r="HC193" s="102">
        <f t="shared" si="933"/>
        <v>0</v>
      </c>
      <c r="HD193" s="285">
        <f t="shared" si="972"/>
        <v>0</v>
      </c>
      <c r="HE193" s="12">
        <f t="shared" si="973"/>
        <v>0</v>
      </c>
      <c r="HF193" s="12">
        <f t="shared" si="934"/>
        <v>0</v>
      </c>
      <c r="HG193" s="12">
        <f t="shared" si="974"/>
        <v>0</v>
      </c>
      <c r="HH193" s="14">
        <f t="shared" si="975"/>
        <v>0</v>
      </c>
      <c r="HI193" s="13">
        <f t="shared" si="976"/>
        <v>0</v>
      </c>
      <c r="HJ193" s="102">
        <f t="shared" si="977"/>
        <v>0</v>
      </c>
      <c r="HK193" s="16">
        <f t="shared" si="978"/>
        <v>0</v>
      </c>
      <c r="HL193" s="103">
        <f t="shared" si="979"/>
        <v>0</v>
      </c>
      <c r="HM193" s="103">
        <f t="shared" si="980"/>
        <v>0</v>
      </c>
      <c r="HN193" s="17">
        <f t="shared" si="981"/>
        <v>0</v>
      </c>
      <c r="HO193" s="56">
        <f t="shared" si="982"/>
        <v>0</v>
      </c>
      <c r="HP193" s="16">
        <f t="shared" si="983"/>
        <v>0</v>
      </c>
      <c r="HQ193" s="16">
        <f t="shared" si="984"/>
        <v>0</v>
      </c>
      <c r="HR193" s="16">
        <f t="shared" si="985"/>
        <v>0</v>
      </c>
    </row>
    <row r="194" spans="1:226" x14ac:dyDescent="0.3">
      <c r="A194" s="140"/>
      <c r="B194" s="140"/>
      <c r="C194" s="140"/>
      <c r="D194" s="141" t="s">
        <v>216</v>
      </c>
      <c r="E194" s="121">
        <f t="shared" ref="E194:BP194" si="993">SUM(E186:E193)</f>
        <v>0</v>
      </c>
      <c r="F194" s="121">
        <f t="shared" si="993"/>
        <v>0</v>
      </c>
      <c r="G194" s="121">
        <f t="shared" si="993"/>
        <v>0</v>
      </c>
      <c r="H194" s="121">
        <f t="shared" si="993"/>
        <v>0</v>
      </c>
      <c r="I194" s="121">
        <f t="shared" si="993"/>
        <v>32259446</v>
      </c>
      <c r="J194" s="121">
        <f t="shared" si="993"/>
        <v>0</v>
      </c>
      <c r="K194" s="121">
        <f t="shared" si="993"/>
        <v>0</v>
      </c>
      <c r="L194" s="121">
        <f t="shared" si="993"/>
        <v>32259446</v>
      </c>
      <c r="M194" s="121">
        <f t="shared" si="993"/>
        <v>32259446</v>
      </c>
      <c r="N194" s="121">
        <f t="shared" si="993"/>
        <v>32259446</v>
      </c>
      <c r="O194" s="121">
        <f t="shared" si="993"/>
        <v>32259446</v>
      </c>
      <c r="P194" s="121">
        <f t="shared" si="993"/>
        <v>32259446</v>
      </c>
      <c r="Q194" s="121">
        <f t="shared" si="993"/>
        <v>32259446</v>
      </c>
      <c r="R194" s="121">
        <f t="shared" si="993"/>
        <v>32259446</v>
      </c>
      <c r="S194" s="121">
        <f t="shared" si="993"/>
        <v>32259446</v>
      </c>
      <c r="T194" s="121">
        <f t="shared" si="993"/>
        <v>32119446</v>
      </c>
      <c r="U194" s="121">
        <f t="shared" si="993"/>
        <v>1605972.2999999998</v>
      </c>
      <c r="V194" s="121">
        <f t="shared" si="993"/>
        <v>33725418.299999997</v>
      </c>
      <c r="W194" s="121">
        <f t="shared" si="993"/>
        <v>33732414</v>
      </c>
      <c r="X194" s="121">
        <f t="shared" si="993"/>
        <v>33732414</v>
      </c>
      <c r="Y194" s="121">
        <f t="shared" si="993"/>
        <v>33732414</v>
      </c>
      <c r="Z194" s="121">
        <f t="shared" si="993"/>
        <v>33732414</v>
      </c>
      <c r="AA194" s="121">
        <f t="shared" si="993"/>
        <v>9320269</v>
      </c>
      <c r="AB194" s="121">
        <f t="shared" si="993"/>
        <v>0</v>
      </c>
      <c r="AC194" s="121">
        <f t="shared" si="993"/>
        <v>0</v>
      </c>
      <c r="AD194" s="121">
        <f t="shared" si="993"/>
        <v>0</v>
      </c>
      <c r="AE194" s="121">
        <f t="shared" si="993"/>
        <v>0</v>
      </c>
      <c r="AF194" s="121">
        <f t="shared" si="993"/>
        <v>0</v>
      </c>
      <c r="AG194" s="121">
        <f t="shared" si="993"/>
        <v>0</v>
      </c>
      <c r="AH194" s="121">
        <f t="shared" si="993"/>
        <v>0</v>
      </c>
      <c r="AI194" s="121">
        <f t="shared" si="993"/>
        <v>0</v>
      </c>
      <c r="AJ194" s="121">
        <f t="shared" si="993"/>
        <v>0</v>
      </c>
      <c r="AK194" s="121">
        <f t="shared" si="993"/>
        <v>0</v>
      </c>
      <c r="AL194" s="121">
        <f t="shared" si="993"/>
        <v>0</v>
      </c>
      <c r="AM194" s="121">
        <f t="shared" si="993"/>
        <v>0</v>
      </c>
      <c r="AN194" s="121">
        <f t="shared" si="993"/>
        <v>0</v>
      </c>
      <c r="AO194" s="121">
        <f t="shared" si="993"/>
        <v>0</v>
      </c>
      <c r="AP194" s="121">
        <f t="shared" si="993"/>
        <v>0</v>
      </c>
      <c r="AQ194" s="121">
        <f t="shared" si="993"/>
        <v>0</v>
      </c>
      <c r="AR194" s="121">
        <f t="shared" si="993"/>
        <v>0</v>
      </c>
      <c r="AS194" s="121">
        <f t="shared" si="993"/>
        <v>0</v>
      </c>
      <c r="AT194" s="121">
        <f t="shared" si="993"/>
        <v>0</v>
      </c>
      <c r="AU194" s="121">
        <f t="shared" si="993"/>
        <v>0</v>
      </c>
      <c r="AV194" s="121">
        <f t="shared" si="993"/>
        <v>0</v>
      </c>
      <c r="AW194" s="121">
        <f t="shared" si="993"/>
        <v>0</v>
      </c>
      <c r="AX194" s="121">
        <f t="shared" si="993"/>
        <v>0</v>
      </c>
      <c r="AY194" s="121">
        <f t="shared" si="993"/>
        <v>0</v>
      </c>
      <c r="AZ194" s="121">
        <f t="shared" si="993"/>
        <v>0</v>
      </c>
      <c r="BA194" s="121">
        <f t="shared" si="993"/>
        <v>0</v>
      </c>
      <c r="BB194" s="121">
        <f t="shared" si="993"/>
        <v>0</v>
      </c>
      <c r="BC194" s="121">
        <f t="shared" si="993"/>
        <v>0</v>
      </c>
      <c r="BD194" s="121">
        <f t="shared" si="993"/>
        <v>0</v>
      </c>
      <c r="BE194" s="121">
        <f t="shared" si="993"/>
        <v>0</v>
      </c>
      <c r="BF194" s="121">
        <f t="shared" si="993"/>
        <v>0</v>
      </c>
      <c r="BG194" s="121">
        <f t="shared" si="993"/>
        <v>0</v>
      </c>
      <c r="BH194" s="121">
        <f t="shared" si="993"/>
        <v>0</v>
      </c>
      <c r="BI194" s="121">
        <f t="shared" si="993"/>
        <v>0</v>
      </c>
      <c r="BJ194" s="121">
        <f t="shared" si="993"/>
        <v>0</v>
      </c>
      <c r="BK194" s="121">
        <f t="shared" si="993"/>
        <v>0</v>
      </c>
      <c r="BL194" s="121">
        <f t="shared" si="993"/>
        <v>0</v>
      </c>
      <c r="BM194" s="121">
        <f t="shared" si="993"/>
        <v>0</v>
      </c>
      <c r="BN194" s="121">
        <f t="shared" si="993"/>
        <v>0</v>
      </c>
      <c r="BO194" s="121">
        <f t="shared" si="993"/>
        <v>0</v>
      </c>
      <c r="BP194" s="121">
        <f t="shared" si="993"/>
        <v>0</v>
      </c>
      <c r="BQ194" s="121">
        <f t="shared" ref="BQ194:EB194" si="994">SUM(BQ186:BQ193)</f>
        <v>0</v>
      </c>
      <c r="BR194" s="121">
        <f t="shared" si="994"/>
        <v>0</v>
      </c>
      <c r="BS194" s="121">
        <f t="shared" si="994"/>
        <v>0</v>
      </c>
      <c r="BT194" s="121">
        <f t="shared" si="994"/>
        <v>0</v>
      </c>
      <c r="BU194" s="121">
        <f t="shared" si="994"/>
        <v>0</v>
      </c>
      <c r="BV194" s="121">
        <f t="shared" si="994"/>
        <v>0</v>
      </c>
      <c r="BW194" s="121">
        <f t="shared" si="994"/>
        <v>0</v>
      </c>
      <c r="BX194" s="121">
        <f t="shared" si="994"/>
        <v>0</v>
      </c>
      <c r="BY194" s="121">
        <f t="shared" si="994"/>
        <v>0</v>
      </c>
      <c r="BZ194" s="121">
        <f t="shared" si="994"/>
        <v>0</v>
      </c>
      <c r="CA194" s="121">
        <f t="shared" si="994"/>
        <v>0</v>
      </c>
      <c r="CB194" s="121">
        <f t="shared" si="994"/>
        <v>0</v>
      </c>
      <c r="CC194" s="121">
        <f t="shared" si="994"/>
        <v>0</v>
      </c>
      <c r="CD194" s="121">
        <f t="shared" si="994"/>
        <v>0</v>
      </c>
      <c r="CE194" s="121">
        <f t="shared" si="994"/>
        <v>0</v>
      </c>
      <c r="CF194" s="121">
        <f t="shared" si="994"/>
        <v>0</v>
      </c>
      <c r="CG194" s="121">
        <f t="shared" si="994"/>
        <v>0</v>
      </c>
      <c r="CH194" s="121">
        <f t="shared" si="994"/>
        <v>0</v>
      </c>
      <c r="CI194" s="121">
        <f t="shared" si="994"/>
        <v>0</v>
      </c>
      <c r="CJ194" s="121">
        <f t="shared" si="994"/>
        <v>0</v>
      </c>
      <c r="CK194" s="121">
        <f t="shared" si="994"/>
        <v>0</v>
      </c>
      <c r="CL194" s="121">
        <f t="shared" si="994"/>
        <v>0</v>
      </c>
      <c r="CM194" s="121">
        <f t="shared" si="994"/>
        <v>0</v>
      </c>
      <c r="CN194" s="121">
        <f t="shared" si="994"/>
        <v>0</v>
      </c>
      <c r="CO194" s="121">
        <f t="shared" si="994"/>
        <v>0</v>
      </c>
      <c r="CP194" s="121">
        <f t="shared" si="994"/>
        <v>0</v>
      </c>
      <c r="CQ194" s="121">
        <f t="shared" si="994"/>
        <v>0</v>
      </c>
      <c r="CR194" s="121">
        <f t="shared" si="994"/>
        <v>0</v>
      </c>
      <c r="CS194" s="121">
        <f t="shared" si="994"/>
        <v>0</v>
      </c>
      <c r="CT194" s="121">
        <f t="shared" si="994"/>
        <v>0</v>
      </c>
      <c r="CU194" s="121">
        <f t="shared" si="994"/>
        <v>0</v>
      </c>
      <c r="CV194" s="121">
        <f t="shared" si="994"/>
        <v>0</v>
      </c>
      <c r="CW194" s="121">
        <f t="shared" si="994"/>
        <v>0</v>
      </c>
      <c r="CX194" s="121">
        <f t="shared" si="994"/>
        <v>0</v>
      </c>
      <c r="CY194" s="121">
        <f t="shared" si="994"/>
        <v>0</v>
      </c>
      <c r="CZ194" s="121">
        <f t="shared" si="994"/>
        <v>0</v>
      </c>
      <c r="DA194" s="121">
        <f t="shared" si="994"/>
        <v>0</v>
      </c>
      <c r="DB194" s="121">
        <f t="shared" si="994"/>
        <v>0</v>
      </c>
      <c r="DC194" s="121">
        <f t="shared" si="994"/>
        <v>0</v>
      </c>
      <c r="DD194" s="121">
        <f t="shared" si="994"/>
        <v>0</v>
      </c>
      <c r="DE194" s="121">
        <f t="shared" si="994"/>
        <v>0</v>
      </c>
      <c r="DF194" s="121">
        <f t="shared" si="994"/>
        <v>0</v>
      </c>
      <c r="DG194" s="121">
        <f t="shared" si="994"/>
        <v>0</v>
      </c>
      <c r="DH194" s="121">
        <f t="shared" si="994"/>
        <v>0</v>
      </c>
      <c r="DI194" s="121">
        <f t="shared" si="994"/>
        <v>0</v>
      </c>
      <c r="DJ194" s="121">
        <f t="shared" si="994"/>
        <v>0</v>
      </c>
      <c r="DK194" s="121">
        <f t="shared" si="994"/>
        <v>0</v>
      </c>
      <c r="DL194" s="121">
        <f t="shared" si="994"/>
        <v>0</v>
      </c>
      <c r="DM194" s="121">
        <f t="shared" si="994"/>
        <v>0</v>
      </c>
      <c r="DN194" s="121">
        <f t="shared" si="994"/>
        <v>0</v>
      </c>
      <c r="DO194" s="121">
        <f t="shared" si="994"/>
        <v>0</v>
      </c>
      <c r="DP194" s="121">
        <f t="shared" si="994"/>
        <v>0</v>
      </c>
      <c r="DQ194" s="121">
        <f t="shared" si="994"/>
        <v>0</v>
      </c>
      <c r="DR194" s="121">
        <f t="shared" si="994"/>
        <v>0</v>
      </c>
      <c r="DS194" s="121">
        <f t="shared" si="994"/>
        <v>0</v>
      </c>
      <c r="DT194" s="121">
        <f t="shared" si="994"/>
        <v>0</v>
      </c>
      <c r="DU194" s="121">
        <f t="shared" si="994"/>
        <v>0</v>
      </c>
      <c r="DV194" s="121">
        <f t="shared" si="994"/>
        <v>0</v>
      </c>
      <c r="DW194" s="121">
        <f t="shared" si="994"/>
        <v>0</v>
      </c>
      <c r="DX194" s="121">
        <f t="shared" si="994"/>
        <v>0</v>
      </c>
      <c r="DY194" s="121">
        <f t="shared" si="994"/>
        <v>0</v>
      </c>
      <c r="DZ194" s="121">
        <f t="shared" si="994"/>
        <v>0</v>
      </c>
      <c r="EA194" s="121">
        <f t="shared" si="994"/>
        <v>0</v>
      </c>
      <c r="EB194" s="121">
        <f t="shared" si="994"/>
        <v>0</v>
      </c>
      <c r="EC194" s="121">
        <f t="shared" ref="EC194:FL194" si="995">SUM(EC186:EC193)</f>
        <v>0</v>
      </c>
      <c r="ED194" s="121">
        <f t="shared" si="995"/>
        <v>0</v>
      </c>
      <c r="EE194" s="121">
        <f t="shared" si="995"/>
        <v>0</v>
      </c>
      <c r="EF194" s="121">
        <f t="shared" si="995"/>
        <v>0</v>
      </c>
      <c r="EG194" s="121">
        <f t="shared" si="995"/>
        <v>0</v>
      </c>
      <c r="EH194" s="121">
        <f t="shared" si="995"/>
        <v>0</v>
      </c>
      <c r="EI194" s="121">
        <f t="shared" si="995"/>
        <v>0</v>
      </c>
      <c r="EJ194" s="121">
        <f t="shared" si="995"/>
        <v>0</v>
      </c>
      <c r="EK194" s="121">
        <f t="shared" si="995"/>
        <v>0</v>
      </c>
      <c r="EL194" s="121">
        <f t="shared" si="995"/>
        <v>0</v>
      </c>
      <c r="EM194" s="121">
        <f t="shared" si="995"/>
        <v>0</v>
      </c>
      <c r="EN194" s="121">
        <f t="shared" si="995"/>
        <v>0</v>
      </c>
      <c r="EO194" s="121">
        <f t="shared" si="995"/>
        <v>0</v>
      </c>
      <c r="EP194" s="121">
        <f t="shared" si="995"/>
        <v>0</v>
      </c>
      <c r="EQ194" s="121">
        <f t="shared" si="995"/>
        <v>0</v>
      </c>
      <c r="ER194" s="121">
        <f t="shared" si="995"/>
        <v>0</v>
      </c>
      <c r="ES194" s="121">
        <f t="shared" si="995"/>
        <v>0</v>
      </c>
      <c r="ET194" s="121">
        <f t="shared" si="995"/>
        <v>0</v>
      </c>
      <c r="EU194" s="121">
        <f t="shared" si="995"/>
        <v>0</v>
      </c>
      <c r="EV194" s="121">
        <f t="shared" si="995"/>
        <v>0</v>
      </c>
      <c r="EW194" s="121">
        <f t="shared" si="995"/>
        <v>0</v>
      </c>
      <c r="EX194" s="121">
        <f t="shared" si="995"/>
        <v>0</v>
      </c>
      <c r="EY194" s="121">
        <f t="shared" si="995"/>
        <v>0</v>
      </c>
      <c r="EZ194" s="121">
        <f t="shared" si="995"/>
        <v>0</v>
      </c>
      <c r="FA194" s="121">
        <f t="shared" si="995"/>
        <v>0</v>
      </c>
      <c r="FB194" s="121">
        <f t="shared" si="995"/>
        <v>0</v>
      </c>
      <c r="FC194" s="121">
        <f t="shared" si="995"/>
        <v>0</v>
      </c>
      <c r="FD194" s="121">
        <f t="shared" si="995"/>
        <v>0</v>
      </c>
      <c r="FE194" s="121">
        <f t="shared" si="995"/>
        <v>0</v>
      </c>
      <c r="FF194" s="121">
        <f t="shared" si="995"/>
        <v>0</v>
      </c>
      <c r="FG194" s="121">
        <f t="shared" si="995"/>
        <v>0</v>
      </c>
      <c r="FH194" s="121">
        <f t="shared" si="995"/>
        <v>0</v>
      </c>
      <c r="FI194" s="121">
        <f t="shared" si="995"/>
        <v>0</v>
      </c>
      <c r="FJ194" s="121">
        <f t="shared" si="995"/>
        <v>0</v>
      </c>
      <c r="FK194" s="121">
        <f t="shared" si="995"/>
        <v>0</v>
      </c>
      <c r="FL194" s="121">
        <f t="shared" si="995"/>
        <v>0</v>
      </c>
      <c r="FM194" s="121">
        <f t="shared" ref="FM194:FR194" si="996">SUM(FM186:FM193)</f>
        <v>0</v>
      </c>
      <c r="FN194" s="121">
        <f t="shared" si="996"/>
        <v>0</v>
      </c>
      <c r="FO194" s="121">
        <f t="shared" si="996"/>
        <v>0</v>
      </c>
      <c r="FP194" s="121">
        <f t="shared" si="996"/>
        <v>0</v>
      </c>
      <c r="FQ194" s="121">
        <f t="shared" si="996"/>
        <v>0</v>
      </c>
      <c r="FR194" s="121">
        <f t="shared" si="996"/>
        <v>0</v>
      </c>
      <c r="FS194" s="121">
        <f t="shared" ref="FS194:FX194" si="997">SUM(FS186:FS193)</f>
        <v>0</v>
      </c>
      <c r="FT194" s="121">
        <f t="shared" si="997"/>
        <v>0</v>
      </c>
      <c r="FU194" s="121">
        <f t="shared" si="997"/>
        <v>0</v>
      </c>
      <c r="FV194" s="121">
        <f t="shared" si="997"/>
        <v>0</v>
      </c>
      <c r="FW194" s="121">
        <f t="shared" si="997"/>
        <v>0</v>
      </c>
      <c r="FX194" s="121">
        <f t="shared" si="997"/>
        <v>0</v>
      </c>
      <c r="FY194" s="121">
        <f t="shared" ref="FY194:GD194" si="998">SUM(FY186:FY193)</f>
        <v>0</v>
      </c>
      <c r="FZ194" s="121">
        <f t="shared" si="998"/>
        <v>0</v>
      </c>
      <c r="GA194" s="121">
        <f t="shared" si="998"/>
        <v>0</v>
      </c>
      <c r="GB194" s="121">
        <f t="shared" si="998"/>
        <v>0</v>
      </c>
      <c r="GC194" s="121">
        <f t="shared" si="998"/>
        <v>0</v>
      </c>
      <c r="GD194" s="121">
        <f t="shared" si="998"/>
        <v>0</v>
      </c>
      <c r="GE194" s="121">
        <f t="shared" ref="GE194:GJ194" si="999">SUM(GE186:GE193)</f>
        <v>0</v>
      </c>
      <c r="GF194" s="121">
        <f t="shared" si="999"/>
        <v>0</v>
      </c>
      <c r="GG194" s="121">
        <f t="shared" si="999"/>
        <v>0</v>
      </c>
      <c r="GH194" s="121">
        <f t="shared" si="999"/>
        <v>0</v>
      </c>
      <c r="GI194" s="121">
        <f t="shared" si="999"/>
        <v>0</v>
      </c>
      <c r="GJ194" s="121">
        <f t="shared" si="999"/>
        <v>0</v>
      </c>
      <c r="GK194" s="121">
        <f t="shared" ref="GK194:GP194" si="1000">SUM(GK186:GK193)</f>
        <v>0</v>
      </c>
      <c r="GL194" s="121">
        <f t="shared" si="1000"/>
        <v>0</v>
      </c>
      <c r="GM194" s="121">
        <f t="shared" si="1000"/>
        <v>0</v>
      </c>
      <c r="GN194" s="121">
        <f t="shared" si="1000"/>
        <v>0</v>
      </c>
      <c r="GO194" s="121">
        <f t="shared" si="1000"/>
        <v>0</v>
      </c>
      <c r="GP194" s="121">
        <f t="shared" si="1000"/>
        <v>0</v>
      </c>
      <c r="GQ194" s="121">
        <f t="shared" ref="GQ194:GV194" si="1001">SUM(GQ186:GQ193)</f>
        <v>0</v>
      </c>
      <c r="GR194" s="121">
        <f t="shared" si="1001"/>
        <v>0</v>
      </c>
      <c r="GS194" s="121">
        <f t="shared" si="1001"/>
        <v>0</v>
      </c>
      <c r="GT194" s="121">
        <f t="shared" si="1001"/>
        <v>0</v>
      </c>
      <c r="GU194" s="121">
        <f t="shared" si="1001"/>
        <v>0</v>
      </c>
      <c r="GV194" s="121">
        <f t="shared" si="1001"/>
        <v>0</v>
      </c>
      <c r="GW194" s="121">
        <f t="shared" ref="GW194:HB194" si="1002">SUM(GW186:GW193)</f>
        <v>0</v>
      </c>
      <c r="GX194" s="121">
        <f t="shared" si="1002"/>
        <v>0</v>
      </c>
      <c r="GY194" s="121">
        <f t="shared" si="1002"/>
        <v>0</v>
      </c>
      <c r="GZ194" s="121">
        <f t="shared" si="1002"/>
        <v>0</v>
      </c>
      <c r="HA194" s="121">
        <f t="shared" si="1002"/>
        <v>0</v>
      </c>
      <c r="HB194" s="121">
        <f t="shared" si="1002"/>
        <v>0</v>
      </c>
      <c r="HC194" s="121">
        <f>SUM(HC186:HC193)</f>
        <v>0</v>
      </c>
    </row>
    <row r="195" spans="1:226" x14ac:dyDescent="0.3">
      <c r="A195" s="98"/>
      <c r="B195" s="98"/>
      <c r="C195" s="98"/>
      <c r="D195" s="99"/>
      <c r="E195" s="108"/>
      <c r="F195" s="108"/>
      <c r="G195" s="108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127">
        <f>AY194*10*5%</f>
        <v>0</v>
      </c>
      <c r="AZ195" s="20"/>
      <c r="BA195" s="20"/>
      <c r="BB195" s="20"/>
      <c r="BC195" s="20"/>
      <c r="BD195" s="20"/>
      <c r="BE195" s="20"/>
      <c r="BF195" s="100"/>
      <c r="BG195" s="100"/>
      <c r="BH195" s="100"/>
      <c r="BI195" s="100"/>
      <c r="BJ195" s="100"/>
      <c r="BK195" s="100"/>
      <c r="BL195" s="100"/>
      <c r="BM195" s="100"/>
      <c r="BN195" s="100"/>
      <c r="BO195" s="100"/>
      <c r="BP195" s="100"/>
      <c r="BQ195" s="100"/>
      <c r="BR195" s="100"/>
      <c r="BS195" s="100"/>
      <c r="BT195" s="100"/>
      <c r="BU195" s="100"/>
      <c r="BV195" s="100"/>
      <c r="BW195" s="100"/>
      <c r="BX195" s="100"/>
      <c r="BY195" s="100"/>
      <c r="BZ195" s="100"/>
      <c r="CA195" s="100"/>
      <c r="CB195" s="100"/>
      <c r="CC195" s="100"/>
      <c r="CD195" s="100"/>
      <c r="CE195" s="100"/>
      <c r="CF195" s="100"/>
      <c r="CG195" s="100"/>
      <c r="CH195" s="100"/>
      <c r="CI195" s="100"/>
      <c r="CJ195" s="100"/>
      <c r="CK195" s="100"/>
      <c r="CL195" s="100"/>
      <c r="CM195" s="100"/>
      <c r="CN195" s="100"/>
      <c r="CO195" s="100"/>
      <c r="CP195" s="100"/>
      <c r="CQ195" s="100"/>
      <c r="CR195" s="100"/>
      <c r="CS195" s="100"/>
      <c r="CT195" s="100"/>
      <c r="CU195" s="100"/>
      <c r="CV195" s="100"/>
      <c r="CW195" s="100"/>
      <c r="CX195" s="100"/>
      <c r="CY195" s="100"/>
      <c r="CZ195" s="100"/>
      <c r="DA195" s="100"/>
      <c r="DB195" s="100"/>
      <c r="DC195" s="100"/>
      <c r="DD195" s="100"/>
      <c r="DE195" s="100"/>
      <c r="DF195" s="100"/>
      <c r="DG195" s="100"/>
      <c r="DH195" s="114"/>
    </row>
    <row r="196" spans="1:226" x14ac:dyDescent="0.3">
      <c r="A196" s="98"/>
      <c r="B196" s="98"/>
      <c r="C196" s="98"/>
      <c r="D196" s="99"/>
      <c r="E196" s="108"/>
      <c r="F196" s="108"/>
      <c r="G196" s="108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  <c r="BE196" s="20"/>
      <c r="BF196" s="100"/>
      <c r="BG196" s="100"/>
      <c r="BH196" s="100"/>
      <c r="BI196" s="100"/>
      <c r="BJ196" s="100"/>
      <c r="BK196" s="100"/>
      <c r="BL196" s="100"/>
      <c r="BM196" s="100"/>
      <c r="BN196" s="100"/>
      <c r="BO196" s="100"/>
      <c r="BP196" s="100"/>
      <c r="BQ196" s="100"/>
      <c r="BR196" s="100"/>
      <c r="BS196" s="100"/>
      <c r="BT196" s="100"/>
      <c r="BU196" s="100"/>
      <c r="BV196" s="100"/>
      <c r="BW196" s="100"/>
      <c r="BX196" s="100"/>
      <c r="BY196" s="100"/>
      <c r="BZ196" s="100"/>
      <c r="CA196" s="100"/>
      <c r="CB196" s="100"/>
      <c r="CC196" s="100"/>
      <c r="CD196" s="100"/>
      <c r="CE196" s="100"/>
      <c r="CF196" s="100"/>
      <c r="CG196" s="100"/>
      <c r="CH196" s="100"/>
      <c r="CI196" s="100"/>
      <c r="CJ196" s="100"/>
      <c r="CK196" s="100"/>
      <c r="CL196" s="100"/>
      <c r="CM196" s="100"/>
      <c r="CN196" s="100"/>
      <c r="CO196" s="100"/>
      <c r="CP196" s="100"/>
      <c r="CQ196" s="100"/>
      <c r="CR196" s="100"/>
      <c r="CS196" s="100"/>
      <c r="CT196" s="100"/>
      <c r="CU196" s="100"/>
      <c r="CV196" s="100"/>
      <c r="CW196" s="100"/>
      <c r="CX196" s="100"/>
      <c r="CY196" s="100"/>
      <c r="CZ196" s="100"/>
      <c r="DA196" s="100"/>
      <c r="DB196" s="100"/>
      <c r="DC196" s="100"/>
      <c r="DD196" s="100"/>
      <c r="DE196" s="100"/>
      <c r="DF196" s="100"/>
      <c r="DG196" s="100"/>
      <c r="DH196" s="114"/>
    </row>
    <row r="197" spans="1:226" s="74" customFormat="1" ht="52.5" customHeight="1" x14ac:dyDescent="0.3">
      <c r="A197" s="85" t="s">
        <v>0</v>
      </c>
      <c r="B197" s="85" t="s">
        <v>1</v>
      </c>
      <c r="C197" s="85" t="s">
        <v>217</v>
      </c>
      <c r="D197" s="86" t="s">
        <v>218</v>
      </c>
      <c r="E197" s="87" t="s">
        <v>233</v>
      </c>
      <c r="F197" s="87" t="s">
        <v>234</v>
      </c>
      <c r="G197" s="87" t="s">
        <v>235</v>
      </c>
      <c r="H197" s="87" t="s">
        <v>383</v>
      </c>
      <c r="I197" s="87" t="s">
        <v>382</v>
      </c>
      <c r="J197" s="87" t="s">
        <v>381</v>
      </c>
      <c r="K197" s="87" t="s">
        <v>380</v>
      </c>
      <c r="L197" s="87" t="s">
        <v>379</v>
      </c>
      <c r="M197" s="87" t="s">
        <v>378</v>
      </c>
      <c r="N197" s="87" t="s">
        <v>377</v>
      </c>
      <c r="O197" s="87" t="s">
        <v>394</v>
      </c>
      <c r="P197" s="87" t="s">
        <v>413</v>
      </c>
      <c r="Q197" s="87" t="s">
        <v>415</v>
      </c>
      <c r="R197" s="87" t="s">
        <v>417</v>
      </c>
      <c r="S197" s="87" t="s">
        <v>420</v>
      </c>
      <c r="T197" s="87" t="s">
        <v>421</v>
      </c>
      <c r="U197" s="87" t="s">
        <v>425</v>
      </c>
      <c r="V197" s="87" t="s">
        <v>426</v>
      </c>
      <c r="W197" s="87" t="s">
        <v>424</v>
      </c>
      <c r="X197" s="87" t="s">
        <v>437</v>
      </c>
      <c r="Y197" s="87" t="s">
        <v>439</v>
      </c>
      <c r="Z197" s="87" t="s">
        <v>447</v>
      </c>
      <c r="AA197" s="87" t="s">
        <v>458</v>
      </c>
      <c r="AB197" s="420" t="s">
        <v>459</v>
      </c>
      <c r="AC197" s="422"/>
      <c r="AD197" s="422"/>
      <c r="AE197" s="421"/>
      <c r="AF197" s="433" t="s">
        <v>462</v>
      </c>
      <c r="AG197" s="434"/>
      <c r="AH197" s="434"/>
      <c r="AI197" s="435"/>
      <c r="AJ197" s="420" t="s">
        <v>466</v>
      </c>
      <c r="AK197" s="422"/>
      <c r="AL197" s="422"/>
      <c r="AM197" s="421"/>
      <c r="AN197" s="433" t="s">
        <v>470</v>
      </c>
      <c r="AO197" s="434"/>
      <c r="AP197" s="434"/>
      <c r="AQ197" s="435"/>
      <c r="AR197" s="420" t="s">
        <v>478</v>
      </c>
      <c r="AS197" s="422"/>
      <c r="AT197" s="422"/>
      <c r="AU197" s="421"/>
      <c r="AV197" s="433" t="s">
        <v>483</v>
      </c>
      <c r="AW197" s="434"/>
      <c r="AX197" s="434"/>
      <c r="AY197" s="435"/>
      <c r="AZ197" s="436" t="s">
        <v>503</v>
      </c>
      <c r="BA197" s="436" t="s">
        <v>488</v>
      </c>
      <c r="BB197" s="436" t="s">
        <v>489</v>
      </c>
      <c r="BC197" s="436" t="s">
        <v>423</v>
      </c>
      <c r="BD197" s="436" t="s">
        <v>507</v>
      </c>
      <c r="BE197" s="436" t="s">
        <v>531</v>
      </c>
      <c r="BF197" s="437" t="s">
        <v>508</v>
      </c>
      <c r="BG197" s="437" t="s">
        <v>509</v>
      </c>
      <c r="BH197" s="420" t="s">
        <v>532</v>
      </c>
      <c r="BI197" s="422"/>
      <c r="BJ197" s="422"/>
      <c r="BK197" s="421"/>
      <c r="BL197" s="433" t="s">
        <v>539</v>
      </c>
      <c r="BM197" s="434"/>
      <c r="BN197" s="434"/>
      <c r="BO197" s="435"/>
      <c r="BP197" s="438" t="s">
        <v>538</v>
      </c>
      <c r="BQ197" s="420" t="s">
        <v>542</v>
      </c>
      <c r="BR197" s="422"/>
      <c r="BS197" s="422"/>
      <c r="BT197" s="421"/>
      <c r="BU197" s="438" t="s">
        <v>541</v>
      </c>
      <c r="BV197" s="420" t="s">
        <v>552</v>
      </c>
      <c r="BW197" s="422"/>
      <c r="BX197" s="422"/>
      <c r="BY197" s="421"/>
      <c r="BZ197" s="438" t="s">
        <v>553</v>
      </c>
      <c r="CA197" s="420" t="s">
        <v>578</v>
      </c>
      <c r="CB197" s="422"/>
      <c r="CC197" s="422"/>
      <c r="CD197" s="421"/>
      <c r="CE197" s="438" t="s">
        <v>579</v>
      </c>
      <c r="CF197" s="420" t="s">
        <v>581</v>
      </c>
      <c r="CG197" s="422"/>
      <c r="CH197" s="422"/>
      <c r="CI197" s="421"/>
      <c r="CJ197" s="438" t="s">
        <v>580</v>
      </c>
      <c r="CK197" s="420" t="s">
        <v>585</v>
      </c>
      <c r="CL197" s="422"/>
      <c r="CM197" s="422"/>
      <c r="CN197" s="421"/>
      <c r="CO197" s="438" t="s">
        <v>580</v>
      </c>
      <c r="CP197" s="420" t="s">
        <v>587</v>
      </c>
      <c r="CQ197" s="422"/>
      <c r="CR197" s="422"/>
      <c r="CS197" s="421"/>
      <c r="CT197" s="438" t="s">
        <v>588</v>
      </c>
      <c r="CU197" s="420" t="s">
        <v>590</v>
      </c>
      <c r="CV197" s="422"/>
      <c r="CW197" s="422"/>
      <c r="CX197" s="421"/>
      <c r="CY197" s="438" t="s">
        <v>591</v>
      </c>
      <c r="CZ197" s="294"/>
      <c r="DA197" s="294"/>
      <c r="DB197" s="294"/>
      <c r="DC197" s="95" t="s">
        <v>602</v>
      </c>
      <c r="DD197" s="95" t="s">
        <v>488</v>
      </c>
      <c r="DE197" s="95" t="s">
        <v>489</v>
      </c>
      <c r="DF197" s="95" t="s">
        <v>603</v>
      </c>
      <c r="DG197" s="95" t="s">
        <v>423</v>
      </c>
      <c r="DH197" s="85" t="s">
        <v>2</v>
      </c>
      <c r="DI197" s="427" t="s">
        <v>613</v>
      </c>
      <c r="DJ197" s="427"/>
      <c r="DK197" s="427"/>
      <c r="DL197" s="427"/>
      <c r="DM197" s="427"/>
      <c r="DN197" s="427"/>
      <c r="DO197" s="427"/>
      <c r="DP197" s="427"/>
      <c r="DQ197" s="423" t="s">
        <v>614</v>
      </c>
      <c r="DR197" s="424"/>
      <c r="DS197" s="424"/>
      <c r="DT197" s="424"/>
      <c r="DU197" s="425"/>
      <c r="DV197" s="87" t="s">
        <v>615</v>
      </c>
      <c r="DW197" s="423" t="s">
        <v>623</v>
      </c>
      <c r="DX197" s="424"/>
      <c r="DY197" s="424"/>
      <c r="DZ197" s="424"/>
      <c r="EA197" s="425"/>
      <c r="EB197" s="87" t="s">
        <v>624</v>
      </c>
      <c r="EC197" s="423" t="s">
        <v>627</v>
      </c>
      <c r="ED197" s="424"/>
      <c r="EE197" s="424"/>
      <c r="EF197" s="424"/>
      <c r="EG197" s="425"/>
      <c r="EH197" s="87" t="s">
        <v>628</v>
      </c>
      <c r="EI197" s="423" t="s">
        <v>631</v>
      </c>
      <c r="EJ197" s="424"/>
      <c r="EK197" s="424"/>
      <c r="EL197" s="424"/>
      <c r="EM197" s="425"/>
      <c r="EN197" s="87" t="s">
        <v>632</v>
      </c>
      <c r="EO197" s="423" t="s">
        <v>638</v>
      </c>
      <c r="EP197" s="424"/>
      <c r="EQ197" s="424"/>
      <c r="ER197" s="424"/>
      <c r="ES197" s="425"/>
      <c r="ET197" s="87" t="s">
        <v>637</v>
      </c>
      <c r="EU197" s="423" t="s">
        <v>641</v>
      </c>
      <c r="EV197" s="424"/>
      <c r="EW197" s="424"/>
      <c r="EX197" s="424"/>
      <c r="EY197" s="425"/>
      <c r="EZ197" s="87" t="s">
        <v>642</v>
      </c>
      <c r="FA197" s="423" t="s">
        <v>645</v>
      </c>
      <c r="FB197" s="424"/>
      <c r="FC197" s="424"/>
      <c r="FD197" s="424"/>
      <c r="FE197" s="425"/>
      <c r="FF197" s="87" t="s">
        <v>646</v>
      </c>
      <c r="FG197" s="423" t="s">
        <v>653</v>
      </c>
      <c r="FH197" s="424"/>
      <c r="FI197" s="424"/>
      <c r="FJ197" s="424"/>
      <c r="FK197" s="425"/>
      <c r="FL197" s="87" t="s">
        <v>654</v>
      </c>
      <c r="FM197" s="423" t="s">
        <v>662</v>
      </c>
      <c r="FN197" s="424"/>
      <c r="FO197" s="424"/>
      <c r="FP197" s="424"/>
      <c r="FQ197" s="425"/>
      <c r="FR197" s="87" t="s">
        <v>657</v>
      </c>
      <c r="FS197" s="423" t="s">
        <v>661</v>
      </c>
      <c r="FT197" s="424"/>
      <c r="FU197" s="424"/>
      <c r="FV197" s="424"/>
      <c r="FW197" s="425"/>
      <c r="FX197" s="87" t="s">
        <v>663</v>
      </c>
      <c r="FY197" s="423" t="s">
        <v>665</v>
      </c>
      <c r="FZ197" s="424"/>
      <c r="GA197" s="424"/>
      <c r="GB197" s="424"/>
      <c r="GC197" s="425"/>
      <c r="GD197" s="87" t="s">
        <v>666</v>
      </c>
      <c r="GE197" s="423" t="s">
        <v>668</v>
      </c>
      <c r="GF197" s="424"/>
      <c r="GG197" s="424"/>
      <c r="GH197" s="424"/>
      <c r="GI197" s="425"/>
      <c r="GJ197" s="87" t="s">
        <v>669</v>
      </c>
      <c r="GK197" s="423" t="s">
        <v>671</v>
      </c>
      <c r="GL197" s="424"/>
      <c r="GM197" s="424"/>
      <c r="GN197" s="424"/>
      <c r="GO197" s="425"/>
      <c r="GP197" s="87" t="s">
        <v>672</v>
      </c>
      <c r="GQ197" s="423" t="s">
        <v>674</v>
      </c>
      <c r="GR197" s="424"/>
      <c r="GS197" s="424"/>
      <c r="GT197" s="424"/>
      <c r="GU197" s="425"/>
      <c r="GV197" s="87" t="s">
        <v>675</v>
      </c>
      <c r="GW197" s="423" t="s">
        <v>696</v>
      </c>
      <c r="GX197" s="424"/>
      <c r="GY197" s="424"/>
      <c r="GZ197" s="424"/>
      <c r="HA197" s="425"/>
      <c r="HB197" s="87" t="s">
        <v>697</v>
      </c>
      <c r="HC197" s="85" t="s">
        <v>2</v>
      </c>
      <c r="HD197" s="6"/>
      <c r="HE197" s="439" t="s">
        <v>678</v>
      </c>
      <c r="HF197" s="439"/>
      <c r="HG197" s="439"/>
      <c r="HH197" s="439"/>
      <c r="HI197" s="439"/>
      <c r="HJ197" s="85" t="s">
        <v>2</v>
      </c>
      <c r="HK197" s="593" t="s">
        <v>698</v>
      </c>
      <c r="HL197" s="594"/>
      <c r="HM197" s="594"/>
      <c r="HN197" s="594"/>
      <c r="HO197" s="594"/>
      <c r="HP197" s="594"/>
      <c r="HQ197" s="594"/>
      <c r="HR197" s="594"/>
    </row>
    <row r="198" spans="1:226" s="74" customFormat="1" ht="30.6" x14ac:dyDescent="0.3">
      <c r="A198" s="85"/>
      <c r="B198" s="446" t="s">
        <v>567</v>
      </c>
      <c r="C198" s="441"/>
      <c r="D198" s="442"/>
      <c r="E198" s="87"/>
      <c r="F198" s="87"/>
      <c r="G198" s="87"/>
      <c r="H198" s="88"/>
      <c r="I198" s="88"/>
      <c r="J198" s="294"/>
      <c r="K198" s="88"/>
      <c r="L198" s="87"/>
      <c r="M198" s="87"/>
      <c r="N198" s="87"/>
      <c r="O198" s="294"/>
      <c r="P198" s="294"/>
      <c r="Q198" s="294"/>
      <c r="R198" s="294"/>
      <c r="S198" s="294"/>
      <c r="T198" s="294"/>
      <c r="U198" s="294"/>
      <c r="V198" s="294"/>
      <c r="W198" s="294"/>
      <c r="X198" s="294"/>
      <c r="Y198" s="294"/>
      <c r="Z198" s="294"/>
      <c r="AA198" s="294"/>
      <c r="AB198" s="112" t="s">
        <v>234</v>
      </c>
      <c r="AC198" s="112" t="s">
        <v>454</v>
      </c>
      <c r="AD198" s="112" t="s">
        <v>455</v>
      </c>
      <c r="AE198" s="112" t="s">
        <v>456</v>
      </c>
      <c r="AF198" s="14" t="s">
        <v>234</v>
      </c>
      <c r="AG198" s="14" t="s">
        <v>454</v>
      </c>
      <c r="AH198" s="14" t="s">
        <v>455</v>
      </c>
      <c r="AI198" s="14" t="s">
        <v>456</v>
      </c>
      <c r="AJ198" s="112" t="s">
        <v>234</v>
      </c>
      <c r="AK198" s="112" t="s">
        <v>454</v>
      </c>
      <c r="AL198" s="112" t="s">
        <v>455</v>
      </c>
      <c r="AM198" s="112" t="s">
        <v>456</v>
      </c>
      <c r="AN198" s="14" t="s">
        <v>234</v>
      </c>
      <c r="AO198" s="14" t="s">
        <v>454</v>
      </c>
      <c r="AP198" s="14" t="s">
        <v>455</v>
      </c>
      <c r="AQ198" s="14" t="s">
        <v>456</v>
      </c>
      <c r="AR198" s="112" t="s">
        <v>234</v>
      </c>
      <c r="AS198" s="112" t="s">
        <v>454</v>
      </c>
      <c r="AT198" s="112" t="s">
        <v>455</v>
      </c>
      <c r="AU198" s="112" t="s">
        <v>456</v>
      </c>
      <c r="AV198" s="14" t="s">
        <v>234</v>
      </c>
      <c r="AW198" s="14" t="s">
        <v>454</v>
      </c>
      <c r="AX198" s="14" t="s">
        <v>455</v>
      </c>
      <c r="AY198" s="14" t="s">
        <v>456</v>
      </c>
      <c r="AZ198" s="443"/>
      <c r="BA198" s="443"/>
      <c r="BB198" s="443"/>
      <c r="BC198" s="443"/>
      <c r="BD198" s="443"/>
      <c r="BE198" s="443"/>
      <c r="BF198" s="444"/>
      <c r="BG198" s="444"/>
      <c r="BH198" s="112" t="s">
        <v>234</v>
      </c>
      <c r="BI198" s="112" t="s">
        <v>454</v>
      </c>
      <c r="BJ198" s="112" t="s">
        <v>455</v>
      </c>
      <c r="BK198" s="112" t="s">
        <v>456</v>
      </c>
      <c r="BL198" s="14" t="s">
        <v>234</v>
      </c>
      <c r="BM198" s="14" t="s">
        <v>454</v>
      </c>
      <c r="BN198" s="14" t="s">
        <v>455</v>
      </c>
      <c r="BO198" s="14" t="s">
        <v>456</v>
      </c>
      <c r="BP198" s="445"/>
      <c r="BQ198" s="112" t="s">
        <v>234</v>
      </c>
      <c r="BR198" s="112" t="s">
        <v>454</v>
      </c>
      <c r="BS198" s="112" t="s">
        <v>455</v>
      </c>
      <c r="BT198" s="112" t="s">
        <v>456</v>
      </c>
      <c r="BU198" s="445"/>
      <c r="BV198" s="112" t="s">
        <v>234</v>
      </c>
      <c r="BW198" s="112" t="s">
        <v>454</v>
      </c>
      <c r="BX198" s="112" t="s">
        <v>455</v>
      </c>
      <c r="BY198" s="112" t="s">
        <v>456</v>
      </c>
      <c r="BZ198" s="445"/>
      <c r="CA198" s="112" t="s">
        <v>234</v>
      </c>
      <c r="CB198" s="112" t="s">
        <v>454</v>
      </c>
      <c r="CC198" s="112" t="s">
        <v>455</v>
      </c>
      <c r="CD198" s="112" t="s">
        <v>456</v>
      </c>
      <c r="CE198" s="445"/>
      <c r="CF198" s="112" t="s">
        <v>234</v>
      </c>
      <c r="CG198" s="112" t="s">
        <v>454</v>
      </c>
      <c r="CH198" s="112" t="s">
        <v>455</v>
      </c>
      <c r="CI198" s="112" t="s">
        <v>456</v>
      </c>
      <c r="CJ198" s="445"/>
      <c r="CK198" s="112" t="s">
        <v>234</v>
      </c>
      <c r="CL198" s="112" t="s">
        <v>454</v>
      </c>
      <c r="CM198" s="112" t="s">
        <v>455</v>
      </c>
      <c r="CN198" s="112" t="s">
        <v>456</v>
      </c>
      <c r="CO198" s="445"/>
      <c r="CP198" s="112" t="s">
        <v>234</v>
      </c>
      <c r="CQ198" s="112" t="s">
        <v>454</v>
      </c>
      <c r="CR198" s="112" t="s">
        <v>455</v>
      </c>
      <c r="CS198" s="112" t="s">
        <v>456</v>
      </c>
      <c r="CT198" s="445"/>
      <c r="CU198" s="112" t="s">
        <v>234</v>
      </c>
      <c r="CV198" s="112" t="s">
        <v>454</v>
      </c>
      <c r="CW198" s="112" t="s">
        <v>455</v>
      </c>
      <c r="CX198" s="112" t="s">
        <v>456</v>
      </c>
      <c r="CY198" s="445"/>
      <c r="CZ198" s="295"/>
      <c r="DA198" s="295"/>
      <c r="DB198" s="295"/>
      <c r="DC198" s="95" t="s">
        <v>602</v>
      </c>
      <c r="DD198" s="95" t="s">
        <v>488</v>
      </c>
      <c r="DE198" s="95" t="s">
        <v>489</v>
      </c>
      <c r="DF198" s="95" t="s">
        <v>603</v>
      </c>
      <c r="DG198" s="95" t="s">
        <v>423</v>
      </c>
      <c r="DH198" s="89"/>
      <c r="DI198" s="90" t="s">
        <v>604</v>
      </c>
      <c r="DJ198" s="91" t="s">
        <v>605</v>
      </c>
      <c r="DK198" s="92" t="s">
        <v>606</v>
      </c>
      <c r="DL198" s="92" t="s">
        <v>607</v>
      </c>
      <c r="DM198" s="91" t="s">
        <v>608</v>
      </c>
      <c r="DN198" s="91" t="s">
        <v>609</v>
      </c>
      <c r="DO198" s="91" t="s">
        <v>611</v>
      </c>
      <c r="DP198" s="91" t="s">
        <v>610</v>
      </c>
      <c r="DQ198" s="112" t="s">
        <v>234</v>
      </c>
      <c r="DR198" s="112" t="s">
        <v>454</v>
      </c>
      <c r="DS198" s="112" t="s">
        <v>455</v>
      </c>
      <c r="DT198" s="93" t="s">
        <v>456</v>
      </c>
      <c r="DU198" s="94" t="s">
        <v>457</v>
      </c>
      <c r="DV198" s="87"/>
      <c r="DW198" s="112" t="s">
        <v>234</v>
      </c>
      <c r="DX198" s="112" t="s">
        <v>454</v>
      </c>
      <c r="DY198" s="112" t="s">
        <v>455</v>
      </c>
      <c r="DZ198" s="93" t="s">
        <v>456</v>
      </c>
      <c r="EA198" s="94" t="s">
        <v>457</v>
      </c>
      <c r="EB198" s="87"/>
      <c r="EC198" s="112" t="s">
        <v>234</v>
      </c>
      <c r="ED198" s="112" t="s">
        <v>454</v>
      </c>
      <c r="EE198" s="112" t="s">
        <v>455</v>
      </c>
      <c r="EF198" s="93" t="s">
        <v>456</v>
      </c>
      <c r="EG198" s="94" t="s">
        <v>457</v>
      </c>
      <c r="EH198" s="87"/>
      <c r="EI198" s="112" t="s">
        <v>234</v>
      </c>
      <c r="EJ198" s="112" t="s">
        <v>454</v>
      </c>
      <c r="EK198" s="112" t="s">
        <v>455</v>
      </c>
      <c r="EL198" s="93" t="s">
        <v>456</v>
      </c>
      <c r="EM198" s="94" t="s">
        <v>457</v>
      </c>
      <c r="EN198" s="87"/>
      <c r="EO198" s="112" t="s">
        <v>234</v>
      </c>
      <c r="EP198" s="112" t="s">
        <v>454</v>
      </c>
      <c r="EQ198" s="112" t="s">
        <v>455</v>
      </c>
      <c r="ER198" s="93" t="s">
        <v>456</v>
      </c>
      <c r="ES198" s="94" t="s">
        <v>457</v>
      </c>
      <c r="ET198" s="87"/>
      <c r="EU198" s="112" t="s">
        <v>234</v>
      </c>
      <c r="EV198" s="112" t="s">
        <v>454</v>
      </c>
      <c r="EW198" s="112" t="s">
        <v>455</v>
      </c>
      <c r="EX198" s="93" t="s">
        <v>456</v>
      </c>
      <c r="EY198" s="94" t="s">
        <v>457</v>
      </c>
      <c r="EZ198" s="87"/>
      <c r="FA198" s="112" t="s">
        <v>234</v>
      </c>
      <c r="FB198" s="112" t="s">
        <v>454</v>
      </c>
      <c r="FC198" s="112" t="s">
        <v>455</v>
      </c>
      <c r="FD198" s="93" t="s">
        <v>456</v>
      </c>
      <c r="FE198" s="94" t="s">
        <v>457</v>
      </c>
      <c r="FF198" s="87"/>
      <c r="FG198" s="112" t="s">
        <v>234</v>
      </c>
      <c r="FH198" s="112" t="s">
        <v>454</v>
      </c>
      <c r="FI198" s="112" t="s">
        <v>455</v>
      </c>
      <c r="FJ198" s="93" t="s">
        <v>456</v>
      </c>
      <c r="FK198" s="94" t="s">
        <v>457</v>
      </c>
      <c r="FL198" s="87"/>
      <c r="FM198" s="112" t="s">
        <v>234</v>
      </c>
      <c r="FN198" s="112" t="s">
        <v>454</v>
      </c>
      <c r="FO198" s="112" t="s">
        <v>455</v>
      </c>
      <c r="FP198" s="93" t="s">
        <v>456</v>
      </c>
      <c r="FQ198" s="94" t="s">
        <v>457</v>
      </c>
      <c r="FR198" s="87"/>
      <c r="FS198" s="112" t="s">
        <v>234</v>
      </c>
      <c r="FT198" s="112" t="s">
        <v>454</v>
      </c>
      <c r="FU198" s="112" t="s">
        <v>455</v>
      </c>
      <c r="FV198" s="93" t="s">
        <v>456</v>
      </c>
      <c r="FW198" s="94" t="s">
        <v>457</v>
      </c>
      <c r="FX198" s="87"/>
      <c r="FY198" s="112" t="s">
        <v>234</v>
      </c>
      <c r="FZ198" s="112" t="s">
        <v>454</v>
      </c>
      <c r="GA198" s="112" t="s">
        <v>455</v>
      </c>
      <c r="GB198" s="93" t="s">
        <v>456</v>
      </c>
      <c r="GC198" s="94" t="s">
        <v>457</v>
      </c>
      <c r="GD198" s="87"/>
      <c r="GE198" s="112" t="s">
        <v>234</v>
      </c>
      <c r="GF198" s="112" t="s">
        <v>454</v>
      </c>
      <c r="GG198" s="112" t="s">
        <v>455</v>
      </c>
      <c r="GH198" s="93" t="s">
        <v>456</v>
      </c>
      <c r="GI198" s="94" t="s">
        <v>457</v>
      </c>
      <c r="GJ198" s="87"/>
      <c r="GK198" s="112" t="s">
        <v>234</v>
      </c>
      <c r="GL198" s="112" t="s">
        <v>454</v>
      </c>
      <c r="GM198" s="112" t="s">
        <v>455</v>
      </c>
      <c r="GN198" s="93" t="s">
        <v>456</v>
      </c>
      <c r="GO198" s="94" t="s">
        <v>457</v>
      </c>
      <c r="GP198" s="87"/>
      <c r="GQ198" s="112" t="s">
        <v>234</v>
      </c>
      <c r="GR198" s="112" t="s">
        <v>454</v>
      </c>
      <c r="GS198" s="112" t="s">
        <v>455</v>
      </c>
      <c r="GT198" s="93" t="s">
        <v>456</v>
      </c>
      <c r="GU198" s="94" t="s">
        <v>457</v>
      </c>
      <c r="GV198" s="87"/>
      <c r="GW198" s="112" t="s">
        <v>234</v>
      </c>
      <c r="GX198" s="112" t="s">
        <v>454</v>
      </c>
      <c r="GY198" s="112" t="s">
        <v>455</v>
      </c>
      <c r="GZ198" s="93" t="s">
        <v>456</v>
      </c>
      <c r="HA198" s="94" t="s">
        <v>457</v>
      </c>
      <c r="HB198" s="87"/>
      <c r="HC198" s="85"/>
      <c r="HD198" s="6"/>
      <c r="HE198" s="95" t="s">
        <v>679</v>
      </c>
      <c r="HF198" s="95" t="s">
        <v>488</v>
      </c>
      <c r="HG198" s="220" t="s">
        <v>489</v>
      </c>
      <c r="HH198" s="95" t="s">
        <v>603</v>
      </c>
      <c r="HI198" s="95" t="s">
        <v>423</v>
      </c>
      <c r="HJ198" s="85"/>
      <c r="HK198" s="90" t="s">
        <v>680</v>
      </c>
      <c r="HL198" s="91" t="s">
        <v>681</v>
      </c>
      <c r="HM198" s="92" t="s">
        <v>606</v>
      </c>
      <c r="HN198" s="92" t="s">
        <v>607</v>
      </c>
      <c r="HO198" s="91" t="s">
        <v>608</v>
      </c>
      <c r="HP198" s="91" t="s">
        <v>609</v>
      </c>
      <c r="HQ198" s="92" t="s">
        <v>456</v>
      </c>
      <c r="HR198" s="91" t="s">
        <v>610</v>
      </c>
    </row>
    <row r="199" spans="1:226" x14ac:dyDescent="0.3">
      <c r="A199" s="310">
        <v>1</v>
      </c>
      <c r="B199" s="104" t="s">
        <v>183</v>
      </c>
      <c r="C199" s="310" t="s">
        <v>337</v>
      </c>
      <c r="D199" s="2" t="s">
        <v>184</v>
      </c>
      <c r="E199" s="9"/>
      <c r="F199" s="9"/>
      <c r="G199" s="9"/>
      <c r="H199" s="324"/>
      <c r="I199" s="324">
        <v>4620000</v>
      </c>
      <c r="J199" s="324"/>
      <c r="K199" s="324"/>
      <c r="L199" s="324">
        <v>4620000</v>
      </c>
      <c r="M199" s="23">
        <v>4620000</v>
      </c>
      <c r="N199" s="23">
        <v>4620000</v>
      </c>
      <c r="O199" s="298">
        <v>4620000</v>
      </c>
      <c r="P199" s="298">
        <v>4620000</v>
      </c>
      <c r="Q199" s="298">
        <v>4620000</v>
      </c>
      <c r="R199" s="298">
        <v>4620000</v>
      </c>
      <c r="S199" s="298">
        <v>4620000</v>
      </c>
      <c r="T199" s="298">
        <v>4620000</v>
      </c>
      <c r="U199" s="298">
        <f>T199*5%</f>
        <v>231000</v>
      </c>
      <c r="V199" s="298">
        <f>T199+U199</f>
        <v>4851000</v>
      </c>
      <c r="W199" s="298">
        <v>4851000</v>
      </c>
      <c r="X199" s="298">
        <v>4851000</v>
      </c>
      <c r="Y199" s="298">
        <v>4851000</v>
      </c>
      <c r="Z199" s="298">
        <v>4851000</v>
      </c>
      <c r="AA199" s="298">
        <v>4851000</v>
      </c>
      <c r="AB199" s="298">
        <v>4851000</v>
      </c>
      <c r="AC199" s="9">
        <v>0</v>
      </c>
      <c r="AD199" s="9">
        <v>0</v>
      </c>
      <c r="AE199" s="298">
        <f>AD199+AC199+AB199</f>
        <v>4851000</v>
      </c>
      <c r="AF199" s="298">
        <v>4851000</v>
      </c>
      <c r="AG199" s="9">
        <v>0</v>
      </c>
      <c r="AH199" s="9">
        <v>0</v>
      </c>
      <c r="AI199" s="298">
        <f>AH199+AG199+AF199</f>
        <v>4851000</v>
      </c>
      <c r="AJ199" s="298">
        <v>4851000</v>
      </c>
      <c r="AK199" s="9">
        <v>0</v>
      </c>
      <c r="AL199" s="9">
        <v>0</v>
      </c>
      <c r="AM199" s="298">
        <f>AL199+AK199+AJ199</f>
        <v>4851000</v>
      </c>
      <c r="AN199" s="298">
        <v>4851000</v>
      </c>
      <c r="AO199" s="9">
        <v>0</v>
      </c>
      <c r="AP199" s="9">
        <v>0</v>
      </c>
      <c r="AQ199" s="298">
        <f>AP199+AO199+AN199</f>
        <v>4851000</v>
      </c>
      <c r="AR199" s="298">
        <v>4851000</v>
      </c>
      <c r="AS199" s="9">
        <v>0</v>
      </c>
      <c r="AT199" s="9">
        <v>0</v>
      </c>
      <c r="AU199" s="298">
        <f>AT199+AS199+AR199</f>
        <v>4851000</v>
      </c>
      <c r="AV199" s="298">
        <v>4851000</v>
      </c>
      <c r="AW199" s="9">
        <v>0</v>
      </c>
      <c r="AX199" s="9">
        <v>0</v>
      </c>
      <c r="AY199" s="298">
        <f>AX199+AW199+AV199</f>
        <v>4851000</v>
      </c>
      <c r="AZ199" s="8">
        <f>AY199*5%</f>
        <v>242550</v>
      </c>
      <c r="BA199" s="8"/>
      <c r="BB199" s="8">
        <f>AZ199-BA199</f>
        <v>242550</v>
      </c>
      <c r="BC199" s="8">
        <f>BB199+AY199</f>
        <v>5093550</v>
      </c>
      <c r="BD199" s="8"/>
      <c r="BE199" s="8">
        <f>BD199+BC199</f>
        <v>5093550</v>
      </c>
      <c r="BF199" s="10">
        <f>BE199-AY199</f>
        <v>242550</v>
      </c>
      <c r="BG199" s="11">
        <f>BF199-BB199</f>
        <v>0</v>
      </c>
      <c r="BH199" s="11">
        <v>5093550</v>
      </c>
      <c r="BI199" s="319">
        <v>0</v>
      </c>
      <c r="BJ199" s="319">
        <v>0</v>
      </c>
      <c r="BK199" s="319">
        <f>BJ199+BI199+BH199</f>
        <v>5093550</v>
      </c>
      <c r="BL199" s="319">
        <v>5093550</v>
      </c>
      <c r="BM199" s="319">
        <v>0</v>
      </c>
      <c r="BN199" s="319">
        <v>0</v>
      </c>
      <c r="BO199" s="319">
        <f>BN199+BM199+BL199</f>
        <v>5093550</v>
      </c>
      <c r="BP199" s="319">
        <f>BO199-BK199</f>
        <v>0</v>
      </c>
      <c r="BQ199" s="319">
        <v>5093550</v>
      </c>
      <c r="BR199" s="319">
        <v>0</v>
      </c>
      <c r="BS199" s="319">
        <v>0</v>
      </c>
      <c r="BT199" s="319">
        <f>BS199+BR199+BQ199</f>
        <v>5093550</v>
      </c>
      <c r="BU199" s="319">
        <f>BT199-BO199</f>
        <v>0</v>
      </c>
      <c r="BV199" s="319">
        <v>5093550</v>
      </c>
      <c r="BW199" s="319">
        <v>0</v>
      </c>
      <c r="BX199" s="319">
        <v>0</v>
      </c>
      <c r="BY199" s="319">
        <f>BX199+BW199+BV199</f>
        <v>5093550</v>
      </c>
      <c r="BZ199" s="319">
        <f>BY199-BT199</f>
        <v>0</v>
      </c>
      <c r="CA199" s="319">
        <v>5093550</v>
      </c>
      <c r="CB199" s="319">
        <v>0</v>
      </c>
      <c r="CC199" s="319">
        <v>0</v>
      </c>
      <c r="CD199" s="319">
        <f>CC199+CB199+CA199</f>
        <v>5093550</v>
      </c>
      <c r="CE199" s="319">
        <f>CD199-BY199</f>
        <v>0</v>
      </c>
      <c r="CF199" s="319">
        <v>5093550</v>
      </c>
      <c r="CG199" s="319">
        <v>0</v>
      </c>
      <c r="CH199" s="319">
        <v>0</v>
      </c>
      <c r="CI199" s="319">
        <f>CH199+CG199+CF199</f>
        <v>5093550</v>
      </c>
      <c r="CJ199" s="319">
        <f>CI199-CD199</f>
        <v>0</v>
      </c>
      <c r="CK199" s="319">
        <v>1273388</v>
      </c>
      <c r="CL199" s="319">
        <v>0</v>
      </c>
      <c r="CM199" s="319">
        <v>0</v>
      </c>
      <c r="CN199" s="319">
        <f>CM199+CL199+CK199</f>
        <v>1273388</v>
      </c>
      <c r="CO199" s="48">
        <f>CN199-CI199</f>
        <v>-3820162</v>
      </c>
      <c r="CP199" s="319">
        <v>1273388</v>
      </c>
      <c r="CQ199" s="319">
        <v>0</v>
      </c>
      <c r="CR199" s="319">
        <v>0</v>
      </c>
      <c r="CS199" s="319">
        <f>CR199+CQ199+CP199</f>
        <v>1273388</v>
      </c>
      <c r="CT199" s="319">
        <f>CS199-CN199</f>
        <v>0</v>
      </c>
      <c r="CU199" s="319">
        <v>1273388</v>
      </c>
      <c r="CV199" s="319">
        <v>0</v>
      </c>
      <c r="CW199" s="319">
        <v>0</v>
      </c>
      <c r="CX199" s="319">
        <f>CW199+CV199+CU199</f>
        <v>1273388</v>
      </c>
      <c r="CY199" s="319">
        <f>CX199-CS199</f>
        <v>0</v>
      </c>
      <c r="CZ199" s="319"/>
      <c r="DA199" s="319"/>
      <c r="DB199" s="319"/>
      <c r="DC199" s="12">
        <f>CX199*10%</f>
        <v>127338.8</v>
      </c>
      <c r="DD199" s="12">
        <v>0.8</v>
      </c>
      <c r="DE199" s="13">
        <f>DC199-DD199</f>
        <v>127338</v>
      </c>
      <c r="DF199" s="14">
        <f>DE199:DE199</f>
        <v>127338</v>
      </c>
      <c r="DG199" s="13">
        <f>DE199+CX199</f>
        <v>1400726</v>
      </c>
      <c r="DH199" s="15">
        <f>100/1278396949*CX199</f>
        <v>9.9608185156893694E-2</v>
      </c>
      <c r="DI199" s="16">
        <f>CX199</f>
        <v>1273388</v>
      </c>
      <c r="DJ199" s="132">
        <f>DI199*1.1</f>
        <v>1400726.8</v>
      </c>
      <c r="DK199" s="17">
        <f>DJ199-DI199</f>
        <v>127338.80000000005</v>
      </c>
      <c r="DL199" s="17">
        <f>DD199</f>
        <v>0.8</v>
      </c>
      <c r="DM199" s="16">
        <f>DK199-DL199</f>
        <v>127338.00000000004</v>
      </c>
      <c r="DN199" s="16">
        <f>DM199-DE199</f>
        <v>0</v>
      </c>
      <c r="DO199" s="16">
        <f>DM199+DI199</f>
        <v>1400726</v>
      </c>
      <c r="DP199" s="16">
        <f>DO199-DG199</f>
        <v>0</v>
      </c>
      <c r="DQ199" s="9">
        <v>1400726</v>
      </c>
      <c r="DR199" s="18" t="s">
        <v>238</v>
      </c>
      <c r="DS199" s="18" t="s">
        <v>238</v>
      </c>
      <c r="DT199" s="324">
        <f>DQ199+DR199+DS199</f>
        <v>1400726</v>
      </c>
      <c r="DU199" s="321">
        <f>DT199</f>
        <v>1400726</v>
      </c>
      <c r="DV199" s="19">
        <f>DT199-DG199</f>
        <v>0</v>
      </c>
      <c r="DW199" s="9">
        <v>1400726</v>
      </c>
      <c r="DX199" s="18"/>
      <c r="DY199" s="18"/>
      <c r="DZ199" s="324">
        <f>DW199+DX199+DY199</f>
        <v>1400726</v>
      </c>
      <c r="EA199" s="321">
        <f>DZ199</f>
        <v>1400726</v>
      </c>
      <c r="EB199" s="179">
        <f>DZ199-DT199</f>
        <v>0</v>
      </c>
      <c r="EC199" s="9">
        <v>1400726</v>
      </c>
      <c r="ED199" s="18" t="s">
        <v>238</v>
      </c>
      <c r="EE199" s="18" t="s">
        <v>238</v>
      </c>
      <c r="EF199" s="324">
        <f>EC199+ED199+EE199</f>
        <v>1400726</v>
      </c>
      <c r="EG199" s="321">
        <f>EF199</f>
        <v>1400726</v>
      </c>
      <c r="EH199" s="179">
        <f>EF199-DZ199</f>
        <v>0</v>
      </c>
      <c r="EI199" s="9">
        <v>1400726</v>
      </c>
      <c r="EJ199" s="18" t="s">
        <v>238</v>
      </c>
      <c r="EK199" s="18" t="s">
        <v>238</v>
      </c>
      <c r="EL199" s="324">
        <f>EI199+EJ199+EK199</f>
        <v>1400726</v>
      </c>
      <c r="EM199" s="321">
        <f>EL199</f>
        <v>1400726</v>
      </c>
      <c r="EN199" s="179">
        <f>EL199-EF199</f>
        <v>0</v>
      </c>
      <c r="EO199" s="9">
        <v>1400726</v>
      </c>
      <c r="EP199" s="18" t="s">
        <v>238</v>
      </c>
      <c r="EQ199" s="18" t="s">
        <v>238</v>
      </c>
      <c r="ER199" s="324">
        <f>EO199+EP199+EQ199</f>
        <v>1400726</v>
      </c>
      <c r="ES199" s="321">
        <f>ER199</f>
        <v>1400726</v>
      </c>
      <c r="ET199" s="179">
        <f>ER199-EL199</f>
        <v>0</v>
      </c>
      <c r="EU199" s="9">
        <v>1400726</v>
      </c>
      <c r="EV199" s="18" t="s">
        <v>238</v>
      </c>
      <c r="EW199" s="18" t="s">
        <v>238</v>
      </c>
      <c r="EX199" s="324">
        <f>EU199+EV199+EW199</f>
        <v>1400726</v>
      </c>
      <c r="EY199" s="321">
        <f>EX199</f>
        <v>1400726</v>
      </c>
      <c r="EZ199" s="179">
        <f>EX199-ER199</f>
        <v>0</v>
      </c>
      <c r="FA199" s="9">
        <v>1400726</v>
      </c>
      <c r="FB199" s="18" t="s">
        <v>238</v>
      </c>
      <c r="FC199" s="18" t="s">
        <v>238</v>
      </c>
      <c r="FD199" s="324">
        <f>FA199+FB199+FC199</f>
        <v>1400726</v>
      </c>
      <c r="FE199" s="321">
        <f>FD199</f>
        <v>1400726</v>
      </c>
      <c r="FF199" s="179">
        <f>FD199-EX199</f>
        <v>0</v>
      </c>
      <c r="FG199" s="9">
        <v>1400726</v>
      </c>
      <c r="FH199" s="18" t="s">
        <v>238</v>
      </c>
      <c r="FI199" s="18" t="s">
        <v>238</v>
      </c>
      <c r="FJ199" s="324">
        <f>FG199+FH199+FI199</f>
        <v>1400726</v>
      </c>
      <c r="FK199" s="321">
        <f>FJ199</f>
        <v>1400726</v>
      </c>
      <c r="FL199" s="179">
        <f>FJ199-FD199</f>
        <v>0</v>
      </c>
      <c r="FM199" s="9">
        <v>1400726</v>
      </c>
      <c r="FN199" s="18" t="s">
        <v>238</v>
      </c>
      <c r="FO199" s="18" t="s">
        <v>238</v>
      </c>
      <c r="FP199" s="324">
        <f>FM199+FN199+FO199</f>
        <v>1400726</v>
      </c>
      <c r="FQ199" s="321">
        <f>FP199</f>
        <v>1400726</v>
      </c>
      <c r="FR199" s="179">
        <f>FP199-FJ199</f>
        <v>0</v>
      </c>
      <c r="FS199" s="9">
        <v>1400726</v>
      </c>
      <c r="FT199" s="18" t="s">
        <v>238</v>
      </c>
      <c r="FU199" s="18" t="s">
        <v>238</v>
      </c>
      <c r="FV199" s="324">
        <f>FS199+FT199+FU199</f>
        <v>1400726</v>
      </c>
      <c r="FW199" s="321">
        <f>FV199</f>
        <v>1400726</v>
      </c>
      <c r="FX199" s="179">
        <f>FV199-FP199</f>
        <v>0</v>
      </c>
      <c r="FY199" s="9">
        <v>1400726</v>
      </c>
      <c r="FZ199" s="18" t="s">
        <v>238</v>
      </c>
      <c r="GA199" s="18" t="s">
        <v>238</v>
      </c>
      <c r="GB199" s="324">
        <f>FY199+FZ199+GA199</f>
        <v>1400726</v>
      </c>
      <c r="GC199" s="321">
        <f>GB199</f>
        <v>1400726</v>
      </c>
      <c r="GD199" s="179">
        <f>GB199-FV199</f>
        <v>0</v>
      </c>
      <c r="GE199" s="9">
        <v>1400726</v>
      </c>
      <c r="GF199" s="18" t="s">
        <v>238</v>
      </c>
      <c r="GG199" s="18" t="s">
        <v>238</v>
      </c>
      <c r="GH199" s="324">
        <f>GE199+GF199+GG199</f>
        <v>1400726</v>
      </c>
      <c r="GI199" s="321">
        <f>GH199</f>
        <v>1400726</v>
      </c>
      <c r="GJ199" s="179">
        <f>GH199-GB199</f>
        <v>0</v>
      </c>
      <c r="GK199" s="9">
        <v>1400726</v>
      </c>
      <c r="GL199" s="18" t="s">
        <v>238</v>
      </c>
      <c r="GM199" s="18" t="s">
        <v>238</v>
      </c>
      <c r="GN199" s="324">
        <f>GK199+GL199+GM199</f>
        <v>1400726</v>
      </c>
      <c r="GO199" s="321">
        <f>GN199</f>
        <v>1400726</v>
      </c>
      <c r="GP199" s="179">
        <f>GN199-GH199</f>
        <v>0</v>
      </c>
      <c r="GQ199" s="9">
        <v>1400726</v>
      </c>
      <c r="GR199" s="18" t="s">
        <v>238</v>
      </c>
      <c r="GS199" s="18" t="s">
        <v>238</v>
      </c>
      <c r="GT199" s="324">
        <f>GQ199+GR199+GS199</f>
        <v>1400726</v>
      </c>
      <c r="GU199" s="321">
        <f>GT199</f>
        <v>1400726</v>
      </c>
      <c r="GV199" s="179">
        <f>GT199-GN199</f>
        <v>0</v>
      </c>
      <c r="GW199" s="9">
        <v>1470762</v>
      </c>
      <c r="GX199" s="18" t="s">
        <v>238</v>
      </c>
      <c r="GY199" s="18" t="s">
        <v>238</v>
      </c>
      <c r="GZ199" s="324">
        <f>GW199+GX199+GY199</f>
        <v>1470762</v>
      </c>
      <c r="HA199" s="321">
        <f>GZ199</f>
        <v>1470762</v>
      </c>
      <c r="HB199" s="179">
        <f>GZ199-GT199</f>
        <v>70036</v>
      </c>
      <c r="HC199" s="102">
        <f>100/1406236643.9*GT199</f>
        <v>9.9608128267464499E-2</v>
      </c>
      <c r="HD199" s="285">
        <f>HB199-HO199</f>
        <v>0</v>
      </c>
      <c r="HE199" s="12">
        <f>GT199*0.05</f>
        <v>70036.3</v>
      </c>
      <c r="HF199" s="12">
        <f>IF(ISNUMBER($HE199), $HE199-INT($HE199), "")</f>
        <v>0.30000000000291038</v>
      </c>
      <c r="HG199" s="12">
        <f>HE199-HF199</f>
        <v>70036</v>
      </c>
      <c r="HH199" s="14">
        <f>HG199:HG199</f>
        <v>70036</v>
      </c>
      <c r="HI199" s="13">
        <f>HG199+GT199</f>
        <v>1470762</v>
      </c>
      <c r="HJ199" s="102">
        <f>100/1406236643.9*HI199</f>
        <v>0.10458851334730176</v>
      </c>
      <c r="HK199" s="16">
        <f>GT199</f>
        <v>1400726</v>
      </c>
      <c r="HL199" s="103">
        <f>HK199*1.05</f>
        <v>1470762.3</v>
      </c>
      <c r="HM199" s="103">
        <f>HL199-HK199</f>
        <v>70036.300000000047</v>
      </c>
      <c r="HN199" s="17">
        <f>HF199</f>
        <v>0.30000000000291038</v>
      </c>
      <c r="HO199" s="56">
        <f>HM199-HN199</f>
        <v>70036.000000000044</v>
      </c>
      <c r="HP199" s="16">
        <f>HO199-HG199</f>
        <v>0</v>
      </c>
      <c r="HQ199" s="16">
        <f>HO199+HK199</f>
        <v>1470762</v>
      </c>
      <c r="HR199" s="16">
        <f>HQ199-HI199</f>
        <v>0</v>
      </c>
    </row>
    <row r="200" spans="1:226" x14ac:dyDescent="0.3">
      <c r="A200" s="310">
        <v>2</v>
      </c>
      <c r="B200" s="134"/>
      <c r="C200" s="310" t="s">
        <v>185</v>
      </c>
      <c r="D200" s="2" t="s">
        <v>186</v>
      </c>
      <c r="E200" s="9"/>
      <c r="F200" s="9"/>
      <c r="G200" s="9"/>
      <c r="H200" s="324"/>
      <c r="I200" s="324">
        <v>0</v>
      </c>
      <c r="J200" s="324"/>
      <c r="K200" s="324"/>
      <c r="L200" s="324">
        <v>0</v>
      </c>
      <c r="M200" s="23">
        <v>0</v>
      </c>
      <c r="N200" s="23">
        <v>0</v>
      </c>
      <c r="O200" s="298">
        <v>0</v>
      </c>
      <c r="P200" s="298">
        <v>0</v>
      </c>
      <c r="Q200" s="298">
        <v>0</v>
      </c>
      <c r="R200" s="298">
        <v>0</v>
      </c>
      <c r="S200" s="298">
        <v>0</v>
      </c>
      <c r="T200" s="298">
        <v>0</v>
      </c>
      <c r="U200" s="298">
        <f>T200*5%</f>
        <v>0</v>
      </c>
      <c r="V200" s="298">
        <f>T200+U200</f>
        <v>0</v>
      </c>
      <c r="W200" s="298">
        <v>0</v>
      </c>
      <c r="X200" s="298">
        <v>0</v>
      </c>
      <c r="Y200" s="298">
        <v>0</v>
      </c>
      <c r="Z200" s="298">
        <v>0</v>
      </c>
      <c r="AA200" s="298">
        <v>0</v>
      </c>
      <c r="AB200" s="298">
        <v>0</v>
      </c>
      <c r="AC200" s="9">
        <v>0</v>
      </c>
      <c r="AD200" s="9">
        <v>0</v>
      </c>
      <c r="AE200" s="298">
        <f>AD200+AC200+AB200</f>
        <v>0</v>
      </c>
      <c r="AF200" s="298">
        <v>0</v>
      </c>
      <c r="AG200" s="9">
        <v>0</v>
      </c>
      <c r="AH200" s="9">
        <v>0</v>
      </c>
      <c r="AI200" s="298">
        <f>AH200+AG200+AF200</f>
        <v>0</v>
      </c>
      <c r="AJ200" s="298">
        <v>0</v>
      </c>
      <c r="AK200" s="9">
        <v>0</v>
      </c>
      <c r="AL200" s="9">
        <v>0</v>
      </c>
      <c r="AM200" s="298">
        <f>AL200+AK200+AJ200</f>
        <v>0</v>
      </c>
      <c r="AN200" s="298">
        <v>0</v>
      </c>
      <c r="AO200" s="9">
        <v>0</v>
      </c>
      <c r="AP200" s="9">
        <v>0</v>
      </c>
      <c r="AQ200" s="298">
        <f>AP200+AO200+AN200</f>
        <v>0</v>
      </c>
      <c r="AR200" s="298">
        <v>0</v>
      </c>
      <c r="AS200" s="9">
        <v>0</v>
      </c>
      <c r="AT200" s="9">
        <v>0</v>
      </c>
      <c r="AU200" s="298">
        <f>AT200+AS200+AR200</f>
        <v>0</v>
      </c>
      <c r="AV200" s="298">
        <v>0</v>
      </c>
      <c r="AW200" s="9">
        <v>0</v>
      </c>
      <c r="AX200" s="9">
        <v>0</v>
      </c>
      <c r="AY200" s="298">
        <f>AX200+AW200+AV200</f>
        <v>0</v>
      </c>
      <c r="AZ200" s="8">
        <f>AY200*5%</f>
        <v>0</v>
      </c>
      <c r="BA200" s="8"/>
      <c r="BB200" s="8">
        <f>AZ200-BA200</f>
        <v>0</v>
      </c>
      <c r="BC200" s="8">
        <f>BB200+AY200</f>
        <v>0</v>
      </c>
      <c r="BD200" s="8"/>
      <c r="BE200" s="8">
        <f>BD200+BC200</f>
        <v>0</v>
      </c>
      <c r="BF200" s="10">
        <f>BE200-AY200</f>
        <v>0</v>
      </c>
      <c r="BG200" s="11">
        <f>BF200-BB200</f>
        <v>0</v>
      </c>
      <c r="BH200" s="11">
        <v>0</v>
      </c>
      <c r="BI200" s="319">
        <v>0</v>
      </c>
      <c r="BJ200" s="319">
        <v>0</v>
      </c>
      <c r="BK200" s="319">
        <f>BJ200+BI200+BH200</f>
        <v>0</v>
      </c>
      <c r="BL200" s="319"/>
      <c r="BM200" s="319">
        <v>0</v>
      </c>
      <c r="BN200" s="319">
        <v>0</v>
      </c>
      <c r="BO200" s="319">
        <f>BN200+BM200+BL200</f>
        <v>0</v>
      </c>
      <c r="BP200" s="319">
        <f>BO200-BK200</f>
        <v>0</v>
      </c>
      <c r="BQ200" s="319"/>
      <c r="BR200" s="319">
        <v>0</v>
      </c>
      <c r="BS200" s="319">
        <v>0</v>
      </c>
      <c r="BT200" s="319">
        <f>BS200+BR200+BQ200</f>
        <v>0</v>
      </c>
      <c r="BU200" s="319">
        <f>BT200-BO200</f>
        <v>0</v>
      </c>
      <c r="BV200" s="319">
        <v>0</v>
      </c>
      <c r="BW200" s="319">
        <v>0</v>
      </c>
      <c r="BX200" s="319">
        <v>0</v>
      </c>
      <c r="BY200" s="319">
        <f>BX200+BW200+BV200</f>
        <v>0</v>
      </c>
      <c r="BZ200" s="319">
        <f>BY200-BT200</f>
        <v>0</v>
      </c>
      <c r="CA200" s="319">
        <v>0</v>
      </c>
      <c r="CB200" s="319">
        <v>0</v>
      </c>
      <c r="CC200" s="319">
        <v>0</v>
      </c>
      <c r="CD200" s="319">
        <f>CC200+CB200+CA200</f>
        <v>0</v>
      </c>
      <c r="CE200" s="319">
        <f>CD200-BY200</f>
        <v>0</v>
      </c>
      <c r="CF200" s="319">
        <v>0</v>
      </c>
      <c r="CG200" s="319">
        <v>0</v>
      </c>
      <c r="CH200" s="319">
        <v>0</v>
      </c>
      <c r="CI200" s="319">
        <f>CH200+CG200+CF200</f>
        <v>0</v>
      </c>
      <c r="CJ200" s="319">
        <f>CI200-CD200</f>
        <v>0</v>
      </c>
      <c r="CK200" s="319"/>
      <c r="CL200" s="319">
        <v>0</v>
      </c>
      <c r="CM200" s="319">
        <v>0</v>
      </c>
      <c r="CN200" s="319">
        <f>CM200+CL200+CK200</f>
        <v>0</v>
      </c>
      <c r="CO200" s="319">
        <f>CN200-CI200</f>
        <v>0</v>
      </c>
      <c r="CP200" s="319">
        <v>0</v>
      </c>
      <c r="CQ200" s="319">
        <v>0</v>
      </c>
      <c r="CR200" s="319">
        <v>0</v>
      </c>
      <c r="CS200" s="319">
        <f>CR200+CQ200+CP200</f>
        <v>0</v>
      </c>
      <c r="CT200" s="319">
        <f>CS200-CN200</f>
        <v>0</v>
      </c>
      <c r="CU200" s="319">
        <v>0</v>
      </c>
      <c r="CV200" s="319">
        <v>0</v>
      </c>
      <c r="CW200" s="319">
        <v>0</v>
      </c>
      <c r="CX200" s="319">
        <f>CW200+CV200+CU200</f>
        <v>0</v>
      </c>
      <c r="CY200" s="319">
        <f>CX200-CS200</f>
        <v>0</v>
      </c>
      <c r="CZ200" s="319"/>
      <c r="DA200" s="319"/>
      <c r="DB200" s="319"/>
      <c r="DC200" s="12">
        <f>CX200*10%</f>
        <v>0</v>
      </c>
      <c r="DD200" s="12">
        <v>0</v>
      </c>
      <c r="DE200" s="13">
        <f>DC200-DD200</f>
        <v>0</v>
      </c>
      <c r="DF200" s="14">
        <f>DE200:DE200</f>
        <v>0</v>
      </c>
      <c r="DG200" s="13">
        <f>DE200+CX200</f>
        <v>0</v>
      </c>
      <c r="DH200" s="15">
        <f>100/1278396949*CX200</f>
        <v>0</v>
      </c>
      <c r="DI200" s="16">
        <f>CX200</f>
        <v>0</v>
      </c>
      <c r="DJ200" s="132">
        <f>DI200*1.1</f>
        <v>0</v>
      </c>
      <c r="DK200" s="17">
        <f>DJ200-DI200</f>
        <v>0</v>
      </c>
      <c r="DL200" s="17">
        <f>DD200</f>
        <v>0</v>
      </c>
      <c r="DM200" s="16">
        <f>DK200-DL200</f>
        <v>0</v>
      </c>
      <c r="DN200" s="16">
        <f>DM200-DE200</f>
        <v>0</v>
      </c>
      <c r="DO200" s="16">
        <f>DM200+DI200</f>
        <v>0</v>
      </c>
      <c r="DP200" s="16">
        <f>DO200-DG200</f>
        <v>0</v>
      </c>
      <c r="DQ200" s="9">
        <v>0</v>
      </c>
      <c r="DR200" s="18" t="s">
        <v>238</v>
      </c>
      <c r="DS200" s="18" t="s">
        <v>238</v>
      </c>
      <c r="DT200" s="324">
        <f>DQ200+DR200+DS200</f>
        <v>0</v>
      </c>
      <c r="DU200" s="321">
        <f>DT200</f>
        <v>0</v>
      </c>
      <c r="DV200" s="19">
        <f>DT200-DG200</f>
        <v>0</v>
      </c>
      <c r="DW200" s="9"/>
      <c r="DX200" s="18"/>
      <c r="DY200" s="18"/>
      <c r="DZ200" s="324">
        <f>DW200+DX200+DY200</f>
        <v>0</v>
      </c>
      <c r="EA200" s="321">
        <f>DZ200</f>
        <v>0</v>
      </c>
      <c r="EB200" s="179">
        <f>DZ200-DT200</f>
        <v>0</v>
      </c>
      <c r="EC200" s="9">
        <v>0</v>
      </c>
      <c r="ED200" s="18" t="s">
        <v>238</v>
      </c>
      <c r="EE200" s="18" t="s">
        <v>238</v>
      </c>
      <c r="EF200" s="324">
        <f>EC200+ED200+EE200</f>
        <v>0</v>
      </c>
      <c r="EG200" s="321">
        <f>EF200</f>
        <v>0</v>
      </c>
      <c r="EH200" s="179">
        <f>EF200-DZ200</f>
        <v>0</v>
      </c>
      <c r="EI200" s="9">
        <v>0</v>
      </c>
      <c r="EJ200" s="18" t="s">
        <v>238</v>
      </c>
      <c r="EK200" s="18" t="s">
        <v>238</v>
      </c>
      <c r="EL200" s="324">
        <f>EI200+EJ200+EK200</f>
        <v>0</v>
      </c>
      <c r="EM200" s="321">
        <f>EL200</f>
        <v>0</v>
      </c>
      <c r="EN200" s="179">
        <f>EL200-EF200</f>
        <v>0</v>
      </c>
      <c r="EO200" s="9">
        <v>0</v>
      </c>
      <c r="EP200" s="18" t="s">
        <v>238</v>
      </c>
      <c r="EQ200" s="18" t="s">
        <v>238</v>
      </c>
      <c r="ER200" s="324">
        <f>EO200+EP200+EQ200</f>
        <v>0</v>
      </c>
      <c r="ES200" s="321">
        <f>ER200</f>
        <v>0</v>
      </c>
      <c r="ET200" s="179">
        <f>ER200-EL200</f>
        <v>0</v>
      </c>
      <c r="EU200" s="9">
        <v>0</v>
      </c>
      <c r="EV200" s="18" t="s">
        <v>238</v>
      </c>
      <c r="EW200" s="18" t="s">
        <v>238</v>
      </c>
      <c r="EX200" s="324">
        <f>EU200+EV200+EW200</f>
        <v>0</v>
      </c>
      <c r="EY200" s="321">
        <f>EX200</f>
        <v>0</v>
      </c>
      <c r="EZ200" s="179">
        <f>EX200-ER200</f>
        <v>0</v>
      </c>
      <c r="FA200" s="9">
        <v>0</v>
      </c>
      <c r="FB200" s="18" t="s">
        <v>238</v>
      </c>
      <c r="FC200" s="18" t="s">
        <v>238</v>
      </c>
      <c r="FD200" s="324">
        <f>FA200+FB200+FC200</f>
        <v>0</v>
      </c>
      <c r="FE200" s="321">
        <f>FD200</f>
        <v>0</v>
      </c>
      <c r="FF200" s="179">
        <f>FD200-EX200</f>
        <v>0</v>
      </c>
      <c r="FG200" s="9">
        <v>0</v>
      </c>
      <c r="FH200" s="18" t="s">
        <v>238</v>
      </c>
      <c r="FI200" s="18" t="s">
        <v>238</v>
      </c>
      <c r="FJ200" s="324">
        <f>FG200+FH200+FI200</f>
        <v>0</v>
      </c>
      <c r="FK200" s="321">
        <f>FJ200</f>
        <v>0</v>
      </c>
      <c r="FL200" s="179">
        <f>FJ200-FD200</f>
        <v>0</v>
      </c>
      <c r="FM200" s="9">
        <v>0</v>
      </c>
      <c r="FN200" s="18" t="s">
        <v>238</v>
      </c>
      <c r="FO200" s="18" t="s">
        <v>238</v>
      </c>
      <c r="FP200" s="324">
        <f>FM200+FN200+FO200</f>
        <v>0</v>
      </c>
      <c r="FQ200" s="321">
        <f>FP200</f>
        <v>0</v>
      </c>
      <c r="FR200" s="179">
        <f>FP200-FJ200</f>
        <v>0</v>
      </c>
      <c r="FS200" s="9">
        <v>0</v>
      </c>
      <c r="FT200" s="18" t="s">
        <v>238</v>
      </c>
      <c r="FU200" s="18" t="s">
        <v>238</v>
      </c>
      <c r="FV200" s="324">
        <f>FS200+FT200+FU200</f>
        <v>0</v>
      </c>
      <c r="FW200" s="321">
        <f>FV200</f>
        <v>0</v>
      </c>
      <c r="FX200" s="179">
        <f>FV200-FP200</f>
        <v>0</v>
      </c>
      <c r="FY200" s="9">
        <v>0</v>
      </c>
      <c r="FZ200" s="18" t="s">
        <v>238</v>
      </c>
      <c r="GA200" s="18" t="s">
        <v>238</v>
      </c>
      <c r="GB200" s="324">
        <f>FY200+FZ200+GA200</f>
        <v>0</v>
      </c>
      <c r="GC200" s="321">
        <f>GB200</f>
        <v>0</v>
      </c>
      <c r="GD200" s="179">
        <f>GB200-FV200</f>
        <v>0</v>
      </c>
      <c r="GE200" s="9">
        <v>0</v>
      </c>
      <c r="GF200" s="18" t="s">
        <v>238</v>
      </c>
      <c r="GG200" s="18" t="s">
        <v>238</v>
      </c>
      <c r="GH200" s="324">
        <f>GE200+GF200+GG200</f>
        <v>0</v>
      </c>
      <c r="GI200" s="321">
        <f>GH200</f>
        <v>0</v>
      </c>
      <c r="GJ200" s="179">
        <f>GH200-GB200</f>
        <v>0</v>
      </c>
      <c r="GK200" s="9">
        <v>0</v>
      </c>
      <c r="GL200" s="18" t="s">
        <v>238</v>
      </c>
      <c r="GM200" s="18" t="s">
        <v>238</v>
      </c>
      <c r="GN200" s="324">
        <f>GK200+GL200+GM200</f>
        <v>0</v>
      </c>
      <c r="GO200" s="321">
        <f>GN200</f>
        <v>0</v>
      </c>
      <c r="GP200" s="179">
        <f>GN200-GH200</f>
        <v>0</v>
      </c>
      <c r="GQ200" s="9">
        <v>0</v>
      </c>
      <c r="GR200" s="18" t="s">
        <v>238</v>
      </c>
      <c r="GS200" s="18" t="s">
        <v>238</v>
      </c>
      <c r="GT200" s="324">
        <f>GQ200+GR200+GS200</f>
        <v>0</v>
      </c>
      <c r="GU200" s="321">
        <f>GT200</f>
        <v>0</v>
      </c>
      <c r="GV200" s="179">
        <f>GT200-GN200</f>
        <v>0</v>
      </c>
      <c r="GW200" s="9">
        <v>0</v>
      </c>
      <c r="GX200" s="18" t="s">
        <v>238</v>
      </c>
      <c r="GY200" s="18" t="s">
        <v>238</v>
      </c>
      <c r="GZ200" s="324">
        <f>GW200+GX200+GY200</f>
        <v>0</v>
      </c>
      <c r="HA200" s="321">
        <f>GZ200</f>
        <v>0</v>
      </c>
      <c r="HB200" s="179">
        <f>GZ200-GT200</f>
        <v>0</v>
      </c>
      <c r="HC200" s="102">
        <f>100/1406236643.9*GT200</f>
        <v>0</v>
      </c>
      <c r="HD200" s="285">
        <f>HB200-HO200</f>
        <v>0</v>
      </c>
      <c r="HE200" s="12">
        <f>GT200*0.05</f>
        <v>0</v>
      </c>
      <c r="HF200" s="12">
        <f>IF(ISNUMBER($HE200), $HE200-INT($HE200), "")</f>
        <v>0</v>
      </c>
      <c r="HG200" s="12">
        <f>HE200-HF200</f>
        <v>0</v>
      </c>
      <c r="HH200" s="14">
        <f>HG200:HG200</f>
        <v>0</v>
      </c>
      <c r="HI200" s="13">
        <f>HG200+GT200</f>
        <v>0</v>
      </c>
      <c r="HJ200" s="102">
        <f>100/1406236643.9*HI200</f>
        <v>0</v>
      </c>
      <c r="HK200" s="16">
        <f>GT200</f>
        <v>0</v>
      </c>
      <c r="HL200" s="103">
        <f>HK200*1.05</f>
        <v>0</v>
      </c>
      <c r="HM200" s="103">
        <f>HL200-HK200</f>
        <v>0</v>
      </c>
      <c r="HN200" s="17">
        <f>HF200</f>
        <v>0</v>
      </c>
      <c r="HO200" s="56">
        <f>HM200-HN200</f>
        <v>0</v>
      </c>
      <c r="HP200" s="16">
        <f>HO200-HG200</f>
        <v>0</v>
      </c>
      <c r="HQ200" s="16">
        <f>HO200+HK200</f>
        <v>0</v>
      </c>
      <c r="HR200" s="16">
        <f>HQ200-HI200</f>
        <v>0</v>
      </c>
    </row>
    <row r="201" spans="1:226" x14ac:dyDescent="0.3">
      <c r="A201" s="140"/>
      <c r="B201" s="140"/>
      <c r="C201" s="140"/>
      <c r="D201" s="141" t="s">
        <v>216</v>
      </c>
      <c r="E201" s="121">
        <f t="shared" ref="E201:BP201" si="1003">SUM(E199:E200)</f>
        <v>0</v>
      </c>
      <c r="F201" s="121">
        <f t="shared" si="1003"/>
        <v>0</v>
      </c>
      <c r="G201" s="121">
        <f t="shared" si="1003"/>
        <v>0</v>
      </c>
      <c r="H201" s="121">
        <f t="shared" si="1003"/>
        <v>0</v>
      </c>
      <c r="I201" s="121">
        <f t="shared" si="1003"/>
        <v>4620000</v>
      </c>
      <c r="J201" s="121">
        <f t="shared" si="1003"/>
        <v>0</v>
      </c>
      <c r="K201" s="121">
        <f t="shared" si="1003"/>
        <v>0</v>
      </c>
      <c r="L201" s="121">
        <f t="shared" si="1003"/>
        <v>4620000</v>
      </c>
      <c r="M201" s="121">
        <f t="shared" si="1003"/>
        <v>4620000</v>
      </c>
      <c r="N201" s="121">
        <f t="shared" si="1003"/>
        <v>4620000</v>
      </c>
      <c r="O201" s="121">
        <f t="shared" si="1003"/>
        <v>4620000</v>
      </c>
      <c r="P201" s="121">
        <f t="shared" si="1003"/>
        <v>4620000</v>
      </c>
      <c r="Q201" s="121">
        <f t="shared" si="1003"/>
        <v>4620000</v>
      </c>
      <c r="R201" s="121">
        <f t="shared" si="1003"/>
        <v>4620000</v>
      </c>
      <c r="S201" s="121">
        <f t="shared" si="1003"/>
        <v>4620000</v>
      </c>
      <c r="T201" s="121">
        <f t="shared" si="1003"/>
        <v>4620000</v>
      </c>
      <c r="U201" s="121">
        <f t="shared" si="1003"/>
        <v>231000</v>
      </c>
      <c r="V201" s="121">
        <f t="shared" si="1003"/>
        <v>4851000</v>
      </c>
      <c r="W201" s="121">
        <f t="shared" si="1003"/>
        <v>4851000</v>
      </c>
      <c r="X201" s="121">
        <f t="shared" si="1003"/>
        <v>4851000</v>
      </c>
      <c r="Y201" s="121">
        <f t="shared" si="1003"/>
        <v>4851000</v>
      </c>
      <c r="Z201" s="121">
        <f t="shared" si="1003"/>
        <v>4851000</v>
      </c>
      <c r="AA201" s="121">
        <f t="shared" si="1003"/>
        <v>4851000</v>
      </c>
      <c r="AB201" s="121">
        <f t="shared" si="1003"/>
        <v>4851000</v>
      </c>
      <c r="AC201" s="121">
        <f t="shared" si="1003"/>
        <v>0</v>
      </c>
      <c r="AD201" s="121">
        <f t="shared" si="1003"/>
        <v>0</v>
      </c>
      <c r="AE201" s="121">
        <f t="shared" si="1003"/>
        <v>4851000</v>
      </c>
      <c r="AF201" s="121">
        <f t="shared" si="1003"/>
        <v>4851000</v>
      </c>
      <c r="AG201" s="121">
        <f t="shared" si="1003"/>
        <v>0</v>
      </c>
      <c r="AH201" s="121">
        <f t="shared" si="1003"/>
        <v>0</v>
      </c>
      <c r="AI201" s="121">
        <f t="shared" si="1003"/>
        <v>4851000</v>
      </c>
      <c r="AJ201" s="121">
        <f t="shared" si="1003"/>
        <v>4851000</v>
      </c>
      <c r="AK201" s="121">
        <f t="shared" si="1003"/>
        <v>0</v>
      </c>
      <c r="AL201" s="121">
        <f t="shared" si="1003"/>
        <v>0</v>
      </c>
      <c r="AM201" s="121">
        <f t="shared" si="1003"/>
        <v>4851000</v>
      </c>
      <c r="AN201" s="121">
        <f t="shared" si="1003"/>
        <v>4851000</v>
      </c>
      <c r="AO201" s="121">
        <f t="shared" si="1003"/>
        <v>0</v>
      </c>
      <c r="AP201" s="121">
        <f t="shared" si="1003"/>
        <v>0</v>
      </c>
      <c r="AQ201" s="121">
        <f t="shared" si="1003"/>
        <v>4851000</v>
      </c>
      <c r="AR201" s="121">
        <f t="shared" si="1003"/>
        <v>4851000</v>
      </c>
      <c r="AS201" s="121">
        <f t="shared" si="1003"/>
        <v>0</v>
      </c>
      <c r="AT201" s="121">
        <f t="shared" si="1003"/>
        <v>0</v>
      </c>
      <c r="AU201" s="121">
        <f t="shared" si="1003"/>
        <v>4851000</v>
      </c>
      <c r="AV201" s="121">
        <f t="shared" si="1003"/>
        <v>4851000</v>
      </c>
      <c r="AW201" s="121">
        <f t="shared" si="1003"/>
        <v>0</v>
      </c>
      <c r="AX201" s="121">
        <f t="shared" si="1003"/>
        <v>0</v>
      </c>
      <c r="AY201" s="121">
        <f t="shared" si="1003"/>
        <v>4851000</v>
      </c>
      <c r="AZ201" s="121">
        <f t="shared" si="1003"/>
        <v>242550</v>
      </c>
      <c r="BA201" s="121">
        <f t="shared" si="1003"/>
        <v>0</v>
      </c>
      <c r="BB201" s="121">
        <f t="shared" si="1003"/>
        <v>242550</v>
      </c>
      <c r="BC201" s="121">
        <f t="shared" si="1003"/>
        <v>5093550</v>
      </c>
      <c r="BD201" s="121">
        <f t="shared" si="1003"/>
        <v>0</v>
      </c>
      <c r="BE201" s="121">
        <f t="shared" si="1003"/>
        <v>5093550</v>
      </c>
      <c r="BF201" s="121">
        <f t="shared" si="1003"/>
        <v>242550</v>
      </c>
      <c r="BG201" s="121">
        <f t="shared" si="1003"/>
        <v>0</v>
      </c>
      <c r="BH201" s="121">
        <f t="shared" si="1003"/>
        <v>5093550</v>
      </c>
      <c r="BI201" s="121">
        <f t="shared" si="1003"/>
        <v>0</v>
      </c>
      <c r="BJ201" s="121">
        <f t="shared" si="1003"/>
        <v>0</v>
      </c>
      <c r="BK201" s="121">
        <f t="shared" si="1003"/>
        <v>5093550</v>
      </c>
      <c r="BL201" s="121">
        <f t="shared" si="1003"/>
        <v>5093550</v>
      </c>
      <c r="BM201" s="121">
        <f t="shared" si="1003"/>
        <v>0</v>
      </c>
      <c r="BN201" s="121">
        <f t="shared" si="1003"/>
        <v>0</v>
      </c>
      <c r="BO201" s="121">
        <f t="shared" si="1003"/>
        <v>5093550</v>
      </c>
      <c r="BP201" s="121">
        <f t="shared" si="1003"/>
        <v>0</v>
      </c>
      <c r="BQ201" s="121">
        <f t="shared" ref="BQ201:EB201" si="1004">SUM(BQ199:BQ200)</f>
        <v>5093550</v>
      </c>
      <c r="BR201" s="121">
        <f t="shared" si="1004"/>
        <v>0</v>
      </c>
      <c r="BS201" s="121">
        <f t="shared" si="1004"/>
        <v>0</v>
      </c>
      <c r="BT201" s="121">
        <f t="shared" si="1004"/>
        <v>5093550</v>
      </c>
      <c r="BU201" s="121">
        <f t="shared" si="1004"/>
        <v>0</v>
      </c>
      <c r="BV201" s="121">
        <f t="shared" si="1004"/>
        <v>5093550</v>
      </c>
      <c r="BW201" s="121">
        <f t="shared" si="1004"/>
        <v>0</v>
      </c>
      <c r="BX201" s="121">
        <f t="shared" si="1004"/>
        <v>0</v>
      </c>
      <c r="BY201" s="121">
        <f t="shared" si="1004"/>
        <v>5093550</v>
      </c>
      <c r="BZ201" s="121">
        <f t="shared" si="1004"/>
        <v>0</v>
      </c>
      <c r="CA201" s="121">
        <f t="shared" si="1004"/>
        <v>5093550</v>
      </c>
      <c r="CB201" s="121">
        <f t="shared" si="1004"/>
        <v>0</v>
      </c>
      <c r="CC201" s="121">
        <f t="shared" si="1004"/>
        <v>0</v>
      </c>
      <c r="CD201" s="121">
        <f t="shared" si="1004"/>
        <v>5093550</v>
      </c>
      <c r="CE201" s="121">
        <f t="shared" si="1004"/>
        <v>0</v>
      </c>
      <c r="CF201" s="121">
        <f t="shared" si="1004"/>
        <v>5093550</v>
      </c>
      <c r="CG201" s="121">
        <f t="shared" si="1004"/>
        <v>0</v>
      </c>
      <c r="CH201" s="121">
        <f t="shared" si="1004"/>
        <v>0</v>
      </c>
      <c r="CI201" s="121">
        <f t="shared" si="1004"/>
        <v>5093550</v>
      </c>
      <c r="CJ201" s="121">
        <f t="shared" si="1004"/>
        <v>0</v>
      </c>
      <c r="CK201" s="121">
        <f t="shared" si="1004"/>
        <v>1273388</v>
      </c>
      <c r="CL201" s="121">
        <f t="shared" si="1004"/>
        <v>0</v>
      </c>
      <c r="CM201" s="121">
        <f t="shared" si="1004"/>
        <v>0</v>
      </c>
      <c r="CN201" s="121">
        <f t="shared" si="1004"/>
        <v>1273388</v>
      </c>
      <c r="CO201" s="121">
        <f t="shared" si="1004"/>
        <v>-3820162</v>
      </c>
      <c r="CP201" s="121">
        <f t="shared" si="1004"/>
        <v>1273388</v>
      </c>
      <c r="CQ201" s="121">
        <f t="shared" si="1004"/>
        <v>0</v>
      </c>
      <c r="CR201" s="121">
        <f t="shared" si="1004"/>
        <v>0</v>
      </c>
      <c r="CS201" s="121">
        <f t="shared" si="1004"/>
        <v>1273388</v>
      </c>
      <c r="CT201" s="121">
        <f t="shared" si="1004"/>
        <v>0</v>
      </c>
      <c r="CU201" s="121">
        <f t="shared" si="1004"/>
        <v>1273388</v>
      </c>
      <c r="CV201" s="121">
        <f t="shared" si="1004"/>
        <v>0</v>
      </c>
      <c r="CW201" s="121">
        <f t="shared" si="1004"/>
        <v>0</v>
      </c>
      <c r="CX201" s="121">
        <f t="shared" si="1004"/>
        <v>1273388</v>
      </c>
      <c r="CY201" s="121">
        <f t="shared" si="1004"/>
        <v>0</v>
      </c>
      <c r="CZ201" s="121">
        <f t="shared" si="1004"/>
        <v>0</v>
      </c>
      <c r="DA201" s="121">
        <f t="shared" si="1004"/>
        <v>0</v>
      </c>
      <c r="DB201" s="121">
        <f t="shared" si="1004"/>
        <v>0</v>
      </c>
      <c r="DC201" s="121">
        <f t="shared" si="1004"/>
        <v>127338.8</v>
      </c>
      <c r="DD201" s="121">
        <f t="shared" si="1004"/>
        <v>0.8</v>
      </c>
      <c r="DE201" s="121">
        <f t="shared" si="1004"/>
        <v>127338</v>
      </c>
      <c r="DF201" s="121">
        <f t="shared" si="1004"/>
        <v>127338</v>
      </c>
      <c r="DG201" s="121">
        <f t="shared" si="1004"/>
        <v>1400726</v>
      </c>
      <c r="DH201" s="121">
        <f t="shared" si="1004"/>
        <v>9.9608185156893694E-2</v>
      </c>
      <c r="DI201" s="121">
        <f t="shared" si="1004"/>
        <v>1273388</v>
      </c>
      <c r="DJ201" s="121">
        <f t="shared" si="1004"/>
        <v>1400726.8</v>
      </c>
      <c r="DK201" s="121">
        <f t="shared" si="1004"/>
        <v>127338.80000000005</v>
      </c>
      <c r="DL201" s="121">
        <f t="shared" si="1004"/>
        <v>0.8</v>
      </c>
      <c r="DM201" s="121">
        <f t="shared" si="1004"/>
        <v>127338.00000000004</v>
      </c>
      <c r="DN201" s="121">
        <f t="shared" si="1004"/>
        <v>0</v>
      </c>
      <c r="DO201" s="121">
        <f t="shared" si="1004"/>
        <v>1400726</v>
      </c>
      <c r="DP201" s="121">
        <f t="shared" si="1004"/>
        <v>0</v>
      </c>
      <c r="DQ201" s="121">
        <f t="shared" si="1004"/>
        <v>1400726</v>
      </c>
      <c r="DR201" s="121">
        <f t="shared" si="1004"/>
        <v>0</v>
      </c>
      <c r="DS201" s="121">
        <f t="shared" si="1004"/>
        <v>0</v>
      </c>
      <c r="DT201" s="121">
        <f t="shared" si="1004"/>
        <v>1400726</v>
      </c>
      <c r="DU201" s="121">
        <f t="shared" si="1004"/>
        <v>1400726</v>
      </c>
      <c r="DV201" s="121">
        <f t="shared" si="1004"/>
        <v>0</v>
      </c>
      <c r="DW201" s="121">
        <f t="shared" si="1004"/>
        <v>1400726</v>
      </c>
      <c r="DX201" s="121">
        <f t="shared" si="1004"/>
        <v>0</v>
      </c>
      <c r="DY201" s="121">
        <f t="shared" si="1004"/>
        <v>0</v>
      </c>
      <c r="DZ201" s="121">
        <f t="shared" si="1004"/>
        <v>1400726</v>
      </c>
      <c r="EA201" s="121">
        <f t="shared" si="1004"/>
        <v>1400726</v>
      </c>
      <c r="EB201" s="121">
        <f t="shared" si="1004"/>
        <v>0</v>
      </c>
      <c r="EC201" s="121">
        <f t="shared" ref="EC201:FL201" si="1005">SUM(EC199:EC200)</f>
        <v>1400726</v>
      </c>
      <c r="ED201" s="121">
        <f t="shared" si="1005"/>
        <v>0</v>
      </c>
      <c r="EE201" s="121">
        <f t="shared" si="1005"/>
        <v>0</v>
      </c>
      <c r="EF201" s="121">
        <f t="shared" si="1005"/>
        <v>1400726</v>
      </c>
      <c r="EG201" s="121">
        <f t="shared" si="1005"/>
        <v>1400726</v>
      </c>
      <c r="EH201" s="121">
        <f t="shared" si="1005"/>
        <v>0</v>
      </c>
      <c r="EI201" s="121">
        <f t="shared" si="1005"/>
        <v>1400726</v>
      </c>
      <c r="EJ201" s="121">
        <f t="shared" si="1005"/>
        <v>0</v>
      </c>
      <c r="EK201" s="121">
        <f t="shared" si="1005"/>
        <v>0</v>
      </c>
      <c r="EL201" s="121">
        <f t="shared" si="1005"/>
        <v>1400726</v>
      </c>
      <c r="EM201" s="121">
        <f t="shared" si="1005"/>
        <v>1400726</v>
      </c>
      <c r="EN201" s="121">
        <f t="shared" si="1005"/>
        <v>0</v>
      </c>
      <c r="EO201" s="121">
        <f t="shared" si="1005"/>
        <v>1400726</v>
      </c>
      <c r="EP201" s="121">
        <f t="shared" si="1005"/>
        <v>0</v>
      </c>
      <c r="EQ201" s="121">
        <f t="shared" si="1005"/>
        <v>0</v>
      </c>
      <c r="ER201" s="121">
        <f t="shared" si="1005"/>
        <v>1400726</v>
      </c>
      <c r="ES201" s="121">
        <f t="shared" si="1005"/>
        <v>1400726</v>
      </c>
      <c r="ET201" s="121">
        <f t="shared" si="1005"/>
        <v>0</v>
      </c>
      <c r="EU201" s="121">
        <f t="shared" si="1005"/>
        <v>1400726</v>
      </c>
      <c r="EV201" s="121">
        <f t="shared" si="1005"/>
        <v>0</v>
      </c>
      <c r="EW201" s="121">
        <f t="shared" si="1005"/>
        <v>0</v>
      </c>
      <c r="EX201" s="121">
        <f t="shared" si="1005"/>
        <v>1400726</v>
      </c>
      <c r="EY201" s="121">
        <f t="shared" si="1005"/>
        <v>1400726</v>
      </c>
      <c r="EZ201" s="121">
        <f t="shared" si="1005"/>
        <v>0</v>
      </c>
      <c r="FA201" s="121">
        <f t="shared" si="1005"/>
        <v>1400726</v>
      </c>
      <c r="FB201" s="121">
        <f t="shared" si="1005"/>
        <v>0</v>
      </c>
      <c r="FC201" s="121">
        <f t="shared" si="1005"/>
        <v>0</v>
      </c>
      <c r="FD201" s="121">
        <f t="shared" si="1005"/>
        <v>1400726</v>
      </c>
      <c r="FE201" s="121">
        <f t="shared" si="1005"/>
        <v>1400726</v>
      </c>
      <c r="FF201" s="121">
        <f t="shared" si="1005"/>
        <v>0</v>
      </c>
      <c r="FG201" s="121">
        <f t="shared" si="1005"/>
        <v>1400726</v>
      </c>
      <c r="FH201" s="121">
        <f t="shared" si="1005"/>
        <v>0</v>
      </c>
      <c r="FI201" s="121">
        <f t="shared" si="1005"/>
        <v>0</v>
      </c>
      <c r="FJ201" s="121">
        <f t="shared" si="1005"/>
        <v>1400726</v>
      </c>
      <c r="FK201" s="121">
        <f t="shared" si="1005"/>
        <v>1400726</v>
      </c>
      <c r="FL201" s="121">
        <f t="shared" si="1005"/>
        <v>0</v>
      </c>
      <c r="FM201" s="121">
        <f t="shared" ref="FM201:FR201" si="1006">SUM(FM199:FM200)</f>
        <v>1400726</v>
      </c>
      <c r="FN201" s="121">
        <f t="shared" si="1006"/>
        <v>0</v>
      </c>
      <c r="FO201" s="121">
        <f t="shared" si="1006"/>
        <v>0</v>
      </c>
      <c r="FP201" s="121">
        <f t="shared" si="1006"/>
        <v>1400726</v>
      </c>
      <c r="FQ201" s="121">
        <f t="shared" si="1006"/>
        <v>1400726</v>
      </c>
      <c r="FR201" s="121">
        <f t="shared" si="1006"/>
        <v>0</v>
      </c>
      <c r="FS201" s="121">
        <f t="shared" ref="FS201:FX201" si="1007">SUM(FS199:FS200)</f>
        <v>1400726</v>
      </c>
      <c r="FT201" s="121">
        <f t="shared" si="1007"/>
        <v>0</v>
      </c>
      <c r="FU201" s="121">
        <f t="shared" si="1007"/>
        <v>0</v>
      </c>
      <c r="FV201" s="121">
        <f t="shared" si="1007"/>
        <v>1400726</v>
      </c>
      <c r="FW201" s="121">
        <f t="shared" si="1007"/>
        <v>1400726</v>
      </c>
      <c r="FX201" s="121">
        <f t="shared" si="1007"/>
        <v>0</v>
      </c>
      <c r="FY201" s="121">
        <f t="shared" ref="FY201:GD201" si="1008">SUM(FY199:FY200)</f>
        <v>1400726</v>
      </c>
      <c r="FZ201" s="121">
        <f t="shared" si="1008"/>
        <v>0</v>
      </c>
      <c r="GA201" s="121">
        <f t="shared" si="1008"/>
        <v>0</v>
      </c>
      <c r="GB201" s="121">
        <f t="shared" si="1008"/>
        <v>1400726</v>
      </c>
      <c r="GC201" s="121">
        <f t="shared" si="1008"/>
        <v>1400726</v>
      </c>
      <c r="GD201" s="121">
        <f t="shared" si="1008"/>
        <v>0</v>
      </c>
      <c r="GE201" s="121">
        <f t="shared" ref="GE201:GJ201" si="1009">SUM(GE199:GE200)</f>
        <v>1400726</v>
      </c>
      <c r="GF201" s="121">
        <f t="shared" si="1009"/>
        <v>0</v>
      </c>
      <c r="GG201" s="121">
        <f t="shared" si="1009"/>
        <v>0</v>
      </c>
      <c r="GH201" s="121">
        <f t="shared" si="1009"/>
        <v>1400726</v>
      </c>
      <c r="GI201" s="121">
        <f t="shared" si="1009"/>
        <v>1400726</v>
      </c>
      <c r="GJ201" s="121">
        <f t="shared" si="1009"/>
        <v>0</v>
      </c>
      <c r="GK201" s="121">
        <f t="shared" ref="GK201:GP201" si="1010">SUM(GK199:GK200)</f>
        <v>1400726</v>
      </c>
      <c r="GL201" s="121">
        <f t="shared" si="1010"/>
        <v>0</v>
      </c>
      <c r="GM201" s="121">
        <f t="shared" si="1010"/>
        <v>0</v>
      </c>
      <c r="GN201" s="121">
        <f t="shared" si="1010"/>
        <v>1400726</v>
      </c>
      <c r="GO201" s="121">
        <f t="shared" si="1010"/>
        <v>1400726</v>
      </c>
      <c r="GP201" s="121">
        <f t="shared" si="1010"/>
        <v>0</v>
      </c>
      <c r="GQ201" s="121">
        <f t="shared" ref="GQ201:GV201" si="1011">SUM(GQ199:GQ200)</f>
        <v>1400726</v>
      </c>
      <c r="GR201" s="121">
        <f t="shared" si="1011"/>
        <v>0</v>
      </c>
      <c r="GS201" s="121">
        <f t="shared" si="1011"/>
        <v>0</v>
      </c>
      <c r="GT201" s="121">
        <f t="shared" si="1011"/>
        <v>1400726</v>
      </c>
      <c r="GU201" s="121">
        <f t="shared" si="1011"/>
        <v>1400726</v>
      </c>
      <c r="GV201" s="121">
        <f t="shared" si="1011"/>
        <v>0</v>
      </c>
      <c r="GW201" s="121">
        <f t="shared" ref="GW201:HB201" si="1012">SUM(GW199:GW200)</f>
        <v>1470762</v>
      </c>
      <c r="GX201" s="121">
        <f t="shared" si="1012"/>
        <v>0</v>
      </c>
      <c r="GY201" s="121">
        <f t="shared" si="1012"/>
        <v>0</v>
      </c>
      <c r="GZ201" s="121">
        <f t="shared" si="1012"/>
        <v>1470762</v>
      </c>
      <c r="HA201" s="121">
        <f t="shared" si="1012"/>
        <v>1470762</v>
      </c>
      <c r="HB201" s="121">
        <f t="shared" si="1012"/>
        <v>70036</v>
      </c>
      <c r="HC201" s="121">
        <f>SUM(HC199:HC200)</f>
        <v>9.9608128267464499E-2</v>
      </c>
    </row>
    <row r="202" spans="1:226" x14ac:dyDescent="0.3">
      <c r="A202" s="98"/>
      <c r="B202" s="98"/>
      <c r="C202" s="98"/>
      <c r="D202" s="99"/>
      <c r="E202" s="108"/>
      <c r="F202" s="108"/>
      <c r="G202" s="108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127">
        <f>AY201*10*5%</f>
        <v>2425500</v>
      </c>
      <c r="AZ202" s="20"/>
      <c r="BA202" s="20"/>
      <c r="BB202" s="20"/>
      <c r="BC202" s="20"/>
      <c r="BD202" s="20"/>
      <c r="BE202" s="20"/>
      <c r="BF202" s="100"/>
      <c r="BG202" s="100"/>
      <c r="BH202" s="100"/>
      <c r="BI202" s="100"/>
      <c r="BJ202" s="100"/>
      <c r="BK202" s="100"/>
      <c r="BL202" s="100"/>
      <c r="BM202" s="100"/>
      <c r="BN202" s="100"/>
      <c r="BO202" s="100"/>
      <c r="BP202" s="100"/>
      <c r="BQ202" s="100"/>
      <c r="BR202" s="100"/>
      <c r="BS202" s="100"/>
      <c r="BT202" s="100"/>
      <c r="BU202" s="100"/>
      <c r="BV202" s="100"/>
      <c r="BW202" s="100"/>
      <c r="BX202" s="100"/>
      <c r="BY202" s="100"/>
      <c r="BZ202" s="100"/>
      <c r="CA202" s="100"/>
      <c r="CB202" s="100"/>
      <c r="CC202" s="100"/>
      <c r="CD202" s="100"/>
      <c r="CE202" s="100"/>
      <c r="CF202" s="100"/>
      <c r="CG202" s="100"/>
      <c r="CH202" s="100"/>
      <c r="CI202" s="100"/>
      <c r="CJ202" s="100"/>
      <c r="CK202" s="100"/>
      <c r="CL202" s="100"/>
      <c r="CM202" s="100"/>
      <c r="CN202" s="100"/>
      <c r="CO202" s="100"/>
      <c r="CP202" s="100"/>
      <c r="CQ202" s="100"/>
      <c r="CR202" s="100"/>
      <c r="CS202" s="100"/>
      <c r="CT202" s="100"/>
      <c r="CU202" s="100"/>
      <c r="CV202" s="100"/>
      <c r="CW202" s="100"/>
      <c r="CX202" s="100"/>
      <c r="CY202" s="100"/>
      <c r="CZ202" s="100"/>
      <c r="DA202" s="100"/>
      <c r="DB202" s="100"/>
      <c r="DC202" s="100"/>
      <c r="DD202" s="100"/>
      <c r="DE202" s="100"/>
      <c r="DF202" s="100"/>
      <c r="DG202" s="100"/>
      <c r="DH202" s="114"/>
    </row>
    <row r="203" spans="1:226" x14ac:dyDescent="0.3">
      <c r="A203" s="98"/>
      <c r="B203" s="98"/>
      <c r="C203" s="98"/>
      <c r="D203" s="99"/>
      <c r="E203" s="108"/>
      <c r="F203" s="108"/>
      <c r="G203" s="108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  <c r="BB203" s="20"/>
      <c r="BC203" s="20"/>
      <c r="BD203" s="20"/>
      <c r="BE203" s="20"/>
      <c r="BF203" s="100"/>
      <c r="BG203" s="100"/>
      <c r="BH203" s="100"/>
      <c r="BI203" s="100"/>
      <c r="BJ203" s="100"/>
      <c r="BK203" s="100"/>
      <c r="BL203" s="100"/>
      <c r="BM203" s="100"/>
      <c r="BN203" s="100"/>
      <c r="BO203" s="100"/>
      <c r="BP203" s="100"/>
      <c r="BQ203" s="100"/>
      <c r="BR203" s="100"/>
      <c r="BS203" s="100"/>
      <c r="BT203" s="100"/>
      <c r="BU203" s="100"/>
      <c r="BV203" s="100"/>
      <c r="BW203" s="100"/>
      <c r="BX203" s="100"/>
      <c r="BY203" s="100"/>
      <c r="BZ203" s="100"/>
      <c r="CA203" s="100"/>
      <c r="CB203" s="100"/>
      <c r="CC203" s="100"/>
      <c r="CD203" s="100"/>
      <c r="CE203" s="100"/>
      <c r="CF203" s="100"/>
      <c r="CG203" s="100"/>
      <c r="CH203" s="100"/>
      <c r="CI203" s="100"/>
      <c r="CJ203" s="100"/>
      <c r="CK203" s="100"/>
      <c r="CL203" s="100"/>
      <c r="CM203" s="100"/>
      <c r="CN203" s="100"/>
      <c r="CO203" s="100"/>
      <c r="CP203" s="100"/>
      <c r="CQ203" s="100"/>
      <c r="CR203" s="100"/>
      <c r="CS203" s="100"/>
      <c r="CT203" s="100"/>
      <c r="CU203" s="100"/>
      <c r="CV203" s="100"/>
      <c r="CW203" s="100"/>
      <c r="CX203" s="100"/>
      <c r="CY203" s="100"/>
      <c r="CZ203" s="100"/>
      <c r="DA203" s="100"/>
      <c r="DB203" s="100"/>
      <c r="DC203" s="100"/>
      <c r="DD203" s="100"/>
      <c r="DE203" s="100"/>
      <c r="DF203" s="100"/>
      <c r="DG203" s="100"/>
      <c r="DH203" s="114"/>
    </row>
    <row r="204" spans="1:226" s="74" customFormat="1" ht="52.5" customHeight="1" x14ac:dyDescent="0.3">
      <c r="A204" s="85" t="s">
        <v>0</v>
      </c>
      <c r="B204" s="85" t="s">
        <v>1</v>
      </c>
      <c r="C204" s="85" t="s">
        <v>217</v>
      </c>
      <c r="D204" s="86" t="s">
        <v>218</v>
      </c>
      <c r="E204" s="87" t="s">
        <v>233</v>
      </c>
      <c r="F204" s="87" t="s">
        <v>234</v>
      </c>
      <c r="G204" s="87" t="s">
        <v>235</v>
      </c>
      <c r="H204" s="87" t="s">
        <v>383</v>
      </c>
      <c r="I204" s="87" t="s">
        <v>382</v>
      </c>
      <c r="J204" s="87" t="s">
        <v>381</v>
      </c>
      <c r="K204" s="87" t="s">
        <v>380</v>
      </c>
      <c r="L204" s="87" t="s">
        <v>379</v>
      </c>
      <c r="M204" s="87" t="s">
        <v>378</v>
      </c>
      <c r="N204" s="87" t="s">
        <v>377</v>
      </c>
      <c r="O204" s="87" t="s">
        <v>394</v>
      </c>
      <c r="P204" s="87" t="s">
        <v>413</v>
      </c>
      <c r="Q204" s="87" t="s">
        <v>415</v>
      </c>
      <c r="R204" s="87" t="s">
        <v>417</v>
      </c>
      <c r="S204" s="87" t="s">
        <v>420</v>
      </c>
      <c r="T204" s="87" t="s">
        <v>421</v>
      </c>
      <c r="U204" s="87" t="s">
        <v>425</v>
      </c>
      <c r="V204" s="87" t="s">
        <v>426</v>
      </c>
      <c r="W204" s="87" t="s">
        <v>424</v>
      </c>
      <c r="X204" s="87" t="s">
        <v>437</v>
      </c>
      <c r="Y204" s="87" t="s">
        <v>439</v>
      </c>
      <c r="Z204" s="87" t="s">
        <v>447</v>
      </c>
      <c r="AA204" s="87" t="s">
        <v>458</v>
      </c>
      <c r="AB204" s="420" t="s">
        <v>459</v>
      </c>
      <c r="AC204" s="422"/>
      <c r="AD204" s="422"/>
      <c r="AE204" s="421"/>
      <c r="AF204" s="433" t="s">
        <v>462</v>
      </c>
      <c r="AG204" s="434"/>
      <c r="AH204" s="434"/>
      <c r="AI204" s="435"/>
      <c r="AJ204" s="420" t="s">
        <v>466</v>
      </c>
      <c r="AK204" s="422"/>
      <c r="AL204" s="422"/>
      <c r="AM204" s="421"/>
      <c r="AN204" s="433" t="s">
        <v>470</v>
      </c>
      <c r="AO204" s="434"/>
      <c r="AP204" s="434"/>
      <c r="AQ204" s="435"/>
      <c r="AR204" s="420" t="s">
        <v>478</v>
      </c>
      <c r="AS204" s="422"/>
      <c r="AT204" s="422"/>
      <c r="AU204" s="421"/>
      <c r="AV204" s="433" t="s">
        <v>483</v>
      </c>
      <c r="AW204" s="434"/>
      <c r="AX204" s="434"/>
      <c r="AY204" s="435"/>
      <c r="AZ204" s="436" t="s">
        <v>503</v>
      </c>
      <c r="BA204" s="436" t="s">
        <v>488</v>
      </c>
      <c r="BB204" s="436" t="s">
        <v>489</v>
      </c>
      <c r="BC204" s="436" t="s">
        <v>423</v>
      </c>
      <c r="BD204" s="436" t="s">
        <v>507</v>
      </c>
      <c r="BE204" s="436" t="s">
        <v>531</v>
      </c>
      <c r="BF204" s="437" t="s">
        <v>508</v>
      </c>
      <c r="BG204" s="437" t="s">
        <v>509</v>
      </c>
      <c r="BH204" s="420" t="s">
        <v>532</v>
      </c>
      <c r="BI204" s="422"/>
      <c r="BJ204" s="422"/>
      <c r="BK204" s="421"/>
      <c r="BL204" s="433" t="s">
        <v>539</v>
      </c>
      <c r="BM204" s="434"/>
      <c r="BN204" s="434"/>
      <c r="BO204" s="435"/>
      <c r="BP204" s="438" t="s">
        <v>538</v>
      </c>
      <c r="BQ204" s="420" t="s">
        <v>542</v>
      </c>
      <c r="BR204" s="422"/>
      <c r="BS204" s="422"/>
      <c r="BT204" s="421"/>
      <c r="BU204" s="438" t="s">
        <v>541</v>
      </c>
      <c r="BV204" s="420" t="s">
        <v>552</v>
      </c>
      <c r="BW204" s="422"/>
      <c r="BX204" s="422"/>
      <c r="BY204" s="421"/>
      <c r="BZ204" s="438" t="s">
        <v>553</v>
      </c>
      <c r="CA204" s="420" t="s">
        <v>578</v>
      </c>
      <c r="CB204" s="422"/>
      <c r="CC204" s="422"/>
      <c r="CD204" s="421"/>
      <c r="CE204" s="438" t="s">
        <v>579</v>
      </c>
      <c r="CF204" s="420" t="s">
        <v>581</v>
      </c>
      <c r="CG204" s="422"/>
      <c r="CH204" s="422"/>
      <c r="CI204" s="421"/>
      <c r="CJ204" s="438" t="s">
        <v>580</v>
      </c>
      <c r="CK204" s="420" t="s">
        <v>585</v>
      </c>
      <c r="CL204" s="422"/>
      <c r="CM204" s="422"/>
      <c r="CN204" s="421"/>
      <c r="CO204" s="438" t="s">
        <v>580</v>
      </c>
      <c r="CP204" s="420" t="s">
        <v>587</v>
      </c>
      <c r="CQ204" s="422"/>
      <c r="CR204" s="422"/>
      <c r="CS204" s="421"/>
      <c r="CT204" s="438" t="s">
        <v>588</v>
      </c>
      <c r="CU204" s="420" t="s">
        <v>590</v>
      </c>
      <c r="CV204" s="422"/>
      <c r="CW204" s="422"/>
      <c r="CX204" s="421"/>
      <c r="CY204" s="438" t="s">
        <v>591</v>
      </c>
      <c r="CZ204" s="294"/>
      <c r="DA204" s="294"/>
      <c r="DB204" s="294"/>
      <c r="DC204" s="95" t="s">
        <v>602</v>
      </c>
      <c r="DD204" s="95" t="s">
        <v>488</v>
      </c>
      <c r="DE204" s="95" t="s">
        <v>489</v>
      </c>
      <c r="DF204" s="95" t="s">
        <v>603</v>
      </c>
      <c r="DG204" s="95" t="s">
        <v>423</v>
      </c>
      <c r="DH204" s="85" t="s">
        <v>2</v>
      </c>
      <c r="DI204" s="427" t="s">
        <v>613</v>
      </c>
      <c r="DJ204" s="427"/>
      <c r="DK204" s="427"/>
      <c r="DL204" s="427"/>
      <c r="DM204" s="427"/>
      <c r="DN204" s="427"/>
      <c r="DO204" s="427"/>
      <c r="DP204" s="427"/>
      <c r="DQ204" s="423" t="s">
        <v>614</v>
      </c>
      <c r="DR204" s="424"/>
      <c r="DS204" s="424"/>
      <c r="DT204" s="424"/>
      <c r="DU204" s="425"/>
      <c r="DV204" s="87" t="s">
        <v>615</v>
      </c>
      <c r="DW204" s="423" t="s">
        <v>623</v>
      </c>
      <c r="DX204" s="424"/>
      <c r="DY204" s="424"/>
      <c r="DZ204" s="424"/>
      <c r="EA204" s="425"/>
      <c r="EB204" s="87" t="s">
        <v>624</v>
      </c>
      <c r="EC204" s="423" t="s">
        <v>627</v>
      </c>
      <c r="ED204" s="424"/>
      <c r="EE204" s="424"/>
      <c r="EF204" s="424"/>
      <c r="EG204" s="425"/>
      <c r="EH204" s="87" t="s">
        <v>628</v>
      </c>
      <c r="EI204" s="423" t="s">
        <v>631</v>
      </c>
      <c r="EJ204" s="424"/>
      <c r="EK204" s="424"/>
      <c r="EL204" s="424"/>
      <c r="EM204" s="425"/>
      <c r="EN204" s="87" t="s">
        <v>632</v>
      </c>
      <c r="EO204" s="423" t="s">
        <v>638</v>
      </c>
      <c r="EP204" s="424"/>
      <c r="EQ204" s="424"/>
      <c r="ER204" s="424"/>
      <c r="ES204" s="425"/>
      <c r="ET204" s="87" t="s">
        <v>637</v>
      </c>
      <c r="EU204" s="423" t="s">
        <v>641</v>
      </c>
      <c r="EV204" s="424"/>
      <c r="EW204" s="424"/>
      <c r="EX204" s="424"/>
      <c r="EY204" s="425"/>
      <c r="EZ204" s="87" t="s">
        <v>642</v>
      </c>
      <c r="FA204" s="423" t="s">
        <v>645</v>
      </c>
      <c r="FB204" s="424"/>
      <c r="FC204" s="424"/>
      <c r="FD204" s="424"/>
      <c r="FE204" s="425"/>
      <c r="FF204" s="87" t="s">
        <v>646</v>
      </c>
      <c r="FG204" s="423" t="s">
        <v>653</v>
      </c>
      <c r="FH204" s="424"/>
      <c r="FI204" s="424"/>
      <c r="FJ204" s="424"/>
      <c r="FK204" s="425"/>
      <c r="FL204" s="87" t="s">
        <v>654</v>
      </c>
      <c r="FM204" s="423" t="s">
        <v>662</v>
      </c>
      <c r="FN204" s="424"/>
      <c r="FO204" s="424"/>
      <c r="FP204" s="424"/>
      <c r="FQ204" s="425"/>
      <c r="FR204" s="87" t="s">
        <v>657</v>
      </c>
      <c r="FS204" s="423" t="s">
        <v>661</v>
      </c>
      <c r="FT204" s="424"/>
      <c r="FU204" s="424"/>
      <c r="FV204" s="424"/>
      <c r="FW204" s="425"/>
      <c r="FX204" s="87" t="s">
        <v>663</v>
      </c>
      <c r="FY204" s="423" t="s">
        <v>665</v>
      </c>
      <c r="FZ204" s="424"/>
      <c r="GA204" s="424"/>
      <c r="GB204" s="424"/>
      <c r="GC204" s="425"/>
      <c r="GD204" s="87" t="s">
        <v>666</v>
      </c>
      <c r="GE204" s="423" t="s">
        <v>668</v>
      </c>
      <c r="GF204" s="424"/>
      <c r="GG204" s="424"/>
      <c r="GH204" s="424"/>
      <c r="GI204" s="425"/>
      <c r="GJ204" s="87" t="s">
        <v>669</v>
      </c>
      <c r="GK204" s="423" t="s">
        <v>671</v>
      </c>
      <c r="GL204" s="424"/>
      <c r="GM204" s="424"/>
      <c r="GN204" s="424"/>
      <c r="GO204" s="425"/>
      <c r="GP204" s="87" t="s">
        <v>672</v>
      </c>
      <c r="GQ204" s="423" t="s">
        <v>674</v>
      </c>
      <c r="GR204" s="424"/>
      <c r="GS204" s="424"/>
      <c r="GT204" s="424"/>
      <c r="GU204" s="425"/>
      <c r="GV204" s="87" t="s">
        <v>675</v>
      </c>
      <c r="GW204" s="423" t="s">
        <v>696</v>
      </c>
      <c r="GX204" s="424"/>
      <c r="GY204" s="424"/>
      <c r="GZ204" s="424"/>
      <c r="HA204" s="425"/>
      <c r="HB204" s="87" t="s">
        <v>697</v>
      </c>
      <c r="HC204" s="85" t="s">
        <v>2</v>
      </c>
      <c r="HD204" s="6"/>
      <c r="HE204" s="439" t="s">
        <v>678</v>
      </c>
      <c r="HF204" s="439"/>
      <c r="HG204" s="439"/>
      <c r="HH204" s="439"/>
      <c r="HI204" s="439"/>
      <c r="HJ204" s="85" t="s">
        <v>2</v>
      </c>
      <c r="HK204" s="593" t="s">
        <v>698</v>
      </c>
      <c r="HL204" s="594"/>
      <c r="HM204" s="594"/>
      <c r="HN204" s="594"/>
      <c r="HO204" s="594"/>
      <c r="HP204" s="594"/>
      <c r="HQ204" s="594"/>
      <c r="HR204" s="594"/>
    </row>
    <row r="205" spans="1:226" s="74" customFormat="1" ht="30.6" x14ac:dyDescent="0.3">
      <c r="A205" s="85"/>
      <c r="B205" s="446" t="s">
        <v>568</v>
      </c>
      <c r="C205" s="441"/>
      <c r="D205" s="442"/>
      <c r="E205" s="87"/>
      <c r="F205" s="87"/>
      <c r="G205" s="87"/>
      <c r="H205" s="88"/>
      <c r="I205" s="88"/>
      <c r="J205" s="294"/>
      <c r="K205" s="88"/>
      <c r="L205" s="87"/>
      <c r="M205" s="87"/>
      <c r="N205" s="87"/>
      <c r="O205" s="294"/>
      <c r="P205" s="294"/>
      <c r="Q205" s="294"/>
      <c r="R205" s="294"/>
      <c r="S205" s="294"/>
      <c r="T205" s="294"/>
      <c r="U205" s="294"/>
      <c r="V205" s="294"/>
      <c r="W205" s="294"/>
      <c r="X205" s="294"/>
      <c r="Y205" s="294"/>
      <c r="Z205" s="294"/>
      <c r="AA205" s="294"/>
      <c r="AB205" s="112" t="s">
        <v>234</v>
      </c>
      <c r="AC205" s="112" t="s">
        <v>454</v>
      </c>
      <c r="AD205" s="112" t="s">
        <v>455</v>
      </c>
      <c r="AE205" s="112" t="s">
        <v>456</v>
      </c>
      <c r="AF205" s="14" t="s">
        <v>234</v>
      </c>
      <c r="AG205" s="14" t="s">
        <v>454</v>
      </c>
      <c r="AH205" s="14" t="s">
        <v>455</v>
      </c>
      <c r="AI205" s="14" t="s">
        <v>456</v>
      </c>
      <c r="AJ205" s="112" t="s">
        <v>234</v>
      </c>
      <c r="AK205" s="112" t="s">
        <v>454</v>
      </c>
      <c r="AL205" s="112" t="s">
        <v>455</v>
      </c>
      <c r="AM205" s="112" t="s">
        <v>456</v>
      </c>
      <c r="AN205" s="14" t="s">
        <v>234</v>
      </c>
      <c r="AO205" s="14" t="s">
        <v>454</v>
      </c>
      <c r="AP205" s="14" t="s">
        <v>455</v>
      </c>
      <c r="AQ205" s="14" t="s">
        <v>456</v>
      </c>
      <c r="AR205" s="112" t="s">
        <v>234</v>
      </c>
      <c r="AS205" s="112" t="s">
        <v>454</v>
      </c>
      <c r="AT205" s="112" t="s">
        <v>455</v>
      </c>
      <c r="AU205" s="112" t="s">
        <v>456</v>
      </c>
      <c r="AV205" s="14" t="s">
        <v>234</v>
      </c>
      <c r="AW205" s="14" t="s">
        <v>454</v>
      </c>
      <c r="AX205" s="14" t="s">
        <v>455</v>
      </c>
      <c r="AY205" s="14" t="s">
        <v>456</v>
      </c>
      <c r="AZ205" s="443"/>
      <c r="BA205" s="443"/>
      <c r="BB205" s="443"/>
      <c r="BC205" s="443"/>
      <c r="BD205" s="443"/>
      <c r="BE205" s="443"/>
      <c r="BF205" s="444"/>
      <c r="BG205" s="444"/>
      <c r="BH205" s="112" t="s">
        <v>234</v>
      </c>
      <c r="BI205" s="112" t="s">
        <v>454</v>
      </c>
      <c r="BJ205" s="112" t="s">
        <v>455</v>
      </c>
      <c r="BK205" s="112" t="s">
        <v>456</v>
      </c>
      <c r="BL205" s="14" t="s">
        <v>234</v>
      </c>
      <c r="BM205" s="14" t="s">
        <v>454</v>
      </c>
      <c r="BN205" s="14" t="s">
        <v>455</v>
      </c>
      <c r="BO205" s="14" t="s">
        <v>456</v>
      </c>
      <c r="BP205" s="445"/>
      <c r="BQ205" s="112" t="s">
        <v>234</v>
      </c>
      <c r="BR205" s="112" t="s">
        <v>454</v>
      </c>
      <c r="BS205" s="112" t="s">
        <v>455</v>
      </c>
      <c r="BT205" s="112" t="s">
        <v>456</v>
      </c>
      <c r="BU205" s="445"/>
      <c r="BV205" s="112" t="s">
        <v>234</v>
      </c>
      <c r="BW205" s="112" t="s">
        <v>454</v>
      </c>
      <c r="BX205" s="112" t="s">
        <v>455</v>
      </c>
      <c r="BY205" s="112" t="s">
        <v>456</v>
      </c>
      <c r="BZ205" s="445"/>
      <c r="CA205" s="112" t="s">
        <v>234</v>
      </c>
      <c r="CB205" s="112" t="s">
        <v>454</v>
      </c>
      <c r="CC205" s="112" t="s">
        <v>455</v>
      </c>
      <c r="CD205" s="112" t="s">
        <v>456</v>
      </c>
      <c r="CE205" s="445"/>
      <c r="CF205" s="112" t="s">
        <v>234</v>
      </c>
      <c r="CG205" s="112" t="s">
        <v>454</v>
      </c>
      <c r="CH205" s="112" t="s">
        <v>455</v>
      </c>
      <c r="CI205" s="112" t="s">
        <v>456</v>
      </c>
      <c r="CJ205" s="445"/>
      <c r="CK205" s="112" t="s">
        <v>234</v>
      </c>
      <c r="CL205" s="112" t="s">
        <v>454</v>
      </c>
      <c r="CM205" s="112" t="s">
        <v>455</v>
      </c>
      <c r="CN205" s="112" t="s">
        <v>456</v>
      </c>
      <c r="CO205" s="445"/>
      <c r="CP205" s="112" t="s">
        <v>234</v>
      </c>
      <c r="CQ205" s="112" t="s">
        <v>454</v>
      </c>
      <c r="CR205" s="112" t="s">
        <v>455</v>
      </c>
      <c r="CS205" s="112" t="s">
        <v>456</v>
      </c>
      <c r="CT205" s="445"/>
      <c r="CU205" s="112" t="s">
        <v>234</v>
      </c>
      <c r="CV205" s="112" t="s">
        <v>454</v>
      </c>
      <c r="CW205" s="112" t="s">
        <v>455</v>
      </c>
      <c r="CX205" s="112" t="s">
        <v>456</v>
      </c>
      <c r="CY205" s="445"/>
      <c r="CZ205" s="295"/>
      <c r="DA205" s="295"/>
      <c r="DB205" s="295"/>
      <c r="DC205" s="95" t="s">
        <v>602</v>
      </c>
      <c r="DD205" s="95" t="s">
        <v>488</v>
      </c>
      <c r="DE205" s="95" t="s">
        <v>489</v>
      </c>
      <c r="DF205" s="95" t="s">
        <v>603</v>
      </c>
      <c r="DG205" s="95" t="s">
        <v>423</v>
      </c>
      <c r="DH205" s="89"/>
      <c r="DI205" s="90" t="s">
        <v>604</v>
      </c>
      <c r="DJ205" s="91" t="s">
        <v>605</v>
      </c>
      <c r="DK205" s="92" t="s">
        <v>606</v>
      </c>
      <c r="DL205" s="92" t="s">
        <v>607</v>
      </c>
      <c r="DM205" s="91" t="s">
        <v>608</v>
      </c>
      <c r="DN205" s="91" t="s">
        <v>609</v>
      </c>
      <c r="DO205" s="91" t="s">
        <v>611</v>
      </c>
      <c r="DP205" s="91" t="s">
        <v>610</v>
      </c>
      <c r="DQ205" s="112" t="s">
        <v>234</v>
      </c>
      <c r="DR205" s="112" t="s">
        <v>454</v>
      </c>
      <c r="DS205" s="112" t="s">
        <v>455</v>
      </c>
      <c r="DT205" s="93" t="s">
        <v>456</v>
      </c>
      <c r="DU205" s="94" t="s">
        <v>457</v>
      </c>
      <c r="DV205" s="87"/>
      <c r="DW205" s="112" t="s">
        <v>234</v>
      </c>
      <c r="DX205" s="112" t="s">
        <v>454</v>
      </c>
      <c r="DY205" s="112" t="s">
        <v>455</v>
      </c>
      <c r="DZ205" s="93" t="s">
        <v>456</v>
      </c>
      <c r="EA205" s="94" t="s">
        <v>457</v>
      </c>
      <c r="EB205" s="87"/>
      <c r="EC205" s="112" t="s">
        <v>234</v>
      </c>
      <c r="ED205" s="112" t="s">
        <v>454</v>
      </c>
      <c r="EE205" s="112" t="s">
        <v>455</v>
      </c>
      <c r="EF205" s="93" t="s">
        <v>456</v>
      </c>
      <c r="EG205" s="94" t="s">
        <v>457</v>
      </c>
      <c r="EH205" s="87"/>
      <c r="EI205" s="112" t="s">
        <v>234</v>
      </c>
      <c r="EJ205" s="112" t="s">
        <v>454</v>
      </c>
      <c r="EK205" s="112" t="s">
        <v>455</v>
      </c>
      <c r="EL205" s="93" t="s">
        <v>456</v>
      </c>
      <c r="EM205" s="94" t="s">
        <v>457</v>
      </c>
      <c r="EN205" s="87"/>
      <c r="EO205" s="112" t="s">
        <v>234</v>
      </c>
      <c r="EP205" s="112" t="s">
        <v>454</v>
      </c>
      <c r="EQ205" s="112" t="s">
        <v>455</v>
      </c>
      <c r="ER205" s="93" t="s">
        <v>456</v>
      </c>
      <c r="ES205" s="94" t="s">
        <v>457</v>
      </c>
      <c r="ET205" s="87"/>
      <c r="EU205" s="112" t="s">
        <v>234</v>
      </c>
      <c r="EV205" s="112" t="s">
        <v>454</v>
      </c>
      <c r="EW205" s="112" t="s">
        <v>455</v>
      </c>
      <c r="EX205" s="93" t="s">
        <v>456</v>
      </c>
      <c r="EY205" s="94" t="s">
        <v>457</v>
      </c>
      <c r="EZ205" s="87"/>
      <c r="FA205" s="112" t="s">
        <v>234</v>
      </c>
      <c r="FB205" s="112" t="s">
        <v>454</v>
      </c>
      <c r="FC205" s="112" t="s">
        <v>455</v>
      </c>
      <c r="FD205" s="93" t="s">
        <v>456</v>
      </c>
      <c r="FE205" s="94" t="s">
        <v>457</v>
      </c>
      <c r="FF205" s="87"/>
      <c r="FG205" s="112" t="s">
        <v>234</v>
      </c>
      <c r="FH205" s="112" t="s">
        <v>454</v>
      </c>
      <c r="FI205" s="112" t="s">
        <v>455</v>
      </c>
      <c r="FJ205" s="93" t="s">
        <v>456</v>
      </c>
      <c r="FK205" s="94" t="s">
        <v>457</v>
      </c>
      <c r="FL205" s="87"/>
      <c r="FM205" s="112" t="s">
        <v>234</v>
      </c>
      <c r="FN205" s="112" t="s">
        <v>454</v>
      </c>
      <c r="FO205" s="112" t="s">
        <v>455</v>
      </c>
      <c r="FP205" s="93" t="s">
        <v>456</v>
      </c>
      <c r="FQ205" s="94" t="s">
        <v>457</v>
      </c>
      <c r="FR205" s="87"/>
      <c r="FS205" s="112" t="s">
        <v>234</v>
      </c>
      <c r="FT205" s="112" t="s">
        <v>454</v>
      </c>
      <c r="FU205" s="112" t="s">
        <v>455</v>
      </c>
      <c r="FV205" s="93" t="s">
        <v>456</v>
      </c>
      <c r="FW205" s="94" t="s">
        <v>457</v>
      </c>
      <c r="FX205" s="87"/>
      <c r="FY205" s="112" t="s">
        <v>234</v>
      </c>
      <c r="FZ205" s="112" t="s">
        <v>454</v>
      </c>
      <c r="GA205" s="112" t="s">
        <v>455</v>
      </c>
      <c r="GB205" s="93" t="s">
        <v>456</v>
      </c>
      <c r="GC205" s="94" t="s">
        <v>457</v>
      </c>
      <c r="GD205" s="87"/>
      <c r="GE205" s="112" t="s">
        <v>234</v>
      </c>
      <c r="GF205" s="112" t="s">
        <v>454</v>
      </c>
      <c r="GG205" s="112" t="s">
        <v>455</v>
      </c>
      <c r="GH205" s="93" t="s">
        <v>456</v>
      </c>
      <c r="GI205" s="94" t="s">
        <v>457</v>
      </c>
      <c r="GJ205" s="87"/>
      <c r="GK205" s="112" t="s">
        <v>234</v>
      </c>
      <c r="GL205" s="112" t="s">
        <v>454</v>
      </c>
      <c r="GM205" s="112" t="s">
        <v>455</v>
      </c>
      <c r="GN205" s="93" t="s">
        <v>456</v>
      </c>
      <c r="GO205" s="94" t="s">
        <v>457</v>
      </c>
      <c r="GP205" s="87"/>
      <c r="GQ205" s="112" t="s">
        <v>234</v>
      </c>
      <c r="GR205" s="112" t="s">
        <v>454</v>
      </c>
      <c r="GS205" s="112" t="s">
        <v>455</v>
      </c>
      <c r="GT205" s="93" t="s">
        <v>456</v>
      </c>
      <c r="GU205" s="94" t="s">
        <v>457</v>
      </c>
      <c r="GV205" s="87"/>
      <c r="GW205" s="112" t="s">
        <v>234</v>
      </c>
      <c r="GX205" s="112" t="s">
        <v>454</v>
      </c>
      <c r="GY205" s="112" t="s">
        <v>455</v>
      </c>
      <c r="GZ205" s="93" t="s">
        <v>456</v>
      </c>
      <c r="HA205" s="94" t="s">
        <v>457</v>
      </c>
      <c r="HB205" s="87"/>
      <c r="HC205" s="85"/>
      <c r="HD205" s="6"/>
      <c r="HE205" s="95" t="s">
        <v>679</v>
      </c>
      <c r="HF205" s="95" t="s">
        <v>488</v>
      </c>
      <c r="HG205" s="220" t="s">
        <v>489</v>
      </c>
      <c r="HH205" s="95" t="s">
        <v>603</v>
      </c>
      <c r="HI205" s="95" t="s">
        <v>423</v>
      </c>
      <c r="HJ205" s="85"/>
      <c r="HK205" s="90" t="s">
        <v>680</v>
      </c>
      <c r="HL205" s="91" t="s">
        <v>681</v>
      </c>
      <c r="HM205" s="92" t="s">
        <v>606</v>
      </c>
      <c r="HN205" s="92" t="s">
        <v>607</v>
      </c>
      <c r="HO205" s="91" t="s">
        <v>608</v>
      </c>
      <c r="HP205" s="91" t="s">
        <v>609</v>
      </c>
      <c r="HQ205" s="92" t="s">
        <v>456</v>
      </c>
      <c r="HR205" s="91" t="s">
        <v>610</v>
      </c>
    </row>
    <row r="206" spans="1:226" x14ac:dyDescent="0.3">
      <c r="A206" s="326">
        <v>1</v>
      </c>
      <c r="B206" s="326" t="s">
        <v>164</v>
      </c>
      <c r="C206" s="326" t="s">
        <v>165</v>
      </c>
      <c r="D206" s="21" t="s">
        <v>166</v>
      </c>
      <c r="E206" s="4"/>
      <c r="F206" s="4"/>
      <c r="G206" s="4"/>
      <c r="H206" s="325"/>
      <c r="I206" s="325">
        <v>20185</v>
      </c>
      <c r="J206" s="325"/>
      <c r="K206" s="325"/>
      <c r="L206" s="325">
        <v>20185</v>
      </c>
      <c r="M206" s="6">
        <v>20185</v>
      </c>
      <c r="N206" s="6">
        <v>20185</v>
      </c>
      <c r="O206" s="7">
        <v>20185</v>
      </c>
      <c r="P206" s="7">
        <v>20185</v>
      </c>
      <c r="Q206" s="7">
        <v>20185</v>
      </c>
      <c r="R206" s="7">
        <v>20185</v>
      </c>
      <c r="S206" s="7">
        <v>20185</v>
      </c>
      <c r="T206" s="7">
        <v>20185</v>
      </c>
      <c r="U206" s="7">
        <f t="shared" ref="U206:U211" si="1013">T206*5%</f>
        <v>1009.25</v>
      </c>
      <c r="V206" s="7">
        <f t="shared" ref="V206:V211" si="1014">T206+U206</f>
        <v>21194.25</v>
      </c>
      <c r="W206" s="7">
        <v>21194</v>
      </c>
      <c r="X206" s="7">
        <v>21194</v>
      </c>
      <c r="Y206" s="7">
        <v>21194</v>
      </c>
      <c r="Z206" s="7">
        <v>21194</v>
      </c>
      <c r="AA206" s="7">
        <v>21194</v>
      </c>
      <c r="AB206" s="7">
        <v>21194</v>
      </c>
      <c r="AC206" s="4">
        <v>0</v>
      </c>
      <c r="AD206" s="4">
        <v>0</v>
      </c>
      <c r="AE206" s="7">
        <f t="shared" ref="AE206:AE211" si="1015">AD206+AC206+AB206</f>
        <v>21194</v>
      </c>
      <c r="AF206" s="7">
        <v>21194</v>
      </c>
      <c r="AG206" s="4">
        <v>0</v>
      </c>
      <c r="AH206" s="4">
        <v>0</v>
      </c>
      <c r="AI206" s="7">
        <f t="shared" ref="AI206:AI211" si="1016">AH206+AG206+AF206</f>
        <v>21194</v>
      </c>
      <c r="AJ206" s="7">
        <v>21194</v>
      </c>
      <c r="AK206" s="4">
        <v>0</v>
      </c>
      <c r="AL206" s="4">
        <v>0</v>
      </c>
      <c r="AM206" s="7">
        <f t="shared" ref="AM206:AM211" si="1017">AL206+AK206+AJ206</f>
        <v>21194</v>
      </c>
      <c r="AN206" s="7">
        <v>21194</v>
      </c>
      <c r="AO206" s="4">
        <v>0</v>
      </c>
      <c r="AP206" s="4">
        <v>0</v>
      </c>
      <c r="AQ206" s="7">
        <f t="shared" ref="AQ206:AQ211" si="1018">AP206+AO206+AN206</f>
        <v>21194</v>
      </c>
      <c r="AR206" s="7">
        <v>21194</v>
      </c>
      <c r="AS206" s="4">
        <v>0</v>
      </c>
      <c r="AT206" s="4">
        <v>0</v>
      </c>
      <c r="AU206" s="7">
        <f t="shared" ref="AU206:AU211" si="1019">AT206+AS206+AR206</f>
        <v>21194</v>
      </c>
      <c r="AV206" s="7">
        <v>21194</v>
      </c>
      <c r="AW206" s="4">
        <v>0</v>
      </c>
      <c r="AX206" s="4">
        <v>0</v>
      </c>
      <c r="AY206" s="7">
        <f t="shared" ref="AY206:AY211" si="1020">AX206+AW206+AV206</f>
        <v>21194</v>
      </c>
      <c r="AZ206" s="8">
        <f t="shared" ref="AZ206:AZ211" si="1021">AY206*5%</f>
        <v>1059.7</v>
      </c>
      <c r="BA206" s="8">
        <v>0.7</v>
      </c>
      <c r="BB206" s="8">
        <f t="shared" ref="BB206:BB211" si="1022">AZ206-BA206</f>
        <v>1059</v>
      </c>
      <c r="BC206" s="8">
        <f t="shared" ref="BC206:BC211" si="1023">BB206+AY206</f>
        <v>22253</v>
      </c>
      <c r="BD206" s="8"/>
      <c r="BE206" s="8">
        <f t="shared" ref="BE206:BE211" si="1024">BD206+BC206</f>
        <v>22253</v>
      </c>
      <c r="BF206" s="10">
        <f t="shared" ref="BF206:BF211" si="1025">BE206-AY206</f>
        <v>1059</v>
      </c>
      <c r="BG206" s="11">
        <f t="shared" ref="BG206:BG211" si="1026">BF206-BB206</f>
        <v>0</v>
      </c>
      <c r="BH206" s="319">
        <v>22253</v>
      </c>
      <c r="BI206" s="319">
        <v>0</v>
      </c>
      <c r="BJ206" s="319">
        <v>0</v>
      </c>
      <c r="BK206" s="319">
        <f t="shared" ref="BK206:BK211" si="1027">BJ206+BI206+BH206</f>
        <v>22253</v>
      </c>
      <c r="BL206" s="319">
        <v>22253</v>
      </c>
      <c r="BM206" s="319">
        <v>0</v>
      </c>
      <c r="BN206" s="319">
        <v>0</v>
      </c>
      <c r="BO206" s="319">
        <f t="shared" ref="BO206:BO211" si="1028">BN206+BM206+BL206</f>
        <v>22253</v>
      </c>
      <c r="BP206" s="319">
        <f t="shared" ref="BP206:BP211" si="1029">BO206-BK206</f>
        <v>0</v>
      </c>
      <c r="BQ206" s="319">
        <v>22253</v>
      </c>
      <c r="BR206" s="319">
        <v>0</v>
      </c>
      <c r="BS206" s="319">
        <v>0</v>
      </c>
      <c r="BT206" s="319">
        <f t="shared" ref="BT206:BT211" si="1030">BS206+BR206+BQ206</f>
        <v>22253</v>
      </c>
      <c r="BU206" s="319">
        <f t="shared" ref="BU206:BU211" si="1031">BT206-BO206</f>
        <v>0</v>
      </c>
      <c r="BV206" s="319">
        <v>22253</v>
      </c>
      <c r="BW206" s="319">
        <v>0</v>
      </c>
      <c r="BX206" s="319">
        <v>0</v>
      </c>
      <c r="BY206" s="319">
        <f t="shared" ref="BY206:BY211" si="1032">BX206+BW206+BV206</f>
        <v>22253</v>
      </c>
      <c r="BZ206" s="319">
        <f t="shared" ref="BZ206:BZ211" si="1033">BY206-BT206</f>
        <v>0</v>
      </c>
      <c r="CA206" s="319">
        <v>22253</v>
      </c>
      <c r="CB206" s="319">
        <v>0</v>
      </c>
      <c r="CC206" s="319">
        <v>0</v>
      </c>
      <c r="CD206" s="319">
        <f t="shared" ref="CD206:CD211" si="1034">CC206+CB206+CA206</f>
        <v>22253</v>
      </c>
      <c r="CE206" s="319">
        <f t="shared" ref="CE206:CE211" si="1035">CD206-BY206</f>
        <v>0</v>
      </c>
      <c r="CF206" s="319">
        <v>22253</v>
      </c>
      <c r="CG206" s="319">
        <v>0</v>
      </c>
      <c r="CH206" s="319">
        <v>0</v>
      </c>
      <c r="CI206" s="319">
        <f t="shared" ref="CI206:CI211" si="1036">CH206+CG206+CF206</f>
        <v>22253</v>
      </c>
      <c r="CJ206" s="319">
        <f t="shared" ref="CJ206:CJ211" si="1037">CI206-CD206</f>
        <v>0</v>
      </c>
      <c r="CK206" s="319">
        <v>22253</v>
      </c>
      <c r="CL206" s="319">
        <v>0</v>
      </c>
      <c r="CM206" s="319">
        <v>0</v>
      </c>
      <c r="CN206" s="319">
        <f t="shared" ref="CN206:CN211" si="1038">CM206+CL206+CK206</f>
        <v>22253</v>
      </c>
      <c r="CO206" s="319">
        <f t="shared" ref="CO206:CO211" si="1039">CN206-CI206</f>
        <v>0</v>
      </c>
      <c r="CP206" s="319">
        <v>22253</v>
      </c>
      <c r="CQ206" s="319">
        <v>0</v>
      </c>
      <c r="CR206" s="319">
        <v>0</v>
      </c>
      <c r="CS206" s="319">
        <f t="shared" ref="CS206:CS211" si="1040">CR206+CQ206+CP206</f>
        <v>22253</v>
      </c>
      <c r="CT206" s="319">
        <f t="shared" ref="CT206:CT211" si="1041">CS206-CN206</f>
        <v>0</v>
      </c>
      <c r="CU206" s="319">
        <v>22253</v>
      </c>
      <c r="CV206" s="319">
        <v>0</v>
      </c>
      <c r="CW206" s="319">
        <v>0</v>
      </c>
      <c r="CX206" s="319">
        <f t="shared" ref="CX206:CX211" si="1042">CW206+CV206+CU206</f>
        <v>22253</v>
      </c>
      <c r="CY206" s="319">
        <f t="shared" ref="CY206:CY211" si="1043">CX206-CS206</f>
        <v>0</v>
      </c>
      <c r="CZ206" s="319"/>
      <c r="DA206" s="319"/>
      <c r="DB206" s="319"/>
      <c r="DC206" s="12">
        <f t="shared" ref="DC206:DC211" si="1044">CX206*10%</f>
        <v>2225.3000000000002</v>
      </c>
      <c r="DD206" s="12">
        <v>0.3</v>
      </c>
      <c r="DE206" s="13">
        <f t="shared" ref="DE206:DE211" si="1045">DC206-DD206</f>
        <v>2225</v>
      </c>
      <c r="DF206" s="14">
        <f t="shared" ref="DF206:DF211" si="1046">DE206:DE206</f>
        <v>2225</v>
      </c>
      <c r="DG206" s="13">
        <f t="shared" ref="DG206:DG211" si="1047">DE206+CX206</f>
        <v>24478</v>
      </c>
      <c r="DH206" s="15">
        <f t="shared" ref="DH206:DH211" si="1048">100/1278396949*CX206</f>
        <v>1.7406956436658392E-3</v>
      </c>
      <c r="DI206" s="16">
        <f t="shared" ref="DI206:DI211" si="1049">CX206</f>
        <v>22253</v>
      </c>
      <c r="DJ206" s="132">
        <f t="shared" ref="DJ206:DJ211" si="1050">DI206*1.1</f>
        <v>24478.300000000003</v>
      </c>
      <c r="DK206" s="17">
        <f t="shared" ref="DK206:DK211" si="1051">DJ206-DI206</f>
        <v>2225.3000000000029</v>
      </c>
      <c r="DL206" s="17">
        <f t="shared" ref="DL206:DL211" si="1052">DD206</f>
        <v>0.3</v>
      </c>
      <c r="DM206" s="16">
        <f t="shared" ref="DM206:DM211" si="1053">DK206-DL206</f>
        <v>2225.0000000000027</v>
      </c>
      <c r="DN206" s="16">
        <f t="shared" ref="DN206:DN211" si="1054">DM206-DE206</f>
        <v>0</v>
      </c>
      <c r="DO206" s="16">
        <f t="shared" ref="DO206:DO211" si="1055">DM206+DI206</f>
        <v>24478.000000000004</v>
      </c>
      <c r="DP206" s="16">
        <f t="shared" ref="DP206:DP211" si="1056">DO206-DG206</f>
        <v>0</v>
      </c>
      <c r="DQ206" s="9">
        <v>24478</v>
      </c>
      <c r="DR206" s="18" t="s">
        <v>238</v>
      </c>
      <c r="DS206" s="18" t="s">
        <v>238</v>
      </c>
      <c r="DT206" s="324">
        <f t="shared" ref="DT206:DT211" si="1057">DQ206+DR206+DS206</f>
        <v>24478</v>
      </c>
      <c r="DU206" s="321">
        <f t="shared" ref="DU206:DU211" si="1058">DT206</f>
        <v>24478</v>
      </c>
      <c r="DV206" s="19">
        <f t="shared" ref="DV206:DV211" si="1059">DT206-DG206</f>
        <v>0</v>
      </c>
      <c r="DW206" s="9">
        <v>24478</v>
      </c>
      <c r="DX206" s="18"/>
      <c r="DY206" s="18"/>
      <c r="DZ206" s="324">
        <f t="shared" ref="DZ206:DZ211" si="1060">DW206+DX206+DY206</f>
        <v>24478</v>
      </c>
      <c r="EA206" s="321">
        <f t="shared" ref="EA206:EA211" si="1061">DZ206</f>
        <v>24478</v>
      </c>
      <c r="EB206" s="179">
        <f t="shared" ref="EB206:EB211" si="1062">DZ206-DT206</f>
        <v>0</v>
      </c>
      <c r="EC206" s="9">
        <v>24478</v>
      </c>
      <c r="ED206" s="18" t="s">
        <v>238</v>
      </c>
      <c r="EE206" s="18" t="s">
        <v>238</v>
      </c>
      <c r="EF206" s="324">
        <f t="shared" ref="EF206:EF211" si="1063">EC206+ED206+EE206</f>
        <v>24478</v>
      </c>
      <c r="EG206" s="321">
        <f t="shared" ref="EG206:EG211" si="1064">EF206</f>
        <v>24478</v>
      </c>
      <c r="EH206" s="179">
        <f t="shared" ref="EH206:EH211" si="1065">EF206-DZ206</f>
        <v>0</v>
      </c>
      <c r="EI206" s="9">
        <v>24478</v>
      </c>
      <c r="EJ206" s="18" t="s">
        <v>238</v>
      </c>
      <c r="EK206" s="18" t="s">
        <v>238</v>
      </c>
      <c r="EL206" s="324">
        <f t="shared" ref="EL206:EL211" si="1066">EI206+EJ206+EK206</f>
        <v>24478</v>
      </c>
      <c r="EM206" s="321">
        <f t="shared" ref="EM206:EM211" si="1067">EL206</f>
        <v>24478</v>
      </c>
      <c r="EN206" s="179">
        <f t="shared" ref="EN206:EN211" si="1068">EL206-EF206</f>
        <v>0</v>
      </c>
      <c r="EO206" s="9">
        <v>24478</v>
      </c>
      <c r="EP206" s="18" t="s">
        <v>238</v>
      </c>
      <c r="EQ206" s="18" t="s">
        <v>238</v>
      </c>
      <c r="ER206" s="324">
        <f t="shared" ref="ER206:ER211" si="1069">EO206+EP206+EQ206</f>
        <v>24478</v>
      </c>
      <c r="ES206" s="321">
        <f t="shared" ref="ES206:ES211" si="1070">ER206</f>
        <v>24478</v>
      </c>
      <c r="ET206" s="179">
        <f t="shared" ref="ET206:ET211" si="1071">ER206-EL206</f>
        <v>0</v>
      </c>
      <c r="EU206" s="9">
        <v>24478</v>
      </c>
      <c r="EV206" s="18" t="s">
        <v>238</v>
      </c>
      <c r="EW206" s="18" t="s">
        <v>238</v>
      </c>
      <c r="EX206" s="324">
        <f t="shared" ref="EX206:EX211" si="1072">EU206+EV206+EW206</f>
        <v>24478</v>
      </c>
      <c r="EY206" s="321">
        <f t="shared" ref="EY206:EY211" si="1073">EX206</f>
        <v>24478</v>
      </c>
      <c r="EZ206" s="179">
        <f t="shared" ref="EZ206:EZ211" si="1074">EX206-ER206</f>
        <v>0</v>
      </c>
      <c r="FA206" s="9">
        <v>24478</v>
      </c>
      <c r="FB206" s="18" t="s">
        <v>238</v>
      </c>
      <c r="FC206" s="18" t="s">
        <v>238</v>
      </c>
      <c r="FD206" s="324">
        <f t="shared" ref="FD206:FD211" si="1075">FA206+FB206+FC206</f>
        <v>24478</v>
      </c>
      <c r="FE206" s="321">
        <f t="shared" ref="FE206:FE211" si="1076">FD206</f>
        <v>24478</v>
      </c>
      <c r="FF206" s="179">
        <f t="shared" ref="FF206:FF211" si="1077">FD206-EX206</f>
        <v>0</v>
      </c>
      <c r="FG206" s="9">
        <v>24478</v>
      </c>
      <c r="FH206" s="18" t="s">
        <v>238</v>
      </c>
      <c r="FI206" s="18" t="s">
        <v>238</v>
      </c>
      <c r="FJ206" s="324">
        <f t="shared" ref="FJ206:FJ211" si="1078">FG206+FH206+FI206</f>
        <v>24478</v>
      </c>
      <c r="FK206" s="321">
        <f t="shared" ref="FK206:FK211" si="1079">FJ206</f>
        <v>24478</v>
      </c>
      <c r="FL206" s="179">
        <f t="shared" ref="FL206:FL211" si="1080">FJ206-FD206</f>
        <v>0</v>
      </c>
      <c r="FM206" s="9">
        <v>24478</v>
      </c>
      <c r="FN206" s="18" t="s">
        <v>238</v>
      </c>
      <c r="FO206" s="18" t="s">
        <v>238</v>
      </c>
      <c r="FP206" s="324">
        <f t="shared" ref="FP206:FP211" si="1081">FM206+FN206+FO206</f>
        <v>24478</v>
      </c>
      <c r="FQ206" s="321">
        <f t="shared" ref="FQ206:FQ211" si="1082">FP206</f>
        <v>24478</v>
      </c>
      <c r="FR206" s="179">
        <f t="shared" ref="FR206:FR211" si="1083">FP206-FJ206</f>
        <v>0</v>
      </c>
      <c r="FS206" s="9">
        <v>24478</v>
      </c>
      <c r="FT206" s="18" t="s">
        <v>238</v>
      </c>
      <c r="FU206" s="18" t="s">
        <v>238</v>
      </c>
      <c r="FV206" s="324">
        <f t="shared" ref="FV206:FV211" si="1084">FS206+FT206+FU206</f>
        <v>24478</v>
      </c>
      <c r="FW206" s="321">
        <f t="shared" ref="FW206:FW211" si="1085">FV206</f>
        <v>24478</v>
      </c>
      <c r="FX206" s="179">
        <f t="shared" ref="FX206:FX211" si="1086">FV206-FP206</f>
        <v>0</v>
      </c>
      <c r="FY206" s="9">
        <v>24478</v>
      </c>
      <c r="FZ206" s="18" t="s">
        <v>238</v>
      </c>
      <c r="GA206" s="18" t="s">
        <v>238</v>
      </c>
      <c r="GB206" s="324">
        <f t="shared" ref="GB206:GB211" si="1087">FY206+FZ206+GA206</f>
        <v>24478</v>
      </c>
      <c r="GC206" s="321">
        <f t="shared" ref="GC206:GC211" si="1088">GB206</f>
        <v>24478</v>
      </c>
      <c r="GD206" s="179">
        <f t="shared" ref="GD206:GD211" si="1089">GB206-FV206</f>
        <v>0</v>
      </c>
      <c r="GE206" s="9">
        <v>24478</v>
      </c>
      <c r="GF206" s="18" t="s">
        <v>238</v>
      </c>
      <c r="GG206" s="18" t="s">
        <v>238</v>
      </c>
      <c r="GH206" s="324">
        <f t="shared" ref="GH206:GH211" si="1090">GE206+GF206+GG206</f>
        <v>24478</v>
      </c>
      <c r="GI206" s="321">
        <f t="shared" ref="GI206:GI211" si="1091">GH206</f>
        <v>24478</v>
      </c>
      <c r="GJ206" s="179">
        <f t="shared" ref="GJ206:GJ211" si="1092">GH206-GB206</f>
        <v>0</v>
      </c>
      <c r="GK206" s="9">
        <v>24478</v>
      </c>
      <c r="GL206" s="18" t="s">
        <v>238</v>
      </c>
      <c r="GM206" s="18" t="s">
        <v>238</v>
      </c>
      <c r="GN206" s="324">
        <f t="shared" ref="GN206:GN211" si="1093">GK206+GL206+GM206</f>
        <v>24478</v>
      </c>
      <c r="GO206" s="321">
        <f t="shared" ref="GO206:GO211" si="1094">GN206</f>
        <v>24478</v>
      </c>
      <c r="GP206" s="179">
        <f t="shared" ref="GP206:GP211" si="1095">GN206-GH206</f>
        <v>0</v>
      </c>
      <c r="GQ206" s="9">
        <v>24478</v>
      </c>
      <c r="GR206" s="18" t="s">
        <v>238</v>
      </c>
      <c r="GS206" s="18" t="s">
        <v>238</v>
      </c>
      <c r="GT206" s="324">
        <f t="shared" ref="GT206:GT211" si="1096">GQ206+GR206+GS206</f>
        <v>24478</v>
      </c>
      <c r="GU206" s="321">
        <f t="shared" ref="GU206:GU211" si="1097">GT206</f>
        <v>24478</v>
      </c>
      <c r="GV206" s="179">
        <f t="shared" ref="GV206:GV211" si="1098">GT206-GN206</f>
        <v>0</v>
      </c>
      <c r="GW206" s="9">
        <v>25701</v>
      </c>
      <c r="GX206" s="18" t="s">
        <v>238</v>
      </c>
      <c r="GY206" s="18" t="s">
        <v>238</v>
      </c>
      <c r="GZ206" s="324">
        <f t="shared" ref="GZ206:GZ211" si="1099">GW206+GX206+GY206</f>
        <v>25701</v>
      </c>
      <c r="HA206" s="321">
        <f t="shared" ref="HA206:HA211" si="1100">GZ206</f>
        <v>25701</v>
      </c>
      <c r="HB206" s="179">
        <f t="shared" ref="HB206:HB211" si="1101">GZ206-GT206</f>
        <v>1223</v>
      </c>
      <c r="HC206" s="102">
        <f t="shared" ref="HC206:HC211" si="1102">100/1406236643.9*GT206</f>
        <v>1.7406743101298868E-3</v>
      </c>
      <c r="HD206" s="285">
        <f t="shared" ref="HD206:HD211" si="1103">HB206-HO206</f>
        <v>0</v>
      </c>
      <c r="HE206" s="12">
        <f t="shared" ref="HE206:HE211" si="1104">GT206*0.05</f>
        <v>1223.9000000000001</v>
      </c>
      <c r="HF206" s="12">
        <f t="shared" ref="HF206:HF211" si="1105">IF(ISNUMBER($HE206), $HE206-INT($HE206), "")</f>
        <v>0.90000000000009095</v>
      </c>
      <c r="HG206" s="12">
        <f t="shared" ref="HG206:HG211" si="1106">HE206-HF206</f>
        <v>1223</v>
      </c>
      <c r="HH206" s="14">
        <f t="shared" ref="HH206:HH211" si="1107">HG206:HG206</f>
        <v>1223</v>
      </c>
      <c r="HI206" s="13">
        <f t="shared" ref="HI206:HI211" si="1108">HG206+GT206</f>
        <v>25701</v>
      </c>
      <c r="HJ206" s="102">
        <f t="shared" ref="HJ206:HJ211" si="1109">100/1406236643.9*HI206</f>
        <v>1.8276440250285246E-3</v>
      </c>
      <c r="HK206" s="16">
        <f t="shared" ref="HK206:HK211" si="1110">GT206</f>
        <v>24478</v>
      </c>
      <c r="HL206" s="103">
        <f t="shared" ref="HL206:HL211" si="1111">HK206*1.05</f>
        <v>25701.9</v>
      </c>
      <c r="HM206" s="103">
        <f t="shared" ref="HM206:HM211" si="1112">HL206-HK206</f>
        <v>1223.9000000000015</v>
      </c>
      <c r="HN206" s="17">
        <f t="shared" ref="HN206:HN211" si="1113">HF206</f>
        <v>0.90000000000009095</v>
      </c>
      <c r="HO206" s="56">
        <f t="shared" ref="HO206:HO211" si="1114">HM206-HN206</f>
        <v>1223.0000000000014</v>
      </c>
      <c r="HP206" s="16">
        <f t="shared" ref="HP206:HP211" si="1115">HO206-HG206</f>
        <v>0</v>
      </c>
      <c r="HQ206" s="16">
        <f t="shared" ref="HQ206:HQ211" si="1116">HO206+HK206</f>
        <v>25701</v>
      </c>
      <c r="HR206" s="16">
        <f t="shared" ref="HR206:HR211" si="1117">HQ206-HI206</f>
        <v>0</v>
      </c>
    </row>
    <row r="207" spans="1:226" x14ac:dyDescent="0.3">
      <c r="A207" s="326">
        <v>2</v>
      </c>
      <c r="B207" s="326" t="s">
        <v>167</v>
      </c>
      <c r="C207" s="326" t="s">
        <v>342</v>
      </c>
      <c r="D207" s="21" t="s">
        <v>168</v>
      </c>
      <c r="E207" s="4"/>
      <c r="F207" s="4"/>
      <c r="G207" s="4"/>
      <c r="H207" s="325"/>
      <c r="I207" s="325">
        <v>1035660</v>
      </c>
      <c r="J207" s="325"/>
      <c r="K207" s="325"/>
      <c r="L207" s="325">
        <v>1035660</v>
      </c>
      <c r="M207" s="6">
        <v>1035660</v>
      </c>
      <c r="N207" s="6">
        <v>1035660</v>
      </c>
      <c r="O207" s="7">
        <v>1035660</v>
      </c>
      <c r="P207" s="7">
        <v>1035660</v>
      </c>
      <c r="Q207" s="7">
        <v>1035660</v>
      </c>
      <c r="R207" s="7">
        <v>1035660</v>
      </c>
      <c r="S207" s="7">
        <v>1035660</v>
      </c>
      <c r="T207" s="7">
        <v>1035660</v>
      </c>
      <c r="U207" s="7">
        <f t="shared" si="1013"/>
        <v>51783</v>
      </c>
      <c r="V207" s="7">
        <f t="shared" si="1014"/>
        <v>1087443</v>
      </c>
      <c r="W207" s="7">
        <v>1087443</v>
      </c>
      <c r="X207" s="7">
        <v>1087443</v>
      </c>
      <c r="Y207" s="7">
        <v>1087443</v>
      </c>
      <c r="Z207" s="7">
        <v>1087443</v>
      </c>
      <c r="AA207" s="6">
        <v>1085443</v>
      </c>
      <c r="AB207" s="6">
        <v>1085443</v>
      </c>
      <c r="AC207" s="4">
        <v>0</v>
      </c>
      <c r="AD207" s="4">
        <v>0</v>
      </c>
      <c r="AE207" s="7">
        <f t="shared" si="1015"/>
        <v>1085443</v>
      </c>
      <c r="AF207" s="6">
        <v>1085443</v>
      </c>
      <c r="AG207" s="4">
        <v>0</v>
      </c>
      <c r="AH207" s="4">
        <v>0</v>
      </c>
      <c r="AI207" s="7">
        <f t="shared" si="1016"/>
        <v>1085443</v>
      </c>
      <c r="AJ207" s="6">
        <v>1085443</v>
      </c>
      <c r="AK207" s="4">
        <v>0</v>
      </c>
      <c r="AL207" s="4">
        <v>0</v>
      </c>
      <c r="AM207" s="7">
        <f t="shared" si="1017"/>
        <v>1085443</v>
      </c>
      <c r="AN207" s="4">
        <v>1070443</v>
      </c>
      <c r="AO207" s="4">
        <v>0</v>
      </c>
      <c r="AP207" s="4">
        <v>0</v>
      </c>
      <c r="AQ207" s="7">
        <f t="shared" si="1018"/>
        <v>1070443</v>
      </c>
      <c r="AR207" s="4">
        <v>1070443</v>
      </c>
      <c r="AS207" s="4">
        <v>0</v>
      </c>
      <c r="AT207" s="4">
        <v>0</v>
      </c>
      <c r="AU207" s="7">
        <f t="shared" si="1019"/>
        <v>1070443</v>
      </c>
      <c r="AV207" s="4">
        <v>1070443</v>
      </c>
      <c r="AW207" s="4">
        <v>0</v>
      </c>
      <c r="AX207" s="4">
        <v>0</v>
      </c>
      <c r="AY207" s="7">
        <f t="shared" si="1020"/>
        <v>1070443</v>
      </c>
      <c r="AZ207" s="8">
        <f t="shared" si="1021"/>
        <v>53522.15</v>
      </c>
      <c r="BA207" s="8">
        <v>0.15</v>
      </c>
      <c r="BB207" s="8">
        <f t="shared" si="1022"/>
        <v>53522</v>
      </c>
      <c r="BC207" s="8">
        <f t="shared" si="1023"/>
        <v>1123965</v>
      </c>
      <c r="BD207" s="8">
        <f>-10000</f>
        <v>-10000</v>
      </c>
      <c r="BE207" s="8">
        <f t="shared" si="1024"/>
        <v>1113965</v>
      </c>
      <c r="BF207" s="10">
        <f t="shared" si="1025"/>
        <v>43522</v>
      </c>
      <c r="BG207" s="11">
        <f t="shared" si="1026"/>
        <v>-10000</v>
      </c>
      <c r="BH207" s="319">
        <v>1113965</v>
      </c>
      <c r="BI207" s="319">
        <v>0</v>
      </c>
      <c r="BJ207" s="319">
        <v>0</v>
      </c>
      <c r="BK207" s="319">
        <f t="shared" si="1027"/>
        <v>1113965</v>
      </c>
      <c r="BL207" s="319">
        <v>1113965</v>
      </c>
      <c r="BM207" s="319">
        <v>0</v>
      </c>
      <c r="BN207" s="319">
        <v>0</v>
      </c>
      <c r="BO207" s="319">
        <f t="shared" si="1028"/>
        <v>1113965</v>
      </c>
      <c r="BP207" s="319">
        <f t="shared" si="1029"/>
        <v>0</v>
      </c>
      <c r="BQ207" s="319">
        <v>1113965</v>
      </c>
      <c r="BR207" s="319">
        <v>0</v>
      </c>
      <c r="BS207" s="319">
        <v>0</v>
      </c>
      <c r="BT207" s="319">
        <f t="shared" si="1030"/>
        <v>1113965</v>
      </c>
      <c r="BU207" s="319">
        <f t="shared" si="1031"/>
        <v>0</v>
      </c>
      <c r="BV207" s="319">
        <v>1113965</v>
      </c>
      <c r="BW207" s="319">
        <v>0</v>
      </c>
      <c r="BX207" s="319">
        <v>0</v>
      </c>
      <c r="BY207" s="319">
        <f t="shared" si="1032"/>
        <v>1113965</v>
      </c>
      <c r="BZ207" s="319">
        <f t="shared" si="1033"/>
        <v>0</v>
      </c>
      <c r="CA207" s="319">
        <v>1113965</v>
      </c>
      <c r="CB207" s="319">
        <v>0</v>
      </c>
      <c r="CC207" s="319">
        <v>0</v>
      </c>
      <c r="CD207" s="319">
        <f t="shared" si="1034"/>
        <v>1113965</v>
      </c>
      <c r="CE207" s="319">
        <f t="shared" si="1035"/>
        <v>0</v>
      </c>
      <c r="CF207" s="319">
        <v>1113965</v>
      </c>
      <c r="CG207" s="319">
        <v>0</v>
      </c>
      <c r="CH207" s="319">
        <v>0</v>
      </c>
      <c r="CI207" s="319">
        <f t="shared" si="1036"/>
        <v>1113965</v>
      </c>
      <c r="CJ207" s="319">
        <f t="shared" si="1037"/>
        <v>0</v>
      </c>
      <c r="CK207" s="319">
        <v>1113965</v>
      </c>
      <c r="CL207" s="319">
        <v>0</v>
      </c>
      <c r="CM207" s="319">
        <v>0</v>
      </c>
      <c r="CN207" s="319">
        <f t="shared" si="1038"/>
        <v>1113965</v>
      </c>
      <c r="CO207" s="319">
        <f t="shared" si="1039"/>
        <v>0</v>
      </c>
      <c r="CP207" s="319">
        <v>1113965</v>
      </c>
      <c r="CQ207" s="319">
        <v>0</v>
      </c>
      <c r="CR207" s="319">
        <v>0</v>
      </c>
      <c r="CS207" s="319">
        <f t="shared" si="1040"/>
        <v>1113965</v>
      </c>
      <c r="CT207" s="319">
        <f t="shared" si="1041"/>
        <v>0</v>
      </c>
      <c r="CU207" s="9">
        <v>1104915</v>
      </c>
      <c r="CV207" s="18" t="s">
        <v>238</v>
      </c>
      <c r="CW207" s="18" t="s">
        <v>238</v>
      </c>
      <c r="CX207" s="319">
        <f t="shared" si="1042"/>
        <v>1104915</v>
      </c>
      <c r="CY207" s="48">
        <f t="shared" si="1043"/>
        <v>-9050</v>
      </c>
      <c r="CZ207" s="48"/>
      <c r="DA207" s="48"/>
      <c r="DB207" s="48"/>
      <c r="DC207" s="12">
        <f t="shared" si="1044"/>
        <v>110491.5</v>
      </c>
      <c r="DD207" s="12">
        <v>0.5</v>
      </c>
      <c r="DE207" s="13">
        <f t="shared" si="1045"/>
        <v>110491</v>
      </c>
      <c r="DF207" s="14">
        <f t="shared" si="1046"/>
        <v>110491</v>
      </c>
      <c r="DG207" s="13">
        <f t="shared" si="1047"/>
        <v>1215406</v>
      </c>
      <c r="DH207" s="15">
        <f t="shared" si="1048"/>
        <v>8.6429727547793128E-2</v>
      </c>
      <c r="DI207" s="16">
        <f t="shared" si="1049"/>
        <v>1104915</v>
      </c>
      <c r="DJ207" s="132">
        <f t="shared" si="1050"/>
        <v>1215406.5</v>
      </c>
      <c r="DK207" s="17">
        <f t="shared" si="1051"/>
        <v>110491.5</v>
      </c>
      <c r="DL207" s="17">
        <f t="shared" si="1052"/>
        <v>0.5</v>
      </c>
      <c r="DM207" s="16">
        <f t="shared" si="1053"/>
        <v>110491</v>
      </c>
      <c r="DN207" s="16">
        <f t="shared" si="1054"/>
        <v>0</v>
      </c>
      <c r="DO207" s="16">
        <f t="shared" si="1055"/>
        <v>1215406</v>
      </c>
      <c r="DP207" s="16">
        <f t="shared" si="1056"/>
        <v>0</v>
      </c>
      <c r="DQ207" s="9">
        <v>1216311</v>
      </c>
      <c r="DR207" s="18" t="s">
        <v>238</v>
      </c>
      <c r="DS207" s="18" t="s">
        <v>238</v>
      </c>
      <c r="DT207" s="324">
        <f t="shared" si="1057"/>
        <v>1216311</v>
      </c>
      <c r="DU207" s="321">
        <f t="shared" si="1058"/>
        <v>1216311</v>
      </c>
      <c r="DV207" s="22">
        <f t="shared" si="1059"/>
        <v>905</v>
      </c>
      <c r="DW207" s="9">
        <v>1216311</v>
      </c>
      <c r="DX207" s="18"/>
      <c r="DY207" s="18"/>
      <c r="DZ207" s="324">
        <f t="shared" si="1060"/>
        <v>1216311</v>
      </c>
      <c r="EA207" s="321">
        <f t="shared" si="1061"/>
        <v>1216311</v>
      </c>
      <c r="EB207" s="179">
        <f t="shared" si="1062"/>
        <v>0</v>
      </c>
      <c r="EC207" s="9">
        <v>1216311</v>
      </c>
      <c r="ED207" s="18" t="s">
        <v>238</v>
      </c>
      <c r="EE207" s="18" t="s">
        <v>238</v>
      </c>
      <c r="EF207" s="324">
        <f t="shared" si="1063"/>
        <v>1216311</v>
      </c>
      <c r="EG207" s="321">
        <f t="shared" si="1064"/>
        <v>1216311</v>
      </c>
      <c r="EH207" s="179">
        <f t="shared" si="1065"/>
        <v>0</v>
      </c>
      <c r="EI207" s="9">
        <v>1216311</v>
      </c>
      <c r="EJ207" s="18" t="s">
        <v>238</v>
      </c>
      <c r="EK207" s="18" t="s">
        <v>238</v>
      </c>
      <c r="EL207" s="324">
        <f t="shared" si="1066"/>
        <v>1216311</v>
      </c>
      <c r="EM207" s="321">
        <f t="shared" si="1067"/>
        <v>1216311</v>
      </c>
      <c r="EN207" s="179">
        <f t="shared" si="1068"/>
        <v>0</v>
      </c>
      <c r="EO207" s="9">
        <v>1216311</v>
      </c>
      <c r="EP207" s="18" t="s">
        <v>238</v>
      </c>
      <c r="EQ207" s="18" t="s">
        <v>238</v>
      </c>
      <c r="ER207" s="324">
        <f t="shared" si="1069"/>
        <v>1216311</v>
      </c>
      <c r="ES207" s="321">
        <f t="shared" si="1070"/>
        <v>1216311</v>
      </c>
      <c r="ET207" s="179">
        <f t="shared" si="1071"/>
        <v>0</v>
      </c>
      <c r="EU207" s="9">
        <v>1216311</v>
      </c>
      <c r="EV207" s="18" t="s">
        <v>238</v>
      </c>
      <c r="EW207" s="18" t="s">
        <v>238</v>
      </c>
      <c r="EX207" s="324">
        <f t="shared" si="1072"/>
        <v>1216311</v>
      </c>
      <c r="EY207" s="321">
        <f t="shared" si="1073"/>
        <v>1216311</v>
      </c>
      <c r="EZ207" s="179">
        <f t="shared" si="1074"/>
        <v>0</v>
      </c>
      <c r="FA207" s="9">
        <v>1216311</v>
      </c>
      <c r="FB207" s="18" t="s">
        <v>238</v>
      </c>
      <c r="FC207" s="18" t="s">
        <v>238</v>
      </c>
      <c r="FD207" s="324">
        <f t="shared" si="1075"/>
        <v>1216311</v>
      </c>
      <c r="FE207" s="321">
        <f t="shared" si="1076"/>
        <v>1216311</v>
      </c>
      <c r="FF207" s="179">
        <f t="shared" si="1077"/>
        <v>0</v>
      </c>
      <c r="FG207" s="9">
        <v>1216311</v>
      </c>
      <c r="FH207" s="18" t="s">
        <v>238</v>
      </c>
      <c r="FI207" s="18" t="s">
        <v>238</v>
      </c>
      <c r="FJ207" s="324">
        <f t="shared" si="1078"/>
        <v>1216311</v>
      </c>
      <c r="FK207" s="321">
        <f t="shared" si="1079"/>
        <v>1216311</v>
      </c>
      <c r="FL207" s="179">
        <f t="shared" si="1080"/>
        <v>0</v>
      </c>
      <c r="FM207" s="9">
        <v>1216311</v>
      </c>
      <c r="FN207" s="18" t="s">
        <v>238</v>
      </c>
      <c r="FO207" s="18" t="s">
        <v>238</v>
      </c>
      <c r="FP207" s="324">
        <f t="shared" si="1081"/>
        <v>1216311</v>
      </c>
      <c r="FQ207" s="321">
        <f t="shared" si="1082"/>
        <v>1216311</v>
      </c>
      <c r="FR207" s="179">
        <f t="shared" si="1083"/>
        <v>0</v>
      </c>
      <c r="FS207" s="9">
        <v>1216311</v>
      </c>
      <c r="FT207" s="18" t="s">
        <v>238</v>
      </c>
      <c r="FU207" s="18" t="s">
        <v>238</v>
      </c>
      <c r="FV207" s="324">
        <f t="shared" si="1084"/>
        <v>1216311</v>
      </c>
      <c r="FW207" s="321">
        <f t="shared" si="1085"/>
        <v>1216311</v>
      </c>
      <c r="FX207" s="179">
        <f t="shared" si="1086"/>
        <v>0</v>
      </c>
      <c r="FY207" s="9">
        <v>1216311</v>
      </c>
      <c r="FZ207" s="18" t="s">
        <v>238</v>
      </c>
      <c r="GA207" s="18" t="s">
        <v>238</v>
      </c>
      <c r="GB207" s="324">
        <f t="shared" si="1087"/>
        <v>1216311</v>
      </c>
      <c r="GC207" s="321">
        <f t="shared" si="1088"/>
        <v>1216311</v>
      </c>
      <c r="GD207" s="179">
        <f t="shared" si="1089"/>
        <v>0</v>
      </c>
      <c r="GE207" s="9">
        <v>1216311</v>
      </c>
      <c r="GF207" s="18" t="s">
        <v>238</v>
      </c>
      <c r="GG207" s="18" t="s">
        <v>238</v>
      </c>
      <c r="GH207" s="324">
        <f t="shared" si="1090"/>
        <v>1216311</v>
      </c>
      <c r="GI207" s="321">
        <f t="shared" si="1091"/>
        <v>1216311</v>
      </c>
      <c r="GJ207" s="179">
        <f t="shared" si="1092"/>
        <v>0</v>
      </c>
      <c r="GK207" s="9">
        <v>1216311</v>
      </c>
      <c r="GL207" s="18" t="s">
        <v>238</v>
      </c>
      <c r="GM207" s="18" t="s">
        <v>238</v>
      </c>
      <c r="GN207" s="324">
        <f t="shared" si="1093"/>
        <v>1216311</v>
      </c>
      <c r="GO207" s="321">
        <f t="shared" si="1094"/>
        <v>1216311</v>
      </c>
      <c r="GP207" s="179">
        <f t="shared" si="1095"/>
        <v>0</v>
      </c>
      <c r="GQ207" s="9">
        <v>1216311</v>
      </c>
      <c r="GR207" s="18" t="s">
        <v>238</v>
      </c>
      <c r="GS207" s="18" t="s">
        <v>238</v>
      </c>
      <c r="GT207" s="324">
        <f t="shared" si="1096"/>
        <v>1216311</v>
      </c>
      <c r="GU207" s="321">
        <f t="shared" si="1097"/>
        <v>1216311</v>
      </c>
      <c r="GV207" s="179">
        <f t="shared" si="1098"/>
        <v>0</v>
      </c>
      <c r="GW207" s="9">
        <v>1277126</v>
      </c>
      <c r="GX207" s="18" t="s">
        <v>238</v>
      </c>
      <c r="GY207" s="18" t="s">
        <v>238</v>
      </c>
      <c r="GZ207" s="324">
        <f t="shared" si="1099"/>
        <v>1277126</v>
      </c>
      <c r="HA207" s="321">
        <f t="shared" si="1100"/>
        <v>1277126</v>
      </c>
      <c r="HB207" s="179">
        <f t="shared" si="1101"/>
        <v>60815</v>
      </c>
      <c r="HC207" s="102">
        <f t="shared" si="1102"/>
        <v>8.6494048158689149E-2</v>
      </c>
      <c r="HD207" s="285">
        <f t="shared" si="1103"/>
        <v>0</v>
      </c>
      <c r="HE207" s="12">
        <f t="shared" si="1104"/>
        <v>60815.55</v>
      </c>
      <c r="HF207" s="12">
        <f t="shared" si="1105"/>
        <v>0.55000000000291038</v>
      </c>
      <c r="HG207" s="12">
        <f t="shared" si="1106"/>
        <v>60815</v>
      </c>
      <c r="HH207" s="14">
        <f t="shared" si="1107"/>
        <v>60815</v>
      </c>
      <c r="HI207" s="13">
        <f t="shared" si="1108"/>
        <v>1277126</v>
      </c>
      <c r="HJ207" s="102">
        <f t="shared" si="1109"/>
        <v>9.0818711455141019E-2</v>
      </c>
      <c r="HK207" s="16">
        <f t="shared" si="1110"/>
        <v>1216311</v>
      </c>
      <c r="HL207" s="103">
        <f t="shared" si="1111"/>
        <v>1277126.55</v>
      </c>
      <c r="HM207" s="103">
        <f t="shared" si="1112"/>
        <v>60815.550000000047</v>
      </c>
      <c r="HN207" s="17">
        <f t="shared" si="1113"/>
        <v>0.55000000000291038</v>
      </c>
      <c r="HO207" s="56">
        <f t="shared" si="1114"/>
        <v>60815.000000000044</v>
      </c>
      <c r="HP207" s="16">
        <f t="shared" si="1115"/>
        <v>0</v>
      </c>
      <c r="HQ207" s="16">
        <f t="shared" si="1116"/>
        <v>1277126</v>
      </c>
      <c r="HR207" s="16">
        <f t="shared" si="1117"/>
        <v>0</v>
      </c>
    </row>
    <row r="208" spans="1:226" x14ac:dyDescent="0.3">
      <c r="A208" s="326">
        <v>3</v>
      </c>
      <c r="B208" s="326" t="s">
        <v>169</v>
      </c>
      <c r="C208" s="326" t="s">
        <v>170</v>
      </c>
      <c r="D208" s="21" t="s">
        <v>171</v>
      </c>
      <c r="E208" s="4"/>
      <c r="F208" s="4"/>
      <c r="G208" s="4"/>
      <c r="H208" s="325"/>
      <c r="I208" s="325">
        <v>37</v>
      </c>
      <c r="J208" s="325"/>
      <c r="K208" s="325"/>
      <c r="L208" s="325">
        <v>37</v>
      </c>
      <c r="M208" s="6">
        <v>37</v>
      </c>
      <c r="N208" s="6">
        <v>37</v>
      </c>
      <c r="O208" s="7">
        <v>37</v>
      </c>
      <c r="P208" s="7">
        <v>37</v>
      </c>
      <c r="Q208" s="7">
        <v>37</v>
      </c>
      <c r="R208" s="7">
        <v>37</v>
      </c>
      <c r="S208" s="7">
        <v>37</v>
      </c>
      <c r="T208" s="7">
        <v>37</v>
      </c>
      <c r="U208" s="7">
        <f t="shared" si="1013"/>
        <v>1.85</v>
      </c>
      <c r="V208" s="7">
        <f t="shared" si="1014"/>
        <v>38.85</v>
      </c>
      <c r="W208" s="7">
        <v>38</v>
      </c>
      <c r="X208" s="7">
        <v>38</v>
      </c>
      <c r="Y208" s="7">
        <v>38</v>
      </c>
      <c r="Z208" s="7">
        <v>38</v>
      </c>
      <c r="AA208" s="7">
        <v>38</v>
      </c>
      <c r="AB208" s="4">
        <v>358</v>
      </c>
      <c r="AC208" s="4">
        <v>0</v>
      </c>
      <c r="AD208" s="4">
        <v>0</v>
      </c>
      <c r="AE208" s="7">
        <f t="shared" si="1015"/>
        <v>358</v>
      </c>
      <c r="AF208" s="4">
        <v>38</v>
      </c>
      <c r="AG208" s="4">
        <v>0</v>
      </c>
      <c r="AH208" s="4">
        <v>0</v>
      </c>
      <c r="AI208" s="7">
        <f t="shared" si="1016"/>
        <v>38</v>
      </c>
      <c r="AJ208" s="4">
        <v>38</v>
      </c>
      <c r="AK208" s="4">
        <v>0</v>
      </c>
      <c r="AL208" s="4">
        <v>0</v>
      </c>
      <c r="AM208" s="7">
        <f t="shared" si="1017"/>
        <v>38</v>
      </c>
      <c r="AN208" s="4">
        <v>38</v>
      </c>
      <c r="AO208" s="4">
        <v>0</v>
      </c>
      <c r="AP208" s="4">
        <v>0</v>
      </c>
      <c r="AQ208" s="7">
        <f t="shared" si="1018"/>
        <v>38</v>
      </c>
      <c r="AR208" s="4">
        <v>38</v>
      </c>
      <c r="AS208" s="4">
        <v>0</v>
      </c>
      <c r="AT208" s="4">
        <v>0</v>
      </c>
      <c r="AU208" s="7">
        <f t="shared" si="1019"/>
        <v>38</v>
      </c>
      <c r="AV208" s="4">
        <v>38</v>
      </c>
      <c r="AW208" s="4">
        <v>0</v>
      </c>
      <c r="AX208" s="4">
        <v>0</v>
      </c>
      <c r="AY208" s="7">
        <f t="shared" si="1020"/>
        <v>38</v>
      </c>
      <c r="AZ208" s="8">
        <f t="shared" si="1021"/>
        <v>1.9000000000000001</v>
      </c>
      <c r="BA208" s="8">
        <v>0.9</v>
      </c>
      <c r="BB208" s="8">
        <f t="shared" si="1022"/>
        <v>1</v>
      </c>
      <c r="BC208" s="8">
        <f t="shared" si="1023"/>
        <v>39</v>
      </c>
      <c r="BD208" s="8"/>
      <c r="BE208" s="8">
        <f t="shared" si="1024"/>
        <v>39</v>
      </c>
      <c r="BF208" s="10">
        <f t="shared" si="1025"/>
        <v>1</v>
      </c>
      <c r="BG208" s="11">
        <f t="shared" si="1026"/>
        <v>0</v>
      </c>
      <c r="BH208" s="319">
        <v>39</v>
      </c>
      <c r="BI208" s="319">
        <v>0</v>
      </c>
      <c r="BJ208" s="319">
        <v>0</v>
      </c>
      <c r="BK208" s="319">
        <f t="shared" si="1027"/>
        <v>39</v>
      </c>
      <c r="BL208" s="319">
        <v>39</v>
      </c>
      <c r="BM208" s="319">
        <v>0</v>
      </c>
      <c r="BN208" s="319">
        <v>0</v>
      </c>
      <c r="BO208" s="319">
        <f t="shared" si="1028"/>
        <v>39</v>
      </c>
      <c r="BP208" s="319">
        <f t="shared" si="1029"/>
        <v>0</v>
      </c>
      <c r="BQ208" s="319">
        <v>39</v>
      </c>
      <c r="BR208" s="319">
        <v>0</v>
      </c>
      <c r="BS208" s="319">
        <v>0</v>
      </c>
      <c r="BT208" s="319">
        <f t="shared" si="1030"/>
        <v>39</v>
      </c>
      <c r="BU208" s="319">
        <f t="shared" si="1031"/>
        <v>0</v>
      </c>
      <c r="BV208" s="319">
        <v>39</v>
      </c>
      <c r="BW208" s="319">
        <v>0</v>
      </c>
      <c r="BX208" s="319">
        <v>0</v>
      </c>
      <c r="BY208" s="319">
        <f t="shared" si="1032"/>
        <v>39</v>
      </c>
      <c r="BZ208" s="319">
        <f t="shared" si="1033"/>
        <v>0</v>
      </c>
      <c r="CA208" s="319">
        <v>39</v>
      </c>
      <c r="CB208" s="319">
        <v>0</v>
      </c>
      <c r="CC208" s="319">
        <v>0</v>
      </c>
      <c r="CD208" s="319">
        <f t="shared" si="1034"/>
        <v>39</v>
      </c>
      <c r="CE208" s="319">
        <f t="shared" si="1035"/>
        <v>0</v>
      </c>
      <c r="CF208" s="319">
        <v>39</v>
      </c>
      <c r="CG208" s="319">
        <v>0</v>
      </c>
      <c r="CH208" s="319">
        <v>0</v>
      </c>
      <c r="CI208" s="319">
        <f t="shared" si="1036"/>
        <v>39</v>
      </c>
      <c r="CJ208" s="319">
        <f t="shared" si="1037"/>
        <v>0</v>
      </c>
      <c r="CK208" s="319">
        <v>39</v>
      </c>
      <c r="CL208" s="319">
        <v>0</v>
      </c>
      <c r="CM208" s="319">
        <v>0</v>
      </c>
      <c r="CN208" s="319">
        <f t="shared" si="1038"/>
        <v>39</v>
      </c>
      <c r="CO208" s="319">
        <f t="shared" si="1039"/>
        <v>0</v>
      </c>
      <c r="CP208" s="319">
        <v>39</v>
      </c>
      <c r="CQ208" s="319">
        <v>0</v>
      </c>
      <c r="CR208" s="319">
        <v>0</v>
      </c>
      <c r="CS208" s="319">
        <f t="shared" si="1040"/>
        <v>39</v>
      </c>
      <c r="CT208" s="319">
        <f t="shared" si="1041"/>
        <v>0</v>
      </c>
      <c r="CU208" s="319">
        <v>39</v>
      </c>
      <c r="CV208" s="319">
        <v>0</v>
      </c>
      <c r="CW208" s="319">
        <v>0</v>
      </c>
      <c r="CX208" s="319">
        <f t="shared" si="1042"/>
        <v>39</v>
      </c>
      <c r="CY208" s="319">
        <f t="shared" si="1043"/>
        <v>0</v>
      </c>
      <c r="CZ208" s="319"/>
      <c r="DA208" s="319"/>
      <c r="DB208" s="319"/>
      <c r="DC208" s="12">
        <f t="shared" si="1044"/>
        <v>3.9000000000000004</v>
      </c>
      <c r="DD208" s="12">
        <v>0.9</v>
      </c>
      <c r="DE208" s="13">
        <f t="shared" si="1045"/>
        <v>3.0000000000000004</v>
      </c>
      <c r="DF208" s="14">
        <f t="shared" si="1046"/>
        <v>3.0000000000000004</v>
      </c>
      <c r="DG208" s="13">
        <f t="shared" si="1047"/>
        <v>42</v>
      </c>
      <c r="DH208" s="15">
        <f t="shared" si="1048"/>
        <v>3.0506956411705264E-6</v>
      </c>
      <c r="DI208" s="16">
        <f t="shared" si="1049"/>
        <v>39</v>
      </c>
      <c r="DJ208" s="132">
        <f t="shared" si="1050"/>
        <v>42.900000000000006</v>
      </c>
      <c r="DK208" s="17">
        <f t="shared" si="1051"/>
        <v>3.9000000000000057</v>
      </c>
      <c r="DL208" s="17">
        <f t="shared" si="1052"/>
        <v>0.9</v>
      </c>
      <c r="DM208" s="16">
        <f t="shared" si="1053"/>
        <v>3.0000000000000058</v>
      </c>
      <c r="DN208" s="16">
        <f t="shared" si="1054"/>
        <v>5.3290705182007514E-15</v>
      </c>
      <c r="DO208" s="16">
        <f t="shared" si="1055"/>
        <v>42.000000000000007</v>
      </c>
      <c r="DP208" s="16">
        <f t="shared" si="1056"/>
        <v>0</v>
      </c>
      <c r="DQ208" s="9">
        <v>42</v>
      </c>
      <c r="DR208" s="18" t="s">
        <v>238</v>
      </c>
      <c r="DS208" s="18" t="s">
        <v>238</v>
      </c>
      <c r="DT208" s="324">
        <f t="shared" si="1057"/>
        <v>42</v>
      </c>
      <c r="DU208" s="321">
        <f t="shared" si="1058"/>
        <v>42</v>
      </c>
      <c r="DV208" s="19">
        <f t="shared" si="1059"/>
        <v>0</v>
      </c>
      <c r="DW208" s="9">
        <v>42</v>
      </c>
      <c r="DX208" s="18"/>
      <c r="DY208" s="18"/>
      <c r="DZ208" s="324">
        <f t="shared" si="1060"/>
        <v>42</v>
      </c>
      <c r="EA208" s="321">
        <f t="shared" si="1061"/>
        <v>42</v>
      </c>
      <c r="EB208" s="179">
        <f t="shared" si="1062"/>
        <v>0</v>
      </c>
      <c r="EC208" s="9">
        <v>42</v>
      </c>
      <c r="ED208" s="18" t="s">
        <v>238</v>
      </c>
      <c r="EE208" s="18" t="s">
        <v>238</v>
      </c>
      <c r="EF208" s="324">
        <f t="shared" si="1063"/>
        <v>42</v>
      </c>
      <c r="EG208" s="321">
        <f t="shared" si="1064"/>
        <v>42</v>
      </c>
      <c r="EH208" s="179">
        <f t="shared" si="1065"/>
        <v>0</v>
      </c>
      <c r="EI208" s="9">
        <v>42</v>
      </c>
      <c r="EJ208" s="18" t="s">
        <v>238</v>
      </c>
      <c r="EK208" s="18" t="s">
        <v>238</v>
      </c>
      <c r="EL208" s="324">
        <f t="shared" si="1066"/>
        <v>42</v>
      </c>
      <c r="EM208" s="321">
        <f t="shared" si="1067"/>
        <v>42</v>
      </c>
      <c r="EN208" s="179">
        <f t="shared" si="1068"/>
        <v>0</v>
      </c>
      <c r="EO208" s="9">
        <v>42</v>
      </c>
      <c r="EP208" s="18" t="s">
        <v>238</v>
      </c>
      <c r="EQ208" s="18" t="s">
        <v>238</v>
      </c>
      <c r="ER208" s="324">
        <f t="shared" si="1069"/>
        <v>42</v>
      </c>
      <c r="ES208" s="321">
        <f t="shared" si="1070"/>
        <v>42</v>
      </c>
      <c r="ET208" s="179">
        <f t="shared" si="1071"/>
        <v>0</v>
      </c>
      <c r="EU208" s="9">
        <v>42</v>
      </c>
      <c r="EV208" s="18" t="s">
        <v>238</v>
      </c>
      <c r="EW208" s="18" t="s">
        <v>238</v>
      </c>
      <c r="EX208" s="324">
        <f t="shared" si="1072"/>
        <v>42</v>
      </c>
      <c r="EY208" s="321">
        <f t="shared" si="1073"/>
        <v>42</v>
      </c>
      <c r="EZ208" s="179">
        <f t="shared" si="1074"/>
        <v>0</v>
      </c>
      <c r="FA208" s="9">
        <v>42</v>
      </c>
      <c r="FB208" s="18" t="s">
        <v>238</v>
      </c>
      <c r="FC208" s="18" t="s">
        <v>238</v>
      </c>
      <c r="FD208" s="324">
        <f t="shared" si="1075"/>
        <v>42</v>
      </c>
      <c r="FE208" s="321">
        <f t="shared" si="1076"/>
        <v>42</v>
      </c>
      <c r="FF208" s="179">
        <f t="shared" si="1077"/>
        <v>0</v>
      </c>
      <c r="FG208" s="9">
        <v>42</v>
      </c>
      <c r="FH208" s="18" t="s">
        <v>238</v>
      </c>
      <c r="FI208" s="18" t="s">
        <v>238</v>
      </c>
      <c r="FJ208" s="324">
        <f t="shared" si="1078"/>
        <v>42</v>
      </c>
      <c r="FK208" s="321">
        <f t="shared" si="1079"/>
        <v>42</v>
      </c>
      <c r="FL208" s="179">
        <f t="shared" si="1080"/>
        <v>0</v>
      </c>
      <c r="FM208" s="9">
        <v>42</v>
      </c>
      <c r="FN208" s="18" t="s">
        <v>238</v>
      </c>
      <c r="FO208" s="18" t="s">
        <v>238</v>
      </c>
      <c r="FP208" s="324">
        <f t="shared" si="1081"/>
        <v>42</v>
      </c>
      <c r="FQ208" s="321">
        <f t="shared" si="1082"/>
        <v>42</v>
      </c>
      <c r="FR208" s="179">
        <f t="shared" si="1083"/>
        <v>0</v>
      </c>
      <c r="FS208" s="9">
        <v>42</v>
      </c>
      <c r="FT208" s="18" t="s">
        <v>238</v>
      </c>
      <c r="FU208" s="18" t="s">
        <v>238</v>
      </c>
      <c r="FV208" s="324">
        <f t="shared" si="1084"/>
        <v>42</v>
      </c>
      <c r="FW208" s="321">
        <f t="shared" si="1085"/>
        <v>42</v>
      </c>
      <c r="FX208" s="179">
        <f t="shared" si="1086"/>
        <v>0</v>
      </c>
      <c r="FY208" s="9">
        <v>42</v>
      </c>
      <c r="FZ208" s="18" t="s">
        <v>238</v>
      </c>
      <c r="GA208" s="18" t="s">
        <v>238</v>
      </c>
      <c r="GB208" s="324">
        <f t="shared" si="1087"/>
        <v>42</v>
      </c>
      <c r="GC208" s="321">
        <f t="shared" si="1088"/>
        <v>42</v>
      </c>
      <c r="GD208" s="179">
        <f t="shared" si="1089"/>
        <v>0</v>
      </c>
      <c r="GE208" s="9">
        <v>42</v>
      </c>
      <c r="GF208" s="18" t="s">
        <v>238</v>
      </c>
      <c r="GG208" s="18" t="s">
        <v>238</v>
      </c>
      <c r="GH208" s="324">
        <f t="shared" si="1090"/>
        <v>42</v>
      </c>
      <c r="GI208" s="321">
        <f t="shared" si="1091"/>
        <v>42</v>
      </c>
      <c r="GJ208" s="179">
        <f t="shared" si="1092"/>
        <v>0</v>
      </c>
      <c r="GK208" s="9">
        <v>42</v>
      </c>
      <c r="GL208" s="18" t="s">
        <v>238</v>
      </c>
      <c r="GM208" s="18" t="s">
        <v>238</v>
      </c>
      <c r="GN208" s="324">
        <f t="shared" si="1093"/>
        <v>42</v>
      </c>
      <c r="GO208" s="321">
        <f t="shared" si="1094"/>
        <v>42</v>
      </c>
      <c r="GP208" s="179">
        <f t="shared" si="1095"/>
        <v>0</v>
      </c>
      <c r="GQ208" s="9">
        <v>42</v>
      </c>
      <c r="GR208" s="18" t="s">
        <v>238</v>
      </c>
      <c r="GS208" s="18" t="s">
        <v>238</v>
      </c>
      <c r="GT208" s="324">
        <f t="shared" si="1096"/>
        <v>42</v>
      </c>
      <c r="GU208" s="321">
        <f t="shared" si="1097"/>
        <v>42</v>
      </c>
      <c r="GV208" s="179">
        <f t="shared" si="1098"/>
        <v>0</v>
      </c>
      <c r="GW208" s="9">
        <v>44</v>
      </c>
      <c r="GX208" s="18" t="s">
        <v>238</v>
      </c>
      <c r="GY208" s="18" t="s">
        <v>238</v>
      </c>
      <c r="GZ208" s="324">
        <f t="shared" si="1099"/>
        <v>44</v>
      </c>
      <c r="HA208" s="321">
        <f t="shared" si="1100"/>
        <v>44</v>
      </c>
      <c r="HB208" s="179">
        <f t="shared" si="1101"/>
        <v>2</v>
      </c>
      <c r="HC208" s="102">
        <f t="shared" si="1102"/>
        <v>2.9866950333138022E-6</v>
      </c>
      <c r="HD208" s="285">
        <f t="shared" si="1103"/>
        <v>0</v>
      </c>
      <c r="HE208" s="12">
        <f t="shared" si="1104"/>
        <v>2.1</v>
      </c>
      <c r="HF208" s="12">
        <f t="shared" si="1105"/>
        <v>0.10000000000000009</v>
      </c>
      <c r="HG208" s="12">
        <f t="shared" si="1106"/>
        <v>2</v>
      </c>
      <c r="HH208" s="14">
        <f t="shared" si="1107"/>
        <v>2</v>
      </c>
      <c r="HI208" s="13">
        <f t="shared" si="1108"/>
        <v>44</v>
      </c>
      <c r="HJ208" s="102">
        <f t="shared" si="1109"/>
        <v>3.1289186063287451E-6</v>
      </c>
      <c r="HK208" s="16">
        <f t="shared" si="1110"/>
        <v>42</v>
      </c>
      <c r="HL208" s="103">
        <f t="shared" si="1111"/>
        <v>44.1</v>
      </c>
      <c r="HM208" s="103">
        <f t="shared" si="1112"/>
        <v>2.1000000000000014</v>
      </c>
      <c r="HN208" s="17">
        <f t="shared" si="1113"/>
        <v>0.10000000000000009</v>
      </c>
      <c r="HO208" s="56">
        <f t="shared" si="1114"/>
        <v>2.0000000000000013</v>
      </c>
      <c r="HP208" s="16">
        <f t="shared" si="1115"/>
        <v>0</v>
      </c>
      <c r="HQ208" s="16">
        <f t="shared" si="1116"/>
        <v>44</v>
      </c>
      <c r="HR208" s="16">
        <f t="shared" si="1117"/>
        <v>0</v>
      </c>
    </row>
    <row r="209" spans="1:226" x14ac:dyDescent="0.3">
      <c r="A209" s="326">
        <v>4</v>
      </c>
      <c r="B209" s="326" t="s">
        <v>172</v>
      </c>
      <c r="C209" s="326" t="s">
        <v>341</v>
      </c>
      <c r="D209" s="21" t="s">
        <v>173</v>
      </c>
      <c r="E209" s="4"/>
      <c r="F209" s="4"/>
      <c r="G209" s="4"/>
      <c r="H209" s="325"/>
      <c r="I209" s="325">
        <v>110000</v>
      </c>
      <c r="J209" s="325"/>
      <c r="K209" s="325"/>
      <c r="L209" s="325">
        <v>110000</v>
      </c>
      <c r="M209" s="6">
        <v>110000</v>
      </c>
      <c r="N209" s="6">
        <v>110000</v>
      </c>
      <c r="O209" s="7">
        <v>110000</v>
      </c>
      <c r="P209" s="7">
        <v>110000</v>
      </c>
      <c r="Q209" s="7">
        <v>110000</v>
      </c>
      <c r="R209" s="7">
        <v>110000</v>
      </c>
      <c r="S209" s="7">
        <v>110000</v>
      </c>
      <c r="T209" s="7">
        <v>110000</v>
      </c>
      <c r="U209" s="7">
        <f t="shared" si="1013"/>
        <v>5500</v>
      </c>
      <c r="V209" s="7">
        <f t="shared" si="1014"/>
        <v>115500</v>
      </c>
      <c r="W209" s="7">
        <v>115500</v>
      </c>
      <c r="X209" s="7">
        <v>115500</v>
      </c>
      <c r="Y209" s="7">
        <v>115500</v>
      </c>
      <c r="Z209" s="7">
        <v>115500</v>
      </c>
      <c r="AA209" s="7">
        <v>115500</v>
      </c>
      <c r="AB209" s="7">
        <v>115500</v>
      </c>
      <c r="AC209" s="4">
        <v>0</v>
      </c>
      <c r="AD209" s="4">
        <v>0</v>
      </c>
      <c r="AE209" s="7">
        <f t="shared" si="1015"/>
        <v>115500</v>
      </c>
      <c r="AF209" s="7">
        <v>115500</v>
      </c>
      <c r="AG209" s="4">
        <v>0</v>
      </c>
      <c r="AH209" s="4">
        <v>0</v>
      </c>
      <c r="AI209" s="7">
        <f t="shared" si="1016"/>
        <v>115500</v>
      </c>
      <c r="AJ209" s="7">
        <v>115500</v>
      </c>
      <c r="AK209" s="4">
        <v>0</v>
      </c>
      <c r="AL209" s="4">
        <v>0</v>
      </c>
      <c r="AM209" s="7">
        <f t="shared" si="1017"/>
        <v>115500</v>
      </c>
      <c r="AN209" s="7">
        <v>115500</v>
      </c>
      <c r="AO209" s="4">
        <v>0</v>
      </c>
      <c r="AP209" s="4">
        <v>0</v>
      </c>
      <c r="AQ209" s="7">
        <f t="shared" si="1018"/>
        <v>115500</v>
      </c>
      <c r="AR209" s="7">
        <v>115500</v>
      </c>
      <c r="AS209" s="4">
        <v>0</v>
      </c>
      <c r="AT209" s="4">
        <v>0</v>
      </c>
      <c r="AU209" s="7">
        <f t="shared" si="1019"/>
        <v>115500</v>
      </c>
      <c r="AV209" s="7">
        <v>115500</v>
      </c>
      <c r="AW209" s="4">
        <v>0</v>
      </c>
      <c r="AX209" s="4">
        <v>0</v>
      </c>
      <c r="AY209" s="7">
        <f t="shared" si="1020"/>
        <v>115500</v>
      </c>
      <c r="AZ209" s="8">
        <f t="shared" si="1021"/>
        <v>5775</v>
      </c>
      <c r="BA209" s="8"/>
      <c r="BB209" s="8">
        <f t="shared" si="1022"/>
        <v>5775</v>
      </c>
      <c r="BC209" s="8">
        <f t="shared" si="1023"/>
        <v>121275</v>
      </c>
      <c r="BD209" s="8"/>
      <c r="BE209" s="8">
        <f t="shared" si="1024"/>
        <v>121275</v>
      </c>
      <c r="BF209" s="10">
        <f t="shared" si="1025"/>
        <v>5775</v>
      </c>
      <c r="BG209" s="11">
        <f t="shared" si="1026"/>
        <v>0</v>
      </c>
      <c r="BH209" s="319">
        <v>121275</v>
      </c>
      <c r="BI209" s="319">
        <v>0</v>
      </c>
      <c r="BJ209" s="319">
        <v>0</v>
      </c>
      <c r="BK209" s="319">
        <f t="shared" si="1027"/>
        <v>121275</v>
      </c>
      <c r="BL209" s="319">
        <v>121275</v>
      </c>
      <c r="BM209" s="319">
        <v>0</v>
      </c>
      <c r="BN209" s="319">
        <v>0</v>
      </c>
      <c r="BO209" s="319">
        <f t="shared" si="1028"/>
        <v>121275</v>
      </c>
      <c r="BP209" s="319">
        <f t="shared" si="1029"/>
        <v>0</v>
      </c>
      <c r="BQ209" s="319">
        <v>121275</v>
      </c>
      <c r="BR209" s="319">
        <v>0</v>
      </c>
      <c r="BS209" s="319">
        <v>0</v>
      </c>
      <c r="BT209" s="319">
        <f t="shared" si="1030"/>
        <v>121275</v>
      </c>
      <c r="BU209" s="319">
        <f t="shared" si="1031"/>
        <v>0</v>
      </c>
      <c r="BV209" s="319">
        <v>121275</v>
      </c>
      <c r="BW209" s="319">
        <v>0</v>
      </c>
      <c r="BX209" s="319">
        <v>0</v>
      </c>
      <c r="BY209" s="319">
        <f t="shared" si="1032"/>
        <v>121275</v>
      </c>
      <c r="BZ209" s="319">
        <f t="shared" si="1033"/>
        <v>0</v>
      </c>
      <c r="CA209" s="319">
        <v>121275</v>
      </c>
      <c r="CB209" s="319">
        <v>0</v>
      </c>
      <c r="CC209" s="319">
        <v>0</v>
      </c>
      <c r="CD209" s="319">
        <f t="shared" si="1034"/>
        <v>121275</v>
      </c>
      <c r="CE209" s="319">
        <f t="shared" si="1035"/>
        <v>0</v>
      </c>
      <c r="CF209" s="319">
        <v>121275</v>
      </c>
      <c r="CG209" s="319">
        <v>0</v>
      </c>
      <c r="CH209" s="319">
        <v>0</v>
      </c>
      <c r="CI209" s="319">
        <f t="shared" si="1036"/>
        <v>121275</v>
      </c>
      <c r="CJ209" s="319">
        <f t="shared" si="1037"/>
        <v>0</v>
      </c>
      <c r="CK209" s="319">
        <v>121275</v>
      </c>
      <c r="CL209" s="319">
        <v>0</v>
      </c>
      <c r="CM209" s="319">
        <v>0</v>
      </c>
      <c r="CN209" s="319">
        <f t="shared" si="1038"/>
        <v>121275</v>
      </c>
      <c r="CO209" s="319">
        <f t="shared" si="1039"/>
        <v>0</v>
      </c>
      <c r="CP209" s="319">
        <v>121275</v>
      </c>
      <c r="CQ209" s="319">
        <v>0</v>
      </c>
      <c r="CR209" s="319">
        <v>0</v>
      </c>
      <c r="CS209" s="319">
        <f t="shared" si="1040"/>
        <v>121275</v>
      </c>
      <c r="CT209" s="319">
        <f t="shared" si="1041"/>
        <v>0</v>
      </c>
      <c r="CU209" s="319">
        <v>121275</v>
      </c>
      <c r="CV209" s="319">
        <v>0</v>
      </c>
      <c r="CW209" s="319">
        <v>0</v>
      </c>
      <c r="CX209" s="319">
        <f t="shared" si="1042"/>
        <v>121275</v>
      </c>
      <c r="CY209" s="319">
        <f t="shared" si="1043"/>
        <v>0</v>
      </c>
      <c r="CZ209" s="319"/>
      <c r="DA209" s="319"/>
      <c r="DB209" s="319"/>
      <c r="DC209" s="12">
        <f t="shared" si="1044"/>
        <v>12127.5</v>
      </c>
      <c r="DD209" s="12">
        <v>0.5</v>
      </c>
      <c r="DE209" s="13">
        <f t="shared" si="1045"/>
        <v>12127</v>
      </c>
      <c r="DF209" s="14">
        <f t="shared" si="1046"/>
        <v>12127</v>
      </c>
      <c r="DG209" s="13">
        <f t="shared" si="1047"/>
        <v>133402</v>
      </c>
      <c r="DH209" s="15">
        <f t="shared" si="1048"/>
        <v>9.486490099562964E-3</v>
      </c>
      <c r="DI209" s="16">
        <f t="shared" si="1049"/>
        <v>121275</v>
      </c>
      <c r="DJ209" s="132">
        <f t="shared" si="1050"/>
        <v>133402.5</v>
      </c>
      <c r="DK209" s="17">
        <f t="shared" si="1051"/>
        <v>12127.5</v>
      </c>
      <c r="DL209" s="17">
        <f t="shared" si="1052"/>
        <v>0.5</v>
      </c>
      <c r="DM209" s="16">
        <f t="shared" si="1053"/>
        <v>12127</v>
      </c>
      <c r="DN209" s="16">
        <f t="shared" si="1054"/>
        <v>0</v>
      </c>
      <c r="DO209" s="16">
        <f t="shared" si="1055"/>
        <v>133402</v>
      </c>
      <c r="DP209" s="16">
        <f t="shared" si="1056"/>
        <v>0</v>
      </c>
      <c r="DQ209" s="9">
        <v>133402</v>
      </c>
      <c r="DR209" s="18" t="s">
        <v>238</v>
      </c>
      <c r="DS209" s="18" t="s">
        <v>238</v>
      </c>
      <c r="DT209" s="324">
        <f t="shared" si="1057"/>
        <v>133402</v>
      </c>
      <c r="DU209" s="321">
        <f t="shared" si="1058"/>
        <v>133402</v>
      </c>
      <c r="DV209" s="19">
        <f t="shared" si="1059"/>
        <v>0</v>
      </c>
      <c r="DW209" s="9">
        <v>133402</v>
      </c>
      <c r="DX209" s="18"/>
      <c r="DY209" s="18"/>
      <c r="DZ209" s="324">
        <f t="shared" si="1060"/>
        <v>133402</v>
      </c>
      <c r="EA209" s="321">
        <f t="shared" si="1061"/>
        <v>133402</v>
      </c>
      <c r="EB209" s="179">
        <f t="shared" si="1062"/>
        <v>0</v>
      </c>
      <c r="EC209" s="9">
        <v>133402</v>
      </c>
      <c r="ED209" s="18" t="s">
        <v>238</v>
      </c>
      <c r="EE209" s="18" t="s">
        <v>238</v>
      </c>
      <c r="EF209" s="324">
        <f t="shared" si="1063"/>
        <v>133402</v>
      </c>
      <c r="EG209" s="321">
        <f t="shared" si="1064"/>
        <v>133402</v>
      </c>
      <c r="EH209" s="179">
        <f t="shared" si="1065"/>
        <v>0</v>
      </c>
      <c r="EI209" s="9">
        <v>133402</v>
      </c>
      <c r="EJ209" s="18" t="s">
        <v>238</v>
      </c>
      <c r="EK209" s="18" t="s">
        <v>238</v>
      </c>
      <c r="EL209" s="324">
        <f t="shared" si="1066"/>
        <v>133402</v>
      </c>
      <c r="EM209" s="321">
        <f t="shared" si="1067"/>
        <v>133402</v>
      </c>
      <c r="EN209" s="179">
        <f t="shared" si="1068"/>
        <v>0</v>
      </c>
      <c r="EO209" s="9">
        <v>133402</v>
      </c>
      <c r="EP209" s="18" t="s">
        <v>238</v>
      </c>
      <c r="EQ209" s="18" t="s">
        <v>238</v>
      </c>
      <c r="ER209" s="324">
        <f t="shared" si="1069"/>
        <v>133402</v>
      </c>
      <c r="ES209" s="321">
        <f t="shared" si="1070"/>
        <v>133402</v>
      </c>
      <c r="ET209" s="179">
        <f t="shared" si="1071"/>
        <v>0</v>
      </c>
      <c r="EU209" s="9">
        <v>133402</v>
      </c>
      <c r="EV209" s="18" t="s">
        <v>238</v>
      </c>
      <c r="EW209" s="18" t="s">
        <v>238</v>
      </c>
      <c r="EX209" s="324">
        <f t="shared" si="1072"/>
        <v>133402</v>
      </c>
      <c r="EY209" s="321">
        <f t="shared" si="1073"/>
        <v>133402</v>
      </c>
      <c r="EZ209" s="179">
        <f t="shared" si="1074"/>
        <v>0</v>
      </c>
      <c r="FA209" s="9">
        <v>133402</v>
      </c>
      <c r="FB209" s="18" t="s">
        <v>238</v>
      </c>
      <c r="FC209" s="18" t="s">
        <v>238</v>
      </c>
      <c r="FD209" s="324">
        <f t="shared" si="1075"/>
        <v>133402</v>
      </c>
      <c r="FE209" s="321">
        <f t="shared" si="1076"/>
        <v>133402</v>
      </c>
      <c r="FF209" s="179">
        <f t="shared" si="1077"/>
        <v>0</v>
      </c>
      <c r="FG209" s="9">
        <v>133402</v>
      </c>
      <c r="FH209" s="18" t="s">
        <v>238</v>
      </c>
      <c r="FI209" s="18" t="s">
        <v>238</v>
      </c>
      <c r="FJ209" s="324">
        <f t="shared" si="1078"/>
        <v>133402</v>
      </c>
      <c r="FK209" s="321">
        <f t="shared" si="1079"/>
        <v>133402</v>
      </c>
      <c r="FL209" s="179">
        <f t="shared" si="1080"/>
        <v>0</v>
      </c>
      <c r="FM209" s="9">
        <v>133402</v>
      </c>
      <c r="FN209" s="18" t="s">
        <v>238</v>
      </c>
      <c r="FO209" s="18" t="s">
        <v>238</v>
      </c>
      <c r="FP209" s="324">
        <f t="shared" si="1081"/>
        <v>133402</v>
      </c>
      <c r="FQ209" s="321">
        <f t="shared" si="1082"/>
        <v>133402</v>
      </c>
      <c r="FR209" s="179">
        <f t="shared" si="1083"/>
        <v>0</v>
      </c>
      <c r="FS209" s="9">
        <v>133402</v>
      </c>
      <c r="FT209" s="18" t="s">
        <v>238</v>
      </c>
      <c r="FU209" s="18" t="s">
        <v>238</v>
      </c>
      <c r="FV209" s="324">
        <f t="shared" si="1084"/>
        <v>133402</v>
      </c>
      <c r="FW209" s="321">
        <f t="shared" si="1085"/>
        <v>133402</v>
      </c>
      <c r="FX209" s="179">
        <f t="shared" si="1086"/>
        <v>0</v>
      </c>
      <c r="FY209" s="9">
        <v>133402</v>
      </c>
      <c r="FZ209" s="18" t="s">
        <v>238</v>
      </c>
      <c r="GA209" s="18" t="s">
        <v>238</v>
      </c>
      <c r="GB209" s="324">
        <f t="shared" si="1087"/>
        <v>133402</v>
      </c>
      <c r="GC209" s="321">
        <f t="shared" si="1088"/>
        <v>133402</v>
      </c>
      <c r="GD209" s="179">
        <f t="shared" si="1089"/>
        <v>0</v>
      </c>
      <c r="GE209" s="9">
        <v>133402</v>
      </c>
      <c r="GF209" s="18" t="s">
        <v>238</v>
      </c>
      <c r="GG209" s="18" t="s">
        <v>238</v>
      </c>
      <c r="GH209" s="324">
        <f t="shared" si="1090"/>
        <v>133402</v>
      </c>
      <c r="GI209" s="321">
        <f t="shared" si="1091"/>
        <v>133402</v>
      </c>
      <c r="GJ209" s="179">
        <f t="shared" si="1092"/>
        <v>0</v>
      </c>
      <c r="GK209" s="9">
        <v>133402</v>
      </c>
      <c r="GL209" s="18" t="s">
        <v>238</v>
      </c>
      <c r="GM209" s="18" t="s">
        <v>238</v>
      </c>
      <c r="GN209" s="324">
        <f t="shared" si="1093"/>
        <v>133402</v>
      </c>
      <c r="GO209" s="321">
        <f t="shared" si="1094"/>
        <v>133402</v>
      </c>
      <c r="GP209" s="179">
        <f t="shared" si="1095"/>
        <v>0</v>
      </c>
      <c r="GQ209" s="9">
        <v>133402</v>
      </c>
      <c r="GR209" s="18" t="s">
        <v>238</v>
      </c>
      <c r="GS209" s="18" t="s">
        <v>238</v>
      </c>
      <c r="GT209" s="324">
        <f t="shared" si="1096"/>
        <v>133402</v>
      </c>
      <c r="GU209" s="321">
        <f t="shared" si="1097"/>
        <v>133402</v>
      </c>
      <c r="GV209" s="179">
        <f t="shared" si="1098"/>
        <v>0</v>
      </c>
      <c r="GW209" s="9">
        <v>140072</v>
      </c>
      <c r="GX209" s="18" t="s">
        <v>238</v>
      </c>
      <c r="GY209" s="18" t="s">
        <v>238</v>
      </c>
      <c r="GZ209" s="324">
        <f t="shared" si="1099"/>
        <v>140072</v>
      </c>
      <c r="HA209" s="321">
        <f t="shared" si="1100"/>
        <v>140072</v>
      </c>
      <c r="HB209" s="179">
        <f t="shared" si="1101"/>
        <v>6670</v>
      </c>
      <c r="HC209" s="102">
        <f t="shared" si="1102"/>
        <v>9.48645454366971E-3</v>
      </c>
      <c r="HD209" s="285">
        <f t="shared" si="1103"/>
        <v>0</v>
      </c>
      <c r="HE209" s="12">
        <f t="shared" si="1104"/>
        <v>6670.1</v>
      </c>
      <c r="HF209" s="12">
        <f t="shared" si="1105"/>
        <v>0.1000000000003638</v>
      </c>
      <c r="HG209" s="12">
        <f t="shared" si="1106"/>
        <v>6670</v>
      </c>
      <c r="HH209" s="14">
        <f t="shared" si="1107"/>
        <v>6670</v>
      </c>
      <c r="HI209" s="13">
        <f t="shared" si="1108"/>
        <v>140072</v>
      </c>
      <c r="HJ209" s="102">
        <f t="shared" si="1109"/>
        <v>9.9607701596745452E-3</v>
      </c>
      <c r="HK209" s="16">
        <f t="shared" si="1110"/>
        <v>133402</v>
      </c>
      <c r="HL209" s="103">
        <f t="shared" si="1111"/>
        <v>140072.1</v>
      </c>
      <c r="HM209" s="103">
        <f t="shared" si="1112"/>
        <v>6670.1000000000058</v>
      </c>
      <c r="HN209" s="17">
        <f t="shared" si="1113"/>
        <v>0.1000000000003638</v>
      </c>
      <c r="HO209" s="56">
        <f t="shared" si="1114"/>
        <v>6670.0000000000055</v>
      </c>
      <c r="HP209" s="16">
        <f t="shared" si="1115"/>
        <v>0</v>
      </c>
      <c r="HQ209" s="16">
        <f t="shared" si="1116"/>
        <v>140072</v>
      </c>
      <c r="HR209" s="16">
        <f t="shared" si="1117"/>
        <v>0</v>
      </c>
    </row>
    <row r="210" spans="1:226" x14ac:dyDescent="0.3">
      <c r="A210" s="326">
        <v>5</v>
      </c>
      <c r="B210" s="326" t="s">
        <v>177</v>
      </c>
      <c r="C210" s="326" t="s">
        <v>340</v>
      </c>
      <c r="D210" s="21" t="s">
        <v>178</v>
      </c>
      <c r="E210" s="4"/>
      <c r="F210" s="4"/>
      <c r="G210" s="4"/>
      <c r="H210" s="325"/>
      <c r="I210" s="325">
        <v>2530000</v>
      </c>
      <c r="J210" s="325"/>
      <c r="K210" s="325"/>
      <c r="L210" s="325">
        <v>2530000</v>
      </c>
      <c r="M210" s="6">
        <v>2530000</v>
      </c>
      <c r="N210" s="6">
        <v>2530000</v>
      </c>
      <c r="O210" s="7">
        <v>2530000</v>
      </c>
      <c r="P210" s="7">
        <v>2530000</v>
      </c>
      <c r="Q210" s="7">
        <v>2530000</v>
      </c>
      <c r="R210" s="7">
        <v>2530000</v>
      </c>
      <c r="S210" s="7">
        <v>2530000</v>
      </c>
      <c r="T210" s="6">
        <v>2250000</v>
      </c>
      <c r="U210" s="7">
        <f>T210*5%</f>
        <v>112500</v>
      </c>
      <c r="V210" s="7">
        <f>T210+U210</f>
        <v>2362500</v>
      </c>
      <c r="W210" s="7">
        <v>2376500</v>
      </c>
      <c r="X210" s="7">
        <v>2376500</v>
      </c>
      <c r="Y210" s="7">
        <v>2376500</v>
      </c>
      <c r="Z210" s="7">
        <v>2376500</v>
      </c>
      <c r="AA210" s="7">
        <v>2376500</v>
      </c>
      <c r="AB210" s="7">
        <v>2376500</v>
      </c>
      <c r="AC210" s="4">
        <v>0</v>
      </c>
      <c r="AD210" s="4">
        <v>0</v>
      </c>
      <c r="AE210" s="7">
        <f>AD210+AC210+AB210</f>
        <v>2376500</v>
      </c>
      <c r="AF210" s="7">
        <v>2376500</v>
      </c>
      <c r="AG210" s="4">
        <v>0</v>
      </c>
      <c r="AH210" s="4">
        <v>0</v>
      </c>
      <c r="AI210" s="7">
        <f>AH210+AG210+AF210</f>
        <v>2376500</v>
      </c>
      <c r="AJ210" s="7">
        <v>2376500</v>
      </c>
      <c r="AK210" s="4">
        <v>0</v>
      </c>
      <c r="AL210" s="4">
        <v>0</v>
      </c>
      <c r="AM210" s="7">
        <f>AL210+AK210+AJ210</f>
        <v>2376500</v>
      </c>
      <c r="AN210" s="7">
        <v>2376500</v>
      </c>
      <c r="AO210" s="4">
        <v>0</v>
      </c>
      <c r="AP210" s="4">
        <v>0</v>
      </c>
      <c r="AQ210" s="7">
        <f>AP210+AO210+AN210</f>
        <v>2376500</v>
      </c>
      <c r="AR210" s="4">
        <v>2326500</v>
      </c>
      <c r="AS210" s="4">
        <v>0</v>
      </c>
      <c r="AT210" s="4">
        <v>0</v>
      </c>
      <c r="AU210" s="7">
        <f>AT210+AS210+AR210</f>
        <v>2326500</v>
      </c>
      <c r="AV210" s="4">
        <v>2326500</v>
      </c>
      <c r="AW210" s="4">
        <v>0</v>
      </c>
      <c r="AX210" s="4">
        <v>0</v>
      </c>
      <c r="AY210" s="7">
        <f>AX210+AW210+AV210</f>
        <v>2326500</v>
      </c>
      <c r="AZ210" s="8">
        <f t="shared" si="1021"/>
        <v>116325</v>
      </c>
      <c r="BA210" s="8"/>
      <c r="BB210" s="8">
        <f t="shared" si="1022"/>
        <v>116325</v>
      </c>
      <c r="BC210" s="8">
        <f t="shared" si="1023"/>
        <v>2442825</v>
      </c>
      <c r="BD210" s="8"/>
      <c r="BE210" s="8">
        <f t="shared" si="1024"/>
        <v>2442825</v>
      </c>
      <c r="BF210" s="10">
        <f t="shared" si="1025"/>
        <v>116325</v>
      </c>
      <c r="BG210" s="11">
        <f t="shared" si="1026"/>
        <v>0</v>
      </c>
      <c r="BH210" s="319">
        <v>2442825</v>
      </c>
      <c r="BI210" s="319">
        <v>0</v>
      </c>
      <c r="BJ210" s="319">
        <v>0</v>
      </c>
      <c r="BK210" s="319">
        <f t="shared" si="1027"/>
        <v>2442825</v>
      </c>
      <c r="BL210" s="319">
        <v>2442825</v>
      </c>
      <c r="BM210" s="319">
        <v>0</v>
      </c>
      <c r="BN210" s="319">
        <v>0</v>
      </c>
      <c r="BO210" s="319">
        <f t="shared" si="1028"/>
        <v>2442825</v>
      </c>
      <c r="BP210" s="319">
        <f t="shared" si="1029"/>
        <v>0</v>
      </c>
      <c r="BQ210" s="319">
        <v>2442825</v>
      </c>
      <c r="BR210" s="319">
        <v>0</v>
      </c>
      <c r="BS210" s="319">
        <v>0</v>
      </c>
      <c r="BT210" s="319">
        <f t="shared" si="1030"/>
        <v>2442825</v>
      </c>
      <c r="BU210" s="319">
        <f t="shared" si="1031"/>
        <v>0</v>
      </c>
      <c r="BV210" s="319">
        <v>2442825</v>
      </c>
      <c r="BW210" s="319">
        <v>0</v>
      </c>
      <c r="BX210" s="319">
        <v>0</v>
      </c>
      <c r="BY210" s="319">
        <f t="shared" si="1032"/>
        <v>2442825</v>
      </c>
      <c r="BZ210" s="319">
        <f t="shared" si="1033"/>
        <v>0</v>
      </c>
      <c r="CA210" s="319">
        <v>2442825</v>
      </c>
      <c r="CB210" s="319">
        <v>0</v>
      </c>
      <c r="CC210" s="319">
        <v>0</v>
      </c>
      <c r="CD210" s="319">
        <f t="shared" si="1034"/>
        <v>2442825</v>
      </c>
      <c r="CE210" s="319">
        <f t="shared" si="1035"/>
        <v>0</v>
      </c>
      <c r="CF210" s="319">
        <v>2442825</v>
      </c>
      <c r="CG210" s="319">
        <v>0</v>
      </c>
      <c r="CH210" s="319">
        <v>0</v>
      </c>
      <c r="CI210" s="319">
        <f t="shared" si="1036"/>
        <v>2442825</v>
      </c>
      <c r="CJ210" s="319">
        <f t="shared" si="1037"/>
        <v>0</v>
      </c>
      <c r="CK210" s="319">
        <v>2442825</v>
      </c>
      <c r="CL210" s="319">
        <v>0</v>
      </c>
      <c r="CM210" s="319">
        <v>0</v>
      </c>
      <c r="CN210" s="319">
        <f t="shared" si="1038"/>
        <v>2442825</v>
      </c>
      <c r="CO210" s="319">
        <f t="shared" si="1039"/>
        <v>0</v>
      </c>
      <c r="CP210" s="319">
        <v>2442825</v>
      </c>
      <c r="CQ210" s="319">
        <v>0</v>
      </c>
      <c r="CR210" s="319">
        <v>0</v>
      </c>
      <c r="CS210" s="319">
        <f t="shared" si="1040"/>
        <v>2442825</v>
      </c>
      <c r="CT210" s="319">
        <f t="shared" si="1041"/>
        <v>0</v>
      </c>
      <c r="CU210" s="319">
        <v>2442825</v>
      </c>
      <c r="CV210" s="319">
        <v>0</v>
      </c>
      <c r="CW210" s="319">
        <v>0</v>
      </c>
      <c r="CX210" s="319">
        <f t="shared" si="1042"/>
        <v>2442825</v>
      </c>
      <c r="CY210" s="319">
        <f t="shared" si="1043"/>
        <v>0</v>
      </c>
      <c r="CZ210" s="319"/>
      <c r="DA210" s="319"/>
      <c r="DB210" s="319"/>
      <c r="DC210" s="12">
        <f t="shared" si="1044"/>
        <v>244282.5</v>
      </c>
      <c r="DD210" s="12">
        <v>0.5</v>
      </c>
      <c r="DE210" s="13">
        <f t="shared" si="1045"/>
        <v>244282</v>
      </c>
      <c r="DF210" s="14">
        <f t="shared" si="1046"/>
        <v>244282</v>
      </c>
      <c r="DG210" s="13">
        <f t="shared" si="1047"/>
        <v>2687107</v>
      </c>
      <c r="DH210" s="15">
        <f t="shared" si="1048"/>
        <v>0.19108501486262541</v>
      </c>
      <c r="DI210" s="16">
        <f t="shared" si="1049"/>
        <v>2442825</v>
      </c>
      <c r="DJ210" s="132">
        <f t="shared" si="1050"/>
        <v>2687107.5</v>
      </c>
      <c r="DK210" s="17">
        <f t="shared" si="1051"/>
        <v>244282.5</v>
      </c>
      <c r="DL210" s="17">
        <f t="shared" si="1052"/>
        <v>0.5</v>
      </c>
      <c r="DM210" s="16">
        <f t="shared" si="1053"/>
        <v>244282</v>
      </c>
      <c r="DN210" s="16">
        <f t="shared" si="1054"/>
        <v>0</v>
      </c>
      <c r="DO210" s="16">
        <f t="shared" si="1055"/>
        <v>2687107</v>
      </c>
      <c r="DP210" s="16">
        <f t="shared" si="1056"/>
        <v>0</v>
      </c>
      <c r="DQ210" s="9">
        <v>2687107</v>
      </c>
      <c r="DR210" s="18" t="s">
        <v>238</v>
      </c>
      <c r="DS210" s="18" t="s">
        <v>238</v>
      </c>
      <c r="DT210" s="324">
        <f t="shared" si="1057"/>
        <v>2687107</v>
      </c>
      <c r="DU210" s="321">
        <f t="shared" si="1058"/>
        <v>2687107</v>
      </c>
      <c r="DV210" s="19">
        <f t="shared" si="1059"/>
        <v>0</v>
      </c>
      <c r="DW210" s="9">
        <v>1537107</v>
      </c>
      <c r="DX210" s="18"/>
      <c r="DY210" s="18"/>
      <c r="DZ210" s="324">
        <f t="shared" si="1060"/>
        <v>1537107</v>
      </c>
      <c r="EA210" s="321">
        <f t="shared" si="1061"/>
        <v>1537107</v>
      </c>
      <c r="EB210" s="22">
        <f t="shared" si="1062"/>
        <v>-1150000</v>
      </c>
      <c r="EC210" s="9">
        <v>1187107</v>
      </c>
      <c r="ED210" s="18" t="s">
        <v>238</v>
      </c>
      <c r="EE210" s="18" t="s">
        <v>238</v>
      </c>
      <c r="EF210" s="324">
        <f t="shared" si="1063"/>
        <v>1187107</v>
      </c>
      <c r="EG210" s="321">
        <f t="shared" si="1064"/>
        <v>1187107</v>
      </c>
      <c r="EH210" s="22">
        <f t="shared" si="1065"/>
        <v>-350000</v>
      </c>
      <c r="EI210" s="9">
        <v>1187107</v>
      </c>
      <c r="EJ210" s="18" t="s">
        <v>238</v>
      </c>
      <c r="EK210" s="18" t="s">
        <v>238</v>
      </c>
      <c r="EL210" s="324">
        <f t="shared" si="1066"/>
        <v>1187107</v>
      </c>
      <c r="EM210" s="321">
        <f t="shared" si="1067"/>
        <v>1187107</v>
      </c>
      <c r="EN210" s="179">
        <f t="shared" si="1068"/>
        <v>0</v>
      </c>
      <c r="EO210" s="9">
        <v>1337107</v>
      </c>
      <c r="EP210" s="18" t="s">
        <v>238</v>
      </c>
      <c r="EQ210" s="18" t="s">
        <v>238</v>
      </c>
      <c r="ER210" s="324">
        <f t="shared" si="1069"/>
        <v>1337107</v>
      </c>
      <c r="ES210" s="321">
        <f t="shared" si="1070"/>
        <v>1337107</v>
      </c>
      <c r="ET210" s="22">
        <f t="shared" si="1071"/>
        <v>150000</v>
      </c>
      <c r="EU210" s="9">
        <v>1337107</v>
      </c>
      <c r="EV210" s="18" t="s">
        <v>238</v>
      </c>
      <c r="EW210" s="18" t="s">
        <v>238</v>
      </c>
      <c r="EX210" s="324">
        <f t="shared" si="1072"/>
        <v>1337107</v>
      </c>
      <c r="EY210" s="321">
        <f t="shared" si="1073"/>
        <v>1337107</v>
      </c>
      <c r="EZ210" s="179">
        <f t="shared" si="1074"/>
        <v>0</v>
      </c>
      <c r="FA210" s="9">
        <v>1337107</v>
      </c>
      <c r="FB210" s="18" t="s">
        <v>238</v>
      </c>
      <c r="FC210" s="18" t="s">
        <v>238</v>
      </c>
      <c r="FD210" s="324">
        <f t="shared" si="1075"/>
        <v>1337107</v>
      </c>
      <c r="FE210" s="321">
        <f t="shared" si="1076"/>
        <v>1337107</v>
      </c>
      <c r="FF210" s="179">
        <f t="shared" si="1077"/>
        <v>0</v>
      </c>
      <c r="FG210" s="9">
        <v>1337107</v>
      </c>
      <c r="FH210" s="18" t="s">
        <v>238</v>
      </c>
      <c r="FI210" s="18" t="s">
        <v>238</v>
      </c>
      <c r="FJ210" s="324">
        <f t="shared" si="1078"/>
        <v>1337107</v>
      </c>
      <c r="FK210" s="321">
        <f t="shared" si="1079"/>
        <v>1337107</v>
      </c>
      <c r="FL210" s="179">
        <f t="shared" si="1080"/>
        <v>0</v>
      </c>
      <c r="FM210" s="9">
        <v>1337107</v>
      </c>
      <c r="FN210" s="18" t="s">
        <v>238</v>
      </c>
      <c r="FO210" s="18" t="s">
        <v>238</v>
      </c>
      <c r="FP210" s="324">
        <f t="shared" si="1081"/>
        <v>1337107</v>
      </c>
      <c r="FQ210" s="321">
        <f t="shared" si="1082"/>
        <v>1337107</v>
      </c>
      <c r="FR210" s="179">
        <f t="shared" si="1083"/>
        <v>0</v>
      </c>
      <c r="FS210" s="9">
        <v>1337107</v>
      </c>
      <c r="FT210" s="18" t="s">
        <v>238</v>
      </c>
      <c r="FU210" s="18" t="s">
        <v>238</v>
      </c>
      <c r="FV210" s="324">
        <f t="shared" si="1084"/>
        <v>1337107</v>
      </c>
      <c r="FW210" s="321">
        <f t="shared" si="1085"/>
        <v>1337107</v>
      </c>
      <c r="FX210" s="179">
        <f t="shared" si="1086"/>
        <v>0</v>
      </c>
      <c r="FY210" s="9">
        <v>1337107</v>
      </c>
      <c r="FZ210" s="18" t="s">
        <v>238</v>
      </c>
      <c r="GA210" s="18" t="s">
        <v>238</v>
      </c>
      <c r="GB210" s="324">
        <f t="shared" si="1087"/>
        <v>1337107</v>
      </c>
      <c r="GC210" s="321">
        <f t="shared" si="1088"/>
        <v>1337107</v>
      </c>
      <c r="GD210" s="179">
        <f t="shared" si="1089"/>
        <v>0</v>
      </c>
      <c r="GE210" s="9">
        <v>1337107</v>
      </c>
      <c r="GF210" s="18" t="s">
        <v>238</v>
      </c>
      <c r="GG210" s="18" t="s">
        <v>238</v>
      </c>
      <c r="GH210" s="324">
        <f t="shared" si="1090"/>
        <v>1337107</v>
      </c>
      <c r="GI210" s="321">
        <f t="shared" si="1091"/>
        <v>1337107</v>
      </c>
      <c r="GJ210" s="179">
        <f t="shared" si="1092"/>
        <v>0</v>
      </c>
      <c r="GK210" s="9">
        <v>1337107</v>
      </c>
      <c r="GL210" s="18" t="s">
        <v>238</v>
      </c>
      <c r="GM210" s="18" t="s">
        <v>238</v>
      </c>
      <c r="GN210" s="324">
        <f t="shared" si="1093"/>
        <v>1337107</v>
      </c>
      <c r="GO210" s="321">
        <f t="shared" si="1094"/>
        <v>1337107</v>
      </c>
      <c r="GP210" s="179">
        <f t="shared" si="1095"/>
        <v>0</v>
      </c>
      <c r="GQ210" s="9">
        <v>1337107</v>
      </c>
      <c r="GR210" s="18" t="s">
        <v>238</v>
      </c>
      <c r="GS210" s="18" t="s">
        <v>238</v>
      </c>
      <c r="GT210" s="324">
        <f t="shared" si="1096"/>
        <v>1337107</v>
      </c>
      <c r="GU210" s="321">
        <f t="shared" si="1097"/>
        <v>1337107</v>
      </c>
      <c r="GV210" s="179">
        <f t="shared" si="1098"/>
        <v>0</v>
      </c>
      <c r="GW210" s="9">
        <v>1403962</v>
      </c>
      <c r="GX210" s="18" t="s">
        <v>238</v>
      </c>
      <c r="GY210" s="18" t="s">
        <v>238</v>
      </c>
      <c r="GZ210" s="324">
        <f t="shared" si="1099"/>
        <v>1403962</v>
      </c>
      <c r="HA210" s="321">
        <f t="shared" si="1100"/>
        <v>1403962</v>
      </c>
      <c r="HB210" s="179">
        <f t="shared" si="1101"/>
        <v>66855</v>
      </c>
      <c r="HC210" s="102">
        <f t="shared" si="1102"/>
        <v>9.5084067521645665E-2</v>
      </c>
      <c r="HD210" s="285">
        <f t="shared" si="1103"/>
        <v>0</v>
      </c>
      <c r="HE210" s="12">
        <f t="shared" si="1104"/>
        <v>66855.350000000006</v>
      </c>
      <c r="HF210" s="12">
        <f t="shared" si="1105"/>
        <v>0.35000000000582077</v>
      </c>
      <c r="HG210" s="12">
        <f t="shared" si="1106"/>
        <v>66855</v>
      </c>
      <c r="HH210" s="14">
        <f t="shared" si="1107"/>
        <v>66855</v>
      </c>
      <c r="HI210" s="13">
        <f t="shared" si="1108"/>
        <v>1403962</v>
      </c>
      <c r="HJ210" s="102">
        <f t="shared" si="1109"/>
        <v>9.983824600860268E-2</v>
      </c>
      <c r="HK210" s="16">
        <f t="shared" si="1110"/>
        <v>1337107</v>
      </c>
      <c r="HL210" s="103">
        <f t="shared" si="1111"/>
        <v>1403962.35</v>
      </c>
      <c r="HM210" s="103">
        <f t="shared" si="1112"/>
        <v>66855.350000000093</v>
      </c>
      <c r="HN210" s="17">
        <f t="shared" si="1113"/>
        <v>0.35000000000582077</v>
      </c>
      <c r="HO210" s="56">
        <f t="shared" si="1114"/>
        <v>66855.000000000087</v>
      </c>
      <c r="HP210" s="16">
        <f t="shared" si="1115"/>
        <v>0</v>
      </c>
      <c r="HQ210" s="16">
        <f t="shared" si="1116"/>
        <v>1403962</v>
      </c>
      <c r="HR210" s="16">
        <f t="shared" si="1117"/>
        <v>0</v>
      </c>
    </row>
    <row r="211" spans="1:226" x14ac:dyDescent="0.3">
      <c r="A211" s="326">
        <v>6</v>
      </c>
      <c r="B211" s="326" t="s">
        <v>174</v>
      </c>
      <c r="C211" s="326" t="s">
        <v>175</v>
      </c>
      <c r="D211" s="21" t="s">
        <v>176</v>
      </c>
      <c r="E211" s="4"/>
      <c r="F211" s="4"/>
      <c r="G211" s="4"/>
      <c r="H211" s="325"/>
      <c r="I211" s="325">
        <v>236</v>
      </c>
      <c r="J211" s="325"/>
      <c r="K211" s="325"/>
      <c r="L211" s="325">
        <v>0</v>
      </c>
      <c r="M211" s="6">
        <v>0</v>
      </c>
      <c r="N211" s="6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f t="shared" si="1013"/>
        <v>0</v>
      </c>
      <c r="V211" s="7">
        <f t="shared" si="1014"/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4">
        <v>0</v>
      </c>
      <c r="AD211" s="4">
        <v>0</v>
      </c>
      <c r="AE211" s="7">
        <f t="shared" si="1015"/>
        <v>0</v>
      </c>
      <c r="AF211" s="7">
        <v>0</v>
      </c>
      <c r="AG211" s="4">
        <v>0</v>
      </c>
      <c r="AH211" s="4">
        <v>0</v>
      </c>
      <c r="AI211" s="7">
        <f t="shared" si="1016"/>
        <v>0</v>
      </c>
      <c r="AJ211" s="7">
        <v>0</v>
      </c>
      <c r="AK211" s="4">
        <v>0</v>
      </c>
      <c r="AL211" s="4">
        <v>0</v>
      </c>
      <c r="AM211" s="7">
        <f t="shared" si="1017"/>
        <v>0</v>
      </c>
      <c r="AN211" s="7">
        <v>0</v>
      </c>
      <c r="AO211" s="4">
        <v>0</v>
      </c>
      <c r="AP211" s="4">
        <v>0</v>
      </c>
      <c r="AQ211" s="7">
        <f t="shared" si="1018"/>
        <v>0</v>
      </c>
      <c r="AR211" s="7">
        <v>0</v>
      </c>
      <c r="AS211" s="4">
        <v>0</v>
      </c>
      <c r="AT211" s="4">
        <v>0</v>
      </c>
      <c r="AU211" s="7">
        <f t="shared" si="1019"/>
        <v>0</v>
      </c>
      <c r="AV211" s="7">
        <v>0</v>
      </c>
      <c r="AW211" s="4">
        <v>0</v>
      </c>
      <c r="AX211" s="4">
        <v>0</v>
      </c>
      <c r="AY211" s="7">
        <f t="shared" si="1020"/>
        <v>0</v>
      </c>
      <c r="AZ211" s="8">
        <f t="shared" si="1021"/>
        <v>0</v>
      </c>
      <c r="BA211" s="8"/>
      <c r="BB211" s="8">
        <f t="shared" si="1022"/>
        <v>0</v>
      </c>
      <c r="BC211" s="8">
        <f t="shared" si="1023"/>
        <v>0</v>
      </c>
      <c r="BD211" s="8"/>
      <c r="BE211" s="8">
        <f t="shared" si="1024"/>
        <v>0</v>
      </c>
      <c r="BF211" s="10">
        <f t="shared" si="1025"/>
        <v>0</v>
      </c>
      <c r="BG211" s="11">
        <f t="shared" si="1026"/>
        <v>0</v>
      </c>
      <c r="BH211" s="319">
        <v>0</v>
      </c>
      <c r="BI211" s="319">
        <v>0</v>
      </c>
      <c r="BJ211" s="319">
        <v>0</v>
      </c>
      <c r="BK211" s="319">
        <f t="shared" si="1027"/>
        <v>0</v>
      </c>
      <c r="BL211" s="319">
        <v>0</v>
      </c>
      <c r="BM211" s="319">
        <v>0</v>
      </c>
      <c r="BN211" s="319">
        <v>0</v>
      </c>
      <c r="BO211" s="319">
        <f t="shared" si="1028"/>
        <v>0</v>
      </c>
      <c r="BP211" s="319">
        <f t="shared" si="1029"/>
        <v>0</v>
      </c>
      <c r="BQ211" s="319">
        <v>0</v>
      </c>
      <c r="BR211" s="319">
        <v>0</v>
      </c>
      <c r="BS211" s="319">
        <v>0</v>
      </c>
      <c r="BT211" s="319">
        <f t="shared" si="1030"/>
        <v>0</v>
      </c>
      <c r="BU211" s="319">
        <f t="shared" si="1031"/>
        <v>0</v>
      </c>
      <c r="BV211" s="319">
        <v>0</v>
      </c>
      <c r="BW211" s="319">
        <v>0</v>
      </c>
      <c r="BX211" s="319">
        <v>0</v>
      </c>
      <c r="BY211" s="319">
        <f t="shared" si="1032"/>
        <v>0</v>
      </c>
      <c r="BZ211" s="319">
        <f t="shared" si="1033"/>
        <v>0</v>
      </c>
      <c r="CA211" s="319">
        <v>0</v>
      </c>
      <c r="CB211" s="319">
        <v>0</v>
      </c>
      <c r="CC211" s="319">
        <v>0</v>
      </c>
      <c r="CD211" s="319">
        <f t="shared" si="1034"/>
        <v>0</v>
      </c>
      <c r="CE211" s="319">
        <f t="shared" si="1035"/>
        <v>0</v>
      </c>
      <c r="CF211" s="319">
        <v>0</v>
      </c>
      <c r="CG211" s="319">
        <v>0</v>
      </c>
      <c r="CH211" s="319">
        <v>0</v>
      </c>
      <c r="CI211" s="319">
        <f t="shared" si="1036"/>
        <v>0</v>
      </c>
      <c r="CJ211" s="319">
        <f t="shared" si="1037"/>
        <v>0</v>
      </c>
      <c r="CK211" s="319">
        <v>0</v>
      </c>
      <c r="CL211" s="319">
        <v>0</v>
      </c>
      <c r="CM211" s="319">
        <v>0</v>
      </c>
      <c r="CN211" s="319">
        <f t="shared" si="1038"/>
        <v>0</v>
      </c>
      <c r="CO211" s="319">
        <f t="shared" si="1039"/>
        <v>0</v>
      </c>
      <c r="CP211" s="319">
        <v>0</v>
      </c>
      <c r="CQ211" s="319">
        <v>0</v>
      </c>
      <c r="CR211" s="319">
        <v>0</v>
      </c>
      <c r="CS211" s="319">
        <f t="shared" si="1040"/>
        <v>0</v>
      </c>
      <c r="CT211" s="319">
        <f t="shared" si="1041"/>
        <v>0</v>
      </c>
      <c r="CU211" s="319">
        <v>0</v>
      </c>
      <c r="CV211" s="319">
        <v>0</v>
      </c>
      <c r="CW211" s="319">
        <v>0</v>
      </c>
      <c r="CX211" s="319">
        <f t="shared" si="1042"/>
        <v>0</v>
      </c>
      <c r="CY211" s="319">
        <f t="shared" si="1043"/>
        <v>0</v>
      </c>
      <c r="CZ211" s="319"/>
      <c r="DA211" s="319"/>
      <c r="DB211" s="319"/>
      <c r="DC211" s="12">
        <f t="shared" si="1044"/>
        <v>0</v>
      </c>
      <c r="DD211" s="12">
        <v>0</v>
      </c>
      <c r="DE211" s="13">
        <f t="shared" si="1045"/>
        <v>0</v>
      </c>
      <c r="DF211" s="14">
        <f t="shared" si="1046"/>
        <v>0</v>
      </c>
      <c r="DG211" s="13">
        <f t="shared" si="1047"/>
        <v>0</v>
      </c>
      <c r="DH211" s="15">
        <f t="shared" si="1048"/>
        <v>0</v>
      </c>
      <c r="DI211" s="16">
        <f t="shared" si="1049"/>
        <v>0</v>
      </c>
      <c r="DJ211" s="132">
        <f t="shared" si="1050"/>
        <v>0</v>
      </c>
      <c r="DK211" s="17">
        <f t="shared" si="1051"/>
        <v>0</v>
      </c>
      <c r="DL211" s="17">
        <f t="shared" si="1052"/>
        <v>0</v>
      </c>
      <c r="DM211" s="16">
        <f t="shared" si="1053"/>
        <v>0</v>
      </c>
      <c r="DN211" s="16">
        <f t="shared" si="1054"/>
        <v>0</v>
      </c>
      <c r="DO211" s="16">
        <f t="shared" si="1055"/>
        <v>0</v>
      </c>
      <c r="DP211" s="16">
        <f t="shared" si="1056"/>
        <v>0</v>
      </c>
      <c r="DQ211" s="9">
        <v>0</v>
      </c>
      <c r="DR211" s="18" t="s">
        <v>238</v>
      </c>
      <c r="DS211" s="18" t="s">
        <v>238</v>
      </c>
      <c r="DT211" s="324">
        <f t="shared" si="1057"/>
        <v>0</v>
      </c>
      <c r="DU211" s="321">
        <f t="shared" si="1058"/>
        <v>0</v>
      </c>
      <c r="DV211" s="19">
        <f t="shared" si="1059"/>
        <v>0</v>
      </c>
      <c r="DW211" s="9"/>
      <c r="DX211" s="18"/>
      <c r="DY211" s="18"/>
      <c r="DZ211" s="324">
        <f t="shared" si="1060"/>
        <v>0</v>
      </c>
      <c r="EA211" s="321">
        <f t="shared" si="1061"/>
        <v>0</v>
      </c>
      <c r="EB211" s="179">
        <f t="shared" si="1062"/>
        <v>0</v>
      </c>
      <c r="EC211" s="9">
        <v>0</v>
      </c>
      <c r="ED211" s="18" t="s">
        <v>238</v>
      </c>
      <c r="EE211" s="18" t="s">
        <v>238</v>
      </c>
      <c r="EF211" s="324">
        <f t="shared" si="1063"/>
        <v>0</v>
      </c>
      <c r="EG211" s="321">
        <f t="shared" si="1064"/>
        <v>0</v>
      </c>
      <c r="EH211" s="179">
        <f t="shared" si="1065"/>
        <v>0</v>
      </c>
      <c r="EI211" s="9">
        <v>0</v>
      </c>
      <c r="EJ211" s="18" t="s">
        <v>238</v>
      </c>
      <c r="EK211" s="18" t="s">
        <v>238</v>
      </c>
      <c r="EL211" s="324">
        <f t="shared" si="1066"/>
        <v>0</v>
      </c>
      <c r="EM211" s="321">
        <f t="shared" si="1067"/>
        <v>0</v>
      </c>
      <c r="EN211" s="179">
        <f t="shared" si="1068"/>
        <v>0</v>
      </c>
      <c r="EO211" s="9">
        <v>0</v>
      </c>
      <c r="EP211" s="18" t="s">
        <v>238</v>
      </c>
      <c r="EQ211" s="18" t="s">
        <v>238</v>
      </c>
      <c r="ER211" s="324">
        <f t="shared" si="1069"/>
        <v>0</v>
      </c>
      <c r="ES211" s="321">
        <f t="shared" si="1070"/>
        <v>0</v>
      </c>
      <c r="ET211" s="179">
        <f t="shared" si="1071"/>
        <v>0</v>
      </c>
      <c r="EU211" s="9">
        <v>0</v>
      </c>
      <c r="EV211" s="18" t="s">
        <v>238</v>
      </c>
      <c r="EW211" s="18" t="s">
        <v>238</v>
      </c>
      <c r="EX211" s="324">
        <f t="shared" si="1072"/>
        <v>0</v>
      </c>
      <c r="EY211" s="321">
        <f t="shared" si="1073"/>
        <v>0</v>
      </c>
      <c r="EZ211" s="179">
        <f t="shared" si="1074"/>
        <v>0</v>
      </c>
      <c r="FA211" s="9">
        <v>0</v>
      </c>
      <c r="FB211" s="18" t="s">
        <v>238</v>
      </c>
      <c r="FC211" s="18" t="s">
        <v>238</v>
      </c>
      <c r="FD211" s="324">
        <f t="shared" si="1075"/>
        <v>0</v>
      </c>
      <c r="FE211" s="321">
        <f t="shared" si="1076"/>
        <v>0</v>
      </c>
      <c r="FF211" s="179">
        <f t="shared" si="1077"/>
        <v>0</v>
      </c>
      <c r="FG211" s="9">
        <v>0</v>
      </c>
      <c r="FH211" s="18" t="s">
        <v>238</v>
      </c>
      <c r="FI211" s="18" t="s">
        <v>238</v>
      </c>
      <c r="FJ211" s="324">
        <f t="shared" si="1078"/>
        <v>0</v>
      </c>
      <c r="FK211" s="321">
        <f t="shared" si="1079"/>
        <v>0</v>
      </c>
      <c r="FL211" s="179">
        <f t="shared" si="1080"/>
        <v>0</v>
      </c>
      <c r="FM211" s="9">
        <v>0</v>
      </c>
      <c r="FN211" s="18" t="s">
        <v>238</v>
      </c>
      <c r="FO211" s="18" t="s">
        <v>238</v>
      </c>
      <c r="FP211" s="324">
        <f t="shared" si="1081"/>
        <v>0</v>
      </c>
      <c r="FQ211" s="321">
        <f t="shared" si="1082"/>
        <v>0</v>
      </c>
      <c r="FR211" s="179">
        <f t="shared" si="1083"/>
        <v>0</v>
      </c>
      <c r="FS211" s="9">
        <v>0</v>
      </c>
      <c r="FT211" s="18" t="s">
        <v>238</v>
      </c>
      <c r="FU211" s="18" t="s">
        <v>238</v>
      </c>
      <c r="FV211" s="324">
        <f t="shared" si="1084"/>
        <v>0</v>
      </c>
      <c r="FW211" s="321">
        <f t="shared" si="1085"/>
        <v>0</v>
      </c>
      <c r="FX211" s="179">
        <f t="shared" si="1086"/>
        <v>0</v>
      </c>
      <c r="FY211" s="9">
        <v>0</v>
      </c>
      <c r="FZ211" s="18" t="s">
        <v>238</v>
      </c>
      <c r="GA211" s="18" t="s">
        <v>238</v>
      </c>
      <c r="GB211" s="324">
        <f t="shared" si="1087"/>
        <v>0</v>
      </c>
      <c r="GC211" s="321">
        <f t="shared" si="1088"/>
        <v>0</v>
      </c>
      <c r="GD211" s="179">
        <f t="shared" si="1089"/>
        <v>0</v>
      </c>
      <c r="GE211" s="9">
        <v>0</v>
      </c>
      <c r="GF211" s="18" t="s">
        <v>238</v>
      </c>
      <c r="GG211" s="18" t="s">
        <v>238</v>
      </c>
      <c r="GH211" s="324">
        <f t="shared" si="1090"/>
        <v>0</v>
      </c>
      <c r="GI211" s="321">
        <f t="shared" si="1091"/>
        <v>0</v>
      </c>
      <c r="GJ211" s="179">
        <f t="shared" si="1092"/>
        <v>0</v>
      </c>
      <c r="GK211" s="9">
        <v>0</v>
      </c>
      <c r="GL211" s="18" t="s">
        <v>238</v>
      </c>
      <c r="GM211" s="18" t="s">
        <v>238</v>
      </c>
      <c r="GN211" s="324">
        <f t="shared" si="1093"/>
        <v>0</v>
      </c>
      <c r="GO211" s="321">
        <f t="shared" si="1094"/>
        <v>0</v>
      </c>
      <c r="GP211" s="179">
        <f t="shared" si="1095"/>
        <v>0</v>
      </c>
      <c r="GQ211" s="9">
        <v>0</v>
      </c>
      <c r="GR211" s="18" t="s">
        <v>238</v>
      </c>
      <c r="GS211" s="18" t="s">
        <v>238</v>
      </c>
      <c r="GT211" s="324">
        <f t="shared" si="1096"/>
        <v>0</v>
      </c>
      <c r="GU211" s="321">
        <f t="shared" si="1097"/>
        <v>0</v>
      </c>
      <c r="GV211" s="179">
        <f t="shared" si="1098"/>
        <v>0</v>
      </c>
      <c r="GW211" s="9">
        <v>0</v>
      </c>
      <c r="GX211" s="18" t="s">
        <v>238</v>
      </c>
      <c r="GY211" s="18" t="s">
        <v>238</v>
      </c>
      <c r="GZ211" s="324">
        <f t="shared" si="1099"/>
        <v>0</v>
      </c>
      <c r="HA211" s="321">
        <f t="shared" si="1100"/>
        <v>0</v>
      </c>
      <c r="HB211" s="179">
        <f t="shared" si="1101"/>
        <v>0</v>
      </c>
      <c r="HC211" s="102">
        <f t="shared" si="1102"/>
        <v>0</v>
      </c>
      <c r="HD211" s="285">
        <f t="shared" si="1103"/>
        <v>0</v>
      </c>
      <c r="HE211" s="12">
        <f t="shared" si="1104"/>
        <v>0</v>
      </c>
      <c r="HF211" s="12">
        <f t="shared" si="1105"/>
        <v>0</v>
      </c>
      <c r="HG211" s="12">
        <f t="shared" si="1106"/>
        <v>0</v>
      </c>
      <c r="HH211" s="14">
        <f t="shared" si="1107"/>
        <v>0</v>
      </c>
      <c r="HI211" s="13">
        <f t="shared" si="1108"/>
        <v>0</v>
      </c>
      <c r="HJ211" s="102">
        <f t="shared" si="1109"/>
        <v>0</v>
      </c>
      <c r="HK211" s="16">
        <f t="shared" si="1110"/>
        <v>0</v>
      </c>
      <c r="HL211" s="103">
        <f t="shared" si="1111"/>
        <v>0</v>
      </c>
      <c r="HM211" s="103">
        <f t="shared" si="1112"/>
        <v>0</v>
      </c>
      <c r="HN211" s="17">
        <f t="shared" si="1113"/>
        <v>0</v>
      </c>
      <c r="HO211" s="56">
        <f t="shared" si="1114"/>
        <v>0</v>
      </c>
      <c r="HP211" s="16">
        <f t="shared" si="1115"/>
        <v>0</v>
      </c>
      <c r="HQ211" s="16">
        <f t="shared" si="1116"/>
        <v>0</v>
      </c>
      <c r="HR211" s="16">
        <f t="shared" si="1117"/>
        <v>0</v>
      </c>
    </row>
    <row r="212" spans="1:226" x14ac:dyDescent="0.3">
      <c r="A212" s="140"/>
      <c r="B212" s="140"/>
      <c r="C212" s="140"/>
      <c r="D212" s="141" t="s">
        <v>216</v>
      </c>
      <c r="E212" s="121">
        <f t="shared" ref="E212:BP212" si="1118">SUM(E206:E211)</f>
        <v>0</v>
      </c>
      <c r="F212" s="121">
        <f t="shared" si="1118"/>
        <v>0</v>
      </c>
      <c r="G212" s="121">
        <f t="shared" si="1118"/>
        <v>0</v>
      </c>
      <c r="H212" s="121">
        <f t="shared" si="1118"/>
        <v>0</v>
      </c>
      <c r="I212" s="121">
        <f t="shared" si="1118"/>
        <v>3696118</v>
      </c>
      <c r="J212" s="121">
        <f t="shared" si="1118"/>
        <v>0</v>
      </c>
      <c r="K212" s="121">
        <f t="shared" si="1118"/>
        <v>0</v>
      </c>
      <c r="L212" s="121">
        <f t="shared" si="1118"/>
        <v>3695882</v>
      </c>
      <c r="M212" s="121">
        <f t="shared" si="1118"/>
        <v>3695882</v>
      </c>
      <c r="N212" s="121">
        <f t="shared" si="1118"/>
        <v>3695882</v>
      </c>
      <c r="O212" s="121">
        <f t="shared" si="1118"/>
        <v>3695882</v>
      </c>
      <c r="P212" s="121">
        <f t="shared" si="1118"/>
        <v>3695882</v>
      </c>
      <c r="Q212" s="121">
        <f t="shared" si="1118"/>
        <v>3695882</v>
      </c>
      <c r="R212" s="121">
        <f t="shared" si="1118"/>
        <v>3695882</v>
      </c>
      <c r="S212" s="121">
        <f t="shared" si="1118"/>
        <v>3695882</v>
      </c>
      <c r="T212" s="121">
        <f t="shared" si="1118"/>
        <v>3415882</v>
      </c>
      <c r="U212" s="121">
        <f t="shared" si="1118"/>
        <v>170794.1</v>
      </c>
      <c r="V212" s="121">
        <f t="shared" si="1118"/>
        <v>3586676.1</v>
      </c>
      <c r="W212" s="121">
        <f t="shared" si="1118"/>
        <v>3600675</v>
      </c>
      <c r="X212" s="121">
        <f t="shared" si="1118"/>
        <v>3600675</v>
      </c>
      <c r="Y212" s="121">
        <f t="shared" si="1118"/>
        <v>3600675</v>
      </c>
      <c r="Z212" s="121">
        <f t="shared" si="1118"/>
        <v>3600675</v>
      </c>
      <c r="AA212" s="121">
        <f t="shared" si="1118"/>
        <v>3598675</v>
      </c>
      <c r="AB212" s="121">
        <f t="shared" si="1118"/>
        <v>3598995</v>
      </c>
      <c r="AC212" s="121">
        <f t="shared" si="1118"/>
        <v>0</v>
      </c>
      <c r="AD212" s="121">
        <f t="shared" si="1118"/>
        <v>0</v>
      </c>
      <c r="AE212" s="121">
        <f t="shared" si="1118"/>
        <v>3598995</v>
      </c>
      <c r="AF212" s="121">
        <f t="shared" si="1118"/>
        <v>3598675</v>
      </c>
      <c r="AG212" s="121">
        <f t="shared" si="1118"/>
        <v>0</v>
      </c>
      <c r="AH212" s="121">
        <f t="shared" si="1118"/>
        <v>0</v>
      </c>
      <c r="AI212" s="121">
        <f t="shared" si="1118"/>
        <v>3598675</v>
      </c>
      <c r="AJ212" s="121">
        <f t="shared" si="1118"/>
        <v>3598675</v>
      </c>
      <c r="AK212" s="121">
        <f t="shared" si="1118"/>
        <v>0</v>
      </c>
      <c r="AL212" s="121">
        <f t="shared" si="1118"/>
        <v>0</v>
      </c>
      <c r="AM212" s="121">
        <f t="shared" si="1118"/>
        <v>3598675</v>
      </c>
      <c r="AN212" s="121">
        <f t="shared" si="1118"/>
        <v>3583675</v>
      </c>
      <c r="AO212" s="121">
        <f t="shared" si="1118"/>
        <v>0</v>
      </c>
      <c r="AP212" s="121">
        <f t="shared" si="1118"/>
        <v>0</v>
      </c>
      <c r="AQ212" s="121">
        <f t="shared" si="1118"/>
        <v>3583675</v>
      </c>
      <c r="AR212" s="121">
        <f t="shared" si="1118"/>
        <v>3533675</v>
      </c>
      <c r="AS212" s="121">
        <f t="shared" si="1118"/>
        <v>0</v>
      </c>
      <c r="AT212" s="121">
        <f t="shared" si="1118"/>
        <v>0</v>
      </c>
      <c r="AU212" s="121">
        <f t="shared" si="1118"/>
        <v>3533675</v>
      </c>
      <c r="AV212" s="121">
        <f t="shared" si="1118"/>
        <v>3533675</v>
      </c>
      <c r="AW212" s="121">
        <f t="shared" si="1118"/>
        <v>0</v>
      </c>
      <c r="AX212" s="121">
        <f t="shared" si="1118"/>
        <v>0</v>
      </c>
      <c r="AY212" s="121">
        <f t="shared" si="1118"/>
        <v>3533675</v>
      </c>
      <c r="AZ212" s="121">
        <f t="shared" si="1118"/>
        <v>176683.75</v>
      </c>
      <c r="BA212" s="121">
        <f t="shared" si="1118"/>
        <v>1.75</v>
      </c>
      <c r="BB212" s="121">
        <f t="shared" si="1118"/>
        <v>176682</v>
      </c>
      <c r="BC212" s="121">
        <f t="shared" si="1118"/>
        <v>3710357</v>
      </c>
      <c r="BD212" s="121">
        <f t="shared" si="1118"/>
        <v>-10000</v>
      </c>
      <c r="BE212" s="121">
        <f t="shared" si="1118"/>
        <v>3700357</v>
      </c>
      <c r="BF212" s="121">
        <f t="shared" si="1118"/>
        <v>166682</v>
      </c>
      <c r="BG212" s="121">
        <f t="shared" si="1118"/>
        <v>-10000</v>
      </c>
      <c r="BH212" s="121">
        <f t="shared" si="1118"/>
        <v>3700357</v>
      </c>
      <c r="BI212" s="121">
        <f t="shared" si="1118"/>
        <v>0</v>
      </c>
      <c r="BJ212" s="121">
        <f t="shared" si="1118"/>
        <v>0</v>
      </c>
      <c r="BK212" s="121">
        <f t="shared" si="1118"/>
        <v>3700357</v>
      </c>
      <c r="BL212" s="121">
        <f t="shared" si="1118"/>
        <v>3700357</v>
      </c>
      <c r="BM212" s="121">
        <f t="shared" si="1118"/>
        <v>0</v>
      </c>
      <c r="BN212" s="121">
        <f t="shared" si="1118"/>
        <v>0</v>
      </c>
      <c r="BO212" s="121">
        <f t="shared" si="1118"/>
        <v>3700357</v>
      </c>
      <c r="BP212" s="121">
        <f t="shared" si="1118"/>
        <v>0</v>
      </c>
      <c r="BQ212" s="121">
        <f t="shared" ref="BQ212:EB212" si="1119">SUM(BQ206:BQ211)</f>
        <v>3700357</v>
      </c>
      <c r="BR212" s="121">
        <f t="shared" si="1119"/>
        <v>0</v>
      </c>
      <c r="BS212" s="121">
        <f t="shared" si="1119"/>
        <v>0</v>
      </c>
      <c r="BT212" s="121">
        <f t="shared" si="1119"/>
        <v>3700357</v>
      </c>
      <c r="BU212" s="121">
        <f t="shared" si="1119"/>
        <v>0</v>
      </c>
      <c r="BV212" s="121">
        <f t="shared" si="1119"/>
        <v>3700357</v>
      </c>
      <c r="BW212" s="121">
        <f t="shared" si="1119"/>
        <v>0</v>
      </c>
      <c r="BX212" s="121">
        <f t="shared" si="1119"/>
        <v>0</v>
      </c>
      <c r="BY212" s="121">
        <f t="shared" si="1119"/>
        <v>3700357</v>
      </c>
      <c r="BZ212" s="121">
        <f t="shared" si="1119"/>
        <v>0</v>
      </c>
      <c r="CA212" s="121">
        <f t="shared" si="1119"/>
        <v>3700357</v>
      </c>
      <c r="CB212" s="121">
        <f t="shared" si="1119"/>
        <v>0</v>
      </c>
      <c r="CC212" s="121">
        <f t="shared" si="1119"/>
        <v>0</v>
      </c>
      <c r="CD212" s="121">
        <f t="shared" si="1119"/>
        <v>3700357</v>
      </c>
      <c r="CE212" s="121">
        <f t="shared" si="1119"/>
        <v>0</v>
      </c>
      <c r="CF212" s="121">
        <f t="shared" si="1119"/>
        <v>3700357</v>
      </c>
      <c r="CG212" s="121">
        <f t="shared" si="1119"/>
        <v>0</v>
      </c>
      <c r="CH212" s="121">
        <f t="shared" si="1119"/>
        <v>0</v>
      </c>
      <c r="CI212" s="121">
        <f t="shared" si="1119"/>
        <v>3700357</v>
      </c>
      <c r="CJ212" s="121">
        <f t="shared" si="1119"/>
        <v>0</v>
      </c>
      <c r="CK212" s="121">
        <f t="shared" si="1119"/>
        <v>3700357</v>
      </c>
      <c r="CL212" s="121">
        <f t="shared" si="1119"/>
        <v>0</v>
      </c>
      <c r="CM212" s="121">
        <f t="shared" si="1119"/>
        <v>0</v>
      </c>
      <c r="CN212" s="121">
        <f t="shared" si="1119"/>
        <v>3700357</v>
      </c>
      <c r="CO212" s="121">
        <f t="shared" si="1119"/>
        <v>0</v>
      </c>
      <c r="CP212" s="121">
        <f t="shared" si="1119"/>
        <v>3700357</v>
      </c>
      <c r="CQ212" s="121">
        <f t="shared" si="1119"/>
        <v>0</v>
      </c>
      <c r="CR212" s="121">
        <f t="shared" si="1119"/>
        <v>0</v>
      </c>
      <c r="CS212" s="121">
        <f t="shared" si="1119"/>
        <v>3700357</v>
      </c>
      <c r="CT212" s="121">
        <f t="shared" si="1119"/>
        <v>0</v>
      </c>
      <c r="CU212" s="121">
        <f t="shared" si="1119"/>
        <v>3691307</v>
      </c>
      <c r="CV212" s="121">
        <f t="shared" si="1119"/>
        <v>0</v>
      </c>
      <c r="CW212" s="121">
        <f t="shared" si="1119"/>
        <v>0</v>
      </c>
      <c r="CX212" s="121">
        <f t="shared" si="1119"/>
        <v>3691307</v>
      </c>
      <c r="CY212" s="121">
        <f t="shared" si="1119"/>
        <v>-9050</v>
      </c>
      <c r="CZ212" s="121">
        <f t="shared" si="1119"/>
        <v>0</v>
      </c>
      <c r="DA212" s="121">
        <f t="shared" si="1119"/>
        <v>0</v>
      </c>
      <c r="DB212" s="121">
        <f t="shared" si="1119"/>
        <v>0</v>
      </c>
      <c r="DC212" s="121">
        <f t="shared" si="1119"/>
        <v>369130.7</v>
      </c>
      <c r="DD212" s="121">
        <f t="shared" si="1119"/>
        <v>2.7</v>
      </c>
      <c r="DE212" s="121">
        <f t="shared" si="1119"/>
        <v>369128</v>
      </c>
      <c r="DF212" s="121">
        <f t="shared" si="1119"/>
        <v>369128</v>
      </c>
      <c r="DG212" s="121">
        <f t="shared" si="1119"/>
        <v>4060435</v>
      </c>
      <c r="DH212" s="121">
        <f t="shared" si="1119"/>
        <v>0.28874497884928851</v>
      </c>
      <c r="DI212" s="121">
        <f t="shared" si="1119"/>
        <v>3691307</v>
      </c>
      <c r="DJ212" s="121">
        <f t="shared" si="1119"/>
        <v>4060437.7</v>
      </c>
      <c r="DK212" s="121">
        <f t="shared" si="1119"/>
        <v>369130.7</v>
      </c>
      <c r="DL212" s="121">
        <f t="shared" si="1119"/>
        <v>2.7</v>
      </c>
      <c r="DM212" s="121">
        <f t="shared" si="1119"/>
        <v>369128</v>
      </c>
      <c r="DN212" s="121">
        <f t="shared" si="1119"/>
        <v>5.3290705182007514E-15</v>
      </c>
      <c r="DO212" s="121">
        <f t="shared" si="1119"/>
        <v>4060435</v>
      </c>
      <c r="DP212" s="121">
        <f t="shared" si="1119"/>
        <v>0</v>
      </c>
      <c r="DQ212" s="121">
        <f t="shared" si="1119"/>
        <v>4061340</v>
      </c>
      <c r="DR212" s="121">
        <f t="shared" si="1119"/>
        <v>0</v>
      </c>
      <c r="DS212" s="121">
        <f t="shared" si="1119"/>
        <v>0</v>
      </c>
      <c r="DT212" s="121">
        <f t="shared" si="1119"/>
        <v>4061340</v>
      </c>
      <c r="DU212" s="121">
        <f t="shared" si="1119"/>
        <v>4061340</v>
      </c>
      <c r="DV212" s="121">
        <f t="shared" si="1119"/>
        <v>905</v>
      </c>
      <c r="DW212" s="121">
        <f t="shared" si="1119"/>
        <v>2911340</v>
      </c>
      <c r="DX212" s="121">
        <f t="shared" si="1119"/>
        <v>0</v>
      </c>
      <c r="DY212" s="121">
        <f t="shared" si="1119"/>
        <v>0</v>
      </c>
      <c r="DZ212" s="121">
        <f t="shared" si="1119"/>
        <v>2911340</v>
      </c>
      <c r="EA212" s="121">
        <f t="shared" si="1119"/>
        <v>2911340</v>
      </c>
      <c r="EB212" s="121">
        <f t="shared" si="1119"/>
        <v>-1150000</v>
      </c>
      <c r="EC212" s="121">
        <f t="shared" ref="EC212:FL212" si="1120">SUM(EC206:EC211)</f>
        <v>2561340</v>
      </c>
      <c r="ED212" s="121">
        <f t="shared" si="1120"/>
        <v>0</v>
      </c>
      <c r="EE212" s="121">
        <f t="shared" si="1120"/>
        <v>0</v>
      </c>
      <c r="EF212" s="121">
        <f t="shared" si="1120"/>
        <v>2561340</v>
      </c>
      <c r="EG212" s="121">
        <f t="shared" si="1120"/>
        <v>2561340</v>
      </c>
      <c r="EH212" s="121">
        <f t="shared" si="1120"/>
        <v>-350000</v>
      </c>
      <c r="EI212" s="121">
        <f t="shared" si="1120"/>
        <v>2561340</v>
      </c>
      <c r="EJ212" s="121">
        <f t="shared" si="1120"/>
        <v>0</v>
      </c>
      <c r="EK212" s="121">
        <f t="shared" si="1120"/>
        <v>0</v>
      </c>
      <c r="EL212" s="121">
        <f t="shared" si="1120"/>
        <v>2561340</v>
      </c>
      <c r="EM212" s="121">
        <f t="shared" si="1120"/>
        <v>2561340</v>
      </c>
      <c r="EN212" s="121">
        <f t="shared" si="1120"/>
        <v>0</v>
      </c>
      <c r="EO212" s="121">
        <f t="shared" si="1120"/>
        <v>2711340</v>
      </c>
      <c r="EP212" s="121">
        <f t="shared" si="1120"/>
        <v>0</v>
      </c>
      <c r="EQ212" s="121">
        <f t="shared" si="1120"/>
        <v>0</v>
      </c>
      <c r="ER212" s="121">
        <f t="shared" si="1120"/>
        <v>2711340</v>
      </c>
      <c r="ES212" s="121">
        <f t="shared" si="1120"/>
        <v>2711340</v>
      </c>
      <c r="ET212" s="121">
        <f t="shared" si="1120"/>
        <v>150000</v>
      </c>
      <c r="EU212" s="121">
        <f t="shared" si="1120"/>
        <v>2711340</v>
      </c>
      <c r="EV212" s="121">
        <f t="shared" si="1120"/>
        <v>0</v>
      </c>
      <c r="EW212" s="121">
        <f t="shared" si="1120"/>
        <v>0</v>
      </c>
      <c r="EX212" s="121">
        <f t="shared" si="1120"/>
        <v>2711340</v>
      </c>
      <c r="EY212" s="121">
        <f t="shared" si="1120"/>
        <v>2711340</v>
      </c>
      <c r="EZ212" s="121">
        <f t="shared" si="1120"/>
        <v>0</v>
      </c>
      <c r="FA212" s="121">
        <f t="shared" si="1120"/>
        <v>2711340</v>
      </c>
      <c r="FB212" s="121">
        <f t="shared" si="1120"/>
        <v>0</v>
      </c>
      <c r="FC212" s="121">
        <f t="shared" si="1120"/>
        <v>0</v>
      </c>
      <c r="FD212" s="121">
        <f t="shared" si="1120"/>
        <v>2711340</v>
      </c>
      <c r="FE212" s="121">
        <f t="shared" si="1120"/>
        <v>2711340</v>
      </c>
      <c r="FF212" s="121">
        <f t="shared" si="1120"/>
        <v>0</v>
      </c>
      <c r="FG212" s="121">
        <f t="shared" si="1120"/>
        <v>2711340</v>
      </c>
      <c r="FH212" s="121">
        <f t="shared" si="1120"/>
        <v>0</v>
      </c>
      <c r="FI212" s="121">
        <f t="shared" si="1120"/>
        <v>0</v>
      </c>
      <c r="FJ212" s="121">
        <f t="shared" si="1120"/>
        <v>2711340</v>
      </c>
      <c r="FK212" s="121">
        <f t="shared" si="1120"/>
        <v>2711340</v>
      </c>
      <c r="FL212" s="121">
        <f t="shared" si="1120"/>
        <v>0</v>
      </c>
      <c r="FM212" s="121">
        <f t="shared" ref="FM212:FR212" si="1121">SUM(FM206:FM211)</f>
        <v>2711340</v>
      </c>
      <c r="FN212" s="121">
        <f t="shared" si="1121"/>
        <v>0</v>
      </c>
      <c r="FO212" s="121">
        <f t="shared" si="1121"/>
        <v>0</v>
      </c>
      <c r="FP212" s="121">
        <f t="shared" si="1121"/>
        <v>2711340</v>
      </c>
      <c r="FQ212" s="121">
        <f t="shared" si="1121"/>
        <v>2711340</v>
      </c>
      <c r="FR212" s="121">
        <f t="shared" si="1121"/>
        <v>0</v>
      </c>
      <c r="FS212" s="121">
        <f t="shared" ref="FS212:FX212" si="1122">SUM(FS206:FS211)</f>
        <v>2711340</v>
      </c>
      <c r="FT212" s="121">
        <f t="shared" si="1122"/>
        <v>0</v>
      </c>
      <c r="FU212" s="121">
        <f t="shared" si="1122"/>
        <v>0</v>
      </c>
      <c r="FV212" s="121">
        <f t="shared" si="1122"/>
        <v>2711340</v>
      </c>
      <c r="FW212" s="121">
        <f t="shared" si="1122"/>
        <v>2711340</v>
      </c>
      <c r="FX212" s="121">
        <f t="shared" si="1122"/>
        <v>0</v>
      </c>
      <c r="FY212" s="121">
        <f t="shared" ref="FY212:GD212" si="1123">SUM(FY206:FY211)</f>
        <v>2711340</v>
      </c>
      <c r="FZ212" s="121">
        <f t="shared" si="1123"/>
        <v>0</v>
      </c>
      <c r="GA212" s="121">
        <f t="shared" si="1123"/>
        <v>0</v>
      </c>
      <c r="GB212" s="121">
        <f t="shared" si="1123"/>
        <v>2711340</v>
      </c>
      <c r="GC212" s="121">
        <f t="shared" si="1123"/>
        <v>2711340</v>
      </c>
      <c r="GD212" s="121">
        <f t="shared" si="1123"/>
        <v>0</v>
      </c>
      <c r="GE212" s="121">
        <f t="shared" ref="GE212:GJ212" si="1124">SUM(GE206:GE211)</f>
        <v>2711340</v>
      </c>
      <c r="GF212" s="121">
        <f t="shared" si="1124"/>
        <v>0</v>
      </c>
      <c r="GG212" s="121">
        <f t="shared" si="1124"/>
        <v>0</v>
      </c>
      <c r="GH212" s="121">
        <f t="shared" si="1124"/>
        <v>2711340</v>
      </c>
      <c r="GI212" s="121">
        <f t="shared" si="1124"/>
        <v>2711340</v>
      </c>
      <c r="GJ212" s="121">
        <f t="shared" si="1124"/>
        <v>0</v>
      </c>
      <c r="GK212" s="121">
        <f t="shared" ref="GK212:GP212" si="1125">SUM(GK206:GK211)</f>
        <v>2711340</v>
      </c>
      <c r="GL212" s="121">
        <f t="shared" si="1125"/>
        <v>0</v>
      </c>
      <c r="GM212" s="121">
        <f t="shared" si="1125"/>
        <v>0</v>
      </c>
      <c r="GN212" s="121">
        <f t="shared" si="1125"/>
        <v>2711340</v>
      </c>
      <c r="GO212" s="121">
        <f t="shared" si="1125"/>
        <v>2711340</v>
      </c>
      <c r="GP212" s="121">
        <f t="shared" si="1125"/>
        <v>0</v>
      </c>
      <c r="GQ212" s="121">
        <f t="shared" ref="GQ212:GV212" si="1126">SUM(GQ206:GQ211)</f>
        <v>2711340</v>
      </c>
      <c r="GR212" s="121">
        <f t="shared" si="1126"/>
        <v>0</v>
      </c>
      <c r="GS212" s="121">
        <f t="shared" si="1126"/>
        <v>0</v>
      </c>
      <c r="GT212" s="121">
        <f t="shared" si="1126"/>
        <v>2711340</v>
      </c>
      <c r="GU212" s="121">
        <f t="shared" si="1126"/>
        <v>2711340</v>
      </c>
      <c r="GV212" s="121">
        <f t="shared" si="1126"/>
        <v>0</v>
      </c>
      <c r="GW212" s="121">
        <f t="shared" ref="GW212:HB212" si="1127">SUM(GW206:GW211)</f>
        <v>2846905</v>
      </c>
      <c r="GX212" s="121">
        <f t="shared" si="1127"/>
        <v>0</v>
      </c>
      <c r="GY212" s="121">
        <f t="shared" si="1127"/>
        <v>0</v>
      </c>
      <c r="GZ212" s="121">
        <f t="shared" si="1127"/>
        <v>2846905</v>
      </c>
      <c r="HA212" s="121">
        <f t="shared" si="1127"/>
        <v>2846905</v>
      </c>
      <c r="HB212" s="121">
        <f t="shared" si="1127"/>
        <v>135565</v>
      </c>
      <c r="HC212" s="121">
        <f>SUM(HC206:HC211)</f>
        <v>0.19280823122916774</v>
      </c>
    </row>
    <row r="213" spans="1:226" x14ac:dyDescent="0.3">
      <c r="A213" s="98"/>
      <c r="B213" s="98"/>
      <c r="C213" s="98"/>
      <c r="D213" s="99"/>
      <c r="E213" s="108"/>
      <c r="F213" s="108"/>
      <c r="G213" s="108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  <c r="AU213" s="20"/>
      <c r="AV213" s="20"/>
      <c r="AW213" s="20"/>
      <c r="AX213" s="20"/>
      <c r="AY213" s="127">
        <f>AY212*10*5%</f>
        <v>1766837.5</v>
      </c>
      <c r="AZ213" s="20"/>
      <c r="BA213" s="20"/>
      <c r="BB213" s="20"/>
      <c r="BC213" s="20"/>
      <c r="BD213" s="20"/>
      <c r="BE213" s="20"/>
      <c r="BF213" s="100"/>
      <c r="BG213" s="100"/>
      <c r="BH213" s="100"/>
      <c r="BI213" s="100"/>
      <c r="BJ213" s="100"/>
      <c r="BK213" s="100"/>
      <c r="BL213" s="100"/>
      <c r="BM213" s="100"/>
      <c r="BN213" s="100"/>
      <c r="BO213" s="100"/>
      <c r="BP213" s="100"/>
      <c r="BQ213" s="100"/>
      <c r="BR213" s="100"/>
      <c r="BS213" s="100"/>
      <c r="BT213" s="100"/>
      <c r="BU213" s="100"/>
      <c r="BV213" s="100"/>
      <c r="BW213" s="100"/>
      <c r="BX213" s="100"/>
      <c r="BY213" s="100"/>
      <c r="BZ213" s="100"/>
      <c r="CA213" s="100"/>
      <c r="CB213" s="100"/>
      <c r="CC213" s="100"/>
      <c r="CD213" s="100"/>
      <c r="CE213" s="100"/>
      <c r="CF213" s="100"/>
      <c r="CG213" s="100"/>
      <c r="CH213" s="100"/>
      <c r="CI213" s="100"/>
      <c r="CJ213" s="100"/>
      <c r="CK213" s="100"/>
      <c r="CL213" s="100"/>
      <c r="CM213" s="100"/>
      <c r="CN213" s="100"/>
      <c r="CO213" s="100"/>
      <c r="CP213" s="100"/>
      <c r="CQ213" s="100"/>
      <c r="CR213" s="100"/>
      <c r="CS213" s="100"/>
      <c r="CT213" s="100"/>
      <c r="CU213" s="100"/>
      <c r="CV213" s="100"/>
      <c r="CW213" s="100"/>
      <c r="CX213" s="100"/>
      <c r="CY213" s="100"/>
      <c r="CZ213" s="100"/>
      <c r="DA213" s="100"/>
      <c r="DB213" s="100"/>
      <c r="DC213" s="100"/>
      <c r="DD213" s="100"/>
      <c r="DE213" s="100"/>
      <c r="DF213" s="100"/>
      <c r="DG213" s="100"/>
      <c r="DH213" s="114"/>
    </row>
    <row r="214" spans="1:226" x14ac:dyDescent="0.3">
      <c r="A214" s="98"/>
      <c r="B214" s="98"/>
      <c r="C214" s="98"/>
      <c r="D214" s="99"/>
      <c r="E214" s="108"/>
      <c r="F214" s="108"/>
      <c r="G214" s="108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100"/>
      <c r="BG214" s="100"/>
      <c r="BH214" s="100"/>
      <c r="BI214" s="100"/>
      <c r="BJ214" s="100"/>
      <c r="BK214" s="100"/>
      <c r="BL214" s="100"/>
      <c r="BM214" s="100"/>
      <c r="BN214" s="100"/>
      <c r="BO214" s="100"/>
      <c r="BP214" s="100"/>
      <c r="BQ214" s="100"/>
      <c r="BR214" s="100"/>
      <c r="BS214" s="100"/>
      <c r="BT214" s="100"/>
      <c r="BU214" s="100"/>
      <c r="BV214" s="100"/>
      <c r="BW214" s="100"/>
      <c r="BX214" s="100"/>
      <c r="BY214" s="100"/>
      <c r="BZ214" s="100"/>
      <c r="CA214" s="100"/>
      <c r="CB214" s="100"/>
      <c r="CC214" s="100"/>
      <c r="CD214" s="100"/>
      <c r="CE214" s="100"/>
      <c r="CF214" s="100"/>
      <c r="CG214" s="100"/>
      <c r="CH214" s="100"/>
      <c r="CI214" s="100"/>
      <c r="CJ214" s="100"/>
      <c r="CK214" s="100"/>
      <c r="CL214" s="100"/>
      <c r="CM214" s="100"/>
      <c r="CN214" s="100"/>
      <c r="CO214" s="100"/>
      <c r="CP214" s="100"/>
      <c r="CQ214" s="100"/>
      <c r="CR214" s="100"/>
      <c r="CS214" s="100"/>
      <c r="CT214" s="100"/>
      <c r="CU214" s="100"/>
      <c r="CV214" s="100"/>
      <c r="CW214" s="100"/>
      <c r="CX214" s="100"/>
      <c r="CY214" s="100"/>
      <c r="CZ214" s="100"/>
      <c r="DA214" s="100"/>
      <c r="DB214" s="100"/>
      <c r="DC214" s="100"/>
      <c r="DD214" s="100"/>
      <c r="DE214" s="100"/>
      <c r="DF214" s="100"/>
      <c r="DG214" s="100"/>
      <c r="DH214" s="114"/>
    </row>
    <row r="215" spans="1:226" s="74" customFormat="1" ht="52.5" customHeight="1" x14ac:dyDescent="0.3">
      <c r="A215" s="85" t="s">
        <v>0</v>
      </c>
      <c r="B215" s="85" t="s">
        <v>1</v>
      </c>
      <c r="C215" s="85" t="s">
        <v>217</v>
      </c>
      <c r="D215" s="86" t="s">
        <v>218</v>
      </c>
      <c r="E215" s="87" t="s">
        <v>233</v>
      </c>
      <c r="F215" s="87" t="s">
        <v>234</v>
      </c>
      <c r="G215" s="87" t="s">
        <v>235</v>
      </c>
      <c r="H215" s="87" t="s">
        <v>383</v>
      </c>
      <c r="I215" s="87" t="s">
        <v>382</v>
      </c>
      <c r="J215" s="87" t="s">
        <v>381</v>
      </c>
      <c r="K215" s="87" t="s">
        <v>380</v>
      </c>
      <c r="L215" s="87" t="s">
        <v>379</v>
      </c>
      <c r="M215" s="87" t="s">
        <v>378</v>
      </c>
      <c r="N215" s="87" t="s">
        <v>377</v>
      </c>
      <c r="O215" s="87" t="s">
        <v>394</v>
      </c>
      <c r="P215" s="87" t="s">
        <v>413</v>
      </c>
      <c r="Q215" s="87" t="s">
        <v>415</v>
      </c>
      <c r="R215" s="87" t="s">
        <v>417</v>
      </c>
      <c r="S215" s="87" t="s">
        <v>420</v>
      </c>
      <c r="T215" s="87" t="s">
        <v>421</v>
      </c>
      <c r="U215" s="87" t="s">
        <v>425</v>
      </c>
      <c r="V215" s="87" t="s">
        <v>426</v>
      </c>
      <c r="W215" s="87" t="s">
        <v>424</v>
      </c>
      <c r="X215" s="87" t="s">
        <v>437</v>
      </c>
      <c r="Y215" s="87" t="s">
        <v>439</v>
      </c>
      <c r="Z215" s="87" t="s">
        <v>447</v>
      </c>
      <c r="AA215" s="87" t="s">
        <v>458</v>
      </c>
      <c r="AB215" s="590" t="s">
        <v>459</v>
      </c>
      <c r="AC215" s="591"/>
      <c r="AD215" s="591"/>
      <c r="AE215" s="592"/>
      <c r="AF215" s="596" t="s">
        <v>462</v>
      </c>
      <c r="AG215" s="597"/>
      <c r="AH215" s="597"/>
      <c r="AI215" s="598"/>
      <c r="AJ215" s="590" t="s">
        <v>466</v>
      </c>
      <c r="AK215" s="591"/>
      <c r="AL215" s="591"/>
      <c r="AM215" s="592"/>
      <c r="AN215" s="596" t="s">
        <v>470</v>
      </c>
      <c r="AO215" s="597"/>
      <c r="AP215" s="597"/>
      <c r="AQ215" s="598"/>
      <c r="AR215" s="590" t="s">
        <v>478</v>
      </c>
      <c r="AS215" s="591"/>
      <c r="AT215" s="591"/>
      <c r="AU215" s="592"/>
      <c r="AV215" s="596" t="s">
        <v>483</v>
      </c>
      <c r="AW215" s="597"/>
      <c r="AX215" s="597"/>
      <c r="AY215" s="598"/>
      <c r="AZ215" s="436" t="s">
        <v>503</v>
      </c>
      <c r="BA215" s="436" t="s">
        <v>488</v>
      </c>
      <c r="BB215" s="436" t="s">
        <v>489</v>
      </c>
      <c r="BC215" s="436" t="s">
        <v>423</v>
      </c>
      <c r="BD215" s="436" t="s">
        <v>507</v>
      </c>
      <c r="BE215" s="436" t="s">
        <v>531</v>
      </c>
      <c r="BF215" s="437" t="s">
        <v>508</v>
      </c>
      <c r="BG215" s="437" t="s">
        <v>509</v>
      </c>
      <c r="BH215" s="590" t="s">
        <v>532</v>
      </c>
      <c r="BI215" s="591"/>
      <c r="BJ215" s="591"/>
      <c r="BK215" s="592"/>
      <c r="BL215" s="596" t="s">
        <v>539</v>
      </c>
      <c r="BM215" s="597"/>
      <c r="BN215" s="597"/>
      <c r="BO215" s="598"/>
      <c r="BP215" s="438" t="s">
        <v>538</v>
      </c>
      <c r="BQ215" s="590" t="s">
        <v>542</v>
      </c>
      <c r="BR215" s="591"/>
      <c r="BS215" s="591"/>
      <c r="BT215" s="592"/>
      <c r="BU215" s="438" t="s">
        <v>541</v>
      </c>
      <c r="BV215" s="590" t="s">
        <v>552</v>
      </c>
      <c r="BW215" s="591"/>
      <c r="BX215" s="591"/>
      <c r="BY215" s="592"/>
      <c r="BZ215" s="438" t="s">
        <v>553</v>
      </c>
      <c r="CA215" s="590" t="s">
        <v>578</v>
      </c>
      <c r="CB215" s="591"/>
      <c r="CC215" s="591"/>
      <c r="CD215" s="592"/>
      <c r="CE215" s="438" t="s">
        <v>579</v>
      </c>
      <c r="CF215" s="590" t="s">
        <v>581</v>
      </c>
      <c r="CG215" s="591"/>
      <c r="CH215" s="591"/>
      <c r="CI215" s="592"/>
      <c r="CJ215" s="438" t="s">
        <v>580</v>
      </c>
      <c r="CK215" s="590" t="s">
        <v>585</v>
      </c>
      <c r="CL215" s="591"/>
      <c r="CM215" s="591"/>
      <c r="CN215" s="592"/>
      <c r="CO215" s="438" t="s">
        <v>586</v>
      </c>
      <c r="CP215" s="590" t="s">
        <v>587</v>
      </c>
      <c r="CQ215" s="591"/>
      <c r="CR215" s="591"/>
      <c r="CS215" s="592"/>
      <c r="CT215" s="438" t="s">
        <v>588</v>
      </c>
      <c r="CU215" s="590" t="s">
        <v>590</v>
      </c>
      <c r="CV215" s="591"/>
      <c r="CW215" s="591"/>
      <c r="CX215" s="592"/>
      <c r="CY215" s="438" t="s">
        <v>592</v>
      </c>
      <c r="CZ215" s="294"/>
      <c r="DA215" s="294"/>
      <c r="DB215" s="294"/>
      <c r="DC215" s="95" t="s">
        <v>602</v>
      </c>
      <c r="DD215" s="95" t="s">
        <v>488</v>
      </c>
      <c r="DE215" s="95" t="s">
        <v>489</v>
      </c>
      <c r="DF215" s="95" t="s">
        <v>603</v>
      </c>
      <c r="DG215" s="95" t="s">
        <v>423</v>
      </c>
      <c r="DH215" s="85" t="s">
        <v>2</v>
      </c>
      <c r="DI215" s="593" t="s">
        <v>613</v>
      </c>
      <c r="DJ215" s="594"/>
      <c r="DK215" s="594"/>
      <c r="DL215" s="594"/>
      <c r="DM215" s="594"/>
      <c r="DN215" s="594"/>
      <c r="DO215" s="594"/>
      <c r="DP215" s="595"/>
      <c r="DQ215" s="584" t="s">
        <v>614</v>
      </c>
      <c r="DR215" s="585"/>
      <c r="DS215" s="585"/>
      <c r="DT215" s="585"/>
      <c r="DU215" s="586"/>
      <c r="DV215" s="87" t="s">
        <v>615</v>
      </c>
      <c r="DW215" s="584" t="s">
        <v>623</v>
      </c>
      <c r="DX215" s="585"/>
      <c r="DY215" s="585"/>
      <c r="DZ215" s="585"/>
      <c r="EA215" s="586"/>
      <c r="EB215" s="87" t="s">
        <v>624</v>
      </c>
      <c r="EC215" s="584" t="s">
        <v>627</v>
      </c>
      <c r="ED215" s="585"/>
      <c r="EE215" s="585"/>
      <c r="EF215" s="585"/>
      <c r="EG215" s="586"/>
      <c r="EH215" s="87" t="s">
        <v>628</v>
      </c>
      <c r="EI215" s="584" t="s">
        <v>631</v>
      </c>
      <c r="EJ215" s="585"/>
      <c r="EK215" s="585"/>
      <c r="EL215" s="585"/>
      <c r="EM215" s="586"/>
      <c r="EN215" s="87" t="s">
        <v>632</v>
      </c>
      <c r="EO215" s="584" t="s">
        <v>638</v>
      </c>
      <c r="EP215" s="585"/>
      <c r="EQ215" s="585"/>
      <c r="ER215" s="585"/>
      <c r="ES215" s="586"/>
      <c r="ET215" s="87" t="s">
        <v>637</v>
      </c>
      <c r="EU215" s="584" t="s">
        <v>641</v>
      </c>
      <c r="EV215" s="585"/>
      <c r="EW215" s="585"/>
      <c r="EX215" s="585"/>
      <c r="EY215" s="586"/>
      <c r="EZ215" s="87" t="s">
        <v>642</v>
      </c>
      <c r="FA215" s="584" t="s">
        <v>645</v>
      </c>
      <c r="FB215" s="585"/>
      <c r="FC215" s="585"/>
      <c r="FD215" s="585"/>
      <c r="FE215" s="586"/>
      <c r="FF215" s="87" t="s">
        <v>646</v>
      </c>
      <c r="FG215" s="584" t="s">
        <v>653</v>
      </c>
      <c r="FH215" s="585"/>
      <c r="FI215" s="585"/>
      <c r="FJ215" s="585"/>
      <c r="FK215" s="586"/>
      <c r="FL215" s="87" t="s">
        <v>654</v>
      </c>
      <c r="FM215" s="584" t="s">
        <v>662</v>
      </c>
      <c r="FN215" s="585"/>
      <c r="FO215" s="585"/>
      <c r="FP215" s="585"/>
      <c r="FQ215" s="586"/>
      <c r="FR215" s="87" t="s">
        <v>657</v>
      </c>
      <c r="FS215" s="584" t="s">
        <v>661</v>
      </c>
      <c r="FT215" s="585"/>
      <c r="FU215" s="585"/>
      <c r="FV215" s="585"/>
      <c r="FW215" s="586"/>
      <c r="FX215" s="87" t="s">
        <v>663</v>
      </c>
      <c r="FY215" s="584" t="s">
        <v>665</v>
      </c>
      <c r="FZ215" s="585"/>
      <c r="GA215" s="585"/>
      <c r="GB215" s="585"/>
      <c r="GC215" s="586"/>
      <c r="GD215" s="87" t="s">
        <v>666</v>
      </c>
      <c r="GE215" s="584" t="s">
        <v>668</v>
      </c>
      <c r="GF215" s="585"/>
      <c r="GG215" s="585"/>
      <c r="GH215" s="585"/>
      <c r="GI215" s="586"/>
      <c r="GJ215" s="87" t="s">
        <v>669</v>
      </c>
      <c r="GK215" s="584" t="s">
        <v>671</v>
      </c>
      <c r="GL215" s="585"/>
      <c r="GM215" s="585"/>
      <c r="GN215" s="585"/>
      <c r="GO215" s="586"/>
      <c r="GP215" s="87" t="s">
        <v>672</v>
      </c>
      <c r="GQ215" s="584" t="s">
        <v>674</v>
      </c>
      <c r="GR215" s="585"/>
      <c r="GS215" s="585"/>
      <c r="GT215" s="585"/>
      <c r="GU215" s="586"/>
      <c r="GV215" s="87" t="s">
        <v>675</v>
      </c>
      <c r="GW215" s="584" t="s">
        <v>696</v>
      </c>
      <c r="GX215" s="585"/>
      <c r="GY215" s="585"/>
      <c r="GZ215" s="585"/>
      <c r="HA215" s="586"/>
      <c r="HB215" s="87" t="s">
        <v>697</v>
      </c>
      <c r="HC215" s="85" t="s">
        <v>2</v>
      </c>
      <c r="HD215" s="6"/>
      <c r="HE215" s="587" t="s">
        <v>678</v>
      </c>
      <c r="HF215" s="588"/>
      <c r="HG215" s="588"/>
      <c r="HH215" s="588"/>
      <c r="HI215" s="589"/>
      <c r="HJ215" s="85" t="s">
        <v>2</v>
      </c>
      <c r="HK215" s="593" t="s">
        <v>698</v>
      </c>
      <c r="HL215" s="594"/>
      <c r="HM215" s="594"/>
      <c r="HN215" s="594"/>
      <c r="HO215" s="594"/>
      <c r="HP215" s="594"/>
      <c r="HQ215" s="594"/>
      <c r="HR215" s="594"/>
    </row>
    <row r="216" spans="1:226" s="74" customFormat="1" ht="30.6" x14ac:dyDescent="0.3">
      <c r="A216" s="85"/>
      <c r="B216" s="446" t="s">
        <v>551</v>
      </c>
      <c r="C216" s="441"/>
      <c r="D216" s="442"/>
      <c r="E216" s="87"/>
      <c r="F216" s="87"/>
      <c r="G216" s="87"/>
      <c r="H216" s="88"/>
      <c r="I216" s="88"/>
      <c r="J216" s="294"/>
      <c r="K216" s="88"/>
      <c r="L216" s="87"/>
      <c r="M216" s="87"/>
      <c r="N216" s="87"/>
      <c r="O216" s="294"/>
      <c r="P216" s="294"/>
      <c r="Q216" s="294"/>
      <c r="R216" s="294"/>
      <c r="S216" s="294"/>
      <c r="T216" s="294"/>
      <c r="U216" s="294"/>
      <c r="V216" s="294"/>
      <c r="W216" s="294"/>
      <c r="X216" s="294"/>
      <c r="Y216" s="294"/>
      <c r="Z216" s="294"/>
      <c r="AA216" s="294"/>
      <c r="AB216" s="112" t="s">
        <v>234</v>
      </c>
      <c r="AC216" s="112" t="s">
        <v>454</v>
      </c>
      <c r="AD216" s="112" t="s">
        <v>455</v>
      </c>
      <c r="AE216" s="112" t="s">
        <v>456</v>
      </c>
      <c r="AF216" s="14" t="s">
        <v>234</v>
      </c>
      <c r="AG216" s="14" t="s">
        <v>454</v>
      </c>
      <c r="AH216" s="14" t="s">
        <v>455</v>
      </c>
      <c r="AI216" s="14" t="s">
        <v>456</v>
      </c>
      <c r="AJ216" s="112" t="s">
        <v>234</v>
      </c>
      <c r="AK216" s="112" t="s">
        <v>454</v>
      </c>
      <c r="AL216" s="112" t="s">
        <v>455</v>
      </c>
      <c r="AM216" s="112" t="s">
        <v>456</v>
      </c>
      <c r="AN216" s="14" t="s">
        <v>234</v>
      </c>
      <c r="AO216" s="14" t="s">
        <v>454</v>
      </c>
      <c r="AP216" s="14" t="s">
        <v>455</v>
      </c>
      <c r="AQ216" s="14" t="s">
        <v>456</v>
      </c>
      <c r="AR216" s="112" t="s">
        <v>234</v>
      </c>
      <c r="AS216" s="112" t="s">
        <v>454</v>
      </c>
      <c r="AT216" s="112" t="s">
        <v>455</v>
      </c>
      <c r="AU216" s="112" t="s">
        <v>456</v>
      </c>
      <c r="AV216" s="14" t="s">
        <v>234</v>
      </c>
      <c r="AW216" s="14" t="s">
        <v>454</v>
      </c>
      <c r="AX216" s="14" t="s">
        <v>455</v>
      </c>
      <c r="AY216" s="14" t="s">
        <v>456</v>
      </c>
      <c r="AZ216" s="443"/>
      <c r="BA216" s="443"/>
      <c r="BB216" s="443"/>
      <c r="BC216" s="443"/>
      <c r="BD216" s="443"/>
      <c r="BE216" s="443"/>
      <c r="BF216" s="444"/>
      <c r="BG216" s="444"/>
      <c r="BH216" s="112" t="s">
        <v>234</v>
      </c>
      <c r="BI216" s="112" t="s">
        <v>454</v>
      </c>
      <c r="BJ216" s="112" t="s">
        <v>455</v>
      </c>
      <c r="BK216" s="112" t="s">
        <v>456</v>
      </c>
      <c r="BL216" s="14" t="s">
        <v>234</v>
      </c>
      <c r="BM216" s="14" t="s">
        <v>454</v>
      </c>
      <c r="BN216" s="14" t="s">
        <v>455</v>
      </c>
      <c r="BO216" s="14" t="s">
        <v>456</v>
      </c>
      <c r="BP216" s="445"/>
      <c r="BQ216" s="112" t="s">
        <v>234</v>
      </c>
      <c r="BR216" s="112" t="s">
        <v>454</v>
      </c>
      <c r="BS216" s="112" t="s">
        <v>455</v>
      </c>
      <c r="BT216" s="112" t="s">
        <v>456</v>
      </c>
      <c r="BU216" s="445"/>
      <c r="BV216" s="112" t="s">
        <v>234</v>
      </c>
      <c r="BW216" s="112" t="s">
        <v>454</v>
      </c>
      <c r="BX216" s="112" t="s">
        <v>455</v>
      </c>
      <c r="BY216" s="112" t="s">
        <v>456</v>
      </c>
      <c r="BZ216" s="445"/>
      <c r="CA216" s="112" t="s">
        <v>234</v>
      </c>
      <c r="CB216" s="112" t="s">
        <v>454</v>
      </c>
      <c r="CC216" s="112" t="s">
        <v>455</v>
      </c>
      <c r="CD216" s="112" t="s">
        <v>456</v>
      </c>
      <c r="CE216" s="445"/>
      <c r="CF216" s="112" t="s">
        <v>234</v>
      </c>
      <c r="CG216" s="112" t="s">
        <v>454</v>
      </c>
      <c r="CH216" s="112" t="s">
        <v>455</v>
      </c>
      <c r="CI216" s="112" t="s">
        <v>456</v>
      </c>
      <c r="CJ216" s="445"/>
      <c r="CK216" s="112" t="s">
        <v>234</v>
      </c>
      <c r="CL216" s="112" t="s">
        <v>454</v>
      </c>
      <c r="CM216" s="112" t="s">
        <v>455</v>
      </c>
      <c r="CN216" s="112" t="s">
        <v>456</v>
      </c>
      <c r="CO216" s="445"/>
      <c r="CP216" s="112" t="s">
        <v>234</v>
      </c>
      <c r="CQ216" s="112" t="s">
        <v>454</v>
      </c>
      <c r="CR216" s="112" t="s">
        <v>455</v>
      </c>
      <c r="CS216" s="112" t="s">
        <v>456</v>
      </c>
      <c r="CT216" s="445"/>
      <c r="CU216" s="112" t="s">
        <v>234</v>
      </c>
      <c r="CV216" s="112" t="s">
        <v>454</v>
      </c>
      <c r="CW216" s="112" t="s">
        <v>455</v>
      </c>
      <c r="CX216" s="112" t="s">
        <v>456</v>
      </c>
      <c r="CY216" s="445"/>
      <c r="CZ216" s="295"/>
      <c r="DA216" s="295"/>
      <c r="DB216" s="295"/>
      <c r="DC216" s="95" t="s">
        <v>602</v>
      </c>
      <c r="DD216" s="95" t="s">
        <v>488</v>
      </c>
      <c r="DE216" s="95" t="s">
        <v>489</v>
      </c>
      <c r="DF216" s="95" t="s">
        <v>603</v>
      </c>
      <c r="DG216" s="95" t="s">
        <v>423</v>
      </c>
      <c r="DH216" s="89"/>
      <c r="DI216" s="90" t="s">
        <v>604</v>
      </c>
      <c r="DJ216" s="91" t="s">
        <v>605</v>
      </c>
      <c r="DK216" s="92" t="s">
        <v>606</v>
      </c>
      <c r="DL216" s="92" t="s">
        <v>607</v>
      </c>
      <c r="DM216" s="91" t="s">
        <v>608</v>
      </c>
      <c r="DN216" s="91" t="s">
        <v>609</v>
      </c>
      <c r="DO216" s="91" t="s">
        <v>611</v>
      </c>
      <c r="DP216" s="91" t="s">
        <v>610</v>
      </c>
      <c r="DQ216" s="112" t="s">
        <v>234</v>
      </c>
      <c r="DR216" s="112" t="s">
        <v>454</v>
      </c>
      <c r="DS216" s="112" t="s">
        <v>455</v>
      </c>
      <c r="DT216" s="93" t="s">
        <v>456</v>
      </c>
      <c r="DU216" s="94" t="s">
        <v>457</v>
      </c>
      <c r="DV216" s="87"/>
      <c r="DW216" s="112" t="s">
        <v>234</v>
      </c>
      <c r="DX216" s="112" t="s">
        <v>454</v>
      </c>
      <c r="DY216" s="112" t="s">
        <v>455</v>
      </c>
      <c r="DZ216" s="93" t="s">
        <v>456</v>
      </c>
      <c r="EA216" s="94" t="s">
        <v>457</v>
      </c>
      <c r="EB216" s="87"/>
      <c r="EC216" s="112" t="s">
        <v>234</v>
      </c>
      <c r="ED216" s="112" t="s">
        <v>454</v>
      </c>
      <c r="EE216" s="112" t="s">
        <v>455</v>
      </c>
      <c r="EF216" s="93" t="s">
        <v>456</v>
      </c>
      <c r="EG216" s="94" t="s">
        <v>457</v>
      </c>
      <c r="EH216" s="87"/>
      <c r="EI216" s="112" t="s">
        <v>234</v>
      </c>
      <c r="EJ216" s="112" t="s">
        <v>454</v>
      </c>
      <c r="EK216" s="112" t="s">
        <v>455</v>
      </c>
      <c r="EL216" s="93" t="s">
        <v>456</v>
      </c>
      <c r="EM216" s="94" t="s">
        <v>457</v>
      </c>
      <c r="EN216" s="87"/>
      <c r="EO216" s="112" t="s">
        <v>234</v>
      </c>
      <c r="EP216" s="112" t="s">
        <v>454</v>
      </c>
      <c r="EQ216" s="112" t="s">
        <v>455</v>
      </c>
      <c r="ER216" s="93" t="s">
        <v>456</v>
      </c>
      <c r="ES216" s="94" t="s">
        <v>457</v>
      </c>
      <c r="ET216" s="87"/>
      <c r="EU216" s="112" t="s">
        <v>234</v>
      </c>
      <c r="EV216" s="112" t="s">
        <v>454</v>
      </c>
      <c r="EW216" s="112" t="s">
        <v>455</v>
      </c>
      <c r="EX216" s="93" t="s">
        <v>456</v>
      </c>
      <c r="EY216" s="94" t="s">
        <v>457</v>
      </c>
      <c r="EZ216" s="87"/>
      <c r="FA216" s="112" t="s">
        <v>234</v>
      </c>
      <c r="FB216" s="112" t="s">
        <v>454</v>
      </c>
      <c r="FC216" s="112" t="s">
        <v>455</v>
      </c>
      <c r="FD216" s="93" t="s">
        <v>456</v>
      </c>
      <c r="FE216" s="94" t="s">
        <v>457</v>
      </c>
      <c r="FF216" s="87"/>
      <c r="FG216" s="112" t="s">
        <v>234</v>
      </c>
      <c r="FH216" s="112" t="s">
        <v>454</v>
      </c>
      <c r="FI216" s="112" t="s">
        <v>455</v>
      </c>
      <c r="FJ216" s="93" t="s">
        <v>456</v>
      </c>
      <c r="FK216" s="94" t="s">
        <v>457</v>
      </c>
      <c r="FL216" s="87"/>
      <c r="FM216" s="112" t="s">
        <v>234</v>
      </c>
      <c r="FN216" s="112" t="s">
        <v>454</v>
      </c>
      <c r="FO216" s="112" t="s">
        <v>455</v>
      </c>
      <c r="FP216" s="93" t="s">
        <v>456</v>
      </c>
      <c r="FQ216" s="94" t="s">
        <v>457</v>
      </c>
      <c r="FR216" s="87"/>
      <c r="FS216" s="112" t="s">
        <v>234</v>
      </c>
      <c r="FT216" s="112" t="s">
        <v>454</v>
      </c>
      <c r="FU216" s="112" t="s">
        <v>455</v>
      </c>
      <c r="FV216" s="93" t="s">
        <v>456</v>
      </c>
      <c r="FW216" s="94" t="s">
        <v>457</v>
      </c>
      <c r="FX216" s="87"/>
      <c r="FY216" s="112" t="s">
        <v>234</v>
      </c>
      <c r="FZ216" s="112" t="s">
        <v>454</v>
      </c>
      <c r="GA216" s="112" t="s">
        <v>455</v>
      </c>
      <c r="GB216" s="93" t="s">
        <v>456</v>
      </c>
      <c r="GC216" s="94" t="s">
        <v>457</v>
      </c>
      <c r="GD216" s="87"/>
      <c r="GE216" s="112" t="s">
        <v>234</v>
      </c>
      <c r="GF216" s="112" t="s">
        <v>454</v>
      </c>
      <c r="GG216" s="112" t="s">
        <v>455</v>
      </c>
      <c r="GH216" s="93" t="s">
        <v>456</v>
      </c>
      <c r="GI216" s="94" t="s">
        <v>457</v>
      </c>
      <c r="GJ216" s="87"/>
      <c r="GK216" s="112" t="s">
        <v>234</v>
      </c>
      <c r="GL216" s="112" t="s">
        <v>454</v>
      </c>
      <c r="GM216" s="112" t="s">
        <v>455</v>
      </c>
      <c r="GN216" s="93" t="s">
        <v>456</v>
      </c>
      <c r="GO216" s="94" t="s">
        <v>457</v>
      </c>
      <c r="GP216" s="87"/>
      <c r="GQ216" s="112" t="s">
        <v>234</v>
      </c>
      <c r="GR216" s="112" t="s">
        <v>454</v>
      </c>
      <c r="GS216" s="112" t="s">
        <v>455</v>
      </c>
      <c r="GT216" s="93" t="s">
        <v>456</v>
      </c>
      <c r="GU216" s="94" t="s">
        <v>457</v>
      </c>
      <c r="GV216" s="87"/>
      <c r="GW216" s="112" t="s">
        <v>234</v>
      </c>
      <c r="GX216" s="112" t="s">
        <v>454</v>
      </c>
      <c r="GY216" s="112" t="s">
        <v>455</v>
      </c>
      <c r="GZ216" s="93" t="s">
        <v>456</v>
      </c>
      <c r="HA216" s="94" t="s">
        <v>457</v>
      </c>
      <c r="HB216" s="87"/>
      <c r="HC216" s="85"/>
      <c r="HD216" s="6"/>
      <c r="HE216" s="95" t="s">
        <v>679</v>
      </c>
      <c r="HF216" s="95" t="s">
        <v>488</v>
      </c>
      <c r="HG216" s="220" t="s">
        <v>489</v>
      </c>
      <c r="HH216" s="95" t="s">
        <v>603</v>
      </c>
      <c r="HI216" s="95" t="s">
        <v>423</v>
      </c>
      <c r="HJ216" s="85"/>
      <c r="HK216" s="90" t="s">
        <v>680</v>
      </c>
      <c r="HL216" s="91" t="s">
        <v>681</v>
      </c>
      <c r="HM216" s="92" t="s">
        <v>606</v>
      </c>
      <c r="HN216" s="92" t="s">
        <v>607</v>
      </c>
      <c r="HO216" s="91" t="s">
        <v>608</v>
      </c>
      <c r="HP216" s="91" t="s">
        <v>609</v>
      </c>
      <c r="HQ216" s="92" t="s">
        <v>456</v>
      </c>
      <c r="HR216" s="91" t="s">
        <v>610</v>
      </c>
    </row>
    <row r="217" spans="1:226" x14ac:dyDescent="0.3">
      <c r="A217" s="310">
        <v>1</v>
      </c>
      <c r="B217" s="104" t="s">
        <v>148</v>
      </c>
      <c r="C217" s="310" t="s">
        <v>290</v>
      </c>
      <c r="D217" s="2" t="s">
        <v>149</v>
      </c>
      <c r="E217" s="9"/>
      <c r="F217" s="9"/>
      <c r="G217" s="9"/>
      <c r="H217" s="324"/>
      <c r="I217" s="324">
        <v>182517</v>
      </c>
      <c r="J217" s="324"/>
      <c r="K217" s="324"/>
      <c r="L217" s="324">
        <v>182517</v>
      </c>
      <c r="M217" s="23">
        <v>182517</v>
      </c>
      <c r="N217" s="23">
        <v>182517</v>
      </c>
      <c r="O217" s="298">
        <v>182517</v>
      </c>
      <c r="P217" s="298">
        <v>182517</v>
      </c>
      <c r="Q217" s="298">
        <v>182517</v>
      </c>
      <c r="R217" s="298">
        <v>182517</v>
      </c>
      <c r="S217" s="298">
        <v>182517</v>
      </c>
      <c r="T217" s="298">
        <v>182517</v>
      </c>
      <c r="U217" s="298">
        <f t="shared" ref="U217:U223" si="1128">T217*5%</f>
        <v>9125.85</v>
      </c>
      <c r="V217" s="298">
        <f t="shared" ref="V217:V223" si="1129">T217+U217</f>
        <v>191642.85</v>
      </c>
      <c r="W217" s="298">
        <v>191642</v>
      </c>
      <c r="X217" s="298">
        <v>191642</v>
      </c>
      <c r="Y217" s="298">
        <v>191642</v>
      </c>
      <c r="Z217" s="298">
        <v>191642</v>
      </c>
      <c r="AA217" s="6">
        <v>171642</v>
      </c>
      <c r="AB217" s="23">
        <v>171642</v>
      </c>
      <c r="AC217" s="9">
        <v>0</v>
      </c>
      <c r="AD217" s="9">
        <v>0</v>
      </c>
      <c r="AE217" s="298">
        <f t="shared" ref="AE217:AE223" si="1130">AD217+AC217+AB217</f>
        <v>171642</v>
      </c>
      <c r="AF217" s="23">
        <v>171642</v>
      </c>
      <c r="AG217" s="9">
        <v>0</v>
      </c>
      <c r="AH217" s="9">
        <v>0</v>
      </c>
      <c r="AI217" s="298">
        <f t="shared" ref="AI217:AI223" si="1131">AH217+AG217+AF217</f>
        <v>171642</v>
      </c>
      <c r="AJ217" s="23">
        <v>171642</v>
      </c>
      <c r="AK217" s="9">
        <v>0</v>
      </c>
      <c r="AL217" s="9">
        <v>0</v>
      </c>
      <c r="AM217" s="298">
        <f t="shared" ref="AM217:AM223" si="1132">AL217+AK217+AJ217</f>
        <v>171642</v>
      </c>
      <c r="AN217" s="23">
        <v>171642</v>
      </c>
      <c r="AO217" s="9">
        <v>0</v>
      </c>
      <c r="AP217" s="9">
        <v>0</v>
      </c>
      <c r="AQ217" s="298">
        <f t="shared" ref="AQ217:AQ223" si="1133">AP217+AO217+AN217</f>
        <v>171642</v>
      </c>
      <c r="AR217" s="23">
        <v>171642</v>
      </c>
      <c r="AS217" s="9">
        <v>0</v>
      </c>
      <c r="AT217" s="9">
        <v>0</v>
      </c>
      <c r="AU217" s="298">
        <f t="shared" ref="AU217:AU229" si="1134">AT217+AS217+AR217</f>
        <v>171642</v>
      </c>
      <c r="AV217" s="23">
        <v>171642</v>
      </c>
      <c r="AW217" s="9">
        <v>0</v>
      </c>
      <c r="AX217" s="9">
        <v>0</v>
      </c>
      <c r="AY217" s="7">
        <f t="shared" ref="AY217:AY229" si="1135">AX217+AW217+AV217</f>
        <v>171642</v>
      </c>
      <c r="AZ217" s="8">
        <f t="shared" ref="AZ217:AZ229" si="1136">AY217*5%</f>
        <v>8582.1</v>
      </c>
      <c r="BA217" s="8">
        <v>0.1</v>
      </c>
      <c r="BB217" s="8">
        <f t="shared" ref="BB217:BB224" si="1137">AZ217-BA217</f>
        <v>8582</v>
      </c>
      <c r="BC217" s="8">
        <f t="shared" ref="BC217:BC229" si="1138">BB217+AY217</f>
        <v>180224</v>
      </c>
      <c r="BD217" s="8"/>
      <c r="BE217" s="8">
        <f t="shared" ref="BE217:BE229" si="1139">BD217+BC217</f>
        <v>180224</v>
      </c>
      <c r="BF217" s="10">
        <f t="shared" ref="BF217:BF229" si="1140">BE217-AY217</f>
        <v>8582</v>
      </c>
      <c r="BG217" s="11">
        <f t="shared" ref="BG217:BG229" si="1141">BF217-BB217</f>
        <v>0</v>
      </c>
      <c r="BH217" s="319">
        <v>180224</v>
      </c>
      <c r="BI217" s="324">
        <v>0</v>
      </c>
      <c r="BJ217" s="324">
        <v>0</v>
      </c>
      <c r="BK217" s="319">
        <f t="shared" ref="BK217:BK229" si="1142">BJ217+BI217+BH217</f>
        <v>180224</v>
      </c>
      <c r="BL217" s="319">
        <v>180224</v>
      </c>
      <c r="BM217" s="319">
        <v>0</v>
      </c>
      <c r="BN217" s="319">
        <v>0</v>
      </c>
      <c r="BO217" s="319">
        <f t="shared" ref="BO217:BO229" si="1143">BN217+BM217+BL217</f>
        <v>180224</v>
      </c>
      <c r="BP217" s="319">
        <f>BO217-BK217</f>
        <v>0</v>
      </c>
      <c r="BQ217" s="319">
        <v>180224</v>
      </c>
      <c r="BR217" s="319">
        <v>0</v>
      </c>
      <c r="BS217" s="319">
        <v>0</v>
      </c>
      <c r="BT217" s="319">
        <f t="shared" ref="BT217:BT229" si="1144">BS217+BR217+BQ217</f>
        <v>180224</v>
      </c>
      <c r="BU217" s="319">
        <f t="shared" ref="BU217:BU229" si="1145">BT217-BO217</f>
        <v>0</v>
      </c>
      <c r="BV217" s="319">
        <v>180224</v>
      </c>
      <c r="BW217" s="319">
        <v>0</v>
      </c>
      <c r="BX217" s="319">
        <v>0</v>
      </c>
      <c r="BY217" s="319">
        <f t="shared" ref="BY217:BY229" si="1146">BX217+BW217+BV217</f>
        <v>180224</v>
      </c>
      <c r="BZ217" s="319">
        <f t="shared" ref="BZ217:BZ229" si="1147">BY217-BT217</f>
        <v>0</v>
      </c>
      <c r="CA217" s="319">
        <v>180224</v>
      </c>
      <c r="CB217" s="319">
        <v>0</v>
      </c>
      <c r="CC217" s="319">
        <v>0</v>
      </c>
      <c r="CD217" s="319">
        <f t="shared" ref="CD217:CD229" si="1148">CC217+CB217+CA217</f>
        <v>180224</v>
      </c>
      <c r="CE217" s="319">
        <f t="shared" ref="CE217:CE229" si="1149">CD217-BY217</f>
        <v>0</v>
      </c>
      <c r="CF217" s="319">
        <v>180224</v>
      </c>
      <c r="CG217" s="319">
        <v>0</v>
      </c>
      <c r="CH217" s="319">
        <v>0</v>
      </c>
      <c r="CI217" s="319">
        <f t="shared" ref="CI217:CI229" si="1150">CH217+CG217+CF217</f>
        <v>180224</v>
      </c>
      <c r="CJ217" s="319">
        <f t="shared" ref="CJ217:CJ229" si="1151">CI217-CD217</f>
        <v>0</v>
      </c>
      <c r="CK217" s="319">
        <v>180224</v>
      </c>
      <c r="CL217" s="319">
        <v>0</v>
      </c>
      <c r="CM217" s="319">
        <v>0</v>
      </c>
      <c r="CN217" s="319">
        <f>CM217+CL217+CK217</f>
        <v>180224</v>
      </c>
      <c r="CO217" s="319">
        <f>CN217-CI217</f>
        <v>0</v>
      </c>
      <c r="CP217" s="319">
        <v>180224</v>
      </c>
      <c r="CQ217" s="319">
        <v>0</v>
      </c>
      <c r="CR217" s="319">
        <v>0</v>
      </c>
      <c r="CS217" s="319">
        <f t="shared" ref="CS217:CS229" si="1152">CR217+CQ217+CP217</f>
        <v>180224</v>
      </c>
      <c r="CT217" s="319">
        <f t="shared" ref="CT217:CT229" si="1153">CS217-CN217</f>
        <v>0</v>
      </c>
      <c r="CU217" s="319">
        <v>180224</v>
      </c>
      <c r="CV217" s="319">
        <v>0</v>
      </c>
      <c r="CW217" s="319">
        <v>0</v>
      </c>
      <c r="CX217" s="319">
        <f t="shared" ref="CX217:CX229" si="1154">CW217+CV217+CU217</f>
        <v>180224</v>
      </c>
      <c r="CY217" s="319">
        <f t="shared" ref="CY217:CY229" si="1155">CX217-CS217</f>
        <v>0</v>
      </c>
      <c r="CZ217" s="319"/>
      <c r="DA217" s="319"/>
      <c r="DB217" s="319"/>
      <c r="DC217" s="12">
        <f>CX217*10%</f>
        <v>18022.400000000001</v>
      </c>
      <c r="DD217" s="12">
        <v>0.4</v>
      </c>
      <c r="DE217" s="13">
        <f>DC217-DD217</f>
        <v>18022</v>
      </c>
      <c r="DF217" s="14">
        <f t="shared" ref="DF217:DF229" si="1156">DE217:DE217</f>
        <v>18022</v>
      </c>
      <c r="DG217" s="13">
        <f t="shared" ref="DG217:DG229" si="1157">DE217+CX217</f>
        <v>198246</v>
      </c>
      <c r="DH217" s="15">
        <f t="shared" ref="DH217:DH229" si="1158">100/1278396949*CX217</f>
        <v>1.4097655672674793E-2</v>
      </c>
      <c r="DI217" s="16">
        <f t="shared" ref="DI217:DI229" si="1159">CX217</f>
        <v>180224</v>
      </c>
      <c r="DJ217" s="132">
        <f>DI217*1.1</f>
        <v>198246.40000000002</v>
      </c>
      <c r="DK217" s="17">
        <f>DJ217-DI217</f>
        <v>18022.400000000023</v>
      </c>
      <c r="DL217" s="17">
        <f t="shared" ref="DL217:DL229" si="1160">DD217</f>
        <v>0.4</v>
      </c>
      <c r="DM217" s="16">
        <f>DK217-DL217</f>
        <v>18022.000000000022</v>
      </c>
      <c r="DN217" s="16">
        <f t="shared" ref="DN217:DN229" si="1161">DM217-DE217</f>
        <v>0</v>
      </c>
      <c r="DO217" s="16">
        <f>DM217+DI217</f>
        <v>198246.00000000003</v>
      </c>
      <c r="DP217" s="16">
        <f t="shared" ref="DP217:DP229" si="1162">DO217-DG217</f>
        <v>0</v>
      </c>
      <c r="DQ217" s="9">
        <v>198246</v>
      </c>
      <c r="DR217" s="18" t="s">
        <v>238</v>
      </c>
      <c r="DS217" s="18" t="s">
        <v>238</v>
      </c>
      <c r="DT217" s="324">
        <f>DQ217+DR217+DS217</f>
        <v>198246</v>
      </c>
      <c r="DU217" s="321">
        <f>DT217</f>
        <v>198246</v>
      </c>
      <c r="DV217" s="19">
        <f>DT217-DG217</f>
        <v>0</v>
      </c>
      <c r="DW217" s="9">
        <v>198246</v>
      </c>
      <c r="DX217" s="18"/>
      <c r="DY217" s="18"/>
      <c r="DZ217" s="324">
        <f>DW217+DX217+DY217</f>
        <v>198246</v>
      </c>
      <c r="EA217" s="321">
        <f>DZ217</f>
        <v>198246</v>
      </c>
      <c r="EB217" s="179">
        <f t="shared" ref="EB217:EB229" si="1163">DZ217-DT217</f>
        <v>0</v>
      </c>
      <c r="EC217" s="9">
        <v>198246</v>
      </c>
      <c r="ED217" s="18" t="s">
        <v>238</v>
      </c>
      <c r="EE217" s="18" t="s">
        <v>238</v>
      </c>
      <c r="EF217" s="324">
        <f>EC217+ED217+EE217</f>
        <v>198246</v>
      </c>
      <c r="EG217" s="321">
        <f>EF217</f>
        <v>198246</v>
      </c>
      <c r="EH217" s="179">
        <f t="shared" ref="EH217:EH229" si="1164">EF217-DZ217</f>
        <v>0</v>
      </c>
      <c r="EI217" s="9">
        <v>198246</v>
      </c>
      <c r="EJ217" s="18" t="s">
        <v>238</v>
      </c>
      <c r="EK217" s="18" t="s">
        <v>238</v>
      </c>
      <c r="EL217" s="324">
        <f>EI217+EJ217+EK217</f>
        <v>198246</v>
      </c>
      <c r="EM217" s="321">
        <f>EL217</f>
        <v>198246</v>
      </c>
      <c r="EN217" s="179">
        <f t="shared" ref="EN217:EN229" si="1165">EL217-EF217</f>
        <v>0</v>
      </c>
      <c r="EO217" s="9">
        <v>198246</v>
      </c>
      <c r="EP217" s="18" t="s">
        <v>238</v>
      </c>
      <c r="EQ217" s="18" t="s">
        <v>238</v>
      </c>
      <c r="ER217" s="324">
        <f>EO217+EP217+EQ217</f>
        <v>198246</v>
      </c>
      <c r="ES217" s="321">
        <f>ER217</f>
        <v>198246</v>
      </c>
      <c r="ET217" s="179">
        <f t="shared" ref="ET217:ET229" si="1166">ER217-EL217</f>
        <v>0</v>
      </c>
      <c r="EU217" s="9">
        <v>198246</v>
      </c>
      <c r="EV217" s="18" t="s">
        <v>238</v>
      </c>
      <c r="EW217" s="18" t="s">
        <v>238</v>
      </c>
      <c r="EX217" s="324">
        <f>EU217+EV217+EW217</f>
        <v>198246</v>
      </c>
      <c r="EY217" s="321">
        <f>EX217</f>
        <v>198246</v>
      </c>
      <c r="EZ217" s="179">
        <f t="shared" ref="EZ217:EZ229" si="1167">EX217-ER217</f>
        <v>0</v>
      </c>
      <c r="FA217" s="9">
        <v>198246</v>
      </c>
      <c r="FB217" s="18" t="s">
        <v>238</v>
      </c>
      <c r="FC217" s="18" t="s">
        <v>238</v>
      </c>
      <c r="FD217" s="324">
        <f>FA217+FB217+FC217</f>
        <v>198246</v>
      </c>
      <c r="FE217" s="321">
        <f>FD217</f>
        <v>198246</v>
      </c>
      <c r="FF217" s="179">
        <f t="shared" ref="FF217:FF229" si="1168">FD217-EX217</f>
        <v>0</v>
      </c>
      <c r="FG217" s="9">
        <v>198246</v>
      </c>
      <c r="FH217" s="18" t="s">
        <v>238</v>
      </c>
      <c r="FI217" s="18" t="s">
        <v>238</v>
      </c>
      <c r="FJ217" s="324">
        <f>FG217+FH217+FI217</f>
        <v>198246</v>
      </c>
      <c r="FK217" s="321">
        <f>FJ217</f>
        <v>198246</v>
      </c>
      <c r="FL217" s="179">
        <f t="shared" ref="FL217:FL229" si="1169">FJ217-FD217</f>
        <v>0</v>
      </c>
      <c r="FM217" s="9">
        <v>198246</v>
      </c>
      <c r="FN217" s="18" t="s">
        <v>238</v>
      </c>
      <c r="FO217" s="18" t="s">
        <v>238</v>
      </c>
      <c r="FP217" s="324">
        <f>FM217+FN217+FO217</f>
        <v>198246</v>
      </c>
      <c r="FQ217" s="321">
        <f>FP217</f>
        <v>198246</v>
      </c>
      <c r="FR217" s="179">
        <f t="shared" ref="FR217:FR229" si="1170">FP217-FJ217</f>
        <v>0</v>
      </c>
      <c r="FS217" s="9">
        <v>198246</v>
      </c>
      <c r="FT217" s="18" t="s">
        <v>238</v>
      </c>
      <c r="FU217" s="18" t="s">
        <v>238</v>
      </c>
      <c r="FV217" s="324">
        <f>FS217+FT217+FU217</f>
        <v>198246</v>
      </c>
      <c r="FW217" s="321">
        <f>FV217</f>
        <v>198246</v>
      </c>
      <c r="FX217" s="179">
        <f t="shared" ref="FX217:FX229" si="1171">FV217-FP217</f>
        <v>0</v>
      </c>
      <c r="FY217" s="9">
        <v>198246</v>
      </c>
      <c r="FZ217" s="18" t="s">
        <v>238</v>
      </c>
      <c r="GA217" s="18" t="s">
        <v>238</v>
      </c>
      <c r="GB217" s="324">
        <f>FY217+FZ217+GA217</f>
        <v>198246</v>
      </c>
      <c r="GC217" s="321">
        <f>GB217</f>
        <v>198246</v>
      </c>
      <c r="GD217" s="179">
        <f t="shared" ref="GD217:GD229" si="1172">GB217-FV217</f>
        <v>0</v>
      </c>
      <c r="GE217" s="9">
        <v>198246</v>
      </c>
      <c r="GF217" s="18" t="s">
        <v>238</v>
      </c>
      <c r="GG217" s="18" t="s">
        <v>238</v>
      </c>
      <c r="GH217" s="324">
        <f>GE217+GF217+GG217</f>
        <v>198246</v>
      </c>
      <c r="GI217" s="321">
        <f>GH217</f>
        <v>198246</v>
      </c>
      <c r="GJ217" s="179">
        <f t="shared" ref="GJ217:GJ229" si="1173">GH217-GB217</f>
        <v>0</v>
      </c>
      <c r="GK217" s="9">
        <v>198246</v>
      </c>
      <c r="GL217" s="18" t="s">
        <v>238</v>
      </c>
      <c r="GM217" s="18" t="s">
        <v>238</v>
      </c>
      <c r="GN217" s="324">
        <f>GK217+GL217+GM217</f>
        <v>198246</v>
      </c>
      <c r="GO217" s="321">
        <f>GN217</f>
        <v>198246</v>
      </c>
      <c r="GP217" s="179">
        <f t="shared" ref="GP217:GP229" si="1174">GN217-GH217</f>
        <v>0</v>
      </c>
      <c r="GQ217" s="9">
        <v>198246</v>
      </c>
      <c r="GR217" s="18" t="s">
        <v>238</v>
      </c>
      <c r="GS217" s="18" t="s">
        <v>238</v>
      </c>
      <c r="GT217" s="324">
        <f>GQ217+GR217+GS217</f>
        <v>198246</v>
      </c>
      <c r="GU217" s="321">
        <f>GT217</f>
        <v>198246</v>
      </c>
      <c r="GV217" s="179">
        <f t="shared" ref="GV217:GV229" si="1175">GT217-GN217</f>
        <v>0</v>
      </c>
      <c r="GW217" s="9">
        <v>208158</v>
      </c>
      <c r="GX217" s="18" t="s">
        <v>238</v>
      </c>
      <c r="GY217" s="18" t="s">
        <v>238</v>
      </c>
      <c r="GZ217" s="324">
        <f>GW217+GX217+GY217</f>
        <v>208158</v>
      </c>
      <c r="HA217" s="321">
        <f>GZ217</f>
        <v>208158</v>
      </c>
      <c r="HB217" s="179">
        <f t="shared" ref="HB217:HB229" si="1176">GZ217-GT217</f>
        <v>9912</v>
      </c>
      <c r="HC217" s="102">
        <f t="shared" ref="HC217:HC229" si="1177">100/1406236643.9*GT217</f>
        <v>1.409762722796019E-2</v>
      </c>
      <c r="HD217" s="285">
        <f>HB217-HO217</f>
        <v>-1.6370904631912708E-11</v>
      </c>
      <c r="HE217" s="12">
        <f>GT217*0.05</f>
        <v>9912.3000000000011</v>
      </c>
      <c r="HF217" s="12">
        <f t="shared" ref="HF217:HF229" si="1178">IF(ISNUMBER($HE217), $HE217-INT($HE217), "")</f>
        <v>0.30000000000109139</v>
      </c>
      <c r="HG217" s="12">
        <f>HE217-HF217</f>
        <v>9912</v>
      </c>
      <c r="HH217" s="14">
        <f>HG217:HG217</f>
        <v>9912</v>
      </c>
      <c r="HI217" s="13">
        <f>HG217+GT217</f>
        <v>208158</v>
      </c>
      <c r="HJ217" s="102">
        <f>100/1406236643.9*HI217</f>
        <v>1.4802487255822248E-2</v>
      </c>
      <c r="HK217" s="16">
        <f>GT217</f>
        <v>198246</v>
      </c>
      <c r="HL217" s="103">
        <f>HK217*1.05</f>
        <v>208158.30000000002</v>
      </c>
      <c r="HM217" s="103">
        <f>HL217-HK217</f>
        <v>9912.3000000000175</v>
      </c>
      <c r="HN217" s="17">
        <f>HF217</f>
        <v>0.30000000000109139</v>
      </c>
      <c r="HO217" s="56">
        <f>HM217-HN217</f>
        <v>9912.0000000000164</v>
      </c>
      <c r="HP217" s="16">
        <f>HO217-HG217</f>
        <v>1.6370904631912708E-11</v>
      </c>
      <c r="HQ217" s="16">
        <f>HO217+HK217</f>
        <v>208158.00000000003</v>
      </c>
      <c r="HR217" s="16">
        <f>HQ217-HI217</f>
        <v>0</v>
      </c>
    </row>
    <row r="218" spans="1:226" x14ac:dyDescent="0.3">
      <c r="A218" s="310">
        <v>2</v>
      </c>
      <c r="B218" s="134"/>
      <c r="C218" s="310" t="s">
        <v>332</v>
      </c>
      <c r="D218" s="2" t="s">
        <v>150</v>
      </c>
      <c r="E218" s="9"/>
      <c r="F218" s="9"/>
      <c r="G218" s="9"/>
      <c r="H218" s="324"/>
      <c r="I218" s="324">
        <v>0</v>
      </c>
      <c r="J218" s="324"/>
      <c r="K218" s="324"/>
      <c r="L218" s="324">
        <v>0</v>
      </c>
      <c r="M218" s="23">
        <v>0</v>
      </c>
      <c r="N218" s="23">
        <v>0</v>
      </c>
      <c r="O218" s="298">
        <v>0</v>
      </c>
      <c r="P218" s="298">
        <v>0</v>
      </c>
      <c r="Q218" s="298">
        <v>0</v>
      </c>
      <c r="R218" s="298">
        <v>0</v>
      </c>
      <c r="S218" s="298">
        <v>0</v>
      </c>
      <c r="T218" s="298">
        <v>0</v>
      </c>
      <c r="U218" s="298">
        <f t="shared" si="1128"/>
        <v>0</v>
      </c>
      <c r="V218" s="298">
        <f t="shared" si="1129"/>
        <v>0</v>
      </c>
      <c r="W218" s="298">
        <v>0</v>
      </c>
      <c r="X218" s="298">
        <v>0</v>
      </c>
      <c r="Y218" s="298">
        <v>0</v>
      </c>
      <c r="Z218" s="298">
        <v>0</v>
      </c>
      <c r="AA218" s="298">
        <v>0</v>
      </c>
      <c r="AB218" s="298">
        <v>0</v>
      </c>
      <c r="AC218" s="9">
        <v>0</v>
      </c>
      <c r="AD218" s="9">
        <v>0</v>
      </c>
      <c r="AE218" s="298">
        <f t="shared" si="1130"/>
        <v>0</v>
      </c>
      <c r="AF218" s="298">
        <v>0</v>
      </c>
      <c r="AG218" s="9">
        <v>0</v>
      </c>
      <c r="AH218" s="9">
        <v>0</v>
      </c>
      <c r="AI218" s="298">
        <f t="shared" si="1131"/>
        <v>0</v>
      </c>
      <c r="AJ218" s="298">
        <v>0</v>
      </c>
      <c r="AK218" s="9">
        <v>0</v>
      </c>
      <c r="AL218" s="9">
        <v>0</v>
      </c>
      <c r="AM218" s="298">
        <f t="shared" si="1132"/>
        <v>0</v>
      </c>
      <c r="AN218" s="298">
        <v>0</v>
      </c>
      <c r="AO218" s="9">
        <v>0</v>
      </c>
      <c r="AP218" s="9">
        <v>0</v>
      </c>
      <c r="AQ218" s="298">
        <f t="shared" si="1133"/>
        <v>0</v>
      </c>
      <c r="AR218" s="298">
        <v>0</v>
      </c>
      <c r="AS218" s="9">
        <v>0</v>
      </c>
      <c r="AT218" s="9">
        <v>0</v>
      </c>
      <c r="AU218" s="298">
        <f t="shared" si="1134"/>
        <v>0</v>
      </c>
      <c r="AV218" s="298">
        <v>0</v>
      </c>
      <c r="AW218" s="9">
        <v>0</v>
      </c>
      <c r="AX218" s="9">
        <v>0</v>
      </c>
      <c r="AY218" s="298">
        <f t="shared" si="1135"/>
        <v>0</v>
      </c>
      <c r="AZ218" s="8">
        <f t="shared" si="1136"/>
        <v>0</v>
      </c>
      <c r="BA218" s="8"/>
      <c r="BB218" s="8">
        <f t="shared" si="1137"/>
        <v>0</v>
      </c>
      <c r="BC218" s="8">
        <f t="shared" si="1138"/>
        <v>0</v>
      </c>
      <c r="BD218" s="8"/>
      <c r="BE218" s="8">
        <f t="shared" si="1139"/>
        <v>0</v>
      </c>
      <c r="BF218" s="10">
        <f t="shared" si="1140"/>
        <v>0</v>
      </c>
      <c r="BG218" s="81">
        <f t="shared" si="1141"/>
        <v>0</v>
      </c>
      <c r="BH218" s="324">
        <v>0</v>
      </c>
      <c r="BI218" s="324">
        <v>0</v>
      </c>
      <c r="BJ218" s="324">
        <v>0</v>
      </c>
      <c r="BK218" s="319">
        <f t="shared" si="1142"/>
        <v>0</v>
      </c>
      <c r="BL218" s="319">
        <v>0</v>
      </c>
      <c r="BM218" s="319">
        <v>0</v>
      </c>
      <c r="BN218" s="319">
        <v>0</v>
      </c>
      <c r="BO218" s="319">
        <f>BN218+BM218+BL218</f>
        <v>0</v>
      </c>
      <c r="BP218" s="319">
        <f>BO218-BK218</f>
        <v>0</v>
      </c>
      <c r="BQ218" s="319"/>
      <c r="BR218" s="319">
        <v>0</v>
      </c>
      <c r="BS218" s="319">
        <v>0</v>
      </c>
      <c r="BT218" s="319">
        <f>BS218+BR218+BQ218</f>
        <v>0</v>
      </c>
      <c r="BU218" s="319">
        <f>BT218-BO218</f>
        <v>0</v>
      </c>
      <c r="BV218" s="319">
        <v>0</v>
      </c>
      <c r="BW218" s="319">
        <v>0</v>
      </c>
      <c r="BX218" s="319">
        <v>0</v>
      </c>
      <c r="BY218" s="319">
        <f>BX218+BW218+BV218</f>
        <v>0</v>
      </c>
      <c r="BZ218" s="319">
        <f>BY218-BT218</f>
        <v>0</v>
      </c>
      <c r="CA218" s="319">
        <v>0</v>
      </c>
      <c r="CB218" s="319">
        <v>0</v>
      </c>
      <c r="CC218" s="319">
        <v>0</v>
      </c>
      <c r="CD218" s="319">
        <f>CC218+CB218+CA218</f>
        <v>0</v>
      </c>
      <c r="CE218" s="319">
        <f>CD218-BY218</f>
        <v>0</v>
      </c>
      <c r="CF218" s="319"/>
      <c r="CG218" s="319">
        <v>0</v>
      </c>
      <c r="CH218" s="319">
        <v>0</v>
      </c>
      <c r="CI218" s="319">
        <f>CH218+CG218+CF218</f>
        <v>0</v>
      </c>
      <c r="CJ218" s="319">
        <f>CI218-CD218</f>
        <v>0</v>
      </c>
      <c r="CK218" s="319">
        <v>0</v>
      </c>
      <c r="CL218" s="319">
        <v>0</v>
      </c>
      <c r="CM218" s="319">
        <v>0</v>
      </c>
      <c r="CN218" s="319">
        <f>CM218+CL218+CK218</f>
        <v>0</v>
      </c>
      <c r="CO218" s="319">
        <f>CN218-CI218</f>
        <v>0</v>
      </c>
      <c r="CP218" s="319"/>
      <c r="CQ218" s="319">
        <v>0</v>
      </c>
      <c r="CR218" s="319">
        <v>0</v>
      </c>
      <c r="CS218" s="319">
        <f t="shared" si="1152"/>
        <v>0</v>
      </c>
      <c r="CT218" s="319">
        <f t="shared" si="1153"/>
        <v>0</v>
      </c>
      <c r="CU218" s="319">
        <v>0</v>
      </c>
      <c r="CV218" s="319">
        <v>0</v>
      </c>
      <c r="CW218" s="319">
        <v>0</v>
      </c>
      <c r="CX218" s="319">
        <f t="shared" si="1154"/>
        <v>0</v>
      </c>
      <c r="CY218" s="319">
        <f t="shared" si="1155"/>
        <v>0</v>
      </c>
      <c r="CZ218" s="319"/>
      <c r="DA218" s="319"/>
      <c r="DB218" s="319"/>
      <c r="DC218" s="12">
        <f t="shared" ref="DC218:DC229" si="1179">CX218*10%</f>
        <v>0</v>
      </c>
      <c r="DD218" s="12">
        <v>0</v>
      </c>
      <c r="DE218" s="13">
        <f t="shared" ref="DE218:DE229" si="1180">DC218-DD218</f>
        <v>0</v>
      </c>
      <c r="DF218" s="14">
        <f t="shared" si="1156"/>
        <v>0</v>
      </c>
      <c r="DG218" s="13">
        <f t="shared" si="1157"/>
        <v>0</v>
      </c>
      <c r="DH218" s="15">
        <f t="shared" si="1158"/>
        <v>0</v>
      </c>
      <c r="DI218" s="16">
        <f t="shared" si="1159"/>
        <v>0</v>
      </c>
      <c r="DJ218" s="132">
        <f t="shared" ref="DJ218:DJ229" si="1181">DI218*1.1</f>
        <v>0</v>
      </c>
      <c r="DK218" s="17">
        <f t="shared" ref="DK218:DK229" si="1182">DJ218-DI218</f>
        <v>0</v>
      </c>
      <c r="DL218" s="17">
        <f t="shared" si="1160"/>
        <v>0</v>
      </c>
      <c r="DM218" s="16">
        <f t="shared" ref="DM218:DM229" si="1183">DK218-DL218</f>
        <v>0</v>
      </c>
      <c r="DN218" s="16">
        <f t="shared" si="1161"/>
        <v>0</v>
      </c>
      <c r="DO218" s="16">
        <f t="shared" ref="DO218:DO229" si="1184">DM218+DI218</f>
        <v>0</v>
      </c>
      <c r="DP218" s="16">
        <f t="shared" si="1162"/>
        <v>0</v>
      </c>
      <c r="DQ218" s="9">
        <v>0</v>
      </c>
      <c r="DR218" s="18" t="s">
        <v>238</v>
      </c>
      <c r="DS218" s="18" t="s">
        <v>238</v>
      </c>
      <c r="DT218" s="324">
        <f t="shared" ref="DT218:DT229" si="1185">DQ218+DR218+DS218</f>
        <v>0</v>
      </c>
      <c r="DU218" s="321">
        <f t="shared" ref="DU218:DU229" si="1186">DT218</f>
        <v>0</v>
      </c>
      <c r="DV218" s="19">
        <f t="shared" ref="DV218:DV229" si="1187">DT218-DG218</f>
        <v>0</v>
      </c>
      <c r="DW218" s="9"/>
      <c r="DX218" s="18"/>
      <c r="DY218" s="18"/>
      <c r="DZ218" s="324">
        <f t="shared" ref="DZ218:DZ229" si="1188">DW218+DX218+DY218</f>
        <v>0</v>
      </c>
      <c r="EA218" s="321">
        <f t="shared" ref="EA218:EA229" si="1189">DZ218</f>
        <v>0</v>
      </c>
      <c r="EB218" s="179">
        <f t="shared" si="1163"/>
        <v>0</v>
      </c>
      <c r="EC218" s="9">
        <v>0</v>
      </c>
      <c r="ED218" s="18" t="s">
        <v>238</v>
      </c>
      <c r="EE218" s="18" t="s">
        <v>238</v>
      </c>
      <c r="EF218" s="324">
        <f t="shared" ref="EF218:EF229" si="1190">EC218+ED218+EE218</f>
        <v>0</v>
      </c>
      <c r="EG218" s="321">
        <f t="shared" ref="EG218:EG229" si="1191">EF218</f>
        <v>0</v>
      </c>
      <c r="EH218" s="179">
        <f t="shared" si="1164"/>
        <v>0</v>
      </c>
      <c r="EI218" s="9">
        <v>0</v>
      </c>
      <c r="EJ218" s="18" t="s">
        <v>238</v>
      </c>
      <c r="EK218" s="18" t="s">
        <v>238</v>
      </c>
      <c r="EL218" s="324">
        <f t="shared" ref="EL218:EL229" si="1192">EI218+EJ218+EK218</f>
        <v>0</v>
      </c>
      <c r="EM218" s="321">
        <f t="shared" ref="EM218:EM229" si="1193">EL218</f>
        <v>0</v>
      </c>
      <c r="EN218" s="179">
        <f t="shared" si="1165"/>
        <v>0</v>
      </c>
      <c r="EO218" s="9">
        <v>0</v>
      </c>
      <c r="EP218" s="18" t="s">
        <v>238</v>
      </c>
      <c r="EQ218" s="18" t="s">
        <v>238</v>
      </c>
      <c r="ER218" s="324">
        <f t="shared" ref="ER218:ER229" si="1194">EO218+EP218+EQ218</f>
        <v>0</v>
      </c>
      <c r="ES218" s="321">
        <f t="shared" ref="ES218:ES229" si="1195">ER218</f>
        <v>0</v>
      </c>
      <c r="ET218" s="179">
        <f t="shared" si="1166"/>
        <v>0</v>
      </c>
      <c r="EU218" s="9">
        <v>0</v>
      </c>
      <c r="EV218" s="18" t="s">
        <v>238</v>
      </c>
      <c r="EW218" s="18" t="s">
        <v>238</v>
      </c>
      <c r="EX218" s="324">
        <f t="shared" ref="EX218:EX229" si="1196">EU218+EV218+EW218</f>
        <v>0</v>
      </c>
      <c r="EY218" s="321">
        <f t="shared" ref="EY218:EY229" si="1197">EX218</f>
        <v>0</v>
      </c>
      <c r="EZ218" s="179">
        <f t="shared" si="1167"/>
        <v>0</v>
      </c>
      <c r="FA218" s="9">
        <v>0</v>
      </c>
      <c r="FB218" s="18" t="s">
        <v>238</v>
      </c>
      <c r="FC218" s="18" t="s">
        <v>238</v>
      </c>
      <c r="FD218" s="324">
        <f t="shared" ref="FD218:FD229" si="1198">FA218+FB218+FC218</f>
        <v>0</v>
      </c>
      <c r="FE218" s="321">
        <f t="shared" ref="FE218:FE229" si="1199">FD218</f>
        <v>0</v>
      </c>
      <c r="FF218" s="179">
        <f t="shared" si="1168"/>
        <v>0</v>
      </c>
      <c r="FG218" s="9">
        <v>0</v>
      </c>
      <c r="FH218" s="18" t="s">
        <v>238</v>
      </c>
      <c r="FI218" s="18" t="s">
        <v>238</v>
      </c>
      <c r="FJ218" s="324">
        <f t="shared" ref="FJ218:FJ229" si="1200">FG218+FH218+FI218</f>
        <v>0</v>
      </c>
      <c r="FK218" s="321">
        <f t="shared" ref="FK218:FK229" si="1201">FJ218</f>
        <v>0</v>
      </c>
      <c r="FL218" s="179">
        <f t="shared" si="1169"/>
        <v>0</v>
      </c>
      <c r="FM218" s="18" t="s">
        <v>238</v>
      </c>
      <c r="FN218" s="18" t="s">
        <v>238</v>
      </c>
      <c r="FO218" s="18" t="s">
        <v>238</v>
      </c>
      <c r="FP218" s="324">
        <f t="shared" ref="FP218:FP229" si="1202">FM218+FN218+FO218</f>
        <v>0</v>
      </c>
      <c r="FQ218" s="321">
        <f t="shared" ref="FQ218:FQ229" si="1203">FP218</f>
        <v>0</v>
      </c>
      <c r="FR218" s="179">
        <f t="shared" si="1170"/>
        <v>0</v>
      </c>
      <c r="FS218" s="18" t="s">
        <v>238</v>
      </c>
      <c r="FT218" s="18" t="s">
        <v>238</v>
      </c>
      <c r="FU218" s="18" t="s">
        <v>238</v>
      </c>
      <c r="FV218" s="324">
        <f t="shared" ref="FV218:FV229" si="1204">FS218+FT218+FU218</f>
        <v>0</v>
      </c>
      <c r="FW218" s="321">
        <f t="shared" ref="FW218:FW229" si="1205">FV218</f>
        <v>0</v>
      </c>
      <c r="FX218" s="179">
        <f t="shared" si="1171"/>
        <v>0</v>
      </c>
      <c r="FY218" s="18" t="s">
        <v>238</v>
      </c>
      <c r="FZ218" s="18" t="s">
        <v>238</v>
      </c>
      <c r="GA218" s="18" t="s">
        <v>238</v>
      </c>
      <c r="GB218" s="324">
        <f t="shared" ref="GB218:GB229" si="1206">FY218+FZ218+GA218</f>
        <v>0</v>
      </c>
      <c r="GC218" s="321">
        <f t="shared" ref="GC218:GC229" si="1207">GB218</f>
        <v>0</v>
      </c>
      <c r="GD218" s="179">
        <f t="shared" si="1172"/>
        <v>0</v>
      </c>
      <c r="GE218" s="18" t="s">
        <v>238</v>
      </c>
      <c r="GF218" s="18" t="s">
        <v>238</v>
      </c>
      <c r="GG218" s="18" t="s">
        <v>238</v>
      </c>
      <c r="GH218" s="324">
        <f t="shared" ref="GH218:GH229" si="1208">GE218+GF218+GG218</f>
        <v>0</v>
      </c>
      <c r="GI218" s="321">
        <f t="shared" ref="GI218:GI229" si="1209">GH218</f>
        <v>0</v>
      </c>
      <c r="GJ218" s="179">
        <f t="shared" si="1173"/>
        <v>0</v>
      </c>
      <c r="GK218" s="18" t="s">
        <v>238</v>
      </c>
      <c r="GL218" s="18" t="s">
        <v>238</v>
      </c>
      <c r="GM218" s="18" t="s">
        <v>238</v>
      </c>
      <c r="GN218" s="324">
        <f t="shared" ref="GN218:GN229" si="1210">GK218+GL218+GM218</f>
        <v>0</v>
      </c>
      <c r="GO218" s="321">
        <f t="shared" ref="GO218:GO229" si="1211">GN218</f>
        <v>0</v>
      </c>
      <c r="GP218" s="179">
        <f t="shared" si="1174"/>
        <v>0</v>
      </c>
      <c r="GQ218" s="18" t="s">
        <v>238</v>
      </c>
      <c r="GR218" s="18" t="s">
        <v>238</v>
      </c>
      <c r="GS218" s="18" t="s">
        <v>238</v>
      </c>
      <c r="GT218" s="324">
        <f t="shared" ref="GT218:GT229" si="1212">GQ218+GR218+GS218</f>
        <v>0</v>
      </c>
      <c r="GU218" s="321">
        <f t="shared" ref="GU218:GU229" si="1213">GT218</f>
        <v>0</v>
      </c>
      <c r="GV218" s="179">
        <f t="shared" si="1175"/>
        <v>0</v>
      </c>
      <c r="GW218" s="18" t="s">
        <v>238</v>
      </c>
      <c r="GX218" s="18" t="s">
        <v>238</v>
      </c>
      <c r="GY218" s="18" t="s">
        <v>238</v>
      </c>
      <c r="GZ218" s="324">
        <f t="shared" ref="GZ218:GZ229" si="1214">GW218+GX218+GY218</f>
        <v>0</v>
      </c>
      <c r="HA218" s="321">
        <f t="shared" ref="HA218:HA229" si="1215">GZ218</f>
        <v>0</v>
      </c>
      <c r="HB218" s="179">
        <f t="shared" si="1176"/>
        <v>0</v>
      </c>
      <c r="HC218" s="102">
        <f t="shared" si="1177"/>
        <v>0</v>
      </c>
      <c r="HD218" s="285">
        <f>HB218-HO218</f>
        <v>0</v>
      </c>
      <c r="HE218" s="12">
        <f>GT218*0.05</f>
        <v>0</v>
      </c>
      <c r="HF218" s="12">
        <f t="shared" si="1178"/>
        <v>0</v>
      </c>
      <c r="HG218" s="12">
        <f>HE218-HF218</f>
        <v>0</v>
      </c>
      <c r="HH218" s="14">
        <f>HG218:HG218</f>
        <v>0</v>
      </c>
      <c r="HI218" s="13">
        <f>HG218+GT218</f>
        <v>0</v>
      </c>
      <c r="HJ218" s="102">
        <f>100/1406236643.9*HI218</f>
        <v>0</v>
      </c>
      <c r="HK218" s="16">
        <f>GT218</f>
        <v>0</v>
      </c>
      <c r="HL218" s="103">
        <f>HK218*1.05</f>
        <v>0</v>
      </c>
      <c r="HM218" s="103">
        <f>HL218-HK218</f>
        <v>0</v>
      </c>
      <c r="HN218" s="17">
        <f>HF218</f>
        <v>0</v>
      </c>
      <c r="HO218" s="56">
        <f>HM218-HN218</f>
        <v>0</v>
      </c>
      <c r="HP218" s="16">
        <f>HO218-HG218</f>
        <v>0</v>
      </c>
      <c r="HQ218" s="16">
        <f>HO218+HK218</f>
        <v>0</v>
      </c>
      <c r="HR218" s="16">
        <f>HQ218-HI218</f>
        <v>0</v>
      </c>
    </row>
    <row r="219" spans="1:226" ht="10.5" customHeight="1" x14ac:dyDescent="0.3">
      <c r="A219" s="310">
        <v>5</v>
      </c>
      <c r="B219" s="104" t="s">
        <v>157</v>
      </c>
      <c r="C219" s="310" t="s">
        <v>323</v>
      </c>
      <c r="D219" s="2" t="s">
        <v>158</v>
      </c>
      <c r="E219" s="9"/>
      <c r="F219" s="9"/>
      <c r="G219" s="9"/>
      <c r="H219" s="324"/>
      <c r="I219" s="324">
        <v>3170792</v>
      </c>
      <c r="J219" s="324"/>
      <c r="K219" s="324"/>
      <c r="L219" s="324">
        <v>3170792</v>
      </c>
      <c r="M219" s="23">
        <v>3170792</v>
      </c>
      <c r="N219" s="23">
        <v>3170792</v>
      </c>
      <c r="O219" s="298">
        <v>3170792</v>
      </c>
      <c r="P219" s="298">
        <v>3170792</v>
      </c>
      <c r="Q219" s="298">
        <v>3170792</v>
      </c>
      <c r="R219" s="298">
        <v>3170792</v>
      </c>
      <c r="S219" s="298">
        <v>3170792</v>
      </c>
      <c r="T219" s="298">
        <v>3170792</v>
      </c>
      <c r="U219" s="298">
        <f t="shared" si="1128"/>
        <v>158539.6</v>
      </c>
      <c r="V219" s="298">
        <f t="shared" si="1129"/>
        <v>3329331.6</v>
      </c>
      <c r="W219" s="298">
        <v>3329331</v>
      </c>
      <c r="X219" s="298">
        <v>3329331</v>
      </c>
      <c r="Y219" s="298">
        <v>3329331</v>
      </c>
      <c r="Z219" s="298">
        <v>3329331</v>
      </c>
      <c r="AA219" s="298">
        <v>3329331</v>
      </c>
      <c r="AB219" s="298">
        <v>3329331</v>
      </c>
      <c r="AC219" s="9">
        <v>0</v>
      </c>
      <c r="AD219" s="9">
        <v>0</v>
      </c>
      <c r="AE219" s="298">
        <f t="shared" si="1130"/>
        <v>3329331</v>
      </c>
      <c r="AF219" s="298">
        <v>3329331</v>
      </c>
      <c r="AG219" s="9">
        <v>0</v>
      </c>
      <c r="AH219" s="9">
        <v>0</v>
      </c>
      <c r="AI219" s="298">
        <f t="shared" si="1131"/>
        <v>3329331</v>
      </c>
      <c r="AJ219" s="298">
        <v>3329331</v>
      </c>
      <c r="AK219" s="9">
        <v>0</v>
      </c>
      <c r="AL219" s="9">
        <v>0</v>
      </c>
      <c r="AM219" s="298">
        <f t="shared" si="1132"/>
        <v>3329331</v>
      </c>
      <c r="AN219" s="298">
        <v>3329331</v>
      </c>
      <c r="AO219" s="9">
        <v>0</v>
      </c>
      <c r="AP219" s="9">
        <v>0</v>
      </c>
      <c r="AQ219" s="298">
        <f t="shared" si="1133"/>
        <v>3329331</v>
      </c>
      <c r="AR219" s="298">
        <v>3329331</v>
      </c>
      <c r="AS219" s="9">
        <v>0</v>
      </c>
      <c r="AT219" s="9">
        <v>0</v>
      </c>
      <c r="AU219" s="298">
        <f t="shared" si="1134"/>
        <v>3329331</v>
      </c>
      <c r="AV219" s="298">
        <v>3329331</v>
      </c>
      <c r="AW219" s="9">
        <v>0</v>
      </c>
      <c r="AX219" s="9">
        <v>0</v>
      </c>
      <c r="AY219" s="7">
        <f t="shared" si="1135"/>
        <v>3329331</v>
      </c>
      <c r="AZ219" s="8">
        <f t="shared" si="1136"/>
        <v>166466.55000000002</v>
      </c>
      <c r="BA219" s="8">
        <v>0.55000000000000004</v>
      </c>
      <c r="BB219" s="8">
        <f t="shared" si="1137"/>
        <v>166466.00000000003</v>
      </c>
      <c r="BC219" s="8">
        <f t="shared" si="1138"/>
        <v>3495797</v>
      </c>
      <c r="BD219" s="8"/>
      <c r="BE219" s="8">
        <f t="shared" si="1139"/>
        <v>3495797</v>
      </c>
      <c r="BF219" s="10">
        <f t="shared" si="1140"/>
        <v>166466</v>
      </c>
      <c r="BG219" s="11">
        <f t="shared" si="1141"/>
        <v>0</v>
      </c>
      <c r="BH219" s="319">
        <v>3495797</v>
      </c>
      <c r="BI219" s="324">
        <v>0</v>
      </c>
      <c r="BJ219" s="324">
        <v>0</v>
      </c>
      <c r="BK219" s="319">
        <f t="shared" si="1142"/>
        <v>3495797</v>
      </c>
      <c r="BL219" s="319">
        <v>3495797</v>
      </c>
      <c r="BM219" s="319">
        <v>0</v>
      </c>
      <c r="BN219" s="319">
        <v>0</v>
      </c>
      <c r="BO219" s="319">
        <f>BN219+BM219+BL219</f>
        <v>3495797</v>
      </c>
      <c r="BP219" s="319">
        <f>BO219-BK219</f>
        <v>0</v>
      </c>
      <c r="BQ219" s="319">
        <v>3495797</v>
      </c>
      <c r="BR219" s="319">
        <v>0</v>
      </c>
      <c r="BS219" s="319">
        <v>0</v>
      </c>
      <c r="BT219" s="319">
        <f>BS219+BR219+BQ219</f>
        <v>3495797</v>
      </c>
      <c r="BU219" s="319">
        <f>BT219-BO219</f>
        <v>0</v>
      </c>
      <c r="BV219" s="319">
        <v>3495797</v>
      </c>
      <c r="BW219" s="319">
        <v>0</v>
      </c>
      <c r="BX219" s="319">
        <v>0</v>
      </c>
      <c r="BY219" s="319">
        <f>BX219+BW219+BV219</f>
        <v>3495797</v>
      </c>
      <c r="BZ219" s="319">
        <f>BY219-BT219</f>
        <v>0</v>
      </c>
      <c r="CA219" s="319">
        <v>3495797</v>
      </c>
      <c r="CB219" s="319">
        <v>0</v>
      </c>
      <c r="CC219" s="319">
        <v>0</v>
      </c>
      <c r="CD219" s="319">
        <f>CC219+CB219+CA219</f>
        <v>3495797</v>
      </c>
      <c r="CE219" s="319">
        <f>CD219-BY219</f>
        <v>0</v>
      </c>
      <c r="CF219" s="319">
        <v>3495797</v>
      </c>
      <c r="CG219" s="319">
        <v>0</v>
      </c>
      <c r="CH219" s="319">
        <v>0</v>
      </c>
      <c r="CI219" s="319">
        <f>CH219+CG219+CF219</f>
        <v>3495797</v>
      </c>
      <c r="CJ219" s="319">
        <f>CI219-CD219</f>
        <v>0</v>
      </c>
      <c r="CK219" s="319">
        <v>3495797</v>
      </c>
      <c r="CL219" s="319">
        <v>0</v>
      </c>
      <c r="CM219" s="319">
        <v>0</v>
      </c>
      <c r="CN219" s="319">
        <f>CM219+CL219+CK219</f>
        <v>3495797</v>
      </c>
      <c r="CO219" s="319">
        <f>CN219-CI219</f>
        <v>0</v>
      </c>
      <c r="CP219" s="319">
        <v>3495797</v>
      </c>
      <c r="CQ219" s="319">
        <v>0</v>
      </c>
      <c r="CR219" s="319">
        <v>0</v>
      </c>
      <c r="CS219" s="319">
        <f t="shared" si="1152"/>
        <v>3495797</v>
      </c>
      <c r="CT219" s="319">
        <f t="shared" si="1153"/>
        <v>0</v>
      </c>
      <c r="CU219" s="319">
        <v>3495797</v>
      </c>
      <c r="CV219" s="319">
        <v>0</v>
      </c>
      <c r="CW219" s="319">
        <v>0</v>
      </c>
      <c r="CX219" s="319">
        <f t="shared" si="1154"/>
        <v>3495797</v>
      </c>
      <c r="CY219" s="319">
        <f t="shared" si="1155"/>
        <v>0</v>
      </c>
      <c r="CZ219" s="319"/>
      <c r="DA219" s="319"/>
      <c r="DB219" s="319"/>
      <c r="DC219" s="12">
        <f t="shared" si="1179"/>
        <v>349579.7</v>
      </c>
      <c r="DD219" s="12">
        <v>0.7</v>
      </c>
      <c r="DE219" s="13">
        <f t="shared" si="1180"/>
        <v>349579</v>
      </c>
      <c r="DF219" s="14">
        <f t="shared" si="1156"/>
        <v>349579</v>
      </c>
      <c r="DG219" s="13">
        <f t="shared" si="1157"/>
        <v>3845376</v>
      </c>
      <c r="DH219" s="15">
        <f t="shared" si="1158"/>
        <v>0.27345160693120518</v>
      </c>
      <c r="DI219" s="16">
        <f t="shared" si="1159"/>
        <v>3495797</v>
      </c>
      <c r="DJ219" s="132">
        <f t="shared" si="1181"/>
        <v>3845376.7</v>
      </c>
      <c r="DK219" s="17">
        <f t="shared" si="1182"/>
        <v>349579.70000000019</v>
      </c>
      <c r="DL219" s="17">
        <f t="shared" si="1160"/>
        <v>0.7</v>
      </c>
      <c r="DM219" s="16">
        <f t="shared" si="1183"/>
        <v>349579.00000000017</v>
      </c>
      <c r="DN219" s="16">
        <f t="shared" si="1161"/>
        <v>0</v>
      </c>
      <c r="DO219" s="16">
        <f t="shared" si="1184"/>
        <v>3845376</v>
      </c>
      <c r="DP219" s="16">
        <f t="shared" si="1162"/>
        <v>0</v>
      </c>
      <c r="DQ219" s="9">
        <v>3845376</v>
      </c>
      <c r="DR219" s="18" t="s">
        <v>238</v>
      </c>
      <c r="DS219" s="18" t="s">
        <v>238</v>
      </c>
      <c r="DT219" s="324">
        <f t="shared" si="1185"/>
        <v>3845376</v>
      </c>
      <c r="DU219" s="321">
        <f t="shared" si="1186"/>
        <v>3845376</v>
      </c>
      <c r="DV219" s="19">
        <f t="shared" si="1187"/>
        <v>0</v>
      </c>
      <c r="DW219" s="9">
        <v>3845376</v>
      </c>
      <c r="DX219" s="18"/>
      <c r="DY219" s="18"/>
      <c r="DZ219" s="324">
        <f t="shared" si="1188"/>
        <v>3845376</v>
      </c>
      <c r="EA219" s="321">
        <f t="shared" si="1189"/>
        <v>3845376</v>
      </c>
      <c r="EB219" s="179">
        <f t="shared" si="1163"/>
        <v>0</v>
      </c>
      <c r="EC219" s="9">
        <v>3845376</v>
      </c>
      <c r="ED219" s="18" t="s">
        <v>238</v>
      </c>
      <c r="EE219" s="18" t="s">
        <v>238</v>
      </c>
      <c r="EF219" s="324">
        <f t="shared" si="1190"/>
        <v>3845376</v>
      </c>
      <c r="EG219" s="321">
        <f t="shared" si="1191"/>
        <v>3845376</v>
      </c>
      <c r="EH219" s="179">
        <f t="shared" si="1164"/>
        <v>0</v>
      </c>
      <c r="EI219" s="9">
        <v>3845376</v>
      </c>
      <c r="EJ219" s="18" t="s">
        <v>238</v>
      </c>
      <c r="EK219" s="18" t="s">
        <v>238</v>
      </c>
      <c r="EL219" s="324">
        <f t="shared" si="1192"/>
        <v>3845376</v>
      </c>
      <c r="EM219" s="321">
        <f t="shared" si="1193"/>
        <v>3845376</v>
      </c>
      <c r="EN219" s="179">
        <f t="shared" si="1165"/>
        <v>0</v>
      </c>
      <c r="EO219" s="9">
        <v>3845376</v>
      </c>
      <c r="EP219" s="18" t="s">
        <v>238</v>
      </c>
      <c r="EQ219" s="18" t="s">
        <v>238</v>
      </c>
      <c r="ER219" s="324">
        <f t="shared" si="1194"/>
        <v>3845376</v>
      </c>
      <c r="ES219" s="321">
        <f t="shared" si="1195"/>
        <v>3845376</v>
      </c>
      <c r="ET219" s="179">
        <f t="shared" si="1166"/>
        <v>0</v>
      </c>
      <c r="EU219" s="9">
        <v>3845376</v>
      </c>
      <c r="EV219" s="18" t="s">
        <v>238</v>
      </c>
      <c r="EW219" s="18" t="s">
        <v>238</v>
      </c>
      <c r="EX219" s="324">
        <f t="shared" si="1196"/>
        <v>3845376</v>
      </c>
      <c r="EY219" s="321">
        <f t="shared" si="1197"/>
        <v>3845376</v>
      </c>
      <c r="EZ219" s="179">
        <f t="shared" si="1167"/>
        <v>0</v>
      </c>
      <c r="FA219" s="9">
        <v>0</v>
      </c>
      <c r="FB219" s="18" t="s">
        <v>238</v>
      </c>
      <c r="FC219" s="18" t="s">
        <v>238</v>
      </c>
      <c r="FD219" s="324">
        <f t="shared" si="1198"/>
        <v>0</v>
      </c>
      <c r="FE219" s="321">
        <f t="shared" si="1199"/>
        <v>0</v>
      </c>
      <c r="FF219" s="22">
        <f t="shared" si="1168"/>
        <v>-3845376</v>
      </c>
      <c r="FG219" s="9">
        <v>0</v>
      </c>
      <c r="FH219" s="18" t="s">
        <v>238</v>
      </c>
      <c r="FI219" s="18" t="s">
        <v>238</v>
      </c>
      <c r="FJ219" s="324">
        <f t="shared" si="1200"/>
        <v>0</v>
      </c>
      <c r="FK219" s="321">
        <f t="shared" si="1201"/>
        <v>0</v>
      </c>
      <c r="FL219" s="179">
        <f t="shared" si="1169"/>
        <v>0</v>
      </c>
      <c r="FM219" s="18" t="s">
        <v>238</v>
      </c>
      <c r="FN219" s="18" t="s">
        <v>238</v>
      </c>
      <c r="FO219" s="18" t="s">
        <v>238</v>
      </c>
      <c r="FP219" s="324">
        <f t="shared" si="1202"/>
        <v>0</v>
      </c>
      <c r="FQ219" s="321">
        <f t="shared" si="1203"/>
        <v>0</v>
      </c>
      <c r="FR219" s="179">
        <f t="shared" si="1170"/>
        <v>0</v>
      </c>
      <c r="FS219" s="18" t="s">
        <v>238</v>
      </c>
      <c r="FT219" s="18" t="s">
        <v>238</v>
      </c>
      <c r="FU219" s="18" t="s">
        <v>238</v>
      </c>
      <c r="FV219" s="324">
        <f t="shared" si="1204"/>
        <v>0</v>
      </c>
      <c r="FW219" s="321">
        <f t="shared" si="1205"/>
        <v>0</v>
      </c>
      <c r="FX219" s="179">
        <f t="shared" si="1171"/>
        <v>0</v>
      </c>
      <c r="FY219" s="18" t="s">
        <v>238</v>
      </c>
      <c r="FZ219" s="18" t="s">
        <v>238</v>
      </c>
      <c r="GA219" s="18" t="s">
        <v>238</v>
      </c>
      <c r="GB219" s="324">
        <f t="shared" si="1206"/>
        <v>0</v>
      </c>
      <c r="GC219" s="321">
        <f t="shared" si="1207"/>
        <v>0</v>
      </c>
      <c r="GD219" s="179">
        <f t="shared" si="1172"/>
        <v>0</v>
      </c>
      <c r="GE219" s="18" t="s">
        <v>238</v>
      </c>
      <c r="GF219" s="18" t="s">
        <v>238</v>
      </c>
      <c r="GG219" s="18" t="s">
        <v>238</v>
      </c>
      <c r="GH219" s="324">
        <f t="shared" si="1208"/>
        <v>0</v>
      </c>
      <c r="GI219" s="321">
        <f t="shared" si="1209"/>
        <v>0</v>
      </c>
      <c r="GJ219" s="179">
        <f t="shared" si="1173"/>
        <v>0</v>
      </c>
      <c r="GK219" s="18" t="s">
        <v>238</v>
      </c>
      <c r="GL219" s="18" t="s">
        <v>238</v>
      </c>
      <c r="GM219" s="18" t="s">
        <v>238</v>
      </c>
      <c r="GN219" s="324">
        <f t="shared" si="1210"/>
        <v>0</v>
      </c>
      <c r="GO219" s="321">
        <f t="shared" si="1211"/>
        <v>0</v>
      </c>
      <c r="GP219" s="179">
        <f t="shared" si="1174"/>
        <v>0</v>
      </c>
      <c r="GQ219" s="18" t="s">
        <v>238</v>
      </c>
      <c r="GR219" s="18" t="s">
        <v>238</v>
      </c>
      <c r="GS219" s="18" t="s">
        <v>238</v>
      </c>
      <c r="GT219" s="324">
        <f t="shared" si="1212"/>
        <v>0</v>
      </c>
      <c r="GU219" s="321">
        <f t="shared" si="1213"/>
        <v>0</v>
      </c>
      <c r="GV219" s="179">
        <f t="shared" si="1175"/>
        <v>0</v>
      </c>
      <c r="GW219" s="18" t="s">
        <v>238</v>
      </c>
      <c r="GX219" s="18" t="s">
        <v>238</v>
      </c>
      <c r="GY219" s="18" t="s">
        <v>238</v>
      </c>
      <c r="GZ219" s="324">
        <f t="shared" si="1214"/>
        <v>0</v>
      </c>
      <c r="HA219" s="321">
        <f t="shared" si="1215"/>
        <v>0</v>
      </c>
      <c r="HB219" s="179">
        <f t="shared" si="1176"/>
        <v>0</v>
      </c>
      <c r="HC219" s="102">
        <f t="shared" si="1177"/>
        <v>0</v>
      </c>
      <c r="HD219" s="285">
        <f t="shared" ref="HD219:HD229" si="1216">HB219-HO219</f>
        <v>0</v>
      </c>
      <c r="HE219" s="12">
        <f t="shared" ref="HE219:HE229" si="1217">GT219*0.05</f>
        <v>0</v>
      </c>
      <c r="HF219" s="12">
        <f t="shared" si="1178"/>
        <v>0</v>
      </c>
      <c r="HG219" s="12">
        <f t="shared" ref="HG219:HG229" si="1218">HE219-HF219</f>
        <v>0</v>
      </c>
      <c r="HH219" s="14">
        <f t="shared" ref="HH219:HH229" si="1219">HG219:HG219</f>
        <v>0</v>
      </c>
      <c r="HI219" s="13">
        <f t="shared" ref="HI219:HI229" si="1220">HG219+GT219</f>
        <v>0</v>
      </c>
      <c r="HJ219" s="102">
        <f t="shared" ref="HJ219:HJ229" si="1221">100/1406236643.9*HI219</f>
        <v>0</v>
      </c>
      <c r="HK219" s="16">
        <f t="shared" ref="HK219:HK229" si="1222">GT219</f>
        <v>0</v>
      </c>
      <c r="HL219" s="103">
        <f t="shared" ref="HL219:HL229" si="1223">HK219*1.05</f>
        <v>0</v>
      </c>
      <c r="HM219" s="103">
        <f t="shared" ref="HM219:HM229" si="1224">HL219-HK219</f>
        <v>0</v>
      </c>
      <c r="HN219" s="17">
        <f t="shared" ref="HN219:HN229" si="1225">HF219</f>
        <v>0</v>
      </c>
      <c r="HO219" s="56">
        <f t="shared" ref="HO219:HO229" si="1226">HM219-HN219</f>
        <v>0</v>
      </c>
      <c r="HP219" s="16">
        <f t="shared" ref="HP219:HP229" si="1227">HO219-HG219</f>
        <v>0</v>
      </c>
      <c r="HQ219" s="16">
        <f t="shared" ref="HQ219:HQ229" si="1228">HO219+HK219</f>
        <v>0</v>
      </c>
      <c r="HR219" s="16">
        <f t="shared" ref="HR219:HR229" si="1229">HQ219-HI219</f>
        <v>0</v>
      </c>
    </row>
    <row r="220" spans="1:226" x14ac:dyDescent="0.3">
      <c r="A220" s="310">
        <v>6</v>
      </c>
      <c r="B220" s="134"/>
      <c r="C220" s="310" t="s">
        <v>324</v>
      </c>
      <c r="D220" s="2" t="s">
        <v>159</v>
      </c>
      <c r="E220" s="9"/>
      <c r="F220" s="9"/>
      <c r="G220" s="9"/>
      <c r="H220" s="324"/>
      <c r="I220" s="324">
        <v>990000</v>
      </c>
      <c r="J220" s="324"/>
      <c r="K220" s="324"/>
      <c r="L220" s="324">
        <v>990000</v>
      </c>
      <c r="M220" s="23">
        <v>900000</v>
      </c>
      <c r="N220" s="23">
        <v>700000</v>
      </c>
      <c r="O220" s="298">
        <v>700000</v>
      </c>
      <c r="P220" s="298">
        <v>700000</v>
      </c>
      <c r="Q220" s="298">
        <v>700000</v>
      </c>
      <c r="R220" s="298">
        <v>700000</v>
      </c>
      <c r="S220" s="298">
        <v>700000</v>
      </c>
      <c r="T220" s="298">
        <v>700000</v>
      </c>
      <c r="U220" s="298">
        <f t="shared" si="1128"/>
        <v>35000</v>
      </c>
      <c r="V220" s="298">
        <f t="shared" si="1129"/>
        <v>735000</v>
      </c>
      <c r="W220" s="298">
        <v>735000</v>
      </c>
      <c r="X220" s="298">
        <v>735000</v>
      </c>
      <c r="Y220" s="298">
        <v>735000</v>
      </c>
      <c r="Z220" s="298">
        <v>735000</v>
      </c>
      <c r="AA220" s="298">
        <v>735000</v>
      </c>
      <c r="AB220" s="298">
        <v>735000</v>
      </c>
      <c r="AC220" s="9">
        <v>0</v>
      </c>
      <c r="AD220" s="9">
        <v>0</v>
      </c>
      <c r="AE220" s="298">
        <f t="shared" si="1130"/>
        <v>735000</v>
      </c>
      <c r="AF220" s="298">
        <v>735000</v>
      </c>
      <c r="AG220" s="9">
        <v>0</v>
      </c>
      <c r="AH220" s="9">
        <v>0</v>
      </c>
      <c r="AI220" s="298">
        <f t="shared" si="1131"/>
        <v>735000</v>
      </c>
      <c r="AJ220" s="298">
        <v>735000</v>
      </c>
      <c r="AK220" s="9">
        <v>0</v>
      </c>
      <c r="AL220" s="9">
        <v>0</v>
      </c>
      <c r="AM220" s="298">
        <f t="shared" si="1132"/>
        <v>735000</v>
      </c>
      <c r="AN220" s="325">
        <v>535000</v>
      </c>
      <c r="AO220" s="9">
        <v>0</v>
      </c>
      <c r="AP220" s="9">
        <v>0</v>
      </c>
      <c r="AQ220" s="298">
        <f t="shared" si="1133"/>
        <v>535000</v>
      </c>
      <c r="AR220" s="325">
        <v>535000</v>
      </c>
      <c r="AS220" s="9">
        <v>0</v>
      </c>
      <c r="AT220" s="9">
        <v>0</v>
      </c>
      <c r="AU220" s="298">
        <f t="shared" si="1134"/>
        <v>535000</v>
      </c>
      <c r="AV220" s="325">
        <v>535000</v>
      </c>
      <c r="AW220" s="9">
        <v>0</v>
      </c>
      <c r="AX220" s="9">
        <v>0</v>
      </c>
      <c r="AY220" s="7">
        <f t="shared" si="1135"/>
        <v>535000</v>
      </c>
      <c r="AZ220" s="8">
        <f t="shared" si="1136"/>
        <v>26750</v>
      </c>
      <c r="BA220" s="8"/>
      <c r="BB220" s="8">
        <f t="shared" si="1137"/>
        <v>26750</v>
      </c>
      <c r="BC220" s="8">
        <f t="shared" si="1138"/>
        <v>561750</v>
      </c>
      <c r="BD220" s="8"/>
      <c r="BE220" s="8">
        <f t="shared" si="1139"/>
        <v>561750</v>
      </c>
      <c r="BF220" s="10">
        <f t="shared" si="1140"/>
        <v>26750</v>
      </c>
      <c r="BG220" s="11">
        <f t="shared" si="1141"/>
        <v>0</v>
      </c>
      <c r="BH220" s="319">
        <v>561750</v>
      </c>
      <c r="BI220" s="324">
        <v>0</v>
      </c>
      <c r="BJ220" s="324">
        <v>0</v>
      </c>
      <c r="BK220" s="319">
        <f t="shared" si="1142"/>
        <v>561750</v>
      </c>
      <c r="BL220" s="319">
        <v>561750</v>
      </c>
      <c r="BM220" s="319">
        <v>0</v>
      </c>
      <c r="BN220" s="319">
        <v>0</v>
      </c>
      <c r="BO220" s="319">
        <f>BN220+BM220+BL220</f>
        <v>561750</v>
      </c>
      <c r="BP220" s="319">
        <f>BO220-BK220</f>
        <v>0</v>
      </c>
      <c r="BQ220" s="319">
        <v>561750</v>
      </c>
      <c r="BR220" s="319">
        <v>0</v>
      </c>
      <c r="BS220" s="319">
        <v>0</v>
      </c>
      <c r="BT220" s="319">
        <f>BS220+BR220+BQ220</f>
        <v>561750</v>
      </c>
      <c r="BU220" s="319">
        <f>BT220-BO220</f>
        <v>0</v>
      </c>
      <c r="BV220" s="319">
        <v>561750</v>
      </c>
      <c r="BW220" s="319">
        <v>0</v>
      </c>
      <c r="BX220" s="319">
        <v>0</v>
      </c>
      <c r="BY220" s="319">
        <f>BX220+BW220+BV220</f>
        <v>561750</v>
      </c>
      <c r="BZ220" s="319">
        <f>BY220-BT220</f>
        <v>0</v>
      </c>
      <c r="CA220" s="319">
        <v>561750</v>
      </c>
      <c r="CB220" s="319">
        <v>0</v>
      </c>
      <c r="CC220" s="319">
        <v>0</v>
      </c>
      <c r="CD220" s="319">
        <f>CC220+CB220+CA220</f>
        <v>561750</v>
      </c>
      <c r="CE220" s="319">
        <f>CD220-BY220</f>
        <v>0</v>
      </c>
      <c r="CF220" s="319">
        <v>561750</v>
      </c>
      <c r="CG220" s="319">
        <v>0</v>
      </c>
      <c r="CH220" s="319">
        <v>0</v>
      </c>
      <c r="CI220" s="319">
        <f>CH220+CG220+CF220</f>
        <v>561750</v>
      </c>
      <c r="CJ220" s="319">
        <f>CI220-CD220</f>
        <v>0</v>
      </c>
      <c r="CK220" s="319">
        <v>561750</v>
      </c>
      <c r="CL220" s="319">
        <v>0</v>
      </c>
      <c r="CM220" s="319">
        <v>0</v>
      </c>
      <c r="CN220" s="319">
        <f>CM220+CL220+CK220</f>
        <v>561750</v>
      </c>
      <c r="CO220" s="319">
        <f>CN220-CI220</f>
        <v>0</v>
      </c>
      <c r="CP220" s="319">
        <v>561750</v>
      </c>
      <c r="CQ220" s="319">
        <v>0</v>
      </c>
      <c r="CR220" s="319">
        <v>0</v>
      </c>
      <c r="CS220" s="319">
        <f t="shared" si="1152"/>
        <v>561750</v>
      </c>
      <c r="CT220" s="319">
        <f t="shared" si="1153"/>
        <v>0</v>
      </c>
      <c r="CU220" s="319">
        <v>561750</v>
      </c>
      <c r="CV220" s="319">
        <v>0</v>
      </c>
      <c r="CW220" s="319">
        <v>0</v>
      </c>
      <c r="CX220" s="319">
        <f t="shared" si="1154"/>
        <v>561750</v>
      </c>
      <c r="CY220" s="319">
        <f t="shared" si="1155"/>
        <v>0</v>
      </c>
      <c r="CZ220" s="319"/>
      <c r="DA220" s="319"/>
      <c r="DB220" s="319"/>
      <c r="DC220" s="12">
        <f t="shared" si="1179"/>
        <v>56175</v>
      </c>
      <c r="DD220" s="12">
        <v>0</v>
      </c>
      <c r="DE220" s="13">
        <f t="shared" si="1180"/>
        <v>56175</v>
      </c>
      <c r="DF220" s="14">
        <f t="shared" si="1156"/>
        <v>56175</v>
      </c>
      <c r="DG220" s="13">
        <f t="shared" si="1157"/>
        <v>617925</v>
      </c>
      <c r="DH220" s="15">
        <f t="shared" si="1158"/>
        <v>4.3941750677629315E-2</v>
      </c>
      <c r="DI220" s="16">
        <f t="shared" si="1159"/>
        <v>561750</v>
      </c>
      <c r="DJ220" s="132">
        <f t="shared" si="1181"/>
        <v>617925</v>
      </c>
      <c r="DK220" s="17">
        <f t="shared" si="1182"/>
        <v>56175</v>
      </c>
      <c r="DL220" s="17">
        <f t="shared" si="1160"/>
        <v>0</v>
      </c>
      <c r="DM220" s="16">
        <f t="shared" si="1183"/>
        <v>56175</v>
      </c>
      <c r="DN220" s="16">
        <f t="shared" si="1161"/>
        <v>0</v>
      </c>
      <c r="DO220" s="16">
        <f t="shared" si="1184"/>
        <v>617925</v>
      </c>
      <c r="DP220" s="16">
        <f t="shared" si="1162"/>
        <v>0</v>
      </c>
      <c r="DQ220" s="9">
        <v>617925</v>
      </c>
      <c r="DR220" s="18" t="s">
        <v>238</v>
      </c>
      <c r="DS220" s="18" t="s">
        <v>238</v>
      </c>
      <c r="DT220" s="324">
        <f t="shared" si="1185"/>
        <v>617925</v>
      </c>
      <c r="DU220" s="321">
        <f t="shared" si="1186"/>
        <v>617925</v>
      </c>
      <c r="DV220" s="19">
        <f t="shared" si="1187"/>
        <v>0</v>
      </c>
      <c r="DW220" s="9">
        <v>617925</v>
      </c>
      <c r="DX220" s="18"/>
      <c r="DY220" s="18"/>
      <c r="DZ220" s="324">
        <f t="shared" si="1188"/>
        <v>617925</v>
      </c>
      <c r="EA220" s="321">
        <f t="shared" si="1189"/>
        <v>617925</v>
      </c>
      <c r="EB220" s="179">
        <f t="shared" si="1163"/>
        <v>0</v>
      </c>
      <c r="EC220" s="9">
        <v>617925</v>
      </c>
      <c r="ED220" s="18" t="s">
        <v>238</v>
      </c>
      <c r="EE220" s="18" t="s">
        <v>238</v>
      </c>
      <c r="EF220" s="324">
        <f t="shared" si="1190"/>
        <v>617925</v>
      </c>
      <c r="EG220" s="321">
        <f t="shared" si="1191"/>
        <v>617925</v>
      </c>
      <c r="EH220" s="179">
        <f t="shared" si="1164"/>
        <v>0</v>
      </c>
      <c r="EI220" s="9">
        <v>617925</v>
      </c>
      <c r="EJ220" s="18" t="s">
        <v>238</v>
      </c>
      <c r="EK220" s="18" t="s">
        <v>238</v>
      </c>
      <c r="EL220" s="324">
        <f t="shared" si="1192"/>
        <v>617925</v>
      </c>
      <c r="EM220" s="321">
        <f t="shared" si="1193"/>
        <v>617925</v>
      </c>
      <c r="EN220" s="179">
        <f t="shared" si="1165"/>
        <v>0</v>
      </c>
      <c r="EO220" s="9">
        <v>317925</v>
      </c>
      <c r="EP220" s="18" t="s">
        <v>238</v>
      </c>
      <c r="EQ220" s="18" t="s">
        <v>238</v>
      </c>
      <c r="ER220" s="324">
        <f t="shared" si="1194"/>
        <v>317925</v>
      </c>
      <c r="ES220" s="321">
        <f t="shared" si="1195"/>
        <v>317925</v>
      </c>
      <c r="ET220" s="22">
        <f t="shared" si="1166"/>
        <v>-300000</v>
      </c>
      <c r="EU220" s="9">
        <v>317925</v>
      </c>
      <c r="EV220" s="18" t="s">
        <v>238</v>
      </c>
      <c r="EW220" s="18" t="s">
        <v>238</v>
      </c>
      <c r="EX220" s="324">
        <f t="shared" si="1196"/>
        <v>317925</v>
      </c>
      <c r="EY220" s="321">
        <f t="shared" si="1197"/>
        <v>317925</v>
      </c>
      <c r="EZ220" s="179">
        <f t="shared" si="1167"/>
        <v>0</v>
      </c>
      <c r="FA220" s="9">
        <v>317925</v>
      </c>
      <c r="FB220" s="18" t="s">
        <v>238</v>
      </c>
      <c r="FC220" s="18" t="s">
        <v>238</v>
      </c>
      <c r="FD220" s="324">
        <f t="shared" si="1198"/>
        <v>317925</v>
      </c>
      <c r="FE220" s="321">
        <f t="shared" si="1199"/>
        <v>317925</v>
      </c>
      <c r="FF220" s="179">
        <f t="shared" si="1168"/>
        <v>0</v>
      </c>
      <c r="FG220" s="9">
        <v>317925</v>
      </c>
      <c r="FH220" s="18" t="s">
        <v>238</v>
      </c>
      <c r="FI220" s="18" t="s">
        <v>238</v>
      </c>
      <c r="FJ220" s="324">
        <f t="shared" si="1200"/>
        <v>317925</v>
      </c>
      <c r="FK220" s="321">
        <f t="shared" si="1201"/>
        <v>317925</v>
      </c>
      <c r="FL220" s="179">
        <f t="shared" si="1169"/>
        <v>0</v>
      </c>
      <c r="FM220" s="9">
        <v>317925</v>
      </c>
      <c r="FN220" s="18" t="s">
        <v>238</v>
      </c>
      <c r="FO220" s="18" t="s">
        <v>238</v>
      </c>
      <c r="FP220" s="324">
        <f t="shared" si="1202"/>
        <v>317925</v>
      </c>
      <c r="FQ220" s="321">
        <f t="shared" si="1203"/>
        <v>317925</v>
      </c>
      <c r="FR220" s="179">
        <f t="shared" si="1170"/>
        <v>0</v>
      </c>
      <c r="FS220" s="9">
        <v>317925</v>
      </c>
      <c r="FT220" s="18" t="s">
        <v>238</v>
      </c>
      <c r="FU220" s="18" t="s">
        <v>238</v>
      </c>
      <c r="FV220" s="324">
        <f t="shared" si="1204"/>
        <v>317925</v>
      </c>
      <c r="FW220" s="321">
        <f t="shared" si="1205"/>
        <v>317925</v>
      </c>
      <c r="FX220" s="179">
        <f t="shared" si="1171"/>
        <v>0</v>
      </c>
      <c r="FY220" s="9">
        <v>317925</v>
      </c>
      <c r="FZ220" s="18" t="s">
        <v>238</v>
      </c>
      <c r="GA220" s="18" t="s">
        <v>238</v>
      </c>
      <c r="GB220" s="324">
        <f t="shared" si="1206"/>
        <v>317925</v>
      </c>
      <c r="GC220" s="321">
        <f t="shared" si="1207"/>
        <v>317925</v>
      </c>
      <c r="GD220" s="179">
        <f t="shared" si="1172"/>
        <v>0</v>
      </c>
      <c r="GE220" s="9">
        <v>317925</v>
      </c>
      <c r="GF220" s="18" t="s">
        <v>238</v>
      </c>
      <c r="GG220" s="18" t="s">
        <v>238</v>
      </c>
      <c r="GH220" s="324">
        <f t="shared" si="1208"/>
        <v>317925</v>
      </c>
      <c r="GI220" s="321">
        <f t="shared" si="1209"/>
        <v>317925</v>
      </c>
      <c r="GJ220" s="179">
        <f t="shared" si="1173"/>
        <v>0</v>
      </c>
      <c r="GK220" s="9">
        <v>317925</v>
      </c>
      <c r="GL220" s="18" t="s">
        <v>238</v>
      </c>
      <c r="GM220" s="18" t="s">
        <v>238</v>
      </c>
      <c r="GN220" s="324">
        <f t="shared" si="1210"/>
        <v>317925</v>
      </c>
      <c r="GO220" s="321">
        <f t="shared" si="1211"/>
        <v>317925</v>
      </c>
      <c r="GP220" s="179">
        <f t="shared" si="1174"/>
        <v>0</v>
      </c>
      <c r="GQ220" s="9">
        <v>317925</v>
      </c>
      <c r="GR220" s="18" t="s">
        <v>238</v>
      </c>
      <c r="GS220" s="18" t="s">
        <v>238</v>
      </c>
      <c r="GT220" s="324">
        <f t="shared" si="1212"/>
        <v>317925</v>
      </c>
      <c r="GU220" s="321">
        <f t="shared" si="1213"/>
        <v>317925</v>
      </c>
      <c r="GV220" s="179">
        <f t="shared" si="1175"/>
        <v>0</v>
      </c>
      <c r="GW220" s="9">
        <v>333821</v>
      </c>
      <c r="GX220" s="18" t="s">
        <v>238</v>
      </c>
      <c r="GY220" s="18" t="s">
        <v>238</v>
      </c>
      <c r="GZ220" s="324">
        <f t="shared" si="1214"/>
        <v>333821</v>
      </c>
      <c r="HA220" s="321">
        <f t="shared" si="1215"/>
        <v>333821</v>
      </c>
      <c r="HB220" s="179">
        <f t="shared" si="1176"/>
        <v>15896</v>
      </c>
      <c r="HC220" s="102">
        <f t="shared" si="1177"/>
        <v>2.2608214725387869E-2</v>
      </c>
      <c r="HD220" s="285">
        <f t="shared" si="1216"/>
        <v>0</v>
      </c>
      <c r="HE220" s="12">
        <f t="shared" si="1217"/>
        <v>15896.25</v>
      </c>
      <c r="HF220" s="12">
        <f t="shared" si="1178"/>
        <v>0.25</v>
      </c>
      <c r="HG220" s="12">
        <f t="shared" si="1218"/>
        <v>15896</v>
      </c>
      <c r="HH220" s="14">
        <f t="shared" si="1219"/>
        <v>15896</v>
      </c>
      <c r="HI220" s="13">
        <f t="shared" si="1220"/>
        <v>333821</v>
      </c>
      <c r="HJ220" s="102">
        <f t="shared" si="1221"/>
        <v>2.3738607683710639E-2</v>
      </c>
      <c r="HK220" s="16">
        <f t="shared" si="1222"/>
        <v>317925</v>
      </c>
      <c r="HL220" s="103">
        <f t="shared" si="1223"/>
        <v>333821.25</v>
      </c>
      <c r="HM220" s="103">
        <f t="shared" si="1224"/>
        <v>15896.25</v>
      </c>
      <c r="HN220" s="17">
        <f t="shared" si="1225"/>
        <v>0.25</v>
      </c>
      <c r="HO220" s="56">
        <f t="shared" si="1226"/>
        <v>15896</v>
      </c>
      <c r="HP220" s="16">
        <f t="shared" si="1227"/>
        <v>0</v>
      </c>
      <c r="HQ220" s="16">
        <f t="shared" si="1228"/>
        <v>333821</v>
      </c>
      <c r="HR220" s="16">
        <f t="shared" si="1229"/>
        <v>0</v>
      </c>
    </row>
    <row r="221" spans="1:226" x14ac:dyDescent="0.3">
      <c r="A221" s="310">
        <v>3</v>
      </c>
      <c r="B221" s="104" t="s">
        <v>154</v>
      </c>
      <c r="C221" s="310" t="s">
        <v>339</v>
      </c>
      <c r="D221" s="2" t="s">
        <v>155</v>
      </c>
      <c r="E221" s="9"/>
      <c r="F221" s="9"/>
      <c r="G221" s="9"/>
      <c r="H221" s="324"/>
      <c r="I221" s="324">
        <v>609483</v>
      </c>
      <c r="J221" s="324"/>
      <c r="K221" s="324"/>
      <c r="L221" s="324">
        <v>609483</v>
      </c>
      <c r="M221" s="23">
        <v>609483</v>
      </c>
      <c r="N221" s="23">
        <v>609483</v>
      </c>
      <c r="O221" s="298">
        <v>609483</v>
      </c>
      <c r="P221" s="298">
        <v>609483</v>
      </c>
      <c r="Q221" s="298">
        <v>609483</v>
      </c>
      <c r="R221" s="298">
        <v>609483</v>
      </c>
      <c r="S221" s="298">
        <v>609483</v>
      </c>
      <c r="T221" s="298">
        <v>609483</v>
      </c>
      <c r="U221" s="298">
        <f t="shared" si="1128"/>
        <v>30474.15</v>
      </c>
      <c r="V221" s="298">
        <f t="shared" si="1129"/>
        <v>639957.15</v>
      </c>
      <c r="W221" s="298">
        <v>639957</v>
      </c>
      <c r="X221" s="298">
        <v>639957</v>
      </c>
      <c r="Y221" s="298">
        <v>639957</v>
      </c>
      <c r="Z221" s="298">
        <v>639957</v>
      </c>
      <c r="AA221" s="23">
        <v>179957</v>
      </c>
      <c r="AB221" s="23">
        <v>179957</v>
      </c>
      <c r="AC221" s="9">
        <v>0</v>
      </c>
      <c r="AD221" s="9">
        <v>0</v>
      </c>
      <c r="AE221" s="298">
        <f t="shared" si="1130"/>
        <v>179957</v>
      </c>
      <c r="AF221" s="23">
        <v>179957</v>
      </c>
      <c r="AG221" s="9">
        <v>0</v>
      </c>
      <c r="AH221" s="9">
        <v>0</v>
      </c>
      <c r="AI221" s="298">
        <f t="shared" si="1131"/>
        <v>179957</v>
      </c>
      <c r="AJ221" s="23">
        <v>179957</v>
      </c>
      <c r="AK221" s="9">
        <v>0</v>
      </c>
      <c r="AL221" s="9">
        <v>0</v>
      </c>
      <c r="AM221" s="298">
        <f t="shared" si="1132"/>
        <v>179957</v>
      </c>
      <c r="AN221" s="298">
        <v>0</v>
      </c>
      <c r="AO221" s="9">
        <v>0</v>
      </c>
      <c r="AP221" s="9">
        <v>0</v>
      </c>
      <c r="AQ221" s="298">
        <f t="shared" si="1133"/>
        <v>0</v>
      </c>
      <c r="AR221" s="23"/>
      <c r="AS221" s="9">
        <v>0</v>
      </c>
      <c r="AT221" s="9">
        <v>0</v>
      </c>
      <c r="AU221" s="298">
        <f t="shared" si="1134"/>
        <v>0</v>
      </c>
      <c r="AV221" s="23"/>
      <c r="AW221" s="9">
        <v>0</v>
      </c>
      <c r="AX221" s="9">
        <v>0</v>
      </c>
      <c r="AY221" s="298">
        <f t="shared" si="1135"/>
        <v>0</v>
      </c>
      <c r="AZ221" s="8">
        <f t="shared" si="1136"/>
        <v>0</v>
      </c>
      <c r="BA221" s="8"/>
      <c r="BB221" s="8">
        <f t="shared" si="1137"/>
        <v>0</v>
      </c>
      <c r="BC221" s="8">
        <f t="shared" si="1138"/>
        <v>0</v>
      </c>
      <c r="BD221" s="8"/>
      <c r="BE221" s="8">
        <f t="shared" si="1139"/>
        <v>0</v>
      </c>
      <c r="BF221" s="10">
        <f t="shared" si="1140"/>
        <v>0</v>
      </c>
      <c r="BG221" s="11">
        <f t="shared" si="1141"/>
        <v>0</v>
      </c>
      <c r="BH221" s="319">
        <v>0</v>
      </c>
      <c r="BI221" s="324">
        <v>0</v>
      </c>
      <c r="BJ221" s="324">
        <v>0</v>
      </c>
      <c r="BK221" s="319">
        <f t="shared" si="1142"/>
        <v>0</v>
      </c>
      <c r="BL221" s="319">
        <v>0</v>
      </c>
      <c r="BM221" s="319">
        <v>0</v>
      </c>
      <c r="BN221" s="319">
        <v>0</v>
      </c>
      <c r="BO221" s="319">
        <f t="shared" si="1143"/>
        <v>0</v>
      </c>
      <c r="BP221" s="319">
        <f t="shared" ref="BP221:BP229" si="1230">BO221-BK221</f>
        <v>0</v>
      </c>
      <c r="BQ221" s="319"/>
      <c r="BR221" s="319">
        <v>0</v>
      </c>
      <c r="BS221" s="319">
        <v>0</v>
      </c>
      <c r="BT221" s="319">
        <f t="shared" si="1144"/>
        <v>0</v>
      </c>
      <c r="BU221" s="319">
        <f t="shared" si="1145"/>
        <v>0</v>
      </c>
      <c r="BV221" s="319">
        <v>0</v>
      </c>
      <c r="BW221" s="319">
        <v>0</v>
      </c>
      <c r="BX221" s="319">
        <v>0</v>
      </c>
      <c r="BY221" s="319">
        <f t="shared" si="1146"/>
        <v>0</v>
      </c>
      <c r="BZ221" s="319">
        <f t="shared" si="1147"/>
        <v>0</v>
      </c>
      <c r="CA221" s="319">
        <v>0</v>
      </c>
      <c r="CB221" s="319">
        <v>0</v>
      </c>
      <c r="CC221" s="319">
        <v>0</v>
      </c>
      <c r="CD221" s="319">
        <f t="shared" si="1148"/>
        <v>0</v>
      </c>
      <c r="CE221" s="319">
        <f t="shared" si="1149"/>
        <v>0</v>
      </c>
      <c r="CF221" s="319"/>
      <c r="CG221" s="319">
        <v>0</v>
      </c>
      <c r="CH221" s="319">
        <v>0</v>
      </c>
      <c r="CI221" s="319">
        <f t="shared" si="1150"/>
        <v>0</v>
      </c>
      <c r="CJ221" s="319">
        <f t="shared" si="1151"/>
        <v>0</v>
      </c>
      <c r="CK221" s="319">
        <v>0</v>
      </c>
      <c r="CL221" s="319">
        <v>0</v>
      </c>
      <c r="CM221" s="319">
        <v>0</v>
      </c>
      <c r="CN221" s="319">
        <f t="shared" ref="CN221:CN229" si="1231">CM221+CL221+CK221</f>
        <v>0</v>
      </c>
      <c r="CO221" s="319">
        <f t="shared" ref="CO221:CO229" si="1232">CN221-CI221</f>
        <v>0</v>
      </c>
      <c r="CP221" s="319"/>
      <c r="CQ221" s="319">
        <v>0</v>
      </c>
      <c r="CR221" s="319">
        <v>0</v>
      </c>
      <c r="CS221" s="319">
        <f t="shared" si="1152"/>
        <v>0</v>
      </c>
      <c r="CT221" s="319">
        <f t="shared" si="1153"/>
        <v>0</v>
      </c>
      <c r="CU221" s="319">
        <v>0</v>
      </c>
      <c r="CV221" s="319">
        <v>0</v>
      </c>
      <c r="CW221" s="319">
        <v>0</v>
      </c>
      <c r="CX221" s="319">
        <f t="shared" si="1154"/>
        <v>0</v>
      </c>
      <c r="CY221" s="319">
        <f t="shared" si="1155"/>
        <v>0</v>
      </c>
      <c r="CZ221" s="319"/>
      <c r="DA221" s="319"/>
      <c r="DB221" s="319"/>
      <c r="DC221" s="12">
        <f t="shared" si="1179"/>
        <v>0</v>
      </c>
      <c r="DD221" s="12">
        <v>0</v>
      </c>
      <c r="DE221" s="13">
        <f t="shared" si="1180"/>
        <v>0</v>
      </c>
      <c r="DF221" s="14">
        <f t="shared" si="1156"/>
        <v>0</v>
      </c>
      <c r="DG221" s="13">
        <f t="shared" si="1157"/>
        <v>0</v>
      </c>
      <c r="DH221" s="15">
        <f t="shared" si="1158"/>
        <v>0</v>
      </c>
      <c r="DI221" s="16">
        <f t="shared" si="1159"/>
        <v>0</v>
      </c>
      <c r="DJ221" s="132">
        <f t="shared" si="1181"/>
        <v>0</v>
      </c>
      <c r="DK221" s="17">
        <f t="shared" si="1182"/>
        <v>0</v>
      </c>
      <c r="DL221" s="17">
        <f t="shared" si="1160"/>
        <v>0</v>
      </c>
      <c r="DM221" s="16">
        <f t="shared" si="1183"/>
        <v>0</v>
      </c>
      <c r="DN221" s="16">
        <f t="shared" si="1161"/>
        <v>0</v>
      </c>
      <c r="DO221" s="16">
        <f t="shared" si="1184"/>
        <v>0</v>
      </c>
      <c r="DP221" s="16">
        <f t="shared" si="1162"/>
        <v>0</v>
      </c>
      <c r="DQ221" s="9">
        <v>0</v>
      </c>
      <c r="DR221" s="18" t="s">
        <v>238</v>
      </c>
      <c r="DS221" s="18" t="s">
        <v>238</v>
      </c>
      <c r="DT221" s="324">
        <f t="shared" si="1185"/>
        <v>0</v>
      </c>
      <c r="DU221" s="321">
        <f t="shared" si="1186"/>
        <v>0</v>
      </c>
      <c r="DV221" s="19">
        <f t="shared" si="1187"/>
        <v>0</v>
      </c>
      <c r="DW221" s="9"/>
      <c r="DX221" s="18"/>
      <c r="DY221" s="18"/>
      <c r="DZ221" s="324">
        <f t="shared" si="1188"/>
        <v>0</v>
      </c>
      <c r="EA221" s="321">
        <f t="shared" si="1189"/>
        <v>0</v>
      </c>
      <c r="EB221" s="179">
        <f t="shared" si="1163"/>
        <v>0</v>
      </c>
      <c r="EC221" s="9">
        <v>0</v>
      </c>
      <c r="ED221" s="18" t="s">
        <v>238</v>
      </c>
      <c r="EE221" s="18" t="s">
        <v>238</v>
      </c>
      <c r="EF221" s="324">
        <f t="shared" si="1190"/>
        <v>0</v>
      </c>
      <c r="EG221" s="321">
        <f t="shared" si="1191"/>
        <v>0</v>
      </c>
      <c r="EH221" s="179">
        <f t="shared" si="1164"/>
        <v>0</v>
      </c>
      <c r="EI221" s="9">
        <v>0</v>
      </c>
      <c r="EJ221" s="18" t="s">
        <v>238</v>
      </c>
      <c r="EK221" s="18" t="s">
        <v>238</v>
      </c>
      <c r="EL221" s="324">
        <f t="shared" si="1192"/>
        <v>0</v>
      </c>
      <c r="EM221" s="321">
        <f t="shared" si="1193"/>
        <v>0</v>
      </c>
      <c r="EN221" s="179">
        <f t="shared" si="1165"/>
        <v>0</v>
      </c>
      <c r="EO221" s="9">
        <v>0</v>
      </c>
      <c r="EP221" s="18" t="s">
        <v>238</v>
      </c>
      <c r="EQ221" s="18" t="s">
        <v>238</v>
      </c>
      <c r="ER221" s="324">
        <f t="shared" si="1194"/>
        <v>0</v>
      </c>
      <c r="ES221" s="321">
        <f t="shared" si="1195"/>
        <v>0</v>
      </c>
      <c r="ET221" s="179">
        <f t="shared" si="1166"/>
        <v>0</v>
      </c>
      <c r="EU221" s="9">
        <v>0</v>
      </c>
      <c r="EV221" s="18" t="s">
        <v>238</v>
      </c>
      <c r="EW221" s="18" t="s">
        <v>238</v>
      </c>
      <c r="EX221" s="324">
        <f t="shared" si="1196"/>
        <v>0</v>
      </c>
      <c r="EY221" s="321">
        <f t="shared" si="1197"/>
        <v>0</v>
      </c>
      <c r="EZ221" s="179">
        <f t="shared" si="1167"/>
        <v>0</v>
      </c>
      <c r="FA221" s="9">
        <v>0</v>
      </c>
      <c r="FB221" s="18" t="s">
        <v>238</v>
      </c>
      <c r="FC221" s="18" t="s">
        <v>238</v>
      </c>
      <c r="FD221" s="324">
        <f t="shared" si="1198"/>
        <v>0</v>
      </c>
      <c r="FE221" s="321">
        <f t="shared" si="1199"/>
        <v>0</v>
      </c>
      <c r="FF221" s="179">
        <f t="shared" si="1168"/>
        <v>0</v>
      </c>
      <c r="FG221" s="9">
        <v>0</v>
      </c>
      <c r="FH221" s="18" t="s">
        <v>238</v>
      </c>
      <c r="FI221" s="18" t="s">
        <v>238</v>
      </c>
      <c r="FJ221" s="324">
        <f t="shared" si="1200"/>
        <v>0</v>
      </c>
      <c r="FK221" s="321">
        <f t="shared" si="1201"/>
        <v>0</v>
      </c>
      <c r="FL221" s="179">
        <f t="shared" si="1169"/>
        <v>0</v>
      </c>
      <c r="FM221" s="18" t="s">
        <v>238</v>
      </c>
      <c r="FN221" s="18" t="s">
        <v>238</v>
      </c>
      <c r="FO221" s="18" t="s">
        <v>238</v>
      </c>
      <c r="FP221" s="324">
        <f t="shared" si="1202"/>
        <v>0</v>
      </c>
      <c r="FQ221" s="321">
        <f t="shared" si="1203"/>
        <v>0</v>
      </c>
      <c r="FR221" s="179">
        <f t="shared" si="1170"/>
        <v>0</v>
      </c>
      <c r="FS221" s="18" t="s">
        <v>238</v>
      </c>
      <c r="FT221" s="18" t="s">
        <v>238</v>
      </c>
      <c r="FU221" s="18" t="s">
        <v>238</v>
      </c>
      <c r="FV221" s="324">
        <f t="shared" si="1204"/>
        <v>0</v>
      </c>
      <c r="FW221" s="321">
        <f t="shared" si="1205"/>
        <v>0</v>
      </c>
      <c r="FX221" s="179">
        <f t="shared" si="1171"/>
        <v>0</v>
      </c>
      <c r="FY221" s="18" t="s">
        <v>238</v>
      </c>
      <c r="FZ221" s="18" t="s">
        <v>238</v>
      </c>
      <c r="GA221" s="18" t="s">
        <v>238</v>
      </c>
      <c r="GB221" s="324">
        <f t="shared" si="1206"/>
        <v>0</v>
      </c>
      <c r="GC221" s="321">
        <f t="shared" si="1207"/>
        <v>0</v>
      </c>
      <c r="GD221" s="179">
        <f t="shared" si="1172"/>
        <v>0</v>
      </c>
      <c r="GE221" s="18" t="s">
        <v>238</v>
      </c>
      <c r="GF221" s="18" t="s">
        <v>238</v>
      </c>
      <c r="GG221" s="18" t="s">
        <v>238</v>
      </c>
      <c r="GH221" s="324">
        <f t="shared" si="1208"/>
        <v>0</v>
      </c>
      <c r="GI221" s="321">
        <f t="shared" si="1209"/>
        <v>0</v>
      </c>
      <c r="GJ221" s="179">
        <f t="shared" si="1173"/>
        <v>0</v>
      </c>
      <c r="GK221" s="18" t="s">
        <v>238</v>
      </c>
      <c r="GL221" s="18" t="s">
        <v>238</v>
      </c>
      <c r="GM221" s="18" t="s">
        <v>238</v>
      </c>
      <c r="GN221" s="324">
        <f t="shared" si="1210"/>
        <v>0</v>
      </c>
      <c r="GO221" s="321">
        <f t="shared" si="1211"/>
        <v>0</v>
      </c>
      <c r="GP221" s="179">
        <f t="shared" si="1174"/>
        <v>0</v>
      </c>
      <c r="GQ221" s="18" t="s">
        <v>238</v>
      </c>
      <c r="GR221" s="18" t="s">
        <v>238</v>
      </c>
      <c r="GS221" s="18" t="s">
        <v>238</v>
      </c>
      <c r="GT221" s="324">
        <f t="shared" si="1212"/>
        <v>0</v>
      </c>
      <c r="GU221" s="321">
        <f t="shared" si="1213"/>
        <v>0</v>
      </c>
      <c r="GV221" s="179">
        <f t="shared" si="1175"/>
        <v>0</v>
      </c>
      <c r="GW221" s="18" t="s">
        <v>238</v>
      </c>
      <c r="GX221" s="18" t="s">
        <v>238</v>
      </c>
      <c r="GY221" s="18" t="s">
        <v>238</v>
      </c>
      <c r="GZ221" s="324">
        <f t="shared" si="1214"/>
        <v>0</v>
      </c>
      <c r="HA221" s="321">
        <f t="shared" si="1215"/>
        <v>0</v>
      </c>
      <c r="HB221" s="179">
        <f t="shared" si="1176"/>
        <v>0</v>
      </c>
      <c r="HC221" s="102">
        <f t="shared" si="1177"/>
        <v>0</v>
      </c>
      <c r="HD221" s="285">
        <f t="shared" si="1216"/>
        <v>0</v>
      </c>
      <c r="HE221" s="12">
        <f t="shared" si="1217"/>
        <v>0</v>
      </c>
      <c r="HF221" s="12">
        <f t="shared" si="1178"/>
        <v>0</v>
      </c>
      <c r="HG221" s="12">
        <f t="shared" si="1218"/>
        <v>0</v>
      </c>
      <c r="HH221" s="14">
        <f t="shared" si="1219"/>
        <v>0</v>
      </c>
      <c r="HI221" s="13">
        <f t="shared" si="1220"/>
        <v>0</v>
      </c>
      <c r="HJ221" s="102">
        <f t="shared" si="1221"/>
        <v>0</v>
      </c>
      <c r="HK221" s="16">
        <f t="shared" si="1222"/>
        <v>0</v>
      </c>
      <c r="HL221" s="103">
        <f t="shared" si="1223"/>
        <v>0</v>
      </c>
      <c r="HM221" s="103">
        <f t="shared" si="1224"/>
        <v>0</v>
      </c>
      <c r="HN221" s="17">
        <f t="shared" si="1225"/>
        <v>0</v>
      </c>
      <c r="HO221" s="56">
        <f t="shared" si="1226"/>
        <v>0</v>
      </c>
      <c r="HP221" s="16">
        <f t="shared" si="1227"/>
        <v>0</v>
      </c>
      <c r="HQ221" s="16">
        <f t="shared" si="1228"/>
        <v>0</v>
      </c>
      <c r="HR221" s="16">
        <f t="shared" si="1229"/>
        <v>0</v>
      </c>
    </row>
    <row r="222" spans="1:226" x14ac:dyDescent="0.3">
      <c r="A222" s="310">
        <v>4</v>
      </c>
      <c r="B222" s="134"/>
      <c r="C222" s="310" t="s">
        <v>338</v>
      </c>
      <c r="D222" s="2" t="s">
        <v>156</v>
      </c>
      <c r="E222" s="9"/>
      <c r="F222" s="9"/>
      <c r="G222" s="9"/>
      <c r="H222" s="324"/>
      <c r="I222" s="324">
        <v>0</v>
      </c>
      <c r="J222" s="324"/>
      <c r="K222" s="324"/>
      <c r="L222" s="324">
        <v>0</v>
      </c>
      <c r="M222" s="23">
        <v>0</v>
      </c>
      <c r="N222" s="23">
        <v>0</v>
      </c>
      <c r="O222" s="298">
        <v>0</v>
      </c>
      <c r="P222" s="298">
        <v>0</v>
      </c>
      <c r="Q222" s="298">
        <v>0</v>
      </c>
      <c r="R222" s="298">
        <v>0</v>
      </c>
      <c r="S222" s="298">
        <v>0</v>
      </c>
      <c r="T222" s="298">
        <v>0</v>
      </c>
      <c r="U222" s="298">
        <f t="shared" si="1128"/>
        <v>0</v>
      </c>
      <c r="V222" s="298">
        <f t="shared" si="1129"/>
        <v>0</v>
      </c>
      <c r="W222" s="298">
        <v>0</v>
      </c>
      <c r="X222" s="298">
        <v>0</v>
      </c>
      <c r="Y222" s="298">
        <v>0</v>
      </c>
      <c r="Z222" s="298">
        <v>0</v>
      </c>
      <c r="AA222" s="298">
        <v>0</v>
      </c>
      <c r="AB222" s="298">
        <v>0</v>
      </c>
      <c r="AC222" s="9">
        <v>0</v>
      </c>
      <c r="AD222" s="9">
        <v>0</v>
      </c>
      <c r="AE222" s="298">
        <f t="shared" si="1130"/>
        <v>0</v>
      </c>
      <c r="AF222" s="298">
        <v>0</v>
      </c>
      <c r="AG222" s="9">
        <v>0</v>
      </c>
      <c r="AH222" s="9">
        <v>0</v>
      </c>
      <c r="AI222" s="298">
        <f t="shared" si="1131"/>
        <v>0</v>
      </c>
      <c r="AJ222" s="298">
        <v>0</v>
      </c>
      <c r="AK222" s="9">
        <v>0</v>
      </c>
      <c r="AL222" s="9">
        <v>0</v>
      </c>
      <c r="AM222" s="298">
        <f t="shared" si="1132"/>
        <v>0</v>
      </c>
      <c r="AN222" s="298">
        <v>0</v>
      </c>
      <c r="AO222" s="9">
        <v>0</v>
      </c>
      <c r="AP222" s="9">
        <v>0</v>
      </c>
      <c r="AQ222" s="298">
        <f t="shared" si="1133"/>
        <v>0</v>
      </c>
      <c r="AR222" s="298">
        <v>0</v>
      </c>
      <c r="AS222" s="9">
        <v>0</v>
      </c>
      <c r="AT222" s="9">
        <v>0</v>
      </c>
      <c r="AU222" s="298">
        <f t="shared" si="1134"/>
        <v>0</v>
      </c>
      <c r="AV222" s="298">
        <v>0</v>
      </c>
      <c r="AW222" s="9">
        <v>0</v>
      </c>
      <c r="AX222" s="9">
        <v>0</v>
      </c>
      <c r="AY222" s="298">
        <f t="shared" si="1135"/>
        <v>0</v>
      </c>
      <c r="AZ222" s="8">
        <f t="shared" si="1136"/>
        <v>0</v>
      </c>
      <c r="BA222" s="8"/>
      <c r="BB222" s="8">
        <f t="shared" si="1137"/>
        <v>0</v>
      </c>
      <c r="BC222" s="8">
        <f t="shared" si="1138"/>
        <v>0</v>
      </c>
      <c r="BD222" s="8"/>
      <c r="BE222" s="8">
        <f t="shared" si="1139"/>
        <v>0</v>
      </c>
      <c r="BF222" s="10">
        <f t="shared" si="1140"/>
        <v>0</v>
      </c>
      <c r="BG222" s="81">
        <f t="shared" si="1141"/>
        <v>0</v>
      </c>
      <c r="BH222" s="324">
        <v>0</v>
      </c>
      <c r="BI222" s="324">
        <v>0</v>
      </c>
      <c r="BJ222" s="324">
        <v>0</v>
      </c>
      <c r="BK222" s="319">
        <f t="shared" si="1142"/>
        <v>0</v>
      </c>
      <c r="BL222" s="319"/>
      <c r="BM222" s="319">
        <v>0</v>
      </c>
      <c r="BN222" s="319">
        <v>0</v>
      </c>
      <c r="BO222" s="319">
        <f t="shared" si="1143"/>
        <v>0</v>
      </c>
      <c r="BP222" s="319">
        <f t="shared" si="1230"/>
        <v>0</v>
      </c>
      <c r="BQ222" s="319"/>
      <c r="BR222" s="319">
        <v>0</v>
      </c>
      <c r="BS222" s="319">
        <v>0</v>
      </c>
      <c r="BT222" s="319">
        <f t="shared" si="1144"/>
        <v>0</v>
      </c>
      <c r="BU222" s="319">
        <f t="shared" si="1145"/>
        <v>0</v>
      </c>
      <c r="BV222" s="319">
        <v>0</v>
      </c>
      <c r="BW222" s="319">
        <v>0</v>
      </c>
      <c r="BX222" s="319">
        <v>0</v>
      </c>
      <c r="BY222" s="319">
        <f t="shared" si="1146"/>
        <v>0</v>
      </c>
      <c r="BZ222" s="319">
        <f t="shared" si="1147"/>
        <v>0</v>
      </c>
      <c r="CA222" s="319">
        <v>0</v>
      </c>
      <c r="CB222" s="319">
        <v>0</v>
      </c>
      <c r="CC222" s="319">
        <v>0</v>
      </c>
      <c r="CD222" s="319">
        <f t="shared" si="1148"/>
        <v>0</v>
      </c>
      <c r="CE222" s="319">
        <f t="shared" si="1149"/>
        <v>0</v>
      </c>
      <c r="CF222" s="319"/>
      <c r="CG222" s="319">
        <v>0</v>
      </c>
      <c r="CH222" s="319">
        <v>0</v>
      </c>
      <c r="CI222" s="319">
        <f t="shared" si="1150"/>
        <v>0</v>
      </c>
      <c r="CJ222" s="319">
        <f t="shared" si="1151"/>
        <v>0</v>
      </c>
      <c r="CK222" s="319">
        <v>0</v>
      </c>
      <c r="CL222" s="319">
        <v>0</v>
      </c>
      <c r="CM222" s="319">
        <v>0</v>
      </c>
      <c r="CN222" s="319">
        <f t="shared" si="1231"/>
        <v>0</v>
      </c>
      <c r="CO222" s="319">
        <f t="shared" si="1232"/>
        <v>0</v>
      </c>
      <c r="CP222" s="319"/>
      <c r="CQ222" s="319">
        <v>0</v>
      </c>
      <c r="CR222" s="319">
        <v>0</v>
      </c>
      <c r="CS222" s="319">
        <f t="shared" si="1152"/>
        <v>0</v>
      </c>
      <c r="CT222" s="319">
        <f t="shared" si="1153"/>
        <v>0</v>
      </c>
      <c r="CU222" s="319">
        <v>0</v>
      </c>
      <c r="CV222" s="319">
        <v>0</v>
      </c>
      <c r="CW222" s="319">
        <v>0</v>
      </c>
      <c r="CX222" s="319">
        <f t="shared" si="1154"/>
        <v>0</v>
      </c>
      <c r="CY222" s="319">
        <f t="shared" si="1155"/>
        <v>0</v>
      </c>
      <c r="CZ222" s="319"/>
      <c r="DA222" s="319"/>
      <c r="DB222" s="319"/>
      <c r="DC222" s="12">
        <f t="shared" si="1179"/>
        <v>0</v>
      </c>
      <c r="DD222" s="12">
        <v>0</v>
      </c>
      <c r="DE222" s="13">
        <f t="shared" si="1180"/>
        <v>0</v>
      </c>
      <c r="DF222" s="14">
        <f t="shared" si="1156"/>
        <v>0</v>
      </c>
      <c r="DG222" s="13">
        <f t="shared" si="1157"/>
        <v>0</v>
      </c>
      <c r="DH222" s="15">
        <f t="shared" si="1158"/>
        <v>0</v>
      </c>
      <c r="DI222" s="16">
        <f t="shared" si="1159"/>
        <v>0</v>
      </c>
      <c r="DJ222" s="132">
        <f t="shared" si="1181"/>
        <v>0</v>
      </c>
      <c r="DK222" s="17">
        <f t="shared" si="1182"/>
        <v>0</v>
      </c>
      <c r="DL222" s="17">
        <f t="shared" si="1160"/>
        <v>0</v>
      </c>
      <c r="DM222" s="16">
        <f t="shared" si="1183"/>
        <v>0</v>
      </c>
      <c r="DN222" s="16">
        <f t="shared" si="1161"/>
        <v>0</v>
      </c>
      <c r="DO222" s="16">
        <f t="shared" si="1184"/>
        <v>0</v>
      </c>
      <c r="DP222" s="16">
        <f t="shared" si="1162"/>
        <v>0</v>
      </c>
      <c r="DQ222" s="9">
        <v>0</v>
      </c>
      <c r="DR222" s="18" t="s">
        <v>238</v>
      </c>
      <c r="DS222" s="18" t="s">
        <v>238</v>
      </c>
      <c r="DT222" s="324">
        <f t="shared" si="1185"/>
        <v>0</v>
      </c>
      <c r="DU222" s="321">
        <f t="shared" si="1186"/>
        <v>0</v>
      </c>
      <c r="DV222" s="19">
        <f t="shared" si="1187"/>
        <v>0</v>
      </c>
      <c r="DW222" s="9"/>
      <c r="DX222" s="18"/>
      <c r="DY222" s="18"/>
      <c r="DZ222" s="324">
        <f t="shared" si="1188"/>
        <v>0</v>
      </c>
      <c r="EA222" s="321">
        <f t="shared" si="1189"/>
        <v>0</v>
      </c>
      <c r="EB222" s="179">
        <f t="shared" si="1163"/>
        <v>0</v>
      </c>
      <c r="EC222" s="9">
        <v>0</v>
      </c>
      <c r="ED222" s="18" t="s">
        <v>238</v>
      </c>
      <c r="EE222" s="18" t="s">
        <v>238</v>
      </c>
      <c r="EF222" s="324">
        <f t="shared" si="1190"/>
        <v>0</v>
      </c>
      <c r="EG222" s="321">
        <f t="shared" si="1191"/>
        <v>0</v>
      </c>
      <c r="EH222" s="179">
        <f t="shared" si="1164"/>
        <v>0</v>
      </c>
      <c r="EI222" s="9">
        <v>0</v>
      </c>
      <c r="EJ222" s="18" t="s">
        <v>238</v>
      </c>
      <c r="EK222" s="18" t="s">
        <v>238</v>
      </c>
      <c r="EL222" s="324">
        <f t="shared" si="1192"/>
        <v>0</v>
      </c>
      <c r="EM222" s="321">
        <f t="shared" si="1193"/>
        <v>0</v>
      </c>
      <c r="EN222" s="179">
        <f t="shared" si="1165"/>
        <v>0</v>
      </c>
      <c r="EO222" s="9">
        <v>0</v>
      </c>
      <c r="EP222" s="18" t="s">
        <v>238</v>
      </c>
      <c r="EQ222" s="18" t="s">
        <v>238</v>
      </c>
      <c r="ER222" s="324">
        <f t="shared" si="1194"/>
        <v>0</v>
      </c>
      <c r="ES222" s="321">
        <f t="shared" si="1195"/>
        <v>0</v>
      </c>
      <c r="ET222" s="179">
        <f t="shared" si="1166"/>
        <v>0</v>
      </c>
      <c r="EU222" s="9">
        <v>0</v>
      </c>
      <c r="EV222" s="18" t="s">
        <v>238</v>
      </c>
      <c r="EW222" s="18" t="s">
        <v>238</v>
      </c>
      <c r="EX222" s="324">
        <f t="shared" si="1196"/>
        <v>0</v>
      </c>
      <c r="EY222" s="321">
        <f t="shared" si="1197"/>
        <v>0</v>
      </c>
      <c r="EZ222" s="179">
        <f t="shared" si="1167"/>
        <v>0</v>
      </c>
      <c r="FA222" s="9">
        <v>0</v>
      </c>
      <c r="FB222" s="18" t="s">
        <v>238</v>
      </c>
      <c r="FC222" s="18" t="s">
        <v>238</v>
      </c>
      <c r="FD222" s="324">
        <f t="shared" si="1198"/>
        <v>0</v>
      </c>
      <c r="FE222" s="321">
        <f t="shared" si="1199"/>
        <v>0</v>
      </c>
      <c r="FF222" s="179">
        <f t="shared" si="1168"/>
        <v>0</v>
      </c>
      <c r="FG222" s="9">
        <v>0</v>
      </c>
      <c r="FH222" s="18" t="s">
        <v>238</v>
      </c>
      <c r="FI222" s="18" t="s">
        <v>238</v>
      </c>
      <c r="FJ222" s="324">
        <f t="shared" si="1200"/>
        <v>0</v>
      </c>
      <c r="FK222" s="321">
        <f t="shared" si="1201"/>
        <v>0</v>
      </c>
      <c r="FL222" s="179">
        <f t="shared" si="1169"/>
        <v>0</v>
      </c>
      <c r="FM222" s="18" t="s">
        <v>238</v>
      </c>
      <c r="FN222" s="18" t="s">
        <v>238</v>
      </c>
      <c r="FO222" s="18" t="s">
        <v>238</v>
      </c>
      <c r="FP222" s="324">
        <f t="shared" si="1202"/>
        <v>0</v>
      </c>
      <c r="FQ222" s="321">
        <f t="shared" si="1203"/>
        <v>0</v>
      </c>
      <c r="FR222" s="179">
        <f t="shared" si="1170"/>
        <v>0</v>
      </c>
      <c r="FS222" s="18" t="s">
        <v>238</v>
      </c>
      <c r="FT222" s="18" t="s">
        <v>238</v>
      </c>
      <c r="FU222" s="18" t="s">
        <v>238</v>
      </c>
      <c r="FV222" s="324">
        <f t="shared" si="1204"/>
        <v>0</v>
      </c>
      <c r="FW222" s="321">
        <f t="shared" si="1205"/>
        <v>0</v>
      </c>
      <c r="FX222" s="179">
        <f t="shared" si="1171"/>
        <v>0</v>
      </c>
      <c r="FY222" s="18" t="s">
        <v>238</v>
      </c>
      <c r="FZ222" s="18" t="s">
        <v>238</v>
      </c>
      <c r="GA222" s="18" t="s">
        <v>238</v>
      </c>
      <c r="GB222" s="324">
        <f t="shared" si="1206"/>
        <v>0</v>
      </c>
      <c r="GC222" s="321">
        <f t="shared" si="1207"/>
        <v>0</v>
      </c>
      <c r="GD222" s="179">
        <f t="shared" si="1172"/>
        <v>0</v>
      </c>
      <c r="GE222" s="18" t="s">
        <v>238</v>
      </c>
      <c r="GF222" s="18" t="s">
        <v>238</v>
      </c>
      <c r="GG222" s="18" t="s">
        <v>238</v>
      </c>
      <c r="GH222" s="324">
        <f t="shared" si="1208"/>
        <v>0</v>
      </c>
      <c r="GI222" s="321">
        <f t="shared" si="1209"/>
        <v>0</v>
      </c>
      <c r="GJ222" s="179">
        <f t="shared" si="1173"/>
        <v>0</v>
      </c>
      <c r="GK222" s="18" t="s">
        <v>238</v>
      </c>
      <c r="GL222" s="18" t="s">
        <v>238</v>
      </c>
      <c r="GM222" s="18" t="s">
        <v>238</v>
      </c>
      <c r="GN222" s="324">
        <f t="shared" si="1210"/>
        <v>0</v>
      </c>
      <c r="GO222" s="321">
        <f t="shared" si="1211"/>
        <v>0</v>
      </c>
      <c r="GP222" s="179">
        <f t="shared" si="1174"/>
        <v>0</v>
      </c>
      <c r="GQ222" s="18" t="s">
        <v>238</v>
      </c>
      <c r="GR222" s="18" t="s">
        <v>238</v>
      </c>
      <c r="GS222" s="18" t="s">
        <v>238</v>
      </c>
      <c r="GT222" s="324">
        <f t="shared" si="1212"/>
        <v>0</v>
      </c>
      <c r="GU222" s="321">
        <f t="shared" si="1213"/>
        <v>0</v>
      </c>
      <c r="GV222" s="179">
        <f t="shared" si="1175"/>
        <v>0</v>
      </c>
      <c r="GW222" s="18" t="s">
        <v>238</v>
      </c>
      <c r="GX222" s="18" t="s">
        <v>238</v>
      </c>
      <c r="GY222" s="18" t="s">
        <v>238</v>
      </c>
      <c r="GZ222" s="324">
        <f t="shared" si="1214"/>
        <v>0</v>
      </c>
      <c r="HA222" s="321">
        <f t="shared" si="1215"/>
        <v>0</v>
      </c>
      <c r="HB222" s="179">
        <f t="shared" si="1176"/>
        <v>0</v>
      </c>
      <c r="HC222" s="102">
        <f t="shared" si="1177"/>
        <v>0</v>
      </c>
      <c r="HD222" s="285">
        <f t="shared" si="1216"/>
        <v>0</v>
      </c>
      <c r="HE222" s="12">
        <f t="shared" si="1217"/>
        <v>0</v>
      </c>
      <c r="HF222" s="12">
        <f t="shared" si="1178"/>
        <v>0</v>
      </c>
      <c r="HG222" s="12">
        <f t="shared" si="1218"/>
        <v>0</v>
      </c>
      <c r="HH222" s="14">
        <f t="shared" si="1219"/>
        <v>0</v>
      </c>
      <c r="HI222" s="13">
        <f t="shared" si="1220"/>
        <v>0</v>
      </c>
      <c r="HJ222" s="102">
        <f t="shared" si="1221"/>
        <v>0</v>
      </c>
      <c r="HK222" s="16">
        <f t="shared" si="1222"/>
        <v>0</v>
      </c>
      <c r="HL222" s="103">
        <f t="shared" si="1223"/>
        <v>0</v>
      </c>
      <c r="HM222" s="103">
        <f t="shared" si="1224"/>
        <v>0</v>
      </c>
      <c r="HN222" s="17">
        <f t="shared" si="1225"/>
        <v>0</v>
      </c>
      <c r="HO222" s="56">
        <f t="shared" si="1226"/>
        <v>0</v>
      </c>
      <c r="HP222" s="16">
        <f t="shared" si="1227"/>
        <v>0</v>
      </c>
      <c r="HQ222" s="16">
        <f t="shared" si="1228"/>
        <v>0</v>
      </c>
      <c r="HR222" s="16">
        <f t="shared" si="1229"/>
        <v>0</v>
      </c>
    </row>
    <row r="223" spans="1:226" x14ac:dyDescent="0.3">
      <c r="A223" s="310">
        <v>9</v>
      </c>
      <c r="B223" s="104" t="s">
        <v>160</v>
      </c>
      <c r="C223" s="25" t="s">
        <v>317</v>
      </c>
      <c r="D223" s="2" t="s">
        <v>163</v>
      </c>
      <c r="E223" s="9"/>
      <c r="F223" s="9"/>
      <c r="G223" s="9"/>
      <c r="H223" s="324"/>
      <c r="I223" s="324">
        <v>1110180</v>
      </c>
      <c r="J223" s="324"/>
      <c r="K223" s="324"/>
      <c r="L223" s="324">
        <v>1100180</v>
      </c>
      <c r="M223" s="23">
        <v>1100180</v>
      </c>
      <c r="N223" s="23">
        <v>1100180</v>
      </c>
      <c r="O223" s="298">
        <v>1100180</v>
      </c>
      <c r="P223" s="298">
        <v>1100180</v>
      </c>
      <c r="Q223" s="298">
        <v>1100180</v>
      </c>
      <c r="R223" s="298">
        <v>1100180</v>
      </c>
      <c r="S223" s="298">
        <v>1100180</v>
      </c>
      <c r="T223" s="298">
        <v>1100180</v>
      </c>
      <c r="U223" s="298">
        <f t="shared" si="1128"/>
        <v>55009</v>
      </c>
      <c r="V223" s="298">
        <f t="shared" si="1129"/>
        <v>1155189</v>
      </c>
      <c r="W223" s="298">
        <v>1155189</v>
      </c>
      <c r="X223" s="298">
        <v>1155189</v>
      </c>
      <c r="Y223" s="298">
        <v>1155189</v>
      </c>
      <c r="Z223" s="298">
        <v>1155189</v>
      </c>
      <c r="AA223" s="298">
        <v>1155189</v>
      </c>
      <c r="AB223" s="298">
        <v>1155189</v>
      </c>
      <c r="AC223" s="9">
        <v>0</v>
      </c>
      <c r="AD223" s="9">
        <v>0</v>
      </c>
      <c r="AE223" s="298">
        <f t="shared" si="1130"/>
        <v>1155189</v>
      </c>
      <c r="AF223" s="298">
        <v>1155189</v>
      </c>
      <c r="AG223" s="9">
        <v>0</v>
      </c>
      <c r="AH223" s="9">
        <v>0</v>
      </c>
      <c r="AI223" s="298">
        <f t="shared" si="1131"/>
        <v>1155189</v>
      </c>
      <c r="AJ223" s="298">
        <v>1155189</v>
      </c>
      <c r="AK223" s="9">
        <v>0</v>
      </c>
      <c r="AL223" s="9">
        <v>0</v>
      </c>
      <c r="AM223" s="298">
        <f t="shared" si="1132"/>
        <v>1155189</v>
      </c>
      <c r="AN223" s="298">
        <v>1155189</v>
      </c>
      <c r="AO223" s="9">
        <v>0</v>
      </c>
      <c r="AP223" s="9">
        <v>0</v>
      </c>
      <c r="AQ223" s="298">
        <f t="shared" si="1133"/>
        <v>1155189</v>
      </c>
      <c r="AR223" s="298">
        <v>1155189</v>
      </c>
      <c r="AS223" s="9">
        <v>0</v>
      </c>
      <c r="AT223" s="9">
        <v>0</v>
      </c>
      <c r="AU223" s="298">
        <f t="shared" si="1134"/>
        <v>1155189</v>
      </c>
      <c r="AV223" s="298">
        <v>1155189</v>
      </c>
      <c r="AW223" s="9">
        <v>0</v>
      </c>
      <c r="AX223" s="9">
        <v>0</v>
      </c>
      <c r="AY223" s="7">
        <f t="shared" si="1135"/>
        <v>1155189</v>
      </c>
      <c r="AZ223" s="8">
        <f t="shared" si="1136"/>
        <v>57759.450000000004</v>
      </c>
      <c r="BA223" s="8">
        <v>0.45</v>
      </c>
      <c r="BB223" s="8">
        <f t="shared" si="1137"/>
        <v>57759.000000000007</v>
      </c>
      <c r="BC223" s="8">
        <f t="shared" si="1138"/>
        <v>1212948</v>
      </c>
      <c r="BD223" s="8"/>
      <c r="BE223" s="8">
        <f t="shared" si="1139"/>
        <v>1212948</v>
      </c>
      <c r="BF223" s="10">
        <f t="shared" si="1140"/>
        <v>57759</v>
      </c>
      <c r="BG223" s="11">
        <f t="shared" si="1141"/>
        <v>0</v>
      </c>
      <c r="BH223" s="319">
        <v>1212948</v>
      </c>
      <c r="BI223" s="324">
        <v>0</v>
      </c>
      <c r="BJ223" s="324">
        <v>0</v>
      </c>
      <c r="BK223" s="319">
        <f t="shared" si="1142"/>
        <v>1212948</v>
      </c>
      <c r="BL223" s="319">
        <v>1212948</v>
      </c>
      <c r="BM223" s="319">
        <v>0</v>
      </c>
      <c r="BN223" s="319">
        <v>0</v>
      </c>
      <c r="BO223" s="319">
        <f>BN223+BM223+BL223</f>
        <v>1212948</v>
      </c>
      <c r="BP223" s="319">
        <f>BO223-BK223</f>
        <v>0</v>
      </c>
      <c r="BQ223" s="319">
        <v>1212948</v>
      </c>
      <c r="BR223" s="319">
        <v>0</v>
      </c>
      <c r="BS223" s="319">
        <v>0</v>
      </c>
      <c r="BT223" s="319">
        <f>BS223+BR223+BQ223</f>
        <v>1212948</v>
      </c>
      <c r="BU223" s="319">
        <f>BT223-BO223</f>
        <v>0</v>
      </c>
      <c r="BV223" s="319">
        <v>1212948</v>
      </c>
      <c r="BW223" s="319">
        <v>0</v>
      </c>
      <c r="BX223" s="319">
        <v>0</v>
      </c>
      <c r="BY223" s="319">
        <f>BX223+BW223+BV223</f>
        <v>1212948</v>
      </c>
      <c r="BZ223" s="319">
        <f>BY223-BT223</f>
        <v>0</v>
      </c>
      <c r="CA223" s="319">
        <v>1212948</v>
      </c>
      <c r="CB223" s="319">
        <v>0</v>
      </c>
      <c r="CC223" s="319">
        <v>0</v>
      </c>
      <c r="CD223" s="319">
        <f>CC223+CB223+CA223</f>
        <v>1212948</v>
      </c>
      <c r="CE223" s="319">
        <f>CD223-BY223</f>
        <v>0</v>
      </c>
      <c r="CF223" s="319">
        <v>1212948</v>
      </c>
      <c r="CG223" s="319">
        <v>0</v>
      </c>
      <c r="CH223" s="319">
        <v>0</v>
      </c>
      <c r="CI223" s="319">
        <f>CH223+CG223+CF223</f>
        <v>1212948</v>
      </c>
      <c r="CJ223" s="319">
        <f>CI223-CD223</f>
        <v>0</v>
      </c>
      <c r="CK223" s="319">
        <v>1212948</v>
      </c>
      <c r="CL223" s="319">
        <v>0</v>
      </c>
      <c r="CM223" s="319">
        <v>0</v>
      </c>
      <c r="CN223" s="319">
        <f>CM223+CL223+CK223</f>
        <v>1212948</v>
      </c>
      <c r="CO223" s="319">
        <f>CN223-CI223</f>
        <v>0</v>
      </c>
      <c r="CP223" s="319">
        <v>1212948</v>
      </c>
      <c r="CQ223" s="319">
        <v>0</v>
      </c>
      <c r="CR223" s="319">
        <v>0</v>
      </c>
      <c r="CS223" s="319">
        <f t="shared" si="1152"/>
        <v>1212948</v>
      </c>
      <c r="CT223" s="319">
        <f t="shared" si="1153"/>
        <v>0</v>
      </c>
      <c r="CU223" s="319">
        <v>1212948</v>
      </c>
      <c r="CV223" s="319">
        <v>0</v>
      </c>
      <c r="CW223" s="319">
        <v>0</v>
      </c>
      <c r="CX223" s="319">
        <f t="shared" si="1154"/>
        <v>1212948</v>
      </c>
      <c r="CY223" s="319">
        <f t="shared" si="1155"/>
        <v>0</v>
      </c>
      <c r="CZ223" s="319"/>
      <c r="DA223" s="319"/>
      <c r="DB223" s="319"/>
      <c r="DC223" s="12">
        <f t="shared" si="1179"/>
        <v>121294.8</v>
      </c>
      <c r="DD223" s="12">
        <v>0.8</v>
      </c>
      <c r="DE223" s="13">
        <f t="shared" si="1180"/>
        <v>121294</v>
      </c>
      <c r="DF223" s="14">
        <f t="shared" si="1156"/>
        <v>121294</v>
      </c>
      <c r="DG223" s="13">
        <f t="shared" si="1157"/>
        <v>1334242</v>
      </c>
      <c r="DH223" s="15">
        <f t="shared" si="1158"/>
        <v>9.4880389142730961E-2</v>
      </c>
      <c r="DI223" s="16">
        <f t="shared" si="1159"/>
        <v>1212948</v>
      </c>
      <c r="DJ223" s="132">
        <f t="shared" si="1181"/>
        <v>1334242.8</v>
      </c>
      <c r="DK223" s="17">
        <f t="shared" si="1182"/>
        <v>121294.80000000005</v>
      </c>
      <c r="DL223" s="17">
        <f t="shared" si="1160"/>
        <v>0.8</v>
      </c>
      <c r="DM223" s="16">
        <f t="shared" si="1183"/>
        <v>121294.00000000004</v>
      </c>
      <c r="DN223" s="16">
        <f t="shared" si="1161"/>
        <v>0</v>
      </c>
      <c r="DO223" s="16">
        <f t="shared" si="1184"/>
        <v>1334242</v>
      </c>
      <c r="DP223" s="16">
        <f t="shared" si="1162"/>
        <v>0</v>
      </c>
      <c r="DQ223" s="9">
        <v>1334242</v>
      </c>
      <c r="DR223" s="18" t="s">
        <v>238</v>
      </c>
      <c r="DS223" s="18" t="s">
        <v>238</v>
      </c>
      <c r="DT223" s="324">
        <f t="shared" si="1185"/>
        <v>1334242</v>
      </c>
      <c r="DU223" s="321">
        <f t="shared" si="1186"/>
        <v>1334242</v>
      </c>
      <c r="DV223" s="19">
        <f t="shared" si="1187"/>
        <v>0</v>
      </c>
      <c r="DW223" s="9">
        <v>1334242</v>
      </c>
      <c r="DX223" s="18"/>
      <c r="DY223" s="18"/>
      <c r="DZ223" s="324">
        <f t="shared" si="1188"/>
        <v>1334242</v>
      </c>
      <c r="EA223" s="321">
        <f t="shared" si="1189"/>
        <v>1334242</v>
      </c>
      <c r="EB223" s="179">
        <f t="shared" si="1163"/>
        <v>0</v>
      </c>
      <c r="EC223" s="9">
        <v>1334242</v>
      </c>
      <c r="ED223" s="18" t="s">
        <v>238</v>
      </c>
      <c r="EE223" s="18" t="s">
        <v>238</v>
      </c>
      <c r="EF223" s="324">
        <f t="shared" si="1190"/>
        <v>1334242</v>
      </c>
      <c r="EG223" s="321">
        <f t="shared" si="1191"/>
        <v>1334242</v>
      </c>
      <c r="EH223" s="179">
        <f t="shared" si="1164"/>
        <v>0</v>
      </c>
      <c r="EI223" s="9">
        <v>1334242</v>
      </c>
      <c r="EJ223" s="18" t="s">
        <v>238</v>
      </c>
      <c r="EK223" s="18" t="s">
        <v>238</v>
      </c>
      <c r="EL223" s="324">
        <f t="shared" si="1192"/>
        <v>1334242</v>
      </c>
      <c r="EM223" s="321">
        <f t="shared" si="1193"/>
        <v>1334242</v>
      </c>
      <c r="EN223" s="179">
        <f t="shared" si="1165"/>
        <v>0</v>
      </c>
      <c r="EO223" s="9">
        <v>1334242</v>
      </c>
      <c r="EP223" s="18" t="s">
        <v>238</v>
      </c>
      <c r="EQ223" s="18" t="s">
        <v>238</v>
      </c>
      <c r="ER223" s="324">
        <f t="shared" si="1194"/>
        <v>1334242</v>
      </c>
      <c r="ES223" s="321">
        <f t="shared" si="1195"/>
        <v>1334242</v>
      </c>
      <c r="ET223" s="179">
        <f t="shared" si="1166"/>
        <v>0</v>
      </c>
      <c r="EU223" s="9">
        <v>1334242</v>
      </c>
      <c r="EV223" s="18" t="s">
        <v>238</v>
      </c>
      <c r="EW223" s="18" t="s">
        <v>238</v>
      </c>
      <c r="EX223" s="324">
        <f t="shared" si="1196"/>
        <v>1334242</v>
      </c>
      <c r="EY223" s="321">
        <f t="shared" si="1197"/>
        <v>1334242</v>
      </c>
      <c r="EZ223" s="179">
        <f t="shared" si="1167"/>
        <v>0</v>
      </c>
      <c r="FA223" s="9">
        <v>1334242</v>
      </c>
      <c r="FB223" s="18" t="s">
        <v>238</v>
      </c>
      <c r="FC223" s="18" t="s">
        <v>238</v>
      </c>
      <c r="FD223" s="324">
        <f t="shared" si="1198"/>
        <v>1334242</v>
      </c>
      <c r="FE223" s="321">
        <f t="shared" si="1199"/>
        <v>1334242</v>
      </c>
      <c r="FF223" s="179">
        <f t="shared" si="1168"/>
        <v>0</v>
      </c>
      <c r="FG223" s="9">
        <v>1334242</v>
      </c>
      <c r="FH223" s="18" t="s">
        <v>238</v>
      </c>
      <c r="FI223" s="18" t="s">
        <v>238</v>
      </c>
      <c r="FJ223" s="324">
        <f t="shared" si="1200"/>
        <v>1334242</v>
      </c>
      <c r="FK223" s="321">
        <f t="shared" si="1201"/>
        <v>1334242</v>
      </c>
      <c r="FL223" s="179">
        <f t="shared" si="1169"/>
        <v>0</v>
      </c>
      <c r="FM223" s="9">
        <v>1334242</v>
      </c>
      <c r="FN223" s="18" t="s">
        <v>238</v>
      </c>
      <c r="FO223" s="18" t="s">
        <v>238</v>
      </c>
      <c r="FP223" s="324">
        <f t="shared" si="1202"/>
        <v>1334242</v>
      </c>
      <c r="FQ223" s="321">
        <f t="shared" si="1203"/>
        <v>1334242</v>
      </c>
      <c r="FR223" s="179">
        <f t="shared" si="1170"/>
        <v>0</v>
      </c>
      <c r="FS223" s="9">
        <v>1334242</v>
      </c>
      <c r="FT223" s="18" t="s">
        <v>238</v>
      </c>
      <c r="FU223" s="18" t="s">
        <v>238</v>
      </c>
      <c r="FV223" s="324">
        <f t="shared" si="1204"/>
        <v>1334242</v>
      </c>
      <c r="FW223" s="321">
        <f t="shared" si="1205"/>
        <v>1334242</v>
      </c>
      <c r="FX223" s="179">
        <f t="shared" si="1171"/>
        <v>0</v>
      </c>
      <c r="FY223" s="9">
        <v>1334242</v>
      </c>
      <c r="FZ223" s="18" t="s">
        <v>238</v>
      </c>
      <c r="GA223" s="18" t="s">
        <v>238</v>
      </c>
      <c r="GB223" s="324">
        <f t="shared" si="1206"/>
        <v>1334242</v>
      </c>
      <c r="GC223" s="321">
        <f t="shared" si="1207"/>
        <v>1334242</v>
      </c>
      <c r="GD223" s="179">
        <f t="shared" si="1172"/>
        <v>0</v>
      </c>
      <c r="GE223" s="9">
        <v>1334242</v>
      </c>
      <c r="GF223" s="18" t="s">
        <v>238</v>
      </c>
      <c r="GG223" s="18" t="s">
        <v>238</v>
      </c>
      <c r="GH223" s="324">
        <f t="shared" si="1208"/>
        <v>1334242</v>
      </c>
      <c r="GI223" s="321">
        <f t="shared" si="1209"/>
        <v>1334242</v>
      </c>
      <c r="GJ223" s="179">
        <f t="shared" si="1173"/>
        <v>0</v>
      </c>
      <c r="GK223" s="9">
        <v>1334242</v>
      </c>
      <c r="GL223" s="18" t="s">
        <v>238</v>
      </c>
      <c r="GM223" s="18" t="s">
        <v>238</v>
      </c>
      <c r="GN223" s="324">
        <f t="shared" si="1210"/>
        <v>1334242</v>
      </c>
      <c r="GO223" s="321">
        <f t="shared" si="1211"/>
        <v>1334242</v>
      </c>
      <c r="GP223" s="179">
        <f t="shared" si="1174"/>
        <v>0</v>
      </c>
      <c r="GQ223" s="9">
        <v>1334242</v>
      </c>
      <c r="GR223" s="18" t="s">
        <v>238</v>
      </c>
      <c r="GS223" s="18" t="s">
        <v>238</v>
      </c>
      <c r="GT223" s="324">
        <f t="shared" si="1212"/>
        <v>1334242</v>
      </c>
      <c r="GU223" s="321">
        <f t="shared" si="1213"/>
        <v>1334242</v>
      </c>
      <c r="GV223" s="179">
        <f t="shared" si="1175"/>
        <v>0</v>
      </c>
      <c r="GW223" s="9">
        <v>1400954</v>
      </c>
      <c r="GX223" s="18" t="s">
        <v>238</v>
      </c>
      <c r="GY223" s="18" t="s">
        <v>238</v>
      </c>
      <c r="GZ223" s="324">
        <f t="shared" si="1214"/>
        <v>1400954</v>
      </c>
      <c r="HA223" s="321">
        <f t="shared" si="1215"/>
        <v>1400954</v>
      </c>
      <c r="HB223" s="179">
        <f t="shared" si="1176"/>
        <v>66712</v>
      </c>
      <c r="HC223" s="102">
        <f t="shared" si="1177"/>
        <v>9.4880332253301766E-2</v>
      </c>
      <c r="HD223" s="285">
        <f t="shared" si="1216"/>
        <v>0</v>
      </c>
      <c r="HE223" s="12">
        <f t="shared" si="1217"/>
        <v>66712.100000000006</v>
      </c>
      <c r="HF223" s="12">
        <f t="shared" si="1178"/>
        <v>0.10000000000582077</v>
      </c>
      <c r="HG223" s="12">
        <f t="shared" si="1218"/>
        <v>66712</v>
      </c>
      <c r="HH223" s="14">
        <f t="shared" si="1219"/>
        <v>66712</v>
      </c>
      <c r="HI223" s="13">
        <f t="shared" si="1220"/>
        <v>1400954</v>
      </c>
      <c r="HJ223" s="102">
        <f t="shared" si="1221"/>
        <v>9.9624341754788195E-2</v>
      </c>
      <c r="HK223" s="16">
        <f t="shared" si="1222"/>
        <v>1334242</v>
      </c>
      <c r="HL223" s="103">
        <f t="shared" si="1223"/>
        <v>1400954.1</v>
      </c>
      <c r="HM223" s="103">
        <f t="shared" si="1224"/>
        <v>66712.100000000093</v>
      </c>
      <c r="HN223" s="17">
        <f t="shared" si="1225"/>
        <v>0.10000000000582077</v>
      </c>
      <c r="HO223" s="56">
        <f t="shared" si="1226"/>
        <v>66712.000000000087</v>
      </c>
      <c r="HP223" s="16">
        <f t="shared" si="1227"/>
        <v>0</v>
      </c>
      <c r="HQ223" s="16">
        <f t="shared" si="1228"/>
        <v>1400954</v>
      </c>
      <c r="HR223" s="16">
        <f t="shared" si="1229"/>
        <v>0</v>
      </c>
    </row>
    <row r="224" spans="1:226" x14ac:dyDescent="0.3">
      <c r="A224" s="310">
        <v>10</v>
      </c>
      <c r="B224" s="133"/>
      <c r="C224" s="25" t="s">
        <v>524</v>
      </c>
      <c r="D224" s="2" t="s">
        <v>504</v>
      </c>
      <c r="E224" s="9"/>
      <c r="F224" s="9"/>
      <c r="G224" s="9"/>
      <c r="H224" s="324"/>
      <c r="I224" s="324"/>
      <c r="J224" s="324"/>
      <c r="K224" s="324"/>
      <c r="L224" s="324"/>
      <c r="M224" s="23"/>
      <c r="N224" s="23"/>
      <c r="O224" s="298"/>
      <c r="P224" s="298"/>
      <c r="Q224" s="298"/>
      <c r="R224" s="298"/>
      <c r="S224" s="298"/>
      <c r="T224" s="298"/>
      <c r="U224" s="298"/>
      <c r="V224" s="298"/>
      <c r="W224" s="298"/>
      <c r="X224" s="298"/>
      <c r="Y224" s="298"/>
      <c r="Z224" s="298"/>
      <c r="AA224" s="298"/>
      <c r="AB224" s="298"/>
      <c r="AC224" s="9"/>
      <c r="AD224" s="9"/>
      <c r="AE224" s="298"/>
      <c r="AF224" s="298"/>
      <c r="AG224" s="9"/>
      <c r="AH224" s="9"/>
      <c r="AI224" s="298"/>
      <c r="AJ224" s="298"/>
      <c r="AK224" s="9"/>
      <c r="AL224" s="9"/>
      <c r="AM224" s="298"/>
      <c r="AN224" s="298"/>
      <c r="AO224" s="9"/>
      <c r="AP224" s="9"/>
      <c r="AQ224" s="298"/>
      <c r="AR224" s="298">
        <v>2627</v>
      </c>
      <c r="AS224" s="9">
        <v>0</v>
      </c>
      <c r="AT224" s="9">
        <v>0</v>
      </c>
      <c r="AU224" s="298">
        <f t="shared" si="1134"/>
        <v>2627</v>
      </c>
      <c r="AV224" s="298">
        <v>2627</v>
      </c>
      <c r="AW224" s="9">
        <v>0</v>
      </c>
      <c r="AX224" s="9">
        <v>0</v>
      </c>
      <c r="AY224" s="7">
        <f t="shared" si="1135"/>
        <v>2627</v>
      </c>
      <c r="AZ224" s="8">
        <f t="shared" si="1136"/>
        <v>131.35</v>
      </c>
      <c r="BA224" s="8">
        <v>0.35</v>
      </c>
      <c r="BB224" s="8">
        <f t="shared" si="1137"/>
        <v>131</v>
      </c>
      <c r="BC224" s="8">
        <f t="shared" si="1138"/>
        <v>2758</v>
      </c>
      <c r="BD224" s="8"/>
      <c r="BE224" s="8">
        <f t="shared" si="1139"/>
        <v>2758</v>
      </c>
      <c r="BF224" s="10">
        <f t="shared" si="1140"/>
        <v>131</v>
      </c>
      <c r="BG224" s="11">
        <f t="shared" si="1141"/>
        <v>0</v>
      </c>
      <c r="BH224" s="319">
        <v>2758</v>
      </c>
      <c r="BI224" s="324">
        <v>0</v>
      </c>
      <c r="BJ224" s="324">
        <v>0</v>
      </c>
      <c r="BK224" s="319">
        <f t="shared" si="1142"/>
        <v>2758</v>
      </c>
      <c r="BL224" s="319">
        <v>2758</v>
      </c>
      <c r="BM224" s="319">
        <v>0</v>
      </c>
      <c r="BN224" s="319">
        <v>0</v>
      </c>
      <c r="BO224" s="319">
        <f>BN224+BM224+BL224</f>
        <v>2758</v>
      </c>
      <c r="BP224" s="319">
        <f>BO224-BK224</f>
        <v>0</v>
      </c>
      <c r="BQ224" s="319">
        <v>2758</v>
      </c>
      <c r="BR224" s="319">
        <v>0</v>
      </c>
      <c r="BS224" s="319">
        <v>0</v>
      </c>
      <c r="BT224" s="319">
        <f>BS224+BR224+BQ224</f>
        <v>2758</v>
      </c>
      <c r="BU224" s="319">
        <f>BT224-BO224</f>
        <v>0</v>
      </c>
      <c r="BV224" s="319">
        <v>2758</v>
      </c>
      <c r="BW224" s="319">
        <v>0</v>
      </c>
      <c r="BX224" s="319">
        <v>0</v>
      </c>
      <c r="BY224" s="319">
        <f>BX224+BW224+BV224</f>
        <v>2758</v>
      </c>
      <c r="BZ224" s="319">
        <f>BY224-BT224</f>
        <v>0</v>
      </c>
      <c r="CA224" s="319">
        <v>2758</v>
      </c>
      <c r="CB224" s="319">
        <v>0</v>
      </c>
      <c r="CC224" s="319">
        <v>0</v>
      </c>
      <c r="CD224" s="319">
        <f>CC224+CB224+CA224</f>
        <v>2758</v>
      </c>
      <c r="CE224" s="319">
        <f>CD224-BY224</f>
        <v>0</v>
      </c>
      <c r="CF224" s="319">
        <v>2758</v>
      </c>
      <c r="CG224" s="319">
        <v>0</v>
      </c>
      <c r="CH224" s="319">
        <v>0</v>
      </c>
      <c r="CI224" s="319">
        <f>CH224+CG224+CF224</f>
        <v>2758</v>
      </c>
      <c r="CJ224" s="319">
        <f>CI224-CD224</f>
        <v>0</v>
      </c>
      <c r="CK224" s="319">
        <v>2758</v>
      </c>
      <c r="CL224" s="319">
        <v>0</v>
      </c>
      <c r="CM224" s="319">
        <v>0</v>
      </c>
      <c r="CN224" s="319">
        <f>CM224+CL224+CK224</f>
        <v>2758</v>
      </c>
      <c r="CO224" s="319">
        <f>CN224-CI224</f>
        <v>0</v>
      </c>
      <c r="CP224" s="319">
        <v>2758</v>
      </c>
      <c r="CQ224" s="319">
        <v>0</v>
      </c>
      <c r="CR224" s="319">
        <v>0</v>
      </c>
      <c r="CS224" s="319">
        <f t="shared" si="1152"/>
        <v>2758</v>
      </c>
      <c r="CT224" s="319">
        <f t="shared" si="1153"/>
        <v>0</v>
      </c>
      <c r="CU224" s="319">
        <v>2758</v>
      </c>
      <c r="CV224" s="319">
        <v>0</v>
      </c>
      <c r="CW224" s="319">
        <v>0</v>
      </c>
      <c r="CX224" s="319">
        <f t="shared" si="1154"/>
        <v>2758</v>
      </c>
      <c r="CY224" s="319">
        <f t="shared" si="1155"/>
        <v>0</v>
      </c>
      <c r="CZ224" s="319"/>
      <c r="DA224" s="319"/>
      <c r="DB224" s="319"/>
      <c r="DC224" s="12">
        <f t="shared" si="1179"/>
        <v>275.8</v>
      </c>
      <c r="DD224" s="12">
        <v>0.8</v>
      </c>
      <c r="DE224" s="13">
        <f t="shared" si="1180"/>
        <v>275</v>
      </c>
      <c r="DF224" s="14">
        <f t="shared" si="1156"/>
        <v>275</v>
      </c>
      <c r="DG224" s="13">
        <f t="shared" si="1157"/>
        <v>3033</v>
      </c>
      <c r="DH224" s="15">
        <f t="shared" si="1158"/>
        <v>2.1573893790636698E-4</v>
      </c>
      <c r="DI224" s="16">
        <f t="shared" si="1159"/>
        <v>2758</v>
      </c>
      <c r="DJ224" s="132">
        <f t="shared" si="1181"/>
        <v>3033.8</v>
      </c>
      <c r="DK224" s="17">
        <f t="shared" si="1182"/>
        <v>275.80000000000018</v>
      </c>
      <c r="DL224" s="17">
        <f t="shared" si="1160"/>
        <v>0.8</v>
      </c>
      <c r="DM224" s="16">
        <f t="shared" si="1183"/>
        <v>275.00000000000017</v>
      </c>
      <c r="DN224" s="16">
        <f t="shared" si="1161"/>
        <v>0</v>
      </c>
      <c r="DO224" s="16">
        <f t="shared" si="1184"/>
        <v>3033</v>
      </c>
      <c r="DP224" s="16">
        <f t="shared" si="1162"/>
        <v>0</v>
      </c>
      <c r="DQ224" s="9">
        <v>3033</v>
      </c>
      <c r="DR224" s="18" t="s">
        <v>238</v>
      </c>
      <c r="DS224" s="18" t="s">
        <v>238</v>
      </c>
      <c r="DT224" s="324">
        <f t="shared" si="1185"/>
        <v>3033</v>
      </c>
      <c r="DU224" s="321">
        <f t="shared" si="1186"/>
        <v>3033</v>
      </c>
      <c r="DV224" s="19">
        <f t="shared" si="1187"/>
        <v>0</v>
      </c>
      <c r="DW224" s="9">
        <v>3033</v>
      </c>
      <c r="DX224" s="18"/>
      <c r="DY224" s="18"/>
      <c r="DZ224" s="324">
        <f t="shared" si="1188"/>
        <v>3033</v>
      </c>
      <c r="EA224" s="321">
        <f t="shared" si="1189"/>
        <v>3033</v>
      </c>
      <c r="EB224" s="179">
        <f t="shared" si="1163"/>
        <v>0</v>
      </c>
      <c r="EC224" s="9">
        <v>3033</v>
      </c>
      <c r="ED224" s="18" t="s">
        <v>238</v>
      </c>
      <c r="EE224" s="18" t="s">
        <v>238</v>
      </c>
      <c r="EF224" s="324">
        <f t="shared" si="1190"/>
        <v>3033</v>
      </c>
      <c r="EG224" s="321">
        <f t="shared" si="1191"/>
        <v>3033</v>
      </c>
      <c r="EH224" s="179">
        <f t="shared" si="1164"/>
        <v>0</v>
      </c>
      <c r="EI224" s="9">
        <v>3033</v>
      </c>
      <c r="EJ224" s="18" t="s">
        <v>238</v>
      </c>
      <c r="EK224" s="18" t="s">
        <v>238</v>
      </c>
      <c r="EL224" s="324">
        <f t="shared" si="1192"/>
        <v>3033</v>
      </c>
      <c r="EM224" s="321">
        <f t="shared" si="1193"/>
        <v>3033</v>
      </c>
      <c r="EN224" s="179">
        <f t="shared" si="1165"/>
        <v>0</v>
      </c>
      <c r="EO224" s="9">
        <v>3033</v>
      </c>
      <c r="EP224" s="18" t="s">
        <v>238</v>
      </c>
      <c r="EQ224" s="18" t="s">
        <v>238</v>
      </c>
      <c r="ER224" s="324">
        <f t="shared" si="1194"/>
        <v>3033</v>
      </c>
      <c r="ES224" s="321">
        <f t="shared" si="1195"/>
        <v>3033</v>
      </c>
      <c r="ET224" s="179">
        <f t="shared" si="1166"/>
        <v>0</v>
      </c>
      <c r="EU224" s="9">
        <v>3033</v>
      </c>
      <c r="EV224" s="18" t="s">
        <v>238</v>
      </c>
      <c r="EW224" s="18" t="s">
        <v>238</v>
      </c>
      <c r="EX224" s="324">
        <f t="shared" si="1196"/>
        <v>3033</v>
      </c>
      <c r="EY224" s="321">
        <f t="shared" si="1197"/>
        <v>3033</v>
      </c>
      <c r="EZ224" s="179">
        <f t="shared" si="1167"/>
        <v>0</v>
      </c>
      <c r="FA224" s="9">
        <v>3033</v>
      </c>
      <c r="FB224" s="18" t="s">
        <v>238</v>
      </c>
      <c r="FC224" s="18" t="s">
        <v>238</v>
      </c>
      <c r="FD224" s="324">
        <f t="shared" si="1198"/>
        <v>3033</v>
      </c>
      <c r="FE224" s="321">
        <f t="shared" si="1199"/>
        <v>3033</v>
      </c>
      <c r="FF224" s="179">
        <f t="shared" si="1168"/>
        <v>0</v>
      </c>
      <c r="FG224" s="9">
        <v>3033</v>
      </c>
      <c r="FH224" s="18" t="s">
        <v>238</v>
      </c>
      <c r="FI224" s="18" t="s">
        <v>238</v>
      </c>
      <c r="FJ224" s="324">
        <f t="shared" si="1200"/>
        <v>3033</v>
      </c>
      <c r="FK224" s="321">
        <f t="shared" si="1201"/>
        <v>3033</v>
      </c>
      <c r="FL224" s="179">
        <f t="shared" si="1169"/>
        <v>0</v>
      </c>
      <c r="FM224" s="9">
        <v>3033</v>
      </c>
      <c r="FN224" s="18" t="s">
        <v>238</v>
      </c>
      <c r="FO224" s="18" t="s">
        <v>238</v>
      </c>
      <c r="FP224" s="324">
        <f t="shared" si="1202"/>
        <v>3033</v>
      </c>
      <c r="FQ224" s="321">
        <f t="shared" si="1203"/>
        <v>3033</v>
      </c>
      <c r="FR224" s="179">
        <f t="shared" si="1170"/>
        <v>0</v>
      </c>
      <c r="FS224" s="9">
        <v>3033</v>
      </c>
      <c r="FT224" s="18" t="s">
        <v>238</v>
      </c>
      <c r="FU224" s="18" t="s">
        <v>238</v>
      </c>
      <c r="FV224" s="324">
        <f t="shared" si="1204"/>
        <v>3033</v>
      </c>
      <c r="FW224" s="321">
        <f t="shared" si="1205"/>
        <v>3033</v>
      </c>
      <c r="FX224" s="179">
        <f t="shared" si="1171"/>
        <v>0</v>
      </c>
      <c r="FY224" s="9">
        <v>3033</v>
      </c>
      <c r="FZ224" s="18" t="s">
        <v>238</v>
      </c>
      <c r="GA224" s="18" t="s">
        <v>238</v>
      </c>
      <c r="GB224" s="324">
        <f t="shared" si="1206"/>
        <v>3033</v>
      </c>
      <c r="GC224" s="321">
        <f t="shared" si="1207"/>
        <v>3033</v>
      </c>
      <c r="GD224" s="179">
        <f t="shared" si="1172"/>
        <v>0</v>
      </c>
      <c r="GE224" s="9">
        <v>3033</v>
      </c>
      <c r="GF224" s="18" t="s">
        <v>238</v>
      </c>
      <c r="GG224" s="18" t="s">
        <v>238</v>
      </c>
      <c r="GH224" s="324">
        <f t="shared" si="1208"/>
        <v>3033</v>
      </c>
      <c r="GI224" s="321">
        <f t="shared" si="1209"/>
        <v>3033</v>
      </c>
      <c r="GJ224" s="179">
        <f t="shared" si="1173"/>
        <v>0</v>
      </c>
      <c r="GK224" s="9">
        <v>3033</v>
      </c>
      <c r="GL224" s="18" t="s">
        <v>238</v>
      </c>
      <c r="GM224" s="18" t="s">
        <v>238</v>
      </c>
      <c r="GN224" s="324">
        <f t="shared" si="1210"/>
        <v>3033</v>
      </c>
      <c r="GO224" s="321">
        <f t="shared" si="1211"/>
        <v>3033</v>
      </c>
      <c r="GP224" s="179">
        <f t="shared" si="1174"/>
        <v>0</v>
      </c>
      <c r="GQ224" s="9">
        <v>3033</v>
      </c>
      <c r="GR224" s="18" t="s">
        <v>238</v>
      </c>
      <c r="GS224" s="18" t="s">
        <v>238</v>
      </c>
      <c r="GT224" s="324">
        <f t="shared" si="1212"/>
        <v>3033</v>
      </c>
      <c r="GU224" s="321">
        <f t="shared" si="1213"/>
        <v>3033</v>
      </c>
      <c r="GV224" s="179">
        <f t="shared" si="1175"/>
        <v>0</v>
      </c>
      <c r="GW224" s="9">
        <v>3184</v>
      </c>
      <c r="GX224" s="18" t="s">
        <v>238</v>
      </c>
      <c r="GY224" s="18" t="s">
        <v>238</v>
      </c>
      <c r="GZ224" s="324">
        <f t="shared" si="1214"/>
        <v>3184</v>
      </c>
      <c r="HA224" s="321">
        <f t="shared" si="1215"/>
        <v>3184</v>
      </c>
      <c r="HB224" s="179">
        <f t="shared" si="1176"/>
        <v>151</v>
      </c>
      <c r="HC224" s="102">
        <f t="shared" si="1177"/>
        <v>2.1568204847716101E-4</v>
      </c>
      <c r="HD224" s="285">
        <f t="shared" si="1216"/>
        <v>0</v>
      </c>
      <c r="HE224" s="12">
        <f t="shared" si="1217"/>
        <v>151.65</v>
      </c>
      <c r="HF224" s="12">
        <f t="shared" si="1178"/>
        <v>0.65000000000000568</v>
      </c>
      <c r="HG224" s="12">
        <f t="shared" si="1218"/>
        <v>151</v>
      </c>
      <c r="HH224" s="14">
        <f t="shared" si="1219"/>
        <v>151</v>
      </c>
      <c r="HI224" s="13">
        <f t="shared" si="1220"/>
        <v>3184</v>
      </c>
      <c r="HJ224" s="102">
        <f t="shared" si="1221"/>
        <v>2.2641992823978921E-4</v>
      </c>
      <c r="HK224" s="16">
        <f t="shared" si="1222"/>
        <v>3033</v>
      </c>
      <c r="HL224" s="103">
        <f t="shared" si="1223"/>
        <v>3184.65</v>
      </c>
      <c r="HM224" s="103">
        <f t="shared" si="1224"/>
        <v>151.65000000000009</v>
      </c>
      <c r="HN224" s="17">
        <f t="shared" si="1225"/>
        <v>0.65000000000000568</v>
      </c>
      <c r="HO224" s="56">
        <f t="shared" si="1226"/>
        <v>151.00000000000009</v>
      </c>
      <c r="HP224" s="16">
        <f t="shared" si="1227"/>
        <v>0</v>
      </c>
      <c r="HQ224" s="16">
        <f t="shared" si="1228"/>
        <v>3184</v>
      </c>
      <c r="HR224" s="16">
        <f t="shared" si="1229"/>
        <v>0</v>
      </c>
    </row>
    <row r="225" spans="1:226" x14ac:dyDescent="0.3">
      <c r="A225" s="310">
        <v>11</v>
      </c>
      <c r="B225" s="133"/>
      <c r="C225" s="25" t="s">
        <v>536</v>
      </c>
      <c r="D225" s="2" t="s">
        <v>534</v>
      </c>
      <c r="E225" s="9"/>
      <c r="F225" s="9"/>
      <c r="G225" s="9"/>
      <c r="H225" s="324"/>
      <c r="I225" s="324"/>
      <c r="J225" s="324"/>
      <c r="K225" s="324"/>
      <c r="L225" s="324"/>
      <c r="M225" s="23"/>
      <c r="N225" s="23"/>
      <c r="O225" s="298"/>
      <c r="P225" s="298"/>
      <c r="Q225" s="298"/>
      <c r="R225" s="298"/>
      <c r="S225" s="298"/>
      <c r="T225" s="298"/>
      <c r="U225" s="298"/>
      <c r="V225" s="298"/>
      <c r="W225" s="298"/>
      <c r="X225" s="298"/>
      <c r="Y225" s="298"/>
      <c r="Z225" s="298"/>
      <c r="AA225" s="298"/>
      <c r="AB225" s="298"/>
      <c r="AC225" s="9"/>
      <c r="AD225" s="9"/>
      <c r="AE225" s="298"/>
      <c r="AF225" s="298"/>
      <c r="AG225" s="9"/>
      <c r="AH225" s="9"/>
      <c r="AI225" s="298"/>
      <c r="AJ225" s="298"/>
      <c r="AK225" s="9"/>
      <c r="AL225" s="9"/>
      <c r="AM225" s="298"/>
      <c r="AN225" s="298"/>
      <c r="AO225" s="9"/>
      <c r="AP225" s="9"/>
      <c r="AQ225" s="298"/>
      <c r="AR225" s="298">
        <v>0</v>
      </c>
      <c r="AS225" s="9">
        <v>0</v>
      </c>
      <c r="AT225" s="9">
        <v>0</v>
      </c>
      <c r="AU225" s="298">
        <f t="shared" si="1134"/>
        <v>0</v>
      </c>
      <c r="AV225" s="298">
        <v>0</v>
      </c>
      <c r="AW225" s="9">
        <v>0</v>
      </c>
      <c r="AX225" s="9"/>
      <c r="AY225" s="7">
        <f t="shared" si="1135"/>
        <v>0</v>
      </c>
      <c r="AZ225" s="8">
        <f t="shared" si="1136"/>
        <v>0</v>
      </c>
      <c r="BA225" s="8">
        <v>0</v>
      </c>
      <c r="BB225" s="8">
        <v>0</v>
      </c>
      <c r="BC225" s="8">
        <f t="shared" si="1138"/>
        <v>0</v>
      </c>
      <c r="BD225" s="8"/>
      <c r="BE225" s="8">
        <f t="shared" si="1139"/>
        <v>0</v>
      </c>
      <c r="BF225" s="10">
        <f t="shared" si="1140"/>
        <v>0</v>
      </c>
      <c r="BG225" s="11">
        <f t="shared" si="1141"/>
        <v>0</v>
      </c>
      <c r="BH225" s="319">
        <v>2841008</v>
      </c>
      <c r="BI225" s="324">
        <v>0</v>
      </c>
      <c r="BJ225" s="324">
        <v>0</v>
      </c>
      <c r="BK225" s="319">
        <f t="shared" si="1142"/>
        <v>2841008</v>
      </c>
      <c r="BL225" s="319">
        <v>2841008</v>
      </c>
      <c r="BM225" s="319">
        <v>0</v>
      </c>
      <c r="BN225" s="319">
        <v>0</v>
      </c>
      <c r="BO225" s="319">
        <f>BN225+BM225+BL225</f>
        <v>2841008</v>
      </c>
      <c r="BP225" s="319">
        <f>BO225-BK225</f>
        <v>0</v>
      </c>
      <c r="BQ225" s="319">
        <v>2841008</v>
      </c>
      <c r="BR225" s="319">
        <v>0</v>
      </c>
      <c r="BS225" s="319">
        <v>0</v>
      </c>
      <c r="BT225" s="319">
        <f>BS225+BR225+BQ225</f>
        <v>2841008</v>
      </c>
      <c r="BU225" s="319">
        <f>BT225-BO225</f>
        <v>0</v>
      </c>
      <c r="BV225" s="319">
        <v>2841008</v>
      </c>
      <c r="BW225" s="319">
        <v>0</v>
      </c>
      <c r="BX225" s="319">
        <v>0</v>
      </c>
      <c r="BY225" s="319">
        <f>BX225+BW225+BV225</f>
        <v>2841008</v>
      </c>
      <c r="BZ225" s="319">
        <f>BY225-BT225</f>
        <v>0</v>
      </c>
      <c r="CA225" s="319">
        <v>2841008</v>
      </c>
      <c r="CB225" s="319">
        <v>0</v>
      </c>
      <c r="CC225" s="319">
        <v>0</v>
      </c>
      <c r="CD225" s="319">
        <f>CC225+CB225+CA225</f>
        <v>2841008</v>
      </c>
      <c r="CE225" s="319">
        <f>CD225-BY225</f>
        <v>0</v>
      </c>
      <c r="CF225" s="319">
        <v>2841008</v>
      </c>
      <c r="CG225" s="319">
        <v>0</v>
      </c>
      <c r="CH225" s="319">
        <v>0</v>
      </c>
      <c r="CI225" s="319">
        <f>CH225+CG225+CF225</f>
        <v>2841008</v>
      </c>
      <c r="CJ225" s="319">
        <f>CI225-CD225</f>
        <v>0</v>
      </c>
      <c r="CK225" s="319">
        <v>2841008</v>
      </c>
      <c r="CL225" s="319">
        <v>0</v>
      </c>
      <c r="CM225" s="319">
        <v>0</v>
      </c>
      <c r="CN225" s="319">
        <f>CM225+CL225+CK225</f>
        <v>2841008</v>
      </c>
      <c r="CO225" s="319">
        <f>CN225-CI225</f>
        <v>0</v>
      </c>
      <c r="CP225" s="319">
        <v>2841008</v>
      </c>
      <c r="CQ225" s="319">
        <v>0</v>
      </c>
      <c r="CR225" s="319">
        <v>0</v>
      </c>
      <c r="CS225" s="319">
        <f t="shared" si="1152"/>
        <v>2841008</v>
      </c>
      <c r="CT225" s="319">
        <f t="shared" si="1153"/>
        <v>0</v>
      </c>
      <c r="CU225" s="319">
        <v>2841008</v>
      </c>
      <c r="CV225" s="319">
        <v>0</v>
      </c>
      <c r="CW225" s="319">
        <v>0</v>
      </c>
      <c r="CX225" s="319">
        <f t="shared" si="1154"/>
        <v>2841008</v>
      </c>
      <c r="CY225" s="319">
        <f t="shared" si="1155"/>
        <v>0</v>
      </c>
      <c r="CZ225" s="319"/>
      <c r="DA225" s="319"/>
      <c r="DB225" s="319"/>
      <c r="DC225" s="12">
        <f t="shared" si="1179"/>
        <v>284100.8</v>
      </c>
      <c r="DD225" s="12">
        <v>0.8</v>
      </c>
      <c r="DE225" s="13">
        <f t="shared" si="1180"/>
        <v>284100</v>
      </c>
      <c r="DF225" s="14">
        <f t="shared" si="1156"/>
        <v>284100</v>
      </c>
      <c r="DG225" s="13">
        <f t="shared" si="1157"/>
        <v>3125108</v>
      </c>
      <c r="DH225" s="15">
        <f t="shared" si="1158"/>
        <v>0.22223206979822038</v>
      </c>
      <c r="DI225" s="16">
        <f t="shared" si="1159"/>
        <v>2841008</v>
      </c>
      <c r="DJ225" s="132">
        <f t="shared" si="1181"/>
        <v>3125108.8000000003</v>
      </c>
      <c r="DK225" s="17">
        <f t="shared" si="1182"/>
        <v>284100.80000000028</v>
      </c>
      <c r="DL225" s="17">
        <f t="shared" si="1160"/>
        <v>0.8</v>
      </c>
      <c r="DM225" s="16">
        <f t="shared" si="1183"/>
        <v>284100.00000000029</v>
      </c>
      <c r="DN225" s="16">
        <f t="shared" si="1161"/>
        <v>0</v>
      </c>
      <c r="DO225" s="16">
        <f t="shared" si="1184"/>
        <v>3125108.0000000005</v>
      </c>
      <c r="DP225" s="16">
        <f t="shared" si="1162"/>
        <v>0</v>
      </c>
      <c r="DQ225" s="9">
        <v>3125108</v>
      </c>
      <c r="DR225" s="18" t="s">
        <v>238</v>
      </c>
      <c r="DS225" s="18" t="s">
        <v>238</v>
      </c>
      <c r="DT225" s="324">
        <f t="shared" si="1185"/>
        <v>3125108</v>
      </c>
      <c r="DU225" s="321">
        <f t="shared" si="1186"/>
        <v>3125108</v>
      </c>
      <c r="DV225" s="19">
        <f t="shared" si="1187"/>
        <v>0</v>
      </c>
      <c r="DW225" s="9">
        <v>3125108</v>
      </c>
      <c r="DX225" s="18"/>
      <c r="DY225" s="18"/>
      <c r="DZ225" s="324">
        <f t="shared" si="1188"/>
        <v>3125108</v>
      </c>
      <c r="EA225" s="321">
        <f t="shared" si="1189"/>
        <v>3125108</v>
      </c>
      <c r="EB225" s="179">
        <f t="shared" si="1163"/>
        <v>0</v>
      </c>
      <c r="EC225" s="9">
        <v>3125108</v>
      </c>
      <c r="ED225" s="18" t="s">
        <v>238</v>
      </c>
      <c r="EE225" s="18" t="s">
        <v>238</v>
      </c>
      <c r="EF225" s="324">
        <f t="shared" si="1190"/>
        <v>3125108</v>
      </c>
      <c r="EG225" s="321">
        <f t="shared" si="1191"/>
        <v>3125108</v>
      </c>
      <c r="EH225" s="179">
        <f t="shared" si="1164"/>
        <v>0</v>
      </c>
      <c r="EI225" s="9">
        <v>3125108</v>
      </c>
      <c r="EJ225" s="18" t="s">
        <v>238</v>
      </c>
      <c r="EK225" s="18" t="s">
        <v>238</v>
      </c>
      <c r="EL225" s="324">
        <f t="shared" si="1192"/>
        <v>3125108</v>
      </c>
      <c r="EM225" s="321">
        <f t="shared" si="1193"/>
        <v>3125108</v>
      </c>
      <c r="EN225" s="179">
        <f t="shared" si="1165"/>
        <v>0</v>
      </c>
      <c r="EO225" s="9">
        <v>3125108</v>
      </c>
      <c r="EP225" s="18" t="s">
        <v>238</v>
      </c>
      <c r="EQ225" s="18" t="s">
        <v>238</v>
      </c>
      <c r="ER225" s="324">
        <f t="shared" si="1194"/>
        <v>3125108</v>
      </c>
      <c r="ES225" s="321">
        <f t="shared" si="1195"/>
        <v>3125108</v>
      </c>
      <c r="ET225" s="179">
        <f t="shared" si="1166"/>
        <v>0</v>
      </c>
      <c r="EU225" s="9">
        <v>3125108</v>
      </c>
      <c r="EV225" s="18" t="s">
        <v>238</v>
      </c>
      <c r="EW225" s="18" t="s">
        <v>238</v>
      </c>
      <c r="EX225" s="324">
        <f t="shared" si="1196"/>
        <v>3125108</v>
      </c>
      <c r="EY225" s="321">
        <f t="shared" si="1197"/>
        <v>3125108</v>
      </c>
      <c r="EZ225" s="179">
        <f t="shared" si="1167"/>
        <v>0</v>
      </c>
      <c r="FA225" s="9">
        <v>3125108</v>
      </c>
      <c r="FB225" s="18" t="s">
        <v>238</v>
      </c>
      <c r="FC225" s="18" t="s">
        <v>238</v>
      </c>
      <c r="FD225" s="324">
        <f t="shared" si="1198"/>
        <v>3125108</v>
      </c>
      <c r="FE225" s="321">
        <f t="shared" si="1199"/>
        <v>3125108</v>
      </c>
      <c r="FF225" s="179">
        <f t="shared" si="1168"/>
        <v>0</v>
      </c>
      <c r="FG225" s="9">
        <v>3125108</v>
      </c>
      <c r="FH225" s="18" t="s">
        <v>238</v>
      </c>
      <c r="FI225" s="18" t="s">
        <v>238</v>
      </c>
      <c r="FJ225" s="324">
        <f t="shared" si="1200"/>
        <v>3125108</v>
      </c>
      <c r="FK225" s="321">
        <f t="shared" si="1201"/>
        <v>3125108</v>
      </c>
      <c r="FL225" s="179">
        <f t="shared" si="1169"/>
        <v>0</v>
      </c>
      <c r="FM225" s="9">
        <v>3125108</v>
      </c>
      <c r="FN225" s="18" t="s">
        <v>238</v>
      </c>
      <c r="FO225" s="18" t="s">
        <v>238</v>
      </c>
      <c r="FP225" s="324">
        <f t="shared" si="1202"/>
        <v>3125108</v>
      </c>
      <c r="FQ225" s="321">
        <f t="shared" si="1203"/>
        <v>3125108</v>
      </c>
      <c r="FR225" s="179">
        <f t="shared" si="1170"/>
        <v>0</v>
      </c>
      <c r="FS225" s="9">
        <v>3125108</v>
      </c>
      <c r="FT225" s="18" t="s">
        <v>238</v>
      </c>
      <c r="FU225" s="18" t="s">
        <v>238</v>
      </c>
      <c r="FV225" s="324">
        <f t="shared" si="1204"/>
        <v>3125108</v>
      </c>
      <c r="FW225" s="321">
        <f t="shared" si="1205"/>
        <v>3125108</v>
      </c>
      <c r="FX225" s="179">
        <f t="shared" si="1171"/>
        <v>0</v>
      </c>
      <c r="FY225" s="9">
        <v>3125108</v>
      </c>
      <c r="FZ225" s="18" t="s">
        <v>238</v>
      </c>
      <c r="GA225" s="18" t="s">
        <v>238</v>
      </c>
      <c r="GB225" s="324">
        <f t="shared" si="1206"/>
        <v>3125108</v>
      </c>
      <c r="GC225" s="321">
        <f t="shared" si="1207"/>
        <v>3125108</v>
      </c>
      <c r="GD225" s="179">
        <f t="shared" si="1172"/>
        <v>0</v>
      </c>
      <c r="GE225" s="9">
        <v>3125108</v>
      </c>
      <c r="GF225" s="18" t="s">
        <v>238</v>
      </c>
      <c r="GG225" s="18" t="s">
        <v>238</v>
      </c>
      <c r="GH225" s="324">
        <f t="shared" si="1208"/>
        <v>3125108</v>
      </c>
      <c r="GI225" s="321">
        <f t="shared" si="1209"/>
        <v>3125108</v>
      </c>
      <c r="GJ225" s="179">
        <f t="shared" si="1173"/>
        <v>0</v>
      </c>
      <c r="GK225" s="9">
        <v>3125108</v>
      </c>
      <c r="GL225" s="18" t="s">
        <v>238</v>
      </c>
      <c r="GM225" s="18" t="s">
        <v>238</v>
      </c>
      <c r="GN225" s="324">
        <f t="shared" si="1210"/>
        <v>3125108</v>
      </c>
      <c r="GO225" s="321">
        <f t="shared" si="1211"/>
        <v>3125108</v>
      </c>
      <c r="GP225" s="179">
        <f t="shared" si="1174"/>
        <v>0</v>
      </c>
      <c r="GQ225" s="9">
        <v>3125108</v>
      </c>
      <c r="GR225" s="18" t="s">
        <v>238</v>
      </c>
      <c r="GS225" s="18" t="s">
        <v>238</v>
      </c>
      <c r="GT225" s="324">
        <f t="shared" si="1212"/>
        <v>3125108</v>
      </c>
      <c r="GU225" s="321">
        <f t="shared" si="1213"/>
        <v>3125108</v>
      </c>
      <c r="GV225" s="179">
        <f t="shared" si="1175"/>
        <v>0</v>
      </c>
      <c r="GW225" s="9">
        <v>3281363</v>
      </c>
      <c r="GX225" s="18" t="s">
        <v>238</v>
      </c>
      <c r="GY225" s="18" t="s">
        <v>238</v>
      </c>
      <c r="GZ225" s="324">
        <f t="shared" si="1214"/>
        <v>3281363</v>
      </c>
      <c r="HA225" s="321">
        <f t="shared" si="1215"/>
        <v>3281363</v>
      </c>
      <c r="HB225" s="179">
        <f t="shared" si="1176"/>
        <v>156255</v>
      </c>
      <c r="HC225" s="102">
        <f t="shared" si="1177"/>
        <v>0.22223201290879119</v>
      </c>
      <c r="HD225" s="285">
        <f t="shared" si="1216"/>
        <v>0</v>
      </c>
      <c r="HE225" s="12">
        <f t="shared" si="1217"/>
        <v>156255.4</v>
      </c>
      <c r="HF225" s="12">
        <f t="shared" si="1178"/>
        <v>0.39999999999417923</v>
      </c>
      <c r="HG225" s="12">
        <f t="shared" si="1218"/>
        <v>156255</v>
      </c>
      <c r="HH225" s="14">
        <f t="shared" si="1219"/>
        <v>156255</v>
      </c>
      <c r="HI225" s="13">
        <f t="shared" si="1220"/>
        <v>3281363</v>
      </c>
      <c r="HJ225" s="102">
        <f t="shared" si="1221"/>
        <v>0.23334358510951614</v>
      </c>
      <c r="HK225" s="16">
        <f t="shared" si="1222"/>
        <v>3125108</v>
      </c>
      <c r="HL225" s="103">
        <f t="shared" si="1223"/>
        <v>3281363.4</v>
      </c>
      <c r="HM225" s="103">
        <f t="shared" si="1224"/>
        <v>156255.39999999991</v>
      </c>
      <c r="HN225" s="17">
        <f t="shared" si="1225"/>
        <v>0.39999999999417923</v>
      </c>
      <c r="HO225" s="56">
        <f t="shared" si="1226"/>
        <v>156254.99999999991</v>
      </c>
      <c r="HP225" s="16">
        <f t="shared" si="1227"/>
        <v>0</v>
      </c>
      <c r="HQ225" s="16">
        <f t="shared" si="1228"/>
        <v>3281363</v>
      </c>
      <c r="HR225" s="16">
        <f t="shared" si="1229"/>
        <v>0</v>
      </c>
    </row>
    <row r="226" spans="1:226" x14ac:dyDescent="0.3">
      <c r="A226" s="310">
        <v>12</v>
      </c>
      <c r="B226" s="133"/>
      <c r="C226" s="25" t="s">
        <v>537</v>
      </c>
      <c r="D226" s="2" t="s">
        <v>535</v>
      </c>
      <c r="E226" s="9"/>
      <c r="F226" s="9"/>
      <c r="G226" s="9"/>
      <c r="H226" s="324"/>
      <c r="I226" s="324"/>
      <c r="J226" s="324"/>
      <c r="K226" s="324"/>
      <c r="L226" s="324"/>
      <c r="M226" s="23"/>
      <c r="N226" s="23"/>
      <c r="O226" s="298"/>
      <c r="P226" s="298"/>
      <c r="Q226" s="298"/>
      <c r="R226" s="298"/>
      <c r="S226" s="298"/>
      <c r="T226" s="298"/>
      <c r="U226" s="298"/>
      <c r="V226" s="298"/>
      <c r="W226" s="298"/>
      <c r="X226" s="298"/>
      <c r="Y226" s="298"/>
      <c r="Z226" s="298"/>
      <c r="AA226" s="298"/>
      <c r="AB226" s="298"/>
      <c r="AC226" s="9"/>
      <c r="AD226" s="9"/>
      <c r="AE226" s="298"/>
      <c r="AF226" s="298"/>
      <c r="AG226" s="9"/>
      <c r="AH226" s="9"/>
      <c r="AI226" s="298"/>
      <c r="AJ226" s="298"/>
      <c r="AK226" s="9"/>
      <c r="AL226" s="9"/>
      <c r="AM226" s="298"/>
      <c r="AN226" s="298"/>
      <c r="AO226" s="9"/>
      <c r="AP226" s="9"/>
      <c r="AQ226" s="298"/>
      <c r="AR226" s="298">
        <v>0</v>
      </c>
      <c r="AS226" s="9">
        <v>0</v>
      </c>
      <c r="AT226" s="9">
        <v>0</v>
      </c>
      <c r="AU226" s="298">
        <f t="shared" si="1134"/>
        <v>0</v>
      </c>
      <c r="AV226" s="298">
        <v>0</v>
      </c>
      <c r="AW226" s="9">
        <v>0</v>
      </c>
      <c r="AX226" s="9"/>
      <c r="AY226" s="7">
        <f t="shared" si="1135"/>
        <v>0</v>
      </c>
      <c r="AZ226" s="8">
        <f t="shared" si="1136"/>
        <v>0</v>
      </c>
      <c r="BA226" s="8">
        <v>0</v>
      </c>
      <c r="BB226" s="8">
        <v>0</v>
      </c>
      <c r="BC226" s="8">
        <f t="shared" si="1138"/>
        <v>0</v>
      </c>
      <c r="BD226" s="8"/>
      <c r="BE226" s="8">
        <f t="shared" si="1139"/>
        <v>0</v>
      </c>
      <c r="BF226" s="10">
        <f t="shared" si="1140"/>
        <v>0</v>
      </c>
      <c r="BG226" s="11">
        <f t="shared" si="1141"/>
        <v>0</v>
      </c>
      <c r="BH226" s="319">
        <v>166055</v>
      </c>
      <c r="BI226" s="324">
        <v>0</v>
      </c>
      <c r="BJ226" s="324">
        <v>0</v>
      </c>
      <c r="BK226" s="319">
        <f t="shared" si="1142"/>
        <v>166055</v>
      </c>
      <c r="BL226" s="319">
        <v>166055</v>
      </c>
      <c r="BM226" s="319">
        <v>0</v>
      </c>
      <c r="BN226" s="319">
        <v>0</v>
      </c>
      <c r="BO226" s="319">
        <f>BN226+BM226+BL226</f>
        <v>166055</v>
      </c>
      <c r="BP226" s="319">
        <f>BO226-BK226</f>
        <v>0</v>
      </c>
      <c r="BQ226" s="319">
        <v>166055</v>
      </c>
      <c r="BR226" s="319">
        <v>0</v>
      </c>
      <c r="BS226" s="319">
        <v>0</v>
      </c>
      <c r="BT226" s="319">
        <f>BS226+BR226+BQ226</f>
        <v>166055</v>
      </c>
      <c r="BU226" s="319">
        <f>BT226-BO226</f>
        <v>0</v>
      </c>
      <c r="BV226" s="319">
        <v>166055</v>
      </c>
      <c r="BW226" s="319">
        <v>0</v>
      </c>
      <c r="BX226" s="319">
        <v>0</v>
      </c>
      <c r="BY226" s="319">
        <f>BX226+BW226+BV226</f>
        <v>166055</v>
      </c>
      <c r="BZ226" s="319">
        <f>BY226-BT226</f>
        <v>0</v>
      </c>
      <c r="CA226" s="319">
        <v>166055</v>
      </c>
      <c r="CB226" s="319">
        <v>0</v>
      </c>
      <c r="CC226" s="319">
        <v>0</v>
      </c>
      <c r="CD226" s="319">
        <f>CC226+CB226+CA226</f>
        <v>166055</v>
      </c>
      <c r="CE226" s="319">
        <f>CD226-BY226</f>
        <v>0</v>
      </c>
      <c r="CF226" s="319">
        <v>166055</v>
      </c>
      <c r="CG226" s="319">
        <v>0</v>
      </c>
      <c r="CH226" s="319">
        <v>0</v>
      </c>
      <c r="CI226" s="319">
        <f>CH226+CG226+CF226</f>
        <v>166055</v>
      </c>
      <c r="CJ226" s="319">
        <f>CI226-CD226</f>
        <v>0</v>
      </c>
      <c r="CK226" s="319">
        <v>166055</v>
      </c>
      <c r="CL226" s="319">
        <v>0</v>
      </c>
      <c r="CM226" s="319">
        <v>0</v>
      </c>
      <c r="CN226" s="319">
        <f>CM226+CL226+CK226</f>
        <v>166055</v>
      </c>
      <c r="CO226" s="319">
        <f>CN226-CI226</f>
        <v>0</v>
      </c>
      <c r="CP226" s="319">
        <v>166055</v>
      </c>
      <c r="CQ226" s="319">
        <v>0</v>
      </c>
      <c r="CR226" s="319">
        <v>0</v>
      </c>
      <c r="CS226" s="319">
        <f t="shared" si="1152"/>
        <v>166055</v>
      </c>
      <c r="CT226" s="319">
        <f t="shared" si="1153"/>
        <v>0</v>
      </c>
      <c r="CU226" s="319">
        <v>166055</v>
      </c>
      <c r="CV226" s="319">
        <v>0</v>
      </c>
      <c r="CW226" s="319">
        <v>0</v>
      </c>
      <c r="CX226" s="319">
        <f t="shared" si="1154"/>
        <v>166055</v>
      </c>
      <c r="CY226" s="319">
        <f t="shared" si="1155"/>
        <v>0</v>
      </c>
      <c r="CZ226" s="319"/>
      <c r="DA226" s="319"/>
      <c r="DB226" s="319"/>
      <c r="DC226" s="12">
        <f t="shared" si="1179"/>
        <v>16605.5</v>
      </c>
      <c r="DD226" s="12">
        <v>0.5</v>
      </c>
      <c r="DE226" s="13">
        <f t="shared" si="1180"/>
        <v>16605</v>
      </c>
      <c r="DF226" s="14">
        <f t="shared" si="1156"/>
        <v>16605</v>
      </c>
      <c r="DG226" s="13">
        <f t="shared" si="1157"/>
        <v>182660</v>
      </c>
      <c r="DH226" s="15">
        <f t="shared" si="1158"/>
        <v>1.2989314479347994E-2</v>
      </c>
      <c r="DI226" s="16">
        <f t="shared" si="1159"/>
        <v>166055</v>
      </c>
      <c r="DJ226" s="132">
        <f t="shared" si="1181"/>
        <v>182660.50000000003</v>
      </c>
      <c r="DK226" s="17">
        <f t="shared" si="1182"/>
        <v>16605.500000000029</v>
      </c>
      <c r="DL226" s="17">
        <f t="shared" si="1160"/>
        <v>0.5</v>
      </c>
      <c r="DM226" s="16">
        <f t="shared" si="1183"/>
        <v>16605.000000000029</v>
      </c>
      <c r="DN226" s="16">
        <f t="shared" si="1161"/>
        <v>2.9103830456733704E-11</v>
      </c>
      <c r="DO226" s="16">
        <f t="shared" si="1184"/>
        <v>182660.00000000003</v>
      </c>
      <c r="DP226" s="16">
        <f t="shared" si="1162"/>
        <v>0</v>
      </c>
      <c r="DQ226" s="9">
        <v>182660</v>
      </c>
      <c r="DR226" s="18" t="s">
        <v>238</v>
      </c>
      <c r="DS226" s="18" t="s">
        <v>238</v>
      </c>
      <c r="DT226" s="324">
        <f t="shared" si="1185"/>
        <v>182660</v>
      </c>
      <c r="DU226" s="321">
        <f t="shared" si="1186"/>
        <v>182660</v>
      </c>
      <c r="DV226" s="19">
        <f t="shared" si="1187"/>
        <v>0</v>
      </c>
      <c r="DW226" s="9">
        <v>182660</v>
      </c>
      <c r="DX226" s="18"/>
      <c r="DY226" s="18"/>
      <c r="DZ226" s="324">
        <f t="shared" si="1188"/>
        <v>182660</v>
      </c>
      <c r="EA226" s="321">
        <f t="shared" si="1189"/>
        <v>182660</v>
      </c>
      <c r="EB226" s="179">
        <f t="shared" si="1163"/>
        <v>0</v>
      </c>
      <c r="EC226" s="9">
        <v>182660</v>
      </c>
      <c r="ED226" s="18" t="s">
        <v>238</v>
      </c>
      <c r="EE226" s="18" t="s">
        <v>238</v>
      </c>
      <c r="EF226" s="324">
        <f t="shared" si="1190"/>
        <v>182660</v>
      </c>
      <c r="EG226" s="321">
        <f t="shared" si="1191"/>
        <v>182660</v>
      </c>
      <c r="EH226" s="179">
        <f t="shared" si="1164"/>
        <v>0</v>
      </c>
      <c r="EI226" s="9">
        <v>182660</v>
      </c>
      <c r="EJ226" s="18" t="s">
        <v>238</v>
      </c>
      <c r="EK226" s="18" t="s">
        <v>238</v>
      </c>
      <c r="EL226" s="324">
        <f t="shared" si="1192"/>
        <v>182660</v>
      </c>
      <c r="EM226" s="321">
        <f t="shared" si="1193"/>
        <v>182660</v>
      </c>
      <c r="EN226" s="179">
        <f t="shared" si="1165"/>
        <v>0</v>
      </c>
      <c r="EO226" s="9">
        <v>182660</v>
      </c>
      <c r="EP226" s="18" t="s">
        <v>238</v>
      </c>
      <c r="EQ226" s="18" t="s">
        <v>238</v>
      </c>
      <c r="ER226" s="324">
        <f t="shared" si="1194"/>
        <v>182660</v>
      </c>
      <c r="ES226" s="321">
        <f t="shared" si="1195"/>
        <v>182660</v>
      </c>
      <c r="ET226" s="179">
        <f t="shared" si="1166"/>
        <v>0</v>
      </c>
      <c r="EU226" s="9">
        <v>182660</v>
      </c>
      <c r="EV226" s="18" t="s">
        <v>238</v>
      </c>
      <c r="EW226" s="18" t="s">
        <v>238</v>
      </c>
      <c r="EX226" s="324">
        <f t="shared" si="1196"/>
        <v>182660</v>
      </c>
      <c r="EY226" s="321">
        <f t="shared" si="1197"/>
        <v>182660</v>
      </c>
      <c r="EZ226" s="179">
        <f t="shared" si="1167"/>
        <v>0</v>
      </c>
      <c r="FA226" s="9">
        <v>182660</v>
      </c>
      <c r="FB226" s="18" t="s">
        <v>238</v>
      </c>
      <c r="FC226" s="18" t="s">
        <v>238</v>
      </c>
      <c r="FD226" s="324">
        <f t="shared" si="1198"/>
        <v>182660</v>
      </c>
      <c r="FE226" s="321">
        <f t="shared" si="1199"/>
        <v>182660</v>
      </c>
      <c r="FF226" s="179">
        <f t="shared" si="1168"/>
        <v>0</v>
      </c>
      <c r="FG226" s="9">
        <v>182660</v>
      </c>
      <c r="FH226" s="18" t="s">
        <v>238</v>
      </c>
      <c r="FI226" s="18" t="s">
        <v>238</v>
      </c>
      <c r="FJ226" s="324">
        <f t="shared" si="1200"/>
        <v>182660</v>
      </c>
      <c r="FK226" s="321">
        <f t="shared" si="1201"/>
        <v>182660</v>
      </c>
      <c r="FL226" s="179">
        <f t="shared" si="1169"/>
        <v>0</v>
      </c>
      <c r="FM226" s="9">
        <v>182660</v>
      </c>
      <c r="FN226" s="18" t="s">
        <v>238</v>
      </c>
      <c r="FO226" s="18" t="s">
        <v>238</v>
      </c>
      <c r="FP226" s="324">
        <f t="shared" si="1202"/>
        <v>182660</v>
      </c>
      <c r="FQ226" s="321">
        <f t="shared" si="1203"/>
        <v>182660</v>
      </c>
      <c r="FR226" s="179">
        <f t="shared" si="1170"/>
        <v>0</v>
      </c>
      <c r="FS226" s="9">
        <v>182660</v>
      </c>
      <c r="FT226" s="18" t="s">
        <v>238</v>
      </c>
      <c r="FU226" s="18" t="s">
        <v>238</v>
      </c>
      <c r="FV226" s="324">
        <f t="shared" si="1204"/>
        <v>182660</v>
      </c>
      <c r="FW226" s="321">
        <f t="shared" si="1205"/>
        <v>182660</v>
      </c>
      <c r="FX226" s="179">
        <f t="shared" si="1171"/>
        <v>0</v>
      </c>
      <c r="FY226" s="9">
        <v>182660</v>
      </c>
      <c r="FZ226" s="18" t="s">
        <v>238</v>
      </c>
      <c r="GA226" s="18" t="s">
        <v>238</v>
      </c>
      <c r="GB226" s="324">
        <f t="shared" si="1206"/>
        <v>182660</v>
      </c>
      <c r="GC226" s="321">
        <f t="shared" si="1207"/>
        <v>182660</v>
      </c>
      <c r="GD226" s="179">
        <f t="shared" si="1172"/>
        <v>0</v>
      </c>
      <c r="GE226" s="9">
        <v>182660</v>
      </c>
      <c r="GF226" s="18" t="s">
        <v>238</v>
      </c>
      <c r="GG226" s="18" t="s">
        <v>238</v>
      </c>
      <c r="GH226" s="324">
        <f t="shared" si="1208"/>
        <v>182660</v>
      </c>
      <c r="GI226" s="321">
        <f t="shared" si="1209"/>
        <v>182660</v>
      </c>
      <c r="GJ226" s="179">
        <f t="shared" si="1173"/>
        <v>0</v>
      </c>
      <c r="GK226" s="9">
        <v>182660</v>
      </c>
      <c r="GL226" s="18" t="s">
        <v>238</v>
      </c>
      <c r="GM226" s="18" t="s">
        <v>238</v>
      </c>
      <c r="GN226" s="324">
        <f t="shared" si="1210"/>
        <v>182660</v>
      </c>
      <c r="GO226" s="321">
        <f t="shared" si="1211"/>
        <v>182660</v>
      </c>
      <c r="GP226" s="179">
        <f t="shared" si="1174"/>
        <v>0</v>
      </c>
      <c r="GQ226" s="9">
        <v>182660</v>
      </c>
      <c r="GR226" s="18" t="s">
        <v>238</v>
      </c>
      <c r="GS226" s="18" t="s">
        <v>238</v>
      </c>
      <c r="GT226" s="324">
        <f t="shared" si="1212"/>
        <v>182660</v>
      </c>
      <c r="GU226" s="321">
        <f t="shared" si="1213"/>
        <v>182660</v>
      </c>
      <c r="GV226" s="179">
        <f t="shared" si="1175"/>
        <v>0</v>
      </c>
      <c r="GW226" s="9">
        <v>191793</v>
      </c>
      <c r="GX226" s="18" t="s">
        <v>238</v>
      </c>
      <c r="GY226" s="18" t="s">
        <v>238</v>
      </c>
      <c r="GZ226" s="324">
        <f t="shared" si="1214"/>
        <v>191793</v>
      </c>
      <c r="HA226" s="321">
        <f t="shared" si="1215"/>
        <v>191793</v>
      </c>
      <c r="HB226" s="179">
        <f t="shared" si="1176"/>
        <v>9133</v>
      </c>
      <c r="HC226" s="102">
        <f t="shared" si="1177"/>
        <v>1.2989278923454741E-2</v>
      </c>
      <c r="HD226" s="285">
        <f t="shared" si="1216"/>
        <v>0</v>
      </c>
      <c r="HE226" s="12">
        <f t="shared" si="1217"/>
        <v>9133</v>
      </c>
      <c r="HF226" s="12">
        <f t="shared" si="1178"/>
        <v>0</v>
      </c>
      <c r="HG226" s="12">
        <f t="shared" si="1218"/>
        <v>9133</v>
      </c>
      <c r="HH226" s="14">
        <f t="shared" si="1219"/>
        <v>9133</v>
      </c>
      <c r="HI226" s="13">
        <f t="shared" si="1220"/>
        <v>191793</v>
      </c>
      <c r="HJ226" s="102">
        <f t="shared" si="1221"/>
        <v>1.3638742869627478E-2</v>
      </c>
      <c r="HK226" s="16">
        <f t="shared" si="1222"/>
        <v>182660</v>
      </c>
      <c r="HL226" s="103">
        <f t="shared" si="1223"/>
        <v>191793</v>
      </c>
      <c r="HM226" s="103">
        <f t="shared" si="1224"/>
        <v>9133</v>
      </c>
      <c r="HN226" s="17">
        <f t="shared" si="1225"/>
        <v>0</v>
      </c>
      <c r="HO226" s="56">
        <f t="shared" si="1226"/>
        <v>9133</v>
      </c>
      <c r="HP226" s="16">
        <f t="shared" si="1227"/>
        <v>0</v>
      </c>
      <c r="HQ226" s="16">
        <f t="shared" si="1228"/>
        <v>191793</v>
      </c>
      <c r="HR226" s="16">
        <f t="shared" si="1229"/>
        <v>0</v>
      </c>
    </row>
    <row r="227" spans="1:226" x14ac:dyDescent="0.3">
      <c r="A227" s="310">
        <v>7</v>
      </c>
      <c r="B227" s="133"/>
      <c r="C227" s="310" t="s">
        <v>318</v>
      </c>
      <c r="D227" s="2" t="s">
        <v>161</v>
      </c>
      <c r="E227" s="9"/>
      <c r="F227" s="9"/>
      <c r="G227" s="9"/>
      <c r="H227" s="324"/>
      <c r="I227" s="324">
        <v>2576879</v>
      </c>
      <c r="J227" s="324"/>
      <c r="K227" s="324"/>
      <c r="L227" s="324">
        <v>2576879</v>
      </c>
      <c r="M227" s="23">
        <v>2576879</v>
      </c>
      <c r="N227" s="23">
        <v>2576879</v>
      </c>
      <c r="O227" s="298">
        <v>2576879</v>
      </c>
      <c r="P227" s="298">
        <v>2576879</v>
      </c>
      <c r="Q227" s="298">
        <v>2576879</v>
      </c>
      <c r="R227" s="298">
        <v>2576879</v>
      </c>
      <c r="S227" s="298">
        <v>2576879</v>
      </c>
      <c r="T227" s="298">
        <v>2576879</v>
      </c>
      <c r="U227" s="298">
        <f>T227*5%</f>
        <v>128843.95000000001</v>
      </c>
      <c r="V227" s="298">
        <f>T227+U227</f>
        <v>2705722.95</v>
      </c>
      <c r="W227" s="298">
        <v>2705722</v>
      </c>
      <c r="X227" s="298">
        <v>2705722</v>
      </c>
      <c r="Y227" s="298">
        <v>2705722</v>
      </c>
      <c r="Z227" s="298">
        <v>2705722</v>
      </c>
      <c r="AA227" s="298">
        <v>2705722</v>
      </c>
      <c r="AB227" s="298">
        <v>2705722</v>
      </c>
      <c r="AC227" s="9">
        <v>0</v>
      </c>
      <c r="AD227" s="9">
        <v>0</v>
      </c>
      <c r="AE227" s="298">
        <f>AD227+AC227+AB227</f>
        <v>2705722</v>
      </c>
      <c r="AF227" s="298">
        <v>2705722</v>
      </c>
      <c r="AG227" s="9">
        <v>0</v>
      </c>
      <c r="AH227" s="9">
        <v>0</v>
      </c>
      <c r="AI227" s="298">
        <f>AH227+AG227+AF227</f>
        <v>2705722</v>
      </c>
      <c r="AJ227" s="298">
        <v>2705722</v>
      </c>
      <c r="AK227" s="9">
        <v>0</v>
      </c>
      <c r="AL227" s="9">
        <v>0</v>
      </c>
      <c r="AM227" s="298">
        <f>AL227+AK227+AJ227</f>
        <v>2705722</v>
      </c>
      <c r="AN227" s="298">
        <v>2705722</v>
      </c>
      <c r="AO227" s="9">
        <v>0</v>
      </c>
      <c r="AP227" s="9">
        <v>0</v>
      </c>
      <c r="AQ227" s="298">
        <f>AP227+AO227+AN227</f>
        <v>2705722</v>
      </c>
      <c r="AR227" s="298">
        <v>2705722</v>
      </c>
      <c r="AS227" s="9">
        <v>0</v>
      </c>
      <c r="AT227" s="9">
        <v>0</v>
      </c>
      <c r="AU227" s="298">
        <f t="shared" si="1134"/>
        <v>2705722</v>
      </c>
      <c r="AV227" s="298">
        <v>2705722</v>
      </c>
      <c r="AW227" s="9">
        <v>0</v>
      </c>
      <c r="AX227" s="9">
        <v>0</v>
      </c>
      <c r="AY227" s="7">
        <f t="shared" si="1135"/>
        <v>2705722</v>
      </c>
      <c r="AZ227" s="8">
        <f t="shared" si="1136"/>
        <v>135286.1</v>
      </c>
      <c r="BA227" s="8">
        <v>0.1</v>
      </c>
      <c r="BB227" s="8">
        <f>AZ227-BA227</f>
        <v>135286</v>
      </c>
      <c r="BC227" s="8">
        <f t="shared" si="1138"/>
        <v>2841008</v>
      </c>
      <c r="BD227" s="8">
        <f>-2841008</f>
        <v>-2841008</v>
      </c>
      <c r="BE227" s="8">
        <f t="shared" si="1139"/>
        <v>0</v>
      </c>
      <c r="BF227" s="10">
        <f t="shared" si="1140"/>
        <v>-2705722</v>
      </c>
      <c r="BG227" s="11">
        <f t="shared" si="1141"/>
        <v>-2841008</v>
      </c>
      <c r="BH227" s="319">
        <v>0</v>
      </c>
      <c r="BI227" s="324">
        <v>0</v>
      </c>
      <c r="BJ227" s="324">
        <v>0</v>
      </c>
      <c r="BK227" s="319">
        <f t="shared" si="1142"/>
        <v>0</v>
      </c>
      <c r="BL227" s="319"/>
      <c r="BM227" s="319">
        <v>0</v>
      </c>
      <c r="BN227" s="319">
        <v>0</v>
      </c>
      <c r="BO227" s="319">
        <f t="shared" si="1143"/>
        <v>0</v>
      </c>
      <c r="BP227" s="319">
        <f t="shared" si="1230"/>
        <v>0</v>
      </c>
      <c r="BQ227" s="319"/>
      <c r="BR227" s="319">
        <v>0</v>
      </c>
      <c r="BS227" s="319">
        <v>0</v>
      </c>
      <c r="BT227" s="319">
        <f t="shared" si="1144"/>
        <v>0</v>
      </c>
      <c r="BU227" s="319">
        <f t="shared" si="1145"/>
        <v>0</v>
      </c>
      <c r="BV227" s="319">
        <v>0</v>
      </c>
      <c r="BW227" s="319">
        <v>0</v>
      </c>
      <c r="BX227" s="319">
        <v>0</v>
      </c>
      <c r="BY227" s="319">
        <f t="shared" si="1146"/>
        <v>0</v>
      </c>
      <c r="BZ227" s="319">
        <f t="shared" si="1147"/>
        <v>0</v>
      </c>
      <c r="CA227" s="319">
        <v>0</v>
      </c>
      <c r="CB227" s="319">
        <v>0</v>
      </c>
      <c r="CC227" s="319">
        <v>0</v>
      </c>
      <c r="CD227" s="319">
        <f t="shared" si="1148"/>
        <v>0</v>
      </c>
      <c r="CE227" s="319">
        <f t="shared" si="1149"/>
        <v>0</v>
      </c>
      <c r="CF227" s="319"/>
      <c r="CG227" s="319">
        <v>0</v>
      </c>
      <c r="CH227" s="319">
        <v>0</v>
      </c>
      <c r="CI227" s="319">
        <f t="shared" si="1150"/>
        <v>0</v>
      </c>
      <c r="CJ227" s="319">
        <f t="shared" si="1151"/>
        <v>0</v>
      </c>
      <c r="CK227" s="319">
        <v>0</v>
      </c>
      <c r="CL227" s="319">
        <v>0</v>
      </c>
      <c r="CM227" s="319">
        <v>0</v>
      </c>
      <c r="CN227" s="319">
        <f t="shared" si="1231"/>
        <v>0</v>
      </c>
      <c r="CO227" s="319">
        <f t="shared" si="1232"/>
        <v>0</v>
      </c>
      <c r="CP227" s="319"/>
      <c r="CQ227" s="319">
        <v>0</v>
      </c>
      <c r="CR227" s="319">
        <v>0</v>
      </c>
      <c r="CS227" s="319">
        <f t="shared" si="1152"/>
        <v>0</v>
      </c>
      <c r="CT227" s="319">
        <f t="shared" si="1153"/>
        <v>0</v>
      </c>
      <c r="CU227" s="319">
        <v>0</v>
      </c>
      <c r="CV227" s="319">
        <v>0</v>
      </c>
      <c r="CW227" s="319">
        <v>0</v>
      </c>
      <c r="CX227" s="319">
        <f t="shared" si="1154"/>
        <v>0</v>
      </c>
      <c r="CY227" s="319">
        <f t="shared" si="1155"/>
        <v>0</v>
      </c>
      <c r="CZ227" s="319"/>
      <c r="DA227" s="319"/>
      <c r="DB227" s="319"/>
      <c r="DC227" s="12">
        <f t="shared" si="1179"/>
        <v>0</v>
      </c>
      <c r="DD227" s="12">
        <v>0</v>
      </c>
      <c r="DE227" s="13">
        <f t="shared" si="1180"/>
        <v>0</v>
      </c>
      <c r="DF227" s="14">
        <f t="shared" si="1156"/>
        <v>0</v>
      </c>
      <c r="DG227" s="13">
        <f t="shared" si="1157"/>
        <v>0</v>
      </c>
      <c r="DH227" s="15">
        <f t="shared" si="1158"/>
        <v>0</v>
      </c>
      <c r="DI227" s="16">
        <f t="shared" si="1159"/>
        <v>0</v>
      </c>
      <c r="DJ227" s="132">
        <f t="shared" si="1181"/>
        <v>0</v>
      </c>
      <c r="DK227" s="17">
        <f t="shared" si="1182"/>
        <v>0</v>
      </c>
      <c r="DL227" s="17">
        <f t="shared" si="1160"/>
        <v>0</v>
      </c>
      <c r="DM227" s="16">
        <f t="shared" si="1183"/>
        <v>0</v>
      </c>
      <c r="DN227" s="16">
        <f t="shared" si="1161"/>
        <v>0</v>
      </c>
      <c r="DO227" s="16">
        <f t="shared" si="1184"/>
        <v>0</v>
      </c>
      <c r="DP227" s="16">
        <f t="shared" si="1162"/>
        <v>0</v>
      </c>
      <c r="DQ227" s="9">
        <v>0</v>
      </c>
      <c r="DR227" s="18" t="s">
        <v>238</v>
      </c>
      <c r="DS227" s="18" t="s">
        <v>238</v>
      </c>
      <c r="DT227" s="324">
        <f t="shared" si="1185"/>
        <v>0</v>
      </c>
      <c r="DU227" s="321">
        <f t="shared" si="1186"/>
        <v>0</v>
      </c>
      <c r="DV227" s="19">
        <f t="shared" si="1187"/>
        <v>0</v>
      </c>
      <c r="DW227" s="9"/>
      <c r="DX227" s="18"/>
      <c r="DY227" s="18"/>
      <c r="DZ227" s="324">
        <f t="shared" si="1188"/>
        <v>0</v>
      </c>
      <c r="EA227" s="321">
        <f t="shared" si="1189"/>
        <v>0</v>
      </c>
      <c r="EB227" s="179">
        <f t="shared" si="1163"/>
        <v>0</v>
      </c>
      <c r="EC227" s="9">
        <v>0</v>
      </c>
      <c r="ED227" s="18" t="s">
        <v>238</v>
      </c>
      <c r="EE227" s="18" t="s">
        <v>238</v>
      </c>
      <c r="EF227" s="324">
        <f t="shared" si="1190"/>
        <v>0</v>
      </c>
      <c r="EG227" s="321">
        <f t="shared" si="1191"/>
        <v>0</v>
      </c>
      <c r="EH227" s="179">
        <f t="shared" si="1164"/>
        <v>0</v>
      </c>
      <c r="EI227" s="9">
        <v>0</v>
      </c>
      <c r="EJ227" s="18" t="s">
        <v>238</v>
      </c>
      <c r="EK227" s="18" t="s">
        <v>238</v>
      </c>
      <c r="EL227" s="324">
        <f t="shared" si="1192"/>
        <v>0</v>
      </c>
      <c r="EM227" s="321">
        <f t="shared" si="1193"/>
        <v>0</v>
      </c>
      <c r="EN227" s="179">
        <f t="shared" si="1165"/>
        <v>0</v>
      </c>
      <c r="EO227" s="9">
        <v>0</v>
      </c>
      <c r="EP227" s="18" t="s">
        <v>238</v>
      </c>
      <c r="EQ227" s="18" t="s">
        <v>238</v>
      </c>
      <c r="ER227" s="324">
        <f t="shared" si="1194"/>
        <v>0</v>
      </c>
      <c r="ES227" s="321">
        <f t="shared" si="1195"/>
        <v>0</v>
      </c>
      <c r="ET227" s="179">
        <f t="shared" si="1166"/>
        <v>0</v>
      </c>
      <c r="EU227" s="9">
        <v>0</v>
      </c>
      <c r="EV227" s="18" t="s">
        <v>238</v>
      </c>
      <c r="EW227" s="18" t="s">
        <v>238</v>
      </c>
      <c r="EX227" s="324">
        <f t="shared" si="1196"/>
        <v>0</v>
      </c>
      <c r="EY227" s="321">
        <f t="shared" si="1197"/>
        <v>0</v>
      </c>
      <c r="EZ227" s="179">
        <f t="shared" si="1167"/>
        <v>0</v>
      </c>
      <c r="FA227" s="9">
        <v>0</v>
      </c>
      <c r="FB227" s="18" t="s">
        <v>238</v>
      </c>
      <c r="FC227" s="18" t="s">
        <v>238</v>
      </c>
      <c r="FD227" s="324">
        <f t="shared" si="1198"/>
        <v>0</v>
      </c>
      <c r="FE227" s="321">
        <f t="shared" si="1199"/>
        <v>0</v>
      </c>
      <c r="FF227" s="179">
        <f t="shared" si="1168"/>
        <v>0</v>
      </c>
      <c r="FG227" s="9">
        <v>0</v>
      </c>
      <c r="FH227" s="18" t="s">
        <v>238</v>
      </c>
      <c r="FI227" s="18" t="s">
        <v>238</v>
      </c>
      <c r="FJ227" s="324">
        <f t="shared" si="1200"/>
        <v>0</v>
      </c>
      <c r="FK227" s="321">
        <f t="shared" si="1201"/>
        <v>0</v>
      </c>
      <c r="FL227" s="179">
        <f t="shared" si="1169"/>
        <v>0</v>
      </c>
      <c r="FM227" s="18" t="s">
        <v>238</v>
      </c>
      <c r="FN227" s="18" t="s">
        <v>238</v>
      </c>
      <c r="FO227" s="18" t="s">
        <v>238</v>
      </c>
      <c r="FP227" s="324">
        <f t="shared" si="1202"/>
        <v>0</v>
      </c>
      <c r="FQ227" s="321">
        <f t="shared" si="1203"/>
        <v>0</v>
      </c>
      <c r="FR227" s="179">
        <f t="shared" si="1170"/>
        <v>0</v>
      </c>
      <c r="FS227" s="18" t="s">
        <v>238</v>
      </c>
      <c r="FT227" s="18" t="s">
        <v>238</v>
      </c>
      <c r="FU227" s="18" t="s">
        <v>238</v>
      </c>
      <c r="FV227" s="324">
        <f t="shared" si="1204"/>
        <v>0</v>
      </c>
      <c r="FW227" s="321">
        <f t="shared" si="1205"/>
        <v>0</v>
      </c>
      <c r="FX227" s="179">
        <f t="shared" si="1171"/>
        <v>0</v>
      </c>
      <c r="FY227" s="18" t="s">
        <v>238</v>
      </c>
      <c r="FZ227" s="18" t="s">
        <v>238</v>
      </c>
      <c r="GA227" s="18" t="s">
        <v>238</v>
      </c>
      <c r="GB227" s="324">
        <f t="shared" si="1206"/>
        <v>0</v>
      </c>
      <c r="GC227" s="321">
        <f t="shared" si="1207"/>
        <v>0</v>
      </c>
      <c r="GD227" s="179">
        <f t="shared" si="1172"/>
        <v>0</v>
      </c>
      <c r="GE227" s="18" t="s">
        <v>238</v>
      </c>
      <c r="GF227" s="18" t="s">
        <v>238</v>
      </c>
      <c r="GG227" s="18" t="s">
        <v>238</v>
      </c>
      <c r="GH227" s="324">
        <f t="shared" si="1208"/>
        <v>0</v>
      </c>
      <c r="GI227" s="321">
        <f t="shared" si="1209"/>
        <v>0</v>
      </c>
      <c r="GJ227" s="179">
        <f t="shared" si="1173"/>
        <v>0</v>
      </c>
      <c r="GK227" s="18" t="s">
        <v>238</v>
      </c>
      <c r="GL227" s="18" t="s">
        <v>238</v>
      </c>
      <c r="GM227" s="18" t="s">
        <v>238</v>
      </c>
      <c r="GN227" s="324">
        <f t="shared" si="1210"/>
        <v>0</v>
      </c>
      <c r="GO227" s="321">
        <f t="shared" si="1211"/>
        <v>0</v>
      </c>
      <c r="GP227" s="179">
        <f t="shared" si="1174"/>
        <v>0</v>
      </c>
      <c r="GQ227" s="18" t="s">
        <v>238</v>
      </c>
      <c r="GR227" s="18" t="s">
        <v>238</v>
      </c>
      <c r="GS227" s="18" t="s">
        <v>238</v>
      </c>
      <c r="GT227" s="324">
        <f t="shared" si="1212"/>
        <v>0</v>
      </c>
      <c r="GU227" s="321">
        <f t="shared" si="1213"/>
        <v>0</v>
      </c>
      <c r="GV227" s="179">
        <f t="shared" si="1175"/>
        <v>0</v>
      </c>
      <c r="GW227" s="18" t="s">
        <v>238</v>
      </c>
      <c r="GX227" s="18" t="s">
        <v>238</v>
      </c>
      <c r="GY227" s="18" t="s">
        <v>238</v>
      </c>
      <c r="GZ227" s="324">
        <f t="shared" si="1214"/>
        <v>0</v>
      </c>
      <c r="HA227" s="321">
        <f t="shared" si="1215"/>
        <v>0</v>
      </c>
      <c r="HB227" s="179">
        <f t="shared" si="1176"/>
        <v>0</v>
      </c>
      <c r="HC227" s="102">
        <f t="shared" si="1177"/>
        <v>0</v>
      </c>
      <c r="HD227" s="285">
        <f t="shared" si="1216"/>
        <v>0</v>
      </c>
      <c r="HE227" s="12">
        <f t="shared" si="1217"/>
        <v>0</v>
      </c>
      <c r="HF227" s="12">
        <f t="shared" si="1178"/>
        <v>0</v>
      </c>
      <c r="HG227" s="12">
        <f t="shared" si="1218"/>
        <v>0</v>
      </c>
      <c r="HH227" s="14">
        <f t="shared" si="1219"/>
        <v>0</v>
      </c>
      <c r="HI227" s="13">
        <f t="shared" si="1220"/>
        <v>0</v>
      </c>
      <c r="HJ227" s="102">
        <f t="shared" si="1221"/>
        <v>0</v>
      </c>
      <c r="HK227" s="16">
        <f t="shared" si="1222"/>
        <v>0</v>
      </c>
      <c r="HL227" s="103">
        <f t="shared" si="1223"/>
        <v>0</v>
      </c>
      <c r="HM227" s="103">
        <f t="shared" si="1224"/>
        <v>0</v>
      </c>
      <c r="HN227" s="17">
        <f t="shared" si="1225"/>
        <v>0</v>
      </c>
      <c r="HO227" s="56">
        <f t="shared" si="1226"/>
        <v>0</v>
      </c>
      <c r="HP227" s="16">
        <f t="shared" si="1227"/>
        <v>0</v>
      </c>
      <c r="HQ227" s="16">
        <f t="shared" si="1228"/>
        <v>0</v>
      </c>
      <c r="HR227" s="16">
        <f t="shared" si="1229"/>
        <v>0</v>
      </c>
    </row>
    <row r="228" spans="1:226" x14ac:dyDescent="0.3">
      <c r="A228" s="310">
        <v>8</v>
      </c>
      <c r="B228" s="133"/>
      <c r="C228" s="310" t="s">
        <v>289</v>
      </c>
      <c r="D228" s="2" t="s">
        <v>162</v>
      </c>
      <c r="E228" s="9"/>
      <c r="F228" s="9"/>
      <c r="G228" s="9"/>
      <c r="H228" s="324"/>
      <c r="I228" s="324">
        <v>403618</v>
      </c>
      <c r="J228" s="324"/>
      <c r="K228" s="324"/>
      <c r="L228" s="324">
        <v>275618</v>
      </c>
      <c r="M228" s="23">
        <v>150618</v>
      </c>
      <c r="N228" s="23">
        <v>150618</v>
      </c>
      <c r="O228" s="298">
        <v>150618</v>
      </c>
      <c r="P228" s="298">
        <v>150618</v>
      </c>
      <c r="Q228" s="298">
        <v>150618</v>
      </c>
      <c r="R228" s="298">
        <v>150618</v>
      </c>
      <c r="S228" s="298">
        <v>150618</v>
      </c>
      <c r="T228" s="298">
        <v>150618</v>
      </c>
      <c r="U228" s="298">
        <f>T228*5%</f>
        <v>7530.9000000000005</v>
      </c>
      <c r="V228" s="298">
        <f>T228+U228</f>
        <v>158148.9</v>
      </c>
      <c r="W228" s="298">
        <v>158148</v>
      </c>
      <c r="X228" s="298">
        <v>158148</v>
      </c>
      <c r="Y228" s="298">
        <v>158148</v>
      </c>
      <c r="Z228" s="298">
        <v>158148</v>
      </c>
      <c r="AA228" s="298">
        <v>158148</v>
      </c>
      <c r="AB228" s="298">
        <v>158148</v>
      </c>
      <c r="AC228" s="9">
        <v>0</v>
      </c>
      <c r="AD228" s="9">
        <v>0</v>
      </c>
      <c r="AE228" s="298">
        <f>AD228+AC228+AB228</f>
        <v>158148</v>
      </c>
      <c r="AF228" s="298">
        <v>158148</v>
      </c>
      <c r="AG228" s="9">
        <v>0</v>
      </c>
      <c r="AH228" s="9">
        <v>0</v>
      </c>
      <c r="AI228" s="298">
        <f>AH228+AG228+AF228</f>
        <v>158148</v>
      </c>
      <c r="AJ228" s="298">
        <v>158148</v>
      </c>
      <c r="AK228" s="9">
        <v>0</v>
      </c>
      <c r="AL228" s="9">
        <v>0</v>
      </c>
      <c r="AM228" s="298">
        <f>AL228+AK228+AJ228</f>
        <v>158148</v>
      </c>
      <c r="AN228" s="298">
        <v>158148</v>
      </c>
      <c r="AO228" s="9">
        <v>0</v>
      </c>
      <c r="AP228" s="9">
        <v>0</v>
      </c>
      <c r="AQ228" s="298">
        <f>AP228+AO228+AN228</f>
        <v>158148</v>
      </c>
      <c r="AR228" s="298">
        <v>158148</v>
      </c>
      <c r="AS228" s="9">
        <v>0</v>
      </c>
      <c r="AT228" s="9">
        <v>0</v>
      </c>
      <c r="AU228" s="298">
        <f t="shared" si="1134"/>
        <v>158148</v>
      </c>
      <c r="AV228" s="298">
        <v>158148</v>
      </c>
      <c r="AW228" s="9">
        <v>0</v>
      </c>
      <c r="AX228" s="9">
        <v>0</v>
      </c>
      <c r="AY228" s="7">
        <f t="shared" si="1135"/>
        <v>158148</v>
      </c>
      <c r="AZ228" s="8">
        <f t="shared" si="1136"/>
        <v>7907.4000000000005</v>
      </c>
      <c r="BA228" s="8">
        <v>0.4</v>
      </c>
      <c r="BB228" s="8">
        <f>AZ228-BA228</f>
        <v>7907.0000000000009</v>
      </c>
      <c r="BC228" s="8">
        <f t="shared" si="1138"/>
        <v>166055</v>
      </c>
      <c r="BD228" s="8">
        <f>-166055</f>
        <v>-166055</v>
      </c>
      <c r="BE228" s="8">
        <f t="shared" si="1139"/>
        <v>0</v>
      </c>
      <c r="BF228" s="10">
        <f t="shared" si="1140"/>
        <v>-158148</v>
      </c>
      <c r="BG228" s="11">
        <f t="shared" si="1141"/>
        <v>-166055</v>
      </c>
      <c r="BH228" s="319">
        <v>0</v>
      </c>
      <c r="BI228" s="324">
        <v>0</v>
      </c>
      <c r="BJ228" s="324">
        <v>0</v>
      </c>
      <c r="BK228" s="319">
        <f t="shared" si="1142"/>
        <v>0</v>
      </c>
      <c r="BL228" s="319"/>
      <c r="BM228" s="319">
        <v>0</v>
      </c>
      <c r="BN228" s="319">
        <v>0</v>
      </c>
      <c r="BO228" s="319">
        <f t="shared" si="1143"/>
        <v>0</v>
      </c>
      <c r="BP228" s="319">
        <f t="shared" si="1230"/>
        <v>0</v>
      </c>
      <c r="BQ228" s="319"/>
      <c r="BR228" s="319">
        <v>0</v>
      </c>
      <c r="BS228" s="319">
        <v>0</v>
      </c>
      <c r="BT228" s="319">
        <f t="shared" si="1144"/>
        <v>0</v>
      </c>
      <c r="BU228" s="319">
        <f t="shared" si="1145"/>
        <v>0</v>
      </c>
      <c r="BV228" s="319">
        <v>0</v>
      </c>
      <c r="BW228" s="319">
        <v>0</v>
      </c>
      <c r="BX228" s="319">
        <v>0</v>
      </c>
      <c r="BY228" s="319">
        <f t="shared" si="1146"/>
        <v>0</v>
      </c>
      <c r="BZ228" s="319">
        <f t="shared" si="1147"/>
        <v>0</v>
      </c>
      <c r="CA228" s="319">
        <v>0</v>
      </c>
      <c r="CB228" s="319">
        <v>0</v>
      </c>
      <c r="CC228" s="319">
        <v>0</v>
      </c>
      <c r="CD228" s="319">
        <f t="shared" si="1148"/>
        <v>0</v>
      </c>
      <c r="CE228" s="319">
        <f t="shared" si="1149"/>
        <v>0</v>
      </c>
      <c r="CF228" s="319"/>
      <c r="CG228" s="319">
        <v>0</v>
      </c>
      <c r="CH228" s="319">
        <v>0</v>
      </c>
      <c r="CI228" s="319">
        <f t="shared" si="1150"/>
        <v>0</v>
      </c>
      <c r="CJ228" s="319">
        <f t="shared" si="1151"/>
        <v>0</v>
      </c>
      <c r="CK228" s="319">
        <v>0</v>
      </c>
      <c r="CL228" s="319">
        <v>0</v>
      </c>
      <c r="CM228" s="319">
        <v>0</v>
      </c>
      <c r="CN228" s="319">
        <f t="shared" si="1231"/>
        <v>0</v>
      </c>
      <c r="CO228" s="319">
        <f t="shared" si="1232"/>
        <v>0</v>
      </c>
      <c r="CP228" s="319"/>
      <c r="CQ228" s="319">
        <v>0</v>
      </c>
      <c r="CR228" s="319">
        <v>0</v>
      </c>
      <c r="CS228" s="319">
        <f t="shared" si="1152"/>
        <v>0</v>
      </c>
      <c r="CT228" s="319">
        <f t="shared" si="1153"/>
        <v>0</v>
      </c>
      <c r="CU228" s="319">
        <v>0</v>
      </c>
      <c r="CV228" s="319">
        <v>0</v>
      </c>
      <c r="CW228" s="319">
        <v>0</v>
      </c>
      <c r="CX228" s="319">
        <f t="shared" si="1154"/>
        <v>0</v>
      </c>
      <c r="CY228" s="319">
        <f t="shared" si="1155"/>
        <v>0</v>
      </c>
      <c r="CZ228" s="319"/>
      <c r="DA228" s="319"/>
      <c r="DB228" s="319"/>
      <c r="DC228" s="12">
        <f t="shared" si="1179"/>
        <v>0</v>
      </c>
      <c r="DD228" s="12">
        <v>0</v>
      </c>
      <c r="DE228" s="13">
        <f t="shared" si="1180"/>
        <v>0</v>
      </c>
      <c r="DF228" s="14">
        <f t="shared" si="1156"/>
        <v>0</v>
      </c>
      <c r="DG228" s="13">
        <f t="shared" si="1157"/>
        <v>0</v>
      </c>
      <c r="DH228" s="15">
        <f t="shared" si="1158"/>
        <v>0</v>
      </c>
      <c r="DI228" s="16">
        <f t="shared" si="1159"/>
        <v>0</v>
      </c>
      <c r="DJ228" s="132">
        <f t="shared" si="1181"/>
        <v>0</v>
      </c>
      <c r="DK228" s="17">
        <f t="shared" si="1182"/>
        <v>0</v>
      </c>
      <c r="DL228" s="17">
        <f t="shared" si="1160"/>
        <v>0</v>
      </c>
      <c r="DM228" s="16">
        <f t="shared" si="1183"/>
        <v>0</v>
      </c>
      <c r="DN228" s="16">
        <f t="shared" si="1161"/>
        <v>0</v>
      </c>
      <c r="DO228" s="16">
        <f t="shared" si="1184"/>
        <v>0</v>
      </c>
      <c r="DP228" s="16">
        <f t="shared" si="1162"/>
        <v>0</v>
      </c>
      <c r="DQ228" s="9">
        <v>0</v>
      </c>
      <c r="DR228" s="18" t="s">
        <v>238</v>
      </c>
      <c r="DS228" s="18" t="s">
        <v>238</v>
      </c>
      <c r="DT228" s="324">
        <f t="shared" si="1185"/>
        <v>0</v>
      </c>
      <c r="DU228" s="321">
        <f t="shared" si="1186"/>
        <v>0</v>
      </c>
      <c r="DV228" s="19">
        <f t="shared" si="1187"/>
        <v>0</v>
      </c>
      <c r="DW228" s="9"/>
      <c r="DX228" s="18"/>
      <c r="DY228" s="18"/>
      <c r="DZ228" s="324">
        <f t="shared" si="1188"/>
        <v>0</v>
      </c>
      <c r="EA228" s="321">
        <f t="shared" si="1189"/>
        <v>0</v>
      </c>
      <c r="EB228" s="179">
        <f t="shared" si="1163"/>
        <v>0</v>
      </c>
      <c r="EC228" s="9">
        <v>0</v>
      </c>
      <c r="ED228" s="18" t="s">
        <v>238</v>
      </c>
      <c r="EE228" s="18" t="s">
        <v>238</v>
      </c>
      <c r="EF228" s="324">
        <f t="shared" si="1190"/>
        <v>0</v>
      </c>
      <c r="EG228" s="321">
        <f t="shared" si="1191"/>
        <v>0</v>
      </c>
      <c r="EH228" s="179">
        <f t="shared" si="1164"/>
        <v>0</v>
      </c>
      <c r="EI228" s="9">
        <v>0</v>
      </c>
      <c r="EJ228" s="18" t="s">
        <v>238</v>
      </c>
      <c r="EK228" s="18" t="s">
        <v>238</v>
      </c>
      <c r="EL228" s="324">
        <f t="shared" si="1192"/>
        <v>0</v>
      </c>
      <c r="EM228" s="321">
        <f t="shared" si="1193"/>
        <v>0</v>
      </c>
      <c r="EN228" s="179">
        <f t="shared" si="1165"/>
        <v>0</v>
      </c>
      <c r="EO228" s="9">
        <v>0</v>
      </c>
      <c r="EP228" s="18" t="s">
        <v>238</v>
      </c>
      <c r="EQ228" s="18" t="s">
        <v>238</v>
      </c>
      <c r="ER228" s="324">
        <f t="shared" si="1194"/>
        <v>0</v>
      </c>
      <c r="ES228" s="321">
        <f t="shared" si="1195"/>
        <v>0</v>
      </c>
      <c r="ET228" s="179">
        <f t="shared" si="1166"/>
        <v>0</v>
      </c>
      <c r="EU228" s="9">
        <v>0</v>
      </c>
      <c r="EV228" s="18" t="s">
        <v>238</v>
      </c>
      <c r="EW228" s="18" t="s">
        <v>238</v>
      </c>
      <c r="EX228" s="324">
        <f t="shared" si="1196"/>
        <v>0</v>
      </c>
      <c r="EY228" s="321">
        <f t="shared" si="1197"/>
        <v>0</v>
      </c>
      <c r="EZ228" s="179">
        <f t="shared" si="1167"/>
        <v>0</v>
      </c>
      <c r="FA228" s="9">
        <v>0</v>
      </c>
      <c r="FB228" s="18" t="s">
        <v>238</v>
      </c>
      <c r="FC228" s="18" t="s">
        <v>238</v>
      </c>
      <c r="FD228" s="324">
        <f t="shared" si="1198"/>
        <v>0</v>
      </c>
      <c r="FE228" s="321">
        <f t="shared" si="1199"/>
        <v>0</v>
      </c>
      <c r="FF228" s="179">
        <f t="shared" si="1168"/>
        <v>0</v>
      </c>
      <c r="FG228" s="9">
        <v>0</v>
      </c>
      <c r="FH228" s="18" t="s">
        <v>238</v>
      </c>
      <c r="FI228" s="18" t="s">
        <v>238</v>
      </c>
      <c r="FJ228" s="324">
        <f t="shared" si="1200"/>
        <v>0</v>
      </c>
      <c r="FK228" s="321">
        <f t="shared" si="1201"/>
        <v>0</v>
      </c>
      <c r="FL228" s="179">
        <f t="shared" si="1169"/>
        <v>0</v>
      </c>
      <c r="FM228" s="18" t="s">
        <v>238</v>
      </c>
      <c r="FN228" s="18" t="s">
        <v>238</v>
      </c>
      <c r="FO228" s="18" t="s">
        <v>238</v>
      </c>
      <c r="FP228" s="324">
        <f t="shared" si="1202"/>
        <v>0</v>
      </c>
      <c r="FQ228" s="321">
        <f t="shared" si="1203"/>
        <v>0</v>
      </c>
      <c r="FR228" s="179">
        <f t="shared" si="1170"/>
        <v>0</v>
      </c>
      <c r="FS228" s="18" t="s">
        <v>238</v>
      </c>
      <c r="FT228" s="18" t="s">
        <v>238</v>
      </c>
      <c r="FU228" s="18" t="s">
        <v>238</v>
      </c>
      <c r="FV228" s="324">
        <f t="shared" si="1204"/>
        <v>0</v>
      </c>
      <c r="FW228" s="321">
        <f t="shared" si="1205"/>
        <v>0</v>
      </c>
      <c r="FX228" s="179">
        <f t="shared" si="1171"/>
        <v>0</v>
      </c>
      <c r="FY228" s="18" t="s">
        <v>238</v>
      </c>
      <c r="FZ228" s="18" t="s">
        <v>238</v>
      </c>
      <c r="GA228" s="18" t="s">
        <v>238</v>
      </c>
      <c r="GB228" s="324">
        <f t="shared" si="1206"/>
        <v>0</v>
      </c>
      <c r="GC228" s="321">
        <f t="shared" si="1207"/>
        <v>0</v>
      </c>
      <c r="GD228" s="179">
        <f t="shared" si="1172"/>
        <v>0</v>
      </c>
      <c r="GE228" s="18" t="s">
        <v>238</v>
      </c>
      <c r="GF228" s="18" t="s">
        <v>238</v>
      </c>
      <c r="GG228" s="18" t="s">
        <v>238</v>
      </c>
      <c r="GH228" s="324">
        <f t="shared" si="1208"/>
        <v>0</v>
      </c>
      <c r="GI228" s="321">
        <f t="shared" si="1209"/>
        <v>0</v>
      </c>
      <c r="GJ228" s="179">
        <f t="shared" si="1173"/>
        <v>0</v>
      </c>
      <c r="GK228" s="18" t="s">
        <v>238</v>
      </c>
      <c r="GL228" s="18" t="s">
        <v>238</v>
      </c>
      <c r="GM228" s="18" t="s">
        <v>238</v>
      </c>
      <c r="GN228" s="324">
        <f t="shared" si="1210"/>
        <v>0</v>
      </c>
      <c r="GO228" s="321">
        <f t="shared" si="1211"/>
        <v>0</v>
      </c>
      <c r="GP228" s="179">
        <f t="shared" si="1174"/>
        <v>0</v>
      </c>
      <c r="GQ228" s="18" t="s">
        <v>238</v>
      </c>
      <c r="GR228" s="18" t="s">
        <v>238</v>
      </c>
      <c r="GS228" s="18" t="s">
        <v>238</v>
      </c>
      <c r="GT228" s="324">
        <f t="shared" si="1212"/>
        <v>0</v>
      </c>
      <c r="GU228" s="321">
        <f t="shared" si="1213"/>
        <v>0</v>
      </c>
      <c r="GV228" s="179">
        <f t="shared" si="1175"/>
        <v>0</v>
      </c>
      <c r="GW228" s="18" t="s">
        <v>238</v>
      </c>
      <c r="GX228" s="18" t="s">
        <v>238</v>
      </c>
      <c r="GY228" s="18" t="s">
        <v>238</v>
      </c>
      <c r="GZ228" s="324">
        <f t="shared" si="1214"/>
        <v>0</v>
      </c>
      <c r="HA228" s="321">
        <f t="shared" si="1215"/>
        <v>0</v>
      </c>
      <c r="HB228" s="179">
        <f t="shared" si="1176"/>
        <v>0</v>
      </c>
      <c r="HC228" s="102">
        <f t="shared" si="1177"/>
        <v>0</v>
      </c>
      <c r="HD228" s="285">
        <f t="shared" si="1216"/>
        <v>0</v>
      </c>
      <c r="HE228" s="12">
        <f t="shared" si="1217"/>
        <v>0</v>
      </c>
      <c r="HF228" s="12">
        <f t="shared" si="1178"/>
        <v>0</v>
      </c>
      <c r="HG228" s="12">
        <f t="shared" si="1218"/>
        <v>0</v>
      </c>
      <c r="HH228" s="14">
        <f t="shared" si="1219"/>
        <v>0</v>
      </c>
      <c r="HI228" s="13">
        <f t="shared" si="1220"/>
        <v>0</v>
      </c>
      <c r="HJ228" s="102">
        <f t="shared" si="1221"/>
        <v>0</v>
      </c>
      <c r="HK228" s="16">
        <f t="shared" si="1222"/>
        <v>0</v>
      </c>
      <c r="HL228" s="103">
        <f t="shared" si="1223"/>
        <v>0</v>
      </c>
      <c r="HM228" s="103">
        <f t="shared" si="1224"/>
        <v>0</v>
      </c>
      <c r="HN228" s="17">
        <f t="shared" si="1225"/>
        <v>0</v>
      </c>
      <c r="HO228" s="56">
        <f t="shared" si="1226"/>
        <v>0</v>
      </c>
      <c r="HP228" s="16">
        <f t="shared" si="1227"/>
        <v>0</v>
      </c>
      <c r="HQ228" s="16">
        <f t="shared" si="1228"/>
        <v>0</v>
      </c>
      <c r="HR228" s="16">
        <f t="shared" si="1229"/>
        <v>0</v>
      </c>
    </row>
    <row r="229" spans="1:226" x14ac:dyDescent="0.3">
      <c r="A229" s="310">
        <v>13</v>
      </c>
      <c r="B229" s="310" t="s">
        <v>151</v>
      </c>
      <c r="C229" s="310" t="s">
        <v>152</v>
      </c>
      <c r="D229" s="2" t="s">
        <v>153</v>
      </c>
      <c r="E229" s="9"/>
      <c r="F229" s="9"/>
      <c r="G229" s="9"/>
      <c r="H229" s="324"/>
      <c r="I229" s="324">
        <v>0</v>
      </c>
      <c r="J229" s="324"/>
      <c r="K229" s="324"/>
      <c r="L229" s="324">
        <v>0</v>
      </c>
      <c r="M229" s="23">
        <v>0</v>
      </c>
      <c r="N229" s="23">
        <v>0</v>
      </c>
      <c r="O229" s="298">
        <v>0</v>
      </c>
      <c r="P229" s="298">
        <v>0</v>
      </c>
      <c r="Q229" s="298">
        <v>0</v>
      </c>
      <c r="R229" s="298">
        <v>0</v>
      </c>
      <c r="S229" s="298">
        <v>0</v>
      </c>
      <c r="T229" s="298">
        <v>0</v>
      </c>
      <c r="U229" s="298">
        <f>T229*5%</f>
        <v>0</v>
      </c>
      <c r="V229" s="298">
        <f>T229+U229</f>
        <v>0</v>
      </c>
      <c r="W229" s="298">
        <v>0</v>
      </c>
      <c r="X229" s="298">
        <v>0</v>
      </c>
      <c r="Y229" s="298">
        <v>0</v>
      </c>
      <c r="Z229" s="298">
        <v>0</v>
      </c>
      <c r="AA229" s="298">
        <v>0</v>
      </c>
      <c r="AB229" s="298">
        <v>0</v>
      </c>
      <c r="AC229" s="9">
        <v>0</v>
      </c>
      <c r="AD229" s="9">
        <v>0</v>
      </c>
      <c r="AE229" s="298">
        <f>AD229+AC229+AB229</f>
        <v>0</v>
      </c>
      <c r="AF229" s="298">
        <v>0</v>
      </c>
      <c r="AG229" s="9">
        <v>0</v>
      </c>
      <c r="AH229" s="9">
        <v>0</v>
      </c>
      <c r="AI229" s="298">
        <f>AH229+AG229+AF229</f>
        <v>0</v>
      </c>
      <c r="AJ229" s="298">
        <v>0</v>
      </c>
      <c r="AK229" s="9">
        <v>0</v>
      </c>
      <c r="AL229" s="9">
        <v>0</v>
      </c>
      <c r="AM229" s="298">
        <f>AL229+AK229+AJ229</f>
        <v>0</v>
      </c>
      <c r="AN229" s="298">
        <v>0</v>
      </c>
      <c r="AO229" s="9">
        <v>0</v>
      </c>
      <c r="AP229" s="9">
        <v>0</v>
      </c>
      <c r="AQ229" s="298">
        <f>AP229+AO229+AN229</f>
        <v>0</v>
      </c>
      <c r="AR229" s="298">
        <v>0</v>
      </c>
      <c r="AS229" s="9">
        <v>0</v>
      </c>
      <c r="AT229" s="9">
        <v>0</v>
      </c>
      <c r="AU229" s="298">
        <f t="shared" si="1134"/>
        <v>0</v>
      </c>
      <c r="AV229" s="298">
        <v>0</v>
      </c>
      <c r="AW229" s="9">
        <v>0</v>
      </c>
      <c r="AX229" s="9">
        <v>0</v>
      </c>
      <c r="AY229" s="298">
        <f t="shared" si="1135"/>
        <v>0</v>
      </c>
      <c r="AZ229" s="8">
        <f t="shared" si="1136"/>
        <v>0</v>
      </c>
      <c r="BA229" s="8"/>
      <c r="BB229" s="8">
        <f>AZ229-BA229</f>
        <v>0</v>
      </c>
      <c r="BC229" s="8">
        <f t="shared" si="1138"/>
        <v>0</v>
      </c>
      <c r="BD229" s="8"/>
      <c r="BE229" s="8">
        <f t="shared" si="1139"/>
        <v>0</v>
      </c>
      <c r="BF229" s="10">
        <f t="shared" si="1140"/>
        <v>0</v>
      </c>
      <c r="BG229" s="81">
        <f t="shared" si="1141"/>
        <v>0</v>
      </c>
      <c r="BH229" s="324">
        <v>0</v>
      </c>
      <c r="BI229" s="324">
        <v>0</v>
      </c>
      <c r="BJ229" s="324">
        <v>0</v>
      </c>
      <c r="BK229" s="319">
        <f t="shared" si="1142"/>
        <v>0</v>
      </c>
      <c r="BL229" s="319">
        <v>0</v>
      </c>
      <c r="BM229" s="319">
        <v>0</v>
      </c>
      <c r="BN229" s="319">
        <v>0</v>
      </c>
      <c r="BO229" s="319">
        <f t="shared" si="1143"/>
        <v>0</v>
      </c>
      <c r="BP229" s="319">
        <f t="shared" si="1230"/>
        <v>0</v>
      </c>
      <c r="BQ229" s="319"/>
      <c r="BR229" s="319">
        <v>0</v>
      </c>
      <c r="BS229" s="319">
        <v>0</v>
      </c>
      <c r="BT229" s="319">
        <f t="shared" si="1144"/>
        <v>0</v>
      </c>
      <c r="BU229" s="319">
        <f t="shared" si="1145"/>
        <v>0</v>
      </c>
      <c r="BV229" s="319">
        <v>0</v>
      </c>
      <c r="BW229" s="319">
        <v>0</v>
      </c>
      <c r="BX229" s="319">
        <v>0</v>
      </c>
      <c r="BY229" s="319">
        <f t="shared" si="1146"/>
        <v>0</v>
      </c>
      <c r="BZ229" s="319">
        <f t="shared" si="1147"/>
        <v>0</v>
      </c>
      <c r="CA229" s="319">
        <v>0</v>
      </c>
      <c r="CB229" s="319">
        <v>0</v>
      </c>
      <c r="CC229" s="319">
        <v>0</v>
      </c>
      <c r="CD229" s="319">
        <f t="shared" si="1148"/>
        <v>0</v>
      </c>
      <c r="CE229" s="319">
        <f t="shared" si="1149"/>
        <v>0</v>
      </c>
      <c r="CF229" s="319"/>
      <c r="CG229" s="319">
        <v>0</v>
      </c>
      <c r="CH229" s="319">
        <v>0</v>
      </c>
      <c r="CI229" s="319">
        <f t="shared" si="1150"/>
        <v>0</v>
      </c>
      <c r="CJ229" s="319">
        <f t="shared" si="1151"/>
        <v>0</v>
      </c>
      <c r="CK229" s="319">
        <v>0</v>
      </c>
      <c r="CL229" s="319">
        <v>0</v>
      </c>
      <c r="CM229" s="319">
        <v>0</v>
      </c>
      <c r="CN229" s="319">
        <f t="shared" si="1231"/>
        <v>0</v>
      </c>
      <c r="CO229" s="319">
        <f t="shared" si="1232"/>
        <v>0</v>
      </c>
      <c r="CP229" s="319"/>
      <c r="CQ229" s="319">
        <v>0</v>
      </c>
      <c r="CR229" s="319">
        <v>0</v>
      </c>
      <c r="CS229" s="319">
        <f t="shared" si="1152"/>
        <v>0</v>
      </c>
      <c r="CT229" s="319">
        <f t="shared" si="1153"/>
        <v>0</v>
      </c>
      <c r="CU229" s="319">
        <v>0</v>
      </c>
      <c r="CV229" s="319">
        <v>0</v>
      </c>
      <c r="CW229" s="319">
        <v>0</v>
      </c>
      <c r="CX229" s="319">
        <f t="shared" si="1154"/>
        <v>0</v>
      </c>
      <c r="CY229" s="319">
        <f t="shared" si="1155"/>
        <v>0</v>
      </c>
      <c r="CZ229" s="319"/>
      <c r="DA229" s="319"/>
      <c r="DB229" s="319"/>
      <c r="DC229" s="12">
        <f t="shared" si="1179"/>
        <v>0</v>
      </c>
      <c r="DD229" s="12">
        <v>0</v>
      </c>
      <c r="DE229" s="13">
        <f t="shared" si="1180"/>
        <v>0</v>
      </c>
      <c r="DF229" s="14">
        <f t="shared" si="1156"/>
        <v>0</v>
      </c>
      <c r="DG229" s="13">
        <f t="shared" si="1157"/>
        <v>0</v>
      </c>
      <c r="DH229" s="15">
        <f t="shared" si="1158"/>
        <v>0</v>
      </c>
      <c r="DI229" s="16">
        <f t="shared" si="1159"/>
        <v>0</v>
      </c>
      <c r="DJ229" s="132">
        <f t="shared" si="1181"/>
        <v>0</v>
      </c>
      <c r="DK229" s="17">
        <f t="shared" si="1182"/>
        <v>0</v>
      </c>
      <c r="DL229" s="17">
        <f t="shared" si="1160"/>
        <v>0</v>
      </c>
      <c r="DM229" s="16">
        <f t="shared" si="1183"/>
        <v>0</v>
      </c>
      <c r="DN229" s="16">
        <f t="shared" si="1161"/>
        <v>0</v>
      </c>
      <c r="DO229" s="16">
        <f t="shared" si="1184"/>
        <v>0</v>
      </c>
      <c r="DP229" s="16">
        <f t="shared" si="1162"/>
        <v>0</v>
      </c>
      <c r="DQ229" s="9">
        <v>0</v>
      </c>
      <c r="DR229" s="18" t="s">
        <v>238</v>
      </c>
      <c r="DS229" s="18" t="s">
        <v>238</v>
      </c>
      <c r="DT229" s="324">
        <f t="shared" si="1185"/>
        <v>0</v>
      </c>
      <c r="DU229" s="321">
        <f t="shared" si="1186"/>
        <v>0</v>
      </c>
      <c r="DV229" s="19">
        <f t="shared" si="1187"/>
        <v>0</v>
      </c>
      <c r="DW229" s="9"/>
      <c r="DX229" s="18"/>
      <c r="DY229" s="18"/>
      <c r="DZ229" s="324">
        <f t="shared" si="1188"/>
        <v>0</v>
      </c>
      <c r="EA229" s="321">
        <f t="shared" si="1189"/>
        <v>0</v>
      </c>
      <c r="EB229" s="179">
        <f t="shared" si="1163"/>
        <v>0</v>
      </c>
      <c r="EC229" s="9">
        <v>0</v>
      </c>
      <c r="ED229" s="18" t="s">
        <v>238</v>
      </c>
      <c r="EE229" s="18" t="s">
        <v>238</v>
      </c>
      <c r="EF229" s="324">
        <f t="shared" si="1190"/>
        <v>0</v>
      </c>
      <c r="EG229" s="321">
        <f t="shared" si="1191"/>
        <v>0</v>
      </c>
      <c r="EH229" s="179">
        <f t="shared" si="1164"/>
        <v>0</v>
      </c>
      <c r="EI229" s="9">
        <v>0</v>
      </c>
      <c r="EJ229" s="18" t="s">
        <v>238</v>
      </c>
      <c r="EK229" s="18" t="s">
        <v>238</v>
      </c>
      <c r="EL229" s="324">
        <f t="shared" si="1192"/>
        <v>0</v>
      </c>
      <c r="EM229" s="321">
        <f t="shared" si="1193"/>
        <v>0</v>
      </c>
      <c r="EN229" s="179">
        <f t="shared" si="1165"/>
        <v>0</v>
      </c>
      <c r="EO229" s="9">
        <v>0</v>
      </c>
      <c r="EP229" s="18" t="s">
        <v>238</v>
      </c>
      <c r="EQ229" s="18" t="s">
        <v>238</v>
      </c>
      <c r="ER229" s="324">
        <f t="shared" si="1194"/>
        <v>0</v>
      </c>
      <c r="ES229" s="321">
        <f t="shared" si="1195"/>
        <v>0</v>
      </c>
      <c r="ET229" s="179">
        <f t="shared" si="1166"/>
        <v>0</v>
      </c>
      <c r="EU229" s="9">
        <v>0</v>
      </c>
      <c r="EV229" s="18" t="s">
        <v>238</v>
      </c>
      <c r="EW229" s="18" t="s">
        <v>238</v>
      </c>
      <c r="EX229" s="324">
        <f t="shared" si="1196"/>
        <v>0</v>
      </c>
      <c r="EY229" s="321">
        <f t="shared" si="1197"/>
        <v>0</v>
      </c>
      <c r="EZ229" s="179">
        <f t="shared" si="1167"/>
        <v>0</v>
      </c>
      <c r="FA229" s="9">
        <v>0</v>
      </c>
      <c r="FB229" s="18" t="s">
        <v>238</v>
      </c>
      <c r="FC229" s="18" t="s">
        <v>238</v>
      </c>
      <c r="FD229" s="324">
        <f t="shared" si="1198"/>
        <v>0</v>
      </c>
      <c r="FE229" s="321">
        <f t="shared" si="1199"/>
        <v>0</v>
      </c>
      <c r="FF229" s="179">
        <f t="shared" si="1168"/>
        <v>0</v>
      </c>
      <c r="FG229" s="9">
        <v>0</v>
      </c>
      <c r="FH229" s="18" t="s">
        <v>238</v>
      </c>
      <c r="FI229" s="18" t="s">
        <v>238</v>
      </c>
      <c r="FJ229" s="324">
        <f t="shared" si="1200"/>
        <v>0</v>
      </c>
      <c r="FK229" s="321">
        <f t="shared" si="1201"/>
        <v>0</v>
      </c>
      <c r="FL229" s="179">
        <f t="shared" si="1169"/>
        <v>0</v>
      </c>
      <c r="FM229" s="18" t="s">
        <v>238</v>
      </c>
      <c r="FN229" s="18" t="s">
        <v>238</v>
      </c>
      <c r="FO229" s="18" t="s">
        <v>238</v>
      </c>
      <c r="FP229" s="324">
        <f t="shared" si="1202"/>
        <v>0</v>
      </c>
      <c r="FQ229" s="321">
        <f t="shared" si="1203"/>
        <v>0</v>
      </c>
      <c r="FR229" s="179">
        <f t="shared" si="1170"/>
        <v>0</v>
      </c>
      <c r="FS229" s="18" t="s">
        <v>238</v>
      </c>
      <c r="FT229" s="18" t="s">
        <v>238</v>
      </c>
      <c r="FU229" s="18" t="s">
        <v>238</v>
      </c>
      <c r="FV229" s="324">
        <f t="shared" si="1204"/>
        <v>0</v>
      </c>
      <c r="FW229" s="321">
        <f t="shared" si="1205"/>
        <v>0</v>
      </c>
      <c r="FX229" s="179">
        <f t="shared" si="1171"/>
        <v>0</v>
      </c>
      <c r="FY229" s="18" t="s">
        <v>238</v>
      </c>
      <c r="FZ229" s="18" t="s">
        <v>238</v>
      </c>
      <c r="GA229" s="18" t="s">
        <v>238</v>
      </c>
      <c r="GB229" s="324">
        <f t="shared" si="1206"/>
        <v>0</v>
      </c>
      <c r="GC229" s="321">
        <f t="shared" si="1207"/>
        <v>0</v>
      </c>
      <c r="GD229" s="179">
        <f t="shared" si="1172"/>
        <v>0</v>
      </c>
      <c r="GE229" s="18" t="s">
        <v>238</v>
      </c>
      <c r="GF229" s="18" t="s">
        <v>238</v>
      </c>
      <c r="GG229" s="18" t="s">
        <v>238</v>
      </c>
      <c r="GH229" s="324">
        <f t="shared" si="1208"/>
        <v>0</v>
      </c>
      <c r="GI229" s="321">
        <f t="shared" si="1209"/>
        <v>0</v>
      </c>
      <c r="GJ229" s="179">
        <f t="shared" si="1173"/>
        <v>0</v>
      </c>
      <c r="GK229" s="18" t="s">
        <v>238</v>
      </c>
      <c r="GL229" s="18" t="s">
        <v>238</v>
      </c>
      <c r="GM229" s="18" t="s">
        <v>238</v>
      </c>
      <c r="GN229" s="324">
        <f t="shared" si="1210"/>
        <v>0</v>
      </c>
      <c r="GO229" s="321">
        <f t="shared" si="1211"/>
        <v>0</v>
      </c>
      <c r="GP229" s="179">
        <f t="shared" si="1174"/>
        <v>0</v>
      </c>
      <c r="GQ229" s="18" t="s">
        <v>238</v>
      </c>
      <c r="GR229" s="18" t="s">
        <v>238</v>
      </c>
      <c r="GS229" s="18" t="s">
        <v>238</v>
      </c>
      <c r="GT229" s="324">
        <f t="shared" si="1212"/>
        <v>0</v>
      </c>
      <c r="GU229" s="321">
        <f t="shared" si="1213"/>
        <v>0</v>
      </c>
      <c r="GV229" s="179">
        <f t="shared" si="1175"/>
        <v>0</v>
      </c>
      <c r="GW229" s="18" t="s">
        <v>238</v>
      </c>
      <c r="GX229" s="18" t="s">
        <v>238</v>
      </c>
      <c r="GY229" s="18" t="s">
        <v>238</v>
      </c>
      <c r="GZ229" s="324">
        <f t="shared" si="1214"/>
        <v>0</v>
      </c>
      <c r="HA229" s="321">
        <f t="shared" si="1215"/>
        <v>0</v>
      </c>
      <c r="HB229" s="179">
        <f t="shared" si="1176"/>
        <v>0</v>
      </c>
      <c r="HC229" s="102">
        <f t="shared" si="1177"/>
        <v>0</v>
      </c>
      <c r="HD229" s="285">
        <f t="shared" si="1216"/>
        <v>0</v>
      </c>
      <c r="HE229" s="12">
        <f t="shared" si="1217"/>
        <v>0</v>
      </c>
      <c r="HF229" s="12">
        <f t="shared" si="1178"/>
        <v>0</v>
      </c>
      <c r="HG229" s="12">
        <f t="shared" si="1218"/>
        <v>0</v>
      </c>
      <c r="HH229" s="14">
        <f t="shared" si="1219"/>
        <v>0</v>
      </c>
      <c r="HI229" s="13">
        <f t="shared" si="1220"/>
        <v>0</v>
      </c>
      <c r="HJ229" s="102">
        <f t="shared" si="1221"/>
        <v>0</v>
      </c>
      <c r="HK229" s="16">
        <f t="shared" si="1222"/>
        <v>0</v>
      </c>
      <c r="HL229" s="103">
        <f t="shared" si="1223"/>
        <v>0</v>
      </c>
      <c r="HM229" s="103">
        <f t="shared" si="1224"/>
        <v>0</v>
      </c>
      <c r="HN229" s="17">
        <f t="shared" si="1225"/>
        <v>0</v>
      </c>
      <c r="HO229" s="56">
        <f t="shared" si="1226"/>
        <v>0</v>
      </c>
      <c r="HP229" s="16">
        <f t="shared" si="1227"/>
        <v>0</v>
      </c>
      <c r="HQ229" s="16">
        <f t="shared" si="1228"/>
        <v>0</v>
      </c>
      <c r="HR229" s="16">
        <f t="shared" si="1229"/>
        <v>0</v>
      </c>
    </row>
    <row r="230" spans="1:226" x14ac:dyDescent="0.3">
      <c r="A230" s="140"/>
      <c r="B230" s="140"/>
      <c r="C230" s="140"/>
      <c r="D230" s="141" t="s">
        <v>216</v>
      </c>
      <c r="E230" s="139"/>
      <c r="F230" s="122">
        <f t="shared" ref="F230:BQ230" si="1233">SUM(F202:F229)</f>
        <v>0</v>
      </c>
      <c r="G230" s="122">
        <f t="shared" si="1233"/>
        <v>0</v>
      </c>
      <c r="H230" s="122">
        <f t="shared" si="1233"/>
        <v>0</v>
      </c>
      <c r="I230" s="122">
        <f t="shared" si="1233"/>
        <v>16435705</v>
      </c>
      <c r="J230" s="122">
        <f t="shared" si="1233"/>
        <v>0</v>
      </c>
      <c r="K230" s="122">
        <f t="shared" si="1233"/>
        <v>0</v>
      </c>
      <c r="L230" s="122">
        <f t="shared" si="1233"/>
        <v>16297233</v>
      </c>
      <c r="M230" s="122">
        <f t="shared" si="1233"/>
        <v>16082233</v>
      </c>
      <c r="N230" s="122">
        <f t="shared" si="1233"/>
        <v>15882233</v>
      </c>
      <c r="O230" s="122">
        <f t="shared" si="1233"/>
        <v>15882233</v>
      </c>
      <c r="P230" s="122">
        <f t="shared" si="1233"/>
        <v>15882233</v>
      </c>
      <c r="Q230" s="122">
        <f t="shared" si="1233"/>
        <v>15882233</v>
      </c>
      <c r="R230" s="122">
        <f t="shared" si="1233"/>
        <v>15882233</v>
      </c>
      <c r="S230" s="122">
        <f t="shared" si="1233"/>
        <v>15882233</v>
      </c>
      <c r="T230" s="122">
        <f t="shared" si="1233"/>
        <v>15322233</v>
      </c>
      <c r="U230" s="122">
        <f t="shared" si="1233"/>
        <v>766111.65</v>
      </c>
      <c r="V230" s="122">
        <f t="shared" si="1233"/>
        <v>16088344.65</v>
      </c>
      <c r="W230" s="122">
        <f t="shared" si="1233"/>
        <v>16116339</v>
      </c>
      <c r="X230" s="122">
        <f t="shared" si="1233"/>
        <v>16116339</v>
      </c>
      <c r="Y230" s="122">
        <f t="shared" si="1233"/>
        <v>16116339</v>
      </c>
      <c r="Z230" s="122">
        <f t="shared" si="1233"/>
        <v>16116339</v>
      </c>
      <c r="AA230" s="122">
        <f t="shared" si="1233"/>
        <v>15632339</v>
      </c>
      <c r="AB230" s="122">
        <f t="shared" si="1233"/>
        <v>15632979</v>
      </c>
      <c r="AC230" s="122">
        <f t="shared" si="1233"/>
        <v>0</v>
      </c>
      <c r="AD230" s="122">
        <f t="shared" si="1233"/>
        <v>0</v>
      </c>
      <c r="AE230" s="122">
        <f t="shared" si="1233"/>
        <v>15632979</v>
      </c>
      <c r="AF230" s="122">
        <f t="shared" si="1233"/>
        <v>15632339</v>
      </c>
      <c r="AG230" s="122">
        <f t="shared" si="1233"/>
        <v>0</v>
      </c>
      <c r="AH230" s="122">
        <f t="shared" si="1233"/>
        <v>0</v>
      </c>
      <c r="AI230" s="122">
        <f t="shared" si="1233"/>
        <v>15632339</v>
      </c>
      <c r="AJ230" s="122">
        <f t="shared" si="1233"/>
        <v>15632339</v>
      </c>
      <c r="AK230" s="122">
        <f t="shared" si="1233"/>
        <v>0</v>
      </c>
      <c r="AL230" s="122">
        <f t="shared" si="1233"/>
        <v>0</v>
      </c>
      <c r="AM230" s="122">
        <f t="shared" si="1233"/>
        <v>15632339</v>
      </c>
      <c r="AN230" s="122">
        <f t="shared" si="1233"/>
        <v>15222382</v>
      </c>
      <c r="AO230" s="122">
        <f t="shared" si="1233"/>
        <v>0</v>
      </c>
      <c r="AP230" s="122">
        <f t="shared" si="1233"/>
        <v>0</v>
      </c>
      <c r="AQ230" s="122">
        <f t="shared" si="1233"/>
        <v>15222382</v>
      </c>
      <c r="AR230" s="122">
        <f t="shared" si="1233"/>
        <v>15125009</v>
      </c>
      <c r="AS230" s="117">
        <f t="shared" si="1233"/>
        <v>0</v>
      </c>
      <c r="AT230" s="117">
        <f t="shared" si="1233"/>
        <v>0</v>
      </c>
      <c r="AU230" s="117">
        <f t="shared" si="1233"/>
        <v>15125009</v>
      </c>
      <c r="AV230" s="117">
        <f t="shared" si="1233"/>
        <v>15125009</v>
      </c>
      <c r="AW230" s="117">
        <f t="shared" si="1233"/>
        <v>0</v>
      </c>
      <c r="AX230" s="117">
        <f t="shared" si="1233"/>
        <v>0</v>
      </c>
      <c r="AY230" s="117">
        <f t="shared" si="1233"/>
        <v>19317346.5</v>
      </c>
      <c r="AZ230" s="117">
        <f t="shared" si="1233"/>
        <v>756250.45</v>
      </c>
      <c r="BA230" s="117">
        <f t="shared" si="1233"/>
        <v>5.45</v>
      </c>
      <c r="BB230" s="117">
        <f t="shared" si="1233"/>
        <v>756245</v>
      </c>
      <c r="BC230" s="117">
        <f t="shared" si="1233"/>
        <v>15881254</v>
      </c>
      <c r="BD230" s="117">
        <f t="shared" si="1233"/>
        <v>-3027063</v>
      </c>
      <c r="BE230" s="117">
        <f t="shared" si="1233"/>
        <v>12854191</v>
      </c>
      <c r="BF230" s="117">
        <f t="shared" si="1233"/>
        <v>-2270818</v>
      </c>
      <c r="BG230" s="117">
        <f t="shared" si="1233"/>
        <v>-3027063</v>
      </c>
      <c r="BH230" s="117">
        <f t="shared" si="1233"/>
        <v>15861254</v>
      </c>
      <c r="BI230" s="117">
        <f t="shared" si="1233"/>
        <v>0</v>
      </c>
      <c r="BJ230" s="117">
        <f t="shared" si="1233"/>
        <v>0</v>
      </c>
      <c r="BK230" s="117">
        <f t="shared" si="1233"/>
        <v>15861254</v>
      </c>
      <c r="BL230" s="117">
        <f t="shared" si="1233"/>
        <v>15861254</v>
      </c>
      <c r="BM230" s="117">
        <f t="shared" si="1233"/>
        <v>0</v>
      </c>
      <c r="BN230" s="117">
        <f t="shared" si="1233"/>
        <v>0</v>
      </c>
      <c r="BO230" s="117">
        <f t="shared" si="1233"/>
        <v>15861254</v>
      </c>
      <c r="BP230" s="117">
        <f t="shared" si="1233"/>
        <v>0</v>
      </c>
      <c r="BQ230" s="117">
        <f t="shared" si="1233"/>
        <v>15861254</v>
      </c>
      <c r="BR230" s="117">
        <f t="shared" ref="BR230:CT230" si="1234">SUM(BR202:BR229)</f>
        <v>0</v>
      </c>
      <c r="BS230" s="117">
        <f t="shared" si="1234"/>
        <v>0</v>
      </c>
      <c r="BT230" s="117">
        <f t="shared" si="1234"/>
        <v>15861254</v>
      </c>
      <c r="BU230" s="117">
        <f t="shared" si="1234"/>
        <v>0</v>
      </c>
      <c r="BV230" s="117">
        <f t="shared" si="1234"/>
        <v>15861254</v>
      </c>
      <c r="BW230" s="117">
        <f t="shared" si="1234"/>
        <v>0</v>
      </c>
      <c r="BX230" s="117">
        <f t="shared" si="1234"/>
        <v>0</v>
      </c>
      <c r="BY230" s="117">
        <f t="shared" si="1234"/>
        <v>15861254</v>
      </c>
      <c r="BZ230" s="117">
        <f t="shared" si="1234"/>
        <v>0</v>
      </c>
      <c r="CA230" s="117">
        <f t="shared" si="1234"/>
        <v>15861254</v>
      </c>
      <c r="CB230" s="117">
        <f t="shared" si="1234"/>
        <v>0</v>
      </c>
      <c r="CC230" s="117">
        <f t="shared" si="1234"/>
        <v>0</v>
      </c>
      <c r="CD230" s="117">
        <f t="shared" si="1234"/>
        <v>15861254</v>
      </c>
      <c r="CE230" s="117">
        <f t="shared" si="1234"/>
        <v>0</v>
      </c>
      <c r="CF230" s="117">
        <f t="shared" si="1234"/>
        <v>15861254</v>
      </c>
      <c r="CG230" s="117">
        <f t="shared" si="1234"/>
        <v>0</v>
      </c>
      <c r="CH230" s="117">
        <f t="shared" si="1234"/>
        <v>0</v>
      </c>
      <c r="CI230" s="117">
        <f t="shared" si="1234"/>
        <v>15861254</v>
      </c>
      <c r="CJ230" s="117">
        <f t="shared" si="1234"/>
        <v>0</v>
      </c>
      <c r="CK230" s="117">
        <f t="shared" si="1234"/>
        <v>15861254</v>
      </c>
      <c r="CL230" s="117">
        <f t="shared" si="1234"/>
        <v>0</v>
      </c>
      <c r="CM230" s="117">
        <f t="shared" si="1234"/>
        <v>0</v>
      </c>
      <c r="CN230" s="117">
        <f t="shared" si="1234"/>
        <v>15861254</v>
      </c>
      <c r="CO230" s="117">
        <f t="shared" si="1234"/>
        <v>0</v>
      </c>
      <c r="CP230" s="117">
        <f t="shared" si="1234"/>
        <v>15861254</v>
      </c>
      <c r="CQ230" s="117">
        <f t="shared" si="1234"/>
        <v>0</v>
      </c>
      <c r="CR230" s="117">
        <f t="shared" si="1234"/>
        <v>0</v>
      </c>
      <c r="CS230" s="117">
        <f t="shared" si="1234"/>
        <v>15861254</v>
      </c>
      <c r="CT230" s="117">
        <f t="shared" si="1234"/>
        <v>0</v>
      </c>
      <c r="CU230" s="117">
        <f>SUM(CU202:CU229)</f>
        <v>15843154</v>
      </c>
      <c r="CV230" s="117">
        <f>SUM(CV202:CV229)</f>
        <v>0</v>
      </c>
      <c r="CW230" s="117">
        <f>SUM(CW202:CW229)</f>
        <v>0</v>
      </c>
      <c r="CX230" s="117">
        <f>SUM(CX202:CX229)</f>
        <v>15843154</v>
      </c>
      <c r="CY230" s="117">
        <f>SUM(CY202:CY229)</f>
        <v>-18100</v>
      </c>
      <c r="CZ230" s="117"/>
      <c r="DA230" s="117"/>
      <c r="DB230" s="117"/>
      <c r="DC230" s="117"/>
      <c r="DD230" s="117"/>
      <c r="DE230" s="117"/>
      <c r="DF230" s="117"/>
      <c r="DG230" s="117"/>
      <c r="DH230" s="121">
        <f>SUM(DH202:DH229)</f>
        <v>1.2392984833382918</v>
      </c>
      <c r="DI230" s="121">
        <f t="shared" ref="DI230:HC230" si="1235">SUM(DI202:DI229)</f>
        <v>15843154</v>
      </c>
      <c r="DJ230" s="121">
        <f t="shared" si="1235"/>
        <v>17427469.400000002</v>
      </c>
      <c r="DK230" s="121">
        <f t="shared" si="1235"/>
        <v>1584315.4000000006</v>
      </c>
      <c r="DL230" s="121">
        <f t="shared" si="1235"/>
        <v>9.4000000000000021</v>
      </c>
      <c r="DM230" s="121">
        <f t="shared" si="1235"/>
        <v>1584306.0000000005</v>
      </c>
      <c r="DN230" s="121">
        <f t="shared" si="1235"/>
        <v>2.9114488597770105E-11</v>
      </c>
      <c r="DO230" s="121">
        <f t="shared" si="1235"/>
        <v>17427460</v>
      </c>
      <c r="DP230" s="121">
        <f t="shared" si="1235"/>
        <v>0</v>
      </c>
      <c r="DQ230" s="121">
        <f t="shared" si="1235"/>
        <v>17429270</v>
      </c>
      <c r="DR230" s="121">
        <f t="shared" si="1235"/>
        <v>0</v>
      </c>
      <c r="DS230" s="121">
        <f t="shared" si="1235"/>
        <v>0</v>
      </c>
      <c r="DT230" s="121">
        <f t="shared" si="1235"/>
        <v>17429270</v>
      </c>
      <c r="DU230" s="121">
        <f t="shared" si="1235"/>
        <v>17429270</v>
      </c>
      <c r="DV230" s="121">
        <f t="shared" si="1235"/>
        <v>1810</v>
      </c>
      <c r="DW230" s="121">
        <f t="shared" si="1235"/>
        <v>15129270</v>
      </c>
      <c r="DX230" s="121">
        <f t="shared" si="1235"/>
        <v>0</v>
      </c>
      <c r="DY230" s="121">
        <f t="shared" si="1235"/>
        <v>0</v>
      </c>
      <c r="DZ230" s="121">
        <f t="shared" si="1235"/>
        <v>15129270</v>
      </c>
      <c r="EA230" s="121">
        <f t="shared" si="1235"/>
        <v>15129270</v>
      </c>
      <c r="EB230" s="121">
        <f t="shared" si="1235"/>
        <v>-2300000</v>
      </c>
      <c r="EC230" s="121">
        <f t="shared" si="1235"/>
        <v>14429270</v>
      </c>
      <c r="ED230" s="121">
        <f t="shared" si="1235"/>
        <v>0</v>
      </c>
      <c r="EE230" s="121">
        <f t="shared" si="1235"/>
        <v>0</v>
      </c>
      <c r="EF230" s="121">
        <f t="shared" si="1235"/>
        <v>14429270</v>
      </c>
      <c r="EG230" s="121">
        <f t="shared" si="1235"/>
        <v>14429270</v>
      </c>
      <c r="EH230" s="121">
        <f t="shared" si="1235"/>
        <v>-700000</v>
      </c>
      <c r="EI230" s="121">
        <f t="shared" si="1235"/>
        <v>14429270</v>
      </c>
      <c r="EJ230" s="121">
        <f t="shared" si="1235"/>
        <v>0</v>
      </c>
      <c r="EK230" s="121">
        <f t="shared" si="1235"/>
        <v>0</v>
      </c>
      <c r="EL230" s="121">
        <f t="shared" si="1235"/>
        <v>14429270</v>
      </c>
      <c r="EM230" s="121">
        <f t="shared" si="1235"/>
        <v>14429270</v>
      </c>
      <c r="EN230" s="121">
        <f t="shared" si="1235"/>
        <v>0</v>
      </c>
      <c r="EO230" s="121">
        <f t="shared" si="1235"/>
        <v>14429270</v>
      </c>
      <c r="EP230" s="121">
        <f t="shared" si="1235"/>
        <v>0</v>
      </c>
      <c r="EQ230" s="121">
        <f t="shared" si="1235"/>
        <v>0</v>
      </c>
      <c r="ER230" s="121">
        <f t="shared" si="1235"/>
        <v>14429270</v>
      </c>
      <c r="ES230" s="117">
        <f t="shared" si="1235"/>
        <v>14429270</v>
      </c>
      <c r="ET230" s="121">
        <f t="shared" si="1235"/>
        <v>0</v>
      </c>
      <c r="EU230" s="121">
        <f t="shared" si="1235"/>
        <v>14429270</v>
      </c>
      <c r="EV230" s="121">
        <f t="shared" si="1235"/>
        <v>0</v>
      </c>
      <c r="EW230" s="121">
        <f t="shared" si="1235"/>
        <v>0</v>
      </c>
      <c r="EX230" s="121">
        <f t="shared" si="1235"/>
        <v>14429270</v>
      </c>
      <c r="EY230" s="117">
        <f t="shared" si="1235"/>
        <v>14429270</v>
      </c>
      <c r="EZ230" s="121">
        <f t="shared" si="1235"/>
        <v>0</v>
      </c>
      <c r="FA230" s="121">
        <f t="shared" si="1235"/>
        <v>10583894</v>
      </c>
      <c r="FB230" s="121">
        <f t="shared" si="1235"/>
        <v>0</v>
      </c>
      <c r="FC230" s="121">
        <f t="shared" si="1235"/>
        <v>0</v>
      </c>
      <c r="FD230" s="121">
        <f t="shared" si="1235"/>
        <v>10583894</v>
      </c>
      <c r="FE230" s="117">
        <f t="shared" si="1235"/>
        <v>10583894</v>
      </c>
      <c r="FF230" s="121">
        <f t="shared" si="1235"/>
        <v>-3845376</v>
      </c>
      <c r="FG230" s="121">
        <f t="shared" si="1235"/>
        <v>10583894</v>
      </c>
      <c r="FH230" s="121">
        <f t="shared" si="1235"/>
        <v>0</v>
      </c>
      <c r="FI230" s="121">
        <f t="shared" si="1235"/>
        <v>0</v>
      </c>
      <c r="FJ230" s="121">
        <f t="shared" si="1235"/>
        <v>10583894</v>
      </c>
      <c r="FK230" s="117">
        <f t="shared" si="1235"/>
        <v>10583894</v>
      </c>
      <c r="FL230" s="121">
        <f>SUM(FL217:FL229)</f>
        <v>0</v>
      </c>
      <c r="FM230" s="121">
        <f>SUM(FM202:FM229)</f>
        <v>10583894</v>
      </c>
      <c r="FN230" s="121">
        <f>SUM(FN202:FN229)</f>
        <v>0</v>
      </c>
      <c r="FO230" s="121">
        <f>SUM(FO202:FO229)</f>
        <v>0</v>
      </c>
      <c r="FP230" s="121">
        <f>SUM(FP202:FP229)</f>
        <v>10583894</v>
      </c>
      <c r="FQ230" s="117">
        <f>SUM(FQ202:FQ229)</f>
        <v>10583894</v>
      </c>
      <c r="FR230" s="121">
        <f>SUM(FR217:FR229)</f>
        <v>0</v>
      </c>
      <c r="FS230" s="121">
        <f>SUM(FS202:FS229)</f>
        <v>10583894</v>
      </c>
      <c r="FT230" s="121">
        <f>SUM(FT202:FT229)</f>
        <v>0</v>
      </c>
      <c r="FU230" s="121">
        <f>SUM(FU202:FU229)</f>
        <v>0</v>
      </c>
      <c r="FV230" s="121">
        <f>SUM(FV202:FV229)</f>
        <v>10583894</v>
      </c>
      <c r="FW230" s="117">
        <f>SUM(FW202:FW229)</f>
        <v>10583894</v>
      </c>
      <c r="FX230" s="121">
        <f>SUM(FX217:FX229)</f>
        <v>0</v>
      </c>
      <c r="FY230" s="121">
        <f>SUM(FY202:FY229)</f>
        <v>10583894</v>
      </c>
      <c r="FZ230" s="121">
        <f>SUM(FZ202:FZ229)</f>
        <v>0</v>
      </c>
      <c r="GA230" s="121">
        <f>SUM(GA202:GA229)</f>
        <v>0</v>
      </c>
      <c r="GB230" s="121">
        <f>SUM(GB202:GB229)</f>
        <v>10583894</v>
      </c>
      <c r="GC230" s="117">
        <f>SUM(GC202:GC229)</f>
        <v>10583894</v>
      </c>
      <c r="GD230" s="121">
        <f>SUM(GD217:GD229)</f>
        <v>0</v>
      </c>
      <c r="GE230" s="121">
        <f>SUM(GE202:GE229)</f>
        <v>10583894</v>
      </c>
      <c r="GF230" s="121">
        <f>SUM(GF202:GF229)</f>
        <v>0</v>
      </c>
      <c r="GG230" s="121">
        <f>SUM(GG202:GG229)</f>
        <v>0</v>
      </c>
      <c r="GH230" s="121">
        <f>SUM(GH202:GH229)</f>
        <v>10583894</v>
      </c>
      <c r="GI230" s="117">
        <f>SUM(GI202:GI229)</f>
        <v>10583894</v>
      </c>
      <c r="GJ230" s="121">
        <f>SUM(GJ217:GJ229)</f>
        <v>0</v>
      </c>
      <c r="GK230" s="121">
        <f>SUM(GK202:GK229)</f>
        <v>10583894</v>
      </c>
      <c r="GL230" s="121">
        <f>SUM(GL202:GL229)</f>
        <v>0</v>
      </c>
      <c r="GM230" s="121">
        <f>SUM(GM202:GM229)</f>
        <v>0</v>
      </c>
      <c r="GN230" s="121">
        <f>SUM(GN202:GN229)</f>
        <v>10583894</v>
      </c>
      <c r="GO230" s="117">
        <f>SUM(GO202:GO229)</f>
        <v>10583894</v>
      </c>
      <c r="GP230" s="121">
        <f>SUM(GP217:GP229)</f>
        <v>0</v>
      </c>
      <c r="GQ230" s="121">
        <f>SUM(GQ202:GQ229)</f>
        <v>10583894</v>
      </c>
      <c r="GR230" s="121">
        <f>SUM(GR202:GR229)</f>
        <v>0</v>
      </c>
      <c r="GS230" s="121">
        <f>SUM(GS202:GS229)</f>
        <v>0</v>
      </c>
      <c r="GT230" s="121">
        <f>SUM(GT202:GT229)</f>
        <v>10583894</v>
      </c>
      <c r="GU230" s="117">
        <f>SUM(GU202:GU229)</f>
        <v>10583894</v>
      </c>
      <c r="GV230" s="121">
        <f>SUM(GV217:GV229)</f>
        <v>0</v>
      </c>
      <c r="GW230" s="121">
        <f>SUM(GW202:GW229)</f>
        <v>11113083</v>
      </c>
      <c r="GX230" s="121">
        <f>SUM(GX202:GX229)</f>
        <v>0</v>
      </c>
      <c r="GY230" s="121">
        <f>SUM(GY202:GY229)</f>
        <v>0</v>
      </c>
      <c r="GZ230" s="121">
        <f>SUM(GZ202:GZ229)</f>
        <v>11113083</v>
      </c>
      <c r="HA230" s="117">
        <f>SUM(HA202:HA229)</f>
        <v>11113083</v>
      </c>
      <c r="HB230" s="121">
        <f>SUM(HB217:HB229)</f>
        <v>258059</v>
      </c>
      <c r="HC230" s="121">
        <f t="shared" si="1235"/>
        <v>0.75263961054570827</v>
      </c>
    </row>
    <row r="231" spans="1:226" x14ac:dyDescent="0.3">
      <c r="A231" s="98"/>
      <c r="B231" s="98"/>
      <c r="C231" s="98"/>
      <c r="D231" s="99"/>
      <c r="E231" s="108"/>
      <c r="F231" s="108"/>
      <c r="G231" s="108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  <c r="AS231" s="20"/>
      <c r="AT231" s="20"/>
      <c r="AU231" s="20"/>
      <c r="AV231" s="20"/>
      <c r="AW231" s="20"/>
      <c r="AX231" s="20"/>
      <c r="AY231" s="127">
        <f>AY230*10*5%</f>
        <v>9658673.25</v>
      </c>
      <c r="AZ231" s="20"/>
      <c r="BA231" s="20"/>
      <c r="BB231" s="20"/>
      <c r="BC231" s="20"/>
      <c r="BD231" s="20"/>
      <c r="BE231" s="20"/>
      <c r="BF231" s="100"/>
      <c r="BG231" s="100"/>
      <c r="BH231" s="100"/>
      <c r="BI231" s="100"/>
      <c r="BJ231" s="100"/>
      <c r="BK231" s="100"/>
      <c r="BL231" s="100"/>
      <c r="BM231" s="100"/>
      <c r="BN231" s="100"/>
      <c r="BO231" s="100"/>
      <c r="BP231" s="100"/>
      <c r="BQ231" s="100"/>
      <c r="BR231" s="100"/>
      <c r="BS231" s="100"/>
      <c r="BT231" s="100"/>
      <c r="BU231" s="100"/>
      <c r="BV231" s="100"/>
      <c r="BW231" s="100"/>
      <c r="BX231" s="100"/>
      <c r="BY231" s="100"/>
      <c r="BZ231" s="100"/>
      <c r="CA231" s="100"/>
      <c r="CB231" s="100"/>
      <c r="CC231" s="100"/>
      <c r="CD231" s="100"/>
      <c r="CE231" s="100"/>
      <c r="CF231" s="100"/>
      <c r="CG231" s="100"/>
      <c r="CH231" s="100"/>
      <c r="CI231" s="100"/>
      <c r="CJ231" s="100"/>
      <c r="CK231" s="100"/>
      <c r="CL231" s="100"/>
      <c r="CM231" s="100"/>
      <c r="CN231" s="100"/>
      <c r="CO231" s="100"/>
      <c r="CP231" s="100"/>
      <c r="CQ231" s="100"/>
      <c r="CR231" s="100"/>
      <c r="CS231" s="100"/>
      <c r="CT231" s="100"/>
      <c r="CU231" s="100"/>
      <c r="CV231" s="100"/>
      <c r="CW231" s="100"/>
      <c r="CX231" s="100"/>
      <c r="CY231" s="100"/>
      <c r="CZ231" s="100"/>
      <c r="DA231" s="100"/>
      <c r="DB231" s="100"/>
      <c r="DC231" s="100"/>
      <c r="DD231" s="100"/>
      <c r="DE231" s="100"/>
      <c r="DF231" s="100"/>
      <c r="DG231" s="100"/>
      <c r="DH231" s="114"/>
    </row>
    <row r="232" spans="1:226" x14ac:dyDescent="0.3">
      <c r="A232" s="98"/>
      <c r="B232" s="98"/>
      <c r="C232" s="98"/>
      <c r="D232" s="99"/>
      <c r="E232" s="108"/>
      <c r="F232" s="108"/>
      <c r="G232" s="108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  <c r="BB232" s="20"/>
      <c r="BC232" s="20"/>
      <c r="BD232" s="20"/>
      <c r="BE232" s="20"/>
      <c r="BF232" s="100"/>
      <c r="BG232" s="100"/>
      <c r="BH232" s="100"/>
      <c r="BI232" s="100"/>
      <c r="BJ232" s="100"/>
      <c r="BK232" s="100"/>
      <c r="BL232" s="100"/>
      <c r="BM232" s="100"/>
      <c r="BN232" s="100"/>
      <c r="BO232" s="100"/>
      <c r="BP232" s="100"/>
      <c r="BQ232" s="100"/>
      <c r="BR232" s="100"/>
      <c r="BS232" s="100"/>
      <c r="BT232" s="100"/>
      <c r="BU232" s="100"/>
      <c r="BV232" s="100"/>
      <c r="BW232" s="100"/>
      <c r="BX232" s="100"/>
      <c r="BY232" s="100"/>
      <c r="BZ232" s="100"/>
      <c r="CA232" s="100"/>
      <c r="CB232" s="100"/>
      <c r="CC232" s="100"/>
      <c r="CD232" s="100"/>
      <c r="CE232" s="100"/>
      <c r="CF232" s="100"/>
      <c r="CG232" s="100"/>
      <c r="CH232" s="100"/>
      <c r="CI232" s="100"/>
      <c r="CJ232" s="100"/>
      <c r="CK232" s="100"/>
      <c r="CL232" s="100"/>
      <c r="CM232" s="100"/>
      <c r="CN232" s="100"/>
      <c r="CO232" s="100"/>
      <c r="CP232" s="100"/>
      <c r="CQ232" s="100"/>
      <c r="CR232" s="100"/>
      <c r="CS232" s="100"/>
      <c r="CT232" s="100"/>
      <c r="CU232" s="100"/>
      <c r="CV232" s="100"/>
      <c r="CW232" s="100"/>
      <c r="CX232" s="100"/>
      <c r="CY232" s="100"/>
      <c r="CZ232" s="100"/>
      <c r="DA232" s="100"/>
      <c r="DB232" s="100"/>
      <c r="DC232" s="100"/>
      <c r="DD232" s="100"/>
      <c r="DE232" s="100"/>
      <c r="DF232" s="100"/>
      <c r="DG232" s="100"/>
      <c r="DH232" s="114"/>
    </row>
    <row r="233" spans="1:226" s="74" customFormat="1" ht="52.5" customHeight="1" x14ac:dyDescent="0.3">
      <c r="A233" s="85" t="s">
        <v>0</v>
      </c>
      <c r="B233" s="85" t="s">
        <v>1</v>
      </c>
      <c r="C233" s="85" t="s">
        <v>217</v>
      </c>
      <c r="D233" s="86" t="s">
        <v>218</v>
      </c>
      <c r="E233" s="87" t="s">
        <v>233</v>
      </c>
      <c r="F233" s="87" t="s">
        <v>234</v>
      </c>
      <c r="G233" s="87" t="s">
        <v>235</v>
      </c>
      <c r="H233" s="87" t="s">
        <v>383</v>
      </c>
      <c r="I233" s="87" t="s">
        <v>382</v>
      </c>
      <c r="J233" s="87" t="s">
        <v>381</v>
      </c>
      <c r="K233" s="87" t="s">
        <v>380</v>
      </c>
      <c r="L233" s="87" t="s">
        <v>379</v>
      </c>
      <c r="M233" s="87" t="s">
        <v>378</v>
      </c>
      <c r="N233" s="87" t="s">
        <v>377</v>
      </c>
      <c r="O233" s="87" t="s">
        <v>394</v>
      </c>
      <c r="P233" s="87" t="s">
        <v>413</v>
      </c>
      <c r="Q233" s="87" t="s">
        <v>415</v>
      </c>
      <c r="R233" s="87" t="s">
        <v>417</v>
      </c>
      <c r="S233" s="87" t="s">
        <v>420</v>
      </c>
      <c r="T233" s="87" t="s">
        <v>421</v>
      </c>
      <c r="U233" s="87" t="s">
        <v>425</v>
      </c>
      <c r="V233" s="87" t="s">
        <v>426</v>
      </c>
      <c r="W233" s="87" t="s">
        <v>424</v>
      </c>
      <c r="X233" s="87" t="s">
        <v>437</v>
      </c>
      <c r="Y233" s="87" t="s">
        <v>439</v>
      </c>
      <c r="Z233" s="87" t="s">
        <v>447</v>
      </c>
      <c r="AA233" s="87" t="s">
        <v>458</v>
      </c>
      <c r="AB233" s="590" t="s">
        <v>459</v>
      </c>
      <c r="AC233" s="591"/>
      <c r="AD233" s="591"/>
      <c r="AE233" s="592"/>
      <c r="AF233" s="596" t="s">
        <v>462</v>
      </c>
      <c r="AG233" s="597"/>
      <c r="AH233" s="597"/>
      <c r="AI233" s="598"/>
      <c r="AJ233" s="590" t="s">
        <v>466</v>
      </c>
      <c r="AK233" s="591"/>
      <c r="AL233" s="591"/>
      <c r="AM233" s="592"/>
      <c r="AN233" s="596" t="s">
        <v>470</v>
      </c>
      <c r="AO233" s="597"/>
      <c r="AP233" s="597"/>
      <c r="AQ233" s="598"/>
      <c r="AR233" s="590" t="s">
        <v>478</v>
      </c>
      <c r="AS233" s="591"/>
      <c r="AT233" s="591"/>
      <c r="AU233" s="592"/>
      <c r="AV233" s="596" t="s">
        <v>483</v>
      </c>
      <c r="AW233" s="597"/>
      <c r="AX233" s="597"/>
      <c r="AY233" s="598"/>
      <c r="AZ233" s="436" t="s">
        <v>503</v>
      </c>
      <c r="BA233" s="436" t="s">
        <v>488</v>
      </c>
      <c r="BB233" s="436" t="s">
        <v>489</v>
      </c>
      <c r="BC233" s="436" t="s">
        <v>423</v>
      </c>
      <c r="BD233" s="436" t="s">
        <v>507</v>
      </c>
      <c r="BE233" s="436" t="s">
        <v>531</v>
      </c>
      <c r="BF233" s="437" t="s">
        <v>508</v>
      </c>
      <c r="BG233" s="437" t="s">
        <v>509</v>
      </c>
      <c r="BH233" s="590" t="s">
        <v>532</v>
      </c>
      <c r="BI233" s="591"/>
      <c r="BJ233" s="591"/>
      <c r="BK233" s="592"/>
      <c r="BL233" s="596" t="s">
        <v>539</v>
      </c>
      <c r="BM233" s="597"/>
      <c r="BN233" s="597"/>
      <c r="BO233" s="598"/>
      <c r="BP233" s="438" t="s">
        <v>538</v>
      </c>
      <c r="BQ233" s="590" t="s">
        <v>542</v>
      </c>
      <c r="BR233" s="591"/>
      <c r="BS233" s="591"/>
      <c r="BT233" s="592"/>
      <c r="BU233" s="438" t="s">
        <v>541</v>
      </c>
      <c r="BV233" s="590" t="s">
        <v>552</v>
      </c>
      <c r="BW233" s="591"/>
      <c r="BX233" s="591"/>
      <c r="BY233" s="592"/>
      <c r="BZ233" s="438" t="s">
        <v>553</v>
      </c>
      <c r="CA233" s="590" t="s">
        <v>578</v>
      </c>
      <c r="CB233" s="591"/>
      <c r="CC233" s="591"/>
      <c r="CD233" s="592"/>
      <c r="CE233" s="438" t="s">
        <v>579</v>
      </c>
      <c r="CF233" s="590" t="s">
        <v>581</v>
      </c>
      <c r="CG233" s="591"/>
      <c r="CH233" s="591"/>
      <c r="CI233" s="592"/>
      <c r="CJ233" s="438" t="s">
        <v>580</v>
      </c>
      <c r="CK233" s="590" t="s">
        <v>585</v>
      </c>
      <c r="CL233" s="591"/>
      <c r="CM233" s="591"/>
      <c r="CN233" s="592"/>
      <c r="CO233" s="438" t="s">
        <v>586</v>
      </c>
      <c r="CP233" s="590" t="s">
        <v>587</v>
      </c>
      <c r="CQ233" s="591"/>
      <c r="CR233" s="591"/>
      <c r="CS233" s="592"/>
      <c r="CT233" s="438" t="s">
        <v>588</v>
      </c>
      <c r="CU233" s="590" t="s">
        <v>590</v>
      </c>
      <c r="CV233" s="591"/>
      <c r="CW233" s="591"/>
      <c r="CX233" s="592"/>
      <c r="CY233" s="438" t="s">
        <v>592</v>
      </c>
      <c r="CZ233" s="294"/>
      <c r="DA233" s="294"/>
      <c r="DB233" s="294"/>
      <c r="DC233" s="95" t="s">
        <v>602</v>
      </c>
      <c r="DD233" s="95" t="s">
        <v>488</v>
      </c>
      <c r="DE233" s="95" t="s">
        <v>489</v>
      </c>
      <c r="DF233" s="95" t="s">
        <v>603</v>
      </c>
      <c r="DG233" s="95" t="s">
        <v>423</v>
      </c>
      <c r="DH233" s="85" t="s">
        <v>2</v>
      </c>
      <c r="DI233" s="593" t="s">
        <v>613</v>
      </c>
      <c r="DJ233" s="594"/>
      <c r="DK233" s="594"/>
      <c r="DL233" s="594"/>
      <c r="DM233" s="594"/>
      <c r="DN233" s="594"/>
      <c r="DO233" s="594"/>
      <c r="DP233" s="595"/>
      <c r="DQ233" s="584" t="s">
        <v>614</v>
      </c>
      <c r="DR233" s="585"/>
      <c r="DS233" s="585"/>
      <c r="DT233" s="585"/>
      <c r="DU233" s="586"/>
      <c r="DV233" s="87" t="s">
        <v>615</v>
      </c>
      <c r="DW233" s="584" t="s">
        <v>623</v>
      </c>
      <c r="DX233" s="585"/>
      <c r="DY233" s="585"/>
      <c r="DZ233" s="585"/>
      <c r="EA233" s="586"/>
      <c r="EB233" s="87" t="s">
        <v>624</v>
      </c>
      <c r="EC233" s="584" t="s">
        <v>627</v>
      </c>
      <c r="ED233" s="585"/>
      <c r="EE233" s="585"/>
      <c r="EF233" s="585"/>
      <c r="EG233" s="586"/>
      <c r="EH233" s="87" t="s">
        <v>628</v>
      </c>
      <c r="EI233" s="584" t="s">
        <v>631</v>
      </c>
      <c r="EJ233" s="585"/>
      <c r="EK233" s="585"/>
      <c r="EL233" s="585"/>
      <c r="EM233" s="586"/>
      <c r="EN233" s="87" t="s">
        <v>632</v>
      </c>
      <c r="EO233" s="584" t="s">
        <v>638</v>
      </c>
      <c r="EP233" s="585"/>
      <c r="EQ233" s="585"/>
      <c r="ER233" s="585"/>
      <c r="ES233" s="586"/>
      <c r="ET233" s="87" t="s">
        <v>637</v>
      </c>
      <c r="EU233" s="584" t="s">
        <v>641</v>
      </c>
      <c r="EV233" s="585"/>
      <c r="EW233" s="585"/>
      <c r="EX233" s="585"/>
      <c r="EY233" s="586"/>
      <c r="EZ233" s="87" t="s">
        <v>642</v>
      </c>
      <c r="FA233" s="584" t="s">
        <v>645</v>
      </c>
      <c r="FB233" s="585"/>
      <c r="FC233" s="585"/>
      <c r="FD233" s="585"/>
      <c r="FE233" s="586"/>
      <c r="FF233" s="87" t="s">
        <v>646</v>
      </c>
      <c r="FG233" s="584" t="s">
        <v>653</v>
      </c>
      <c r="FH233" s="585"/>
      <c r="FI233" s="585"/>
      <c r="FJ233" s="585"/>
      <c r="FK233" s="586"/>
      <c r="FL233" s="87" t="s">
        <v>654</v>
      </c>
      <c r="FM233" s="584" t="s">
        <v>662</v>
      </c>
      <c r="FN233" s="585"/>
      <c r="FO233" s="585"/>
      <c r="FP233" s="585"/>
      <c r="FQ233" s="586"/>
      <c r="FR233" s="87" t="s">
        <v>657</v>
      </c>
      <c r="FS233" s="584" t="s">
        <v>661</v>
      </c>
      <c r="FT233" s="585"/>
      <c r="FU233" s="585"/>
      <c r="FV233" s="585"/>
      <c r="FW233" s="586"/>
      <c r="FX233" s="87" t="s">
        <v>663</v>
      </c>
      <c r="FY233" s="584" t="s">
        <v>665</v>
      </c>
      <c r="FZ233" s="585"/>
      <c r="GA233" s="585"/>
      <c r="GB233" s="585"/>
      <c r="GC233" s="586"/>
      <c r="GD233" s="87" t="s">
        <v>666</v>
      </c>
      <c r="GE233" s="584" t="s">
        <v>668</v>
      </c>
      <c r="GF233" s="585"/>
      <c r="GG233" s="585"/>
      <c r="GH233" s="585"/>
      <c r="GI233" s="586"/>
      <c r="GJ233" s="87" t="s">
        <v>669</v>
      </c>
      <c r="GK233" s="584" t="s">
        <v>671</v>
      </c>
      <c r="GL233" s="585"/>
      <c r="GM233" s="585"/>
      <c r="GN233" s="585"/>
      <c r="GO233" s="586"/>
      <c r="GP233" s="87" t="s">
        <v>672</v>
      </c>
      <c r="GQ233" s="584" t="s">
        <v>674</v>
      </c>
      <c r="GR233" s="585"/>
      <c r="GS233" s="585"/>
      <c r="GT233" s="585"/>
      <c r="GU233" s="586"/>
      <c r="GV233" s="87" t="s">
        <v>675</v>
      </c>
      <c r="GW233" s="584" t="s">
        <v>696</v>
      </c>
      <c r="GX233" s="585"/>
      <c r="GY233" s="585"/>
      <c r="GZ233" s="585"/>
      <c r="HA233" s="586"/>
      <c r="HB233" s="87" t="s">
        <v>697</v>
      </c>
      <c r="HC233" s="85" t="s">
        <v>2</v>
      </c>
      <c r="HD233" s="6"/>
      <c r="HE233" s="587" t="s">
        <v>678</v>
      </c>
      <c r="HF233" s="588"/>
      <c r="HG233" s="588"/>
      <c r="HH233" s="588"/>
      <c r="HI233" s="589"/>
      <c r="HJ233" s="85" t="s">
        <v>2</v>
      </c>
      <c r="HK233" s="593" t="s">
        <v>698</v>
      </c>
      <c r="HL233" s="594"/>
      <c r="HM233" s="594"/>
      <c r="HN233" s="594"/>
      <c r="HO233" s="594"/>
      <c r="HP233" s="594"/>
      <c r="HQ233" s="594"/>
      <c r="HR233" s="594"/>
    </row>
    <row r="234" spans="1:226" s="74" customFormat="1" ht="30.6" x14ac:dyDescent="0.3">
      <c r="A234" s="85"/>
      <c r="B234" s="446" t="s">
        <v>569</v>
      </c>
      <c r="C234" s="441"/>
      <c r="D234" s="442"/>
      <c r="E234" s="87"/>
      <c r="F234" s="87"/>
      <c r="G234" s="87"/>
      <c r="H234" s="88"/>
      <c r="I234" s="88"/>
      <c r="J234" s="294"/>
      <c r="K234" s="88"/>
      <c r="L234" s="87"/>
      <c r="M234" s="87"/>
      <c r="N234" s="87"/>
      <c r="O234" s="294"/>
      <c r="P234" s="294"/>
      <c r="Q234" s="294"/>
      <c r="R234" s="294"/>
      <c r="S234" s="294"/>
      <c r="T234" s="294"/>
      <c r="U234" s="294"/>
      <c r="V234" s="294"/>
      <c r="W234" s="294"/>
      <c r="X234" s="294"/>
      <c r="Y234" s="294"/>
      <c r="Z234" s="294"/>
      <c r="AA234" s="294"/>
      <c r="AB234" s="112" t="s">
        <v>234</v>
      </c>
      <c r="AC234" s="112" t="s">
        <v>454</v>
      </c>
      <c r="AD234" s="112" t="s">
        <v>455</v>
      </c>
      <c r="AE234" s="112" t="s">
        <v>456</v>
      </c>
      <c r="AF234" s="14" t="s">
        <v>234</v>
      </c>
      <c r="AG234" s="14" t="s">
        <v>454</v>
      </c>
      <c r="AH234" s="14" t="s">
        <v>455</v>
      </c>
      <c r="AI234" s="14" t="s">
        <v>456</v>
      </c>
      <c r="AJ234" s="112" t="s">
        <v>234</v>
      </c>
      <c r="AK234" s="112" t="s">
        <v>454</v>
      </c>
      <c r="AL234" s="112" t="s">
        <v>455</v>
      </c>
      <c r="AM234" s="112" t="s">
        <v>456</v>
      </c>
      <c r="AN234" s="14" t="s">
        <v>234</v>
      </c>
      <c r="AO234" s="14" t="s">
        <v>454</v>
      </c>
      <c r="AP234" s="14" t="s">
        <v>455</v>
      </c>
      <c r="AQ234" s="14" t="s">
        <v>456</v>
      </c>
      <c r="AR234" s="112" t="s">
        <v>234</v>
      </c>
      <c r="AS234" s="112" t="s">
        <v>454</v>
      </c>
      <c r="AT234" s="112" t="s">
        <v>455</v>
      </c>
      <c r="AU234" s="112" t="s">
        <v>456</v>
      </c>
      <c r="AV234" s="14" t="s">
        <v>234</v>
      </c>
      <c r="AW234" s="14" t="s">
        <v>454</v>
      </c>
      <c r="AX234" s="14" t="s">
        <v>455</v>
      </c>
      <c r="AY234" s="14" t="s">
        <v>456</v>
      </c>
      <c r="AZ234" s="443"/>
      <c r="BA234" s="443"/>
      <c r="BB234" s="443"/>
      <c r="BC234" s="443"/>
      <c r="BD234" s="443"/>
      <c r="BE234" s="443"/>
      <c r="BF234" s="444"/>
      <c r="BG234" s="444"/>
      <c r="BH234" s="112" t="s">
        <v>234</v>
      </c>
      <c r="BI234" s="112" t="s">
        <v>454</v>
      </c>
      <c r="BJ234" s="112" t="s">
        <v>455</v>
      </c>
      <c r="BK234" s="112" t="s">
        <v>456</v>
      </c>
      <c r="BL234" s="14" t="s">
        <v>234</v>
      </c>
      <c r="BM234" s="14" t="s">
        <v>454</v>
      </c>
      <c r="BN234" s="14" t="s">
        <v>455</v>
      </c>
      <c r="BO234" s="14" t="s">
        <v>456</v>
      </c>
      <c r="BP234" s="445"/>
      <c r="BQ234" s="112" t="s">
        <v>234</v>
      </c>
      <c r="BR234" s="112" t="s">
        <v>454</v>
      </c>
      <c r="BS234" s="112" t="s">
        <v>455</v>
      </c>
      <c r="BT234" s="112" t="s">
        <v>456</v>
      </c>
      <c r="BU234" s="445"/>
      <c r="BV234" s="112" t="s">
        <v>234</v>
      </c>
      <c r="BW234" s="112" t="s">
        <v>454</v>
      </c>
      <c r="BX234" s="112" t="s">
        <v>455</v>
      </c>
      <c r="BY234" s="112" t="s">
        <v>456</v>
      </c>
      <c r="BZ234" s="445"/>
      <c r="CA234" s="112" t="s">
        <v>234</v>
      </c>
      <c r="CB234" s="112" t="s">
        <v>454</v>
      </c>
      <c r="CC234" s="112" t="s">
        <v>455</v>
      </c>
      <c r="CD234" s="112" t="s">
        <v>456</v>
      </c>
      <c r="CE234" s="445"/>
      <c r="CF234" s="112" t="s">
        <v>234</v>
      </c>
      <c r="CG234" s="112" t="s">
        <v>454</v>
      </c>
      <c r="CH234" s="112" t="s">
        <v>455</v>
      </c>
      <c r="CI234" s="112" t="s">
        <v>456</v>
      </c>
      <c r="CJ234" s="445"/>
      <c r="CK234" s="112" t="s">
        <v>234</v>
      </c>
      <c r="CL234" s="112" t="s">
        <v>454</v>
      </c>
      <c r="CM234" s="112" t="s">
        <v>455</v>
      </c>
      <c r="CN234" s="112" t="s">
        <v>456</v>
      </c>
      <c r="CO234" s="445"/>
      <c r="CP234" s="112" t="s">
        <v>234</v>
      </c>
      <c r="CQ234" s="112" t="s">
        <v>454</v>
      </c>
      <c r="CR234" s="112" t="s">
        <v>455</v>
      </c>
      <c r="CS234" s="112" t="s">
        <v>456</v>
      </c>
      <c r="CT234" s="445"/>
      <c r="CU234" s="112" t="s">
        <v>234</v>
      </c>
      <c r="CV234" s="112" t="s">
        <v>454</v>
      </c>
      <c r="CW234" s="112" t="s">
        <v>455</v>
      </c>
      <c r="CX234" s="112" t="s">
        <v>456</v>
      </c>
      <c r="CY234" s="445"/>
      <c r="CZ234" s="295"/>
      <c r="DA234" s="295"/>
      <c r="DB234" s="295"/>
      <c r="DC234" s="95" t="s">
        <v>602</v>
      </c>
      <c r="DD234" s="95" t="s">
        <v>488</v>
      </c>
      <c r="DE234" s="95" t="s">
        <v>489</v>
      </c>
      <c r="DF234" s="95" t="s">
        <v>603</v>
      </c>
      <c r="DG234" s="95" t="s">
        <v>423</v>
      </c>
      <c r="DH234" s="89"/>
      <c r="DI234" s="90" t="s">
        <v>604</v>
      </c>
      <c r="DJ234" s="91" t="s">
        <v>605</v>
      </c>
      <c r="DK234" s="92" t="s">
        <v>606</v>
      </c>
      <c r="DL234" s="92" t="s">
        <v>607</v>
      </c>
      <c r="DM234" s="91" t="s">
        <v>608</v>
      </c>
      <c r="DN234" s="91" t="s">
        <v>609</v>
      </c>
      <c r="DO234" s="91" t="s">
        <v>611</v>
      </c>
      <c r="DP234" s="91" t="s">
        <v>610</v>
      </c>
      <c r="DQ234" s="112" t="s">
        <v>234</v>
      </c>
      <c r="DR234" s="112" t="s">
        <v>454</v>
      </c>
      <c r="DS234" s="112" t="s">
        <v>455</v>
      </c>
      <c r="DT234" s="93" t="s">
        <v>456</v>
      </c>
      <c r="DU234" s="94" t="s">
        <v>457</v>
      </c>
      <c r="DV234" s="87"/>
      <c r="DW234" s="112" t="s">
        <v>234</v>
      </c>
      <c r="DX234" s="112" t="s">
        <v>454</v>
      </c>
      <c r="DY234" s="112" t="s">
        <v>455</v>
      </c>
      <c r="DZ234" s="93" t="s">
        <v>456</v>
      </c>
      <c r="EA234" s="94" t="s">
        <v>457</v>
      </c>
      <c r="EB234" s="87"/>
      <c r="EC234" s="112" t="s">
        <v>234</v>
      </c>
      <c r="ED234" s="112" t="s">
        <v>454</v>
      </c>
      <c r="EE234" s="112" t="s">
        <v>455</v>
      </c>
      <c r="EF234" s="93" t="s">
        <v>456</v>
      </c>
      <c r="EG234" s="94" t="s">
        <v>457</v>
      </c>
      <c r="EH234" s="87"/>
      <c r="EI234" s="112" t="s">
        <v>234</v>
      </c>
      <c r="EJ234" s="112" t="s">
        <v>454</v>
      </c>
      <c r="EK234" s="112" t="s">
        <v>455</v>
      </c>
      <c r="EL234" s="93" t="s">
        <v>456</v>
      </c>
      <c r="EM234" s="94" t="s">
        <v>457</v>
      </c>
      <c r="EN234" s="87"/>
      <c r="EO234" s="112" t="s">
        <v>234</v>
      </c>
      <c r="EP234" s="112" t="s">
        <v>454</v>
      </c>
      <c r="EQ234" s="112" t="s">
        <v>455</v>
      </c>
      <c r="ER234" s="93" t="s">
        <v>456</v>
      </c>
      <c r="ES234" s="94" t="s">
        <v>457</v>
      </c>
      <c r="ET234" s="87"/>
      <c r="EU234" s="112" t="s">
        <v>234</v>
      </c>
      <c r="EV234" s="112" t="s">
        <v>454</v>
      </c>
      <c r="EW234" s="112" t="s">
        <v>455</v>
      </c>
      <c r="EX234" s="93" t="s">
        <v>456</v>
      </c>
      <c r="EY234" s="94" t="s">
        <v>457</v>
      </c>
      <c r="EZ234" s="87"/>
      <c r="FA234" s="112" t="s">
        <v>234</v>
      </c>
      <c r="FB234" s="112" t="s">
        <v>454</v>
      </c>
      <c r="FC234" s="112" t="s">
        <v>455</v>
      </c>
      <c r="FD234" s="93" t="s">
        <v>456</v>
      </c>
      <c r="FE234" s="94" t="s">
        <v>457</v>
      </c>
      <c r="FF234" s="87"/>
      <c r="FG234" s="112" t="s">
        <v>234</v>
      </c>
      <c r="FH234" s="112" t="s">
        <v>454</v>
      </c>
      <c r="FI234" s="112" t="s">
        <v>455</v>
      </c>
      <c r="FJ234" s="93" t="s">
        <v>456</v>
      </c>
      <c r="FK234" s="94" t="s">
        <v>457</v>
      </c>
      <c r="FL234" s="87"/>
      <c r="FM234" s="112" t="s">
        <v>234</v>
      </c>
      <c r="FN234" s="112" t="s">
        <v>454</v>
      </c>
      <c r="FO234" s="112" t="s">
        <v>455</v>
      </c>
      <c r="FP234" s="93" t="s">
        <v>456</v>
      </c>
      <c r="FQ234" s="94" t="s">
        <v>457</v>
      </c>
      <c r="FR234" s="87"/>
      <c r="FS234" s="112" t="s">
        <v>234</v>
      </c>
      <c r="FT234" s="112" t="s">
        <v>454</v>
      </c>
      <c r="FU234" s="112" t="s">
        <v>455</v>
      </c>
      <c r="FV234" s="93" t="s">
        <v>456</v>
      </c>
      <c r="FW234" s="94" t="s">
        <v>457</v>
      </c>
      <c r="FX234" s="87"/>
      <c r="FY234" s="112" t="s">
        <v>234</v>
      </c>
      <c r="FZ234" s="112" t="s">
        <v>454</v>
      </c>
      <c r="GA234" s="112" t="s">
        <v>455</v>
      </c>
      <c r="GB234" s="93" t="s">
        <v>456</v>
      </c>
      <c r="GC234" s="94" t="s">
        <v>457</v>
      </c>
      <c r="GD234" s="87"/>
      <c r="GE234" s="112" t="s">
        <v>234</v>
      </c>
      <c r="GF234" s="112" t="s">
        <v>454</v>
      </c>
      <c r="GG234" s="112" t="s">
        <v>455</v>
      </c>
      <c r="GH234" s="93" t="s">
        <v>456</v>
      </c>
      <c r="GI234" s="94" t="s">
        <v>457</v>
      </c>
      <c r="GJ234" s="87"/>
      <c r="GK234" s="112" t="s">
        <v>234</v>
      </c>
      <c r="GL234" s="112" t="s">
        <v>454</v>
      </c>
      <c r="GM234" s="112" t="s">
        <v>455</v>
      </c>
      <c r="GN234" s="93" t="s">
        <v>456</v>
      </c>
      <c r="GO234" s="94" t="s">
        <v>457</v>
      </c>
      <c r="GP234" s="87"/>
      <c r="GQ234" s="112" t="s">
        <v>234</v>
      </c>
      <c r="GR234" s="112" t="s">
        <v>454</v>
      </c>
      <c r="GS234" s="112" t="s">
        <v>455</v>
      </c>
      <c r="GT234" s="93" t="s">
        <v>456</v>
      </c>
      <c r="GU234" s="94" t="s">
        <v>457</v>
      </c>
      <c r="GV234" s="87"/>
      <c r="GW234" s="112" t="s">
        <v>234</v>
      </c>
      <c r="GX234" s="112" t="s">
        <v>454</v>
      </c>
      <c r="GY234" s="112" t="s">
        <v>455</v>
      </c>
      <c r="GZ234" s="93" t="s">
        <v>456</v>
      </c>
      <c r="HA234" s="94" t="s">
        <v>457</v>
      </c>
      <c r="HB234" s="87"/>
      <c r="HC234" s="85"/>
      <c r="HD234" s="6"/>
      <c r="HE234" s="95" t="s">
        <v>679</v>
      </c>
      <c r="HF234" s="95" t="s">
        <v>488</v>
      </c>
      <c r="HG234" s="220" t="s">
        <v>489</v>
      </c>
      <c r="HH234" s="95" t="s">
        <v>603</v>
      </c>
      <c r="HI234" s="95" t="s">
        <v>423</v>
      </c>
      <c r="HJ234" s="85"/>
      <c r="HK234" s="90" t="s">
        <v>680</v>
      </c>
      <c r="HL234" s="91" t="s">
        <v>681</v>
      </c>
      <c r="HM234" s="92" t="s">
        <v>606</v>
      </c>
      <c r="HN234" s="92" t="s">
        <v>607</v>
      </c>
      <c r="HO234" s="91" t="s">
        <v>608</v>
      </c>
      <c r="HP234" s="91" t="s">
        <v>609</v>
      </c>
      <c r="HQ234" s="92" t="s">
        <v>456</v>
      </c>
      <c r="HR234" s="91" t="s">
        <v>610</v>
      </c>
    </row>
    <row r="235" spans="1:226" x14ac:dyDescent="0.3">
      <c r="A235" s="309">
        <v>1</v>
      </c>
      <c r="B235" s="463" t="s">
        <v>137</v>
      </c>
      <c r="C235" s="309" t="s">
        <v>138</v>
      </c>
      <c r="D235" s="59" t="s">
        <v>139</v>
      </c>
      <c r="E235" s="60"/>
      <c r="F235" s="60"/>
      <c r="G235" s="60"/>
      <c r="H235" s="61"/>
      <c r="I235" s="61">
        <v>20385460</v>
      </c>
      <c r="J235" s="61"/>
      <c r="K235" s="61"/>
      <c r="L235" s="61">
        <v>20385460</v>
      </c>
      <c r="M235" s="62">
        <v>20385460</v>
      </c>
      <c r="N235" s="62">
        <v>20385460</v>
      </c>
      <c r="O235" s="63">
        <v>20385460</v>
      </c>
      <c r="P235" s="63">
        <v>20385460</v>
      </c>
      <c r="Q235" s="63">
        <v>20385460</v>
      </c>
      <c r="R235" s="63">
        <v>20385460</v>
      </c>
      <c r="S235" s="63">
        <v>20385460</v>
      </c>
      <c r="T235" s="63">
        <v>20385460</v>
      </c>
      <c r="U235" s="63">
        <f>T235*5%</f>
        <v>1019273</v>
      </c>
      <c r="V235" s="63">
        <f>T235+U235</f>
        <v>21404733</v>
      </c>
      <c r="W235" s="63">
        <v>21404733</v>
      </c>
      <c r="X235" s="63">
        <v>21404733</v>
      </c>
      <c r="Y235" s="63">
        <v>21404733</v>
      </c>
      <c r="Z235" s="63">
        <v>21404733</v>
      </c>
      <c r="AA235" s="63">
        <v>21404733</v>
      </c>
      <c r="AB235" s="63">
        <v>21404733</v>
      </c>
      <c r="AC235" s="60">
        <v>0</v>
      </c>
      <c r="AD235" s="60">
        <v>0</v>
      </c>
      <c r="AE235" s="63">
        <f>AD235+AC235+AB235</f>
        <v>21404733</v>
      </c>
      <c r="AF235" s="63">
        <v>21404733</v>
      </c>
      <c r="AG235" s="60">
        <v>0</v>
      </c>
      <c r="AH235" s="60">
        <v>0</v>
      </c>
      <c r="AI235" s="63">
        <f>AH235+AG235+AF235</f>
        <v>21404733</v>
      </c>
      <c r="AJ235" s="63">
        <v>21404733</v>
      </c>
      <c r="AK235" s="60">
        <v>0</v>
      </c>
      <c r="AL235" s="60">
        <v>0</v>
      </c>
      <c r="AM235" s="63">
        <f t="shared" ref="AM235:AM242" si="1236">AL235+AK235+AJ235</f>
        <v>21404733</v>
      </c>
      <c r="AN235" s="63">
        <v>21404733</v>
      </c>
      <c r="AO235" s="60">
        <v>0</v>
      </c>
      <c r="AP235" s="60">
        <v>0</v>
      </c>
      <c r="AQ235" s="63">
        <f t="shared" ref="AQ235:AQ242" si="1237">AP235+AO235+AN235</f>
        <v>21404733</v>
      </c>
      <c r="AR235" s="63">
        <v>21404733</v>
      </c>
      <c r="AS235" s="60">
        <v>0</v>
      </c>
      <c r="AT235" s="60">
        <v>0</v>
      </c>
      <c r="AU235" s="63">
        <f t="shared" ref="AU235:AU242" si="1238">AT235+AS235+AR235</f>
        <v>21404733</v>
      </c>
      <c r="AV235" s="63">
        <v>21404733</v>
      </c>
      <c r="AW235" s="60">
        <v>0</v>
      </c>
      <c r="AX235" s="60">
        <v>0</v>
      </c>
      <c r="AY235" s="63">
        <f t="shared" ref="AY235:AY242" si="1239">AX235+AW235+AV235</f>
        <v>21404733</v>
      </c>
      <c r="AZ235" s="8">
        <f>AY235*5%</f>
        <v>1070236.6500000001</v>
      </c>
      <c r="BA235" s="8">
        <v>0.65</v>
      </c>
      <c r="BB235" s="8">
        <f>AZ235-BA235</f>
        <v>1070236.0000000002</v>
      </c>
      <c r="BC235" s="8">
        <f>BB235+AY235</f>
        <v>22474969</v>
      </c>
      <c r="BD235" s="8"/>
      <c r="BE235" s="8">
        <f>BD235+BC235</f>
        <v>22474969</v>
      </c>
      <c r="BF235" s="10">
        <f>BE235-AY235</f>
        <v>1070236</v>
      </c>
      <c r="BG235" s="11">
        <f>BF235-BB235</f>
        <v>0</v>
      </c>
      <c r="BH235" s="324">
        <v>22474969</v>
      </c>
      <c r="BI235" s="324">
        <v>0</v>
      </c>
      <c r="BJ235" s="324">
        <v>0</v>
      </c>
      <c r="BK235" s="319">
        <f t="shared" ref="BK235:BK242" si="1240">BJ235+BI235+BH235</f>
        <v>22474969</v>
      </c>
      <c r="BL235" s="319">
        <v>22474969</v>
      </c>
      <c r="BM235" s="319">
        <v>0</v>
      </c>
      <c r="BN235" s="319">
        <v>0</v>
      </c>
      <c r="BO235" s="319">
        <f t="shared" ref="BO235:BO242" si="1241">BN235+BM235+BL235</f>
        <v>22474969</v>
      </c>
      <c r="BP235" s="319">
        <f>BO235-BK235</f>
        <v>0</v>
      </c>
      <c r="BQ235" s="319">
        <v>22474969</v>
      </c>
      <c r="BR235" s="319">
        <v>0</v>
      </c>
      <c r="BS235" s="319">
        <v>0</v>
      </c>
      <c r="BT235" s="319">
        <f t="shared" ref="BT235:BT242" si="1242">BS235+BR235+BQ235</f>
        <v>22474969</v>
      </c>
      <c r="BU235" s="319">
        <f t="shared" ref="BU235:BU242" si="1243">BT235-BO235</f>
        <v>0</v>
      </c>
      <c r="BV235" s="319">
        <v>22474969</v>
      </c>
      <c r="BW235" s="9">
        <v>0</v>
      </c>
      <c r="BX235" s="9">
        <v>0</v>
      </c>
      <c r="BY235" s="319">
        <f t="shared" ref="BY235:BY242" si="1244">BX235+BW235+BV235</f>
        <v>22474969</v>
      </c>
      <c r="BZ235" s="319">
        <f t="shared" ref="BZ235:BZ242" si="1245">BY235-BT235</f>
        <v>0</v>
      </c>
      <c r="CA235" s="319">
        <v>22474969</v>
      </c>
      <c r="CB235" s="9">
        <v>0</v>
      </c>
      <c r="CC235" s="9">
        <v>0</v>
      </c>
      <c r="CD235" s="319">
        <f t="shared" ref="CD235:CD242" si="1246">CC235+CB235+CA235</f>
        <v>22474969</v>
      </c>
      <c r="CE235" s="319">
        <f t="shared" ref="CE235:CE242" si="1247">CD235-BY235</f>
        <v>0</v>
      </c>
      <c r="CF235" s="319">
        <v>22474969</v>
      </c>
      <c r="CG235" s="319">
        <v>0</v>
      </c>
      <c r="CH235" s="319">
        <v>0</v>
      </c>
      <c r="CI235" s="319">
        <f t="shared" ref="CI235:CI242" si="1248">CH235+CG235+CF235</f>
        <v>22474969</v>
      </c>
      <c r="CJ235" s="319">
        <f t="shared" ref="CJ235:CJ242" si="1249">CI235-CD235</f>
        <v>0</v>
      </c>
      <c r="CK235" s="319">
        <v>22474969</v>
      </c>
      <c r="CL235" s="319">
        <v>0</v>
      </c>
      <c r="CM235" s="319">
        <v>0</v>
      </c>
      <c r="CN235" s="319">
        <f t="shared" ref="CN235:CN242" si="1250">CM235+CL235+CK235</f>
        <v>22474969</v>
      </c>
      <c r="CO235" s="319">
        <f t="shared" ref="CO235:CO242" si="1251">CN235-CI235</f>
        <v>0</v>
      </c>
      <c r="CP235" s="319">
        <v>22474969</v>
      </c>
      <c r="CQ235" s="319">
        <v>0</v>
      </c>
      <c r="CR235" s="319">
        <v>0</v>
      </c>
      <c r="CS235" s="319">
        <f t="shared" ref="CS235:CS242" si="1252">CR235+CQ235+CP235</f>
        <v>22474969</v>
      </c>
      <c r="CT235" s="319">
        <f t="shared" ref="CT235:CT242" si="1253">CS235-CN235</f>
        <v>0</v>
      </c>
      <c r="CU235" s="319">
        <v>22474969</v>
      </c>
      <c r="CV235" s="319">
        <v>0</v>
      </c>
      <c r="CW235" s="319">
        <v>0</v>
      </c>
      <c r="CX235" s="319">
        <f t="shared" ref="CX235:CX242" si="1254">CW235+CV235+CU235</f>
        <v>22474969</v>
      </c>
      <c r="CY235" s="319">
        <f t="shared" ref="CY235:CY242" si="1255">CX235-CS235</f>
        <v>0</v>
      </c>
      <c r="CZ235" s="319"/>
      <c r="DA235" s="319"/>
      <c r="DB235" s="319"/>
      <c r="DC235" s="12">
        <f>CX235*10%</f>
        <v>2247496.9</v>
      </c>
      <c r="DD235" s="12">
        <v>0.9</v>
      </c>
      <c r="DE235" s="13">
        <f>DC235-DD235</f>
        <v>2247496</v>
      </c>
      <c r="DF235" s="14">
        <f t="shared" ref="DF235:DF242" si="1256">DE235:DE235</f>
        <v>2247496</v>
      </c>
      <c r="DG235" s="13">
        <f t="shared" ref="DG235:DG242" si="1257">DE235+CX235</f>
        <v>24722465</v>
      </c>
      <c r="DH235" s="15">
        <f t="shared" ref="DH235:DH242" si="1258">100/1278396949*CX235</f>
        <v>1.7580587170190436</v>
      </c>
      <c r="DI235" s="16">
        <f t="shared" ref="DI235:DI242" si="1259">CX235</f>
        <v>22474969</v>
      </c>
      <c r="DJ235" s="132">
        <f>DI235*1.1</f>
        <v>24722465.900000002</v>
      </c>
      <c r="DK235" s="17">
        <f>DJ235-DI235</f>
        <v>2247496.9000000022</v>
      </c>
      <c r="DL235" s="17">
        <f t="shared" ref="DL235:DL242" si="1260">DD235</f>
        <v>0.9</v>
      </c>
      <c r="DM235" s="16">
        <f>DK235-DL235</f>
        <v>2247496.0000000023</v>
      </c>
      <c r="DN235" s="16">
        <f t="shared" ref="DN235:DN242" si="1261">DM235-DE235</f>
        <v>0</v>
      </c>
      <c r="DO235" s="16">
        <f>DM235+DI235</f>
        <v>24722465.000000004</v>
      </c>
      <c r="DP235" s="16">
        <f t="shared" ref="DP235:DP242" si="1262">DO235-DG235</f>
        <v>0</v>
      </c>
      <c r="DQ235" s="9">
        <v>24722465</v>
      </c>
      <c r="DR235" s="18" t="s">
        <v>238</v>
      </c>
      <c r="DS235" s="18" t="s">
        <v>238</v>
      </c>
      <c r="DT235" s="324">
        <f>DQ235+DR235+DS235</f>
        <v>24722465</v>
      </c>
      <c r="DU235" s="321">
        <f>DT235</f>
        <v>24722465</v>
      </c>
      <c r="DV235" s="19">
        <f>DT235-DG235</f>
        <v>0</v>
      </c>
      <c r="DW235" s="9">
        <v>24722465</v>
      </c>
      <c r="DX235" s="18"/>
      <c r="DY235" s="18"/>
      <c r="DZ235" s="324">
        <f>DW235+DX235+DY235</f>
        <v>24722465</v>
      </c>
      <c r="EA235" s="321">
        <f>DZ235</f>
        <v>24722465</v>
      </c>
      <c r="EB235" s="179">
        <f t="shared" ref="EB235:EB242" si="1263">DZ235-DT235</f>
        <v>0</v>
      </c>
      <c r="EC235" s="9">
        <v>24722465</v>
      </c>
      <c r="ED235" s="18" t="s">
        <v>238</v>
      </c>
      <c r="EE235" s="18" t="s">
        <v>238</v>
      </c>
      <c r="EF235" s="324">
        <f>EC235+ED235+EE235</f>
        <v>24722465</v>
      </c>
      <c r="EG235" s="321">
        <f>EF235</f>
        <v>24722465</v>
      </c>
      <c r="EH235" s="179">
        <f t="shared" ref="EH235:EH242" si="1264">EF235-DZ235</f>
        <v>0</v>
      </c>
      <c r="EI235" s="9">
        <v>24722465</v>
      </c>
      <c r="EJ235" s="18" t="s">
        <v>238</v>
      </c>
      <c r="EK235" s="18" t="s">
        <v>238</v>
      </c>
      <c r="EL235" s="324">
        <f>EI235+EJ235+EK235</f>
        <v>24722465</v>
      </c>
      <c r="EM235" s="321">
        <f>EL235</f>
        <v>24722465</v>
      </c>
      <c r="EN235" s="179">
        <f t="shared" ref="EN235:EN242" si="1265">EL235-EF235</f>
        <v>0</v>
      </c>
      <c r="EO235" s="9">
        <v>24722465</v>
      </c>
      <c r="EP235" s="18" t="s">
        <v>238</v>
      </c>
      <c r="EQ235" s="18" t="s">
        <v>238</v>
      </c>
      <c r="ER235" s="324">
        <f>EO235+EP235+EQ235</f>
        <v>24722465</v>
      </c>
      <c r="ES235" s="321">
        <f>ER235</f>
        <v>24722465</v>
      </c>
      <c r="ET235" s="179">
        <f t="shared" ref="ET235:ET242" si="1266">ER235-EL235</f>
        <v>0</v>
      </c>
      <c r="EU235" s="9">
        <v>24722465</v>
      </c>
      <c r="EV235" s="18" t="s">
        <v>238</v>
      </c>
      <c r="EW235" s="18" t="s">
        <v>238</v>
      </c>
      <c r="EX235" s="324">
        <f>EU235+EV235+EW235</f>
        <v>24722465</v>
      </c>
      <c r="EY235" s="321">
        <f>EX235</f>
        <v>24722465</v>
      </c>
      <c r="EZ235" s="179">
        <f t="shared" ref="EZ235:EZ242" si="1267">EX235-ER235</f>
        <v>0</v>
      </c>
      <c r="FA235" s="9">
        <v>24722465</v>
      </c>
      <c r="FB235" s="18" t="s">
        <v>238</v>
      </c>
      <c r="FC235" s="18" t="s">
        <v>238</v>
      </c>
      <c r="FD235" s="324">
        <f>FA235+FB235+FC235</f>
        <v>24722465</v>
      </c>
      <c r="FE235" s="321">
        <f>FD235</f>
        <v>24722465</v>
      </c>
      <c r="FF235" s="179">
        <f t="shared" ref="FF235:FF242" si="1268">FD235-EX235</f>
        <v>0</v>
      </c>
      <c r="FG235" s="9">
        <v>24722465</v>
      </c>
      <c r="FH235" s="18" t="s">
        <v>238</v>
      </c>
      <c r="FI235" s="18" t="s">
        <v>238</v>
      </c>
      <c r="FJ235" s="324">
        <f>FG235+FH235+FI235</f>
        <v>24722465</v>
      </c>
      <c r="FK235" s="321">
        <f>FJ235</f>
        <v>24722465</v>
      </c>
      <c r="FL235" s="179">
        <f t="shared" ref="FL235:FL242" si="1269">FJ235-FD235</f>
        <v>0</v>
      </c>
      <c r="FM235" s="9">
        <v>24722465</v>
      </c>
      <c r="FN235" s="18" t="s">
        <v>238</v>
      </c>
      <c r="FO235" s="18" t="s">
        <v>238</v>
      </c>
      <c r="FP235" s="324">
        <f>FM235+FN235+FO235</f>
        <v>24722465</v>
      </c>
      <c r="FQ235" s="321">
        <f>FP235</f>
        <v>24722465</v>
      </c>
      <c r="FR235" s="179">
        <f t="shared" ref="FR235:FR242" si="1270">FP235-FJ235</f>
        <v>0</v>
      </c>
      <c r="FS235" s="9">
        <v>24722465</v>
      </c>
      <c r="FT235" s="18" t="s">
        <v>238</v>
      </c>
      <c r="FU235" s="18" t="s">
        <v>238</v>
      </c>
      <c r="FV235" s="324">
        <f>FS235+FT235+FU235</f>
        <v>24722465</v>
      </c>
      <c r="FW235" s="321">
        <f>FV235</f>
        <v>24722465</v>
      </c>
      <c r="FX235" s="179">
        <f t="shared" ref="FX235:FX242" si="1271">FV235-FP235</f>
        <v>0</v>
      </c>
      <c r="FY235" s="9">
        <v>24722465</v>
      </c>
      <c r="FZ235" s="18" t="s">
        <v>238</v>
      </c>
      <c r="GA235" s="18" t="s">
        <v>238</v>
      </c>
      <c r="GB235" s="324">
        <f>FY235+FZ235+GA235</f>
        <v>24722465</v>
      </c>
      <c r="GC235" s="321">
        <f>GB235</f>
        <v>24722465</v>
      </c>
      <c r="GD235" s="179">
        <f t="shared" ref="GD235:GD242" si="1272">GB235-FV235</f>
        <v>0</v>
      </c>
      <c r="GE235" s="9">
        <v>24722465</v>
      </c>
      <c r="GF235" s="18" t="s">
        <v>238</v>
      </c>
      <c r="GG235" s="18" t="s">
        <v>238</v>
      </c>
      <c r="GH235" s="324">
        <f>GE235+GF235+GG235</f>
        <v>24722465</v>
      </c>
      <c r="GI235" s="321">
        <f>GH235</f>
        <v>24722465</v>
      </c>
      <c r="GJ235" s="179">
        <f t="shared" ref="GJ235:GJ242" si="1273">GH235-GB235</f>
        <v>0</v>
      </c>
      <c r="GK235" s="9">
        <v>24722465</v>
      </c>
      <c r="GL235" s="18" t="s">
        <v>238</v>
      </c>
      <c r="GM235" s="18" t="s">
        <v>238</v>
      </c>
      <c r="GN235" s="324">
        <f>GK235+GL235+GM235</f>
        <v>24722465</v>
      </c>
      <c r="GO235" s="321">
        <f>GN235</f>
        <v>24722465</v>
      </c>
      <c r="GP235" s="179">
        <f t="shared" ref="GP235:GP242" si="1274">GN235-GH235</f>
        <v>0</v>
      </c>
      <c r="GQ235" s="9">
        <v>24722465</v>
      </c>
      <c r="GR235" s="18" t="s">
        <v>238</v>
      </c>
      <c r="GS235" s="18" t="s">
        <v>238</v>
      </c>
      <c r="GT235" s="324">
        <f>GQ235+GR235+GS235</f>
        <v>24722465</v>
      </c>
      <c r="GU235" s="321">
        <f>GT235</f>
        <v>24722465</v>
      </c>
      <c r="GV235" s="179">
        <f t="shared" ref="GV235:GV242" si="1275">GT235-GN235</f>
        <v>0</v>
      </c>
      <c r="GW235" s="9">
        <v>25958588</v>
      </c>
      <c r="GX235" s="18" t="s">
        <v>238</v>
      </c>
      <c r="GY235" s="18" t="s">
        <v>238</v>
      </c>
      <c r="GZ235" s="324">
        <f>GW235+GX235+GY235</f>
        <v>25958588</v>
      </c>
      <c r="HA235" s="321">
        <f>GZ235</f>
        <v>25958588</v>
      </c>
      <c r="HB235" s="179">
        <f t="shared" ref="HB235:HB242" si="1276">GZ235-GT235</f>
        <v>1236123</v>
      </c>
      <c r="HC235" s="102">
        <f t="shared" ref="HC235:HC242" si="1277">100/1406236643.9*GT235</f>
        <v>1.7580586530184359</v>
      </c>
      <c r="HD235" s="285">
        <f>HB235-HO235</f>
        <v>0</v>
      </c>
      <c r="HE235" s="12">
        <f>GT235*0.05</f>
        <v>1236123.25</v>
      </c>
      <c r="HF235" s="12">
        <f t="shared" ref="HF235:HF242" si="1278">IF(ISNUMBER($HE235), $HE235-INT($HE235), "")</f>
        <v>0.25</v>
      </c>
      <c r="HG235" s="12">
        <f>HE235-HF235</f>
        <v>1236123</v>
      </c>
      <c r="HH235" s="14">
        <f>HG235:HG235</f>
        <v>1236123</v>
      </c>
      <c r="HI235" s="13">
        <f>HG235+GT235</f>
        <v>25958588</v>
      </c>
      <c r="HJ235" s="102">
        <f>100/1406236643.9*HI235</f>
        <v>1.8459615678914112</v>
      </c>
      <c r="HK235" s="16">
        <f>GT235</f>
        <v>24722465</v>
      </c>
      <c r="HL235" s="103">
        <f>HK235*1.05</f>
        <v>25958588.25</v>
      </c>
      <c r="HM235" s="103">
        <f>HL235-HK235</f>
        <v>1236123.25</v>
      </c>
      <c r="HN235" s="17">
        <f>HF235</f>
        <v>0.25</v>
      </c>
      <c r="HO235" s="56">
        <f>HM235-HN235</f>
        <v>1236123</v>
      </c>
      <c r="HP235" s="16">
        <f>HO235-HG235</f>
        <v>0</v>
      </c>
      <c r="HQ235" s="16">
        <f>HO235+HK235</f>
        <v>25958588</v>
      </c>
      <c r="HR235" s="16">
        <f>HQ235-HI235</f>
        <v>0</v>
      </c>
    </row>
    <row r="236" spans="1:226" x14ac:dyDescent="0.3">
      <c r="A236" s="309">
        <v>2</v>
      </c>
      <c r="B236" s="464"/>
      <c r="C236" s="309" t="s">
        <v>316</v>
      </c>
      <c r="D236" s="59" t="s">
        <v>140</v>
      </c>
      <c r="E236" s="60"/>
      <c r="F236" s="60"/>
      <c r="G236" s="60"/>
      <c r="H236" s="61"/>
      <c r="I236" s="61">
        <v>7172550</v>
      </c>
      <c r="J236" s="61"/>
      <c r="K236" s="61"/>
      <c r="L236" s="61">
        <v>7172550</v>
      </c>
      <c r="M236" s="62">
        <v>7172550</v>
      </c>
      <c r="N236" s="62">
        <v>7172550</v>
      </c>
      <c r="O236" s="63">
        <v>7172550</v>
      </c>
      <c r="P236" s="63">
        <v>7172550</v>
      </c>
      <c r="Q236" s="63">
        <v>7172550</v>
      </c>
      <c r="R236" s="63">
        <v>7172550</v>
      </c>
      <c r="S236" s="63">
        <v>7172550</v>
      </c>
      <c r="T236" s="63">
        <v>7172550</v>
      </c>
      <c r="U236" s="63">
        <f t="shared" ref="U236:U242" si="1279">T236*5%</f>
        <v>358627.5</v>
      </c>
      <c r="V236" s="63">
        <f t="shared" ref="V236:V242" si="1280">T236+U236</f>
        <v>7531177.5</v>
      </c>
      <c r="W236" s="63">
        <v>7531177</v>
      </c>
      <c r="X236" s="63">
        <v>7531177</v>
      </c>
      <c r="Y236" s="63">
        <v>7531177</v>
      </c>
      <c r="Z236" s="63">
        <v>7531177</v>
      </c>
      <c r="AA236" s="63">
        <v>7531177</v>
      </c>
      <c r="AB236" s="63">
        <v>7531177</v>
      </c>
      <c r="AC236" s="60">
        <v>0</v>
      </c>
      <c r="AD236" s="60">
        <v>0</v>
      </c>
      <c r="AE236" s="63">
        <f t="shared" ref="AE236:AE242" si="1281">AD236+AC236+AB236</f>
        <v>7531177</v>
      </c>
      <c r="AF236" s="63">
        <v>7531177</v>
      </c>
      <c r="AG236" s="60">
        <v>0</v>
      </c>
      <c r="AH236" s="60">
        <v>0</v>
      </c>
      <c r="AI236" s="63">
        <f t="shared" ref="AI236:AI242" si="1282">AH236+AG236+AF236</f>
        <v>7531177</v>
      </c>
      <c r="AJ236" s="63">
        <v>7531177</v>
      </c>
      <c r="AK236" s="60">
        <v>0</v>
      </c>
      <c r="AL236" s="60">
        <v>0</v>
      </c>
      <c r="AM236" s="63">
        <f t="shared" si="1236"/>
        <v>7531177</v>
      </c>
      <c r="AN236" s="63">
        <v>7531177</v>
      </c>
      <c r="AO236" s="60">
        <v>0</v>
      </c>
      <c r="AP236" s="60">
        <v>0</v>
      </c>
      <c r="AQ236" s="63">
        <f t="shared" si="1237"/>
        <v>7531177</v>
      </c>
      <c r="AR236" s="63">
        <v>7531177</v>
      </c>
      <c r="AS236" s="60">
        <v>0</v>
      </c>
      <c r="AT236" s="60">
        <v>0</v>
      </c>
      <c r="AU236" s="63">
        <f t="shared" si="1238"/>
        <v>7531177</v>
      </c>
      <c r="AV236" s="63">
        <v>7531177</v>
      </c>
      <c r="AW236" s="60">
        <v>0</v>
      </c>
      <c r="AX236" s="60">
        <v>0</v>
      </c>
      <c r="AY236" s="63">
        <f t="shared" si="1239"/>
        <v>7531177</v>
      </c>
      <c r="AZ236" s="8">
        <f t="shared" ref="AZ236:AZ242" si="1283">AY236*5%</f>
        <v>376558.85000000003</v>
      </c>
      <c r="BA236" s="8">
        <v>0.85</v>
      </c>
      <c r="BB236" s="8">
        <f t="shared" ref="BB236:BB242" si="1284">AZ236-BA236</f>
        <v>376558.00000000006</v>
      </c>
      <c r="BC236" s="8">
        <f t="shared" ref="BC236:BC242" si="1285">BB236+AY236</f>
        <v>7907735</v>
      </c>
      <c r="BD236" s="8"/>
      <c r="BE236" s="8">
        <f t="shared" ref="BE236:BE242" si="1286">BD236+BC236</f>
        <v>7907735</v>
      </c>
      <c r="BF236" s="10">
        <f t="shared" ref="BF236:BF242" si="1287">BE236-AY236</f>
        <v>376558</v>
      </c>
      <c r="BG236" s="11">
        <f t="shared" ref="BG236:BG242" si="1288">BF236-BB236</f>
        <v>0</v>
      </c>
      <c r="BH236" s="324">
        <v>7907735</v>
      </c>
      <c r="BI236" s="324">
        <v>0</v>
      </c>
      <c r="BJ236" s="324">
        <v>0</v>
      </c>
      <c r="BK236" s="319">
        <f t="shared" si="1240"/>
        <v>7907735</v>
      </c>
      <c r="BL236" s="319">
        <v>7907735</v>
      </c>
      <c r="BM236" s="319">
        <v>0</v>
      </c>
      <c r="BN236" s="319">
        <v>0</v>
      </c>
      <c r="BO236" s="319">
        <f t="shared" si="1241"/>
        <v>7907735</v>
      </c>
      <c r="BP236" s="319">
        <f t="shared" ref="BP236:BP242" si="1289">BO236-BK236</f>
        <v>0</v>
      </c>
      <c r="BQ236" s="319">
        <v>7907735</v>
      </c>
      <c r="BR236" s="319">
        <v>0</v>
      </c>
      <c r="BS236" s="319">
        <v>0</v>
      </c>
      <c r="BT236" s="319">
        <f t="shared" si="1242"/>
        <v>7907735</v>
      </c>
      <c r="BU236" s="319">
        <f t="shared" si="1243"/>
        <v>0</v>
      </c>
      <c r="BV236" s="319">
        <v>7907735</v>
      </c>
      <c r="BW236" s="9">
        <v>0</v>
      </c>
      <c r="BX236" s="9">
        <v>0</v>
      </c>
      <c r="BY236" s="319">
        <f t="shared" si="1244"/>
        <v>7907735</v>
      </c>
      <c r="BZ236" s="319">
        <f t="shared" si="1245"/>
        <v>0</v>
      </c>
      <c r="CA236" s="319">
        <v>7907735</v>
      </c>
      <c r="CB236" s="9">
        <v>0</v>
      </c>
      <c r="CC236" s="9">
        <v>0</v>
      </c>
      <c r="CD236" s="319">
        <f t="shared" si="1246"/>
        <v>7907735</v>
      </c>
      <c r="CE236" s="319">
        <f t="shared" si="1247"/>
        <v>0</v>
      </c>
      <c r="CF236" s="319">
        <v>7907735</v>
      </c>
      <c r="CG236" s="319">
        <v>0</v>
      </c>
      <c r="CH236" s="319">
        <v>0</v>
      </c>
      <c r="CI236" s="319">
        <f t="shared" si="1248"/>
        <v>7907735</v>
      </c>
      <c r="CJ236" s="319">
        <f t="shared" si="1249"/>
        <v>0</v>
      </c>
      <c r="CK236" s="319">
        <v>7907735</v>
      </c>
      <c r="CL236" s="319">
        <v>0</v>
      </c>
      <c r="CM236" s="319">
        <v>0</v>
      </c>
      <c r="CN236" s="319">
        <f t="shared" si="1250"/>
        <v>7907735</v>
      </c>
      <c r="CO236" s="319">
        <f t="shared" si="1251"/>
        <v>0</v>
      </c>
      <c r="CP236" s="319">
        <v>7907735</v>
      </c>
      <c r="CQ236" s="319">
        <v>0</v>
      </c>
      <c r="CR236" s="319">
        <v>0</v>
      </c>
      <c r="CS236" s="319">
        <f t="shared" si="1252"/>
        <v>7907735</v>
      </c>
      <c r="CT236" s="319">
        <f t="shared" si="1253"/>
        <v>0</v>
      </c>
      <c r="CU236" s="319">
        <v>7907735</v>
      </c>
      <c r="CV236" s="319">
        <v>0</v>
      </c>
      <c r="CW236" s="319">
        <v>0</v>
      </c>
      <c r="CX236" s="319">
        <f t="shared" si="1254"/>
        <v>7907735</v>
      </c>
      <c r="CY236" s="319">
        <f t="shared" si="1255"/>
        <v>0</v>
      </c>
      <c r="CZ236" s="319"/>
      <c r="DA236" s="319"/>
      <c r="DB236" s="319"/>
      <c r="DC236" s="12">
        <f t="shared" ref="DC236:DC242" si="1290">CX236*10%</f>
        <v>790773.5</v>
      </c>
      <c r="DD236" s="12">
        <v>0.5</v>
      </c>
      <c r="DE236" s="13">
        <f t="shared" ref="DE236:DE242" si="1291">DC236-DD236</f>
        <v>790773</v>
      </c>
      <c r="DF236" s="14">
        <f t="shared" si="1256"/>
        <v>790773</v>
      </c>
      <c r="DG236" s="13">
        <f t="shared" si="1257"/>
        <v>8698508</v>
      </c>
      <c r="DH236" s="15">
        <f t="shared" si="1258"/>
        <v>0.61856647938542597</v>
      </c>
      <c r="DI236" s="16">
        <f t="shared" si="1259"/>
        <v>7907735</v>
      </c>
      <c r="DJ236" s="132">
        <f t="shared" ref="DJ236:DJ242" si="1292">DI236*1.1</f>
        <v>8698508.5</v>
      </c>
      <c r="DK236" s="17">
        <f t="shared" ref="DK236:DK242" si="1293">DJ236-DI236</f>
        <v>790773.5</v>
      </c>
      <c r="DL236" s="17">
        <f t="shared" si="1260"/>
        <v>0.5</v>
      </c>
      <c r="DM236" s="16">
        <f t="shared" ref="DM236:DM242" si="1294">DK236-DL236</f>
        <v>790773</v>
      </c>
      <c r="DN236" s="16">
        <f t="shared" si="1261"/>
        <v>0</v>
      </c>
      <c r="DO236" s="16">
        <f t="shared" ref="DO236:DO242" si="1295">DM236+DI236</f>
        <v>8698508</v>
      </c>
      <c r="DP236" s="16">
        <f t="shared" si="1262"/>
        <v>0</v>
      </c>
      <c r="DQ236" s="9">
        <v>8698508</v>
      </c>
      <c r="DR236" s="18" t="s">
        <v>238</v>
      </c>
      <c r="DS236" s="18" t="s">
        <v>238</v>
      </c>
      <c r="DT236" s="324">
        <f t="shared" ref="DT236:DT242" si="1296">DQ236+DR236+DS236</f>
        <v>8698508</v>
      </c>
      <c r="DU236" s="321">
        <f t="shared" ref="DU236:DU242" si="1297">DT236</f>
        <v>8698508</v>
      </c>
      <c r="DV236" s="19">
        <f t="shared" ref="DV236:DV242" si="1298">DT236-DG236</f>
        <v>0</v>
      </c>
      <c r="DW236" s="9">
        <v>8698508</v>
      </c>
      <c r="DX236" s="18"/>
      <c r="DY236" s="18"/>
      <c r="DZ236" s="324">
        <f t="shared" ref="DZ236:DZ242" si="1299">DW236+DX236+DY236</f>
        <v>8698508</v>
      </c>
      <c r="EA236" s="321">
        <f t="shared" ref="EA236:EA242" si="1300">DZ236</f>
        <v>8698508</v>
      </c>
      <c r="EB236" s="179">
        <f t="shared" si="1263"/>
        <v>0</v>
      </c>
      <c r="EC236" s="9">
        <v>8698508</v>
      </c>
      <c r="ED236" s="18" t="s">
        <v>238</v>
      </c>
      <c r="EE236" s="18" t="s">
        <v>238</v>
      </c>
      <c r="EF236" s="324">
        <f t="shared" ref="EF236:EF242" si="1301">EC236+ED236+EE236</f>
        <v>8698508</v>
      </c>
      <c r="EG236" s="321">
        <f t="shared" ref="EG236:EG242" si="1302">EF236</f>
        <v>8698508</v>
      </c>
      <c r="EH236" s="179">
        <f t="shared" si="1264"/>
        <v>0</v>
      </c>
      <c r="EI236" s="9">
        <v>8698508</v>
      </c>
      <c r="EJ236" s="18" t="s">
        <v>238</v>
      </c>
      <c r="EK236" s="18" t="s">
        <v>238</v>
      </c>
      <c r="EL236" s="324">
        <f t="shared" ref="EL236:EL242" si="1303">EI236+EJ236+EK236</f>
        <v>8698508</v>
      </c>
      <c r="EM236" s="321">
        <f t="shared" ref="EM236:EM242" si="1304">EL236</f>
        <v>8698508</v>
      </c>
      <c r="EN236" s="179">
        <f t="shared" si="1265"/>
        <v>0</v>
      </c>
      <c r="EO236" s="9">
        <v>8698508</v>
      </c>
      <c r="EP236" s="18" t="s">
        <v>238</v>
      </c>
      <c r="EQ236" s="18" t="s">
        <v>238</v>
      </c>
      <c r="ER236" s="324">
        <f t="shared" ref="ER236:ER242" si="1305">EO236+EP236+EQ236</f>
        <v>8698508</v>
      </c>
      <c r="ES236" s="321">
        <f t="shared" ref="ES236:ES242" si="1306">ER236</f>
        <v>8698508</v>
      </c>
      <c r="ET236" s="179">
        <f t="shared" si="1266"/>
        <v>0</v>
      </c>
      <c r="EU236" s="9">
        <v>8698508</v>
      </c>
      <c r="EV236" s="18" t="s">
        <v>238</v>
      </c>
      <c r="EW236" s="18" t="s">
        <v>238</v>
      </c>
      <c r="EX236" s="324">
        <f t="shared" ref="EX236:EX242" si="1307">EU236+EV236+EW236</f>
        <v>8698508</v>
      </c>
      <c r="EY236" s="321">
        <f t="shared" ref="EY236:EY242" si="1308">EX236</f>
        <v>8698508</v>
      </c>
      <c r="EZ236" s="179">
        <f t="shared" si="1267"/>
        <v>0</v>
      </c>
      <c r="FA236" s="9">
        <v>8698508</v>
      </c>
      <c r="FB236" s="18" t="s">
        <v>238</v>
      </c>
      <c r="FC236" s="18" t="s">
        <v>238</v>
      </c>
      <c r="FD236" s="324">
        <f t="shared" ref="FD236:FD242" si="1309">FA236+FB236+FC236</f>
        <v>8698508</v>
      </c>
      <c r="FE236" s="321">
        <f t="shared" ref="FE236:FE242" si="1310">FD236</f>
        <v>8698508</v>
      </c>
      <c r="FF236" s="179">
        <f t="shared" si="1268"/>
        <v>0</v>
      </c>
      <c r="FG236" s="9">
        <v>8698508</v>
      </c>
      <c r="FH236" s="18" t="s">
        <v>238</v>
      </c>
      <c r="FI236" s="18" t="s">
        <v>238</v>
      </c>
      <c r="FJ236" s="324">
        <f t="shared" ref="FJ236:FJ242" si="1311">FG236+FH236+FI236</f>
        <v>8698508</v>
      </c>
      <c r="FK236" s="321">
        <f t="shared" ref="FK236:FK242" si="1312">FJ236</f>
        <v>8698508</v>
      </c>
      <c r="FL236" s="179">
        <f t="shared" si="1269"/>
        <v>0</v>
      </c>
      <c r="FM236" s="9">
        <v>8698508</v>
      </c>
      <c r="FN236" s="18" t="s">
        <v>238</v>
      </c>
      <c r="FO236" s="18" t="s">
        <v>238</v>
      </c>
      <c r="FP236" s="324">
        <f t="shared" ref="FP236:FP242" si="1313">FM236+FN236+FO236</f>
        <v>8698508</v>
      </c>
      <c r="FQ236" s="321">
        <f t="shared" ref="FQ236:FQ242" si="1314">FP236</f>
        <v>8698508</v>
      </c>
      <c r="FR236" s="179">
        <f t="shared" si="1270"/>
        <v>0</v>
      </c>
      <c r="FS236" s="9">
        <v>8698508</v>
      </c>
      <c r="FT236" s="18" t="s">
        <v>238</v>
      </c>
      <c r="FU236" s="18" t="s">
        <v>238</v>
      </c>
      <c r="FV236" s="324">
        <f t="shared" ref="FV236:FV242" si="1315">FS236+FT236+FU236</f>
        <v>8698508</v>
      </c>
      <c r="FW236" s="321">
        <f t="shared" ref="FW236:FW242" si="1316">FV236</f>
        <v>8698508</v>
      </c>
      <c r="FX236" s="179">
        <f t="shared" si="1271"/>
        <v>0</v>
      </c>
      <c r="FY236" s="9">
        <v>8698508</v>
      </c>
      <c r="FZ236" s="18" t="s">
        <v>238</v>
      </c>
      <c r="GA236" s="18" t="s">
        <v>238</v>
      </c>
      <c r="GB236" s="324">
        <f t="shared" ref="GB236:GB242" si="1317">FY236+FZ236+GA236</f>
        <v>8698508</v>
      </c>
      <c r="GC236" s="321">
        <f t="shared" ref="GC236:GC242" si="1318">GB236</f>
        <v>8698508</v>
      </c>
      <c r="GD236" s="179">
        <f t="shared" si="1272"/>
        <v>0</v>
      </c>
      <c r="GE236" s="9">
        <v>8698508</v>
      </c>
      <c r="GF236" s="18" t="s">
        <v>238</v>
      </c>
      <c r="GG236" s="18" t="s">
        <v>238</v>
      </c>
      <c r="GH236" s="324">
        <f t="shared" ref="GH236:GH242" si="1319">GE236+GF236+GG236</f>
        <v>8698508</v>
      </c>
      <c r="GI236" s="321">
        <f t="shared" ref="GI236:GI242" si="1320">GH236</f>
        <v>8698508</v>
      </c>
      <c r="GJ236" s="179">
        <f t="shared" si="1273"/>
        <v>0</v>
      </c>
      <c r="GK236" s="9">
        <v>8698508</v>
      </c>
      <c r="GL236" s="18" t="s">
        <v>238</v>
      </c>
      <c r="GM236" s="18" t="s">
        <v>238</v>
      </c>
      <c r="GN236" s="324">
        <f t="shared" ref="GN236:GN242" si="1321">GK236+GL236+GM236</f>
        <v>8698508</v>
      </c>
      <c r="GO236" s="321">
        <f t="shared" ref="GO236:GO242" si="1322">GN236</f>
        <v>8698508</v>
      </c>
      <c r="GP236" s="179">
        <f t="shared" si="1274"/>
        <v>0</v>
      </c>
      <c r="GQ236" s="9">
        <v>8698508</v>
      </c>
      <c r="GR236" s="18" t="s">
        <v>238</v>
      </c>
      <c r="GS236" s="18" t="s">
        <v>238</v>
      </c>
      <c r="GT236" s="324">
        <f t="shared" ref="GT236:GT242" si="1323">GQ236+GR236+GS236</f>
        <v>8698508</v>
      </c>
      <c r="GU236" s="321">
        <f t="shared" ref="GU236:GU242" si="1324">GT236</f>
        <v>8698508</v>
      </c>
      <c r="GV236" s="179">
        <f t="shared" si="1275"/>
        <v>0</v>
      </c>
      <c r="GW236" s="9">
        <v>9133433</v>
      </c>
      <c r="GX236" s="18" t="s">
        <v>238</v>
      </c>
      <c r="GY236" s="18" t="s">
        <v>238</v>
      </c>
      <c r="GZ236" s="324">
        <f t="shared" ref="GZ236:GZ242" si="1325">GW236+GX236+GY236</f>
        <v>9133433</v>
      </c>
      <c r="HA236" s="321">
        <f t="shared" ref="HA236:HA242" si="1326">GZ236</f>
        <v>9133433</v>
      </c>
      <c r="HB236" s="179">
        <f t="shared" si="1276"/>
        <v>434925</v>
      </c>
      <c r="HC236" s="102">
        <f t="shared" si="1277"/>
        <v>0.61856644382953274</v>
      </c>
      <c r="HD236" s="285">
        <f>HB236-HO236</f>
        <v>0</v>
      </c>
      <c r="HE236" s="12">
        <f>GT236*0.05</f>
        <v>434925.4</v>
      </c>
      <c r="HF236" s="12">
        <f t="shared" si="1278"/>
        <v>0.40000000002328306</v>
      </c>
      <c r="HG236" s="12">
        <f>HE236-HF236</f>
        <v>434925</v>
      </c>
      <c r="HH236" s="14">
        <f>HG236:HG236</f>
        <v>434925</v>
      </c>
      <c r="HI236" s="13">
        <f>HG236+GT236</f>
        <v>9133433</v>
      </c>
      <c r="HJ236" s="102">
        <f>100/1406236643.9*HI236</f>
        <v>0.64949473757629472</v>
      </c>
      <c r="HK236" s="16">
        <f>GT236</f>
        <v>8698508</v>
      </c>
      <c r="HL236" s="103">
        <f>HK236*1.05</f>
        <v>9133433.4000000004</v>
      </c>
      <c r="HM236" s="103">
        <f>HL236-HK236</f>
        <v>434925.40000000037</v>
      </c>
      <c r="HN236" s="17">
        <f>HF236</f>
        <v>0.40000000002328306</v>
      </c>
      <c r="HO236" s="56">
        <f>HM236-HN236</f>
        <v>434925.00000000035</v>
      </c>
      <c r="HP236" s="16">
        <f>HO236-HG236</f>
        <v>0</v>
      </c>
      <c r="HQ236" s="16">
        <f>HO236+HK236</f>
        <v>9133433</v>
      </c>
      <c r="HR236" s="16">
        <f>HQ236-HI236</f>
        <v>0</v>
      </c>
    </row>
    <row r="237" spans="1:226" x14ac:dyDescent="0.3">
      <c r="A237" s="309">
        <v>3</v>
      </c>
      <c r="B237" s="464"/>
      <c r="C237" s="309" t="s">
        <v>141</v>
      </c>
      <c r="D237" s="59" t="s">
        <v>142</v>
      </c>
      <c r="E237" s="60"/>
      <c r="F237" s="60"/>
      <c r="G237" s="60"/>
      <c r="H237" s="61"/>
      <c r="I237" s="61">
        <v>416258</v>
      </c>
      <c r="J237" s="61"/>
      <c r="K237" s="61"/>
      <c r="L237" s="61">
        <v>416258</v>
      </c>
      <c r="M237" s="62">
        <v>416258</v>
      </c>
      <c r="N237" s="62">
        <v>416258</v>
      </c>
      <c r="O237" s="63">
        <v>416258</v>
      </c>
      <c r="P237" s="63">
        <v>416258</v>
      </c>
      <c r="Q237" s="63">
        <v>416258</v>
      </c>
      <c r="R237" s="63">
        <v>416258</v>
      </c>
      <c r="S237" s="63">
        <v>416258</v>
      </c>
      <c r="T237" s="63">
        <v>416258</v>
      </c>
      <c r="U237" s="63">
        <f t="shared" si="1279"/>
        <v>20812.900000000001</v>
      </c>
      <c r="V237" s="63">
        <f t="shared" si="1280"/>
        <v>437070.9</v>
      </c>
      <c r="W237" s="63">
        <v>437070</v>
      </c>
      <c r="X237" s="63">
        <v>437070</v>
      </c>
      <c r="Y237" s="63">
        <v>437070</v>
      </c>
      <c r="Z237" s="63">
        <v>437070</v>
      </c>
      <c r="AA237" s="63">
        <v>437070</v>
      </c>
      <c r="AB237" s="63">
        <v>437070</v>
      </c>
      <c r="AC237" s="60">
        <v>0</v>
      </c>
      <c r="AD237" s="60">
        <v>0</v>
      </c>
      <c r="AE237" s="63">
        <f t="shared" si="1281"/>
        <v>437070</v>
      </c>
      <c r="AF237" s="63">
        <v>437070</v>
      </c>
      <c r="AG237" s="60">
        <v>0</v>
      </c>
      <c r="AH237" s="60">
        <v>0</v>
      </c>
      <c r="AI237" s="63">
        <f t="shared" si="1282"/>
        <v>437070</v>
      </c>
      <c r="AJ237" s="63">
        <v>437070</v>
      </c>
      <c r="AK237" s="60">
        <v>0</v>
      </c>
      <c r="AL237" s="60">
        <v>0</v>
      </c>
      <c r="AM237" s="63">
        <f t="shared" si="1236"/>
        <v>437070</v>
      </c>
      <c r="AN237" s="63">
        <v>437070</v>
      </c>
      <c r="AO237" s="60">
        <v>0</v>
      </c>
      <c r="AP237" s="60">
        <v>0</v>
      </c>
      <c r="AQ237" s="63">
        <f t="shared" si="1237"/>
        <v>437070</v>
      </c>
      <c r="AR237" s="63">
        <v>437070</v>
      </c>
      <c r="AS237" s="60">
        <v>0</v>
      </c>
      <c r="AT237" s="60">
        <v>0</v>
      </c>
      <c r="AU237" s="63">
        <f t="shared" si="1238"/>
        <v>437070</v>
      </c>
      <c r="AV237" s="63">
        <v>437070</v>
      </c>
      <c r="AW237" s="60">
        <v>0</v>
      </c>
      <c r="AX237" s="60">
        <v>0</v>
      </c>
      <c r="AY237" s="63">
        <f t="shared" si="1239"/>
        <v>437070</v>
      </c>
      <c r="AZ237" s="8">
        <f t="shared" si="1283"/>
        <v>21853.5</v>
      </c>
      <c r="BA237" s="8">
        <v>0.5</v>
      </c>
      <c r="BB237" s="8">
        <f t="shared" si="1284"/>
        <v>21853</v>
      </c>
      <c r="BC237" s="8">
        <f t="shared" si="1285"/>
        <v>458923</v>
      </c>
      <c r="BD237" s="8"/>
      <c r="BE237" s="8">
        <f t="shared" si="1286"/>
        <v>458923</v>
      </c>
      <c r="BF237" s="10">
        <f t="shared" si="1287"/>
        <v>21853</v>
      </c>
      <c r="BG237" s="11">
        <f t="shared" si="1288"/>
        <v>0</v>
      </c>
      <c r="BH237" s="324">
        <v>458923</v>
      </c>
      <c r="BI237" s="324">
        <v>0</v>
      </c>
      <c r="BJ237" s="324">
        <v>0</v>
      </c>
      <c r="BK237" s="319">
        <f t="shared" si="1240"/>
        <v>458923</v>
      </c>
      <c r="BL237" s="319">
        <v>458923</v>
      </c>
      <c r="BM237" s="319">
        <v>0</v>
      </c>
      <c r="BN237" s="319">
        <v>0</v>
      </c>
      <c r="BO237" s="319">
        <f t="shared" si="1241"/>
        <v>458923</v>
      </c>
      <c r="BP237" s="319">
        <f t="shared" si="1289"/>
        <v>0</v>
      </c>
      <c r="BQ237" s="319">
        <v>458923</v>
      </c>
      <c r="BR237" s="319">
        <v>0</v>
      </c>
      <c r="BS237" s="319">
        <v>0</v>
      </c>
      <c r="BT237" s="319">
        <f t="shared" si="1242"/>
        <v>458923</v>
      </c>
      <c r="BU237" s="319">
        <f t="shared" si="1243"/>
        <v>0</v>
      </c>
      <c r="BV237" s="319">
        <v>458923</v>
      </c>
      <c r="BW237" s="9">
        <v>0</v>
      </c>
      <c r="BX237" s="9">
        <v>0</v>
      </c>
      <c r="BY237" s="319">
        <f t="shared" si="1244"/>
        <v>458923</v>
      </c>
      <c r="BZ237" s="319">
        <f t="shared" si="1245"/>
        <v>0</v>
      </c>
      <c r="CA237" s="319">
        <v>458923</v>
      </c>
      <c r="CB237" s="9">
        <v>0</v>
      </c>
      <c r="CC237" s="9">
        <v>0</v>
      </c>
      <c r="CD237" s="319">
        <f t="shared" si="1246"/>
        <v>458923</v>
      </c>
      <c r="CE237" s="319">
        <f t="shared" si="1247"/>
        <v>0</v>
      </c>
      <c r="CF237" s="319">
        <v>458923</v>
      </c>
      <c r="CG237" s="319">
        <v>0</v>
      </c>
      <c r="CH237" s="319">
        <v>0</v>
      </c>
      <c r="CI237" s="319">
        <f t="shared" si="1248"/>
        <v>458923</v>
      </c>
      <c r="CJ237" s="319">
        <f t="shared" si="1249"/>
        <v>0</v>
      </c>
      <c r="CK237" s="319">
        <v>458923</v>
      </c>
      <c r="CL237" s="319">
        <v>0</v>
      </c>
      <c r="CM237" s="319">
        <v>0</v>
      </c>
      <c r="CN237" s="319">
        <f t="shared" si="1250"/>
        <v>458923</v>
      </c>
      <c r="CO237" s="319">
        <f t="shared" si="1251"/>
        <v>0</v>
      </c>
      <c r="CP237" s="319">
        <v>458923</v>
      </c>
      <c r="CQ237" s="319">
        <v>0</v>
      </c>
      <c r="CR237" s="319">
        <v>0</v>
      </c>
      <c r="CS237" s="319">
        <f t="shared" si="1252"/>
        <v>458923</v>
      </c>
      <c r="CT237" s="319">
        <f t="shared" si="1253"/>
        <v>0</v>
      </c>
      <c r="CU237" s="319">
        <v>458923</v>
      </c>
      <c r="CV237" s="319">
        <v>0</v>
      </c>
      <c r="CW237" s="319">
        <v>0</v>
      </c>
      <c r="CX237" s="319">
        <f t="shared" si="1254"/>
        <v>458923</v>
      </c>
      <c r="CY237" s="319">
        <f t="shared" si="1255"/>
        <v>0</v>
      </c>
      <c r="CZ237" s="319"/>
      <c r="DA237" s="319"/>
      <c r="DB237" s="319"/>
      <c r="DC237" s="12">
        <f t="shared" si="1290"/>
        <v>45892.3</v>
      </c>
      <c r="DD237" s="12">
        <v>0.3</v>
      </c>
      <c r="DE237" s="13">
        <f t="shared" si="1291"/>
        <v>45892</v>
      </c>
      <c r="DF237" s="14">
        <f t="shared" si="1256"/>
        <v>45892</v>
      </c>
      <c r="DG237" s="13">
        <f t="shared" si="1257"/>
        <v>504815</v>
      </c>
      <c r="DH237" s="15">
        <f t="shared" si="1258"/>
        <v>3.5898317839305166E-2</v>
      </c>
      <c r="DI237" s="16">
        <f t="shared" si="1259"/>
        <v>458923</v>
      </c>
      <c r="DJ237" s="132">
        <f t="shared" si="1292"/>
        <v>504815.30000000005</v>
      </c>
      <c r="DK237" s="17">
        <f t="shared" si="1293"/>
        <v>45892.300000000047</v>
      </c>
      <c r="DL237" s="17">
        <f t="shared" si="1260"/>
        <v>0.3</v>
      </c>
      <c r="DM237" s="16">
        <f t="shared" si="1294"/>
        <v>45892.000000000044</v>
      </c>
      <c r="DN237" s="16">
        <f t="shared" si="1261"/>
        <v>0</v>
      </c>
      <c r="DO237" s="16">
        <f t="shared" si="1295"/>
        <v>504815.00000000006</v>
      </c>
      <c r="DP237" s="16">
        <f t="shared" si="1262"/>
        <v>0</v>
      </c>
      <c r="DQ237" s="9">
        <v>504815</v>
      </c>
      <c r="DR237" s="18" t="s">
        <v>238</v>
      </c>
      <c r="DS237" s="18" t="s">
        <v>238</v>
      </c>
      <c r="DT237" s="324">
        <f t="shared" si="1296"/>
        <v>504815</v>
      </c>
      <c r="DU237" s="321">
        <f t="shared" si="1297"/>
        <v>504815</v>
      </c>
      <c r="DV237" s="19">
        <f t="shared" si="1298"/>
        <v>0</v>
      </c>
      <c r="DW237" s="9">
        <v>504815</v>
      </c>
      <c r="DX237" s="18"/>
      <c r="DY237" s="18"/>
      <c r="DZ237" s="324">
        <f t="shared" si="1299"/>
        <v>504815</v>
      </c>
      <c r="EA237" s="321">
        <f t="shared" si="1300"/>
        <v>504815</v>
      </c>
      <c r="EB237" s="179">
        <f t="shared" si="1263"/>
        <v>0</v>
      </c>
      <c r="EC237" s="9">
        <v>504815</v>
      </c>
      <c r="ED237" s="18" t="s">
        <v>238</v>
      </c>
      <c r="EE237" s="18" t="s">
        <v>238</v>
      </c>
      <c r="EF237" s="324">
        <f t="shared" si="1301"/>
        <v>504815</v>
      </c>
      <c r="EG237" s="321">
        <f t="shared" si="1302"/>
        <v>504815</v>
      </c>
      <c r="EH237" s="179">
        <f t="shared" si="1264"/>
        <v>0</v>
      </c>
      <c r="EI237" s="9">
        <v>504815</v>
      </c>
      <c r="EJ237" s="18" t="s">
        <v>238</v>
      </c>
      <c r="EK237" s="18" t="s">
        <v>238</v>
      </c>
      <c r="EL237" s="324">
        <f t="shared" si="1303"/>
        <v>504815</v>
      </c>
      <c r="EM237" s="321">
        <f t="shared" si="1304"/>
        <v>504815</v>
      </c>
      <c r="EN237" s="179">
        <f t="shared" si="1265"/>
        <v>0</v>
      </c>
      <c r="EO237" s="9">
        <v>504815</v>
      </c>
      <c r="EP237" s="18" t="s">
        <v>238</v>
      </c>
      <c r="EQ237" s="18" t="s">
        <v>238</v>
      </c>
      <c r="ER237" s="324">
        <f t="shared" si="1305"/>
        <v>504815</v>
      </c>
      <c r="ES237" s="321">
        <f t="shared" si="1306"/>
        <v>504815</v>
      </c>
      <c r="ET237" s="179">
        <f t="shared" si="1266"/>
        <v>0</v>
      </c>
      <c r="EU237" s="9">
        <v>504815</v>
      </c>
      <c r="EV237" s="18" t="s">
        <v>238</v>
      </c>
      <c r="EW237" s="18" t="s">
        <v>238</v>
      </c>
      <c r="EX237" s="324">
        <f t="shared" si="1307"/>
        <v>504815</v>
      </c>
      <c r="EY237" s="321">
        <f t="shared" si="1308"/>
        <v>504815</v>
      </c>
      <c r="EZ237" s="179">
        <f t="shared" si="1267"/>
        <v>0</v>
      </c>
      <c r="FA237" s="9">
        <v>504815</v>
      </c>
      <c r="FB237" s="18" t="s">
        <v>238</v>
      </c>
      <c r="FC237" s="18" t="s">
        <v>238</v>
      </c>
      <c r="FD237" s="324">
        <f t="shared" si="1309"/>
        <v>504815</v>
      </c>
      <c r="FE237" s="321">
        <f t="shared" si="1310"/>
        <v>504815</v>
      </c>
      <c r="FF237" s="179">
        <f t="shared" si="1268"/>
        <v>0</v>
      </c>
      <c r="FG237" s="9">
        <v>504815</v>
      </c>
      <c r="FH237" s="18" t="s">
        <v>238</v>
      </c>
      <c r="FI237" s="18" t="s">
        <v>238</v>
      </c>
      <c r="FJ237" s="324">
        <f t="shared" si="1311"/>
        <v>504815</v>
      </c>
      <c r="FK237" s="321">
        <f t="shared" si="1312"/>
        <v>504815</v>
      </c>
      <c r="FL237" s="179">
        <f t="shared" si="1269"/>
        <v>0</v>
      </c>
      <c r="FM237" s="9">
        <v>504815</v>
      </c>
      <c r="FN237" s="18" t="s">
        <v>238</v>
      </c>
      <c r="FO237" s="18" t="s">
        <v>238</v>
      </c>
      <c r="FP237" s="324">
        <f t="shared" si="1313"/>
        <v>504815</v>
      </c>
      <c r="FQ237" s="321">
        <f t="shared" si="1314"/>
        <v>504815</v>
      </c>
      <c r="FR237" s="179">
        <f t="shared" si="1270"/>
        <v>0</v>
      </c>
      <c r="FS237" s="9">
        <v>504815</v>
      </c>
      <c r="FT237" s="18" t="s">
        <v>238</v>
      </c>
      <c r="FU237" s="18" t="s">
        <v>238</v>
      </c>
      <c r="FV237" s="324">
        <f t="shared" si="1315"/>
        <v>504815</v>
      </c>
      <c r="FW237" s="321">
        <f t="shared" si="1316"/>
        <v>504815</v>
      </c>
      <c r="FX237" s="179">
        <f t="shared" si="1271"/>
        <v>0</v>
      </c>
      <c r="FY237" s="9">
        <v>504815</v>
      </c>
      <c r="FZ237" s="18" t="s">
        <v>238</v>
      </c>
      <c r="GA237" s="18" t="s">
        <v>238</v>
      </c>
      <c r="GB237" s="324">
        <f t="shared" si="1317"/>
        <v>504815</v>
      </c>
      <c r="GC237" s="321">
        <f t="shared" si="1318"/>
        <v>504815</v>
      </c>
      <c r="GD237" s="179">
        <f t="shared" si="1272"/>
        <v>0</v>
      </c>
      <c r="GE237" s="9">
        <v>504815</v>
      </c>
      <c r="GF237" s="18" t="s">
        <v>238</v>
      </c>
      <c r="GG237" s="18" t="s">
        <v>238</v>
      </c>
      <c r="GH237" s="324">
        <f t="shared" si="1319"/>
        <v>504815</v>
      </c>
      <c r="GI237" s="321">
        <f t="shared" si="1320"/>
        <v>504815</v>
      </c>
      <c r="GJ237" s="179">
        <f t="shared" si="1273"/>
        <v>0</v>
      </c>
      <c r="GK237" s="9">
        <v>504815</v>
      </c>
      <c r="GL237" s="18" t="s">
        <v>238</v>
      </c>
      <c r="GM237" s="18" t="s">
        <v>238</v>
      </c>
      <c r="GN237" s="324">
        <f t="shared" si="1321"/>
        <v>504815</v>
      </c>
      <c r="GO237" s="321">
        <f t="shared" si="1322"/>
        <v>504815</v>
      </c>
      <c r="GP237" s="179">
        <f t="shared" si="1274"/>
        <v>0</v>
      </c>
      <c r="GQ237" s="9">
        <v>504815</v>
      </c>
      <c r="GR237" s="18" t="s">
        <v>238</v>
      </c>
      <c r="GS237" s="18" t="s">
        <v>238</v>
      </c>
      <c r="GT237" s="324">
        <f t="shared" si="1323"/>
        <v>504815</v>
      </c>
      <c r="GU237" s="321">
        <f t="shared" si="1324"/>
        <v>504815</v>
      </c>
      <c r="GV237" s="179">
        <f t="shared" si="1275"/>
        <v>0</v>
      </c>
      <c r="GW237" s="9">
        <v>530055</v>
      </c>
      <c r="GX237" s="18" t="s">
        <v>238</v>
      </c>
      <c r="GY237" s="18" t="s">
        <v>238</v>
      </c>
      <c r="GZ237" s="324">
        <f t="shared" si="1325"/>
        <v>530055</v>
      </c>
      <c r="HA237" s="321">
        <f t="shared" si="1326"/>
        <v>530055</v>
      </c>
      <c r="HB237" s="179">
        <f t="shared" si="1276"/>
        <v>25240</v>
      </c>
      <c r="HC237" s="102">
        <f t="shared" si="1277"/>
        <v>3.5898296505769214E-2</v>
      </c>
      <c r="HD237" s="285">
        <f t="shared" ref="HD237:HD242" si="1327">HB237-HO237</f>
        <v>0</v>
      </c>
      <c r="HE237" s="12">
        <f t="shared" ref="HE237:HE242" si="1328">GT237*0.05</f>
        <v>25240.75</v>
      </c>
      <c r="HF237" s="12">
        <f t="shared" si="1278"/>
        <v>0.75</v>
      </c>
      <c r="HG237" s="12">
        <f t="shared" ref="HG237:HG242" si="1329">HE237-HF237</f>
        <v>25240</v>
      </c>
      <c r="HH237" s="14">
        <f t="shared" ref="HH237:HH242" si="1330">HG237:HG237</f>
        <v>25240</v>
      </c>
      <c r="HI237" s="13">
        <f t="shared" ref="HI237:HI242" si="1331">HG237+GT237</f>
        <v>530055</v>
      </c>
      <c r="HJ237" s="102">
        <f t="shared" ref="HJ237:HJ242" si="1332">100/1406236643.9*HI237</f>
        <v>3.7693157997217792E-2</v>
      </c>
      <c r="HK237" s="16">
        <f t="shared" ref="HK237:HK242" si="1333">GT237</f>
        <v>504815</v>
      </c>
      <c r="HL237" s="103">
        <f t="shared" ref="HL237:HL242" si="1334">HK237*1.05</f>
        <v>530055.75</v>
      </c>
      <c r="HM237" s="103">
        <f t="shared" ref="HM237:HM242" si="1335">HL237-HK237</f>
        <v>25240.75</v>
      </c>
      <c r="HN237" s="17">
        <f t="shared" ref="HN237:HN242" si="1336">HF237</f>
        <v>0.75</v>
      </c>
      <c r="HO237" s="56">
        <f t="shared" ref="HO237:HO242" si="1337">HM237-HN237</f>
        <v>25240</v>
      </c>
      <c r="HP237" s="16">
        <f t="shared" ref="HP237:HP242" si="1338">HO237-HG237</f>
        <v>0</v>
      </c>
      <c r="HQ237" s="16">
        <f t="shared" ref="HQ237:HQ242" si="1339">HO237+HK237</f>
        <v>530055</v>
      </c>
      <c r="HR237" s="16">
        <f t="shared" ref="HR237:HR242" si="1340">HQ237-HI237</f>
        <v>0</v>
      </c>
    </row>
    <row r="238" spans="1:226" x14ac:dyDescent="0.3">
      <c r="A238" s="309">
        <v>4</v>
      </c>
      <c r="B238" s="464"/>
      <c r="C238" s="309" t="s">
        <v>143</v>
      </c>
      <c r="D238" s="59" t="s">
        <v>144</v>
      </c>
      <c r="E238" s="60"/>
      <c r="F238" s="60"/>
      <c r="G238" s="60"/>
      <c r="H238" s="61"/>
      <c r="I238" s="61">
        <v>23289598</v>
      </c>
      <c r="J238" s="61"/>
      <c r="K238" s="61"/>
      <c r="L238" s="61">
        <v>23289598</v>
      </c>
      <c r="M238" s="62">
        <v>23289598</v>
      </c>
      <c r="N238" s="62">
        <v>23289598</v>
      </c>
      <c r="O238" s="63">
        <v>23289598</v>
      </c>
      <c r="P238" s="63">
        <v>23289598</v>
      </c>
      <c r="Q238" s="63">
        <v>23289598</v>
      </c>
      <c r="R238" s="63">
        <v>23289598</v>
      </c>
      <c r="S238" s="63">
        <v>23289598</v>
      </c>
      <c r="T238" s="63">
        <v>23289598</v>
      </c>
      <c r="U238" s="63">
        <f t="shared" si="1279"/>
        <v>1164479.9000000001</v>
      </c>
      <c r="V238" s="63">
        <f t="shared" si="1280"/>
        <v>24454077.899999999</v>
      </c>
      <c r="W238" s="63">
        <v>24454077</v>
      </c>
      <c r="X238" s="63">
        <v>24454077</v>
      </c>
      <c r="Y238" s="63">
        <v>24454077</v>
      </c>
      <c r="Z238" s="63">
        <v>24454077</v>
      </c>
      <c r="AA238" s="63">
        <v>24454077</v>
      </c>
      <c r="AB238" s="63">
        <v>24454077</v>
      </c>
      <c r="AC238" s="60">
        <v>0</v>
      </c>
      <c r="AD238" s="60">
        <v>0</v>
      </c>
      <c r="AE238" s="63">
        <f t="shared" si="1281"/>
        <v>24454077</v>
      </c>
      <c r="AF238" s="63">
        <v>24454077</v>
      </c>
      <c r="AG238" s="60">
        <v>0</v>
      </c>
      <c r="AH238" s="60">
        <v>0</v>
      </c>
      <c r="AI238" s="63">
        <f t="shared" si="1282"/>
        <v>24454077</v>
      </c>
      <c r="AJ238" s="63">
        <v>24454077</v>
      </c>
      <c r="AK238" s="60">
        <v>0</v>
      </c>
      <c r="AL238" s="60">
        <v>0</v>
      </c>
      <c r="AM238" s="63">
        <f t="shared" si="1236"/>
        <v>24454077</v>
      </c>
      <c r="AN238" s="63">
        <v>24454077</v>
      </c>
      <c r="AO238" s="60">
        <v>0</v>
      </c>
      <c r="AP238" s="60">
        <v>0</v>
      </c>
      <c r="AQ238" s="63">
        <f t="shared" si="1237"/>
        <v>24454077</v>
      </c>
      <c r="AR238" s="63">
        <v>24454077</v>
      </c>
      <c r="AS238" s="60">
        <v>0</v>
      </c>
      <c r="AT238" s="60">
        <v>0</v>
      </c>
      <c r="AU238" s="63">
        <f t="shared" si="1238"/>
        <v>24454077</v>
      </c>
      <c r="AV238" s="63">
        <v>24454077</v>
      </c>
      <c r="AW238" s="60">
        <v>0</v>
      </c>
      <c r="AX238" s="60">
        <v>0</v>
      </c>
      <c r="AY238" s="63">
        <f t="shared" si="1239"/>
        <v>24454077</v>
      </c>
      <c r="AZ238" s="8">
        <f t="shared" si="1283"/>
        <v>1222703.8500000001</v>
      </c>
      <c r="BA238" s="8">
        <v>0.85</v>
      </c>
      <c r="BB238" s="8">
        <f t="shared" si="1284"/>
        <v>1222703</v>
      </c>
      <c r="BC238" s="8">
        <f t="shared" si="1285"/>
        <v>25676780</v>
      </c>
      <c r="BD238" s="8"/>
      <c r="BE238" s="8">
        <f t="shared" si="1286"/>
        <v>25676780</v>
      </c>
      <c r="BF238" s="10">
        <f t="shared" si="1287"/>
        <v>1222703</v>
      </c>
      <c r="BG238" s="11">
        <f t="shared" si="1288"/>
        <v>0</v>
      </c>
      <c r="BH238" s="324">
        <v>25676780</v>
      </c>
      <c r="BI238" s="324">
        <v>0</v>
      </c>
      <c r="BJ238" s="324">
        <v>0</v>
      </c>
      <c r="BK238" s="319">
        <f t="shared" si="1240"/>
        <v>25676780</v>
      </c>
      <c r="BL238" s="319">
        <v>25676780</v>
      </c>
      <c r="BM238" s="319">
        <v>0</v>
      </c>
      <c r="BN238" s="319">
        <v>0</v>
      </c>
      <c r="BO238" s="319">
        <f t="shared" si="1241"/>
        <v>25676780</v>
      </c>
      <c r="BP238" s="319">
        <f t="shared" si="1289"/>
        <v>0</v>
      </c>
      <c r="BQ238" s="319">
        <v>25676780</v>
      </c>
      <c r="BR238" s="319">
        <v>0</v>
      </c>
      <c r="BS238" s="319">
        <v>0</v>
      </c>
      <c r="BT238" s="319">
        <f t="shared" si="1242"/>
        <v>25676780</v>
      </c>
      <c r="BU238" s="319">
        <f t="shared" si="1243"/>
        <v>0</v>
      </c>
      <c r="BV238" s="319">
        <v>25676780</v>
      </c>
      <c r="BW238" s="9">
        <v>0</v>
      </c>
      <c r="BX238" s="9">
        <v>0</v>
      </c>
      <c r="BY238" s="319">
        <f t="shared" si="1244"/>
        <v>25676780</v>
      </c>
      <c r="BZ238" s="319">
        <f t="shared" si="1245"/>
        <v>0</v>
      </c>
      <c r="CA238" s="319">
        <v>25676780</v>
      </c>
      <c r="CB238" s="9">
        <v>0</v>
      </c>
      <c r="CC238" s="9">
        <v>0</v>
      </c>
      <c r="CD238" s="319">
        <f t="shared" si="1246"/>
        <v>25676780</v>
      </c>
      <c r="CE238" s="319">
        <f t="shared" si="1247"/>
        <v>0</v>
      </c>
      <c r="CF238" s="319">
        <v>25676780</v>
      </c>
      <c r="CG238" s="319">
        <v>0</v>
      </c>
      <c r="CH238" s="319">
        <v>0</v>
      </c>
      <c r="CI238" s="319">
        <f t="shared" si="1248"/>
        <v>25676780</v>
      </c>
      <c r="CJ238" s="319">
        <f t="shared" si="1249"/>
        <v>0</v>
      </c>
      <c r="CK238" s="319">
        <v>25676780</v>
      </c>
      <c r="CL238" s="319">
        <v>0</v>
      </c>
      <c r="CM238" s="319">
        <v>0</v>
      </c>
      <c r="CN238" s="319">
        <f t="shared" si="1250"/>
        <v>25676780</v>
      </c>
      <c r="CO238" s="319">
        <f t="shared" si="1251"/>
        <v>0</v>
      </c>
      <c r="CP238" s="319">
        <v>25676780</v>
      </c>
      <c r="CQ238" s="319">
        <v>0</v>
      </c>
      <c r="CR238" s="319">
        <v>0</v>
      </c>
      <c r="CS238" s="319">
        <f t="shared" si="1252"/>
        <v>25676780</v>
      </c>
      <c r="CT238" s="319">
        <f t="shared" si="1253"/>
        <v>0</v>
      </c>
      <c r="CU238" s="319">
        <v>25676780</v>
      </c>
      <c r="CV238" s="319">
        <v>0</v>
      </c>
      <c r="CW238" s="319">
        <v>0</v>
      </c>
      <c r="CX238" s="319">
        <f t="shared" si="1254"/>
        <v>25676780</v>
      </c>
      <c r="CY238" s="319">
        <f t="shared" si="1255"/>
        <v>0</v>
      </c>
      <c r="CZ238" s="319"/>
      <c r="DA238" s="319"/>
      <c r="DB238" s="319"/>
      <c r="DC238" s="12">
        <f t="shared" si="1290"/>
        <v>2567678</v>
      </c>
      <c r="DD238" s="12">
        <v>0</v>
      </c>
      <c r="DE238" s="13">
        <f t="shared" si="1291"/>
        <v>2567678</v>
      </c>
      <c r="DF238" s="14">
        <f t="shared" si="1256"/>
        <v>2567678</v>
      </c>
      <c r="DG238" s="13">
        <f t="shared" si="1257"/>
        <v>28244458</v>
      </c>
      <c r="DH238" s="15">
        <f t="shared" si="1258"/>
        <v>2.0085138673152447</v>
      </c>
      <c r="DI238" s="16">
        <f t="shared" si="1259"/>
        <v>25676780</v>
      </c>
      <c r="DJ238" s="132">
        <f t="shared" si="1292"/>
        <v>28244458.000000004</v>
      </c>
      <c r="DK238" s="17">
        <f t="shared" si="1293"/>
        <v>2567678.0000000037</v>
      </c>
      <c r="DL238" s="17">
        <f t="shared" si="1260"/>
        <v>0</v>
      </c>
      <c r="DM238" s="16">
        <f t="shared" si="1294"/>
        <v>2567678.0000000037</v>
      </c>
      <c r="DN238" s="16">
        <f t="shared" si="1261"/>
        <v>3.7252902984619141E-9</v>
      </c>
      <c r="DO238" s="16">
        <f t="shared" si="1295"/>
        <v>28244458.000000004</v>
      </c>
      <c r="DP238" s="16">
        <f t="shared" si="1262"/>
        <v>0</v>
      </c>
      <c r="DQ238" s="9">
        <v>28244458</v>
      </c>
      <c r="DR238" s="18" t="s">
        <v>238</v>
      </c>
      <c r="DS238" s="18" t="s">
        <v>238</v>
      </c>
      <c r="DT238" s="324">
        <f t="shared" si="1296"/>
        <v>28244458</v>
      </c>
      <c r="DU238" s="321">
        <f t="shared" si="1297"/>
        <v>28244458</v>
      </c>
      <c r="DV238" s="19">
        <f t="shared" si="1298"/>
        <v>0</v>
      </c>
      <c r="DW238" s="9">
        <v>28244458</v>
      </c>
      <c r="DX238" s="18"/>
      <c r="DY238" s="18"/>
      <c r="DZ238" s="324">
        <f t="shared" si="1299"/>
        <v>28244458</v>
      </c>
      <c r="EA238" s="321">
        <f t="shared" si="1300"/>
        <v>28244458</v>
      </c>
      <c r="EB238" s="179">
        <f t="shared" si="1263"/>
        <v>0</v>
      </c>
      <c r="EC238" s="9">
        <v>28244458</v>
      </c>
      <c r="ED238" s="18" t="s">
        <v>238</v>
      </c>
      <c r="EE238" s="18" t="s">
        <v>238</v>
      </c>
      <c r="EF238" s="324">
        <f t="shared" si="1301"/>
        <v>28244458</v>
      </c>
      <c r="EG238" s="321">
        <f t="shared" si="1302"/>
        <v>28244458</v>
      </c>
      <c r="EH238" s="179">
        <f t="shared" si="1264"/>
        <v>0</v>
      </c>
      <c r="EI238" s="9">
        <v>28244458</v>
      </c>
      <c r="EJ238" s="18" t="s">
        <v>238</v>
      </c>
      <c r="EK238" s="18" t="s">
        <v>238</v>
      </c>
      <c r="EL238" s="324">
        <f t="shared" si="1303"/>
        <v>28244458</v>
      </c>
      <c r="EM238" s="321">
        <f t="shared" si="1304"/>
        <v>28244458</v>
      </c>
      <c r="EN238" s="179">
        <f t="shared" si="1265"/>
        <v>0</v>
      </c>
      <c r="EO238" s="9">
        <v>28244458</v>
      </c>
      <c r="EP238" s="18" t="s">
        <v>238</v>
      </c>
      <c r="EQ238" s="18" t="s">
        <v>238</v>
      </c>
      <c r="ER238" s="324">
        <f t="shared" si="1305"/>
        <v>28244458</v>
      </c>
      <c r="ES238" s="321">
        <f t="shared" si="1306"/>
        <v>28244458</v>
      </c>
      <c r="ET238" s="179">
        <f t="shared" si="1266"/>
        <v>0</v>
      </c>
      <c r="EU238" s="9">
        <v>28244458</v>
      </c>
      <c r="EV238" s="18" t="s">
        <v>238</v>
      </c>
      <c r="EW238" s="18" t="s">
        <v>238</v>
      </c>
      <c r="EX238" s="324">
        <f t="shared" si="1307"/>
        <v>28244458</v>
      </c>
      <c r="EY238" s="321">
        <f t="shared" si="1308"/>
        <v>28244458</v>
      </c>
      <c r="EZ238" s="179">
        <f t="shared" si="1267"/>
        <v>0</v>
      </c>
      <c r="FA238" s="9">
        <v>28244458</v>
      </c>
      <c r="FB238" s="18" t="s">
        <v>238</v>
      </c>
      <c r="FC238" s="18" t="s">
        <v>238</v>
      </c>
      <c r="FD238" s="324">
        <f t="shared" si="1309"/>
        <v>28244458</v>
      </c>
      <c r="FE238" s="321">
        <f t="shared" si="1310"/>
        <v>28244458</v>
      </c>
      <c r="FF238" s="179">
        <f t="shared" si="1268"/>
        <v>0</v>
      </c>
      <c r="FG238" s="9">
        <v>28244458</v>
      </c>
      <c r="FH238" s="18" t="s">
        <v>238</v>
      </c>
      <c r="FI238" s="18" t="s">
        <v>238</v>
      </c>
      <c r="FJ238" s="324">
        <f t="shared" si="1311"/>
        <v>28244458</v>
      </c>
      <c r="FK238" s="321">
        <f t="shared" si="1312"/>
        <v>28244458</v>
      </c>
      <c r="FL238" s="179">
        <f t="shared" si="1269"/>
        <v>0</v>
      </c>
      <c r="FM238" s="9">
        <v>28244458</v>
      </c>
      <c r="FN238" s="18" t="s">
        <v>238</v>
      </c>
      <c r="FO238" s="18" t="s">
        <v>238</v>
      </c>
      <c r="FP238" s="324">
        <f t="shared" si="1313"/>
        <v>28244458</v>
      </c>
      <c r="FQ238" s="321">
        <f t="shared" si="1314"/>
        <v>28244458</v>
      </c>
      <c r="FR238" s="179">
        <f t="shared" si="1270"/>
        <v>0</v>
      </c>
      <c r="FS238" s="9">
        <v>28244458</v>
      </c>
      <c r="FT238" s="18" t="s">
        <v>238</v>
      </c>
      <c r="FU238" s="18" t="s">
        <v>238</v>
      </c>
      <c r="FV238" s="324">
        <f t="shared" si="1315"/>
        <v>28244458</v>
      </c>
      <c r="FW238" s="321">
        <f t="shared" si="1316"/>
        <v>28244458</v>
      </c>
      <c r="FX238" s="179">
        <f t="shared" si="1271"/>
        <v>0</v>
      </c>
      <c r="FY238" s="9">
        <v>28244458</v>
      </c>
      <c r="FZ238" s="18" t="s">
        <v>238</v>
      </c>
      <c r="GA238" s="18" t="s">
        <v>238</v>
      </c>
      <c r="GB238" s="324">
        <f t="shared" si="1317"/>
        <v>28244458</v>
      </c>
      <c r="GC238" s="321">
        <f t="shared" si="1318"/>
        <v>28244458</v>
      </c>
      <c r="GD238" s="179">
        <f t="shared" si="1272"/>
        <v>0</v>
      </c>
      <c r="GE238" s="9">
        <v>28244458</v>
      </c>
      <c r="GF238" s="18" t="s">
        <v>238</v>
      </c>
      <c r="GG238" s="18" t="s">
        <v>238</v>
      </c>
      <c r="GH238" s="324">
        <f t="shared" si="1319"/>
        <v>28244458</v>
      </c>
      <c r="GI238" s="321">
        <f t="shared" si="1320"/>
        <v>28244458</v>
      </c>
      <c r="GJ238" s="179">
        <f t="shared" si="1273"/>
        <v>0</v>
      </c>
      <c r="GK238" s="9">
        <v>28244458</v>
      </c>
      <c r="GL238" s="18" t="s">
        <v>238</v>
      </c>
      <c r="GM238" s="18" t="s">
        <v>238</v>
      </c>
      <c r="GN238" s="324">
        <f t="shared" si="1321"/>
        <v>28244458</v>
      </c>
      <c r="GO238" s="321">
        <f t="shared" si="1322"/>
        <v>28244458</v>
      </c>
      <c r="GP238" s="179">
        <f t="shared" si="1274"/>
        <v>0</v>
      </c>
      <c r="GQ238" s="9">
        <v>28244458</v>
      </c>
      <c r="GR238" s="18" t="s">
        <v>238</v>
      </c>
      <c r="GS238" s="18" t="s">
        <v>238</v>
      </c>
      <c r="GT238" s="324">
        <f t="shared" si="1323"/>
        <v>28244458</v>
      </c>
      <c r="GU238" s="321">
        <f t="shared" si="1324"/>
        <v>28244458</v>
      </c>
      <c r="GV238" s="179">
        <f t="shared" si="1275"/>
        <v>0</v>
      </c>
      <c r="GW238" s="9">
        <v>29656680</v>
      </c>
      <c r="GX238" s="18" t="s">
        <v>238</v>
      </c>
      <c r="GY238" s="18" t="s">
        <v>238</v>
      </c>
      <c r="GZ238" s="324">
        <f t="shared" si="1325"/>
        <v>29656680</v>
      </c>
      <c r="HA238" s="321">
        <f t="shared" si="1326"/>
        <v>29656680</v>
      </c>
      <c r="HB238" s="179">
        <f t="shared" si="1276"/>
        <v>1412222</v>
      </c>
      <c r="HC238" s="102">
        <f t="shared" si="1277"/>
        <v>2.0085138673152447</v>
      </c>
      <c r="HD238" s="285">
        <f t="shared" si="1327"/>
        <v>-2.0954757928848267E-9</v>
      </c>
      <c r="HE238" s="12">
        <f t="shared" si="1328"/>
        <v>1412222.9000000001</v>
      </c>
      <c r="HF238" s="12">
        <f t="shared" si="1278"/>
        <v>0.90000000013969839</v>
      </c>
      <c r="HG238" s="12">
        <f t="shared" si="1329"/>
        <v>1412222</v>
      </c>
      <c r="HH238" s="14">
        <f t="shared" si="1330"/>
        <v>1412222</v>
      </c>
      <c r="HI238" s="13">
        <f t="shared" si="1331"/>
        <v>29656680</v>
      </c>
      <c r="HJ238" s="102">
        <f t="shared" si="1332"/>
        <v>2.1089394966803994</v>
      </c>
      <c r="HK238" s="16">
        <f t="shared" si="1333"/>
        <v>28244458</v>
      </c>
      <c r="HL238" s="103">
        <f t="shared" si="1334"/>
        <v>29656680.900000002</v>
      </c>
      <c r="HM238" s="103">
        <f t="shared" si="1335"/>
        <v>1412222.9000000022</v>
      </c>
      <c r="HN238" s="17">
        <f t="shared" si="1336"/>
        <v>0.90000000013969839</v>
      </c>
      <c r="HO238" s="56">
        <f t="shared" si="1337"/>
        <v>1412222.0000000021</v>
      </c>
      <c r="HP238" s="16">
        <f t="shared" si="1338"/>
        <v>2.0954757928848267E-9</v>
      </c>
      <c r="HQ238" s="16">
        <f t="shared" si="1339"/>
        <v>29656680.000000004</v>
      </c>
      <c r="HR238" s="16">
        <f t="shared" si="1340"/>
        <v>0</v>
      </c>
    </row>
    <row r="239" spans="1:226" x14ac:dyDescent="0.3">
      <c r="A239" s="309">
        <v>5</v>
      </c>
      <c r="B239" s="464"/>
      <c r="C239" s="309" t="s">
        <v>315</v>
      </c>
      <c r="D239" s="59" t="s">
        <v>145</v>
      </c>
      <c r="E239" s="60"/>
      <c r="F239" s="60"/>
      <c r="G239" s="60"/>
      <c r="H239" s="61"/>
      <c r="I239" s="61">
        <v>72072</v>
      </c>
      <c r="J239" s="61"/>
      <c r="K239" s="61"/>
      <c r="L239" s="61">
        <v>72072</v>
      </c>
      <c r="M239" s="62">
        <v>72072</v>
      </c>
      <c r="N239" s="62">
        <v>72072</v>
      </c>
      <c r="O239" s="63">
        <v>72072</v>
      </c>
      <c r="P239" s="63">
        <v>72072</v>
      </c>
      <c r="Q239" s="63">
        <v>72072</v>
      </c>
      <c r="R239" s="63">
        <v>72072</v>
      </c>
      <c r="S239" s="63">
        <v>72072</v>
      </c>
      <c r="T239" s="63">
        <v>72072</v>
      </c>
      <c r="U239" s="63">
        <f t="shared" si="1279"/>
        <v>3603.6000000000004</v>
      </c>
      <c r="V239" s="63">
        <f t="shared" si="1280"/>
        <v>75675.600000000006</v>
      </c>
      <c r="W239" s="63">
        <v>75675</v>
      </c>
      <c r="X239" s="63">
        <v>75675</v>
      </c>
      <c r="Y239" s="63">
        <v>75675</v>
      </c>
      <c r="Z239" s="63">
        <v>75675</v>
      </c>
      <c r="AA239" s="63">
        <v>75675</v>
      </c>
      <c r="AB239" s="63">
        <v>75675</v>
      </c>
      <c r="AC239" s="60">
        <v>0</v>
      </c>
      <c r="AD239" s="60">
        <v>0</v>
      </c>
      <c r="AE239" s="63">
        <f t="shared" si="1281"/>
        <v>75675</v>
      </c>
      <c r="AF239" s="63">
        <v>75675</v>
      </c>
      <c r="AG239" s="60">
        <v>0</v>
      </c>
      <c r="AH239" s="60">
        <v>0</v>
      </c>
      <c r="AI239" s="63">
        <f t="shared" si="1282"/>
        <v>75675</v>
      </c>
      <c r="AJ239" s="63">
        <v>75675</v>
      </c>
      <c r="AK239" s="60">
        <v>0</v>
      </c>
      <c r="AL239" s="60">
        <v>0</v>
      </c>
      <c r="AM239" s="63">
        <f t="shared" si="1236"/>
        <v>75675</v>
      </c>
      <c r="AN239" s="63">
        <v>75675</v>
      </c>
      <c r="AO239" s="60">
        <v>0</v>
      </c>
      <c r="AP239" s="60">
        <v>0</v>
      </c>
      <c r="AQ239" s="63">
        <f t="shared" si="1237"/>
        <v>75675</v>
      </c>
      <c r="AR239" s="63">
        <v>75675</v>
      </c>
      <c r="AS239" s="60">
        <v>0</v>
      </c>
      <c r="AT239" s="60">
        <v>0</v>
      </c>
      <c r="AU239" s="63">
        <f t="shared" si="1238"/>
        <v>75675</v>
      </c>
      <c r="AV239" s="63">
        <v>75675</v>
      </c>
      <c r="AW239" s="60">
        <v>0</v>
      </c>
      <c r="AX239" s="60">
        <v>0</v>
      </c>
      <c r="AY239" s="63">
        <f t="shared" si="1239"/>
        <v>75675</v>
      </c>
      <c r="AZ239" s="8">
        <f t="shared" si="1283"/>
        <v>3783.75</v>
      </c>
      <c r="BA239" s="8">
        <v>0.75</v>
      </c>
      <c r="BB239" s="8">
        <f t="shared" si="1284"/>
        <v>3783</v>
      </c>
      <c r="BC239" s="8">
        <f t="shared" si="1285"/>
        <v>79458</v>
      </c>
      <c r="BD239" s="8"/>
      <c r="BE239" s="8">
        <f t="shared" si="1286"/>
        <v>79458</v>
      </c>
      <c r="BF239" s="10">
        <f t="shared" si="1287"/>
        <v>3783</v>
      </c>
      <c r="BG239" s="11">
        <f t="shared" si="1288"/>
        <v>0</v>
      </c>
      <c r="BH239" s="324">
        <v>79458</v>
      </c>
      <c r="BI239" s="324">
        <v>0</v>
      </c>
      <c r="BJ239" s="324">
        <v>0</v>
      </c>
      <c r="BK239" s="319">
        <f t="shared" si="1240"/>
        <v>79458</v>
      </c>
      <c r="BL239" s="319">
        <v>79458</v>
      </c>
      <c r="BM239" s="319">
        <v>0</v>
      </c>
      <c r="BN239" s="319">
        <v>0</v>
      </c>
      <c r="BO239" s="319">
        <f t="shared" si="1241"/>
        <v>79458</v>
      </c>
      <c r="BP239" s="319">
        <f t="shared" si="1289"/>
        <v>0</v>
      </c>
      <c r="BQ239" s="319">
        <v>79458</v>
      </c>
      <c r="BR239" s="319">
        <v>0</v>
      </c>
      <c r="BS239" s="319">
        <v>0</v>
      </c>
      <c r="BT239" s="319">
        <f t="shared" si="1242"/>
        <v>79458</v>
      </c>
      <c r="BU239" s="319">
        <f t="shared" si="1243"/>
        <v>0</v>
      </c>
      <c r="BV239" s="319">
        <v>79458</v>
      </c>
      <c r="BW239" s="9">
        <v>0</v>
      </c>
      <c r="BX239" s="9">
        <v>0</v>
      </c>
      <c r="BY239" s="319">
        <f t="shared" si="1244"/>
        <v>79458</v>
      </c>
      <c r="BZ239" s="319">
        <f t="shared" si="1245"/>
        <v>0</v>
      </c>
      <c r="CA239" s="319">
        <v>79458</v>
      </c>
      <c r="CB239" s="9">
        <v>0</v>
      </c>
      <c r="CC239" s="9">
        <v>0</v>
      </c>
      <c r="CD239" s="319">
        <f t="shared" si="1246"/>
        <v>79458</v>
      </c>
      <c r="CE239" s="319">
        <f t="shared" si="1247"/>
        <v>0</v>
      </c>
      <c r="CF239" s="319">
        <v>79458</v>
      </c>
      <c r="CG239" s="319">
        <v>0</v>
      </c>
      <c r="CH239" s="319">
        <v>0</v>
      </c>
      <c r="CI239" s="319">
        <f t="shared" si="1248"/>
        <v>79458</v>
      </c>
      <c r="CJ239" s="319">
        <f t="shared" si="1249"/>
        <v>0</v>
      </c>
      <c r="CK239" s="319">
        <v>79458</v>
      </c>
      <c r="CL239" s="319">
        <v>0</v>
      </c>
      <c r="CM239" s="319">
        <v>0</v>
      </c>
      <c r="CN239" s="319">
        <f t="shared" si="1250"/>
        <v>79458</v>
      </c>
      <c r="CO239" s="319">
        <f t="shared" si="1251"/>
        <v>0</v>
      </c>
      <c r="CP239" s="319">
        <v>79458</v>
      </c>
      <c r="CQ239" s="319">
        <v>0</v>
      </c>
      <c r="CR239" s="319">
        <v>0</v>
      </c>
      <c r="CS239" s="319">
        <f t="shared" si="1252"/>
        <v>79458</v>
      </c>
      <c r="CT239" s="319">
        <f t="shared" si="1253"/>
        <v>0</v>
      </c>
      <c r="CU239" s="319">
        <v>79458</v>
      </c>
      <c r="CV239" s="319">
        <v>0</v>
      </c>
      <c r="CW239" s="319">
        <v>0</v>
      </c>
      <c r="CX239" s="319">
        <f t="shared" si="1254"/>
        <v>79458</v>
      </c>
      <c r="CY239" s="319">
        <f t="shared" si="1255"/>
        <v>0</v>
      </c>
      <c r="CZ239" s="319"/>
      <c r="DA239" s="319"/>
      <c r="DB239" s="319"/>
      <c r="DC239" s="12">
        <f t="shared" si="1290"/>
        <v>7945.8</v>
      </c>
      <c r="DD239" s="12">
        <v>0.8</v>
      </c>
      <c r="DE239" s="13">
        <f t="shared" si="1291"/>
        <v>7945</v>
      </c>
      <c r="DF239" s="14">
        <f t="shared" si="1256"/>
        <v>7945</v>
      </c>
      <c r="DG239" s="13">
        <f t="shared" si="1257"/>
        <v>87403</v>
      </c>
      <c r="DH239" s="15">
        <f t="shared" si="1258"/>
        <v>6.2154403655417358E-3</v>
      </c>
      <c r="DI239" s="16">
        <f t="shared" si="1259"/>
        <v>79458</v>
      </c>
      <c r="DJ239" s="132">
        <f t="shared" si="1292"/>
        <v>87403.8</v>
      </c>
      <c r="DK239" s="17">
        <f t="shared" si="1293"/>
        <v>7945.8000000000029</v>
      </c>
      <c r="DL239" s="17">
        <f t="shared" si="1260"/>
        <v>0.8</v>
      </c>
      <c r="DM239" s="16">
        <f t="shared" si="1294"/>
        <v>7945.0000000000027</v>
      </c>
      <c r="DN239" s="16">
        <f t="shared" si="1261"/>
        <v>0</v>
      </c>
      <c r="DO239" s="16">
        <f t="shared" si="1295"/>
        <v>87403</v>
      </c>
      <c r="DP239" s="16">
        <f t="shared" si="1262"/>
        <v>0</v>
      </c>
      <c r="DQ239" s="9">
        <v>87403</v>
      </c>
      <c r="DR239" s="18" t="s">
        <v>238</v>
      </c>
      <c r="DS239" s="18" t="s">
        <v>238</v>
      </c>
      <c r="DT239" s="324">
        <f t="shared" si="1296"/>
        <v>87403</v>
      </c>
      <c r="DU239" s="321">
        <f t="shared" si="1297"/>
        <v>87403</v>
      </c>
      <c r="DV239" s="19">
        <f t="shared" si="1298"/>
        <v>0</v>
      </c>
      <c r="DW239" s="9">
        <v>87403</v>
      </c>
      <c r="DX239" s="18"/>
      <c r="DY239" s="18"/>
      <c r="DZ239" s="324">
        <f t="shared" si="1299"/>
        <v>87403</v>
      </c>
      <c r="EA239" s="321">
        <f t="shared" si="1300"/>
        <v>87403</v>
      </c>
      <c r="EB239" s="179">
        <f t="shared" si="1263"/>
        <v>0</v>
      </c>
      <c r="EC239" s="9">
        <v>87403</v>
      </c>
      <c r="ED239" s="18" t="s">
        <v>238</v>
      </c>
      <c r="EE239" s="18" t="s">
        <v>238</v>
      </c>
      <c r="EF239" s="324">
        <f t="shared" si="1301"/>
        <v>87403</v>
      </c>
      <c r="EG239" s="321">
        <f t="shared" si="1302"/>
        <v>87403</v>
      </c>
      <c r="EH239" s="179">
        <f t="shared" si="1264"/>
        <v>0</v>
      </c>
      <c r="EI239" s="9">
        <v>87403</v>
      </c>
      <c r="EJ239" s="18" t="s">
        <v>238</v>
      </c>
      <c r="EK239" s="18" t="s">
        <v>238</v>
      </c>
      <c r="EL239" s="324">
        <f t="shared" si="1303"/>
        <v>87403</v>
      </c>
      <c r="EM239" s="321">
        <f t="shared" si="1304"/>
        <v>87403</v>
      </c>
      <c r="EN239" s="179">
        <f t="shared" si="1265"/>
        <v>0</v>
      </c>
      <c r="EO239" s="9">
        <v>87403</v>
      </c>
      <c r="EP239" s="18" t="s">
        <v>238</v>
      </c>
      <c r="EQ239" s="18" t="s">
        <v>238</v>
      </c>
      <c r="ER239" s="324">
        <f t="shared" si="1305"/>
        <v>87403</v>
      </c>
      <c r="ES239" s="321">
        <f t="shared" si="1306"/>
        <v>87403</v>
      </c>
      <c r="ET239" s="179">
        <f t="shared" si="1266"/>
        <v>0</v>
      </c>
      <c r="EU239" s="9">
        <v>87403</v>
      </c>
      <c r="EV239" s="18" t="s">
        <v>238</v>
      </c>
      <c r="EW239" s="18" t="s">
        <v>238</v>
      </c>
      <c r="EX239" s="324">
        <f t="shared" si="1307"/>
        <v>87403</v>
      </c>
      <c r="EY239" s="321">
        <f t="shared" si="1308"/>
        <v>87403</v>
      </c>
      <c r="EZ239" s="179">
        <f t="shared" si="1267"/>
        <v>0</v>
      </c>
      <c r="FA239" s="9">
        <v>87403</v>
      </c>
      <c r="FB239" s="18" t="s">
        <v>238</v>
      </c>
      <c r="FC239" s="18" t="s">
        <v>238</v>
      </c>
      <c r="FD239" s="324">
        <f t="shared" si="1309"/>
        <v>87403</v>
      </c>
      <c r="FE239" s="321">
        <f t="shared" si="1310"/>
        <v>87403</v>
      </c>
      <c r="FF239" s="179">
        <f t="shared" si="1268"/>
        <v>0</v>
      </c>
      <c r="FG239" s="9">
        <v>87403</v>
      </c>
      <c r="FH239" s="18" t="s">
        <v>238</v>
      </c>
      <c r="FI239" s="18" t="s">
        <v>238</v>
      </c>
      <c r="FJ239" s="324">
        <f t="shared" si="1311"/>
        <v>87403</v>
      </c>
      <c r="FK239" s="321">
        <f t="shared" si="1312"/>
        <v>87403</v>
      </c>
      <c r="FL239" s="179">
        <f t="shared" si="1269"/>
        <v>0</v>
      </c>
      <c r="FM239" s="9">
        <v>87403</v>
      </c>
      <c r="FN239" s="18" t="s">
        <v>238</v>
      </c>
      <c r="FO239" s="18" t="s">
        <v>238</v>
      </c>
      <c r="FP239" s="324">
        <f t="shared" si="1313"/>
        <v>87403</v>
      </c>
      <c r="FQ239" s="321">
        <f t="shared" si="1314"/>
        <v>87403</v>
      </c>
      <c r="FR239" s="179">
        <f t="shared" si="1270"/>
        <v>0</v>
      </c>
      <c r="FS239" s="9">
        <v>87403</v>
      </c>
      <c r="FT239" s="18" t="s">
        <v>238</v>
      </c>
      <c r="FU239" s="18" t="s">
        <v>238</v>
      </c>
      <c r="FV239" s="324">
        <f t="shared" si="1315"/>
        <v>87403</v>
      </c>
      <c r="FW239" s="321">
        <f t="shared" si="1316"/>
        <v>87403</v>
      </c>
      <c r="FX239" s="179">
        <f t="shared" si="1271"/>
        <v>0</v>
      </c>
      <c r="FY239" s="9">
        <v>87403</v>
      </c>
      <c r="FZ239" s="18" t="s">
        <v>238</v>
      </c>
      <c r="GA239" s="18" t="s">
        <v>238</v>
      </c>
      <c r="GB239" s="324">
        <f t="shared" si="1317"/>
        <v>87403</v>
      </c>
      <c r="GC239" s="321">
        <f t="shared" si="1318"/>
        <v>87403</v>
      </c>
      <c r="GD239" s="179">
        <f t="shared" si="1272"/>
        <v>0</v>
      </c>
      <c r="GE239" s="9">
        <v>87403</v>
      </c>
      <c r="GF239" s="18" t="s">
        <v>238</v>
      </c>
      <c r="GG239" s="18" t="s">
        <v>238</v>
      </c>
      <c r="GH239" s="324">
        <f t="shared" si="1319"/>
        <v>87403</v>
      </c>
      <c r="GI239" s="321">
        <f t="shared" si="1320"/>
        <v>87403</v>
      </c>
      <c r="GJ239" s="179">
        <f t="shared" si="1273"/>
        <v>0</v>
      </c>
      <c r="GK239" s="9">
        <v>87403</v>
      </c>
      <c r="GL239" s="18" t="s">
        <v>238</v>
      </c>
      <c r="GM239" s="18" t="s">
        <v>238</v>
      </c>
      <c r="GN239" s="324">
        <f t="shared" si="1321"/>
        <v>87403</v>
      </c>
      <c r="GO239" s="321">
        <f t="shared" si="1322"/>
        <v>87403</v>
      </c>
      <c r="GP239" s="179">
        <f t="shared" si="1274"/>
        <v>0</v>
      </c>
      <c r="GQ239" s="9">
        <v>87403</v>
      </c>
      <c r="GR239" s="18" t="s">
        <v>238</v>
      </c>
      <c r="GS239" s="18" t="s">
        <v>238</v>
      </c>
      <c r="GT239" s="324">
        <f t="shared" si="1323"/>
        <v>87403</v>
      </c>
      <c r="GU239" s="321">
        <f t="shared" si="1324"/>
        <v>87403</v>
      </c>
      <c r="GV239" s="179">
        <f t="shared" si="1275"/>
        <v>0</v>
      </c>
      <c r="GW239" s="9">
        <v>91773</v>
      </c>
      <c r="GX239" s="18" t="s">
        <v>238</v>
      </c>
      <c r="GY239" s="18" t="s">
        <v>238</v>
      </c>
      <c r="GZ239" s="324">
        <f t="shared" si="1325"/>
        <v>91773</v>
      </c>
      <c r="HA239" s="321">
        <f t="shared" si="1326"/>
        <v>91773</v>
      </c>
      <c r="HB239" s="179">
        <f t="shared" si="1276"/>
        <v>4370</v>
      </c>
      <c r="HC239" s="102">
        <f t="shared" si="1277"/>
        <v>6.2153834761125301E-3</v>
      </c>
      <c r="HD239" s="285">
        <f t="shared" si="1327"/>
        <v>-8.1854523159563541E-12</v>
      </c>
      <c r="HE239" s="12">
        <f t="shared" si="1328"/>
        <v>4370.1500000000005</v>
      </c>
      <c r="HF239" s="12">
        <f t="shared" si="1278"/>
        <v>0.1500000000005457</v>
      </c>
      <c r="HG239" s="12">
        <f t="shared" si="1329"/>
        <v>4370</v>
      </c>
      <c r="HH239" s="14">
        <f t="shared" si="1330"/>
        <v>4370</v>
      </c>
      <c r="HI239" s="13">
        <f t="shared" si="1331"/>
        <v>91773</v>
      </c>
      <c r="HJ239" s="102">
        <f t="shared" si="1332"/>
        <v>6.5261419831501803E-3</v>
      </c>
      <c r="HK239" s="16">
        <f t="shared" si="1333"/>
        <v>87403</v>
      </c>
      <c r="HL239" s="103">
        <f t="shared" si="1334"/>
        <v>91773.150000000009</v>
      </c>
      <c r="HM239" s="103">
        <f t="shared" si="1335"/>
        <v>4370.1500000000087</v>
      </c>
      <c r="HN239" s="17">
        <f t="shared" si="1336"/>
        <v>0.1500000000005457</v>
      </c>
      <c r="HO239" s="56">
        <f t="shared" si="1337"/>
        <v>4370.0000000000082</v>
      </c>
      <c r="HP239" s="16">
        <f t="shared" si="1338"/>
        <v>8.1854523159563541E-12</v>
      </c>
      <c r="HQ239" s="16">
        <f t="shared" si="1339"/>
        <v>91773.000000000015</v>
      </c>
      <c r="HR239" s="16">
        <f t="shared" si="1340"/>
        <v>0</v>
      </c>
    </row>
    <row r="240" spans="1:226" x14ac:dyDescent="0.3">
      <c r="A240" s="309">
        <v>6</v>
      </c>
      <c r="B240" s="464"/>
      <c r="C240" s="309" t="s">
        <v>146</v>
      </c>
      <c r="D240" s="59" t="s">
        <v>147</v>
      </c>
      <c r="E240" s="60"/>
      <c r="F240" s="60"/>
      <c r="G240" s="60"/>
      <c r="H240" s="61"/>
      <c r="I240" s="61">
        <v>10092500</v>
      </c>
      <c r="J240" s="61"/>
      <c r="K240" s="61"/>
      <c r="L240" s="61">
        <v>10092500</v>
      </c>
      <c r="M240" s="62">
        <v>10092500</v>
      </c>
      <c r="N240" s="62">
        <v>10092500</v>
      </c>
      <c r="O240" s="63">
        <v>10092500</v>
      </c>
      <c r="P240" s="63">
        <v>10092500</v>
      </c>
      <c r="Q240" s="63">
        <v>10092500</v>
      </c>
      <c r="R240" s="63">
        <v>10092500</v>
      </c>
      <c r="S240" s="63">
        <v>10092500</v>
      </c>
      <c r="T240" s="63">
        <v>10092500</v>
      </c>
      <c r="U240" s="63">
        <f t="shared" si="1279"/>
        <v>504625</v>
      </c>
      <c r="V240" s="63">
        <f t="shared" si="1280"/>
        <v>10597125</v>
      </c>
      <c r="W240" s="63">
        <v>10597125</v>
      </c>
      <c r="X240" s="63">
        <v>10597125</v>
      </c>
      <c r="Y240" s="63">
        <v>10597125</v>
      </c>
      <c r="Z240" s="63">
        <v>10597125</v>
      </c>
      <c r="AA240" s="63">
        <v>10597125</v>
      </c>
      <c r="AB240" s="63">
        <v>10597125</v>
      </c>
      <c r="AC240" s="60">
        <v>0</v>
      </c>
      <c r="AD240" s="60">
        <v>0</v>
      </c>
      <c r="AE240" s="63">
        <f t="shared" si="1281"/>
        <v>10597125</v>
      </c>
      <c r="AF240" s="63">
        <v>10597125</v>
      </c>
      <c r="AG240" s="60">
        <v>0</v>
      </c>
      <c r="AH240" s="60">
        <v>0</v>
      </c>
      <c r="AI240" s="63">
        <f t="shared" si="1282"/>
        <v>10597125</v>
      </c>
      <c r="AJ240" s="63">
        <v>10597125</v>
      </c>
      <c r="AK240" s="60">
        <v>0</v>
      </c>
      <c r="AL240" s="60">
        <v>0</v>
      </c>
      <c r="AM240" s="63">
        <f t="shared" si="1236"/>
        <v>10597125</v>
      </c>
      <c r="AN240" s="63">
        <v>10597125</v>
      </c>
      <c r="AO240" s="60">
        <v>0</v>
      </c>
      <c r="AP240" s="60">
        <v>0</v>
      </c>
      <c r="AQ240" s="63">
        <f t="shared" si="1237"/>
        <v>10597125</v>
      </c>
      <c r="AR240" s="63">
        <v>10597125</v>
      </c>
      <c r="AS240" s="60">
        <v>0</v>
      </c>
      <c r="AT240" s="60">
        <v>0</v>
      </c>
      <c r="AU240" s="63">
        <f t="shared" si="1238"/>
        <v>10597125</v>
      </c>
      <c r="AV240" s="63">
        <v>10597125</v>
      </c>
      <c r="AW240" s="60">
        <v>0</v>
      </c>
      <c r="AX240" s="60">
        <v>0</v>
      </c>
      <c r="AY240" s="63">
        <f t="shared" si="1239"/>
        <v>10597125</v>
      </c>
      <c r="AZ240" s="8">
        <f t="shared" si="1283"/>
        <v>529856.25</v>
      </c>
      <c r="BA240" s="8">
        <v>0.25</v>
      </c>
      <c r="BB240" s="8">
        <f t="shared" si="1284"/>
        <v>529856</v>
      </c>
      <c r="BC240" s="8">
        <f t="shared" si="1285"/>
        <v>11126981</v>
      </c>
      <c r="BD240" s="8"/>
      <c r="BE240" s="8">
        <f t="shared" si="1286"/>
        <v>11126981</v>
      </c>
      <c r="BF240" s="10">
        <f t="shared" si="1287"/>
        <v>529856</v>
      </c>
      <c r="BG240" s="11">
        <f t="shared" si="1288"/>
        <v>0</v>
      </c>
      <c r="BH240" s="324">
        <v>11126981</v>
      </c>
      <c r="BI240" s="324">
        <v>0</v>
      </c>
      <c r="BJ240" s="324">
        <v>0</v>
      </c>
      <c r="BK240" s="319">
        <f t="shared" si="1240"/>
        <v>11126981</v>
      </c>
      <c r="BL240" s="319">
        <v>11126981</v>
      </c>
      <c r="BM240" s="319">
        <v>0</v>
      </c>
      <c r="BN240" s="319">
        <v>0</v>
      </c>
      <c r="BO240" s="319">
        <f t="shared" si="1241"/>
        <v>11126981</v>
      </c>
      <c r="BP240" s="319">
        <f t="shared" si="1289"/>
        <v>0</v>
      </c>
      <c r="BQ240" s="319">
        <v>11126981</v>
      </c>
      <c r="BR240" s="319">
        <v>0</v>
      </c>
      <c r="BS240" s="319">
        <v>0</v>
      </c>
      <c r="BT240" s="319">
        <f t="shared" si="1242"/>
        <v>11126981</v>
      </c>
      <c r="BU240" s="319">
        <f t="shared" si="1243"/>
        <v>0</v>
      </c>
      <c r="BV240" s="9">
        <v>11276981</v>
      </c>
      <c r="BW240" s="9">
        <v>0</v>
      </c>
      <c r="BX240" s="9">
        <v>0</v>
      </c>
      <c r="BY240" s="319">
        <f t="shared" si="1244"/>
        <v>11276981</v>
      </c>
      <c r="BZ240" s="48">
        <f t="shared" si="1245"/>
        <v>150000</v>
      </c>
      <c r="CA240" s="9">
        <v>11552981</v>
      </c>
      <c r="CB240" s="9">
        <v>0</v>
      </c>
      <c r="CC240" s="9">
        <v>0</v>
      </c>
      <c r="CD240" s="319">
        <f t="shared" si="1246"/>
        <v>11552981</v>
      </c>
      <c r="CE240" s="48">
        <f t="shared" si="1247"/>
        <v>276000</v>
      </c>
      <c r="CF240" s="319">
        <v>11552981</v>
      </c>
      <c r="CG240" s="319">
        <v>0</v>
      </c>
      <c r="CH240" s="319">
        <v>0</v>
      </c>
      <c r="CI240" s="319">
        <f t="shared" si="1248"/>
        <v>11552981</v>
      </c>
      <c r="CJ240" s="319">
        <f t="shared" si="1249"/>
        <v>0</v>
      </c>
      <c r="CK240" s="319">
        <v>11552981</v>
      </c>
      <c r="CL240" s="319">
        <v>0</v>
      </c>
      <c r="CM240" s="319">
        <v>0</v>
      </c>
      <c r="CN240" s="319">
        <f t="shared" si="1250"/>
        <v>11552981</v>
      </c>
      <c r="CO240" s="319">
        <f t="shared" si="1251"/>
        <v>0</v>
      </c>
      <c r="CP240" s="319">
        <v>11552981</v>
      </c>
      <c r="CQ240" s="319">
        <v>0</v>
      </c>
      <c r="CR240" s="319">
        <v>0</v>
      </c>
      <c r="CS240" s="319">
        <f t="shared" si="1252"/>
        <v>11552981</v>
      </c>
      <c r="CT240" s="319">
        <f t="shared" si="1253"/>
        <v>0</v>
      </c>
      <c r="CU240" s="319">
        <v>11552981</v>
      </c>
      <c r="CV240" s="319">
        <v>0</v>
      </c>
      <c r="CW240" s="319">
        <v>0</v>
      </c>
      <c r="CX240" s="319">
        <f t="shared" si="1254"/>
        <v>11552981</v>
      </c>
      <c r="CY240" s="319">
        <f t="shared" si="1255"/>
        <v>0</v>
      </c>
      <c r="CZ240" s="319"/>
      <c r="DA240" s="319"/>
      <c r="DB240" s="319"/>
      <c r="DC240" s="12">
        <f t="shared" si="1290"/>
        <v>1155298.1000000001</v>
      </c>
      <c r="DD240" s="12">
        <v>0.1</v>
      </c>
      <c r="DE240" s="13">
        <f t="shared" si="1291"/>
        <v>1155298</v>
      </c>
      <c r="DF240" s="14">
        <f t="shared" si="1256"/>
        <v>1155298</v>
      </c>
      <c r="DG240" s="13">
        <f t="shared" si="1257"/>
        <v>12708279</v>
      </c>
      <c r="DH240" s="15">
        <f t="shared" si="1258"/>
        <v>0.90370843023656178</v>
      </c>
      <c r="DI240" s="16">
        <f t="shared" si="1259"/>
        <v>11552981</v>
      </c>
      <c r="DJ240" s="132">
        <f t="shared" si="1292"/>
        <v>12708279.100000001</v>
      </c>
      <c r="DK240" s="17">
        <f t="shared" si="1293"/>
        <v>1155298.1000000015</v>
      </c>
      <c r="DL240" s="17">
        <f t="shared" si="1260"/>
        <v>0.1</v>
      </c>
      <c r="DM240" s="16">
        <f t="shared" si="1294"/>
        <v>1155298.0000000014</v>
      </c>
      <c r="DN240" s="16">
        <f t="shared" si="1261"/>
        <v>0</v>
      </c>
      <c r="DO240" s="16">
        <f t="shared" si="1295"/>
        <v>12708279.000000002</v>
      </c>
      <c r="DP240" s="16">
        <f t="shared" si="1262"/>
        <v>0</v>
      </c>
      <c r="DQ240" s="9">
        <v>12708279</v>
      </c>
      <c r="DR240" s="18" t="s">
        <v>238</v>
      </c>
      <c r="DS240" s="18" t="s">
        <v>238</v>
      </c>
      <c r="DT240" s="324">
        <f t="shared" si="1296"/>
        <v>12708279</v>
      </c>
      <c r="DU240" s="321">
        <f t="shared" si="1297"/>
        <v>12708279</v>
      </c>
      <c r="DV240" s="19">
        <f t="shared" si="1298"/>
        <v>0</v>
      </c>
      <c r="DW240" s="9">
        <v>12708279</v>
      </c>
      <c r="DX240" s="18"/>
      <c r="DY240" s="18"/>
      <c r="DZ240" s="324">
        <f t="shared" si="1299"/>
        <v>12708279</v>
      </c>
      <c r="EA240" s="321">
        <f t="shared" si="1300"/>
        <v>12708279</v>
      </c>
      <c r="EB240" s="179">
        <f t="shared" si="1263"/>
        <v>0</v>
      </c>
      <c r="EC240" s="9">
        <v>12708279</v>
      </c>
      <c r="ED240" s="18" t="s">
        <v>238</v>
      </c>
      <c r="EE240" s="18" t="s">
        <v>238</v>
      </c>
      <c r="EF240" s="324">
        <f t="shared" si="1301"/>
        <v>12708279</v>
      </c>
      <c r="EG240" s="321">
        <f t="shared" si="1302"/>
        <v>12708279</v>
      </c>
      <c r="EH240" s="179">
        <f t="shared" si="1264"/>
        <v>0</v>
      </c>
      <c r="EI240" s="9">
        <v>12708279</v>
      </c>
      <c r="EJ240" s="18" t="s">
        <v>238</v>
      </c>
      <c r="EK240" s="18" t="s">
        <v>238</v>
      </c>
      <c r="EL240" s="324">
        <f t="shared" si="1303"/>
        <v>12708279</v>
      </c>
      <c r="EM240" s="321">
        <f t="shared" si="1304"/>
        <v>12708279</v>
      </c>
      <c r="EN240" s="179">
        <f t="shared" si="1265"/>
        <v>0</v>
      </c>
      <c r="EO240" s="9">
        <v>12708279</v>
      </c>
      <c r="EP240" s="18" t="s">
        <v>238</v>
      </c>
      <c r="EQ240" s="18" t="s">
        <v>238</v>
      </c>
      <c r="ER240" s="324">
        <f t="shared" si="1305"/>
        <v>12708279</v>
      </c>
      <c r="ES240" s="321">
        <f t="shared" si="1306"/>
        <v>12708279</v>
      </c>
      <c r="ET240" s="179">
        <f t="shared" si="1266"/>
        <v>0</v>
      </c>
      <c r="EU240" s="9">
        <v>12708279</v>
      </c>
      <c r="EV240" s="18" t="s">
        <v>238</v>
      </c>
      <c r="EW240" s="18" t="s">
        <v>238</v>
      </c>
      <c r="EX240" s="324">
        <f t="shared" si="1307"/>
        <v>12708279</v>
      </c>
      <c r="EY240" s="321">
        <f t="shared" si="1308"/>
        <v>12708279</v>
      </c>
      <c r="EZ240" s="179">
        <f t="shared" si="1267"/>
        <v>0</v>
      </c>
      <c r="FA240" s="9">
        <v>12708279</v>
      </c>
      <c r="FB240" s="18" t="s">
        <v>238</v>
      </c>
      <c r="FC240" s="18" t="s">
        <v>238</v>
      </c>
      <c r="FD240" s="324">
        <f t="shared" si="1309"/>
        <v>12708279</v>
      </c>
      <c r="FE240" s="321">
        <f t="shared" si="1310"/>
        <v>12708279</v>
      </c>
      <c r="FF240" s="179">
        <f t="shared" si="1268"/>
        <v>0</v>
      </c>
      <c r="FG240" s="9">
        <v>12708279</v>
      </c>
      <c r="FH240" s="18" t="s">
        <v>238</v>
      </c>
      <c r="FI240" s="18" t="s">
        <v>238</v>
      </c>
      <c r="FJ240" s="324">
        <f t="shared" si="1311"/>
        <v>12708279</v>
      </c>
      <c r="FK240" s="321">
        <f t="shared" si="1312"/>
        <v>12708279</v>
      </c>
      <c r="FL240" s="179">
        <f t="shared" si="1269"/>
        <v>0</v>
      </c>
      <c r="FM240" s="9">
        <v>12708279</v>
      </c>
      <c r="FN240" s="18" t="s">
        <v>238</v>
      </c>
      <c r="FO240" s="18" t="s">
        <v>238</v>
      </c>
      <c r="FP240" s="324">
        <f t="shared" si="1313"/>
        <v>12708279</v>
      </c>
      <c r="FQ240" s="321">
        <f t="shared" si="1314"/>
        <v>12708279</v>
      </c>
      <c r="FR240" s="179">
        <f t="shared" si="1270"/>
        <v>0</v>
      </c>
      <c r="FS240" s="9">
        <v>12708279</v>
      </c>
      <c r="FT240" s="18" t="s">
        <v>238</v>
      </c>
      <c r="FU240" s="18" t="s">
        <v>238</v>
      </c>
      <c r="FV240" s="324">
        <f t="shared" si="1315"/>
        <v>12708279</v>
      </c>
      <c r="FW240" s="321">
        <f t="shared" si="1316"/>
        <v>12708279</v>
      </c>
      <c r="FX240" s="179">
        <f t="shared" si="1271"/>
        <v>0</v>
      </c>
      <c r="FY240" s="9">
        <v>12708279</v>
      </c>
      <c r="FZ240" s="18" t="s">
        <v>238</v>
      </c>
      <c r="GA240" s="18" t="s">
        <v>238</v>
      </c>
      <c r="GB240" s="324">
        <f t="shared" si="1317"/>
        <v>12708279</v>
      </c>
      <c r="GC240" s="321">
        <f t="shared" si="1318"/>
        <v>12708279</v>
      </c>
      <c r="GD240" s="179">
        <f t="shared" si="1272"/>
        <v>0</v>
      </c>
      <c r="GE240" s="9">
        <v>12708279</v>
      </c>
      <c r="GF240" s="18" t="s">
        <v>238</v>
      </c>
      <c r="GG240" s="18" t="s">
        <v>238</v>
      </c>
      <c r="GH240" s="324">
        <f t="shared" si="1319"/>
        <v>12708279</v>
      </c>
      <c r="GI240" s="321">
        <f t="shared" si="1320"/>
        <v>12708279</v>
      </c>
      <c r="GJ240" s="179">
        <f t="shared" si="1273"/>
        <v>0</v>
      </c>
      <c r="GK240" s="9">
        <v>12708279</v>
      </c>
      <c r="GL240" s="18" t="s">
        <v>238</v>
      </c>
      <c r="GM240" s="18" t="s">
        <v>238</v>
      </c>
      <c r="GN240" s="324">
        <f t="shared" si="1321"/>
        <v>12708279</v>
      </c>
      <c r="GO240" s="321">
        <f t="shared" si="1322"/>
        <v>12708279</v>
      </c>
      <c r="GP240" s="179">
        <f t="shared" si="1274"/>
        <v>0</v>
      </c>
      <c r="GQ240" s="9">
        <v>12708279</v>
      </c>
      <c r="GR240" s="18" t="s">
        <v>238</v>
      </c>
      <c r="GS240" s="18" t="s">
        <v>238</v>
      </c>
      <c r="GT240" s="324">
        <f t="shared" si="1323"/>
        <v>12708279</v>
      </c>
      <c r="GU240" s="321">
        <f t="shared" si="1324"/>
        <v>12708279</v>
      </c>
      <c r="GV240" s="179">
        <f t="shared" si="1275"/>
        <v>0</v>
      </c>
      <c r="GW240" s="9">
        <v>13343692</v>
      </c>
      <c r="GX240" s="18" t="s">
        <v>238</v>
      </c>
      <c r="GY240" s="18" t="s">
        <v>238</v>
      </c>
      <c r="GZ240" s="324">
        <f t="shared" si="1325"/>
        <v>13343692</v>
      </c>
      <c r="HA240" s="321">
        <f t="shared" si="1326"/>
        <v>13343692</v>
      </c>
      <c r="HB240" s="179">
        <f t="shared" si="1276"/>
        <v>635413</v>
      </c>
      <c r="HC240" s="102">
        <f t="shared" si="1277"/>
        <v>0.90370842312538313</v>
      </c>
      <c r="HD240" s="285">
        <f t="shared" si="1327"/>
        <v>-1.0477378964424133E-9</v>
      </c>
      <c r="HE240" s="12">
        <f t="shared" si="1328"/>
        <v>635413.95000000007</v>
      </c>
      <c r="HF240" s="12">
        <f t="shared" si="1278"/>
        <v>0.95000000006984919</v>
      </c>
      <c r="HG240" s="12">
        <f t="shared" si="1329"/>
        <v>635413</v>
      </c>
      <c r="HH240" s="14">
        <f t="shared" si="1330"/>
        <v>635413</v>
      </c>
      <c r="HI240" s="13">
        <f t="shared" si="1331"/>
        <v>13343692</v>
      </c>
      <c r="HJ240" s="102">
        <f t="shared" si="1332"/>
        <v>0.94889377672545516</v>
      </c>
      <c r="HK240" s="16">
        <f t="shared" si="1333"/>
        <v>12708279</v>
      </c>
      <c r="HL240" s="103">
        <f t="shared" si="1334"/>
        <v>13343692.950000001</v>
      </c>
      <c r="HM240" s="103">
        <f t="shared" si="1335"/>
        <v>635413.95000000112</v>
      </c>
      <c r="HN240" s="17">
        <f t="shared" si="1336"/>
        <v>0.95000000006984919</v>
      </c>
      <c r="HO240" s="56">
        <f t="shared" si="1337"/>
        <v>635413.00000000105</v>
      </c>
      <c r="HP240" s="16">
        <f t="shared" si="1338"/>
        <v>1.0477378964424133E-9</v>
      </c>
      <c r="HQ240" s="16">
        <f t="shared" si="1339"/>
        <v>13343692.000000002</v>
      </c>
      <c r="HR240" s="16">
        <f t="shared" si="1340"/>
        <v>0</v>
      </c>
    </row>
    <row r="241" spans="1:226" x14ac:dyDescent="0.3">
      <c r="A241" s="309">
        <v>7</v>
      </c>
      <c r="B241" s="464"/>
      <c r="C241" s="309" t="s">
        <v>314</v>
      </c>
      <c r="D241" s="59" t="s">
        <v>231</v>
      </c>
      <c r="E241" s="60"/>
      <c r="F241" s="60"/>
      <c r="G241" s="60"/>
      <c r="H241" s="61"/>
      <c r="I241" s="61">
        <v>2495307</v>
      </c>
      <c r="J241" s="61"/>
      <c r="K241" s="61"/>
      <c r="L241" s="61">
        <v>2495307</v>
      </c>
      <c r="M241" s="62">
        <v>2495307</v>
      </c>
      <c r="N241" s="62">
        <v>2495307</v>
      </c>
      <c r="O241" s="63">
        <v>2495307</v>
      </c>
      <c r="P241" s="63">
        <v>2495307</v>
      </c>
      <c r="Q241" s="63">
        <v>2495307</v>
      </c>
      <c r="R241" s="63">
        <v>2495307</v>
      </c>
      <c r="S241" s="63">
        <v>2495307</v>
      </c>
      <c r="T241" s="63">
        <v>2495307</v>
      </c>
      <c r="U241" s="63">
        <f t="shared" si="1279"/>
        <v>124765.35</v>
      </c>
      <c r="V241" s="63">
        <f t="shared" si="1280"/>
        <v>2620072.35</v>
      </c>
      <c r="W241" s="63">
        <v>2620072</v>
      </c>
      <c r="X241" s="63">
        <v>2620072</v>
      </c>
      <c r="Y241" s="63">
        <v>2620072</v>
      </c>
      <c r="Z241" s="63">
        <v>2620072</v>
      </c>
      <c r="AA241" s="63">
        <v>2620072</v>
      </c>
      <c r="AB241" s="63">
        <v>2620072</v>
      </c>
      <c r="AC241" s="60">
        <v>0</v>
      </c>
      <c r="AD241" s="60">
        <v>0</v>
      </c>
      <c r="AE241" s="63">
        <f t="shared" si="1281"/>
        <v>2620072</v>
      </c>
      <c r="AF241" s="63">
        <v>2620072</v>
      </c>
      <c r="AG241" s="60">
        <v>0</v>
      </c>
      <c r="AH241" s="60">
        <v>0</v>
      </c>
      <c r="AI241" s="63">
        <f t="shared" si="1282"/>
        <v>2620072</v>
      </c>
      <c r="AJ241" s="63">
        <v>2620072</v>
      </c>
      <c r="AK241" s="60">
        <v>0</v>
      </c>
      <c r="AL241" s="60">
        <v>0</v>
      </c>
      <c r="AM241" s="63">
        <f t="shared" si="1236"/>
        <v>2620072</v>
      </c>
      <c r="AN241" s="63">
        <v>2620072</v>
      </c>
      <c r="AO241" s="60">
        <v>0</v>
      </c>
      <c r="AP241" s="60">
        <v>0</v>
      </c>
      <c r="AQ241" s="63">
        <f t="shared" si="1237"/>
        <v>2620072</v>
      </c>
      <c r="AR241" s="63">
        <v>2620072</v>
      </c>
      <c r="AS241" s="60">
        <v>0</v>
      </c>
      <c r="AT241" s="60">
        <v>0</v>
      </c>
      <c r="AU241" s="63">
        <f t="shared" si="1238"/>
        <v>2620072</v>
      </c>
      <c r="AV241" s="63">
        <v>2620072</v>
      </c>
      <c r="AW241" s="60">
        <v>0</v>
      </c>
      <c r="AX241" s="60">
        <v>0</v>
      </c>
      <c r="AY241" s="63">
        <f t="shared" si="1239"/>
        <v>2620072</v>
      </c>
      <c r="AZ241" s="8">
        <f t="shared" si="1283"/>
        <v>131003.6</v>
      </c>
      <c r="BA241" s="8">
        <v>0.6</v>
      </c>
      <c r="BB241" s="8">
        <f t="shared" si="1284"/>
        <v>131003</v>
      </c>
      <c r="BC241" s="8">
        <f t="shared" si="1285"/>
        <v>2751075</v>
      </c>
      <c r="BD241" s="8"/>
      <c r="BE241" s="8">
        <f t="shared" si="1286"/>
        <v>2751075</v>
      </c>
      <c r="BF241" s="10">
        <f t="shared" si="1287"/>
        <v>131003</v>
      </c>
      <c r="BG241" s="11">
        <f t="shared" si="1288"/>
        <v>0</v>
      </c>
      <c r="BH241" s="324">
        <v>2751075</v>
      </c>
      <c r="BI241" s="324">
        <v>0</v>
      </c>
      <c r="BJ241" s="324">
        <v>0</v>
      </c>
      <c r="BK241" s="319">
        <f t="shared" si="1240"/>
        <v>2751075</v>
      </c>
      <c r="BL241" s="319">
        <v>2751075</v>
      </c>
      <c r="BM241" s="319">
        <v>0</v>
      </c>
      <c r="BN241" s="319">
        <v>0</v>
      </c>
      <c r="BO241" s="319">
        <f t="shared" si="1241"/>
        <v>2751075</v>
      </c>
      <c r="BP241" s="319">
        <f t="shared" si="1289"/>
        <v>0</v>
      </c>
      <c r="BQ241" s="319">
        <v>2751075</v>
      </c>
      <c r="BR241" s="319">
        <v>0</v>
      </c>
      <c r="BS241" s="319">
        <v>0</v>
      </c>
      <c r="BT241" s="319">
        <f t="shared" si="1242"/>
        <v>2751075</v>
      </c>
      <c r="BU241" s="319">
        <f t="shared" si="1243"/>
        <v>0</v>
      </c>
      <c r="BV241" s="319">
        <v>2751075</v>
      </c>
      <c r="BW241" s="9">
        <v>0</v>
      </c>
      <c r="BX241" s="9">
        <v>0</v>
      </c>
      <c r="BY241" s="319">
        <f t="shared" si="1244"/>
        <v>2751075</v>
      </c>
      <c r="BZ241" s="319">
        <f t="shared" si="1245"/>
        <v>0</v>
      </c>
      <c r="CA241" s="319">
        <v>2751075</v>
      </c>
      <c r="CB241" s="9">
        <v>0</v>
      </c>
      <c r="CC241" s="9">
        <v>0</v>
      </c>
      <c r="CD241" s="319">
        <f t="shared" si="1246"/>
        <v>2751075</v>
      </c>
      <c r="CE241" s="319">
        <f t="shared" si="1247"/>
        <v>0</v>
      </c>
      <c r="CF241" s="319">
        <v>2751075</v>
      </c>
      <c r="CG241" s="319">
        <v>0</v>
      </c>
      <c r="CH241" s="319">
        <v>0</v>
      </c>
      <c r="CI241" s="319">
        <f t="shared" si="1248"/>
        <v>2751075</v>
      </c>
      <c r="CJ241" s="319">
        <f t="shared" si="1249"/>
        <v>0</v>
      </c>
      <c r="CK241" s="319">
        <v>2751075</v>
      </c>
      <c r="CL241" s="319">
        <v>0</v>
      </c>
      <c r="CM241" s="319">
        <v>0</v>
      </c>
      <c r="CN241" s="319">
        <f t="shared" si="1250"/>
        <v>2751075</v>
      </c>
      <c r="CO241" s="319">
        <f t="shared" si="1251"/>
        <v>0</v>
      </c>
      <c r="CP241" s="319">
        <v>2751075</v>
      </c>
      <c r="CQ241" s="319">
        <v>0</v>
      </c>
      <c r="CR241" s="319">
        <v>0</v>
      </c>
      <c r="CS241" s="319">
        <f t="shared" si="1252"/>
        <v>2751075</v>
      </c>
      <c r="CT241" s="319">
        <f t="shared" si="1253"/>
        <v>0</v>
      </c>
      <c r="CU241" s="319">
        <v>2751075</v>
      </c>
      <c r="CV241" s="319">
        <v>0</v>
      </c>
      <c r="CW241" s="319">
        <v>0</v>
      </c>
      <c r="CX241" s="319">
        <f t="shared" si="1254"/>
        <v>2751075</v>
      </c>
      <c r="CY241" s="319">
        <f t="shared" si="1255"/>
        <v>0</v>
      </c>
      <c r="CZ241" s="319"/>
      <c r="DA241" s="319"/>
      <c r="DB241" s="319"/>
      <c r="DC241" s="12">
        <f t="shared" si="1290"/>
        <v>275107.5</v>
      </c>
      <c r="DD241" s="12">
        <v>0.5</v>
      </c>
      <c r="DE241" s="13">
        <f t="shared" si="1291"/>
        <v>275107</v>
      </c>
      <c r="DF241" s="14">
        <f t="shared" si="1256"/>
        <v>275107</v>
      </c>
      <c r="DG241" s="13">
        <f t="shared" si="1257"/>
        <v>3026182</v>
      </c>
      <c r="DH241" s="15">
        <f t="shared" si="1258"/>
        <v>0.2151972438726463</v>
      </c>
      <c r="DI241" s="16">
        <f t="shared" si="1259"/>
        <v>2751075</v>
      </c>
      <c r="DJ241" s="132">
        <f t="shared" si="1292"/>
        <v>3026182.5000000005</v>
      </c>
      <c r="DK241" s="17">
        <f t="shared" si="1293"/>
        <v>275107.50000000047</v>
      </c>
      <c r="DL241" s="17">
        <f t="shared" si="1260"/>
        <v>0.5</v>
      </c>
      <c r="DM241" s="16">
        <f t="shared" si="1294"/>
        <v>275107.00000000047</v>
      </c>
      <c r="DN241" s="16">
        <f t="shared" si="1261"/>
        <v>4.6566128730773926E-10</v>
      </c>
      <c r="DO241" s="16">
        <f t="shared" si="1295"/>
        <v>3026182.0000000005</v>
      </c>
      <c r="DP241" s="16">
        <f t="shared" si="1262"/>
        <v>0</v>
      </c>
      <c r="DQ241" s="9">
        <v>3026182</v>
      </c>
      <c r="DR241" s="18" t="s">
        <v>238</v>
      </c>
      <c r="DS241" s="18" t="s">
        <v>238</v>
      </c>
      <c r="DT241" s="324">
        <f t="shared" si="1296"/>
        <v>3026182</v>
      </c>
      <c r="DU241" s="321">
        <f t="shared" si="1297"/>
        <v>3026182</v>
      </c>
      <c r="DV241" s="19">
        <f t="shared" si="1298"/>
        <v>0</v>
      </c>
      <c r="DW241" s="9">
        <v>3026182</v>
      </c>
      <c r="DX241" s="18"/>
      <c r="DY241" s="18"/>
      <c r="DZ241" s="324">
        <f t="shared" si="1299"/>
        <v>3026182</v>
      </c>
      <c r="EA241" s="321">
        <f t="shared" si="1300"/>
        <v>3026182</v>
      </c>
      <c r="EB241" s="179">
        <f t="shared" si="1263"/>
        <v>0</v>
      </c>
      <c r="EC241" s="9">
        <v>3026182</v>
      </c>
      <c r="ED241" s="18" t="s">
        <v>238</v>
      </c>
      <c r="EE241" s="18" t="s">
        <v>238</v>
      </c>
      <c r="EF241" s="324">
        <f t="shared" si="1301"/>
        <v>3026182</v>
      </c>
      <c r="EG241" s="321">
        <f t="shared" si="1302"/>
        <v>3026182</v>
      </c>
      <c r="EH241" s="179">
        <f t="shared" si="1264"/>
        <v>0</v>
      </c>
      <c r="EI241" s="9">
        <v>3026182</v>
      </c>
      <c r="EJ241" s="18" t="s">
        <v>238</v>
      </c>
      <c r="EK241" s="18" t="s">
        <v>238</v>
      </c>
      <c r="EL241" s="324">
        <f t="shared" si="1303"/>
        <v>3026182</v>
      </c>
      <c r="EM241" s="321">
        <f t="shared" si="1304"/>
        <v>3026182</v>
      </c>
      <c r="EN241" s="179">
        <f t="shared" si="1265"/>
        <v>0</v>
      </c>
      <c r="EO241" s="9">
        <v>3026182</v>
      </c>
      <c r="EP241" s="18" t="s">
        <v>238</v>
      </c>
      <c r="EQ241" s="18" t="s">
        <v>238</v>
      </c>
      <c r="ER241" s="324">
        <f t="shared" si="1305"/>
        <v>3026182</v>
      </c>
      <c r="ES241" s="321">
        <f t="shared" si="1306"/>
        <v>3026182</v>
      </c>
      <c r="ET241" s="179">
        <f t="shared" si="1266"/>
        <v>0</v>
      </c>
      <c r="EU241" s="9">
        <v>3026182</v>
      </c>
      <c r="EV241" s="18" t="s">
        <v>238</v>
      </c>
      <c r="EW241" s="18" t="s">
        <v>238</v>
      </c>
      <c r="EX241" s="324">
        <f t="shared" si="1307"/>
        <v>3026182</v>
      </c>
      <c r="EY241" s="321">
        <f t="shared" si="1308"/>
        <v>3026182</v>
      </c>
      <c r="EZ241" s="179">
        <f t="shared" si="1267"/>
        <v>0</v>
      </c>
      <c r="FA241" s="9">
        <v>3026182</v>
      </c>
      <c r="FB241" s="18" t="s">
        <v>238</v>
      </c>
      <c r="FC241" s="18" t="s">
        <v>238</v>
      </c>
      <c r="FD241" s="324">
        <f t="shared" si="1309"/>
        <v>3026182</v>
      </c>
      <c r="FE241" s="321">
        <f t="shared" si="1310"/>
        <v>3026182</v>
      </c>
      <c r="FF241" s="179">
        <f t="shared" si="1268"/>
        <v>0</v>
      </c>
      <c r="FG241" s="9">
        <v>3026182</v>
      </c>
      <c r="FH241" s="18" t="s">
        <v>238</v>
      </c>
      <c r="FI241" s="18" t="s">
        <v>238</v>
      </c>
      <c r="FJ241" s="324">
        <f t="shared" si="1311"/>
        <v>3026182</v>
      </c>
      <c r="FK241" s="321">
        <f t="shared" si="1312"/>
        <v>3026182</v>
      </c>
      <c r="FL241" s="179">
        <f t="shared" si="1269"/>
        <v>0</v>
      </c>
      <c r="FM241" s="9">
        <v>3026182</v>
      </c>
      <c r="FN241" s="18" t="s">
        <v>238</v>
      </c>
      <c r="FO241" s="18" t="s">
        <v>238</v>
      </c>
      <c r="FP241" s="324">
        <f t="shared" si="1313"/>
        <v>3026182</v>
      </c>
      <c r="FQ241" s="321">
        <f t="shared" si="1314"/>
        <v>3026182</v>
      </c>
      <c r="FR241" s="179">
        <f t="shared" si="1270"/>
        <v>0</v>
      </c>
      <c r="FS241" s="9">
        <v>3026182</v>
      </c>
      <c r="FT241" s="18" t="s">
        <v>238</v>
      </c>
      <c r="FU241" s="18" t="s">
        <v>238</v>
      </c>
      <c r="FV241" s="324">
        <f t="shared" si="1315"/>
        <v>3026182</v>
      </c>
      <c r="FW241" s="321">
        <f t="shared" si="1316"/>
        <v>3026182</v>
      </c>
      <c r="FX241" s="179">
        <f t="shared" si="1271"/>
        <v>0</v>
      </c>
      <c r="FY241" s="9">
        <v>3026182</v>
      </c>
      <c r="FZ241" s="18" t="s">
        <v>238</v>
      </c>
      <c r="GA241" s="18" t="s">
        <v>238</v>
      </c>
      <c r="GB241" s="324">
        <f t="shared" si="1317"/>
        <v>3026182</v>
      </c>
      <c r="GC241" s="321">
        <f t="shared" si="1318"/>
        <v>3026182</v>
      </c>
      <c r="GD241" s="179">
        <f t="shared" si="1272"/>
        <v>0</v>
      </c>
      <c r="GE241" s="9">
        <v>3026182</v>
      </c>
      <c r="GF241" s="18" t="s">
        <v>238</v>
      </c>
      <c r="GG241" s="18" t="s">
        <v>238</v>
      </c>
      <c r="GH241" s="324">
        <f t="shared" si="1319"/>
        <v>3026182</v>
      </c>
      <c r="GI241" s="321">
        <f t="shared" si="1320"/>
        <v>3026182</v>
      </c>
      <c r="GJ241" s="179">
        <f t="shared" si="1273"/>
        <v>0</v>
      </c>
      <c r="GK241" s="9">
        <v>3026182</v>
      </c>
      <c r="GL241" s="18" t="s">
        <v>238</v>
      </c>
      <c r="GM241" s="18" t="s">
        <v>238</v>
      </c>
      <c r="GN241" s="324">
        <f t="shared" si="1321"/>
        <v>3026182</v>
      </c>
      <c r="GO241" s="321">
        <f t="shared" si="1322"/>
        <v>3026182</v>
      </c>
      <c r="GP241" s="179">
        <f t="shared" si="1274"/>
        <v>0</v>
      </c>
      <c r="GQ241" s="9">
        <v>3026182</v>
      </c>
      <c r="GR241" s="18" t="s">
        <v>238</v>
      </c>
      <c r="GS241" s="18" t="s">
        <v>238</v>
      </c>
      <c r="GT241" s="324">
        <f t="shared" si="1323"/>
        <v>3026182</v>
      </c>
      <c r="GU241" s="321">
        <f t="shared" si="1324"/>
        <v>3026182</v>
      </c>
      <c r="GV241" s="179">
        <f t="shared" si="1275"/>
        <v>0</v>
      </c>
      <c r="GW241" s="9">
        <v>3177491</v>
      </c>
      <c r="GX241" s="18" t="s">
        <v>238</v>
      </c>
      <c r="GY241" s="18" t="s">
        <v>238</v>
      </c>
      <c r="GZ241" s="324">
        <f t="shared" si="1325"/>
        <v>3177491</v>
      </c>
      <c r="HA241" s="321">
        <f t="shared" si="1326"/>
        <v>3177491</v>
      </c>
      <c r="HB241" s="179">
        <f t="shared" si="1276"/>
        <v>151309</v>
      </c>
      <c r="HC241" s="102">
        <f t="shared" si="1277"/>
        <v>0.21519720831675307</v>
      </c>
      <c r="HD241" s="285">
        <f t="shared" si="1327"/>
        <v>0</v>
      </c>
      <c r="HE241" s="12">
        <f t="shared" si="1328"/>
        <v>151309.1</v>
      </c>
      <c r="HF241" s="12">
        <f t="shared" si="1278"/>
        <v>0.10000000000582077</v>
      </c>
      <c r="HG241" s="12">
        <f t="shared" si="1329"/>
        <v>151309</v>
      </c>
      <c r="HH241" s="14">
        <f t="shared" si="1330"/>
        <v>151309</v>
      </c>
      <c r="HI241" s="13">
        <f t="shared" si="1331"/>
        <v>3177491</v>
      </c>
      <c r="HJ241" s="102">
        <f t="shared" si="1332"/>
        <v>0.22595706162141208</v>
      </c>
      <c r="HK241" s="16">
        <f t="shared" si="1333"/>
        <v>3026182</v>
      </c>
      <c r="HL241" s="103">
        <f t="shared" si="1334"/>
        <v>3177491.1</v>
      </c>
      <c r="HM241" s="103">
        <f t="shared" si="1335"/>
        <v>151309.10000000009</v>
      </c>
      <c r="HN241" s="17">
        <f t="shared" si="1336"/>
        <v>0.10000000000582077</v>
      </c>
      <c r="HO241" s="56">
        <f t="shared" si="1337"/>
        <v>151309.00000000009</v>
      </c>
      <c r="HP241" s="16">
        <f t="shared" si="1338"/>
        <v>0</v>
      </c>
      <c r="HQ241" s="16">
        <f t="shared" si="1339"/>
        <v>3177491</v>
      </c>
      <c r="HR241" s="16">
        <f t="shared" si="1340"/>
        <v>0</v>
      </c>
    </row>
    <row r="242" spans="1:226" x14ac:dyDescent="0.3">
      <c r="A242" s="309">
        <v>8</v>
      </c>
      <c r="B242" s="465"/>
      <c r="C242" s="309" t="s">
        <v>313</v>
      </c>
      <c r="D242" s="59" t="s">
        <v>232</v>
      </c>
      <c r="E242" s="60"/>
      <c r="F242" s="60"/>
      <c r="G242" s="60"/>
      <c r="H242" s="61"/>
      <c r="I242" s="61">
        <v>261800</v>
      </c>
      <c r="J242" s="61"/>
      <c r="K242" s="61"/>
      <c r="L242" s="61">
        <v>261800</v>
      </c>
      <c r="M242" s="62">
        <v>261800</v>
      </c>
      <c r="N242" s="62">
        <v>261800</v>
      </c>
      <c r="O242" s="63">
        <v>261800</v>
      </c>
      <c r="P242" s="63">
        <v>261800</v>
      </c>
      <c r="Q242" s="63">
        <v>261800</v>
      </c>
      <c r="R242" s="63">
        <v>261800</v>
      </c>
      <c r="S242" s="63">
        <v>261800</v>
      </c>
      <c r="T242" s="63">
        <v>261800</v>
      </c>
      <c r="U242" s="63">
        <f t="shared" si="1279"/>
        <v>13090</v>
      </c>
      <c r="V242" s="63">
        <f t="shared" si="1280"/>
        <v>274890</v>
      </c>
      <c r="W242" s="63">
        <v>274890</v>
      </c>
      <c r="X242" s="63">
        <v>274890</v>
      </c>
      <c r="Y242" s="63">
        <v>274890</v>
      </c>
      <c r="Z242" s="63">
        <v>274890</v>
      </c>
      <c r="AA242" s="63">
        <v>274890</v>
      </c>
      <c r="AB242" s="63">
        <v>274890</v>
      </c>
      <c r="AC242" s="60">
        <v>0</v>
      </c>
      <c r="AD242" s="60">
        <v>0</v>
      </c>
      <c r="AE242" s="63">
        <f t="shared" si="1281"/>
        <v>274890</v>
      </c>
      <c r="AF242" s="63">
        <v>274890</v>
      </c>
      <c r="AG242" s="60">
        <v>0</v>
      </c>
      <c r="AH242" s="60">
        <v>0</v>
      </c>
      <c r="AI242" s="63">
        <f t="shared" si="1282"/>
        <v>274890</v>
      </c>
      <c r="AJ242" s="63">
        <v>274890</v>
      </c>
      <c r="AK242" s="60">
        <v>0</v>
      </c>
      <c r="AL242" s="60">
        <v>0</v>
      </c>
      <c r="AM242" s="63">
        <f t="shared" si="1236"/>
        <v>274890</v>
      </c>
      <c r="AN242" s="63">
        <v>274890</v>
      </c>
      <c r="AO242" s="60">
        <v>0</v>
      </c>
      <c r="AP242" s="60">
        <v>0</v>
      </c>
      <c r="AQ242" s="63">
        <f t="shared" si="1237"/>
        <v>274890</v>
      </c>
      <c r="AR242" s="63">
        <v>274890</v>
      </c>
      <c r="AS242" s="60">
        <v>0</v>
      </c>
      <c r="AT242" s="60">
        <v>0</v>
      </c>
      <c r="AU242" s="63">
        <f t="shared" si="1238"/>
        <v>274890</v>
      </c>
      <c r="AV242" s="63">
        <v>274890</v>
      </c>
      <c r="AW242" s="60">
        <v>0</v>
      </c>
      <c r="AX242" s="60">
        <v>0</v>
      </c>
      <c r="AY242" s="63">
        <f t="shared" si="1239"/>
        <v>274890</v>
      </c>
      <c r="AZ242" s="8">
        <f t="shared" si="1283"/>
        <v>13744.5</v>
      </c>
      <c r="BA242" s="8">
        <v>0.5</v>
      </c>
      <c r="BB242" s="8">
        <f t="shared" si="1284"/>
        <v>13744</v>
      </c>
      <c r="BC242" s="8">
        <f t="shared" si="1285"/>
        <v>288634</v>
      </c>
      <c r="BD242" s="8"/>
      <c r="BE242" s="8">
        <f t="shared" si="1286"/>
        <v>288634</v>
      </c>
      <c r="BF242" s="10">
        <f t="shared" si="1287"/>
        <v>13744</v>
      </c>
      <c r="BG242" s="11">
        <f t="shared" si="1288"/>
        <v>0</v>
      </c>
      <c r="BH242" s="324">
        <v>288634</v>
      </c>
      <c r="BI242" s="324">
        <v>0</v>
      </c>
      <c r="BJ242" s="324">
        <v>0</v>
      </c>
      <c r="BK242" s="319">
        <f t="shared" si="1240"/>
        <v>288634</v>
      </c>
      <c r="BL242" s="319">
        <v>288634</v>
      </c>
      <c r="BM242" s="319">
        <v>0</v>
      </c>
      <c r="BN242" s="319">
        <v>0</v>
      </c>
      <c r="BO242" s="319">
        <f t="shared" si="1241"/>
        <v>288634</v>
      </c>
      <c r="BP242" s="319">
        <f t="shared" si="1289"/>
        <v>0</v>
      </c>
      <c r="BQ242" s="319">
        <v>288634</v>
      </c>
      <c r="BR242" s="319">
        <v>0</v>
      </c>
      <c r="BS242" s="319">
        <v>0</v>
      </c>
      <c r="BT242" s="319">
        <f t="shared" si="1242"/>
        <v>288634</v>
      </c>
      <c r="BU242" s="319">
        <f t="shared" si="1243"/>
        <v>0</v>
      </c>
      <c r="BV242" s="319">
        <v>288634</v>
      </c>
      <c r="BW242" s="9">
        <v>0</v>
      </c>
      <c r="BX242" s="9">
        <v>0</v>
      </c>
      <c r="BY242" s="319">
        <f t="shared" si="1244"/>
        <v>288634</v>
      </c>
      <c r="BZ242" s="319">
        <f t="shared" si="1245"/>
        <v>0</v>
      </c>
      <c r="CA242" s="319">
        <v>288634</v>
      </c>
      <c r="CB242" s="9">
        <v>0</v>
      </c>
      <c r="CC242" s="9">
        <v>0</v>
      </c>
      <c r="CD242" s="319">
        <f t="shared" si="1246"/>
        <v>288634</v>
      </c>
      <c r="CE242" s="319">
        <f t="shared" si="1247"/>
        <v>0</v>
      </c>
      <c r="CF242" s="319">
        <v>288634</v>
      </c>
      <c r="CG242" s="319">
        <v>0</v>
      </c>
      <c r="CH242" s="319">
        <v>0</v>
      </c>
      <c r="CI242" s="319">
        <f t="shared" si="1248"/>
        <v>288634</v>
      </c>
      <c r="CJ242" s="319">
        <f t="shared" si="1249"/>
        <v>0</v>
      </c>
      <c r="CK242" s="319">
        <v>288634</v>
      </c>
      <c r="CL242" s="319">
        <v>0</v>
      </c>
      <c r="CM242" s="319">
        <v>0</v>
      </c>
      <c r="CN242" s="319">
        <f t="shared" si="1250"/>
        <v>288634</v>
      </c>
      <c r="CO242" s="319">
        <f t="shared" si="1251"/>
        <v>0</v>
      </c>
      <c r="CP242" s="319">
        <v>288634</v>
      </c>
      <c r="CQ242" s="319">
        <v>0</v>
      </c>
      <c r="CR242" s="319">
        <v>0</v>
      </c>
      <c r="CS242" s="319">
        <f t="shared" si="1252"/>
        <v>288634</v>
      </c>
      <c r="CT242" s="319">
        <f t="shared" si="1253"/>
        <v>0</v>
      </c>
      <c r="CU242" s="319">
        <v>288634</v>
      </c>
      <c r="CV242" s="319">
        <v>0</v>
      </c>
      <c r="CW242" s="319">
        <v>0</v>
      </c>
      <c r="CX242" s="319">
        <f t="shared" si="1254"/>
        <v>288634</v>
      </c>
      <c r="CY242" s="319">
        <f t="shared" si="1255"/>
        <v>0</v>
      </c>
      <c r="CZ242" s="319"/>
      <c r="DA242" s="319"/>
      <c r="DB242" s="319"/>
      <c r="DC242" s="12">
        <f t="shared" si="1290"/>
        <v>28863.4</v>
      </c>
      <c r="DD242" s="12">
        <v>0.4</v>
      </c>
      <c r="DE242" s="13">
        <f t="shared" si="1291"/>
        <v>28863</v>
      </c>
      <c r="DF242" s="14">
        <f t="shared" si="1256"/>
        <v>28863</v>
      </c>
      <c r="DG242" s="13">
        <f t="shared" si="1257"/>
        <v>317497</v>
      </c>
      <c r="DH242" s="15">
        <f t="shared" si="1258"/>
        <v>2.2577807325477275E-2</v>
      </c>
      <c r="DI242" s="16">
        <f t="shared" si="1259"/>
        <v>288634</v>
      </c>
      <c r="DJ242" s="132">
        <f t="shared" si="1292"/>
        <v>317497.40000000002</v>
      </c>
      <c r="DK242" s="17">
        <f t="shared" si="1293"/>
        <v>28863.400000000023</v>
      </c>
      <c r="DL242" s="17">
        <f t="shared" si="1260"/>
        <v>0.4</v>
      </c>
      <c r="DM242" s="16">
        <f t="shared" si="1294"/>
        <v>28863.000000000022</v>
      </c>
      <c r="DN242" s="16">
        <f t="shared" si="1261"/>
        <v>0</v>
      </c>
      <c r="DO242" s="16">
        <f t="shared" si="1295"/>
        <v>317497</v>
      </c>
      <c r="DP242" s="16">
        <f t="shared" si="1262"/>
        <v>0</v>
      </c>
      <c r="DQ242" s="9">
        <v>317497</v>
      </c>
      <c r="DR242" s="18" t="s">
        <v>238</v>
      </c>
      <c r="DS242" s="18" t="s">
        <v>238</v>
      </c>
      <c r="DT242" s="324">
        <f t="shared" si="1296"/>
        <v>317497</v>
      </c>
      <c r="DU242" s="321">
        <f t="shared" si="1297"/>
        <v>317497</v>
      </c>
      <c r="DV242" s="19">
        <f t="shared" si="1298"/>
        <v>0</v>
      </c>
      <c r="DW242" s="9">
        <v>317497</v>
      </c>
      <c r="DX242" s="18"/>
      <c r="DY242" s="18"/>
      <c r="DZ242" s="324">
        <f t="shared" si="1299"/>
        <v>317497</v>
      </c>
      <c r="EA242" s="321">
        <f t="shared" si="1300"/>
        <v>317497</v>
      </c>
      <c r="EB242" s="179">
        <f t="shared" si="1263"/>
        <v>0</v>
      </c>
      <c r="EC242" s="9">
        <v>317497</v>
      </c>
      <c r="ED242" s="18" t="s">
        <v>238</v>
      </c>
      <c r="EE242" s="18" t="s">
        <v>238</v>
      </c>
      <c r="EF242" s="324">
        <f t="shared" si="1301"/>
        <v>317497</v>
      </c>
      <c r="EG242" s="321">
        <f t="shared" si="1302"/>
        <v>317497</v>
      </c>
      <c r="EH242" s="179">
        <f t="shared" si="1264"/>
        <v>0</v>
      </c>
      <c r="EI242" s="9">
        <v>317497</v>
      </c>
      <c r="EJ242" s="18" t="s">
        <v>238</v>
      </c>
      <c r="EK242" s="18" t="s">
        <v>238</v>
      </c>
      <c r="EL242" s="324">
        <f t="shared" si="1303"/>
        <v>317497</v>
      </c>
      <c r="EM242" s="321">
        <f t="shared" si="1304"/>
        <v>317497</v>
      </c>
      <c r="EN242" s="179">
        <f t="shared" si="1265"/>
        <v>0</v>
      </c>
      <c r="EO242" s="9">
        <v>317497</v>
      </c>
      <c r="EP242" s="18" t="s">
        <v>238</v>
      </c>
      <c r="EQ242" s="18" t="s">
        <v>238</v>
      </c>
      <c r="ER242" s="324">
        <f t="shared" si="1305"/>
        <v>317497</v>
      </c>
      <c r="ES242" s="321">
        <f t="shared" si="1306"/>
        <v>317497</v>
      </c>
      <c r="ET242" s="179">
        <f t="shared" si="1266"/>
        <v>0</v>
      </c>
      <c r="EU242" s="9">
        <v>317497</v>
      </c>
      <c r="EV242" s="18" t="s">
        <v>238</v>
      </c>
      <c r="EW242" s="18" t="s">
        <v>238</v>
      </c>
      <c r="EX242" s="324">
        <f t="shared" si="1307"/>
        <v>317497</v>
      </c>
      <c r="EY242" s="321">
        <f t="shared" si="1308"/>
        <v>317497</v>
      </c>
      <c r="EZ242" s="179">
        <f t="shared" si="1267"/>
        <v>0</v>
      </c>
      <c r="FA242" s="9">
        <v>317497</v>
      </c>
      <c r="FB242" s="18" t="s">
        <v>238</v>
      </c>
      <c r="FC242" s="18" t="s">
        <v>238</v>
      </c>
      <c r="FD242" s="324">
        <f t="shared" si="1309"/>
        <v>317497</v>
      </c>
      <c r="FE242" s="321">
        <f t="shared" si="1310"/>
        <v>317497</v>
      </c>
      <c r="FF242" s="179">
        <f t="shared" si="1268"/>
        <v>0</v>
      </c>
      <c r="FG242" s="9">
        <v>317497</v>
      </c>
      <c r="FH242" s="18" t="s">
        <v>238</v>
      </c>
      <c r="FI242" s="18" t="s">
        <v>238</v>
      </c>
      <c r="FJ242" s="324">
        <f t="shared" si="1311"/>
        <v>317497</v>
      </c>
      <c r="FK242" s="321">
        <f t="shared" si="1312"/>
        <v>317497</v>
      </c>
      <c r="FL242" s="179">
        <f t="shared" si="1269"/>
        <v>0</v>
      </c>
      <c r="FM242" s="9">
        <v>317497</v>
      </c>
      <c r="FN242" s="18" t="s">
        <v>238</v>
      </c>
      <c r="FO242" s="18" t="s">
        <v>238</v>
      </c>
      <c r="FP242" s="324">
        <f t="shared" si="1313"/>
        <v>317497</v>
      </c>
      <c r="FQ242" s="321">
        <f t="shared" si="1314"/>
        <v>317497</v>
      </c>
      <c r="FR242" s="179">
        <f t="shared" si="1270"/>
        <v>0</v>
      </c>
      <c r="FS242" s="9">
        <v>317497</v>
      </c>
      <c r="FT242" s="18" t="s">
        <v>238</v>
      </c>
      <c r="FU242" s="18" t="s">
        <v>238</v>
      </c>
      <c r="FV242" s="324">
        <f t="shared" si="1315"/>
        <v>317497</v>
      </c>
      <c r="FW242" s="321">
        <f t="shared" si="1316"/>
        <v>317497</v>
      </c>
      <c r="FX242" s="179">
        <f t="shared" si="1271"/>
        <v>0</v>
      </c>
      <c r="FY242" s="9">
        <v>317497</v>
      </c>
      <c r="FZ242" s="18" t="s">
        <v>238</v>
      </c>
      <c r="GA242" s="18" t="s">
        <v>238</v>
      </c>
      <c r="GB242" s="324">
        <f t="shared" si="1317"/>
        <v>317497</v>
      </c>
      <c r="GC242" s="321">
        <f t="shared" si="1318"/>
        <v>317497</v>
      </c>
      <c r="GD242" s="179">
        <f t="shared" si="1272"/>
        <v>0</v>
      </c>
      <c r="GE242" s="9">
        <v>317497</v>
      </c>
      <c r="GF242" s="18" t="s">
        <v>238</v>
      </c>
      <c r="GG242" s="18" t="s">
        <v>238</v>
      </c>
      <c r="GH242" s="324">
        <f t="shared" si="1319"/>
        <v>317497</v>
      </c>
      <c r="GI242" s="321">
        <f t="shared" si="1320"/>
        <v>317497</v>
      </c>
      <c r="GJ242" s="179">
        <f t="shared" si="1273"/>
        <v>0</v>
      </c>
      <c r="GK242" s="9">
        <v>317497</v>
      </c>
      <c r="GL242" s="18" t="s">
        <v>238</v>
      </c>
      <c r="GM242" s="18" t="s">
        <v>238</v>
      </c>
      <c r="GN242" s="324">
        <f t="shared" si="1321"/>
        <v>317497</v>
      </c>
      <c r="GO242" s="321">
        <f t="shared" si="1322"/>
        <v>317497</v>
      </c>
      <c r="GP242" s="179">
        <f t="shared" si="1274"/>
        <v>0</v>
      </c>
      <c r="GQ242" s="9">
        <v>317497</v>
      </c>
      <c r="GR242" s="18" t="s">
        <v>238</v>
      </c>
      <c r="GS242" s="18" t="s">
        <v>238</v>
      </c>
      <c r="GT242" s="324">
        <f t="shared" si="1323"/>
        <v>317497</v>
      </c>
      <c r="GU242" s="321">
        <f t="shared" si="1324"/>
        <v>317497</v>
      </c>
      <c r="GV242" s="179">
        <f t="shared" si="1275"/>
        <v>0</v>
      </c>
      <c r="GW242" s="9">
        <v>333371</v>
      </c>
      <c r="GX242" s="18" t="s">
        <v>238</v>
      </c>
      <c r="GY242" s="18" t="s">
        <v>238</v>
      </c>
      <c r="GZ242" s="324">
        <f t="shared" si="1325"/>
        <v>333371</v>
      </c>
      <c r="HA242" s="321">
        <f t="shared" si="1326"/>
        <v>333371</v>
      </c>
      <c r="HB242" s="179">
        <f t="shared" si="1276"/>
        <v>15874</v>
      </c>
      <c r="HC242" s="102">
        <f t="shared" si="1277"/>
        <v>2.2577778880762674E-2</v>
      </c>
      <c r="HD242" s="285">
        <f t="shared" si="1327"/>
        <v>-3.4560798667371273E-11</v>
      </c>
      <c r="HE242" s="12">
        <f t="shared" si="1328"/>
        <v>15874.85</v>
      </c>
      <c r="HF242" s="12">
        <f t="shared" si="1278"/>
        <v>0.8500000000003638</v>
      </c>
      <c r="HG242" s="12">
        <f t="shared" si="1329"/>
        <v>15874</v>
      </c>
      <c r="HH242" s="14">
        <f t="shared" si="1330"/>
        <v>15874</v>
      </c>
      <c r="HI242" s="13">
        <f t="shared" si="1331"/>
        <v>333371</v>
      </c>
      <c r="HJ242" s="102">
        <f t="shared" si="1332"/>
        <v>2.3706607379782276E-2</v>
      </c>
      <c r="HK242" s="16">
        <f t="shared" si="1333"/>
        <v>317497</v>
      </c>
      <c r="HL242" s="103">
        <f t="shared" si="1334"/>
        <v>333371.85000000003</v>
      </c>
      <c r="HM242" s="103">
        <f t="shared" si="1335"/>
        <v>15874.850000000035</v>
      </c>
      <c r="HN242" s="17">
        <f t="shared" si="1336"/>
        <v>0.8500000000003638</v>
      </c>
      <c r="HO242" s="56">
        <f t="shared" si="1337"/>
        <v>15874.000000000035</v>
      </c>
      <c r="HP242" s="16">
        <f t="shared" si="1338"/>
        <v>3.4560798667371273E-11</v>
      </c>
      <c r="HQ242" s="16">
        <f t="shared" si="1339"/>
        <v>333371.00000000006</v>
      </c>
      <c r="HR242" s="16">
        <f t="shared" si="1340"/>
        <v>0</v>
      </c>
    </row>
    <row r="243" spans="1:226" x14ac:dyDescent="0.3">
      <c r="A243" s="140"/>
      <c r="B243" s="140"/>
      <c r="C243" s="140"/>
      <c r="D243" s="141" t="s">
        <v>216</v>
      </c>
      <c r="E243" s="139"/>
      <c r="F243" s="122">
        <f t="shared" ref="F243:BQ243" si="1341">SUM(F215:F242)</f>
        <v>0</v>
      </c>
      <c r="G243" s="122">
        <f t="shared" si="1341"/>
        <v>0</v>
      </c>
      <c r="H243" s="122">
        <f t="shared" si="1341"/>
        <v>0</v>
      </c>
      <c r="I243" s="122">
        <f t="shared" si="1341"/>
        <v>89664719</v>
      </c>
      <c r="J243" s="122">
        <f t="shared" si="1341"/>
        <v>0</v>
      </c>
      <c r="K243" s="122">
        <f t="shared" si="1341"/>
        <v>0</v>
      </c>
      <c r="L243" s="122">
        <f t="shared" si="1341"/>
        <v>89388247</v>
      </c>
      <c r="M243" s="122">
        <f t="shared" si="1341"/>
        <v>88958247</v>
      </c>
      <c r="N243" s="122">
        <f t="shared" si="1341"/>
        <v>88558247</v>
      </c>
      <c r="O243" s="122">
        <f t="shared" si="1341"/>
        <v>88558247</v>
      </c>
      <c r="P243" s="122">
        <f t="shared" si="1341"/>
        <v>88558247</v>
      </c>
      <c r="Q243" s="122">
        <f t="shared" si="1341"/>
        <v>88558247</v>
      </c>
      <c r="R243" s="122">
        <f t="shared" si="1341"/>
        <v>88558247</v>
      </c>
      <c r="S243" s="122">
        <f t="shared" si="1341"/>
        <v>88558247</v>
      </c>
      <c r="T243" s="122">
        <f t="shared" si="1341"/>
        <v>87998247</v>
      </c>
      <c r="U243" s="122">
        <f t="shared" si="1341"/>
        <v>4399912.3499999996</v>
      </c>
      <c r="V243" s="122">
        <f t="shared" si="1341"/>
        <v>92398159.349999994</v>
      </c>
      <c r="W243" s="122">
        <f t="shared" si="1341"/>
        <v>92426147</v>
      </c>
      <c r="X243" s="122">
        <f t="shared" si="1341"/>
        <v>92426147</v>
      </c>
      <c r="Y243" s="122">
        <f t="shared" si="1341"/>
        <v>92426147</v>
      </c>
      <c r="Z243" s="122">
        <f t="shared" si="1341"/>
        <v>92426147</v>
      </c>
      <c r="AA243" s="122">
        <f t="shared" si="1341"/>
        <v>91462147</v>
      </c>
      <c r="AB243" s="122">
        <f t="shared" si="1341"/>
        <v>91462787</v>
      </c>
      <c r="AC243" s="122">
        <f t="shared" si="1341"/>
        <v>0</v>
      </c>
      <c r="AD243" s="122">
        <f t="shared" si="1341"/>
        <v>0</v>
      </c>
      <c r="AE243" s="122">
        <f t="shared" si="1341"/>
        <v>91462787</v>
      </c>
      <c r="AF243" s="122">
        <f t="shared" si="1341"/>
        <v>91462147</v>
      </c>
      <c r="AG243" s="122">
        <f t="shared" si="1341"/>
        <v>0</v>
      </c>
      <c r="AH243" s="122">
        <f t="shared" si="1341"/>
        <v>0</v>
      </c>
      <c r="AI243" s="122">
        <f t="shared" si="1341"/>
        <v>91462147</v>
      </c>
      <c r="AJ243" s="122">
        <f t="shared" si="1341"/>
        <v>91462147</v>
      </c>
      <c r="AK243" s="122">
        <f t="shared" si="1341"/>
        <v>0</v>
      </c>
      <c r="AL243" s="122">
        <f t="shared" si="1341"/>
        <v>0</v>
      </c>
      <c r="AM243" s="122">
        <f t="shared" si="1341"/>
        <v>91462147</v>
      </c>
      <c r="AN243" s="122">
        <f t="shared" si="1341"/>
        <v>90672233</v>
      </c>
      <c r="AO243" s="122">
        <f t="shared" si="1341"/>
        <v>0</v>
      </c>
      <c r="AP243" s="122">
        <f t="shared" si="1341"/>
        <v>0</v>
      </c>
      <c r="AQ243" s="122">
        <f t="shared" si="1341"/>
        <v>90672233</v>
      </c>
      <c r="AR243" s="122">
        <f t="shared" si="1341"/>
        <v>90577487</v>
      </c>
      <c r="AS243" s="117">
        <f t="shared" si="1341"/>
        <v>0</v>
      </c>
      <c r="AT243" s="117">
        <f t="shared" si="1341"/>
        <v>0</v>
      </c>
      <c r="AU243" s="117">
        <f t="shared" si="1341"/>
        <v>90577487</v>
      </c>
      <c r="AV243" s="117">
        <f t="shared" si="1341"/>
        <v>90577487</v>
      </c>
      <c r="AW243" s="117">
        <f t="shared" si="1341"/>
        <v>0</v>
      </c>
      <c r="AX243" s="117">
        <f t="shared" si="1341"/>
        <v>0</v>
      </c>
      <c r="AY243" s="117">
        <f t="shared" si="1341"/>
        <v>104428497.75</v>
      </c>
      <c r="AZ243" s="117">
        <f t="shared" si="1341"/>
        <v>4528874.3499999996</v>
      </c>
      <c r="BA243" s="117">
        <f t="shared" si="1341"/>
        <v>12.35</v>
      </c>
      <c r="BB243" s="117">
        <f t="shared" si="1341"/>
        <v>4528862</v>
      </c>
      <c r="BC243" s="117">
        <f t="shared" si="1341"/>
        <v>95106349</v>
      </c>
      <c r="BD243" s="117">
        <f t="shared" si="1341"/>
        <v>-6034126</v>
      </c>
      <c r="BE243" s="117">
        <f t="shared" si="1341"/>
        <v>89072223</v>
      </c>
      <c r="BF243" s="117">
        <f t="shared" si="1341"/>
        <v>-1505264</v>
      </c>
      <c r="BG243" s="117">
        <f t="shared" si="1341"/>
        <v>-6034126</v>
      </c>
      <c r="BH243" s="117">
        <f t="shared" si="1341"/>
        <v>95086349</v>
      </c>
      <c r="BI243" s="117">
        <f t="shared" si="1341"/>
        <v>0</v>
      </c>
      <c r="BJ243" s="117">
        <f t="shared" si="1341"/>
        <v>0</v>
      </c>
      <c r="BK243" s="117">
        <f t="shared" si="1341"/>
        <v>95086349</v>
      </c>
      <c r="BL243" s="117">
        <f t="shared" si="1341"/>
        <v>95086349</v>
      </c>
      <c r="BM243" s="117">
        <f t="shared" si="1341"/>
        <v>0</v>
      </c>
      <c r="BN243" s="117">
        <f t="shared" si="1341"/>
        <v>0</v>
      </c>
      <c r="BO243" s="117">
        <f t="shared" si="1341"/>
        <v>95086349</v>
      </c>
      <c r="BP243" s="117">
        <f t="shared" si="1341"/>
        <v>0</v>
      </c>
      <c r="BQ243" s="117">
        <f t="shared" si="1341"/>
        <v>95086349</v>
      </c>
      <c r="BR243" s="117">
        <f t="shared" ref="BR243:CT243" si="1342">SUM(BR215:BR242)</f>
        <v>0</v>
      </c>
      <c r="BS243" s="117">
        <f t="shared" si="1342"/>
        <v>0</v>
      </c>
      <c r="BT243" s="117">
        <f t="shared" si="1342"/>
        <v>95086349</v>
      </c>
      <c r="BU243" s="117">
        <f t="shared" si="1342"/>
        <v>0</v>
      </c>
      <c r="BV243" s="117">
        <f t="shared" si="1342"/>
        <v>95236349</v>
      </c>
      <c r="BW243" s="117">
        <f t="shared" si="1342"/>
        <v>0</v>
      </c>
      <c r="BX243" s="117">
        <f t="shared" si="1342"/>
        <v>0</v>
      </c>
      <c r="BY243" s="117">
        <f t="shared" si="1342"/>
        <v>95236349</v>
      </c>
      <c r="BZ243" s="117">
        <f t="shared" si="1342"/>
        <v>150000</v>
      </c>
      <c r="CA243" s="117">
        <f t="shared" si="1342"/>
        <v>95512349</v>
      </c>
      <c r="CB243" s="117">
        <f t="shared" si="1342"/>
        <v>0</v>
      </c>
      <c r="CC243" s="117">
        <f t="shared" si="1342"/>
        <v>0</v>
      </c>
      <c r="CD243" s="117">
        <f t="shared" si="1342"/>
        <v>95512349</v>
      </c>
      <c r="CE243" s="117">
        <f t="shared" si="1342"/>
        <v>276000</v>
      </c>
      <c r="CF243" s="117">
        <f t="shared" si="1342"/>
        <v>95512349</v>
      </c>
      <c r="CG243" s="117">
        <f t="shared" si="1342"/>
        <v>0</v>
      </c>
      <c r="CH243" s="117">
        <f t="shared" si="1342"/>
        <v>0</v>
      </c>
      <c r="CI243" s="117">
        <f t="shared" si="1342"/>
        <v>95512349</v>
      </c>
      <c r="CJ243" s="117">
        <f t="shared" si="1342"/>
        <v>0</v>
      </c>
      <c r="CK243" s="117">
        <f t="shared" si="1342"/>
        <v>95512349</v>
      </c>
      <c r="CL243" s="117">
        <f t="shared" si="1342"/>
        <v>0</v>
      </c>
      <c r="CM243" s="117">
        <f t="shared" si="1342"/>
        <v>0</v>
      </c>
      <c r="CN243" s="117">
        <f t="shared" si="1342"/>
        <v>95512349</v>
      </c>
      <c r="CO243" s="117">
        <f t="shared" si="1342"/>
        <v>0</v>
      </c>
      <c r="CP243" s="117">
        <f t="shared" si="1342"/>
        <v>95512349</v>
      </c>
      <c r="CQ243" s="117">
        <f t="shared" si="1342"/>
        <v>0</v>
      </c>
      <c r="CR243" s="117">
        <f t="shared" si="1342"/>
        <v>0</v>
      </c>
      <c r="CS243" s="117">
        <f t="shared" si="1342"/>
        <v>95512349</v>
      </c>
      <c r="CT243" s="117">
        <f t="shared" si="1342"/>
        <v>0</v>
      </c>
      <c r="CU243" s="117">
        <f>SUM(CU215:CU242)</f>
        <v>95494249</v>
      </c>
      <c r="CV243" s="117">
        <f>SUM(CV215:CV242)</f>
        <v>0</v>
      </c>
      <c r="CW243" s="117">
        <f>SUM(CW215:CW242)</f>
        <v>0</v>
      </c>
      <c r="CX243" s="117">
        <f>SUM(CX215:CX242)</f>
        <v>95494249</v>
      </c>
      <c r="CY243" s="117">
        <f>SUM(CY215:CY242)</f>
        <v>-18100</v>
      </c>
      <c r="CZ243" s="117"/>
      <c r="DA243" s="117"/>
      <c r="DB243" s="117"/>
      <c r="DC243" s="117"/>
      <c r="DD243" s="117"/>
      <c r="DE243" s="117"/>
      <c r="DF243" s="117"/>
      <c r="DG243" s="117"/>
      <c r="DH243" s="121">
        <f>SUM(DH215:DH242)</f>
        <v>7.4698433123372538</v>
      </c>
      <c r="DI243" s="121">
        <f t="shared" ref="DI243:HC243" si="1343">SUM(DI215:DI242)</f>
        <v>95494249</v>
      </c>
      <c r="DJ243" s="121">
        <f t="shared" si="1343"/>
        <v>105043673.90000001</v>
      </c>
      <c r="DK243" s="121">
        <f t="shared" si="1343"/>
        <v>9549424.9000000078</v>
      </c>
      <c r="DL243" s="121">
        <f t="shared" si="1343"/>
        <v>16.900000000000002</v>
      </c>
      <c r="DM243" s="121">
        <f t="shared" si="1343"/>
        <v>9549408.0000000093</v>
      </c>
      <c r="DN243" s="121">
        <f t="shared" si="1343"/>
        <v>4.2491699048241571E-9</v>
      </c>
      <c r="DO243" s="121">
        <f t="shared" si="1343"/>
        <v>105043657</v>
      </c>
      <c r="DP243" s="121">
        <f t="shared" si="1343"/>
        <v>0</v>
      </c>
      <c r="DQ243" s="121">
        <f t="shared" si="1343"/>
        <v>105045467</v>
      </c>
      <c r="DR243" s="121">
        <f t="shared" si="1343"/>
        <v>0</v>
      </c>
      <c r="DS243" s="121">
        <f t="shared" si="1343"/>
        <v>0</v>
      </c>
      <c r="DT243" s="121">
        <f t="shared" si="1343"/>
        <v>105045467</v>
      </c>
      <c r="DU243" s="121">
        <f t="shared" si="1343"/>
        <v>105045467</v>
      </c>
      <c r="DV243" s="121">
        <f t="shared" si="1343"/>
        <v>1810</v>
      </c>
      <c r="DW243" s="121">
        <f t="shared" si="1343"/>
        <v>102745467</v>
      </c>
      <c r="DX243" s="121">
        <f t="shared" si="1343"/>
        <v>0</v>
      </c>
      <c r="DY243" s="121">
        <f t="shared" si="1343"/>
        <v>0</v>
      </c>
      <c r="DZ243" s="121">
        <f t="shared" si="1343"/>
        <v>102745467</v>
      </c>
      <c r="EA243" s="121">
        <f t="shared" si="1343"/>
        <v>102745467</v>
      </c>
      <c r="EB243" s="121">
        <f t="shared" si="1343"/>
        <v>-2300000</v>
      </c>
      <c r="EC243" s="121">
        <f t="shared" si="1343"/>
        <v>102045467</v>
      </c>
      <c r="ED243" s="121">
        <f t="shared" si="1343"/>
        <v>0</v>
      </c>
      <c r="EE243" s="121">
        <f t="shared" si="1343"/>
        <v>0</v>
      </c>
      <c r="EF243" s="121">
        <f t="shared" si="1343"/>
        <v>102045467</v>
      </c>
      <c r="EG243" s="121">
        <f t="shared" si="1343"/>
        <v>102045467</v>
      </c>
      <c r="EH243" s="121">
        <f t="shared" si="1343"/>
        <v>-700000</v>
      </c>
      <c r="EI243" s="121">
        <f t="shared" si="1343"/>
        <v>102045467</v>
      </c>
      <c r="EJ243" s="121">
        <f t="shared" si="1343"/>
        <v>0</v>
      </c>
      <c r="EK243" s="121">
        <f t="shared" si="1343"/>
        <v>0</v>
      </c>
      <c r="EL243" s="121">
        <f t="shared" si="1343"/>
        <v>102045467</v>
      </c>
      <c r="EM243" s="121">
        <f t="shared" si="1343"/>
        <v>102045467</v>
      </c>
      <c r="EN243" s="121">
        <f t="shared" si="1343"/>
        <v>0</v>
      </c>
      <c r="EO243" s="121">
        <f t="shared" si="1343"/>
        <v>101745467</v>
      </c>
      <c r="EP243" s="121">
        <f t="shared" si="1343"/>
        <v>0</v>
      </c>
      <c r="EQ243" s="121">
        <f t="shared" si="1343"/>
        <v>0</v>
      </c>
      <c r="ER243" s="121">
        <f t="shared" si="1343"/>
        <v>101745467</v>
      </c>
      <c r="ES243" s="117">
        <f t="shared" si="1343"/>
        <v>101745467</v>
      </c>
      <c r="ET243" s="121">
        <f t="shared" si="1343"/>
        <v>-300000</v>
      </c>
      <c r="EU243" s="121">
        <f t="shared" si="1343"/>
        <v>101745467</v>
      </c>
      <c r="EV243" s="121">
        <f t="shared" si="1343"/>
        <v>0</v>
      </c>
      <c r="EW243" s="121">
        <f t="shared" si="1343"/>
        <v>0</v>
      </c>
      <c r="EX243" s="121">
        <f t="shared" si="1343"/>
        <v>101745467</v>
      </c>
      <c r="EY243" s="117">
        <f t="shared" si="1343"/>
        <v>101745467</v>
      </c>
      <c r="EZ243" s="121">
        <f t="shared" si="1343"/>
        <v>0</v>
      </c>
      <c r="FA243" s="121">
        <f t="shared" si="1343"/>
        <v>94054715</v>
      </c>
      <c r="FB243" s="121">
        <f t="shared" si="1343"/>
        <v>0</v>
      </c>
      <c r="FC243" s="121">
        <f t="shared" si="1343"/>
        <v>0</v>
      </c>
      <c r="FD243" s="121">
        <f t="shared" si="1343"/>
        <v>94054715</v>
      </c>
      <c r="FE243" s="117">
        <f t="shared" si="1343"/>
        <v>94054715</v>
      </c>
      <c r="FF243" s="121">
        <f t="shared" si="1343"/>
        <v>-7690752</v>
      </c>
      <c r="FG243" s="121">
        <f t="shared" si="1343"/>
        <v>94054715</v>
      </c>
      <c r="FH243" s="121">
        <f t="shared" si="1343"/>
        <v>0</v>
      </c>
      <c r="FI243" s="121">
        <f t="shared" si="1343"/>
        <v>0</v>
      </c>
      <c r="FJ243" s="121">
        <f t="shared" si="1343"/>
        <v>94054715</v>
      </c>
      <c r="FK243" s="117">
        <f t="shared" si="1343"/>
        <v>94054715</v>
      </c>
      <c r="FL243" s="121">
        <f>SUM(FL235:FL242)</f>
        <v>0</v>
      </c>
      <c r="FM243" s="121">
        <f>SUM(FM215:FM242)</f>
        <v>94054715</v>
      </c>
      <c r="FN243" s="121">
        <f>SUM(FN215:FN242)</f>
        <v>0</v>
      </c>
      <c r="FO243" s="121">
        <f>SUM(FO215:FO242)</f>
        <v>0</v>
      </c>
      <c r="FP243" s="121">
        <f>SUM(FP215:FP242)</f>
        <v>94054715</v>
      </c>
      <c r="FQ243" s="117">
        <f>SUM(FQ215:FQ242)</f>
        <v>94054715</v>
      </c>
      <c r="FR243" s="121">
        <f>SUM(FR235:FR242)</f>
        <v>0</v>
      </c>
      <c r="FS243" s="121">
        <f>SUM(FS215:FS242)</f>
        <v>94054715</v>
      </c>
      <c r="FT243" s="121">
        <f>SUM(FT215:FT242)</f>
        <v>0</v>
      </c>
      <c r="FU243" s="121">
        <f>SUM(FU215:FU242)</f>
        <v>0</v>
      </c>
      <c r="FV243" s="121">
        <f>SUM(FV215:FV242)</f>
        <v>94054715</v>
      </c>
      <c r="FW243" s="117">
        <f>SUM(FW215:FW242)</f>
        <v>94054715</v>
      </c>
      <c r="FX243" s="121">
        <f>SUM(FX235:FX242)</f>
        <v>0</v>
      </c>
      <c r="FY243" s="121">
        <f>SUM(FY215:FY242)</f>
        <v>94054715</v>
      </c>
      <c r="FZ243" s="121">
        <f>SUM(FZ215:FZ242)</f>
        <v>0</v>
      </c>
      <c r="GA243" s="121">
        <f>SUM(GA215:GA242)</f>
        <v>0</v>
      </c>
      <c r="GB243" s="121">
        <f>SUM(GB215:GB242)</f>
        <v>94054715</v>
      </c>
      <c r="GC243" s="117">
        <f>SUM(GC215:GC242)</f>
        <v>94054715</v>
      </c>
      <c r="GD243" s="121">
        <f>SUM(GD235:GD242)</f>
        <v>0</v>
      </c>
      <c r="GE243" s="121">
        <f>SUM(GE215:GE242)</f>
        <v>94054715</v>
      </c>
      <c r="GF243" s="121">
        <f>SUM(GF215:GF242)</f>
        <v>0</v>
      </c>
      <c r="GG243" s="121">
        <f>SUM(GG215:GG242)</f>
        <v>0</v>
      </c>
      <c r="GH243" s="121">
        <f>SUM(GH215:GH242)</f>
        <v>94054715</v>
      </c>
      <c r="GI243" s="117">
        <f>SUM(GI215:GI242)</f>
        <v>94054715</v>
      </c>
      <c r="GJ243" s="121">
        <f>SUM(GJ235:GJ242)</f>
        <v>0</v>
      </c>
      <c r="GK243" s="121">
        <f>SUM(GK215:GK242)</f>
        <v>94054715</v>
      </c>
      <c r="GL243" s="121">
        <f>SUM(GL215:GL242)</f>
        <v>0</v>
      </c>
      <c r="GM243" s="121">
        <f>SUM(GM215:GM242)</f>
        <v>0</v>
      </c>
      <c r="GN243" s="121">
        <f>SUM(GN215:GN242)</f>
        <v>94054715</v>
      </c>
      <c r="GO243" s="117">
        <f>SUM(GO215:GO242)</f>
        <v>94054715</v>
      </c>
      <c r="GP243" s="121">
        <f>SUM(GP235:GP242)</f>
        <v>0</v>
      </c>
      <c r="GQ243" s="121">
        <f>SUM(GQ215:GQ242)</f>
        <v>94054715</v>
      </c>
      <c r="GR243" s="121">
        <f>SUM(GR215:GR242)</f>
        <v>0</v>
      </c>
      <c r="GS243" s="121">
        <f>SUM(GS215:GS242)</f>
        <v>0</v>
      </c>
      <c r="GT243" s="121">
        <f>SUM(GT215:GT242)</f>
        <v>94054715</v>
      </c>
      <c r="GU243" s="117">
        <f>SUM(GU215:GU242)</f>
        <v>94054715</v>
      </c>
      <c r="GV243" s="121">
        <f>SUM(GV235:GV242)</f>
        <v>0</v>
      </c>
      <c r="GW243" s="121">
        <f>SUM(GW215:GW242)</f>
        <v>98757439</v>
      </c>
      <c r="GX243" s="121">
        <f>SUM(GX215:GX242)</f>
        <v>0</v>
      </c>
      <c r="GY243" s="121">
        <f>SUM(GY215:GY242)</f>
        <v>0</v>
      </c>
      <c r="GZ243" s="121">
        <f>SUM(GZ215:GZ242)</f>
        <v>98757439</v>
      </c>
      <c r="HA243" s="117">
        <f>SUM(HA215:HA242)</f>
        <v>98757439</v>
      </c>
      <c r="HB243" s="121">
        <f>SUM(HB235:HB242)</f>
        <v>3915476</v>
      </c>
      <c r="HC243" s="121">
        <f t="shared" si="1343"/>
        <v>6.6883988131010748</v>
      </c>
    </row>
    <row r="244" spans="1:226" x14ac:dyDescent="0.3">
      <c r="A244" s="98"/>
      <c r="B244" s="98"/>
      <c r="C244" s="98"/>
      <c r="D244" s="99"/>
      <c r="E244" s="108"/>
      <c r="F244" s="108"/>
      <c r="G244" s="108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127">
        <f>AY243*10*5%</f>
        <v>52214248.875</v>
      </c>
      <c r="AZ244" s="20"/>
      <c r="BA244" s="20"/>
      <c r="BB244" s="20"/>
      <c r="BC244" s="20"/>
      <c r="BD244" s="20"/>
      <c r="BE244" s="20"/>
      <c r="BF244" s="100"/>
      <c r="BG244" s="100"/>
      <c r="BH244" s="100"/>
      <c r="BI244" s="100"/>
      <c r="BJ244" s="100"/>
      <c r="BK244" s="100"/>
      <c r="BL244" s="100"/>
      <c r="BM244" s="100"/>
      <c r="BN244" s="100"/>
      <c r="BO244" s="100"/>
      <c r="BP244" s="100"/>
      <c r="BQ244" s="100"/>
      <c r="BR244" s="100"/>
      <c r="BS244" s="100"/>
      <c r="BT244" s="100"/>
      <c r="BU244" s="100"/>
      <c r="BV244" s="100"/>
      <c r="BW244" s="100"/>
      <c r="BX244" s="100"/>
      <c r="BY244" s="100"/>
      <c r="BZ244" s="100"/>
      <c r="CA244" s="100"/>
      <c r="CB244" s="100"/>
      <c r="CC244" s="100"/>
      <c r="CD244" s="100"/>
      <c r="CE244" s="100"/>
      <c r="CF244" s="100"/>
      <c r="CG244" s="100"/>
      <c r="CH244" s="100"/>
      <c r="CI244" s="100"/>
      <c r="CJ244" s="100"/>
      <c r="CK244" s="100"/>
      <c r="CL244" s="100"/>
      <c r="CM244" s="100"/>
      <c r="CN244" s="100"/>
      <c r="CO244" s="100"/>
      <c r="CP244" s="100"/>
      <c r="CQ244" s="100"/>
      <c r="CR244" s="100"/>
      <c r="CS244" s="100"/>
      <c r="CT244" s="100"/>
      <c r="CU244" s="100"/>
      <c r="CV244" s="100"/>
      <c r="CW244" s="100"/>
      <c r="CX244" s="100"/>
      <c r="CY244" s="100"/>
      <c r="CZ244" s="100"/>
      <c r="DA244" s="100"/>
      <c r="DB244" s="100"/>
      <c r="DC244" s="100"/>
      <c r="DD244" s="100"/>
      <c r="DE244" s="100"/>
      <c r="DF244" s="100"/>
      <c r="DG244" s="100"/>
      <c r="DH244" s="114"/>
    </row>
    <row r="245" spans="1:226" x14ac:dyDescent="0.3">
      <c r="A245" s="98"/>
      <c r="B245" s="98"/>
      <c r="C245" s="98"/>
      <c r="D245" s="99"/>
      <c r="E245" s="108"/>
      <c r="F245" s="108"/>
      <c r="G245" s="108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  <c r="AH245" s="20"/>
      <c r="AI245" s="20"/>
      <c r="AJ245" s="2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  <c r="BB245" s="20"/>
      <c r="BC245" s="20"/>
      <c r="BD245" s="20"/>
      <c r="BE245" s="20"/>
      <c r="BF245" s="100"/>
      <c r="BG245" s="100"/>
      <c r="BH245" s="100"/>
      <c r="BI245" s="100"/>
      <c r="BJ245" s="100"/>
      <c r="BK245" s="100"/>
      <c r="BL245" s="100"/>
      <c r="BM245" s="100"/>
      <c r="BN245" s="100"/>
      <c r="BO245" s="100"/>
      <c r="BP245" s="100"/>
      <c r="BQ245" s="100"/>
      <c r="BR245" s="100"/>
      <c r="BS245" s="100"/>
      <c r="BT245" s="100"/>
      <c r="BU245" s="100"/>
      <c r="BV245" s="100"/>
      <c r="BW245" s="100"/>
      <c r="BX245" s="100"/>
      <c r="BY245" s="100"/>
      <c r="BZ245" s="100"/>
      <c r="CA245" s="100"/>
      <c r="CB245" s="100"/>
      <c r="CC245" s="100"/>
      <c r="CD245" s="100"/>
      <c r="CE245" s="100"/>
      <c r="CF245" s="100"/>
      <c r="CG245" s="100"/>
      <c r="CH245" s="100"/>
      <c r="CI245" s="100"/>
      <c r="CJ245" s="100"/>
      <c r="CK245" s="100"/>
      <c r="CL245" s="100"/>
      <c r="CM245" s="100"/>
      <c r="CN245" s="100"/>
      <c r="CO245" s="100"/>
      <c r="CP245" s="100"/>
      <c r="CQ245" s="100"/>
      <c r="CR245" s="100"/>
      <c r="CS245" s="100"/>
      <c r="CT245" s="100"/>
      <c r="CU245" s="100"/>
      <c r="CV245" s="100"/>
      <c r="CW245" s="100"/>
      <c r="CX245" s="100"/>
      <c r="CY245" s="100"/>
      <c r="CZ245" s="100"/>
      <c r="DA245" s="100"/>
      <c r="DB245" s="100"/>
      <c r="DC245" s="100"/>
      <c r="DD245" s="100"/>
      <c r="DE245" s="100"/>
      <c r="DF245" s="100"/>
      <c r="DG245" s="100"/>
      <c r="DH245" s="114"/>
    </row>
    <row r="246" spans="1:226" s="74" customFormat="1" ht="52.5" customHeight="1" x14ac:dyDescent="0.3">
      <c r="A246" s="85" t="s">
        <v>0</v>
      </c>
      <c r="B246" s="85" t="s">
        <v>1</v>
      </c>
      <c r="C246" s="85" t="s">
        <v>217</v>
      </c>
      <c r="D246" s="86" t="s">
        <v>218</v>
      </c>
      <c r="E246" s="87" t="s">
        <v>233</v>
      </c>
      <c r="F246" s="87" t="s">
        <v>234</v>
      </c>
      <c r="G246" s="87" t="s">
        <v>235</v>
      </c>
      <c r="H246" s="87" t="s">
        <v>383</v>
      </c>
      <c r="I246" s="87" t="s">
        <v>382</v>
      </c>
      <c r="J246" s="87" t="s">
        <v>381</v>
      </c>
      <c r="K246" s="87" t="s">
        <v>380</v>
      </c>
      <c r="L246" s="87" t="s">
        <v>379</v>
      </c>
      <c r="M246" s="87" t="s">
        <v>378</v>
      </c>
      <c r="N246" s="87" t="s">
        <v>377</v>
      </c>
      <c r="O246" s="87" t="s">
        <v>394</v>
      </c>
      <c r="P246" s="87" t="s">
        <v>413</v>
      </c>
      <c r="Q246" s="87" t="s">
        <v>415</v>
      </c>
      <c r="R246" s="87" t="s">
        <v>417</v>
      </c>
      <c r="S246" s="87" t="s">
        <v>420</v>
      </c>
      <c r="T246" s="87" t="s">
        <v>421</v>
      </c>
      <c r="U246" s="87" t="s">
        <v>425</v>
      </c>
      <c r="V246" s="87" t="s">
        <v>426</v>
      </c>
      <c r="W246" s="87" t="s">
        <v>424</v>
      </c>
      <c r="X246" s="87" t="s">
        <v>437</v>
      </c>
      <c r="Y246" s="87" t="s">
        <v>439</v>
      </c>
      <c r="Z246" s="87" t="s">
        <v>447</v>
      </c>
      <c r="AA246" s="87" t="s">
        <v>458</v>
      </c>
      <c r="AB246" s="590" t="s">
        <v>459</v>
      </c>
      <c r="AC246" s="591"/>
      <c r="AD246" s="591"/>
      <c r="AE246" s="592"/>
      <c r="AF246" s="596" t="s">
        <v>462</v>
      </c>
      <c r="AG246" s="597"/>
      <c r="AH246" s="597"/>
      <c r="AI246" s="598"/>
      <c r="AJ246" s="590" t="s">
        <v>466</v>
      </c>
      <c r="AK246" s="591"/>
      <c r="AL246" s="591"/>
      <c r="AM246" s="592"/>
      <c r="AN246" s="596" t="s">
        <v>470</v>
      </c>
      <c r="AO246" s="597"/>
      <c r="AP246" s="597"/>
      <c r="AQ246" s="598"/>
      <c r="AR246" s="590" t="s">
        <v>478</v>
      </c>
      <c r="AS246" s="591"/>
      <c r="AT246" s="591"/>
      <c r="AU246" s="592"/>
      <c r="AV246" s="596" t="s">
        <v>483</v>
      </c>
      <c r="AW246" s="597"/>
      <c r="AX246" s="597"/>
      <c r="AY246" s="598"/>
      <c r="AZ246" s="436" t="s">
        <v>503</v>
      </c>
      <c r="BA246" s="436" t="s">
        <v>488</v>
      </c>
      <c r="BB246" s="436" t="s">
        <v>489</v>
      </c>
      <c r="BC246" s="436" t="s">
        <v>423</v>
      </c>
      <c r="BD246" s="436" t="s">
        <v>507</v>
      </c>
      <c r="BE246" s="436" t="s">
        <v>531</v>
      </c>
      <c r="BF246" s="437" t="s">
        <v>508</v>
      </c>
      <c r="BG246" s="437" t="s">
        <v>509</v>
      </c>
      <c r="BH246" s="590" t="s">
        <v>532</v>
      </c>
      <c r="BI246" s="591"/>
      <c r="BJ246" s="591"/>
      <c r="BK246" s="592"/>
      <c r="BL246" s="596" t="s">
        <v>539</v>
      </c>
      <c r="BM246" s="597"/>
      <c r="BN246" s="597"/>
      <c r="BO246" s="598"/>
      <c r="BP246" s="438" t="s">
        <v>538</v>
      </c>
      <c r="BQ246" s="590" t="s">
        <v>542</v>
      </c>
      <c r="BR246" s="591"/>
      <c r="BS246" s="591"/>
      <c r="BT246" s="592"/>
      <c r="BU246" s="438" t="s">
        <v>541</v>
      </c>
      <c r="BV246" s="590" t="s">
        <v>552</v>
      </c>
      <c r="BW246" s="591"/>
      <c r="BX246" s="591"/>
      <c r="BY246" s="592"/>
      <c r="BZ246" s="438" t="s">
        <v>553</v>
      </c>
      <c r="CA246" s="590" t="s">
        <v>578</v>
      </c>
      <c r="CB246" s="591"/>
      <c r="CC246" s="591"/>
      <c r="CD246" s="592"/>
      <c r="CE246" s="438" t="s">
        <v>579</v>
      </c>
      <c r="CF246" s="590" t="s">
        <v>581</v>
      </c>
      <c r="CG246" s="591"/>
      <c r="CH246" s="591"/>
      <c r="CI246" s="592"/>
      <c r="CJ246" s="438" t="s">
        <v>580</v>
      </c>
      <c r="CK246" s="590" t="s">
        <v>585</v>
      </c>
      <c r="CL246" s="591"/>
      <c r="CM246" s="591"/>
      <c r="CN246" s="592"/>
      <c r="CO246" s="438" t="s">
        <v>586</v>
      </c>
      <c r="CP246" s="590" t="s">
        <v>587</v>
      </c>
      <c r="CQ246" s="591"/>
      <c r="CR246" s="591"/>
      <c r="CS246" s="592"/>
      <c r="CT246" s="438" t="s">
        <v>588</v>
      </c>
      <c r="CU246" s="590" t="s">
        <v>590</v>
      </c>
      <c r="CV246" s="591"/>
      <c r="CW246" s="591"/>
      <c r="CX246" s="592"/>
      <c r="CY246" s="438" t="s">
        <v>592</v>
      </c>
      <c r="CZ246" s="294"/>
      <c r="DA246" s="294"/>
      <c r="DB246" s="294"/>
      <c r="DC246" s="95" t="s">
        <v>602</v>
      </c>
      <c r="DD246" s="95" t="s">
        <v>488</v>
      </c>
      <c r="DE246" s="95" t="s">
        <v>489</v>
      </c>
      <c r="DF246" s="95" t="s">
        <v>603</v>
      </c>
      <c r="DG246" s="95" t="s">
        <v>423</v>
      </c>
      <c r="DH246" s="85" t="s">
        <v>2</v>
      </c>
      <c r="DI246" s="593" t="s">
        <v>613</v>
      </c>
      <c r="DJ246" s="594"/>
      <c r="DK246" s="594"/>
      <c r="DL246" s="594"/>
      <c r="DM246" s="594"/>
      <c r="DN246" s="594"/>
      <c r="DO246" s="594"/>
      <c r="DP246" s="595"/>
      <c r="DQ246" s="584" t="s">
        <v>614</v>
      </c>
      <c r="DR246" s="585"/>
      <c r="DS246" s="585"/>
      <c r="DT246" s="585"/>
      <c r="DU246" s="586"/>
      <c r="DV246" s="87" t="s">
        <v>615</v>
      </c>
      <c r="DW246" s="584" t="s">
        <v>623</v>
      </c>
      <c r="DX246" s="585"/>
      <c r="DY246" s="585"/>
      <c r="DZ246" s="585"/>
      <c r="EA246" s="586"/>
      <c r="EB246" s="87" t="s">
        <v>624</v>
      </c>
      <c r="EC246" s="584" t="s">
        <v>627</v>
      </c>
      <c r="ED246" s="585"/>
      <c r="EE246" s="585"/>
      <c r="EF246" s="585"/>
      <c r="EG246" s="586"/>
      <c r="EH246" s="87" t="s">
        <v>628</v>
      </c>
      <c r="EI246" s="584" t="s">
        <v>631</v>
      </c>
      <c r="EJ246" s="585"/>
      <c r="EK246" s="585"/>
      <c r="EL246" s="585"/>
      <c r="EM246" s="586"/>
      <c r="EN246" s="87" t="s">
        <v>632</v>
      </c>
      <c r="EO246" s="584" t="s">
        <v>638</v>
      </c>
      <c r="EP246" s="585"/>
      <c r="EQ246" s="585"/>
      <c r="ER246" s="585"/>
      <c r="ES246" s="586"/>
      <c r="ET246" s="87" t="s">
        <v>637</v>
      </c>
      <c r="EU246" s="584" t="s">
        <v>641</v>
      </c>
      <c r="EV246" s="585"/>
      <c r="EW246" s="585"/>
      <c r="EX246" s="585"/>
      <c r="EY246" s="586"/>
      <c r="EZ246" s="87" t="s">
        <v>642</v>
      </c>
      <c r="FA246" s="584" t="s">
        <v>645</v>
      </c>
      <c r="FB246" s="585"/>
      <c r="FC246" s="585"/>
      <c r="FD246" s="585"/>
      <c r="FE246" s="586"/>
      <c r="FF246" s="87" t="s">
        <v>646</v>
      </c>
      <c r="FG246" s="584" t="s">
        <v>653</v>
      </c>
      <c r="FH246" s="585"/>
      <c r="FI246" s="585"/>
      <c r="FJ246" s="585"/>
      <c r="FK246" s="586"/>
      <c r="FL246" s="87" t="s">
        <v>654</v>
      </c>
      <c r="FM246" s="584" t="s">
        <v>662</v>
      </c>
      <c r="FN246" s="585"/>
      <c r="FO246" s="585"/>
      <c r="FP246" s="585"/>
      <c r="FQ246" s="586"/>
      <c r="FR246" s="87" t="s">
        <v>657</v>
      </c>
      <c r="FS246" s="584" t="s">
        <v>661</v>
      </c>
      <c r="FT246" s="585"/>
      <c r="FU246" s="585"/>
      <c r="FV246" s="585"/>
      <c r="FW246" s="586"/>
      <c r="FX246" s="87" t="s">
        <v>663</v>
      </c>
      <c r="FY246" s="584" t="s">
        <v>665</v>
      </c>
      <c r="FZ246" s="585"/>
      <c r="GA246" s="585"/>
      <c r="GB246" s="585"/>
      <c r="GC246" s="586"/>
      <c r="GD246" s="87" t="s">
        <v>666</v>
      </c>
      <c r="GE246" s="584" t="s">
        <v>668</v>
      </c>
      <c r="GF246" s="585"/>
      <c r="GG246" s="585"/>
      <c r="GH246" s="585"/>
      <c r="GI246" s="586"/>
      <c r="GJ246" s="87" t="s">
        <v>669</v>
      </c>
      <c r="GK246" s="584" t="s">
        <v>671</v>
      </c>
      <c r="GL246" s="585"/>
      <c r="GM246" s="585"/>
      <c r="GN246" s="585"/>
      <c r="GO246" s="586"/>
      <c r="GP246" s="87" t="s">
        <v>672</v>
      </c>
      <c r="GQ246" s="584" t="s">
        <v>674</v>
      </c>
      <c r="GR246" s="585"/>
      <c r="GS246" s="585"/>
      <c r="GT246" s="585"/>
      <c r="GU246" s="586"/>
      <c r="GV246" s="87" t="s">
        <v>675</v>
      </c>
      <c r="GW246" s="584" t="s">
        <v>696</v>
      </c>
      <c r="GX246" s="585"/>
      <c r="GY246" s="585"/>
      <c r="GZ246" s="585"/>
      <c r="HA246" s="586"/>
      <c r="HB246" s="87" t="s">
        <v>697</v>
      </c>
      <c r="HC246" s="85" t="s">
        <v>2</v>
      </c>
      <c r="HD246" s="6"/>
      <c r="HE246" s="587" t="s">
        <v>678</v>
      </c>
      <c r="HF246" s="588"/>
      <c r="HG246" s="588"/>
      <c r="HH246" s="588"/>
      <c r="HI246" s="589"/>
      <c r="HJ246" s="85" t="s">
        <v>2</v>
      </c>
      <c r="HK246" s="593" t="s">
        <v>698</v>
      </c>
      <c r="HL246" s="594"/>
      <c r="HM246" s="594"/>
      <c r="HN246" s="594"/>
      <c r="HO246" s="594"/>
      <c r="HP246" s="594"/>
      <c r="HQ246" s="594"/>
      <c r="HR246" s="594"/>
    </row>
    <row r="247" spans="1:226" s="74" customFormat="1" ht="30.6" x14ac:dyDescent="0.3">
      <c r="A247" s="85"/>
      <c r="B247" s="446" t="s">
        <v>622</v>
      </c>
      <c r="C247" s="441"/>
      <c r="D247" s="442"/>
      <c r="E247" s="87"/>
      <c r="F247" s="87"/>
      <c r="G247" s="87"/>
      <c r="H247" s="88"/>
      <c r="I247" s="88"/>
      <c r="J247" s="294"/>
      <c r="K247" s="88"/>
      <c r="L247" s="87"/>
      <c r="M247" s="87"/>
      <c r="N247" s="87"/>
      <c r="O247" s="294"/>
      <c r="P247" s="294"/>
      <c r="Q247" s="294"/>
      <c r="R247" s="294"/>
      <c r="S247" s="294"/>
      <c r="T247" s="294"/>
      <c r="U247" s="294"/>
      <c r="V247" s="294"/>
      <c r="W247" s="294"/>
      <c r="X247" s="294"/>
      <c r="Y247" s="294"/>
      <c r="Z247" s="294"/>
      <c r="AA247" s="294"/>
      <c r="AB247" s="112" t="s">
        <v>234</v>
      </c>
      <c r="AC247" s="112" t="s">
        <v>454</v>
      </c>
      <c r="AD247" s="112" t="s">
        <v>455</v>
      </c>
      <c r="AE247" s="112" t="s">
        <v>456</v>
      </c>
      <c r="AF247" s="14" t="s">
        <v>234</v>
      </c>
      <c r="AG247" s="14" t="s">
        <v>454</v>
      </c>
      <c r="AH247" s="14" t="s">
        <v>455</v>
      </c>
      <c r="AI247" s="14" t="s">
        <v>456</v>
      </c>
      <c r="AJ247" s="112" t="s">
        <v>234</v>
      </c>
      <c r="AK247" s="112" t="s">
        <v>454</v>
      </c>
      <c r="AL247" s="112" t="s">
        <v>455</v>
      </c>
      <c r="AM247" s="112" t="s">
        <v>456</v>
      </c>
      <c r="AN247" s="14" t="s">
        <v>234</v>
      </c>
      <c r="AO247" s="14" t="s">
        <v>454</v>
      </c>
      <c r="AP247" s="14" t="s">
        <v>455</v>
      </c>
      <c r="AQ247" s="14" t="s">
        <v>456</v>
      </c>
      <c r="AR247" s="112" t="s">
        <v>234</v>
      </c>
      <c r="AS247" s="112" t="s">
        <v>454</v>
      </c>
      <c r="AT247" s="112" t="s">
        <v>455</v>
      </c>
      <c r="AU247" s="112" t="s">
        <v>456</v>
      </c>
      <c r="AV247" s="14" t="s">
        <v>234</v>
      </c>
      <c r="AW247" s="14" t="s">
        <v>454</v>
      </c>
      <c r="AX247" s="14" t="s">
        <v>455</v>
      </c>
      <c r="AY247" s="14" t="s">
        <v>456</v>
      </c>
      <c r="AZ247" s="443"/>
      <c r="BA247" s="443"/>
      <c r="BB247" s="443"/>
      <c r="BC247" s="443"/>
      <c r="BD247" s="443"/>
      <c r="BE247" s="443"/>
      <c r="BF247" s="444"/>
      <c r="BG247" s="444"/>
      <c r="BH247" s="112" t="s">
        <v>234</v>
      </c>
      <c r="BI247" s="112" t="s">
        <v>454</v>
      </c>
      <c r="BJ247" s="112" t="s">
        <v>455</v>
      </c>
      <c r="BK247" s="112" t="s">
        <v>456</v>
      </c>
      <c r="BL247" s="14" t="s">
        <v>234</v>
      </c>
      <c r="BM247" s="14" t="s">
        <v>454</v>
      </c>
      <c r="BN247" s="14" t="s">
        <v>455</v>
      </c>
      <c r="BO247" s="14" t="s">
        <v>456</v>
      </c>
      <c r="BP247" s="445"/>
      <c r="BQ247" s="112" t="s">
        <v>234</v>
      </c>
      <c r="BR247" s="112" t="s">
        <v>454</v>
      </c>
      <c r="BS247" s="112" t="s">
        <v>455</v>
      </c>
      <c r="BT247" s="112" t="s">
        <v>456</v>
      </c>
      <c r="BU247" s="445"/>
      <c r="BV247" s="112" t="s">
        <v>234</v>
      </c>
      <c r="BW247" s="112" t="s">
        <v>454</v>
      </c>
      <c r="BX247" s="112" t="s">
        <v>455</v>
      </c>
      <c r="BY247" s="112" t="s">
        <v>456</v>
      </c>
      <c r="BZ247" s="445"/>
      <c r="CA247" s="112" t="s">
        <v>234</v>
      </c>
      <c r="CB247" s="112" t="s">
        <v>454</v>
      </c>
      <c r="CC247" s="112" t="s">
        <v>455</v>
      </c>
      <c r="CD247" s="112" t="s">
        <v>456</v>
      </c>
      <c r="CE247" s="445"/>
      <c r="CF247" s="112" t="s">
        <v>234</v>
      </c>
      <c r="CG247" s="112" t="s">
        <v>454</v>
      </c>
      <c r="CH247" s="112" t="s">
        <v>455</v>
      </c>
      <c r="CI247" s="112" t="s">
        <v>456</v>
      </c>
      <c r="CJ247" s="445"/>
      <c r="CK247" s="112" t="s">
        <v>234</v>
      </c>
      <c r="CL247" s="112" t="s">
        <v>454</v>
      </c>
      <c r="CM247" s="112" t="s">
        <v>455</v>
      </c>
      <c r="CN247" s="112" t="s">
        <v>456</v>
      </c>
      <c r="CO247" s="445"/>
      <c r="CP247" s="112" t="s">
        <v>234</v>
      </c>
      <c r="CQ247" s="112" t="s">
        <v>454</v>
      </c>
      <c r="CR247" s="112" t="s">
        <v>455</v>
      </c>
      <c r="CS247" s="112" t="s">
        <v>456</v>
      </c>
      <c r="CT247" s="445"/>
      <c r="CU247" s="112" t="s">
        <v>234</v>
      </c>
      <c r="CV247" s="112" t="s">
        <v>454</v>
      </c>
      <c r="CW247" s="112" t="s">
        <v>455</v>
      </c>
      <c r="CX247" s="112" t="s">
        <v>456</v>
      </c>
      <c r="CY247" s="445"/>
      <c r="CZ247" s="295"/>
      <c r="DA247" s="295"/>
      <c r="DB247" s="295"/>
      <c r="DC247" s="95" t="s">
        <v>602</v>
      </c>
      <c r="DD247" s="95" t="s">
        <v>488</v>
      </c>
      <c r="DE247" s="95" t="s">
        <v>489</v>
      </c>
      <c r="DF247" s="95" t="s">
        <v>603</v>
      </c>
      <c r="DG247" s="95" t="s">
        <v>423</v>
      </c>
      <c r="DH247" s="89"/>
      <c r="DI247" s="90" t="s">
        <v>604</v>
      </c>
      <c r="DJ247" s="91" t="s">
        <v>605</v>
      </c>
      <c r="DK247" s="92" t="s">
        <v>606</v>
      </c>
      <c r="DL247" s="92" t="s">
        <v>607</v>
      </c>
      <c r="DM247" s="91" t="s">
        <v>608</v>
      </c>
      <c r="DN247" s="91" t="s">
        <v>609</v>
      </c>
      <c r="DO247" s="91" t="s">
        <v>611</v>
      </c>
      <c r="DP247" s="91" t="s">
        <v>610</v>
      </c>
      <c r="DQ247" s="112" t="s">
        <v>234</v>
      </c>
      <c r="DR247" s="112" t="s">
        <v>454</v>
      </c>
      <c r="DS247" s="112" t="s">
        <v>455</v>
      </c>
      <c r="DT247" s="93" t="s">
        <v>456</v>
      </c>
      <c r="DU247" s="94" t="s">
        <v>457</v>
      </c>
      <c r="DV247" s="87"/>
      <c r="DW247" s="112" t="s">
        <v>234</v>
      </c>
      <c r="DX247" s="112" t="s">
        <v>454</v>
      </c>
      <c r="DY247" s="112" t="s">
        <v>455</v>
      </c>
      <c r="DZ247" s="93" t="s">
        <v>456</v>
      </c>
      <c r="EA247" s="94" t="s">
        <v>457</v>
      </c>
      <c r="EB247" s="87"/>
      <c r="EC247" s="112" t="s">
        <v>234</v>
      </c>
      <c r="ED247" s="112" t="s">
        <v>454</v>
      </c>
      <c r="EE247" s="112" t="s">
        <v>455</v>
      </c>
      <c r="EF247" s="93" t="s">
        <v>456</v>
      </c>
      <c r="EG247" s="94" t="s">
        <v>457</v>
      </c>
      <c r="EH247" s="87"/>
      <c r="EI247" s="112" t="s">
        <v>234</v>
      </c>
      <c r="EJ247" s="112" t="s">
        <v>454</v>
      </c>
      <c r="EK247" s="112" t="s">
        <v>455</v>
      </c>
      <c r="EL247" s="93" t="s">
        <v>456</v>
      </c>
      <c r="EM247" s="94" t="s">
        <v>457</v>
      </c>
      <c r="EN247" s="87"/>
      <c r="EO247" s="112" t="s">
        <v>234</v>
      </c>
      <c r="EP247" s="112" t="s">
        <v>454</v>
      </c>
      <c r="EQ247" s="112" t="s">
        <v>455</v>
      </c>
      <c r="ER247" s="93" t="s">
        <v>456</v>
      </c>
      <c r="ES247" s="94" t="s">
        <v>457</v>
      </c>
      <c r="ET247" s="87"/>
      <c r="EU247" s="112" t="s">
        <v>234</v>
      </c>
      <c r="EV247" s="112" t="s">
        <v>454</v>
      </c>
      <c r="EW247" s="112" t="s">
        <v>455</v>
      </c>
      <c r="EX247" s="93" t="s">
        <v>456</v>
      </c>
      <c r="EY247" s="94" t="s">
        <v>457</v>
      </c>
      <c r="EZ247" s="87"/>
      <c r="FA247" s="112" t="s">
        <v>234</v>
      </c>
      <c r="FB247" s="112" t="s">
        <v>454</v>
      </c>
      <c r="FC247" s="112" t="s">
        <v>455</v>
      </c>
      <c r="FD247" s="93" t="s">
        <v>456</v>
      </c>
      <c r="FE247" s="94" t="s">
        <v>457</v>
      </c>
      <c r="FF247" s="87"/>
      <c r="FG247" s="112" t="s">
        <v>234</v>
      </c>
      <c r="FH247" s="112" t="s">
        <v>454</v>
      </c>
      <c r="FI247" s="112" t="s">
        <v>455</v>
      </c>
      <c r="FJ247" s="93" t="s">
        <v>456</v>
      </c>
      <c r="FK247" s="94" t="s">
        <v>457</v>
      </c>
      <c r="FL247" s="87"/>
      <c r="FM247" s="112" t="s">
        <v>234</v>
      </c>
      <c r="FN247" s="112" t="s">
        <v>454</v>
      </c>
      <c r="FO247" s="112" t="s">
        <v>455</v>
      </c>
      <c r="FP247" s="93" t="s">
        <v>456</v>
      </c>
      <c r="FQ247" s="94" t="s">
        <v>457</v>
      </c>
      <c r="FR247" s="87"/>
      <c r="FS247" s="112" t="s">
        <v>234</v>
      </c>
      <c r="FT247" s="112" t="s">
        <v>454</v>
      </c>
      <c r="FU247" s="112" t="s">
        <v>455</v>
      </c>
      <c r="FV247" s="93" t="s">
        <v>456</v>
      </c>
      <c r="FW247" s="94" t="s">
        <v>457</v>
      </c>
      <c r="FX247" s="87"/>
      <c r="FY247" s="112" t="s">
        <v>234</v>
      </c>
      <c r="FZ247" s="112" t="s">
        <v>454</v>
      </c>
      <c r="GA247" s="112" t="s">
        <v>455</v>
      </c>
      <c r="GB247" s="93" t="s">
        <v>456</v>
      </c>
      <c r="GC247" s="94" t="s">
        <v>457</v>
      </c>
      <c r="GD247" s="87"/>
      <c r="GE247" s="112" t="s">
        <v>234</v>
      </c>
      <c r="GF247" s="112" t="s">
        <v>454</v>
      </c>
      <c r="GG247" s="112" t="s">
        <v>455</v>
      </c>
      <c r="GH247" s="93" t="s">
        <v>456</v>
      </c>
      <c r="GI247" s="94" t="s">
        <v>457</v>
      </c>
      <c r="GJ247" s="87"/>
      <c r="GK247" s="112" t="s">
        <v>234</v>
      </c>
      <c r="GL247" s="112" t="s">
        <v>454</v>
      </c>
      <c r="GM247" s="112" t="s">
        <v>455</v>
      </c>
      <c r="GN247" s="93" t="s">
        <v>456</v>
      </c>
      <c r="GO247" s="94" t="s">
        <v>457</v>
      </c>
      <c r="GP247" s="87"/>
      <c r="GQ247" s="112" t="s">
        <v>234</v>
      </c>
      <c r="GR247" s="112" t="s">
        <v>454</v>
      </c>
      <c r="GS247" s="112" t="s">
        <v>455</v>
      </c>
      <c r="GT247" s="93" t="s">
        <v>456</v>
      </c>
      <c r="GU247" s="94" t="s">
        <v>457</v>
      </c>
      <c r="GV247" s="87"/>
      <c r="GW247" s="112" t="s">
        <v>234</v>
      </c>
      <c r="GX247" s="112" t="s">
        <v>454</v>
      </c>
      <c r="GY247" s="112" t="s">
        <v>455</v>
      </c>
      <c r="GZ247" s="93" t="s">
        <v>456</v>
      </c>
      <c r="HA247" s="94" t="s">
        <v>457</v>
      </c>
      <c r="HB247" s="87"/>
      <c r="HC247" s="85"/>
      <c r="HD247" s="6"/>
      <c r="HE247" s="95" t="s">
        <v>679</v>
      </c>
      <c r="HF247" s="95" t="s">
        <v>488</v>
      </c>
      <c r="HG247" s="220" t="s">
        <v>489</v>
      </c>
      <c r="HH247" s="95" t="s">
        <v>603</v>
      </c>
      <c r="HI247" s="95" t="s">
        <v>423</v>
      </c>
      <c r="HJ247" s="85"/>
      <c r="HK247" s="90" t="s">
        <v>680</v>
      </c>
      <c r="HL247" s="91" t="s">
        <v>681</v>
      </c>
      <c r="HM247" s="92" t="s">
        <v>606</v>
      </c>
      <c r="HN247" s="92" t="s">
        <v>607</v>
      </c>
      <c r="HO247" s="91" t="s">
        <v>608</v>
      </c>
      <c r="HP247" s="91" t="s">
        <v>609</v>
      </c>
      <c r="HQ247" s="92" t="s">
        <v>456</v>
      </c>
      <c r="HR247" s="91" t="s">
        <v>610</v>
      </c>
    </row>
    <row r="248" spans="1:226" x14ac:dyDescent="0.3">
      <c r="A248" s="310">
        <v>1</v>
      </c>
      <c r="B248" s="104" t="s">
        <v>122</v>
      </c>
      <c r="C248" s="310" t="s">
        <v>123</v>
      </c>
      <c r="D248" s="2" t="s">
        <v>125</v>
      </c>
      <c r="E248" s="9"/>
      <c r="F248" s="9"/>
      <c r="G248" s="9"/>
      <c r="H248" s="324"/>
      <c r="I248" s="324">
        <v>5166527</v>
      </c>
      <c r="J248" s="324"/>
      <c r="K248" s="324"/>
      <c r="L248" s="324">
        <v>5164685</v>
      </c>
      <c r="M248" s="23">
        <v>3164685</v>
      </c>
      <c r="N248" s="23">
        <v>3164685</v>
      </c>
      <c r="O248" s="298">
        <v>3164685</v>
      </c>
      <c r="P248" s="298">
        <v>3164685</v>
      </c>
      <c r="Q248" s="298">
        <v>467889</v>
      </c>
      <c r="R248" s="298">
        <v>467889</v>
      </c>
      <c r="S248" s="298">
        <v>467889</v>
      </c>
      <c r="T248" s="298">
        <v>467889</v>
      </c>
      <c r="U248" s="298">
        <f>T248*5%</f>
        <v>23394.45</v>
      </c>
      <c r="V248" s="298">
        <f>T248+U248</f>
        <v>491283.45</v>
      </c>
      <c r="W248" s="298">
        <v>490362</v>
      </c>
      <c r="X248" s="298">
        <v>490362</v>
      </c>
      <c r="Y248" s="298">
        <v>490362</v>
      </c>
      <c r="Z248" s="23">
        <v>18420</v>
      </c>
      <c r="AA248" s="23">
        <f>18420+2855</f>
        <v>21275</v>
      </c>
      <c r="AB248" s="9">
        <v>0</v>
      </c>
      <c r="AC248" s="9">
        <v>18420</v>
      </c>
      <c r="AD248" s="9">
        <f>1842+1013</f>
        <v>2855</v>
      </c>
      <c r="AE248" s="298">
        <f>AD248+AC248+AB248</f>
        <v>21275</v>
      </c>
      <c r="AF248" s="9">
        <v>0</v>
      </c>
      <c r="AG248" s="9">
        <v>18420</v>
      </c>
      <c r="AH248" s="9">
        <f>1842+1013</f>
        <v>2855</v>
      </c>
      <c r="AI248" s="298">
        <f>AH248+AG248+AF248</f>
        <v>21275</v>
      </c>
      <c r="AJ248" s="9">
        <v>0</v>
      </c>
      <c r="AK248" s="9">
        <v>18420</v>
      </c>
      <c r="AL248" s="9">
        <f>1842+1013</f>
        <v>2855</v>
      </c>
      <c r="AM248" s="298">
        <f t="shared" ref="AM248:AM257" si="1344">AL248+AK248+AJ248</f>
        <v>21275</v>
      </c>
      <c r="AN248" s="9">
        <v>0</v>
      </c>
      <c r="AO248" s="9">
        <v>18420</v>
      </c>
      <c r="AP248" s="9">
        <f>1842+1013</f>
        <v>2855</v>
      </c>
      <c r="AQ248" s="298">
        <f t="shared" ref="AQ248:AQ257" si="1345">AP248+AO248+AN248</f>
        <v>21275</v>
      </c>
      <c r="AR248" s="9">
        <v>0</v>
      </c>
      <c r="AS248" s="9">
        <v>18420</v>
      </c>
      <c r="AT248" s="9">
        <f>1842+1013</f>
        <v>2855</v>
      </c>
      <c r="AU248" s="298">
        <f t="shared" ref="AU248:AU257" si="1346">AT248+AS248+AR248</f>
        <v>21275</v>
      </c>
      <c r="AV248" s="9">
        <v>0</v>
      </c>
      <c r="AW248" s="9">
        <v>18420</v>
      </c>
      <c r="AX248" s="9">
        <f>1842+1013</f>
        <v>2855</v>
      </c>
      <c r="AY248" s="298">
        <f t="shared" ref="AY248:AY257" si="1347">AX248+AW248+AV248</f>
        <v>21275</v>
      </c>
      <c r="AZ248" s="8">
        <f>AY248*5%</f>
        <v>1063.75</v>
      </c>
      <c r="BA248" s="8">
        <v>0.75</v>
      </c>
      <c r="BB248" s="8">
        <f>AZ248-BA248</f>
        <v>1063</v>
      </c>
      <c r="BC248" s="8">
        <f>BB248+AY248</f>
        <v>22338</v>
      </c>
      <c r="BD248" s="8">
        <v>8376</v>
      </c>
      <c r="BE248" s="8">
        <f>BD248+BC248</f>
        <v>30714</v>
      </c>
      <c r="BF248" s="10">
        <f>BE248-AY248</f>
        <v>9439</v>
      </c>
      <c r="BG248" s="11">
        <f>BF248-BB248</f>
        <v>8376</v>
      </c>
      <c r="BH248" s="4">
        <v>8376</v>
      </c>
      <c r="BI248" s="4">
        <v>18420</v>
      </c>
      <c r="BJ248" s="52">
        <f>1842+1013</f>
        <v>2855</v>
      </c>
      <c r="BK248" s="319">
        <f t="shared" ref="BK248:BK257" si="1348">BJ248+BI248+BH248</f>
        <v>29651</v>
      </c>
      <c r="BL248" s="319">
        <v>8376</v>
      </c>
      <c r="BM248" s="319">
        <v>18420</v>
      </c>
      <c r="BN248" s="54">
        <f>1842+1013</f>
        <v>2855</v>
      </c>
      <c r="BO248" s="319">
        <f t="shared" ref="BO248:BO257" si="1349">BN248+BM248+BL248</f>
        <v>29651</v>
      </c>
      <c r="BP248" s="319">
        <f>BO248-BK248</f>
        <v>0</v>
      </c>
      <c r="BQ248" s="319">
        <v>8376</v>
      </c>
      <c r="BR248" s="319">
        <v>18420</v>
      </c>
      <c r="BS248" s="54">
        <f>1842+1013</f>
        <v>2855</v>
      </c>
      <c r="BT248" s="319">
        <f t="shared" ref="BT248:BT257" si="1350">BS248+BR248+BQ248</f>
        <v>29651</v>
      </c>
      <c r="BU248" s="319">
        <f t="shared" ref="BU248:BU257" si="1351">BT248-BO248</f>
        <v>0</v>
      </c>
      <c r="BV248" s="4">
        <v>8376</v>
      </c>
      <c r="BW248" s="4">
        <v>18420</v>
      </c>
      <c r="BX248" s="52">
        <f>1842+1013</f>
        <v>2855</v>
      </c>
      <c r="BY248" s="319">
        <f t="shared" ref="BY248:BY254" si="1352">BX248+BW248+BV248</f>
        <v>29651</v>
      </c>
      <c r="BZ248" s="319">
        <f t="shared" ref="BZ248:BZ257" si="1353">BY248-BT248</f>
        <v>0</v>
      </c>
      <c r="CA248" s="4">
        <v>8376</v>
      </c>
      <c r="CB248" s="4">
        <v>18420</v>
      </c>
      <c r="CC248" s="52">
        <f>1842+1013</f>
        <v>2855</v>
      </c>
      <c r="CD248" s="319">
        <f t="shared" ref="CD248:CD254" si="1354">CC248+CB248+CA248</f>
        <v>29651</v>
      </c>
      <c r="CE248" s="319">
        <f t="shared" ref="CE248:CE257" si="1355">CD248-BY248</f>
        <v>0</v>
      </c>
      <c r="CF248" s="4">
        <v>8376</v>
      </c>
      <c r="CG248" s="4">
        <v>18420</v>
      </c>
      <c r="CH248" s="52">
        <f>1842+1013</f>
        <v>2855</v>
      </c>
      <c r="CI248" s="319">
        <f t="shared" ref="CI248:CI257" si="1356">CH248+CG248+CF248</f>
        <v>29651</v>
      </c>
      <c r="CJ248" s="319">
        <f t="shared" ref="CJ248:CJ257" si="1357">CI248-CD248</f>
        <v>0</v>
      </c>
      <c r="CK248" s="4">
        <v>8376</v>
      </c>
      <c r="CL248" s="4">
        <v>18420</v>
      </c>
      <c r="CM248" s="52">
        <f>1842+1013</f>
        <v>2855</v>
      </c>
      <c r="CN248" s="319">
        <f t="shared" ref="CN248:CN257" si="1358">CM248+CL248+CK248</f>
        <v>29651</v>
      </c>
      <c r="CO248" s="319">
        <f t="shared" ref="CO248:CO257" si="1359">CN248-CI248</f>
        <v>0</v>
      </c>
      <c r="CP248" s="4">
        <v>8376</v>
      </c>
      <c r="CQ248" s="4">
        <v>18420</v>
      </c>
      <c r="CR248" s="52">
        <f>1842+1013</f>
        <v>2855</v>
      </c>
      <c r="CS248" s="319">
        <f t="shared" ref="CS248:CS257" si="1360">CR248+CQ248+CP248</f>
        <v>29651</v>
      </c>
      <c r="CT248" s="319">
        <f t="shared" ref="CT248:CT257" si="1361">CS248-CN248</f>
        <v>0</v>
      </c>
      <c r="CU248" s="4">
        <v>8376</v>
      </c>
      <c r="CV248" s="4">
        <v>18420</v>
      </c>
      <c r="CW248" s="52">
        <f>1842+1013</f>
        <v>2855</v>
      </c>
      <c r="CX248" s="319">
        <f t="shared" ref="CX248:CX257" si="1362">CW248+CV248+CU248</f>
        <v>29651</v>
      </c>
      <c r="CY248" s="319">
        <f t="shared" ref="CY248:CY257" si="1363">CX248-CS248</f>
        <v>0</v>
      </c>
      <c r="CZ248" s="319">
        <f t="shared" ref="CZ248:DB249" si="1364">CU248*0.1</f>
        <v>837.6</v>
      </c>
      <c r="DA248" s="319">
        <f t="shared" si="1364"/>
        <v>1842</v>
      </c>
      <c r="DB248" s="319">
        <f t="shared" si="1364"/>
        <v>285.5</v>
      </c>
      <c r="DC248" s="12">
        <f>DB248+DA248+CZ248</f>
        <v>2965.1</v>
      </c>
      <c r="DD248" s="12">
        <v>0.1</v>
      </c>
      <c r="DE248" s="13">
        <f>DC248-DD248</f>
        <v>2965</v>
      </c>
      <c r="DF248" s="14">
        <f t="shared" ref="DF248:DF257" si="1365">DE248:DE248</f>
        <v>2965</v>
      </c>
      <c r="DG248" s="13">
        <f t="shared" ref="DG248:DG257" si="1366">DE248+CX248</f>
        <v>32616</v>
      </c>
      <c r="DH248" s="15">
        <f t="shared" ref="DH248:DH257" si="1367">100/1278396949*CX248</f>
        <v>2.3193891399063402E-3</v>
      </c>
      <c r="DI248" s="16">
        <f t="shared" ref="DI248:DI257" si="1368">CX248</f>
        <v>29651</v>
      </c>
      <c r="DJ248" s="132">
        <f>DI248*1.1</f>
        <v>32616.100000000002</v>
      </c>
      <c r="DK248" s="17">
        <f>DJ248-DI248</f>
        <v>2965.1000000000022</v>
      </c>
      <c r="DL248" s="17">
        <f t="shared" ref="DL248:DL257" si="1369">DD248</f>
        <v>0.1</v>
      </c>
      <c r="DM248" s="16">
        <f>DK248-DL248</f>
        <v>2965.0000000000023</v>
      </c>
      <c r="DN248" s="16">
        <f t="shared" ref="DN248:DN257" si="1370">DM248-DE248</f>
        <v>0</v>
      </c>
      <c r="DO248" s="16">
        <f>DM248+DI248</f>
        <v>32616.000000000004</v>
      </c>
      <c r="DP248" s="56">
        <f t="shared" ref="DP248:DP257" si="1371">DO248-DG248</f>
        <v>0</v>
      </c>
      <c r="DQ248" s="9">
        <v>9213</v>
      </c>
      <c r="DR248" s="18" t="s">
        <v>617</v>
      </c>
      <c r="DS248" s="52">
        <f>1842+1013+2127</f>
        <v>4982</v>
      </c>
      <c r="DT248" s="324">
        <f>DQ248+DR248+DS248</f>
        <v>32615</v>
      </c>
      <c r="DU248" s="321">
        <f>DT248</f>
        <v>32615</v>
      </c>
      <c r="DV248" s="22">
        <f>DT248-DG248</f>
        <v>-1</v>
      </c>
      <c r="DW248" s="9">
        <v>25966</v>
      </c>
      <c r="DX248" s="18" t="s">
        <v>617</v>
      </c>
      <c r="DY248" s="52">
        <f>1842+1013</f>
        <v>2855</v>
      </c>
      <c r="DZ248" s="324">
        <f>DW248+DX248+DY248</f>
        <v>47241</v>
      </c>
      <c r="EA248" s="321">
        <f>DZ248</f>
        <v>47241</v>
      </c>
      <c r="EB248" s="22">
        <f t="shared" ref="EB248:EB257" si="1372">DZ248-DT248</f>
        <v>14626</v>
      </c>
      <c r="EC248" s="4">
        <v>25966</v>
      </c>
      <c r="ED248" s="4">
        <v>18420</v>
      </c>
      <c r="EE248" s="52">
        <f>1842+1013</f>
        <v>2855</v>
      </c>
      <c r="EF248" s="324">
        <f>EC248+ED248+EE248</f>
        <v>47241</v>
      </c>
      <c r="EG248" s="321">
        <f>EF248</f>
        <v>47241</v>
      </c>
      <c r="EH248" s="179">
        <f t="shared" ref="EH248:EH257" si="1373">EF248-DZ248</f>
        <v>0</v>
      </c>
      <c r="EI248" s="4">
        <v>25966</v>
      </c>
      <c r="EJ248" s="4">
        <v>18420</v>
      </c>
      <c r="EK248" s="52">
        <f>1842+1013</f>
        <v>2855</v>
      </c>
      <c r="EL248" s="324">
        <f>EI248+EJ248+EK248</f>
        <v>47241</v>
      </c>
      <c r="EM248" s="321">
        <f>EL248</f>
        <v>47241</v>
      </c>
      <c r="EN248" s="179">
        <f t="shared" ref="EN248:EN257" si="1374">EL248-EF248</f>
        <v>0</v>
      </c>
      <c r="EO248" s="4">
        <v>25966</v>
      </c>
      <c r="EP248" s="4">
        <v>18420</v>
      </c>
      <c r="EQ248" s="52">
        <f>1842+1013</f>
        <v>2855</v>
      </c>
      <c r="ER248" s="324">
        <f>EO248+EP248+EQ248</f>
        <v>47241</v>
      </c>
      <c r="ES248" s="321">
        <f>ER248</f>
        <v>47241</v>
      </c>
      <c r="ET248" s="179">
        <f t="shared" ref="ET248:ET257" si="1375">ER248-EL248</f>
        <v>0</v>
      </c>
      <c r="EU248" s="4">
        <v>25966</v>
      </c>
      <c r="EV248" s="4">
        <v>18420</v>
      </c>
      <c r="EW248" s="52">
        <f>1842+1013</f>
        <v>2855</v>
      </c>
      <c r="EX248" s="324">
        <f>EU248+EV248+EW248</f>
        <v>47241</v>
      </c>
      <c r="EY248" s="321">
        <f>EX248</f>
        <v>47241</v>
      </c>
      <c r="EZ248" s="179">
        <f t="shared" ref="EZ248:EZ257" si="1376">EX248-ER248</f>
        <v>0</v>
      </c>
      <c r="FA248" s="4">
        <v>25966</v>
      </c>
      <c r="FB248" s="4">
        <v>18420</v>
      </c>
      <c r="FC248" s="52">
        <f>1842+1013</f>
        <v>2855</v>
      </c>
      <c r="FD248" s="324">
        <f>FA248+FB248+FC248</f>
        <v>47241</v>
      </c>
      <c r="FE248" s="321">
        <f>FD248</f>
        <v>47241</v>
      </c>
      <c r="FF248" s="179">
        <f t="shared" ref="FF248:FF257" si="1377">FD248-EX248</f>
        <v>0</v>
      </c>
      <c r="FG248" s="4">
        <v>25966</v>
      </c>
      <c r="FH248" s="4">
        <v>18420</v>
      </c>
      <c r="FI248" s="52">
        <f>1842+1013</f>
        <v>2855</v>
      </c>
      <c r="FJ248" s="324">
        <f>FG248+FH248+FI248</f>
        <v>47241</v>
      </c>
      <c r="FK248" s="321">
        <f>FJ248</f>
        <v>47241</v>
      </c>
      <c r="FL248" s="179">
        <f t="shared" ref="FL248:FL257" si="1378">FJ248-FD248</f>
        <v>0</v>
      </c>
      <c r="FM248" s="4">
        <v>25966</v>
      </c>
      <c r="FN248" s="4">
        <v>18420</v>
      </c>
      <c r="FO248" s="52">
        <f>1842+1013</f>
        <v>2855</v>
      </c>
      <c r="FP248" s="324">
        <f>FM248+FN248+FO248</f>
        <v>47241</v>
      </c>
      <c r="FQ248" s="321">
        <f>FP248</f>
        <v>47241</v>
      </c>
      <c r="FR248" s="179">
        <f t="shared" ref="FR248:FR257" si="1379">FP248-FJ248</f>
        <v>0</v>
      </c>
      <c r="FS248" s="4">
        <v>25966</v>
      </c>
      <c r="FT248" s="4">
        <v>18420</v>
      </c>
      <c r="FU248" s="52">
        <f>1842+1013</f>
        <v>2855</v>
      </c>
      <c r="FV248" s="324">
        <f>FS248+FT248+FU248</f>
        <v>47241</v>
      </c>
      <c r="FW248" s="321">
        <f>FV248</f>
        <v>47241</v>
      </c>
      <c r="FX248" s="179">
        <f t="shared" ref="FX248:FX257" si="1380">FV248-FP248</f>
        <v>0</v>
      </c>
      <c r="FY248" s="4">
        <v>25966</v>
      </c>
      <c r="FZ248" s="4">
        <v>18420</v>
      </c>
      <c r="GA248" s="52">
        <f>1842+1013</f>
        <v>2855</v>
      </c>
      <c r="GB248" s="324">
        <f>FY248+FZ248+GA248</f>
        <v>47241</v>
      </c>
      <c r="GC248" s="321">
        <f>GB248</f>
        <v>47241</v>
      </c>
      <c r="GD248" s="179">
        <f t="shared" ref="GD248:GD257" si="1381">GB248-FV248</f>
        <v>0</v>
      </c>
      <c r="GE248" s="4">
        <v>25966</v>
      </c>
      <c r="GF248" s="4">
        <v>18420</v>
      </c>
      <c r="GG248" s="52">
        <f>1842+1013</f>
        <v>2855</v>
      </c>
      <c r="GH248" s="324">
        <f>GE248+GF248+GG248</f>
        <v>47241</v>
      </c>
      <c r="GI248" s="321">
        <f>GH248</f>
        <v>47241</v>
      </c>
      <c r="GJ248" s="179">
        <f t="shared" ref="GJ248:GJ257" si="1382">GH248-GB248</f>
        <v>0</v>
      </c>
      <c r="GK248" s="4">
        <v>25966</v>
      </c>
      <c r="GL248" s="4">
        <v>18420</v>
      </c>
      <c r="GM248" s="52">
        <f>1842+1013</f>
        <v>2855</v>
      </c>
      <c r="GN248" s="324">
        <f>GK248+GL248+GM248</f>
        <v>47241</v>
      </c>
      <c r="GO248" s="321">
        <f>GN248</f>
        <v>47241</v>
      </c>
      <c r="GP248" s="179">
        <f t="shared" ref="GP248:GP257" si="1383">GN248-GH248</f>
        <v>0</v>
      </c>
      <c r="GQ248" s="4">
        <v>25966</v>
      </c>
      <c r="GR248" s="4">
        <v>18420</v>
      </c>
      <c r="GS248" s="52">
        <f>1842+1013</f>
        <v>2855</v>
      </c>
      <c r="GT248" s="324">
        <f>GQ248+GR248+GS248</f>
        <v>47241</v>
      </c>
      <c r="GU248" s="321">
        <f>GT248</f>
        <v>47241</v>
      </c>
      <c r="GV248" s="179">
        <f t="shared" ref="GV248:GV257" si="1384">GT248-GN248</f>
        <v>0</v>
      </c>
      <c r="GW248" s="4">
        <v>27264</v>
      </c>
      <c r="GX248" s="4">
        <v>18420</v>
      </c>
      <c r="GY248" s="52">
        <f>1842+1013+1063</f>
        <v>3918</v>
      </c>
      <c r="GZ248" s="324">
        <f>GW248+GX248+GY248</f>
        <v>49602</v>
      </c>
      <c r="HA248" s="321">
        <f>GZ248</f>
        <v>49602</v>
      </c>
      <c r="HB248" s="179">
        <f t="shared" ref="HB248:HB257" si="1385">GZ248-GT248</f>
        <v>2361</v>
      </c>
      <c r="HC248" s="102">
        <f t="shared" ref="HC248:HC257" si="1386">100/1406236643.9*GT248</f>
        <v>3.35939190639946E-3</v>
      </c>
      <c r="HD248" s="285">
        <f>HB248-HO248</f>
        <v>-1.0000000000027285</v>
      </c>
      <c r="HE248" s="12">
        <f>GT248*0.05</f>
        <v>2362.0500000000002</v>
      </c>
      <c r="HF248" s="12">
        <f t="shared" ref="HF248:HF257" si="1387">IF(ISNUMBER($HE248), $HE248-INT($HE248), "")</f>
        <v>5.0000000000181899E-2</v>
      </c>
      <c r="HG248" s="12">
        <f>HE248-HF248</f>
        <v>2362</v>
      </c>
      <c r="HH248" s="14">
        <f>HG248:HG248</f>
        <v>2362</v>
      </c>
      <c r="HI248" s="13">
        <f>HG248+GT248</f>
        <v>49603</v>
      </c>
      <c r="HJ248" s="102">
        <f>100/1406236643.9*HI248</f>
        <v>3.5273579461301079E-3</v>
      </c>
      <c r="HK248" s="16">
        <f>GT248</f>
        <v>47241</v>
      </c>
      <c r="HL248" s="103">
        <f>HK248*1.05</f>
        <v>49603.05</v>
      </c>
      <c r="HM248" s="103">
        <f>HL248-HK248</f>
        <v>2362.0500000000029</v>
      </c>
      <c r="HN248" s="17">
        <f>HF248</f>
        <v>5.0000000000181899E-2</v>
      </c>
      <c r="HO248" s="56">
        <f>HM248-HN248</f>
        <v>2362.0000000000027</v>
      </c>
      <c r="HP248" s="16">
        <f>HO248-HG248</f>
        <v>0</v>
      </c>
      <c r="HQ248" s="16">
        <f>HO248+HK248</f>
        <v>49603</v>
      </c>
      <c r="HR248" s="16">
        <f>HQ248-HI248</f>
        <v>0</v>
      </c>
    </row>
    <row r="249" spans="1:226" x14ac:dyDescent="0.3">
      <c r="A249" s="310">
        <v>2</v>
      </c>
      <c r="B249" s="133"/>
      <c r="C249" s="310" t="s">
        <v>124</v>
      </c>
      <c r="D249" s="2" t="s">
        <v>125</v>
      </c>
      <c r="E249" s="9"/>
      <c r="F249" s="9"/>
      <c r="G249" s="9"/>
      <c r="H249" s="9"/>
      <c r="I249" s="9">
        <v>139304</v>
      </c>
      <c r="J249" s="9"/>
      <c r="K249" s="9"/>
      <c r="L249" s="9">
        <v>126640</v>
      </c>
      <c r="M249" s="23">
        <v>126640</v>
      </c>
      <c r="N249" s="23">
        <v>126640</v>
      </c>
      <c r="O249" s="298">
        <v>126640</v>
      </c>
      <c r="P249" s="298">
        <v>126640</v>
      </c>
      <c r="Q249" s="298">
        <v>126640</v>
      </c>
      <c r="R249" s="298">
        <v>126640</v>
      </c>
      <c r="S249" s="298">
        <v>126640</v>
      </c>
      <c r="T249" s="298">
        <v>126640</v>
      </c>
      <c r="U249" s="298">
        <f t="shared" ref="U249:U257" si="1388">T249*5%</f>
        <v>6332</v>
      </c>
      <c r="V249" s="298">
        <f t="shared" ref="V249:V257" si="1389">T249+U249</f>
        <v>132972</v>
      </c>
      <c r="W249" s="298">
        <v>126640</v>
      </c>
      <c r="X249" s="298">
        <v>126640</v>
      </c>
      <c r="Y249" s="298">
        <v>126640</v>
      </c>
      <c r="Z249" s="298">
        <v>126640</v>
      </c>
      <c r="AA249" s="298">
        <f>126640+19629</f>
        <v>146269</v>
      </c>
      <c r="AB249" s="9">
        <v>0</v>
      </c>
      <c r="AC249" s="9">
        <v>126640</v>
      </c>
      <c r="AD249" s="9">
        <f>12664+6965</f>
        <v>19629</v>
      </c>
      <c r="AE249" s="298">
        <f t="shared" ref="AE249:AE257" si="1390">AD249+AC249+AB249</f>
        <v>146269</v>
      </c>
      <c r="AF249" s="9">
        <v>0</v>
      </c>
      <c r="AG249" s="9">
        <v>126640</v>
      </c>
      <c r="AH249" s="9">
        <f>12664+6965</f>
        <v>19629</v>
      </c>
      <c r="AI249" s="298">
        <f t="shared" ref="AI249:AI257" si="1391">AH249+AG249+AF249</f>
        <v>146269</v>
      </c>
      <c r="AJ249" s="9">
        <v>0</v>
      </c>
      <c r="AK249" s="9">
        <v>126640</v>
      </c>
      <c r="AL249" s="9">
        <f>12664+6965</f>
        <v>19629</v>
      </c>
      <c r="AM249" s="298">
        <f t="shared" si="1344"/>
        <v>146269</v>
      </c>
      <c r="AN249" s="9">
        <v>0</v>
      </c>
      <c r="AO249" s="9">
        <v>126640</v>
      </c>
      <c r="AP249" s="9">
        <f>12664+6965</f>
        <v>19629</v>
      </c>
      <c r="AQ249" s="298">
        <f t="shared" si="1345"/>
        <v>146269</v>
      </c>
      <c r="AR249" s="9">
        <v>0</v>
      </c>
      <c r="AS249" s="9">
        <v>126640</v>
      </c>
      <c r="AT249" s="9">
        <f>12664+6965</f>
        <v>19629</v>
      </c>
      <c r="AU249" s="298">
        <f t="shared" si="1346"/>
        <v>146269</v>
      </c>
      <c r="AV249" s="9">
        <v>0</v>
      </c>
      <c r="AW249" s="9">
        <v>126640</v>
      </c>
      <c r="AX249" s="9">
        <f>12664+6965</f>
        <v>19629</v>
      </c>
      <c r="AY249" s="298">
        <f t="shared" si="1347"/>
        <v>146269</v>
      </c>
      <c r="AZ249" s="8">
        <f t="shared" ref="AZ249:AZ257" si="1392">AY249*5%</f>
        <v>7313.4500000000007</v>
      </c>
      <c r="BA249" s="8">
        <v>0.45</v>
      </c>
      <c r="BB249" s="8">
        <f t="shared" ref="BB249:BB257" si="1393">AZ249-BA249</f>
        <v>7313.0000000000009</v>
      </c>
      <c r="BC249" s="8">
        <f t="shared" ref="BC249:BC257" si="1394">BB249+AY249</f>
        <v>153582</v>
      </c>
      <c r="BD249" s="8"/>
      <c r="BE249" s="8">
        <f t="shared" ref="BE249:BE257" si="1395">BD249+BC249</f>
        <v>153582</v>
      </c>
      <c r="BF249" s="10">
        <f t="shared" ref="BF249:BF257" si="1396">BE249-AY249</f>
        <v>7313</v>
      </c>
      <c r="BG249" s="11">
        <f t="shared" ref="BG249:BG257" si="1397">BF249-BB249</f>
        <v>0</v>
      </c>
      <c r="BH249" s="4">
        <v>0</v>
      </c>
      <c r="BI249" s="4">
        <v>126640</v>
      </c>
      <c r="BJ249" s="52">
        <f>12664+6965</f>
        <v>19629</v>
      </c>
      <c r="BK249" s="319">
        <f t="shared" si="1348"/>
        <v>146269</v>
      </c>
      <c r="BL249" s="319"/>
      <c r="BM249" s="319">
        <v>126640</v>
      </c>
      <c r="BN249" s="54">
        <f>12664+6965</f>
        <v>19629</v>
      </c>
      <c r="BO249" s="319">
        <f t="shared" si="1349"/>
        <v>146269</v>
      </c>
      <c r="BP249" s="319">
        <f t="shared" ref="BP249:BP257" si="1398">BO249-BK249</f>
        <v>0</v>
      </c>
      <c r="BQ249" s="319">
        <v>0</v>
      </c>
      <c r="BR249" s="319">
        <v>126640</v>
      </c>
      <c r="BS249" s="54">
        <f>12664+6965</f>
        <v>19629</v>
      </c>
      <c r="BT249" s="319">
        <f t="shared" si="1350"/>
        <v>146269</v>
      </c>
      <c r="BU249" s="319">
        <f t="shared" si="1351"/>
        <v>0</v>
      </c>
      <c r="BV249" s="4">
        <v>0</v>
      </c>
      <c r="BW249" s="4">
        <v>126640</v>
      </c>
      <c r="BX249" s="52">
        <f>12664+6965</f>
        <v>19629</v>
      </c>
      <c r="BY249" s="319">
        <f t="shared" si="1352"/>
        <v>146269</v>
      </c>
      <c r="BZ249" s="319">
        <f t="shared" si="1353"/>
        <v>0</v>
      </c>
      <c r="CA249" s="4">
        <v>0</v>
      </c>
      <c r="CB249" s="4">
        <v>126640</v>
      </c>
      <c r="CC249" s="52">
        <f>12664+6965</f>
        <v>19629</v>
      </c>
      <c r="CD249" s="319">
        <f t="shared" si="1354"/>
        <v>146269</v>
      </c>
      <c r="CE249" s="319">
        <f t="shared" si="1355"/>
        <v>0</v>
      </c>
      <c r="CF249" s="4">
        <v>0</v>
      </c>
      <c r="CG249" s="4">
        <v>126640</v>
      </c>
      <c r="CH249" s="52">
        <f>12664+6965</f>
        <v>19629</v>
      </c>
      <c r="CI249" s="319">
        <f t="shared" si="1356"/>
        <v>146269</v>
      </c>
      <c r="CJ249" s="319">
        <f t="shared" si="1357"/>
        <v>0</v>
      </c>
      <c r="CK249" s="4">
        <v>0</v>
      </c>
      <c r="CL249" s="4">
        <v>126640</v>
      </c>
      <c r="CM249" s="52">
        <f>12664+6965</f>
        <v>19629</v>
      </c>
      <c r="CN249" s="319">
        <f t="shared" si="1358"/>
        <v>146269</v>
      </c>
      <c r="CO249" s="319">
        <f t="shared" si="1359"/>
        <v>0</v>
      </c>
      <c r="CP249" s="4">
        <v>0</v>
      </c>
      <c r="CQ249" s="4">
        <v>126640</v>
      </c>
      <c r="CR249" s="52">
        <f>12664+6965</f>
        <v>19629</v>
      </c>
      <c r="CS249" s="319">
        <f t="shared" si="1360"/>
        <v>146269</v>
      </c>
      <c r="CT249" s="319">
        <f t="shared" si="1361"/>
        <v>0</v>
      </c>
      <c r="CU249" s="4">
        <v>0</v>
      </c>
      <c r="CV249" s="4">
        <v>126640</v>
      </c>
      <c r="CW249" s="52">
        <f>12664+6965</f>
        <v>19629</v>
      </c>
      <c r="CX249" s="319">
        <f t="shared" si="1362"/>
        <v>146269</v>
      </c>
      <c r="CY249" s="319">
        <f t="shared" si="1363"/>
        <v>0</v>
      </c>
      <c r="CZ249" s="319">
        <f t="shared" si="1364"/>
        <v>0</v>
      </c>
      <c r="DA249" s="319">
        <f t="shared" si="1364"/>
        <v>12664</v>
      </c>
      <c r="DB249" s="319">
        <f t="shared" si="1364"/>
        <v>1962.9</v>
      </c>
      <c r="DC249" s="12">
        <f>DB249+DA249+CZ249</f>
        <v>14626.9</v>
      </c>
      <c r="DD249" s="12">
        <v>0.9</v>
      </c>
      <c r="DE249" s="13">
        <f t="shared" ref="DE249:DE257" si="1399">DC249-DD249</f>
        <v>14626</v>
      </c>
      <c r="DF249" s="14">
        <f t="shared" si="1365"/>
        <v>14626</v>
      </c>
      <c r="DG249" s="13">
        <f t="shared" si="1366"/>
        <v>160895</v>
      </c>
      <c r="DH249" s="15">
        <f t="shared" si="1367"/>
        <v>1.1441594890727481E-2</v>
      </c>
      <c r="DI249" s="16">
        <f t="shared" si="1368"/>
        <v>146269</v>
      </c>
      <c r="DJ249" s="132">
        <f t="shared" ref="DJ249:DJ257" si="1400">DI249*1.1</f>
        <v>160895.90000000002</v>
      </c>
      <c r="DK249" s="17">
        <f t="shared" ref="DK249:DK257" si="1401">DJ249-DI249</f>
        <v>14626.900000000023</v>
      </c>
      <c r="DL249" s="17">
        <f t="shared" si="1369"/>
        <v>0.9</v>
      </c>
      <c r="DM249" s="16">
        <f t="shared" ref="DM249:DM257" si="1402">DK249-DL249</f>
        <v>14626.000000000024</v>
      </c>
      <c r="DN249" s="16">
        <f t="shared" si="1370"/>
        <v>2.3646862246096134E-11</v>
      </c>
      <c r="DO249" s="16">
        <f t="shared" ref="DO249:DO257" si="1403">DM249+DI249</f>
        <v>160895.00000000003</v>
      </c>
      <c r="DP249" s="56">
        <f t="shared" si="1371"/>
        <v>0</v>
      </c>
      <c r="DQ249" s="9">
        <v>0</v>
      </c>
      <c r="DR249" s="18" t="s">
        <v>618</v>
      </c>
      <c r="DS249" s="52">
        <f>12664+6965+14626</f>
        <v>34255</v>
      </c>
      <c r="DT249" s="324">
        <f t="shared" ref="DT249:DT257" si="1404">DQ249+DR249+DS249</f>
        <v>160895</v>
      </c>
      <c r="DU249" s="321">
        <f t="shared" ref="DU249:DU257" si="1405">DT249</f>
        <v>160895</v>
      </c>
      <c r="DV249" s="19">
        <f t="shared" ref="DV249:DV257" si="1406">DT249-DG249</f>
        <v>0</v>
      </c>
      <c r="DW249" s="9">
        <v>0</v>
      </c>
      <c r="DX249" s="18" t="s">
        <v>618</v>
      </c>
      <c r="DY249" s="52">
        <f>12664+6965</f>
        <v>19629</v>
      </c>
      <c r="DZ249" s="324">
        <f t="shared" ref="DZ249:DZ257" si="1407">DW249+DX249+DY249</f>
        <v>146269</v>
      </c>
      <c r="EA249" s="321">
        <f t="shared" ref="EA249:EA257" si="1408">DZ249</f>
        <v>146269</v>
      </c>
      <c r="EB249" s="22">
        <f t="shared" si="1372"/>
        <v>-14626</v>
      </c>
      <c r="EC249" s="4">
        <v>0</v>
      </c>
      <c r="ED249" s="4">
        <v>126640</v>
      </c>
      <c r="EE249" s="52">
        <f>12664+6965</f>
        <v>19629</v>
      </c>
      <c r="EF249" s="324">
        <f t="shared" ref="EF249:EF257" si="1409">EC249+ED249+EE249</f>
        <v>146269</v>
      </c>
      <c r="EG249" s="321">
        <f t="shared" ref="EG249:EG257" si="1410">EF249</f>
        <v>146269</v>
      </c>
      <c r="EH249" s="179">
        <f t="shared" si="1373"/>
        <v>0</v>
      </c>
      <c r="EI249" s="4">
        <v>0</v>
      </c>
      <c r="EJ249" s="4">
        <v>126640</v>
      </c>
      <c r="EK249" s="52">
        <f>12664+6965</f>
        <v>19629</v>
      </c>
      <c r="EL249" s="324">
        <f t="shared" ref="EL249:EL257" si="1411">EI249+EJ249+EK249</f>
        <v>146269</v>
      </c>
      <c r="EM249" s="321">
        <f t="shared" ref="EM249:EM257" si="1412">EL249</f>
        <v>146269</v>
      </c>
      <c r="EN249" s="179">
        <f t="shared" si="1374"/>
        <v>0</v>
      </c>
      <c r="EO249" s="4">
        <v>0</v>
      </c>
      <c r="EP249" s="4">
        <v>126640</v>
      </c>
      <c r="EQ249" s="52">
        <f>12664+6965</f>
        <v>19629</v>
      </c>
      <c r="ER249" s="324">
        <f t="shared" ref="ER249:ER257" si="1413">EO249+EP249+EQ249</f>
        <v>146269</v>
      </c>
      <c r="ES249" s="321">
        <f t="shared" ref="ES249:ES257" si="1414">ER249</f>
        <v>146269</v>
      </c>
      <c r="ET249" s="179">
        <f t="shared" si="1375"/>
        <v>0</v>
      </c>
      <c r="EU249" s="4">
        <v>0</v>
      </c>
      <c r="EV249" s="4">
        <v>126640</v>
      </c>
      <c r="EW249" s="52">
        <f>12664+6965</f>
        <v>19629</v>
      </c>
      <c r="EX249" s="324">
        <f t="shared" ref="EX249:EX257" si="1415">EU249+EV249+EW249</f>
        <v>146269</v>
      </c>
      <c r="EY249" s="321">
        <f t="shared" ref="EY249:EY257" si="1416">EX249</f>
        <v>146269</v>
      </c>
      <c r="EZ249" s="179">
        <f t="shared" si="1376"/>
        <v>0</v>
      </c>
      <c r="FA249" s="4">
        <v>0</v>
      </c>
      <c r="FB249" s="4">
        <v>126640</v>
      </c>
      <c r="FC249" s="52">
        <f>12664+6965</f>
        <v>19629</v>
      </c>
      <c r="FD249" s="324">
        <f t="shared" ref="FD249:FD257" si="1417">FA249+FB249+FC249</f>
        <v>146269</v>
      </c>
      <c r="FE249" s="321">
        <f t="shared" ref="FE249:FE257" si="1418">FD249</f>
        <v>146269</v>
      </c>
      <c r="FF249" s="179">
        <f t="shared" si="1377"/>
        <v>0</v>
      </c>
      <c r="FG249" s="4"/>
      <c r="FH249" s="4">
        <v>126640</v>
      </c>
      <c r="FI249" s="52">
        <f>12664+6965</f>
        <v>19629</v>
      </c>
      <c r="FJ249" s="324">
        <f t="shared" ref="FJ249:FJ257" si="1419">FG249+FH249+FI249</f>
        <v>146269</v>
      </c>
      <c r="FK249" s="321">
        <f t="shared" ref="FK249:FK257" si="1420">FJ249</f>
        <v>146269</v>
      </c>
      <c r="FL249" s="179">
        <f t="shared" si="1378"/>
        <v>0</v>
      </c>
      <c r="FM249" s="4">
        <v>0</v>
      </c>
      <c r="FN249" s="4">
        <v>126640</v>
      </c>
      <c r="FO249" s="52">
        <f>12664+6965</f>
        <v>19629</v>
      </c>
      <c r="FP249" s="324">
        <f t="shared" ref="FP249:FP257" si="1421">FM249+FN249+FO249</f>
        <v>146269</v>
      </c>
      <c r="FQ249" s="321">
        <f t="shared" ref="FQ249:FQ257" si="1422">FP249</f>
        <v>146269</v>
      </c>
      <c r="FR249" s="179">
        <f t="shared" si="1379"/>
        <v>0</v>
      </c>
      <c r="FS249" s="4">
        <v>0</v>
      </c>
      <c r="FT249" s="4">
        <v>126640</v>
      </c>
      <c r="FU249" s="52">
        <f>12664+6965</f>
        <v>19629</v>
      </c>
      <c r="FV249" s="324">
        <f t="shared" ref="FV249:FV257" si="1423">FS249+FT249+FU249</f>
        <v>146269</v>
      </c>
      <c r="FW249" s="321">
        <f t="shared" ref="FW249:FW257" si="1424">FV249</f>
        <v>146269</v>
      </c>
      <c r="FX249" s="179">
        <f t="shared" si="1380"/>
        <v>0</v>
      </c>
      <c r="FY249" s="4">
        <v>0</v>
      </c>
      <c r="FZ249" s="4">
        <v>126640</v>
      </c>
      <c r="GA249" s="52">
        <f>12664+6965</f>
        <v>19629</v>
      </c>
      <c r="GB249" s="324">
        <f t="shared" ref="GB249:GB257" si="1425">FY249+FZ249+GA249</f>
        <v>146269</v>
      </c>
      <c r="GC249" s="321">
        <f t="shared" ref="GC249:GC257" si="1426">GB249</f>
        <v>146269</v>
      </c>
      <c r="GD249" s="179">
        <f t="shared" si="1381"/>
        <v>0</v>
      </c>
      <c r="GE249" s="4">
        <v>0</v>
      </c>
      <c r="GF249" s="4">
        <v>126640</v>
      </c>
      <c r="GG249" s="52">
        <f>12664+6965</f>
        <v>19629</v>
      </c>
      <c r="GH249" s="324">
        <f t="shared" ref="GH249:GH257" si="1427">GE249+GF249+GG249</f>
        <v>146269</v>
      </c>
      <c r="GI249" s="321">
        <f t="shared" ref="GI249:GI257" si="1428">GH249</f>
        <v>146269</v>
      </c>
      <c r="GJ249" s="179">
        <f t="shared" si="1382"/>
        <v>0</v>
      </c>
      <c r="GK249" s="4">
        <v>0</v>
      </c>
      <c r="GL249" s="4">
        <v>126640</v>
      </c>
      <c r="GM249" s="52">
        <f>12664+6965</f>
        <v>19629</v>
      </c>
      <c r="GN249" s="324">
        <f t="shared" ref="GN249:GN257" si="1429">GK249+GL249+GM249</f>
        <v>146269</v>
      </c>
      <c r="GO249" s="321">
        <f t="shared" ref="GO249:GO257" si="1430">GN249</f>
        <v>146269</v>
      </c>
      <c r="GP249" s="179">
        <f t="shared" si="1383"/>
        <v>0</v>
      </c>
      <c r="GQ249" s="4">
        <v>0</v>
      </c>
      <c r="GR249" s="4">
        <v>126640</v>
      </c>
      <c r="GS249" s="52">
        <f>12664+6965</f>
        <v>19629</v>
      </c>
      <c r="GT249" s="324">
        <f t="shared" ref="GT249:GT257" si="1431">GQ249+GR249+GS249</f>
        <v>146269</v>
      </c>
      <c r="GU249" s="321">
        <f t="shared" ref="GU249:GU257" si="1432">GT249</f>
        <v>146269</v>
      </c>
      <c r="GV249" s="179">
        <f t="shared" si="1384"/>
        <v>0</v>
      </c>
      <c r="GW249" s="4">
        <v>0</v>
      </c>
      <c r="GX249" s="4">
        <v>126640</v>
      </c>
      <c r="GY249" s="52">
        <f>12664+6965+7313</f>
        <v>26942</v>
      </c>
      <c r="GZ249" s="324">
        <f t="shared" ref="GZ249:GZ257" si="1433">GW249+GX249+GY249</f>
        <v>153582</v>
      </c>
      <c r="HA249" s="321">
        <f t="shared" ref="HA249:HA257" si="1434">GZ249</f>
        <v>153582</v>
      </c>
      <c r="HB249" s="179">
        <f t="shared" si="1385"/>
        <v>7313</v>
      </c>
      <c r="HC249" s="102">
        <f t="shared" si="1386"/>
        <v>1.0401449900661346E-2</v>
      </c>
      <c r="HD249" s="285">
        <f>HB249-HO249</f>
        <v>-1.0913936421275139E-11</v>
      </c>
      <c r="HE249" s="12">
        <f>GT249*0.05</f>
        <v>7313.4500000000007</v>
      </c>
      <c r="HF249" s="12">
        <f t="shared" si="1387"/>
        <v>0.4500000000007276</v>
      </c>
      <c r="HG249" s="12">
        <f>HE249-HF249</f>
        <v>7313</v>
      </c>
      <c r="HH249" s="14">
        <f>HG249:HG249</f>
        <v>7313</v>
      </c>
      <c r="HI249" s="13">
        <f>HG249+GT249</f>
        <v>153582</v>
      </c>
      <c r="HJ249" s="102">
        <f>100/1406236643.9*HI249</f>
        <v>1.0921490395390485E-2</v>
      </c>
      <c r="HK249" s="16">
        <f>GT249</f>
        <v>146269</v>
      </c>
      <c r="HL249" s="103">
        <f>HK249*1.05</f>
        <v>153582.45000000001</v>
      </c>
      <c r="HM249" s="103">
        <f>HL249-HK249</f>
        <v>7313.4500000000116</v>
      </c>
      <c r="HN249" s="17">
        <f>HF249</f>
        <v>0.4500000000007276</v>
      </c>
      <c r="HO249" s="56">
        <f>HM249-HN249</f>
        <v>7313.0000000000109</v>
      </c>
      <c r="HP249" s="16">
        <f>HO249-HG249</f>
        <v>1.0913936421275139E-11</v>
      </c>
      <c r="HQ249" s="16">
        <f>HO249+HK249</f>
        <v>153582</v>
      </c>
      <c r="HR249" s="16">
        <f>HQ249-HI249</f>
        <v>0</v>
      </c>
    </row>
    <row r="250" spans="1:226" x14ac:dyDescent="0.3">
      <c r="A250" s="310">
        <v>3</v>
      </c>
      <c r="B250" s="133"/>
      <c r="C250" s="310" t="s">
        <v>310</v>
      </c>
      <c r="D250" s="2" t="s">
        <v>126</v>
      </c>
      <c r="E250" s="9"/>
      <c r="F250" s="9"/>
      <c r="G250" s="9"/>
      <c r="H250" s="324"/>
      <c r="I250" s="324">
        <v>0</v>
      </c>
      <c r="J250" s="324"/>
      <c r="K250" s="324"/>
      <c r="L250" s="324">
        <v>0</v>
      </c>
      <c r="M250" s="23">
        <v>0</v>
      </c>
      <c r="N250" s="23">
        <v>0</v>
      </c>
      <c r="O250" s="298">
        <v>0</v>
      </c>
      <c r="P250" s="298">
        <v>0</v>
      </c>
      <c r="Q250" s="298">
        <v>0</v>
      </c>
      <c r="R250" s="298">
        <v>0</v>
      </c>
      <c r="S250" s="298">
        <v>0</v>
      </c>
      <c r="T250" s="298">
        <v>0</v>
      </c>
      <c r="U250" s="298">
        <f t="shared" si="1388"/>
        <v>0</v>
      </c>
      <c r="V250" s="298">
        <f t="shared" si="1389"/>
        <v>0</v>
      </c>
      <c r="W250" s="298">
        <v>0</v>
      </c>
      <c r="X250" s="298">
        <v>0</v>
      </c>
      <c r="Y250" s="298">
        <v>0</v>
      </c>
      <c r="Z250" s="298">
        <v>0</v>
      </c>
      <c r="AA250" s="298">
        <v>0</v>
      </c>
      <c r="AB250" s="298">
        <v>0</v>
      </c>
      <c r="AC250" s="298">
        <v>0</v>
      </c>
      <c r="AD250" s="298">
        <v>0</v>
      </c>
      <c r="AE250" s="298">
        <f t="shared" si="1390"/>
        <v>0</v>
      </c>
      <c r="AF250" s="298">
        <v>0</v>
      </c>
      <c r="AG250" s="298">
        <v>0</v>
      </c>
      <c r="AH250" s="298">
        <v>0</v>
      </c>
      <c r="AI250" s="298">
        <f t="shared" si="1391"/>
        <v>0</v>
      </c>
      <c r="AJ250" s="298">
        <v>0</v>
      </c>
      <c r="AK250" s="298">
        <v>0</v>
      </c>
      <c r="AL250" s="298">
        <v>0</v>
      </c>
      <c r="AM250" s="298">
        <f t="shared" si="1344"/>
        <v>0</v>
      </c>
      <c r="AN250" s="298">
        <v>0</v>
      </c>
      <c r="AO250" s="298">
        <v>0</v>
      </c>
      <c r="AP250" s="298">
        <v>0</v>
      </c>
      <c r="AQ250" s="298">
        <f t="shared" si="1345"/>
        <v>0</v>
      </c>
      <c r="AR250" s="298"/>
      <c r="AS250" s="298">
        <v>0</v>
      </c>
      <c r="AT250" s="298">
        <v>0</v>
      </c>
      <c r="AU250" s="298">
        <f t="shared" si="1346"/>
        <v>0</v>
      </c>
      <c r="AV250" s="298"/>
      <c r="AW250" s="298">
        <v>0</v>
      </c>
      <c r="AX250" s="298">
        <v>0</v>
      </c>
      <c r="AY250" s="298">
        <f t="shared" si="1347"/>
        <v>0</v>
      </c>
      <c r="AZ250" s="8">
        <f t="shared" si="1392"/>
        <v>0</v>
      </c>
      <c r="BA250" s="8"/>
      <c r="BB250" s="8">
        <f t="shared" si="1393"/>
        <v>0</v>
      </c>
      <c r="BC250" s="8">
        <f t="shared" si="1394"/>
        <v>0</v>
      </c>
      <c r="BD250" s="8"/>
      <c r="BE250" s="8">
        <f t="shared" si="1395"/>
        <v>0</v>
      </c>
      <c r="BF250" s="10">
        <f t="shared" si="1396"/>
        <v>0</v>
      </c>
      <c r="BG250" s="11">
        <f t="shared" si="1397"/>
        <v>0</v>
      </c>
      <c r="BH250" s="319">
        <v>0</v>
      </c>
      <c r="BI250" s="319">
        <v>0</v>
      </c>
      <c r="BJ250" s="319">
        <v>0</v>
      </c>
      <c r="BK250" s="319">
        <f t="shared" si="1348"/>
        <v>0</v>
      </c>
      <c r="BL250" s="319">
        <v>0</v>
      </c>
      <c r="BM250" s="319">
        <v>0</v>
      </c>
      <c r="BN250" s="319">
        <v>0</v>
      </c>
      <c r="BO250" s="319">
        <f t="shared" si="1349"/>
        <v>0</v>
      </c>
      <c r="BP250" s="319">
        <f t="shared" si="1398"/>
        <v>0</v>
      </c>
      <c r="BQ250" s="319">
        <v>0</v>
      </c>
      <c r="BR250" s="319">
        <v>0</v>
      </c>
      <c r="BS250" s="319">
        <v>0</v>
      </c>
      <c r="BT250" s="319">
        <f t="shared" si="1350"/>
        <v>0</v>
      </c>
      <c r="BU250" s="319">
        <f t="shared" si="1351"/>
        <v>0</v>
      </c>
      <c r="BV250" s="319">
        <v>0</v>
      </c>
      <c r="BW250" s="319">
        <v>0</v>
      </c>
      <c r="BX250" s="319">
        <v>0</v>
      </c>
      <c r="BY250" s="319">
        <f t="shared" si="1352"/>
        <v>0</v>
      </c>
      <c r="BZ250" s="319">
        <f t="shared" si="1353"/>
        <v>0</v>
      </c>
      <c r="CA250" s="319">
        <v>0</v>
      </c>
      <c r="CB250" s="319">
        <v>0</v>
      </c>
      <c r="CC250" s="319">
        <v>0</v>
      </c>
      <c r="CD250" s="319">
        <f t="shared" si="1354"/>
        <v>0</v>
      </c>
      <c r="CE250" s="319">
        <f t="shared" si="1355"/>
        <v>0</v>
      </c>
      <c r="CF250" s="319"/>
      <c r="CG250" s="319">
        <v>0</v>
      </c>
      <c r="CH250" s="319">
        <v>0</v>
      </c>
      <c r="CI250" s="319">
        <f t="shared" si="1356"/>
        <v>0</v>
      </c>
      <c r="CJ250" s="319">
        <f t="shared" si="1357"/>
        <v>0</v>
      </c>
      <c r="CK250" s="319">
        <v>0</v>
      </c>
      <c r="CL250" s="319">
        <v>0</v>
      </c>
      <c r="CM250" s="319">
        <v>0</v>
      </c>
      <c r="CN250" s="319">
        <f t="shared" si="1358"/>
        <v>0</v>
      </c>
      <c r="CO250" s="319">
        <f t="shared" si="1359"/>
        <v>0</v>
      </c>
      <c r="CP250" s="319">
        <v>0</v>
      </c>
      <c r="CQ250" s="319">
        <v>0</v>
      </c>
      <c r="CR250" s="319">
        <v>0</v>
      </c>
      <c r="CS250" s="319">
        <f t="shared" si="1360"/>
        <v>0</v>
      </c>
      <c r="CT250" s="319">
        <f t="shared" si="1361"/>
        <v>0</v>
      </c>
      <c r="CU250" s="319">
        <v>0</v>
      </c>
      <c r="CV250" s="319">
        <v>0</v>
      </c>
      <c r="CW250" s="319">
        <v>0</v>
      </c>
      <c r="CX250" s="319">
        <f t="shared" si="1362"/>
        <v>0</v>
      </c>
      <c r="CY250" s="319">
        <f t="shared" si="1363"/>
        <v>0</v>
      </c>
      <c r="CZ250" s="319"/>
      <c r="DA250" s="319"/>
      <c r="DB250" s="319"/>
      <c r="DC250" s="12">
        <f t="shared" ref="DC250:DC257" si="1435">CX250*10%</f>
        <v>0</v>
      </c>
      <c r="DD250" s="12">
        <v>0</v>
      </c>
      <c r="DE250" s="13">
        <f t="shared" si="1399"/>
        <v>0</v>
      </c>
      <c r="DF250" s="14">
        <f t="shared" si="1365"/>
        <v>0</v>
      </c>
      <c r="DG250" s="13">
        <f t="shared" si="1366"/>
        <v>0</v>
      </c>
      <c r="DH250" s="15">
        <f t="shared" si="1367"/>
        <v>0</v>
      </c>
      <c r="DI250" s="16">
        <f t="shared" si="1368"/>
        <v>0</v>
      </c>
      <c r="DJ250" s="132">
        <f t="shared" si="1400"/>
        <v>0</v>
      </c>
      <c r="DK250" s="17">
        <f t="shared" si="1401"/>
        <v>0</v>
      </c>
      <c r="DL250" s="17">
        <f t="shared" si="1369"/>
        <v>0</v>
      </c>
      <c r="DM250" s="16">
        <f t="shared" si="1402"/>
        <v>0</v>
      </c>
      <c r="DN250" s="16">
        <f t="shared" si="1370"/>
        <v>0</v>
      </c>
      <c r="DO250" s="16">
        <f t="shared" si="1403"/>
        <v>0</v>
      </c>
      <c r="DP250" s="16">
        <f t="shared" si="1371"/>
        <v>0</v>
      </c>
      <c r="DQ250" s="9">
        <v>0</v>
      </c>
      <c r="DR250" s="18" t="s">
        <v>238</v>
      </c>
      <c r="DS250" s="18" t="s">
        <v>238</v>
      </c>
      <c r="DT250" s="324">
        <f t="shared" si="1404"/>
        <v>0</v>
      </c>
      <c r="DU250" s="321">
        <f t="shared" si="1405"/>
        <v>0</v>
      </c>
      <c r="DV250" s="19">
        <f t="shared" si="1406"/>
        <v>0</v>
      </c>
      <c r="DW250" s="9"/>
      <c r="DX250" s="18"/>
      <c r="DY250" s="18"/>
      <c r="DZ250" s="324">
        <f t="shared" si="1407"/>
        <v>0</v>
      </c>
      <c r="EA250" s="321">
        <f t="shared" si="1408"/>
        <v>0</v>
      </c>
      <c r="EB250" s="179">
        <f t="shared" si="1372"/>
        <v>0</v>
      </c>
      <c r="EC250" s="9">
        <v>0</v>
      </c>
      <c r="ED250" s="9">
        <v>0</v>
      </c>
      <c r="EE250" s="9">
        <v>0</v>
      </c>
      <c r="EF250" s="324">
        <f t="shared" si="1409"/>
        <v>0</v>
      </c>
      <c r="EG250" s="321">
        <f t="shared" si="1410"/>
        <v>0</v>
      </c>
      <c r="EH250" s="179">
        <f t="shared" si="1373"/>
        <v>0</v>
      </c>
      <c r="EI250" s="9">
        <v>0</v>
      </c>
      <c r="EJ250" s="9">
        <v>0</v>
      </c>
      <c r="EK250" s="9">
        <v>0</v>
      </c>
      <c r="EL250" s="324">
        <f t="shared" si="1411"/>
        <v>0</v>
      </c>
      <c r="EM250" s="321">
        <f t="shared" si="1412"/>
        <v>0</v>
      </c>
      <c r="EN250" s="179">
        <f t="shared" si="1374"/>
        <v>0</v>
      </c>
      <c r="EO250" s="9">
        <v>0</v>
      </c>
      <c r="EP250" s="9">
        <v>0</v>
      </c>
      <c r="EQ250" s="9">
        <v>0</v>
      </c>
      <c r="ER250" s="324">
        <f t="shared" si="1413"/>
        <v>0</v>
      </c>
      <c r="ES250" s="321">
        <f t="shared" si="1414"/>
        <v>0</v>
      </c>
      <c r="ET250" s="179">
        <f t="shared" si="1375"/>
        <v>0</v>
      </c>
      <c r="EU250" s="9">
        <v>0</v>
      </c>
      <c r="EV250" s="9">
        <v>0</v>
      </c>
      <c r="EW250" s="9">
        <v>0</v>
      </c>
      <c r="EX250" s="324">
        <f t="shared" si="1415"/>
        <v>0</v>
      </c>
      <c r="EY250" s="321">
        <f t="shared" si="1416"/>
        <v>0</v>
      </c>
      <c r="EZ250" s="179">
        <f t="shared" si="1376"/>
        <v>0</v>
      </c>
      <c r="FA250" s="9">
        <v>0</v>
      </c>
      <c r="FB250" s="9">
        <v>0</v>
      </c>
      <c r="FC250" s="9">
        <v>0</v>
      </c>
      <c r="FD250" s="324">
        <f t="shared" si="1417"/>
        <v>0</v>
      </c>
      <c r="FE250" s="321">
        <f t="shared" si="1418"/>
        <v>0</v>
      </c>
      <c r="FF250" s="179">
        <f t="shared" si="1377"/>
        <v>0</v>
      </c>
      <c r="FG250" s="18" t="s">
        <v>238</v>
      </c>
      <c r="FH250" s="18" t="s">
        <v>238</v>
      </c>
      <c r="FI250" s="18" t="s">
        <v>238</v>
      </c>
      <c r="FJ250" s="324">
        <f t="shared" si="1419"/>
        <v>0</v>
      </c>
      <c r="FK250" s="321">
        <f t="shared" si="1420"/>
        <v>0</v>
      </c>
      <c r="FL250" s="179">
        <f t="shared" si="1378"/>
        <v>0</v>
      </c>
      <c r="FM250" s="18" t="s">
        <v>238</v>
      </c>
      <c r="FN250" s="18" t="s">
        <v>238</v>
      </c>
      <c r="FO250" s="18" t="s">
        <v>238</v>
      </c>
      <c r="FP250" s="324">
        <f t="shared" si="1421"/>
        <v>0</v>
      </c>
      <c r="FQ250" s="321">
        <f t="shared" si="1422"/>
        <v>0</v>
      </c>
      <c r="FR250" s="179">
        <f t="shared" si="1379"/>
        <v>0</v>
      </c>
      <c r="FS250" s="18" t="s">
        <v>238</v>
      </c>
      <c r="FT250" s="18" t="s">
        <v>238</v>
      </c>
      <c r="FU250" s="18" t="s">
        <v>238</v>
      </c>
      <c r="FV250" s="324">
        <f t="shared" si="1423"/>
        <v>0</v>
      </c>
      <c r="FW250" s="321">
        <f t="shared" si="1424"/>
        <v>0</v>
      </c>
      <c r="FX250" s="179">
        <f t="shared" si="1380"/>
        <v>0</v>
      </c>
      <c r="FY250" s="18" t="s">
        <v>238</v>
      </c>
      <c r="FZ250" s="18" t="s">
        <v>238</v>
      </c>
      <c r="GA250" s="18" t="s">
        <v>238</v>
      </c>
      <c r="GB250" s="324">
        <f t="shared" si="1425"/>
        <v>0</v>
      </c>
      <c r="GC250" s="321">
        <f t="shared" si="1426"/>
        <v>0</v>
      </c>
      <c r="GD250" s="179">
        <f t="shared" si="1381"/>
        <v>0</v>
      </c>
      <c r="GE250" s="18" t="s">
        <v>238</v>
      </c>
      <c r="GF250" s="18" t="s">
        <v>238</v>
      </c>
      <c r="GG250" s="18" t="s">
        <v>238</v>
      </c>
      <c r="GH250" s="324">
        <f t="shared" si="1427"/>
        <v>0</v>
      </c>
      <c r="GI250" s="321">
        <f t="shared" si="1428"/>
        <v>0</v>
      </c>
      <c r="GJ250" s="179">
        <f t="shared" si="1382"/>
        <v>0</v>
      </c>
      <c r="GK250" s="18" t="s">
        <v>238</v>
      </c>
      <c r="GL250" s="18" t="s">
        <v>238</v>
      </c>
      <c r="GM250" s="18" t="s">
        <v>238</v>
      </c>
      <c r="GN250" s="324">
        <f t="shared" si="1429"/>
        <v>0</v>
      </c>
      <c r="GO250" s="321">
        <f t="shared" si="1430"/>
        <v>0</v>
      </c>
      <c r="GP250" s="179">
        <f t="shared" si="1383"/>
        <v>0</v>
      </c>
      <c r="GQ250" s="18" t="s">
        <v>238</v>
      </c>
      <c r="GR250" s="18" t="s">
        <v>238</v>
      </c>
      <c r="GS250" s="18" t="s">
        <v>238</v>
      </c>
      <c r="GT250" s="324">
        <f t="shared" si="1431"/>
        <v>0</v>
      </c>
      <c r="GU250" s="321">
        <f t="shared" si="1432"/>
        <v>0</v>
      </c>
      <c r="GV250" s="179">
        <f t="shared" si="1384"/>
        <v>0</v>
      </c>
      <c r="GW250" s="18" t="s">
        <v>238</v>
      </c>
      <c r="GX250" s="18" t="s">
        <v>238</v>
      </c>
      <c r="GY250" s="18" t="s">
        <v>238</v>
      </c>
      <c r="GZ250" s="324">
        <f t="shared" si="1433"/>
        <v>0</v>
      </c>
      <c r="HA250" s="321">
        <f t="shared" si="1434"/>
        <v>0</v>
      </c>
      <c r="HB250" s="179">
        <f t="shared" si="1385"/>
        <v>0</v>
      </c>
      <c r="HC250" s="102">
        <f t="shared" si="1386"/>
        <v>0</v>
      </c>
      <c r="HD250" s="285">
        <f t="shared" ref="HD250:HD257" si="1436">HB250-HO250</f>
        <v>0</v>
      </c>
      <c r="HE250" s="12">
        <f t="shared" ref="HE250:HE257" si="1437">GT250*0.05</f>
        <v>0</v>
      </c>
      <c r="HF250" s="12">
        <f t="shared" si="1387"/>
        <v>0</v>
      </c>
      <c r="HG250" s="12">
        <f t="shared" ref="HG250:HG257" si="1438">HE250-HF250</f>
        <v>0</v>
      </c>
      <c r="HH250" s="14">
        <f t="shared" ref="HH250:HH257" si="1439">HG250:HG250</f>
        <v>0</v>
      </c>
      <c r="HI250" s="13">
        <f t="shared" ref="HI250:HI257" si="1440">HG250+GT250</f>
        <v>0</v>
      </c>
      <c r="HJ250" s="102">
        <f t="shared" ref="HJ250:HJ257" si="1441">100/1406236643.9*HI250</f>
        <v>0</v>
      </c>
      <c r="HK250" s="16">
        <f t="shared" ref="HK250:HK257" si="1442">GT250</f>
        <v>0</v>
      </c>
      <c r="HL250" s="103">
        <f t="shared" ref="HL250:HL257" si="1443">HK250*1.05</f>
        <v>0</v>
      </c>
      <c r="HM250" s="103">
        <f t="shared" ref="HM250:HM257" si="1444">HL250-HK250</f>
        <v>0</v>
      </c>
      <c r="HN250" s="17">
        <f t="shared" ref="HN250:HN257" si="1445">HF250</f>
        <v>0</v>
      </c>
      <c r="HO250" s="56">
        <f t="shared" ref="HO250:HO257" si="1446">HM250-HN250</f>
        <v>0</v>
      </c>
      <c r="HP250" s="16">
        <f t="shared" ref="HP250:HP257" si="1447">HO250-HG250</f>
        <v>0</v>
      </c>
      <c r="HQ250" s="16">
        <f t="shared" ref="HQ250:HQ257" si="1448">HO250+HK250</f>
        <v>0</v>
      </c>
      <c r="HR250" s="16">
        <f t="shared" ref="HR250:HR257" si="1449">HQ250-HI250</f>
        <v>0</v>
      </c>
    </row>
    <row r="251" spans="1:226" x14ac:dyDescent="0.3">
      <c r="A251" s="310">
        <v>4</v>
      </c>
      <c r="B251" s="133"/>
      <c r="C251" s="310" t="s">
        <v>309</v>
      </c>
      <c r="D251" s="2" t="s">
        <v>127</v>
      </c>
      <c r="E251" s="9"/>
      <c r="F251" s="9"/>
      <c r="G251" s="9"/>
      <c r="H251" s="324"/>
      <c r="I251" s="324">
        <v>0</v>
      </c>
      <c r="J251" s="324"/>
      <c r="K251" s="324"/>
      <c r="L251" s="324">
        <v>0</v>
      </c>
      <c r="M251" s="23">
        <v>0</v>
      </c>
      <c r="N251" s="23">
        <v>0</v>
      </c>
      <c r="O251" s="298">
        <v>0</v>
      </c>
      <c r="P251" s="298">
        <v>0</v>
      </c>
      <c r="Q251" s="298">
        <v>0</v>
      </c>
      <c r="R251" s="298">
        <v>0</v>
      </c>
      <c r="S251" s="298">
        <v>0</v>
      </c>
      <c r="T251" s="298">
        <v>0</v>
      </c>
      <c r="U251" s="298">
        <f t="shared" si="1388"/>
        <v>0</v>
      </c>
      <c r="V251" s="298">
        <f t="shared" si="1389"/>
        <v>0</v>
      </c>
      <c r="W251" s="298">
        <v>0</v>
      </c>
      <c r="X251" s="298">
        <v>0</v>
      </c>
      <c r="Y251" s="298">
        <v>0</v>
      </c>
      <c r="Z251" s="298">
        <v>0</v>
      </c>
      <c r="AA251" s="298">
        <v>0</v>
      </c>
      <c r="AB251" s="298">
        <v>0</v>
      </c>
      <c r="AC251" s="298">
        <v>0</v>
      </c>
      <c r="AD251" s="298">
        <v>0</v>
      </c>
      <c r="AE251" s="298">
        <f t="shared" si="1390"/>
        <v>0</v>
      </c>
      <c r="AF251" s="298">
        <v>0</v>
      </c>
      <c r="AG251" s="298">
        <v>0</v>
      </c>
      <c r="AH251" s="298">
        <v>0</v>
      </c>
      <c r="AI251" s="298">
        <f t="shared" si="1391"/>
        <v>0</v>
      </c>
      <c r="AJ251" s="298">
        <v>0</v>
      </c>
      <c r="AK251" s="298">
        <v>0</v>
      </c>
      <c r="AL251" s="298">
        <v>0</v>
      </c>
      <c r="AM251" s="298">
        <f t="shared" si="1344"/>
        <v>0</v>
      </c>
      <c r="AN251" s="298">
        <v>0</v>
      </c>
      <c r="AO251" s="298">
        <v>0</v>
      </c>
      <c r="AP251" s="298">
        <v>0</v>
      </c>
      <c r="AQ251" s="298">
        <f t="shared" si="1345"/>
        <v>0</v>
      </c>
      <c r="AR251" s="298"/>
      <c r="AS251" s="298">
        <v>0</v>
      </c>
      <c r="AT251" s="298">
        <v>0</v>
      </c>
      <c r="AU251" s="298">
        <f t="shared" si="1346"/>
        <v>0</v>
      </c>
      <c r="AV251" s="298"/>
      <c r="AW251" s="298">
        <v>0</v>
      </c>
      <c r="AX251" s="298">
        <v>0</v>
      </c>
      <c r="AY251" s="298">
        <f t="shared" si="1347"/>
        <v>0</v>
      </c>
      <c r="AZ251" s="8">
        <f t="shared" si="1392"/>
        <v>0</v>
      </c>
      <c r="BA251" s="8"/>
      <c r="BB251" s="8">
        <f t="shared" si="1393"/>
        <v>0</v>
      </c>
      <c r="BC251" s="8">
        <f t="shared" si="1394"/>
        <v>0</v>
      </c>
      <c r="BD251" s="8"/>
      <c r="BE251" s="8">
        <f t="shared" si="1395"/>
        <v>0</v>
      </c>
      <c r="BF251" s="10">
        <f t="shared" si="1396"/>
        <v>0</v>
      </c>
      <c r="BG251" s="11">
        <f t="shared" si="1397"/>
        <v>0</v>
      </c>
      <c r="BH251" s="319">
        <v>0</v>
      </c>
      <c r="BI251" s="319">
        <v>0</v>
      </c>
      <c r="BJ251" s="319">
        <v>0</v>
      </c>
      <c r="BK251" s="319">
        <f t="shared" si="1348"/>
        <v>0</v>
      </c>
      <c r="BL251" s="319">
        <v>0</v>
      </c>
      <c r="BM251" s="319">
        <v>0</v>
      </c>
      <c r="BN251" s="319">
        <v>0</v>
      </c>
      <c r="BO251" s="319">
        <f t="shared" si="1349"/>
        <v>0</v>
      </c>
      <c r="BP251" s="319">
        <f t="shared" si="1398"/>
        <v>0</v>
      </c>
      <c r="BQ251" s="319">
        <v>0</v>
      </c>
      <c r="BR251" s="319">
        <v>0</v>
      </c>
      <c r="BS251" s="319">
        <v>0</v>
      </c>
      <c r="BT251" s="319">
        <f t="shared" si="1350"/>
        <v>0</v>
      </c>
      <c r="BU251" s="319">
        <f t="shared" si="1351"/>
        <v>0</v>
      </c>
      <c r="BV251" s="319">
        <v>0</v>
      </c>
      <c r="BW251" s="319">
        <v>0</v>
      </c>
      <c r="BX251" s="319">
        <v>0</v>
      </c>
      <c r="BY251" s="319">
        <f t="shared" si="1352"/>
        <v>0</v>
      </c>
      <c r="BZ251" s="319">
        <f t="shared" si="1353"/>
        <v>0</v>
      </c>
      <c r="CA251" s="319">
        <v>0</v>
      </c>
      <c r="CB251" s="319">
        <v>0</v>
      </c>
      <c r="CC251" s="319">
        <v>0</v>
      </c>
      <c r="CD251" s="319">
        <f t="shared" si="1354"/>
        <v>0</v>
      </c>
      <c r="CE251" s="319">
        <f t="shared" si="1355"/>
        <v>0</v>
      </c>
      <c r="CF251" s="319"/>
      <c r="CG251" s="319">
        <v>0</v>
      </c>
      <c r="CH251" s="319">
        <v>0</v>
      </c>
      <c r="CI251" s="319">
        <f t="shared" si="1356"/>
        <v>0</v>
      </c>
      <c r="CJ251" s="319">
        <f t="shared" si="1357"/>
        <v>0</v>
      </c>
      <c r="CK251" s="319">
        <v>0</v>
      </c>
      <c r="CL251" s="319">
        <v>0</v>
      </c>
      <c r="CM251" s="319">
        <v>0</v>
      </c>
      <c r="CN251" s="319">
        <f t="shared" si="1358"/>
        <v>0</v>
      </c>
      <c r="CO251" s="319">
        <f t="shared" si="1359"/>
        <v>0</v>
      </c>
      <c r="CP251" s="319">
        <v>0</v>
      </c>
      <c r="CQ251" s="319">
        <v>0</v>
      </c>
      <c r="CR251" s="319">
        <v>0</v>
      </c>
      <c r="CS251" s="319">
        <f t="shared" si="1360"/>
        <v>0</v>
      </c>
      <c r="CT251" s="319">
        <f t="shared" si="1361"/>
        <v>0</v>
      </c>
      <c r="CU251" s="319">
        <v>0</v>
      </c>
      <c r="CV251" s="319">
        <v>0</v>
      </c>
      <c r="CW251" s="319">
        <v>0</v>
      </c>
      <c r="CX251" s="319">
        <f t="shared" si="1362"/>
        <v>0</v>
      </c>
      <c r="CY251" s="319">
        <f t="shared" si="1363"/>
        <v>0</v>
      </c>
      <c r="CZ251" s="319"/>
      <c r="DA251" s="319"/>
      <c r="DB251" s="319"/>
      <c r="DC251" s="12">
        <f t="shared" si="1435"/>
        <v>0</v>
      </c>
      <c r="DD251" s="12">
        <v>0</v>
      </c>
      <c r="DE251" s="13">
        <f t="shared" si="1399"/>
        <v>0</v>
      </c>
      <c r="DF251" s="14">
        <f t="shared" si="1365"/>
        <v>0</v>
      </c>
      <c r="DG251" s="13">
        <f t="shared" si="1366"/>
        <v>0</v>
      </c>
      <c r="DH251" s="15">
        <f t="shared" si="1367"/>
        <v>0</v>
      </c>
      <c r="DI251" s="16">
        <f t="shared" si="1368"/>
        <v>0</v>
      </c>
      <c r="DJ251" s="132">
        <f t="shared" si="1400"/>
        <v>0</v>
      </c>
      <c r="DK251" s="17">
        <f t="shared" si="1401"/>
        <v>0</v>
      </c>
      <c r="DL251" s="17">
        <f t="shared" si="1369"/>
        <v>0</v>
      </c>
      <c r="DM251" s="16">
        <f t="shared" si="1402"/>
        <v>0</v>
      </c>
      <c r="DN251" s="16">
        <f t="shared" si="1370"/>
        <v>0</v>
      </c>
      <c r="DO251" s="16">
        <f t="shared" si="1403"/>
        <v>0</v>
      </c>
      <c r="DP251" s="16">
        <f t="shared" si="1371"/>
        <v>0</v>
      </c>
      <c r="DQ251" s="9">
        <v>0</v>
      </c>
      <c r="DR251" s="18" t="s">
        <v>238</v>
      </c>
      <c r="DS251" s="18" t="s">
        <v>238</v>
      </c>
      <c r="DT251" s="324">
        <f t="shared" si="1404"/>
        <v>0</v>
      </c>
      <c r="DU251" s="321">
        <f t="shared" si="1405"/>
        <v>0</v>
      </c>
      <c r="DV251" s="19">
        <f t="shared" si="1406"/>
        <v>0</v>
      </c>
      <c r="DW251" s="9"/>
      <c r="DX251" s="18"/>
      <c r="DY251" s="18"/>
      <c r="DZ251" s="324">
        <f t="shared" si="1407"/>
        <v>0</v>
      </c>
      <c r="EA251" s="321">
        <f t="shared" si="1408"/>
        <v>0</v>
      </c>
      <c r="EB251" s="179">
        <f t="shared" si="1372"/>
        <v>0</v>
      </c>
      <c r="EC251" s="9">
        <v>0</v>
      </c>
      <c r="ED251" s="9">
        <v>0</v>
      </c>
      <c r="EE251" s="9">
        <v>0</v>
      </c>
      <c r="EF251" s="324">
        <f t="shared" si="1409"/>
        <v>0</v>
      </c>
      <c r="EG251" s="321">
        <f t="shared" si="1410"/>
        <v>0</v>
      </c>
      <c r="EH251" s="179">
        <f t="shared" si="1373"/>
        <v>0</v>
      </c>
      <c r="EI251" s="9">
        <v>0</v>
      </c>
      <c r="EJ251" s="9">
        <v>0</v>
      </c>
      <c r="EK251" s="9">
        <v>0</v>
      </c>
      <c r="EL251" s="324">
        <f t="shared" si="1411"/>
        <v>0</v>
      </c>
      <c r="EM251" s="321">
        <f t="shared" si="1412"/>
        <v>0</v>
      </c>
      <c r="EN251" s="179">
        <f t="shared" si="1374"/>
        <v>0</v>
      </c>
      <c r="EO251" s="9">
        <v>0</v>
      </c>
      <c r="EP251" s="9">
        <v>0</v>
      </c>
      <c r="EQ251" s="9">
        <v>0</v>
      </c>
      <c r="ER251" s="324">
        <f t="shared" si="1413"/>
        <v>0</v>
      </c>
      <c r="ES251" s="321">
        <f t="shared" si="1414"/>
        <v>0</v>
      </c>
      <c r="ET251" s="179">
        <f t="shared" si="1375"/>
        <v>0</v>
      </c>
      <c r="EU251" s="9">
        <v>0</v>
      </c>
      <c r="EV251" s="9">
        <v>0</v>
      </c>
      <c r="EW251" s="9">
        <v>0</v>
      </c>
      <c r="EX251" s="324">
        <f t="shared" si="1415"/>
        <v>0</v>
      </c>
      <c r="EY251" s="321">
        <f t="shared" si="1416"/>
        <v>0</v>
      </c>
      <c r="EZ251" s="179">
        <f t="shared" si="1376"/>
        <v>0</v>
      </c>
      <c r="FA251" s="9">
        <v>0</v>
      </c>
      <c r="FB251" s="9">
        <v>0</v>
      </c>
      <c r="FC251" s="9">
        <v>0</v>
      </c>
      <c r="FD251" s="324">
        <f t="shared" si="1417"/>
        <v>0</v>
      </c>
      <c r="FE251" s="321">
        <f t="shared" si="1418"/>
        <v>0</v>
      </c>
      <c r="FF251" s="179">
        <f t="shared" si="1377"/>
        <v>0</v>
      </c>
      <c r="FG251" s="18" t="s">
        <v>238</v>
      </c>
      <c r="FH251" s="18" t="s">
        <v>238</v>
      </c>
      <c r="FI251" s="18" t="s">
        <v>238</v>
      </c>
      <c r="FJ251" s="324">
        <f t="shared" si="1419"/>
        <v>0</v>
      </c>
      <c r="FK251" s="321">
        <f t="shared" si="1420"/>
        <v>0</v>
      </c>
      <c r="FL251" s="179">
        <f t="shared" si="1378"/>
        <v>0</v>
      </c>
      <c r="FM251" s="18" t="s">
        <v>238</v>
      </c>
      <c r="FN251" s="18" t="s">
        <v>238</v>
      </c>
      <c r="FO251" s="18" t="s">
        <v>238</v>
      </c>
      <c r="FP251" s="324">
        <f t="shared" si="1421"/>
        <v>0</v>
      </c>
      <c r="FQ251" s="321">
        <f t="shared" si="1422"/>
        <v>0</v>
      </c>
      <c r="FR251" s="179">
        <f t="shared" si="1379"/>
        <v>0</v>
      </c>
      <c r="FS251" s="18" t="s">
        <v>238</v>
      </c>
      <c r="FT251" s="18" t="s">
        <v>238</v>
      </c>
      <c r="FU251" s="18" t="s">
        <v>238</v>
      </c>
      <c r="FV251" s="324">
        <f t="shared" si="1423"/>
        <v>0</v>
      </c>
      <c r="FW251" s="321">
        <f t="shared" si="1424"/>
        <v>0</v>
      </c>
      <c r="FX251" s="179">
        <f t="shared" si="1380"/>
        <v>0</v>
      </c>
      <c r="FY251" s="18" t="s">
        <v>238</v>
      </c>
      <c r="FZ251" s="18" t="s">
        <v>238</v>
      </c>
      <c r="GA251" s="18" t="s">
        <v>238</v>
      </c>
      <c r="GB251" s="324">
        <f t="shared" si="1425"/>
        <v>0</v>
      </c>
      <c r="GC251" s="321">
        <f t="shared" si="1426"/>
        <v>0</v>
      </c>
      <c r="GD251" s="179">
        <f t="shared" si="1381"/>
        <v>0</v>
      </c>
      <c r="GE251" s="18" t="s">
        <v>238</v>
      </c>
      <c r="GF251" s="18" t="s">
        <v>238</v>
      </c>
      <c r="GG251" s="18" t="s">
        <v>238</v>
      </c>
      <c r="GH251" s="324">
        <f t="shared" si="1427"/>
        <v>0</v>
      </c>
      <c r="GI251" s="321">
        <f t="shared" si="1428"/>
        <v>0</v>
      </c>
      <c r="GJ251" s="179">
        <f t="shared" si="1382"/>
        <v>0</v>
      </c>
      <c r="GK251" s="18" t="s">
        <v>238</v>
      </c>
      <c r="GL251" s="18" t="s">
        <v>238</v>
      </c>
      <c r="GM251" s="18" t="s">
        <v>238</v>
      </c>
      <c r="GN251" s="324">
        <f t="shared" si="1429"/>
        <v>0</v>
      </c>
      <c r="GO251" s="321">
        <f t="shared" si="1430"/>
        <v>0</v>
      </c>
      <c r="GP251" s="179">
        <f t="shared" si="1383"/>
        <v>0</v>
      </c>
      <c r="GQ251" s="18" t="s">
        <v>238</v>
      </c>
      <c r="GR251" s="18" t="s">
        <v>238</v>
      </c>
      <c r="GS251" s="18" t="s">
        <v>238</v>
      </c>
      <c r="GT251" s="324">
        <f t="shared" si="1431"/>
        <v>0</v>
      </c>
      <c r="GU251" s="321">
        <f t="shared" si="1432"/>
        <v>0</v>
      </c>
      <c r="GV251" s="179">
        <f t="shared" si="1384"/>
        <v>0</v>
      </c>
      <c r="GW251" s="18" t="s">
        <v>238</v>
      </c>
      <c r="GX251" s="18" t="s">
        <v>238</v>
      </c>
      <c r="GY251" s="18" t="s">
        <v>238</v>
      </c>
      <c r="GZ251" s="324">
        <f t="shared" si="1433"/>
        <v>0</v>
      </c>
      <c r="HA251" s="321">
        <f t="shared" si="1434"/>
        <v>0</v>
      </c>
      <c r="HB251" s="179">
        <f t="shared" si="1385"/>
        <v>0</v>
      </c>
      <c r="HC251" s="102">
        <f t="shared" si="1386"/>
        <v>0</v>
      </c>
      <c r="HD251" s="285">
        <f t="shared" si="1436"/>
        <v>0</v>
      </c>
      <c r="HE251" s="12">
        <f t="shared" si="1437"/>
        <v>0</v>
      </c>
      <c r="HF251" s="12">
        <f t="shared" si="1387"/>
        <v>0</v>
      </c>
      <c r="HG251" s="12">
        <f t="shared" si="1438"/>
        <v>0</v>
      </c>
      <c r="HH251" s="14">
        <f t="shared" si="1439"/>
        <v>0</v>
      </c>
      <c r="HI251" s="13">
        <f t="shared" si="1440"/>
        <v>0</v>
      </c>
      <c r="HJ251" s="102">
        <f t="shared" si="1441"/>
        <v>0</v>
      </c>
      <c r="HK251" s="16">
        <f t="shared" si="1442"/>
        <v>0</v>
      </c>
      <c r="HL251" s="103">
        <f t="shared" si="1443"/>
        <v>0</v>
      </c>
      <c r="HM251" s="103">
        <f t="shared" si="1444"/>
        <v>0</v>
      </c>
      <c r="HN251" s="17">
        <f t="shared" si="1445"/>
        <v>0</v>
      </c>
      <c r="HO251" s="56">
        <f t="shared" si="1446"/>
        <v>0</v>
      </c>
      <c r="HP251" s="16">
        <f t="shared" si="1447"/>
        <v>0</v>
      </c>
      <c r="HQ251" s="16">
        <f t="shared" si="1448"/>
        <v>0</v>
      </c>
      <c r="HR251" s="16">
        <f t="shared" si="1449"/>
        <v>0</v>
      </c>
    </row>
    <row r="252" spans="1:226" x14ac:dyDescent="0.3">
      <c r="A252" s="310">
        <v>5</v>
      </c>
      <c r="B252" s="134"/>
      <c r="C252" s="310" t="s">
        <v>308</v>
      </c>
      <c r="D252" s="2" t="s">
        <v>228</v>
      </c>
      <c r="E252" s="9"/>
      <c r="F252" s="9"/>
      <c r="G252" s="9"/>
      <c r="H252" s="324"/>
      <c r="I252" s="324">
        <v>0</v>
      </c>
      <c r="J252" s="324"/>
      <c r="K252" s="324"/>
      <c r="L252" s="324">
        <v>0</v>
      </c>
      <c r="M252" s="23">
        <v>0</v>
      </c>
      <c r="N252" s="23">
        <v>0</v>
      </c>
      <c r="O252" s="298">
        <v>0</v>
      </c>
      <c r="P252" s="298">
        <v>0</v>
      </c>
      <c r="Q252" s="298">
        <v>0</v>
      </c>
      <c r="R252" s="298">
        <v>0</v>
      </c>
      <c r="S252" s="298">
        <v>0</v>
      </c>
      <c r="T252" s="298">
        <v>0</v>
      </c>
      <c r="U252" s="298">
        <f t="shared" si="1388"/>
        <v>0</v>
      </c>
      <c r="V252" s="298">
        <f t="shared" si="1389"/>
        <v>0</v>
      </c>
      <c r="W252" s="298">
        <v>0</v>
      </c>
      <c r="X252" s="298">
        <v>0</v>
      </c>
      <c r="Y252" s="298">
        <v>0</v>
      </c>
      <c r="Z252" s="298">
        <v>0</v>
      </c>
      <c r="AA252" s="298">
        <v>0</v>
      </c>
      <c r="AB252" s="298">
        <v>0</v>
      </c>
      <c r="AC252" s="298">
        <v>0</v>
      </c>
      <c r="AD252" s="298">
        <v>0</v>
      </c>
      <c r="AE252" s="298">
        <f t="shared" si="1390"/>
        <v>0</v>
      </c>
      <c r="AF252" s="298">
        <v>0</v>
      </c>
      <c r="AG252" s="298">
        <v>0</v>
      </c>
      <c r="AH252" s="298">
        <v>0</v>
      </c>
      <c r="AI252" s="298">
        <f t="shared" si="1391"/>
        <v>0</v>
      </c>
      <c r="AJ252" s="298">
        <v>0</v>
      </c>
      <c r="AK252" s="298">
        <v>0</v>
      </c>
      <c r="AL252" s="298">
        <v>0</v>
      </c>
      <c r="AM252" s="298">
        <f t="shared" si="1344"/>
        <v>0</v>
      </c>
      <c r="AN252" s="298">
        <v>0</v>
      </c>
      <c r="AO252" s="298">
        <v>0</v>
      </c>
      <c r="AP252" s="298">
        <v>0</v>
      </c>
      <c r="AQ252" s="298">
        <f t="shared" si="1345"/>
        <v>0</v>
      </c>
      <c r="AR252" s="298">
        <v>0</v>
      </c>
      <c r="AS252" s="298">
        <v>0</v>
      </c>
      <c r="AT252" s="298">
        <v>0</v>
      </c>
      <c r="AU252" s="298">
        <f t="shared" si="1346"/>
        <v>0</v>
      </c>
      <c r="AV252" s="298">
        <v>0</v>
      </c>
      <c r="AW252" s="298">
        <v>0</v>
      </c>
      <c r="AX252" s="298">
        <v>0</v>
      </c>
      <c r="AY252" s="298">
        <f t="shared" si="1347"/>
        <v>0</v>
      </c>
      <c r="AZ252" s="8">
        <f t="shared" si="1392"/>
        <v>0</v>
      </c>
      <c r="BA252" s="8"/>
      <c r="BB252" s="8">
        <f t="shared" si="1393"/>
        <v>0</v>
      </c>
      <c r="BC252" s="8">
        <f t="shared" si="1394"/>
        <v>0</v>
      </c>
      <c r="BD252" s="8"/>
      <c r="BE252" s="8">
        <f t="shared" si="1395"/>
        <v>0</v>
      </c>
      <c r="BF252" s="10">
        <f t="shared" si="1396"/>
        <v>0</v>
      </c>
      <c r="BG252" s="11">
        <f t="shared" si="1397"/>
        <v>0</v>
      </c>
      <c r="BH252" s="319">
        <v>0</v>
      </c>
      <c r="BI252" s="319">
        <v>0</v>
      </c>
      <c r="BJ252" s="319">
        <v>0</v>
      </c>
      <c r="BK252" s="319">
        <f t="shared" si="1348"/>
        <v>0</v>
      </c>
      <c r="BL252" s="319">
        <v>0</v>
      </c>
      <c r="BM252" s="319">
        <v>0</v>
      </c>
      <c r="BN252" s="319">
        <v>0</v>
      </c>
      <c r="BO252" s="319">
        <f t="shared" si="1349"/>
        <v>0</v>
      </c>
      <c r="BP252" s="319">
        <f t="shared" si="1398"/>
        <v>0</v>
      </c>
      <c r="BQ252" s="319">
        <v>0</v>
      </c>
      <c r="BR252" s="319">
        <v>0</v>
      </c>
      <c r="BS252" s="319">
        <v>0</v>
      </c>
      <c r="BT252" s="319">
        <f t="shared" si="1350"/>
        <v>0</v>
      </c>
      <c r="BU252" s="319">
        <f t="shared" si="1351"/>
        <v>0</v>
      </c>
      <c r="BV252" s="319">
        <v>0</v>
      </c>
      <c r="BW252" s="319">
        <v>0</v>
      </c>
      <c r="BX252" s="319">
        <v>0</v>
      </c>
      <c r="BY252" s="319">
        <f t="shared" si="1352"/>
        <v>0</v>
      </c>
      <c r="BZ252" s="319">
        <f t="shared" si="1353"/>
        <v>0</v>
      </c>
      <c r="CA252" s="319">
        <v>0</v>
      </c>
      <c r="CB252" s="319">
        <v>0</v>
      </c>
      <c r="CC252" s="319">
        <v>0</v>
      </c>
      <c r="CD252" s="319">
        <f t="shared" si="1354"/>
        <v>0</v>
      </c>
      <c r="CE252" s="319">
        <f t="shared" si="1355"/>
        <v>0</v>
      </c>
      <c r="CF252" s="319"/>
      <c r="CG252" s="319">
        <v>0</v>
      </c>
      <c r="CH252" s="319">
        <v>0</v>
      </c>
      <c r="CI252" s="319">
        <f t="shared" si="1356"/>
        <v>0</v>
      </c>
      <c r="CJ252" s="319">
        <f t="shared" si="1357"/>
        <v>0</v>
      </c>
      <c r="CK252" s="319">
        <v>0</v>
      </c>
      <c r="CL252" s="319">
        <v>0</v>
      </c>
      <c r="CM252" s="319">
        <v>0</v>
      </c>
      <c r="CN252" s="319">
        <f t="shared" si="1358"/>
        <v>0</v>
      </c>
      <c r="CO252" s="319">
        <f t="shared" si="1359"/>
        <v>0</v>
      </c>
      <c r="CP252" s="319">
        <v>0</v>
      </c>
      <c r="CQ252" s="319">
        <v>0</v>
      </c>
      <c r="CR252" s="319">
        <v>0</v>
      </c>
      <c r="CS252" s="319">
        <f t="shared" si="1360"/>
        <v>0</v>
      </c>
      <c r="CT252" s="319">
        <f t="shared" si="1361"/>
        <v>0</v>
      </c>
      <c r="CU252" s="319">
        <v>0</v>
      </c>
      <c r="CV252" s="319">
        <v>0</v>
      </c>
      <c r="CW252" s="319">
        <v>0</v>
      </c>
      <c r="CX252" s="319">
        <f t="shared" si="1362"/>
        <v>0</v>
      </c>
      <c r="CY252" s="319">
        <f t="shared" si="1363"/>
        <v>0</v>
      </c>
      <c r="CZ252" s="319"/>
      <c r="DA252" s="319"/>
      <c r="DB252" s="319"/>
      <c r="DC252" s="12">
        <f t="shared" si="1435"/>
        <v>0</v>
      </c>
      <c r="DD252" s="12">
        <v>0</v>
      </c>
      <c r="DE252" s="13">
        <f t="shared" si="1399"/>
        <v>0</v>
      </c>
      <c r="DF252" s="14">
        <f t="shared" si="1365"/>
        <v>0</v>
      </c>
      <c r="DG252" s="13">
        <f t="shared" si="1366"/>
        <v>0</v>
      </c>
      <c r="DH252" s="15">
        <f t="shared" si="1367"/>
        <v>0</v>
      </c>
      <c r="DI252" s="16">
        <f t="shared" si="1368"/>
        <v>0</v>
      </c>
      <c r="DJ252" s="132">
        <f t="shared" si="1400"/>
        <v>0</v>
      </c>
      <c r="DK252" s="17">
        <f t="shared" si="1401"/>
        <v>0</v>
      </c>
      <c r="DL252" s="17">
        <f t="shared" si="1369"/>
        <v>0</v>
      </c>
      <c r="DM252" s="16">
        <f t="shared" si="1402"/>
        <v>0</v>
      </c>
      <c r="DN252" s="16">
        <f t="shared" si="1370"/>
        <v>0</v>
      </c>
      <c r="DO252" s="16">
        <f t="shared" si="1403"/>
        <v>0</v>
      </c>
      <c r="DP252" s="16">
        <f t="shared" si="1371"/>
        <v>0</v>
      </c>
      <c r="DQ252" s="9">
        <v>0</v>
      </c>
      <c r="DR252" s="18" t="s">
        <v>238</v>
      </c>
      <c r="DS252" s="18" t="s">
        <v>238</v>
      </c>
      <c r="DT252" s="324">
        <f t="shared" si="1404"/>
        <v>0</v>
      </c>
      <c r="DU252" s="321">
        <f t="shared" si="1405"/>
        <v>0</v>
      </c>
      <c r="DV252" s="19">
        <f t="shared" si="1406"/>
        <v>0</v>
      </c>
      <c r="DW252" s="9"/>
      <c r="DX252" s="18"/>
      <c r="DY252" s="18"/>
      <c r="DZ252" s="324">
        <f t="shared" si="1407"/>
        <v>0</v>
      </c>
      <c r="EA252" s="321">
        <f t="shared" si="1408"/>
        <v>0</v>
      </c>
      <c r="EB252" s="179">
        <f t="shared" si="1372"/>
        <v>0</v>
      </c>
      <c r="EC252" s="9">
        <v>0</v>
      </c>
      <c r="ED252" s="9">
        <v>0</v>
      </c>
      <c r="EE252" s="9">
        <v>0</v>
      </c>
      <c r="EF252" s="324">
        <f t="shared" si="1409"/>
        <v>0</v>
      </c>
      <c r="EG252" s="321">
        <f t="shared" si="1410"/>
        <v>0</v>
      </c>
      <c r="EH252" s="179">
        <f t="shared" si="1373"/>
        <v>0</v>
      </c>
      <c r="EI252" s="9">
        <v>0</v>
      </c>
      <c r="EJ252" s="9">
        <v>0</v>
      </c>
      <c r="EK252" s="9">
        <v>0</v>
      </c>
      <c r="EL252" s="324">
        <f t="shared" si="1411"/>
        <v>0</v>
      </c>
      <c r="EM252" s="321">
        <f t="shared" si="1412"/>
        <v>0</v>
      </c>
      <c r="EN252" s="179">
        <f t="shared" si="1374"/>
        <v>0</v>
      </c>
      <c r="EO252" s="9">
        <v>0</v>
      </c>
      <c r="EP252" s="9">
        <v>0</v>
      </c>
      <c r="EQ252" s="9">
        <v>0</v>
      </c>
      <c r="ER252" s="324">
        <f t="shared" si="1413"/>
        <v>0</v>
      </c>
      <c r="ES252" s="321">
        <f t="shared" si="1414"/>
        <v>0</v>
      </c>
      <c r="ET252" s="179">
        <f t="shared" si="1375"/>
        <v>0</v>
      </c>
      <c r="EU252" s="9">
        <v>0</v>
      </c>
      <c r="EV252" s="9">
        <v>0</v>
      </c>
      <c r="EW252" s="9">
        <v>0</v>
      </c>
      <c r="EX252" s="324">
        <f t="shared" si="1415"/>
        <v>0</v>
      </c>
      <c r="EY252" s="321">
        <f t="shared" si="1416"/>
        <v>0</v>
      </c>
      <c r="EZ252" s="179">
        <f t="shared" si="1376"/>
        <v>0</v>
      </c>
      <c r="FA252" s="9">
        <v>0</v>
      </c>
      <c r="FB252" s="9">
        <v>0</v>
      </c>
      <c r="FC252" s="9">
        <v>0</v>
      </c>
      <c r="FD252" s="324">
        <f t="shared" si="1417"/>
        <v>0</v>
      </c>
      <c r="FE252" s="321">
        <f t="shared" si="1418"/>
        <v>0</v>
      </c>
      <c r="FF252" s="179">
        <f t="shared" si="1377"/>
        <v>0</v>
      </c>
      <c r="FG252" s="18" t="s">
        <v>238</v>
      </c>
      <c r="FH252" s="18" t="s">
        <v>238</v>
      </c>
      <c r="FI252" s="18" t="s">
        <v>238</v>
      </c>
      <c r="FJ252" s="324">
        <f t="shared" si="1419"/>
        <v>0</v>
      </c>
      <c r="FK252" s="321">
        <f t="shared" si="1420"/>
        <v>0</v>
      </c>
      <c r="FL252" s="179">
        <f t="shared" si="1378"/>
        <v>0</v>
      </c>
      <c r="FM252" s="18" t="s">
        <v>238</v>
      </c>
      <c r="FN252" s="18" t="s">
        <v>238</v>
      </c>
      <c r="FO252" s="18" t="s">
        <v>238</v>
      </c>
      <c r="FP252" s="324">
        <f t="shared" si="1421"/>
        <v>0</v>
      </c>
      <c r="FQ252" s="321">
        <f t="shared" si="1422"/>
        <v>0</v>
      </c>
      <c r="FR252" s="179">
        <f t="shared" si="1379"/>
        <v>0</v>
      </c>
      <c r="FS252" s="18" t="s">
        <v>238</v>
      </c>
      <c r="FT252" s="18" t="s">
        <v>238</v>
      </c>
      <c r="FU252" s="18" t="s">
        <v>238</v>
      </c>
      <c r="FV252" s="324">
        <f t="shared" si="1423"/>
        <v>0</v>
      </c>
      <c r="FW252" s="321">
        <f t="shared" si="1424"/>
        <v>0</v>
      </c>
      <c r="FX252" s="179">
        <f t="shared" si="1380"/>
        <v>0</v>
      </c>
      <c r="FY252" s="18" t="s">
        <v>238</v>
      </c>
      <c r="FZ252" s="18" t="s">
        <v>238</v>
      </c>
      <c r="GA252" s="18" t="s">
        <v>238</v>
      </c>
      <c r="GB252" s="324">
        <f t="shared" si="1425"/>
        <v>0</v>
      </c>
      <c r="GC252" s="321">
        <f t="shared" si="1426"/>
        <v>0</v>
      </c>
      <c r="GD252" s="179">
        <f t="shared" si="1381"/>
        <v>0</v>
      </c>
      <c r="GE252" s="18" t="s">
        <v>238</v>
      </c>
      <c r="GF252" s="18" t="s">
        <v>238</v>
      </c>
      <c r="GG252" s="18" t="s">
        <v>238</v>
      </c>
      <c r="GH252" s="324">
        <f t="shared" si="1427"/>
        <v>0</v>
      </c>
      <c r="GI252" s="321">
        <f t="shared" si="1428"/>
        <v>0</v>
      </c>
      <c r="GJ252" s="179">
        <f t="shared" si="1382"/>
        <v>0</v>
      </c>
      <c r="GK252" s="18" t="s">
        <v>238</v>
      </c>
      <c r="GL252" s="18" t="s">
        <v>238</v>
      </c>
      <c r="GM252" s="18" t="s">
        <v>238</v>
      </c>
      <c r="GN252" s="324">
        <f t="shared" si="1429"/>
        <v>0</v>
      </c>
      <c r="GO252" s="321">
        <f t="shared" si="1430"/>
        <v>0</v>
      </c>
      <c r="GP252" s="179">
        <f t="shared" si="1383"/>
        <v>0</v>
      </c>
      <c r="GQ252" s="18" t="s">
        <v>238</v>
      </c>
      <c r="GR252" s="18" t="s">
        <v>238</v>
      </c>
      <c r="GS252" s="18" t="s">
        <v>238</v>
      </c>
      <c r="GT252" s="324">
        <f t="shared" si="1431"/>
        <v>0</v>
      </c>
      <c r="GU252" s="321">
        <f t="shared" si="1432"/>
        <v>0</v>
      </c>
      <c r="GV252" s="179">
        <f t="shared" si="1384"/>
        <v>0</v>
      </c>
      <c r="GW252" s="18" t="s">
        <v>238</v>
      </c>
      <c r="GX252" s="18" t="s">
        <v>238</v>
      </c>
      <c r="GY252" s="18" t="s">
        <v>238</v>
      </c>
      <c r="GZ252" s="324">
        <f t="shared" si="1433"/>
        <v>0</v>
      </c>
      <c r="HA252" s="321">
        <f t="shared" si="1434"/>
        <v>0</v>
      </c>
      <c r="HB252" s="179">
        <f t="shared" si="1385"/>
        <v>0</v>
      </c>
      <c r="HC252" s="102">
        <f t="shared" si="1386"/>
        <v>0</v>
      </c>
      <c r="HD252" s="285">
        <f t="shared" si="1436"/>
        <v>0</v>
      </c>
      <c r="HE252" s="12">
        <f t="shared" si="1437"/>
        <v>0</v>
      </c>
      <c r="HF252" s="12">
        <f t="shared" si="1387"/>
        <v>0</v>
      </c>
      <c r="HG252" s="12">
        <f t="shared" si="1438"/>
        <v>0</v>
      </c>
      <c r="HH252" s="14">
        <f t="shared" si="1439"/>
        <v>0</v>
      </c>
      <c r="HI252" s="13">
        <f t="shared" si="1440"/>
        <v>0</v>
      </c>
      <c r="HJ252" s="102">
        <f t="shared" si="1441"/>
        <v>0</v>
      </c>
      <c r="HK252" s="16">
        <f t="shared" si="1442"/>
        <v>0</v>
      </c>
      <c r="HL252" s="103">
        <f t="shared" si="1443"/>
        <v>0</v>
      </c>
      <c r="HM252" s="103">
        <f t="shared" si="1444"/>
        <v>0</v>
      </c>
      <c r="HN252" s="17">
        <f t="shared" si="1445"/>
        <v>0</v>
      </c>
      <c r="HO252" s="56">
        <f t="shared" si="1446"/>
        <v>0</v>
      </c>
      <c r="HP252" s="16">
        <f t="shared" si="1447"/>
        <v>0</v>
      </c>
      <c r="HQ252" s="16">
        <f t="shared" si="1448"/>
        <v>0</v>
      </c>
      <c r="HR252" s="16">
        <f t="shared" si="1449"/>
        <v>0</v>
      </c>
    </row>
    <row r="253" spans="1:226" x14ac:dyDescent="0.3">
      <c r="A253" s="310">
        <v>6</v>
      </c>
      <c r="B253" s="104" t="s">
        <v>128</v>
      </c>
      <c r="C253" s="310" t="s">
        <v>129</v>
      </c>
      <c r="D253" s="2" t="s">
        <v>130</v>
      </c>
      <c r="E253" s="9"/>
      <c r="F253" s="9"/>
      <c r="G253" s="9"/>
      <c r="H253" s="324"/>
      <c r="I253" s="324">
        <v>919050</v>
      </c>
      <c r="J253" s="324"/>
      <c r="K253" s="324"/>
      <c r="L253" s="324">
        <v>690900</v>
      </c>
      <c r="M253" s="23">
        <v>590900</v>
      </c>
      <c r="N253" s="23">
        <v>288330</v>
      </c>
      <c r="O253" s="298">
        <v>281500</v>
      </c>
      <c r="P253" s="298">
        <v>281500</v>
      </c>
      <c r="Q253" s="298">
        <v>281500</v>
      </c>
      <c r="R253" s="298">
        <v>281500</v>
      </c>
      <c r="S253" s="298">
        <v>281500</v>
      </c>
      <c r="T253" s="298">
        <v>281500</v>
      </c>
      <c r="U253" s="298">
        <f t="shared" si="1388"/>
        <v>14075</v>
      </c>
      <c r="V253" s="298">
        <f t="shared" si="1389"/>
        <v>295575</v>
      </c>
      <c r="W253" s="298">
        <v>281500</v>
      </c>
      <c r="X253" s="298">
        <v>281500</v>
      </c>
      <c r="Y253" s="298">
        <v>281500</v>
      </c>
      <c r="Z253" s="298">
        <v>281500</v>
      </c>
      <c r="AA253" s="298">
        <f>281500+43632</f>
        <v>325132</v>
      </c>
      <c r="AB253" s="9">
        <v>0</v>
      </c>
      <c r="AC253" s="9">
        <v>281500</v>
      </c>
      <c r="AD253" s="9">
        <f>28150+15482</f>
        <v>43632</v>
      </c>
      <c r="AE253" s="298">
        <f t="shared" si="1390"/>
        <v>325132</v>
      </c>
      <c r="AF253" s="9">
        <v>0</v>
      </c>
      <c r="AG253" s="9">
        <v>281500</v>
      </c>
      <c r="AH253" s="9">
        <f>28150+15482</f>
        <v>43632</v>
      </c>
      <c r="AI253" s="298">
        <f t="shared" si="1391"/>
        <v>325132</v>
      </c>
      <c r="AJ253" s="9">
        <v>0</v>
      </c>
      <c r="AK253" s="9">
        <v>281500</v>
      </c>
      <c r="AL253" s="9">
        <f>28150+15482</f>
        <v>43632</v>
      </c>
      <c r="AM253" s="298">
        <f t="shared" si="1344"/>
        <v>325132</v>
      </c>
      <c r="AN253" s="9">
        <v>0</v>
      </c>
      <c r="AO253" s="9">
        <v>0</v>
      </c>
      <c r="AP253" s="9">
        <v>0</v>
      </c>
      <c r="AQ253" s="298">
        <f t="shared" si="1345"/>
        <v>0</v>
      </c>
      <c r="AR253" s="9">
        <v>0</v>
      </c>
      <c r="AS253" s="9">
        <v>0</v>
      </c>
      <c r="AT253" s="9">
        <v>0</v>
      </c>
      <c r="AU253" s="298">
        <f t="shared" si="1346"/>
        <v>0</v>
      </c>
      <c r="AV253" s="9">
        <v>0</v>
      </c>
      <c r="AW253" s="9">
        <v>0</v>
      </c>
      <c r="AX253" s="9">
        <v>0</v>
      </c>
      <c r="AY253" s="298">
        <f t="shared" si="1347"/>
        <v>0</v>
      </c>
      <c r="AZ253" s="8">
        <f t="shared" si="1392"/>
        <v>0</v>
      </c>
      <c r="BA253" s="8"/>
      <c r="BB253" s="8">
        <f t="shared" si="1393"/>
        <v>0</v>
      </c>
      <c r="BC253" s="8">
        <f t="shared" si="1394"/>
        <v>0</v>
      </c>
      <c r="BD253" s="8"/>
      <c r="BE253" s="8">
        <f t="shared" si="1395"/>
        <v>0</v>
      </c>
      <c r="BF253" s="10">
        <f t="shared" si="1396"/>
        <v>0</v>
      </c>
      <c r="BG253" s="11">
        <f t="shared" si="1397"/>
        <v>0</v>
      </c>
      <c r="BH253" s="319">
        <v>0</v>
      </c>
      <c r="BI253" s="319">
        <v>0</v>
      </c>
      <c r="BJ253" s="319">
        <v>0</v>
      </c>
      <c r="BK253" s="319">
        <f t="shared" si="1348"/>
        <v>0</v>
      </c>
      <c r="BL253" s="319">
        <v>0</v>
      </c>
      <c r="BM253" s="319">
        <v>0</v>
      </c>
      <c r="BN253" s="319">
        <v>0</v>
      </c>
      <c r="BO253" s="319">
        <f t="shared" si="1349"/>
        <v>0</v>
      </c>
      <c r="BP253" s="319">
        <f t="shared" si="1398"/>
        <v>0</v>
      </c>
      <c r="BQ253" s="319">
        <v>0</v>
      </c>
      <c r="BR253" s="319">
        <v>0</v>
      </c>
      <c r="BS253" s="319">
        <v>0</v>
      </c>
      <c r="BT253" s="319">
        <f t="shared" si="1350"/>
        <v>0</v>
      </c>
      <c r="BU253" s="319">
        <f t="shared" si="1351"/>
        <v>0</v>
      </c>
      <c r="BV253" s="319">
        <v>0</v>
      </c>
      <c r="BW253" s="319">
        <v>0</v>
      </c>
      <c r="BX253" s="319">
        <v>0</v>
      </c>
      <c r="BY253" s="319">
        <f t="shared" si="1352"/>
        <v>0</v>
      </c>
      <c r="BZ253" s="319">
        <f t="shared" si="1353"/>
        <v>0</v>
      </c>
      <c r="CA253" s="319">
        <v>0</v>
      </c>
      <c r="CB253" s="319">
        <v>0</v>
      </c>
      <c r="CC253" s="319">
        <v>0</v>
      </c>
      <c r="CD253" s="319">
        <f t="shared" si="1354"/>
        <v>0</v>
      </c>
      <c r="CE253" s="319">
        <f t="shared" si="1355"/>
        <v>0</v>
      </c>
      <c r="CF253" s="319">
        <v>10</v>
      </c>
      <c r="CG253" s="319">
        <v>0</v>
      </c>
      <c r="CH253" s="319">
        <v>0</v>
      </c>
      <c r="CI253" s="319">
        <f t="shared" si="1356"/>
        <v>10</v>
      </c>
      <c r="CJ253" s="48">
        <f t="shared" si="1357"/>
        <v>10</v>
      </c>
      <c r="CK253" s="319">
        <v>10</v>
      </c>
      <c r="CL253" s="319">
        <v>0</v>
      </c>
      <c r="CM253" s="319">
        <v>0</v>
      </c>
      <c r="CN253" s="319">
        <f t="shared" si="1358"/>
        <v>10</v>
      </c>
      <c r="CO253" s="319">
        <f t="shared" si="1359"/>
        <v>0</v>
      </c>
      <c r="CP253" s="319">
        <v>10</v>
      </c>
      <c r="CQ253" s="319">
        <v>0</v>
      </c>
      <c r="CR253" s="319">
        <v>0</v>
      </c>
      <c r="CS253" s="319">
        <f t="shared" si="1360"/>
        <v>10</v>
      </c>
      <c r="CT253" s="319">
        <f t="shared" si="1361"/>
        <v>0</v>
      </c>
      <c r="CU253" s="319">
        <v>10</v>
      </c>
      <c r="CV253" s="319">
        <v>0</v>
      </c>
      <c r="CW253" s="319">
        <v>0</v>
      </c>
      <c r="CX253" s="319">
        <f t="shared" si="1362"/>
        <v>10</v>
      </c>
      <c r="CY253" s="319">
        <f t="shared" si="1363"/>
        <v>0</v>
      </c>
      <c r="CZ253" s="319"/>
      <c r="DA253" s="319"/>
      <c r="DB253" s="319"/>
      <c r="DC253" s="12">
        <f t="shared" si="1435"/>
        <v>1</v>
      </c>
      <c r="DD253" s="12">
        <v>0</v>
      </c>
      <c r="DE253" s="13">
        <f t="shared" si="1399"/>
        <v>1</v>
      </c>
      <c r="DF253" s="14">
        <f t="shared" si="1365"/>
        <v>1</v>
      </c>
      <c r="DG253" s="13">
        <f t="shared" si="1366"/>
        <v>11</v>
      </c>
      <c r="DH253" s="15">
        <f t="shared" si="1367"/>
        <v>7.8222965158218627E-7</v>
      </c>
      <c r="DI253" s="16">
        <f t="shared" si="1368"/>
        <v>10</v>
      </c>
      <c r="DJ253" s="132">
        <f t="shared" si="1400"/>
        <v>11</v>
      </c>
      <c r="DK253" s="17">
        <f t="shared" si="1401"/>
        <v>1</v>
      </c>
      <c r="DL253" s="17">
        <f t="shared" si="1369"/>
        <v>0</v>
      </c>
      <c r="DM253" s="16">
        <f t="shared" si="1402"/>
        <v>1</v>
      </c>
      <c r="DN253" s="16">
        <f t="shared" si="1370"/>
        <v>0</v>
      </c>
      <c r="DO253" s="16">
        <f t="shared" si="1403"/>
        <v>11</v>
      </c>
      <c r="DP253" s="16">
        <f t="shared" si="1371"/>
        <v>0</v>
      </c>
      <c r="DQ253" s="9">
        <v>11</v>
      </c>
      <c r="DR253" s="18" t="s">
        <v>238</v>
      </c>
      <c r="DS253" s="18" t="s">
        <v>238</v>
      </c>
      <c r="DT253" s="324">
        <f t="shared" si="1404"/>
        <v>11</v>
      </c>
      <c r="DU253" s="321">
        <f t="shared" si="1405"/>
        <v>11</v>
      </c>
      <c r="DV253" s="19">
        <f t="shared" si="1406"/>
        <v>0</v>
      </c>
      <c r="DW253" s="9">
        <v>11</v>
      </c>
      <c r="DX253" s="18"/>
      <c r="DY253" s="18"/>
      <c r="DZ253" s="324">
        <f t="shared" si="1407"/>
        <v>11</v>
      </c>
      <c r="EA253" s="321">
        <f t="shared" si="1408"/>
        <v>11</v>
      </c>
      <c r="EB253" s="179">
        <f t="shared" si="1372"/>
        <v>0</v>
      </c>
      <c r="EC253" s="9">
        <v>11</v>
      </c>
      <c r="ED253" s="9">
        <v>0</v>
      </c>
      <c r="EE253" s="9">
        <v>0</v>
      </c>
      <c r="EF253" s="324">
        <f t="shared" si="1409"/>
        <v>11</v>
      </c>
      <c r="EG253" s="321">
        <f t="shared" si="1410"/>
        <v>11</v>
      </c>
      <c r="EH253" s="179">
        <f t="shared" si="1373"/>
        <v>0</v>
      </c>
      <c r="EI253" s="9">
        <v>11</v>
      </c>
      <c r="EJ253" s="9">
        <v>0</v>
      </c>
      <c r="EK253" s="9">
        <v>0</v>
      </c>
      <c r="EL253" s="324">
        <f t="shared" si="1411"/>
        <v>11</v>
      </c>
      <c r="EM253" s="321">
        <f t="shared" si="1412"/>
        <v>11</v>
      </c>
      <c r="EN253" s="179">
        <f t="shared" si="1374"/>
        <v>0</v>
      </c>
      <c r="EO253" s="9">
        <v>11</v>
      </c>
      <c r="EP253" s="9">
        <v>0</v>
      </c>
      <c r="EQ253" s="9">
        <v>0</v>
      </c>
      <c r="ER253" s="324">
        <f t="shared" si="1413"/>
        <v>11</v>
      </c>
      <c r="ES253" s="321">
        <f t="shared" si="1414"/>
        <v>11</v>
      </c>
      <c r="ET253" s="179">
        <f t="shared" si="1375"/>
        <v>0</v>
      </c>
      <c r="EU253" s="9">
        <v>11</v>
      </c>
      <c r="EV253" s="9">
        <v>0</v>
      </c>
      <c r="EW253" s="9">
        <v>0</v>
      </c>
      <c r="EX253" s="324">
        <f t="shared" si="1415"/>
        <v>11</v>
      </c>
      <c r="EY253" s="321">
        <f t="shared" si="1416"/>
        <v>11</v>
      </c>
      <c r="EZ253" s="179">
        <f t="shared" si="1376"/>
        <v>0</v>
      </c>
      <c r="FA253" s="9">
        <v>11</v>
      </c>
      <c r="FB253" s="9">
        <v>0</v>
      </c>
      <c r="FC253" s="9">
        <v>0</v>
      </c>
      <c r="FD253" s="324">
        <f t="shared" si="1417"/>
        <v>11</v>
      </c>
      <c r="FE253" s="321">
        <f t="shared" si="1418"/>
        <v>11</v>
      </c>
      <c r="FF253" s="179">
        <f t="shared" si="1377"/>
        <v>0</v>
      </c>
      <c r="FG253" s="9">
        <v>11</v>
      </c>
      <c r="FH253" s="18" t="s">
        <v>238</v>
      </c>
      <c r="FI253" s="18" t="s">
        <v>238</v>
      </c>
      <c r="FJ253" s="324">
        <f t="shared" si="1419"/>
        <v>11</v>
      </c>
      <c r="FK253" s="321">
        <f t="shared" si="1420"/>
        <v>11</v>
      </c>
      <c r="FL253" s="179">
        <f t="shared" si="1378"/>
        <v>0</v>
      </c>
      <c r="FM253" s="9">
        <v>11</v>
      </c>
      <c r="FN253" s="18" t="s">
        <v>238</v>
      </c>
      <c r="FO253" s="18" t="s">
        <v>238</v>
      </c>
      <c r="FP253" s="324">
        <f t="shared" si="1421"/>
        <v>11</v>
      </c>
      <c r="FQ253" s="321">
        <f t="shared" si="1422"/>
        <v>11</v>
      </c>
      <c r="FR253" s="179">
        <f t="shared" si="1379"/>
        <v>0</v>
      </c>
      <c r="FS253" s="9">
        <v>11</v>
      </c>
      <c r="FT253" s="18" t="s">
        <v>238</v>
      </c>
      <c r="FU253" s="18" t="s">
        <v>238</v>
      </c>
      <c r="FV253" s="324">
        <f t="shared" si="1423"/>
        <v>11</v>
      </c>
      <c r="FW253" s="321">
        <f t="shared" si="1424"/>
        <v>11</v>
      </c>
      <c r="FX253" s="179">
        <f t="shared" si="1380"/>
        <v>0</v>
      </c>
      <c r="FY253" s="9">
        <v>11</v>
      </c>
      <c r="FZ253" s="18" t="s">
        <v>238</v>
      </c>
      <c r="GA253" s="18" t="s">
        <v>238</v>
      </c>
      <c r="GB253" s="324">
        <f t="shared" si="1425"/>
        <v>11</v>
      </c>
      <c r="GC253" s="321">
        <f t="shared" si="1426"/>
        <v>11</v>
      </c>
      <c r="GD253" s="179">
        <f t="shared" si="1381"/>
        <v>0</v>
      </c>
      <c r="GE253" s="9">
        <v>11</v>
      </c>
      <c r="GF253" s="18" t="s">
        <v>238</v>
      </c>
      <c r="GG253" s="18" t="s">
        <v>238</v>
      </c>
      <c r="GH253" s="324">
        <f t="shared" si="1427"/>
        <v>11</v>
      </c>
      <c r="GI253" s="321">
        <f t="shared" si="1428"/>
        <v>11</v>
      </c>
      <c r="GJ253" s="179">
        <f t="shared" si="1382"/>
        <v>0</v>
      </c>
      <c r="GK253" s="9">
        <v>11</v>
      </c>
      <c r="GL253" s="18" t="s">
        <v>238</v>
      </c>
      <c r="GM253" s="18" t="s">
        <v>238</v>
      </c>
      <c r="GN253" s="324">
        <f t="shared" si="1429"/>
        <v>11</v>
      </c>
      <c r="GO253" s="321">
        <f t="shared" si="1430"/>
        <v>11</v>
      </c>
      <c r="GP253" s="179">
        <f t="shared" si="1383"/>
        <v>0</v>
      </c>
      <c r="GQ253" s="9">
        <v>11</v>
      </c>
      <c r="GR253" s="18" t="s">
        <v>238</v>
      </c>
      <c r="GS253" s="18" t="s">
        <v>238</v>
      </c>
      <c r="GT253" s="324">
        <f t="shared" si="1431"/>
        <v>11</v>
      </c>
      <c r="GU253" s="321">
        <f t="shared" si="1432"/>
        <v>11</v>
      </c>
      <c r="GV253" s="179">
        <f t="shared" si="1384"/>
        <v>0</v>
      </c>
      <c r="GW253" s="9">
        <v>11</v>
      </c>
      <c r="GX253" s="18" t="s">
        <v>238</v>
      </c>
      <c r="GY253" s="18" t="s">
        <v>238</v>
      </c>
      <c r="GZ253" s="324">
        <f t="shared" si="1433"/>
        <v>11</v>
      </c>
      <c r="HA253" s="321">
        <f t="shared" si="1434"/>
        <v>11</v>
      </c>
      <c r="HB253" s="179">
        <f t="shared" si="1385"/>
        <v>0</v>
      </c>
      <c r="HC253" s="102">
        <f t="shared" si="1386"/>
        <v>7.8222965158218627E-7</v>
      </c>
      <c r="HD253" s="285">
        <f t="shared" si="1436"/>
        <v>0</v>
      </c>
      <c r="HE253" s="12">
        <f t="shared" si="1437"/>
        <v>0.55000000000000004</v>
      </c>
      <c r="HF253" s="12">
        <f t="shared" si="1387"/>
        <v>0.55000000000000004</v>
      </c>
      <c r="HG253" s="12">
        <f t="shared" si="1438"/>
        <v>0</v>
      </c>
      <c r="HH253" s="14">
        <f t="shared" si="1439"/>
        <v>0</v>
      </c>
      <c r="HI253" s="13">
        <f t="shared" si="1440"/>
        <v>11</v>
      </c>
      <c r="HJ253" s="102">
        <f t="shared" si="1441"/>
        <v>7.8222965158218627E-7</v>
      </c>
      <c r="HK253" s="16">
        <f t="shared" si="1442"/>
        <v>11</v>
      </c>
      <c r="HL253" s="103">
        <f t="shared" si="1443"/>
        <v>11.55</v>
      </c>
      <c r="HM253" s="103">
        <f t="shared" si="1444"/>
        <v>0.55000000000000071</v>
      </c>
      <c r="HN253" s="17">
        <f t="shared" si="1445"/>
        <v>0.55000000000000004</v>
      </c>
      <c r="HO253" s="56">
        <f t="shared" si="1446"/>
        <v>0</v>
      </c>
      <c r="HP253" s="16">
        <f t="shared" si="1447"/>
        <v>0</v>
      </c>
      <c r="HQ253" s="16">
        <f t="shared" si="1448"/>
        <v>11</v>
      </c>
      <c r="HR253" s="16">
        <f t="shared" si="1449"/>
        <v>0</v>
      </c>
    </row>
    <row r="254" spans="1:226" x14ac:dyDescent="0.3">
      <c r="A254" s="310">
        <v>7</v>
      </c>
      <c r="B254" s="134"/>
      <c r="C254" s="310" t="s">
        <v>307</v>
      </c>
      <c r="D254" s="2" t="s">
        <v>131</v>
      </c>
      <c r="E254" s="9"/>
      <c r="F254" s="9"/>
      <c r="G254" s="9"/>
      <c r="H254" s="324"/>
      <c r="I254" s="324">
        <v>30471</v>
      </c>
      <c r="J254" s="324"/>
      <c r="K254" s="324"/>
      <c r="L254" s="324">
        <v>30471</v>
      </c>
      <c r="M254" s="23">
        <v>30471</v>
      </c>
      <c r="N254" s="23">
        <v>30471</v>
      </c>
      <c r="O254" s="298">
        <v>30471</v>
      </c>
      <c r="P254" s="298">
        <v>30471</v>
      </c>
      <c r="Q254" s="298">
        <v>30471</v>
      </c>
      <c r="R254" s="298">
        <v>30471</v>
      </c>
      <c r="S254" s="298">
        <v>30471</v>
      </c>
      <c r="T254" s="298">
        <v>30471</v>
      </c>
      <c r="U254" s="298">
        <f t="shared" si="1388"/>
        <v>1523.5500000000002</v>
      </c>
      <c r="V254" s="298">
        <f t="shared" si="1389"/>
        <v>31994.55</v>
      </c>
      <c r="W254" s="298">
        <v>31994</v>
      </c>
      <c r="X254" s="298">
        <v>31994</v>
      </c>
      <c r="Y254" s="298">
        <v>31994</v>
      </c>
      <c r="Z254" s="298">
        <v>31994</v>
      </c>
      <c r="AA254" s="298">
        <v>31994</v>
      </c>
      <c r="AB254" s="298">
        <v>31994</v>
      </c>
      <c r="AC254" s="298">
        <v>0</v>
      </c>
      <c r="AD254" s="298">
        <v>0</v>
      </c>
      <c r="AE254" s="298">
        <f t="shared" si="1390"/>
        <v>31994</v>
      </c>
      <c r="AF254" s="298">
        <v>31994</v>
      </c>
      <c r="AG254" s="298">
        <v>0</v>
      </c>
      <c r="AH254" s="298">
        <v>0</v>
      </c>
      <c r="AI254" s="298">
        <f t="shared" si="1391"/>
        <v>31994</v>
      </c>
      <c r="AJ254" s="298">
        <v>31994</v>
      </c>
      <c r="AK254" s="298">
        <v>0</v>
      </c>
      <c r="AL254" s="298">
        <v>0</v>
      </c>
      <c r="AM254" s="298">
        <f t="shared" si="1344"/>
        <v>31994</v>
      </c>
      <c r="AN254" s="298">
        <v>31994</v>
      </c>
      <c r="AO254" s="298">
        <v>0</v>
      </c>
      <c r="AP254" s="298">
        <v>0</v>
      </c>
      <c r="AQ254" s="298">
        <f t="shared" si="1345"/>
        <v>31994</v>
      </c>
      <c r="AR254" s="298">
        <v>31994</v>
      </c>
      <c r="AS254" s="298">
        <v>0</v>
      </c>
      <c r="AT254" s="298">
        <v>0</v>
      </c>
      <c r="AU254" s="298">
        <f t="shared" si="1346"/>
        <v>31994</v>
      </c>
      <c r="AV254" s="298">
        <v>31994</v>
      </c>
      <c r="AW254" s="298">
        <v>0</v>
      </c>
      <c r="AX254" s="298">
        <v>0</v>
      </c>
      <c r="AY254" s="298">
        <f t="shared" si="1347"/>
        <v>31994</v>
      </c>
      <c r="AZ254" s="8">
        <f t="shared" si="1392"/>
        <v>1599.7</v>
      </c>
      <c r="BA254" s="8">
        <v>0.7</v>
      </c>
      <c r="BB254" s="8">
        <f t="shared" si="1393"/>
        <v>1599</v>
      </c>
      <c r="BC254" s="8">
        <f t="shared" si="1394"/>
        <v>33593</v>
      </c>
      <c r="BD254" s="8"/>
      <c r="BE254" s="8">
        <f t="shared" si="1395"/>
        <v>33593</v>
      </c>
      <c r="BF254" s="10">
        <f t="shared" si="1396"/>
        <v>1599</v>
      </c>
      <c r="BG254" s="11">
        <f t="shared" si="1397"/>
        <v>0</v>
      </c>
      <c r="BH254" s="319">
        <v>33593</v>
      </c>
      <c r="BI254" s="319">
        <v>0</v>
      </c>
      <c r="BJ254" s="319">
        <v>0</v>
      </c>
      <c r="BK254" s="319">
        <f t="shared" si="1348"/>
        <v>33593</v>
      </c>
      <c r="BL254" s="319">
        <v>0</v>
      </c>
      <c r="BM254" s="319">
        <v>0</v>
      </c>
      <c r="BN254" s="319">
        <v>0</v>
      </c>
      <c r="BO254" s="319">
        <f t="shared" si="1349"/>
        <v>0</v>
      </c>
      <c r="BP254" s="48">
        <f t="shared" si="1398"/>
        <v>-33593</v>
      </c>
      <c r="BQ254" s="319">
        <v>0</v>
      </c>
      <c r="BR254" s="319">
        <v>0</v>
      </c>
      <c r="BS254" s="319">
        <v>0</v>
      </c>
      <c r="BT254" s="319">
        <f t="shared" si="1350"/>
        <v>0</v>
      </c>
      <c r="BU254" s="319">
        <f t="shared" si="1351"/>
        <v>0</v>
      </c>
      <c r="BV254" s="319">
        <v>0</v>
      </c>
      <c r="BW254" s="319">
        <v>0</v>
      </c>
      <c r="BX254" s="319">
        <v>0</v>
      </c>
      <c r="BY254" s="319">
        <f t="shared" si="1352"/>
        <v>0</v>
      </c>
      <c r="BZ254" s="319">
        <f t="shared" si="1353"/>
        <v>0</v>
      </c>
      <c r="CA254" s="319">
        <v>0</v>
      </c>
      <c r="CB254" s="319">
        <v>0</v>
      </c>
      <c r="CC254" s="319">
        <v>0</v>
      </c>
      <c r="CD254" s="319">
        <f t="shared" si="1354"/>
        <v>0</v>
      </c>
      <c r="CE254" s="319">
        <f t="shared" si="1355"/>
        <v>0</v>
      </c>
      <c r="CF254" s="319">
        <v>10</v>
      </c>
      <c r="CG254" s="319">
        <v>0</v>
      </c>
      <c r="CH254" s="319">
        <v>0</v>
      </c>
      <c r="CI254" s="319">
        <f t="shared" si="1356"/>
        <v>10</v>
      </c>
      <c r="CJ254" s="48">
        <f t="shared" si="1357"/>
        <v>10</v>
      </c>
      <c r="CK254" s="319">
        <v>10</v>
      </c>
      <c r="CL254" s="319">
        <v>0</v>
      </c>
      <c r="CM254" s="319">
        <v>0</v>
      </c>
      <c r="CN254" s="319">
        <f t="shared" si="1358"/>
        <v>10</v>
      </c>
      <c r="CO254" s="319">
        <f t="shared" si="1359"/>
        <v>0</v>
      </c>
      <c r="CP254" s="319">
        <v>10</v>
      </c>
      <c r="CQ254" s="319">
        <v>0</v>
      </c>
      <c r="CR254" s="319">
        <v>0</v>
      </c>
      <c r="CS254" s="319">
        <f t="shared" si="1360"/>
        <v>10</v>
      </c>
      <c r="CT254" s="319">
        <f t="shared" si="1361"/>
        <v>0</v>
      </c>
      <c r="CU254" s="319">
        <v>10</v>
      </c>
      <c r="CV254" s="319">
        <v>0</v>
      </c>
      <c r="CW254" s="319">
        <v>0</v>
      </c>
      <c r="CX254" s="319">
        <f t="shared" si="1362"/>
        <v>10</v>
      </c>
      <c r="CY254" s="319">
        <f t="shared" si="1363"/>
        <v>0</v>
      </c>
      <c r="CZ254" s="319"/>
      <c r="DA254" s="319"/>
      <c r="DB254" s="319"/>
      <c r="DC254" s="12">
        <f t="shared" si="1435"/>
        <v>1</v>
      </c>
      <c r="DD254" s="12">
        <v>0</v>
      </c>
      <c r="DE254" s="13">
        <f t="shared" si="1399"/>
        <v>1</v>
      </c>
      <c r="DF254" s="14">
        <f t="shared" si="1365"/>
        <v>1</v>
      </c>
      <c r="DG254" s="13">
        <f t="shared" si="1366"/>
        <v>11</v>
      </c>
      <c r="DH254" s="15">
        <f t="shared" si="1367"/>
        <v>7.8222965158218627E-7</v>
      </c>
      <c r="DI254" s="16">
        <f t="shared" si="1368"/>
        <v>10</v>
      </c>
      <c r="DJ254" s="132">
        <f t="shared" si="1400"/>
        <v>11</v>
      </c>
      <c r="DK254" s="17">
        <f t="shared" si="1401"/>
        <v>1</v>
      </c>
      <c r="DL254" s="17">
        <f t="shared" si="1369"/>
        <v>0</v>
      </c>
      <c r="DM254" s="16">
        <f t="shared" si="1402"/>
        <v>1</v>
      </c>
      <c r="DN254" s="16">
        <f t="shared" si="1370"/>
        <v>0</v>
      </c>
      <c r="DO254" s="16">
        <f t="shared" si="1403"/>
        <v>11</v>
      </c>
      <c r="DP254" s="16">
        <f t="shared" si="1371"/>
        <v>0</v>
      </c>
      <c r="DQ254" s="9">
        <v>11</v>
      </c>
      <c r="DR254" s="18" t="s">
        <v>238</v>
      </c>
      <c r="DS254" s="18" t="s">
        <v>238</v>
      </c>
      <c r="DT254" s="324">
        <f t="shared" si="1404"/>
        <v>11</v>
      </c>
      <c r="DU254" s="321">
        <f t="shared" si="1405"/>
        <v>11</v>
      </c>
      <c r="DV254" s="19">
        <f t="shared" si="1406"/>
        <v>0</v>
      </c>
      <c r="DW254" s="9">
        <v>11</v>
      </c>
      <c r="DX254" s="18"/>
      <c r="DY254" s="18"/>
      <c r="DZ254" s="324">
        <f t="shared" si="1407"/>
        <v>11</v>
      </c>
      <c r="EA254" s="321">
        <f t="shared" si="1408"/>
        <v>11</v>
      </c>
      <c r="EB254" s="179">
        <f t="shared" si="1372"/>
        <v>0</v>
      </c>
      <c r="EC254" s="9">
        <v>11</v>
      </c>
      <c r="ED254" s="9">
        <v>0</v>
      </c>
      <c r="EE254" s="9">
        <v>0</v>
      </c>
      <c r="EF254" s="324">
        <f t="shared" si="1409"/>
        <v>11</v>
      </c>
      <c r="EG254" s="321">
        <f t="shared" si="1410"/>
        <v>11</v>
      </c>
      <c r="EH254" s="179">
        <f t="shared" si="1373"/>
        <v>0</v>
      </c>
      <c r="EI254" s="9">
        <v>11</v>
      </c>
      <c r="EJ254" s="9">
        <v>0</v>
      </c>
      <c r="EK254" s="9">
        <v>0</v>
      </c>
      <c r="EL254" s="324">
        <f t="shared" si="1411"/>
        <v>11</v>
      </c>
      <c r="EM254" s="321">
        <f t="shared" si="1412"/>
        <v>11</v>
      </c>
      <c r="EN254" s="179">
        <f t="shared" si="1374"/>
        <v>0</v>
      </c>
      <c r="EO254" s="9">
        <v>11</v>
      </c>
      <c r="EP254" s="9">
        <v>0</v>
      </c>
      <c r="EQ254" s="9">
        <v>0</v>
      </c>
      <c r="ER254" s="324">
        <f t="shared" si="1413"/>
        <v>11</v>
      </c>
      <c r="ES254" s="321">
        <f t="shared" si="1414"/>
        <v>11</v>
      </c>
      <c r="ET254" s="179">
        <f t="shared" si="1375"/>
        <v>0</v>
      </c>
      <c r="EU254" s="9">
        <v>11</v>
      </c>
      <c r="EV254" s="9">
        <v>0</v>
      </c>
      <c r="EW254" s="9">
        <v>0</v>
      </c>
      <c r="EX254" s="324">
        <f t="shared" si="1415"/>
        <v>11</v>
      </c>
      <c r="EY254" s="321">
        <f t="shared" si="1416"/>
        <v>11</v>
      </c>
      <c r="EZ254" s="179">
        <f t="shared" si="1376"/>
        <v>0</v>
      </c>
      <c r="FA254" s="9">
        <v>11</v>
      </c>
      <c r="FB254" s="9">
        <v>0</v>
      </c>
      <c r="FC254" s="9">
        <v>0</v>
      </c>
      <c r="FD254" s="324">
        <f t="shared" si="1417"/>
        <v>11</v>
      </c>
      <c r="FE254" s="321">
        <f t="shared" si="1418"/>
        <v>11</v>
      </c>
      <c r="FF254" s="179">
        <f t="shared" si="1377"/>
        <v>0</v>
      </c>
      <c r="FG254" s="9">
        <v>11</v>
      </c>
      <c r="FH254" s="18" t="s">
        <v>238</v>
      </c>
      <c r="FI254" s="18" t="s">
        <v>238</v>
      </c>
      <c r="FJ254" s="324">
        <f t="shared" si="1419"/>
        <v>11</v>
      </c>
      <c r="FK254" s="321">
        <f t="shared" si="1420"/>
        <v>11</v>
      </c>
      <c r="FL254" s="179">
        <f t="shared" si="1378"/>
        <v>0</v>
      </c>
      <c r="FM254" s="9">
        <v>11</v>
      </c>
      <c r="FN254" s="18" t="s">
        <v>238</v>
      </c>
      <c r="FO254" s="18" t="s">
        <v>238</v>
      </c>
      <c r="FP254" s="324">
        <f t="shared" si="1421"/>
        <v>11</v>
      </c>
      <c r="FQ254" s="321">
        <f t="shared" si="1422"/>
        <v>11</v>
      </c>
      <c r="FR254" s="179">
        <f t="shared" si="1379"/>
        <v>0</v>
      </c>
      <c r="FS254" s="9">
        <v>11</v>
      </c>
      <c r="FT254" s="18" t="s">
        <v>238</v>
      </c>
      <c r="FU254" s="18" t="s">
        <v>238</v>
      </c>
      <c r="FV254" s="324">
        <f t="shared" si="1423"/>
        <v>11</v>
      </c>
      <c r="FW254" s="321">
        <f t="shared" si="1424"/>
        <v>11</v>
      </c>
      <c r="FX254" s="179">
        <f t="shared" si="1380"/>
        <v>0</v>
      </c>
      <c r="FY254" s="9">
        <v>11</v>
      </c>
      <c r="FZ254" s="18" t="s">
        <v>238</v>
      </c>
      <c r="GA254" s="18" t="s">
        <v>238</v>
      </c>
      <c r="GB254" s="324">
        <f t="shared" si="1425"/>
        <v>11</v>
      </c>
      <c r="GC254" s="321">
        <f t="shared" si="1426"/>
        <v>11</v>
      </c>
      <c r="GD254" s="179">
        <f t="shared" si="1381"/>
        <v>0</v>
      </c>
      <c r="GE254" s="9">
        <v>11</v>
      </c>
      <c r="GF254" s="18" t="s">
        <v>238</v>
      </c>
      <c r="GG254" s="18" t="s">
        <v>238</v>
      </c>
      <c r="GH254" s="324">
        <f t="shared" si="1427"/>
        <v>11</v>
      </c>
      <c r="GI254" s="321">
        <f t="shared" si="1428"/>
        <v>11</v>
      </c>
      <c r="GJ254" s="179">
        <f t="shared" si="1382"/>
        <v>0</v>
      </c>
      <c r="GK254" s="9">
        <v>11</v>
      </c>
      <c r="GL254" s="18" t="s">
        <v>238</v>
      </c>
      <c r="GM254" s="18" t="s">
        <v>238</v>
      </c>
      <c r="GN254" s="324">
        <f t="shared" si="1429"/>
        <v>11</v>
      </c>
      <c r="GO254" s="321">
        <f t="shared" si="1430"/>
        <v>11</v>
      </c>
      <c r="GP254" s="179">
        <f t="shared" si="1383"/>
        <v>0</v>
      </c>
      <c r="GQ254" s="9">
        <v>11</v>
      </c>
      <c r="GR254" s="18" t="s">
        <v>238</v>
      </c>
      <c r="GS254" s="18" t="s">
        <v>238</v>
      </c>
      <c r="GT254" s="324">
        <f t="shared" si="1431"/>
        <v>11</v>
      </c>
      <c r="GU254" s="321">
        <f t="shared" si="1432"/>
        <v>11</v>
      </c>
      <c r="GV254" s="179">
        <f t="shared" si="1384"/>
        <v>0</v>
      </c>
      <c r="GW254" s="9">
        <v>11</v>
      </c>
      <c r="GX254" s="18" t="s">
        <v>238</v>
      </c>
      <c r="GY254" s="18" t="s">
        <v>238</v>
      </c>
      <c r="GZ254" s="324">
        <f t="shared" si="1433"/>
        <v>11</v>
      </c>
      <c r="HA254" s="321">
        <f t="shared" si="1434"/>
        <v>11</v>
      </c>
      <c r="HB254" s="179">
        <f t="shared" si="1385"/>
        <v>0</v>
      </c>
      <c r="HC254" s="102">
        <f t="shared" si="1386"/>
        <v>7.8222965158218627E-7</v>
      </c>
      <c r="HD254" s="285">
        <f t="shared" si="1436"/>
        <v>0</v>
      </c>
      <c r="HE254" s="12">
        <f t="shared" si="1437"/>
        <v>0.55000000000000004</v>
      </c>
      <c r="HF254" s="12">
        <f t="shared" si="1387"/>
        <v>0.55000000000000004</v>
      </c>
      <c r="HG254" s="12">
        <f t="shared" si="1438"/>
        <v>0</v>
      </c>
      <c r="HH254" s="14">
        <f t="shared" si="1439"/>
        <v>0</v>
      </c>
      <c r="HI254" s="13">
        <f t="shared" si="1440"/>
        <v>11</v>
      </c>
      <c r="HJ254" s="102">
        <f t="shared" si="1441"/>
        <v>7.8222965158218627E-7</v>
      </c>
      <c r="HK254" s="16">
        <f t="shared" si="1442"/>
        <v>11</v>
      </c>
      <c r="HL254" s="103">
        <f t="shared" si="1443"/>
        <v>11.55</v>
      </c>
      <c r="HM254" s="103">
        <f t="shared" si="1444"/>
        <v>0.55000000000000071</v>
      </c>
      <c r="HN254" s="17">
        <f t="shared" si="1445"/>
        <v>0.55000000000000004</v>
      </c>
      <c r="HO254" s="56">
        <f t="shared" si="1446"/>
        <v>0</v>
      </c>
      <c r="HP254" s="16">
        <f t="shared" si="1447"/>
        <v>0</v>
      </c>
      <c r="HQ254" s="16">
        <f t="shared" si="1448"/>
        <v>11</v>
      </c>
      <c r="HR254" s="16">
        <f t="shared" si="1449"/>
        <v>0</v>
      </c>
    </row>
    <row r="255" spans="1:226" x14ac:dyDescent="0.3">
      <c r="A255" s="310">
        <v>8</v>
      </c>
      <c r="B255" s="104" t="s">
        <v>132</v>
      </c>
      <c r="C255" s="310" t="s">
        <v>133</v>
      </c>
      <c r="D255" s="2" t="s">
        <v>134</v>
      </c>
      <c r="E255" s="9"/>
      <c r="F255" s="9"/>
      <c r="G255" s="9"/>
      <c r="H255" s="324"/>
      <c r="I255" s="324">
        <v>320650</v>
      </c>
      <c r="J255" s="324"/>
      <c r="K255" s="324"/>
      <c r="L255" s="324">
        <v>291500</v>
      </c>
      <c r="M255" s="23">
        <v>291500</v>
      </c>
      <c r="N255" s="23">
        <v>291500</v>
      </c>
      <c r="O255" s="298">
        <v>291500</v>
      </c>
      <c r="P255" s="298">
        <v>291500</v>
      </c>
      <c r="Q255" s="298">
        <v>291500</v>
      </c>
      <c r="R255" s="298">
        <v>291500</v>
      </c>
      <c r="S255" s="298">
        <v>291500</v>
      </c>
      <c r="T255" s="298">
        <v>291500</v>
      </c>
      <c r="U255" s="298">
        <f t="shared" si="1388"/>
        <v>14575</v>
      </c>
      <c r="V255" s="298">
        <f t="shared" si="1389"/>
        <v>306075</v>
      </c>
      <c r="W255" s="298">
        <v>291500</v>
      </c>
      <c r="X255" s="298">
        <v>291500</v>
      </c>
      <c r="Y255" s="298">
        <v>291500</v>
      </c>
      <c r="Z255" s="298">
        <v>291500</v>
      </c>
      <c r="AA255" s="298">
        <f>291500+45182</f>
        <v>336682</v>
      </c>
      <c r="AB255" s="9">
        <v>0</v>
      </c>
      <c r="AC255" s="9">
        <v>291500</v>
      </c>
      <c r="AD255" s="9">
        <f>29150+16032</f>
        <v>45182</v>
      </c>
      <c r="AE255" s="298">
        <f t="shared" si="1390"/>
        <v>336682</v>
      </c>
      <c r="AF255" s="9">
        <v>0</v>
      </c>
      <c r="AG255" s="9">
        <v>291500</v>
      </c>
      <c r="AH255" s="9">
        <f>29150+16032</f>
        <v>45182</v>
      </c>
      <c r="AI255" s="298">
        <f t="shared" si="1391"/>
        <v>336682</v>
      </c>
      <c r="AJ255" s="9">
        <v>0</v>
      </c>
      <c r="AK255" s="9">
        <v>291500</v>
      </c>
      <c r="AL255" s="9">
        <f>29150+16032</f>
        <v>45182</v>
      </c>
      <c r="AM255" s="298">
        <f t="shared" si="1344"/>
        <v>336682</v>
      </c>
      <c r="AN255" s="9">
        <v>0</v>
      </c>
      <c r="AO255" s="9">
        <v>291500</v>
      </c>
      <c r="AP255" s="9">
        <f>29150+16032</f>
        <v>45182</v>
      </c>
      <c r="AQ255" s="298">
        <f t="shared" si="1345"/>
        <v>336682</v>
      </c>
      <c r="AR255" s="324">
        <v>0</v>
      </c>
      <c r="AS255" s="324">
        <v>291500</v>
      </c>
      <c r="AT255" s="9">
        <f>29150+16032</f>
        <v>45182</v>
      </c>
      <c r="AU255" s="298">
        <f t="shared" si="1346"/>
        <v>336682</v>
      </c>
      <c r="AV255" s="324">
        <v>0</v>
      </c>
      <c r="AW255" s="324">
        <v>291500</v>
      </c>
      <c r="AX255" s="9">
        <f>29150+16032</f>
        <v>45182</v>
      </c>
      <c r="AY255" s="298">
        <f t="shared" si="1347"/>
        <v>336682</v>
      </c>
      <c r="AZ255" s="8">
        <f t="shared" si="1392"/>
        <v>16834.100000000002</v>
      </c>
      <c r="BA255" s="8">
        <v>0.1</v>
      </c>
      <c r="BB255" s="8">
        <f t="shared" si="1393"/>
        <v>16834.000000000004</v>
      </c>
      <c r="BC255" s="8">
        <f t="shared" si="1394"/>
        <v>353516</v>
      </c>
      <c r="BD255" s="8"/>
      <c r="BE255" s="8">
        <f t="shared" si="1395"/>
        <v>353516</v>
      </c>
      <c r="BF255" s="10">
        <f t="shared" si="1396"/>
        <v>16834</v>
      </c>
      <c r="BG255" s="11">
        <f t="shared" si="1397"/>
        <v>0</v>
      </c>
      <c r="BH255" s="4">
        <v>0</v>
      </c>
      <c r="BI255" s="4">
        <v>291500</v>
      </c>
      <c r="BJ255" s="52">
        <f>29150+16032</f>
        <v>45182</v>
      </c>
      <c r="BK255" s="319">
        <f t="shared" si="1348"/>
        <v>336682</v>
      </c>
      <c r="BL255" s="319"/>
      <c r="BM255" s="319">
        <v>291500</v>
      </c>
      <c r="BN255" s="54">
        <f>16032+29150</f>
        <v>45182</v>
      </c>
      <c r="BO255" s="319">
        <f t="shared" si="1349"/>
        <v>336682</v>
      </c>
      <c r="BP255" s="319">
        <f t="shared" si="1398"/>
        <v>0</v>
      </c>
      <c r="BQ255" s="319">
        <v>0</v>
      </c>
      <c r="BR255" s="319">
        <v>291500</v>
      </c>
      <c r="BS255" s="54">
        <f>16032+29150</f>
        <v>45182</v>
      </c>
      <c r="BT255" s="319">
        <f>BS255+BR255+BQ255</f>
        <v>336682</v>
      </c>
      <c r="BU255" s="319">
        <f t="shared" si="1351"/>
        <v>0</v>
      </c>
      <c r="BV255" s="4">
        <v>0</v>
      </c>
      <c r="BW255" s="4">
        <v>291500</v>
      </c>
      <c r="BX255" s="52">
        <f>29150+16032</f>
        <v>45182</v>
      </c>
      <c r="BY255" s="319">
        <f>BX255+BW255+BV255</f>
        <v>336682</v>
      </c>
      <c r="BZ255" s="319">
        <f t="shared" si="1353"/>
        <v>0</v>
      </c>
      <c r="CA255" s="4">
        <v>0</v>
      </c>
      <c r="CB255" s="4">
        <v>291500</v>
      </c>
      <c r="CC255" s="52">
        <f>29150+16032</f>
        <v>45182</v>
      </c>
      <c r="CD255" s="319">
        <f>CC255+CB255+CA255</f>
        <v>336682</v>
      </c>
      <c r="CE255" s="319">
        <f t="shared" si="1355"/>
        <v>0</v>
      </c>
      <c r="CF255" s="4">
        <v>0</v>
      </c>
      <c r="CG255" s="4">
        <v>291500</v>
      </c>
      <c r="CH255" s="52">
        <f>29150+16032</f>
        <v>45182</v>
      </c>
      <c r="CI255" s="319">
        <f t="shared" si="1356"/>
        <v>336682</v>
      </c>
      <c r="CJ255" s="319">
        <f t="shared" si="1357"/>
        <v>0</v>
      </c>
      <c r="CK255" s="4">
        <v>0</v>
      </c>
      <c r="CL255" s="4">
        <v>291500</v>
      </c>
      <c r="CM255" s="52">
        <f>29150+16032</f>
        <v>45182</v>
      </c>
      <c r="CN255" s="319">
        <f t="shared" si="1358"/>
        <v>336682</v>
      </c>
      <c r="CO255" s="319">
        <f t="shared" si="1359"/>
        <v>0</v>
      </c>
      <c r="CP255" s="4">
        <v>0</v>
      </c>
      <c r="CQ255" s="4">
        <v>291500</v>
      </c>
      <c r="CR255" s="52">
        <f>29150+16032</f>
        <v>45182</v>
      </c>
      <c r="CS255" s="319">
        <f t="shared" si="1360"/>
        <v>336682</v>
      </c>
      <c r="CT255" s="319">
        <f t="shared" si="1361"/>
        <v>0</v>
      </c>
      <c r="CU255" s="4">
        <v>0</v>
      </c>
      <c r="CV255" s="4">
        <v>291500</v>
      </c>
      <c r="CW255" s="52">
        <f>29150+16032</f>
        <v>45182</v>
      </c>
      <c r="CX255" s="319">
        <f t="shared" si="1362"/>
        <v>336682</v>
      </c>
      <c r="CY255" s="319">
        <f t="shared" si="1363"/>
        <v>0</v>
      </c>
      <c r="CZ255" s="319">
        <f t="shared" ref="CZ255:DB256" si="1450">CU255*0.1</f>
        <v>0</v>
      </c>
      <c r="DA255" s="319">
        <f t="shared" si="1450"/>
        <v>29150</v>
      </c>
      <c r="DB255" s="319">
        <f t="shared" si="1450"/>
        <v>4518.2</v>
      </c>
      <c r="DC255" s="12">
        <f>DB255+DA255+CZ255</f>
        <v>33668.199999999997</v>
      </c>
      <c r="DD255" s="12">
        <v>0.2</v>
      </c>
      <c r="DE255" s="13">
        <f t="shared" si="1399"/>
        <v>33668</v>
      </c>
      <c r="DF255" s="14">
        <f t="shared" si="1365"/>
        <v>33668</v>
      </c>
      <c r="DG255" s="13">
        <f t="shared" si="1366"/>
        <v>370350</v>
      </c>
      <c r="DH255" s="15">
        <f t="shared" si="1367"/>
        <v>2.6336264355399364E-2</v>
      </c>
      <c r="DI255" s="16">
        <f t="shared" si="1368"/>
        <v>336682</v>
      </c>
      <c r="DJ255" s="132">
        <f t="shared" si="1400"/>
        <v>370350.2</v>
      </c>
      <c r="DK255" s="17">
        <f t="shared" si="1401"/>
        <v>33668.200000000012</v>
      </c>
      <c r="DL255" s="17">
        <f t="shared" si="1369"/>
        <v>0.2</v>
      </c>
      <c r="DM255" s="16">
        <f t="shared" si="1402"/>
        <v>33668.000000000015</v>
      </c>
      <c r="DN255" s="16">
        <f t="shared" si="1370"/>
        <v>0</v>
      </c>
      <c r="DO255" s="16">
        <f t="shared" si="1403"/>
        <v>370350</v>
      </c>
      <c r="DP255" s="56">
        <f t="shared" si="1371"/>
        <v>0</v>
      </c>
      <c r="DQ255" s="9">
        <v>0</v>
      </c>
      <c r="DR255" s="18" t="s">
        <v>620</v>
      </c>
      <c r="DS255" s="52">
        <f>29150+16032+33668</f>
        <v>78850</v>
      </c>
      <c r="DT255" s="324">
        <f t="shared" si="1404"/>
        <v>370350</v>
      </c>
      <c r="DU255" s="321">
        <f t="shared" si="1405"/>
        <v>370350</v>
      </c>
      <c r="DV255" s="19">
        <f t="shared" si="1406"/>
        <v>0</v>
      </c>
      <c r="DW255" s="9">
        <v>0</v>
      </c>
      <c r="DX255" s="9">
        <v>291500</v>
      </c>
      <c r="DY255" s="52">
        <f>29150+16032</f>
        <v>45182</v>
      </c>
      <c r="DZ255" s="324">
        <f t="shared" si="1407"/>
        <v>336682</v>
      </c>
      <c r="EA255" s="321">
        <f t="shared" si="1408"/>
        <v>336682</v>
      </c>
      <c r="EB255" s="22">
        <f t="shared" si="1372"/>
        <v>-33668</v>
      </c>
      <c r="EC255" s="4">
        <v>0</v>
      </c>
      <c r="ED255" s="4">
        <v>291500</v>
      </c>
      <c r="EE255" s="52">
        <f>29150+16032</f>
        <v>45182</v>
      </c>
      <c r="EF255" s="324">
        <f t="shared" si="1409"/>
        <v>336682</v>
      </c>
      <c r="EG255" s="321">
        <f t="shared" si="1410"/>
        <v>336682</v>
      </c>
      <c r="EH255" s="179">
        <f t="shared" si="1373"/>
        <v>0</v>
      </c>
      <c r="EI255" s="4">
        <v>0</v>
      </c>
      <c r="EJ255" s="4">
        <v>291500</v>
      </c>
      <c r="EK255" s="52">
        <f>29150+16032</f>
        <v>45182</v>
      </c>
      <c r="EL255" s="324">
        <f t="shared" si="1411"/>
        <v>336682</v>
      </c>
      <c r="EM255" s="321">
        <f t="shared" si="1412"/>
        <v>336682</v>
      </c>
      <c r="EN255" s="179">
        <f t="shared" si="1374"/>
        <v>0</v>
      </c>
      <c r="EO255" s="4">
        <v>0</v>
      </c>
      <c r="EP255" s="4">
        <v>291500</v>
      </c>
      <c r="EQ255" s="52">
        <f>29150+16032</f>
        <v>45182</v>
      </c>
      <c r="ER255" s="324">
        <f t="shared" si="1413"/>
        <v>336682</v>
      </c>
      <c r="ES255" s="321">
        <f t="shared" si="1414"/>
        <v>336682</v>
      </c>
      <c r="ET255" s="179">
        <f t="shared" si="1375"/>
        <v>0</v>
      </c>
      <c r="EU255" s="4"/>
      <c r="EV255" s="4">
        <v>291500</v>
      </c>
      <c r="EW255" s="52">
        <f>29150+16032</f>
        <v>45182</v>
      </c>
      <c r="EX255" s="324">
        <f t="shared" si="1415"/>
        <v>336682</v>
      </c>
      <c r="EY255" s="321">
        <f t="shared" si="1416"/>
        <v>336682</v>
      </c>
      <c r="EZ255" s="179">
        <f t="shared" si="1376"/>
        <v>0</v>
      </c>
      <c r="FA255" s="4">
        <v>0</v>
      </c>
      <c r="FB255" s="4">
        <v>291500</v>
      </c>
      <c r="FC255" s="52">
        <f>29150+16032</f>
        <v>45182</v>
      </c>
      <c r="FD255" s="324">
        <f t="shared" si="1417"/>
        <v>336682</v>
      </c>
      <c r="FE255" s="321">
        <f t="shared" si="1418"/>
        <v>336682</v>
      </c>
      <c r="FF255" s="179">
        <f t="shared" si="1377"/>
        <v>0</v>
      </c>
      <c r="FG255" s="4">
        <v>0</v>
      </c>
      <c r="FH255" s="4">
        <v>291500</v>
      </c>
      <c r="FI255" s="52">
        <f>29150+16032</f>
        <v>45182</v>
      </c>
      <c r="FJ255" s="324">
        <f t="shared" si="1419"/>
        <v>336682</v>
      </c>
      <c r="FK255" s="321">
        <f t="shared" si="1420"/>
        <v>336682</v>
      </c>
      <c r="FL255" s="179">
        <f t="shared" si="1378"/>
        <v>0</v>
      </c>
      <c r="FM255" s="4">
        <v>0</v>
      </c>
      <c r="FN255" s="4">
        <v>291500</v>
      </c>
      <c r="FO255" s="52">
        <f>29150+16032</f>
        <v>45182</v>
      </c>
      <c r="FP255" s="324">
        <f t="shared" si="1421"/>
        <v>336682</v>
      </c>
      <c r="FQ255" s="321">
        <f t="shared" si="1422"/>
        <v>336682</v>
      </c>
      <c r="FR255" s="179">
        <f t="shared" si="1379"/>
        <v>0</v>
      </c>
      <c r="FS255" s="4">
        <v>0</v>
      </c>
      <c r="FT255" s="4">
        <v>291500</v>
      </c>
      <c r="FU255" s="52">
        <f>29150+16032</f>
        <v>45182</v>
      </c>
      <c r="FV255" s="324">
        <f t="shared" si="1423"/>
        <v>336682</v>
      </c>
      <c r="FW255" s="321">
        <f t="shared" si="1424"/>
        <v>336682</v>
      </c>
      <c r="FX255" s="179">
        <f t="shared" si="1380"/>
        <v>0</v>
      </c>
      <c r="FY255" s="4">
        <v>0</v>
      </c>
      <c r="FZ255" s="4">
        <v>291500</v>
      </c>
      <c r="GA255" s="52">
        <f>29150+16032</f>
        <v>45182</v>
      </c>
      <c r="GB255" s="324">
        <f t="shared" si="1425"/>
        <v>336682</v>
      </c>
      <c r="GC255" s="321">
        <f t="shared" si="1426"/>
        <v>336682</v>
      </c>
      <c r="GD255" s="179">
        <f t="shared" si="1381"/>
        <v>0</v>
      </c>
      <c r="GE255" s="4">
        <v>0</v>
      </c>
      <c r="GF255" s="4">
        <v>291500</v>
      </c>
      <c r="GG255" s="52">
        <f>29150+16032</f>
        <v>45182</v>
      </c>
      <c r="GH255" s="324">
        <f t="shared" si="1427"/>
        <v>336682</v>
      </c>
      <c r="GI255" s="321">
        <f t="shared" si="1428"/>
        <v>336682</v>
      </c>
      <c r="GJ255" s="179">
        <f t="shared" si="1382"/>
        <v>0</v>
      </c>
      <c r="GK255" s="4">
        <v>0</v>
      </c>
      <c r="GL255" s="4">
        <v>291500</v>
      </c>
      <c r="GM255" s="52">
        <f>29150+16032</f>
        <v>45182</v>
      </c>
      <c r="GN255" s="324">
        <f t="shared" si="1429"/>
        <v>336682</v>
      </c>
      <c r="GO255" s="321">
        <f t="shared" si="1430"/>
        <v>336682</v>
      </c>
      <c r="GP255" s="179">
        <f t="shared" si="1383"/>
        <v>0</v>
      </c>
      <c r="GQ255" s="4">
        <v>0</v>
      </c>
      <c r="GR255" s="4">
        <v>291500</v>
      </c>
      <c r="GS255" s="52">
        <f>29150+16032</f>
        <v>45182</v>
      </c>
      <c r="GT255" s="324">
        <f t="shared" si="1431"/>
        <v>336682</v>
      </c>
      <c r="GU255" s="321">
        <f t="shared" si="1432"/>
        <v>336682</v>
      </c>
      <c r="GV255" s="179">
        <f t="shared" si="1384"/>
        <v>0</v>
      </c>
      <c r="GW255" s="4">
        <v>0</v>
      </c>
      <c r="GX255" s="4">
        <v>291500</v>
      </c>
      <c r="GY255" s="52">
        <f>29150+16032+16834</f>
        <v>62016</v>
      </c>
      <c r="GZ255" s="324">
        <f t="shared" si="1433"/>
        <v>353516</v>
      </c>
      <c r="HA255" s="321">
        <f t="shared" si="1434"/>
        <v>353516</v>
      </c>
      <c r="HB255" s="179">
        <f t="shared" si="1385"/>
        <v>16834</v>
      </c>
      <c r="HC255" s="102">
        <f t="shared" si="1386"/>
        <v>2.3942058504908513E-2</v>
      </c>
      <c r="HD255" s="285">
        <f t="shared" si="1436"/>
        <v>-3.2741809263825417E-11</v>
      </c>
      <c r="HE255" s="12">
        <f t="shared" si="1437"/>
        <v>16834.100000000002</v>
      </c>
      <c r="HF255" s="12">
        <f t="shared" si="1387"/>
        <v>0.10000000000218279</v>
      </c>
      <c r="HG255" s="12">
        <f t="shared" si="1438"/>
        <v>16834</v>
      </c>
      <c r="HH255" s="14">
        <f t="shared" si="1439"/>
        <v>16834</v>
      </c>
      <c r="HI255" s="13">
        <f t="shared" si="1440"/>
        <v>353516</v>
      </c>
      <c r="HJ255" s="102">
        <f t="shared" si="1441"/>
        <v>2.5139154318975288E-2</v>
      </c>
      <c r="HK255" s="16">
        <f t="shared" si="1442"/>
        <v>336682</v>
      </c>
      <c r="HL255" s="103">
        <f t="shared" si="1443"/>
        <v>353516.10000000003</v>
      </c>
      <c r="HM255" s="103">
        <f t="shared" si="1444"/>
        <v>16834.100000000035</v>
      </c>
      <c r="HN255" s="17">
        <f t="shared" si="1445"/>
        <v>0.10000000000218279</v>
      </c>
      <c r="HO255" s="56">
        <f t="shared" si="1446"/>
        <v>16834.000000000033</v>
      </c>
      <c r="HP255" s="16">
        <f t="shared" si="1447"/>
        <v>3.2741809263825417E-11</v>
      </c>
      <c r="HQ255" s="16">
        <f t="shared" si="1448"/>
        <v>353516.00000000006</v>
      </c>
      <c r="HR255" s="16">
        <f t="shared" si="1449"/>
        <v>0</v>
      </c>
    </row>
    <row r="256" spans="1:226" x14ac:dyDescent="0.3">
      <c r="A256" s="310">
        <v>9</v>
      </c>
      <c r="B256" s="133"/>
      <c r="C256" s="310" t="s">
        <v>135</v>
      </c>
      <c r="D256" s="82" t="s">
        <v>134</v>
      </c>
      <c r="E256" s="83"/>
      <c r="F256" s="83"/>
      <c r="G256" s="83"/>
      <c r="H256" s="324"/>
      <c r="I256" s="324">
        <v>187</v>
      </c>
      <c r="J256" s="324"/>
      <c r="K256" s="324"/>
      <c r="L256" s="324">
        <v>170</v>
      </c>
      <c r="M256" s="23">
        <v>170</v>
      </c>
      <c r="N256" s="23">
        <v>170</v>
      </c>
      <c r="O256" s="298">
        <v>170</v>
      </c>
      <c r="P256" s="298">
        <v>170</v>
      </c>
      <c r="Q256" s="298">
        <v>170</v>
      </c>
      <c r="R256" s="298">
        <v>170</v>
      </c>
      <c r="S256" s="298">
        <v>170</v>
      </c>
      <c r="T256" s="298">
        <v>170</v>
      </c>
      <c r="U256" s="298">
        <f t="shared" si="1388"/>
        <v>8.5</v>
      </c>
      <c r="V256" s="298">
        <f t="shared" si="1389"/>
        <v>178.5</v>
      </c>
      <c r="W256" s="298">
        <v>170</v>
      </c>
      <c r="X256" s="298">
        <v>170</v>
      </c>
      <c r="Y256" s="298">
        <v>170</v>
      </c>
      <c r="Z256" s="298">
        <v>170</v>
      </c>
      <c r="AA256" s="298">
        <f>170+26</f>
        <v>196</v>
      </c>
      <c r="AB256" s="9">
        <v>0</v>
      </c>
      <c r="AC256" s="9">
        <v>170</v>
      </c>
      <c r="AD256" s="9">
        <v>26</v>
      </c>
      <c r="AE256" s="298">
        <f t="shared" si="1390"/>
        <v>196</v>
      </c>
      <c r="AF256" s="9">
        <v>0</v>
      </c>
      <c r="AG256" s="9">
        <v>170</v>
      </c>
      <c r="AH256" s="9">
        <v>26</v>
      </c>
      <c r="AI256" s="298">
        <f t="shared" si="1391"/>
        <v>196</v>
      </c>
      <c r="AJ256" s="9">
        <v>0</v>
      </c>
      <c r="AK256" s="9">
        <v>170</v>
      </c>
      <c r="AL256" s="9">
        <v>26</v>
      </c>
      <c r="AM256" s="298">
        <f t="shared" si="1344"/>
        <v>196</v>
      </c>
      <c r="AN256" s="9">
        <v>0</v>
      </c>
      <c r="AO256" s="9">
        <v>170</v>
      </c>
      <c r="AP256" s="9">
        <v>26</v>
      </c>
      <c r="AQ256" s="298">
        <f t="shared" si="1345"/>
        <v>196</v>
      </c>
      <c r="AR256" s="324">
        <v>0</v>
      </c>
      <c r="AS256" s="324">
        <v>170</v>
      </c>
      <c r="AT256" s="9">
        <f>17+9</f>
        <v>26</v>
      </c>
      <c r="AU256" s="298">
        <f t="shared" si="1346"/>
        <v>196</v>
      </c>
      <c r="AV256" s="324">
        <v>0</v>
      </c>
      <c r="AW256" s="324">
        <v>170</v>
      </c>
      <c r="AX256" s="9">
        <f>17+9</f>
        <v>26</v>
      </c>
      <c r="AY256" s="298">
        <f t="shared" si="1347"/>
        <v>196</v>
      </c>
      <c r="AZ256" s="8">
        <f t="shared" si="1392"/>
        <v>9.8000000000000007</v>
      </c>
      <c r="BA256" s="8">
        <v>0.8</v>
      </c>
      <c r="BB256" s="8">
        <f t="shared" si="1393"/>
        <v>9</v>
      </c>
      <c r="BC256" s="8">
        <f t="shared" si="1394"/>
        <v>205</v>
      </c>
      <c r="BD256" s="8"/>
      <c r="BE256" s="8">
        <f t="shared" si="1395"/>
        <v>205</v>
      </c>
      <c r="BF256" s="10">
        <f t="shared" si="1396"/>
        <v>9</v>
      </c>
      <c r="BG256" s="11">
        <f t="shared" si="1397"/>
        <v>0</v>
      </c>
      <c r="BH256" s="4">
        <v>16843</v>
      </c>
      <c r="BI256" s="4">
        <v>170</v>
      </c>
      <c r="BJ256" s="52">
        <f>17+9</f>
        <v>26</v>
      </c>
      <c r="BK256" s="319">
        <f t="shared" si="1348"/>
        <v>17039</v>
      </c>
      <c r="BL256" s="319">
        <v>16843</v>
      </c>
      <c r="BM256" s="319">
        <v>170</v>
      </c>
      <c r="BN256" s="54">
        <v>17</v>
      </c>
      <c r="BO256" s="319">
        <f t="shared" si="1349"/>
        <v>17030</v>
      </c>
      <c r="BP256" s="48">
        <f t="shared" si="1398"/>
        <v>-9</v>
      </c>
      <c r="BQ256" s="4">
        <v>16843</v>
      </c>
      <c r="BR256" s="4">
        <v>170</v>
      </c>
      <c r="BS256" s="52">
        <f>17+9</f>
        <v>26</v>
      </c>
      <c r="BT256" s="319">
        <f>BS256+BR256+BQ256</f>
        <v>17039</v>
      </c>
      <c r="BU256" s="319">
        <f t="shared" si="1351"/>
        <v>9</v>
      </c>
      <c r="BV256" s="4">
        <v>16843</v>
      </c>
      <c r="BW256" s="4">
        <v>170</v>
      </c>
      <c r="BX256" s="52">
        <f>17+9</f>
        <v>26</v>
      </c>
      <c r="BY256" s="319">
        <f>BX256+BW256+BV256</f>
        <v>17039</v>
      </c>
      <c r="BZ256" s="319">
        <f t="shared" si="1353"/>
        <v>0</v>
      </c>
      <c r="CA256" s="4">
        <v>16843</v>
      </c>
      <c r="CB256" s="4">
        <v>170</v>
      </c>
      <c r="CC256" s="52">
        <f>17+9</f>
        <v>26</v>
      </c>
      <c r="CD256" s="319">
        <f>CC256+CB256+CA256</f>
        <v>17039</v>
      </c>
      <c r="CE256" s="319">
        <f t="shared" si="1355"/>
        <v>0</v>
      </c>
      <c r="CF256" s="4">
        <v>16843</v>
      </c>
      <c r="CG256" s="4">
        <v>170</v>
      </c>
      <c r="CH256" s="52">
        <f>17+9</f>
        <v>26</v>
      </c>
      <c r="CI256" s="319">
        <f t="shared" si="1356"/>
        <v>17039</v>
      </c>
      <c r="CJ256" s="319">
        <f t="shared" si="1357"/>
        <v>0</v>
      </c>
      <c r="CK256" s="4">
        <v>16843</v>
      </c>
      <c r="CL256" s="4">
        <v>170</v>
      </c>
      <c r="CM256" s="52">
        <f>17+9</f>
        <v>26</v>
      </c>
      <c r="CN256" s="319">
        <f t="shared" si="1358"/>
        <v>17039</v>
      </c>
      <c r="CO256" s="319">
        <f t="shared" si="1359"/>
        <v>0</v>
      </c>
      <c r="CP256" s="4">
        <v>16843</v>
      </c>
      <c r="CQ256" s="4">
        <v>170</v>
      </c>
      <c r="CR256" s="52">
        <f>17+9</f>
        <v>26</v>
      </c>
      <c r="CS256" s="319">
        <f t="shared" si="1360"/>
        <v>17039</v>
      </c>
      <c r="CT256" s="319">
        <f t="shared" si="1361"/>
        <v>0</v>
      </c>
      <c r="CU256" s="4">
        <v>16843</v>
      </c>
      <c r="CV256" s="4">
        <v>170</v>
      </c>
      <c r="CW256" s="52">
        <f>17+9</f>
        <v>26</v>
      </c>
      <c r="CX256" s="319">
        <f t="shared" si="1362"/>
        <v>17039</v>
      </c>
      <c r="CY256" s="319">
        <f t="shared" si="1363"/>
        <v>0</v>
      </c>
      <c r="CZ256" s="319">
        <f t="shared" si="1450"/>
        <v>1684.3000000000002</v>
      </c>
      <c r="DA256" s="319">
        <f t="shared" si="1450"/>
        <v>17</v>
      </c>
      <c r="DB256" s="319">
        <f t="shared" si="1450"/>
        <v>2.6</v>
      </c>
      <c r="DC256" s="12">
        <f>DB256+DA256+CZ256</f>
        <v>1703.9</v>
      </c>
      <c r="DD256" s="12">
        <v>0.9</v>
      </c>
      <c r="DE256" s="13">
        <f t="shared" si="1399"/>
        <v>1703</v>
      </c>
      <c r="DF256" s="14">
        <f t="shared" si="1365"/>
        <v>1703</v>
      </c>
      <c r="DG256" s="13">
        <f t="shared" si="1366"/>
        <v>18742</v>
      </c>
      <c r="DH256" s="15">
        <f t="shared" si="1367"/>
        <v>1.3328411033308872E-3</v>
      </c>
      <c r="DI256" s="16">
        <f t="shared" si="1368"/>
        <v>17039</v>
      </c>
      <c r="DJ256" s="132">
        <f t="shared" si="1400"/>
        <v>18742.900000000001</v>
      </c>
      <c r="DK256" s="17">
        <f t="shared" si="1401"/>
        <v>1703.9000000000015</v>
      </c>
      <c r="DL256" s="17">
        <f t="shared" si="1369"/>
        <v>0.9</v>
      </c>
      <c r="DM256" s="16">
        <f t="shared" si="1402"/>
        <v>1703.0000000000014</v>
      </c>
      <c r="DN256" s="16">
        <f t="shared" si="1370"/>
        <v>0</v>
      </c>
      <c r="DO256" s="16">
        <f t="shared" si="1403"/>
        <v>18742</v>
      </c>
      <c r="DP256" s="56">
        <f t="shared" si="1371"/>
        <v>0</v>
      </c>
      <c r="DQ256" s="9">
        <v>18527</v>
      </c>
      <c r="DR256" s="18" t="s">
        <v>619</v>
      </c>
      <c r="DS256" s="52">
        <f>17+9+19</f>
        <v>45</v>
      </c>
      <c r="DT256" s="324">
        <f t="shared" si="1404"/>
        <v>18742</v>
      </c>
      <c r="DU256" s="321">
        <f t="shared" si="1405"/>
        <v>18742</v>
      </c>
      <c r="DV256" s="19">
        <f t="shared" si="1406"/>
        <v>0</v>
      </c>
      <c r="DW256" s="9">
        <v>52214</v>
      </c>
      <c r="DX256" s="18" t="s">
        <v>619</v>
      </c>
      <c r="DY256" s="52">
        <f>17+9</f>
        <v>26</v>
      </c>
      <c r="DZ256" s="324">
        <f t="shared" si="1407"/>
        <v>52410</v>
      </c>
      <c r="EA256" s="321">
        <f t="shared" si="1408"/>
        <v>52410</v>
      </c>
      <c r="EB256" s="22">
        <f t="shared" si="1372"/>
        <v>33668</v>
      </c>
      <c r="EC256" s="4">
        <v>52214</v>
      </c>
      <c r="ED256" s="4">
        <v>170</v>
      </c>
      <c r="EE256" s="52">
        <f>17+9</f>
        <v>26</v>
      </c>
      <c r="EF256" s="324">
        <f t="shared" si="1409"/>
        <v>52410</v>
      </c>
      <c r="EG256" s="321">
        <f t="shared" si="1410"/>
        <v>52410</v>
      </c>
      <c r="EH256" s="179">
        <f t="shared" si="1373"/>
        <v>0</v>
      </c>
      <c r="EI256" s="4">
        <v>52214</v>
      </c>
      <c r="EJ256" s="4">
        <v>170</v>
      </c>
      <c r="EK256" s="52">
        <f>17+9</f>
        <v>26</v>
      </c>
      <c r="EL256" s="324">
        <f t="shared" si="1411"/>
        <v>52410</v>
      </c>
      <c r="EM256" s="321">
        <f t="shared" si="1412"/>
        <v>52410</v>
      </c>
      <c r="EN256" s="179">
        <f t="shared" si="1374"/>
        <v>0</v>
      </c>
      <c r="EO256" s="4">
        <v>52214</v>
      </c>
      <c r="EP256" s="4">
        <v>170</v>
      </c>
      <c r="EQ256" s="52">
        <f>17+9</f>
        <v>26</v>
      </c>
      <c r="ER256" s="324">
        <f t="shared" si="1413"/>
        <v>52410</v>
      </c>
      <c r="ES256" s="321">
        <f t="shared" si="1414"/>
        <v>52410</v>
      </c>
      <c r="ET256" s="179">
        <f t="shared" si="1375"/>
        <v>0</v>
      </c>
      <c r="EU256" s="4">
        <v>52214</v>
      </c>
      <c r="EV256" s="4">
        <v>170</v>
      </c>
      <c r="EW256" s="52">
        <f>17+9</f>
        <v>26</v>
      </c>
      <c r="EX256" s="324">
        <f t="shared" si="1415"/>
        <v>52410</v>
      </c>
      <c r="EY256" s="321">
        <f t="shared" si="1416"/>
        <v>52410</v>
      </c>
      <c r="EZ256" s="179">
        <f t="shared" si="1376"/>
        <v>0</v>
      </c>
      <c r="FA256" s="4">
        <v>52214</v>
      </c>
      <c r="FB256" s="4">
        <v>170</v>
      </c>
      <c r="FC256" s="52">
        <f>17+9</f>
        <v>26</v>
      </c>
      <c r="FD256" s="324">
        <f t="shared" si="1417"/>
        <v>52410</v>
      </c>
      <c r="FE256" s="321">
        <f t="shared" si="1418"/>
        <v>52410</v>
      </c>
      <c r="FF256" s="179">
        <f t="shared" si="1377"/>
        <v>0</v>
      </c>
      <c r="FG256" s="4">
        <v>52214</v>
      </c>
      <c r="FH256" s="4">
        <v>170</v>
      </c>
      <c r="FI256" s="52">
        <f>17+9</f>
        <v>26</v>
      </c>
      <c r="FJ256" s="324">
        <f t="shared" si="1419"/>
        <v>52410</v>
      </c>
      <c r="FK256" s="321">
        <f t="shared" si="1420"/>
        <v>52410</v>
      </c>
      <c r="FL256" s="179">
        <f t="shared" si="1378"/>
        <v>0</v>
      </c>
      <c r="FM256" s="4">
        <v>52214</v>
      </c>
      <c r="FN256" s="4">
        <v>170</v>
      </c>
      <c r="FO256" s="52">
        <f>17+9</f>
        <v>26</v>
      </c>
      <c r="FP256" s="324">
        <f t="shared" si="1421"/>
        <v>52410</v>
      </c>
      <c r="FQ256" s="321">
        <f t="shared" si="1422"/>
        <v>52410</v>
      </c>
      <c r="FR256" s="179">
        <f t="shared" si="1379"/>
        <v>0</v>
      </c>
      <c r="FS256" s="4">
        <v>52214</v>
      </c>
      <c r="FT256" s="4">
        <v>170</v>
      </c>
      <c r="FU256" s="52">
        <f>17+9</f>
        <v>26</v>
      </c>
      <c r="FV256" s="324">
        <f t="shared" si="1423"/>
        <v>52410</v>
      </c>
      <c r="FW256" s="321">
        <f t="shared" si="1424"/>
        <v>52410</v>
      </c>
      <c r="FX256" s="179">
        <f t="shared" si="1380"/>
        <v>0</v>
      </c>
      <c r="FY256" s="4">
        <v>52214</v>
      </c>
      <c r="FZ256" s="4">
        <v>170</v>
      </c>
      <c r="GA256" s="52">
        <f>17+9</f>
        <v>26</v>
      </c>
      <c r="GB256" s="324">
        <f t="shared" si="1425"/>
        <v>52410</v>
      </c>
      <c r="GC256" s="321">
        <f t="shared" si="1426"/>
        <v>52410</v>
      </c>
      <c r="GD256" s="179">
        <f t="shared" si="1381"/>
        <v>0</v>
      </c>
      <c r="GE256" s="4">
        <v>52214</v>
      </c>
      <c r="GF256" s="4">
        <v>170</v>
      </c>
      <c r="GG256" s="52">
        <f>17+9</f>
        <v>26</v>
      </c>
      <c r="GH256" s="324">
        <f t="shared" si="1427"/>
        <v>52410</v>
      </c>
      <c r="GI256" s="321">
        <f t="shared" si="1428"/>
        <v>52410</v>
      </c>
      <c r="GJ256" s="179">
        <f t="shared" si="1382"/>
        <v>0</v>
      </c>
      <c r="GK256" s="4">
        <v>52214</v>
      </c>
      <c r="GL256" s="4">
        <v>170</v>
      </c>
      <c r="GM256" s="52">
        <f>17+9</f>
        <v>26</v>
      </c>
      <c r="GN256" s="324">
        <f t="shared" si="1429"/>
        <v>52410</v>
      </c>
      <c r="GO256" s="321">
        <f t="shared" si="1430"/>
        <v>52410</v>
      </c>
      <c r="GP256" s="179">
        <f t="shared" si="1383"/>
        <v>0</v>
      </c>
      <c r="GQ256" s="4">
        <v>52214</v>
      </c>
      <c r="GR256" s="4">
        <v>170</v>
      </c>
      <c r="GS256" s="52">
        <f>17+9</f>
        <v>26</v>
      </c>
      <c r="GT256" s="324">
        <f t="shared" si="1431"/>
        <v>52410</v>
      </c>
      <c r="GU256" s="321">
        <f t="shared" si="1432"/>
        <v>52410</v>
      </c>
      <c r="GV256" s="179">
        <f t="shared" si="1384"/>
        <v>0</v>
      </c>
      <c r="GW256" s="4">
        <v>54824</v>
      </c>
      <c r="GX256" s="4">
        <v>170</v>
      </c>
      <c r="GY256" s="52">
        <f>17+9+9</f>
        <v>35</v>
      </c>
      <c r="GZ256" s="324">
        <f t="shared" si="1433"/>
        <v>55029</v>
      </c>
      <c r="HA256" s="321">
        <f t="shared" si="1434"/>
        <v>55029</v>
      </c>
      <c r="HB256" s="179">
        <f t="shared" si="1385"/>
        <v>2619</v>
      </c>
      <c r="HC256" s="102">
        <f t="shared" si="1386"/>
        <v>3.7269687308565803E-3</v>
      </c>
      <c r="HD256" s="285">
        <f t="shared" si="1436"/>
        <v>-1</v>
      </c>
      <c r="HE256" s="12">
        <f t="shared" si="1437"/>
        <v>2620.5</v>
      </c>
      <c r="HF256" s="12">
        <f t="shared" si="1387"/>
        <v>0.5</v>
      </c>
      <c r="HG256" s="12">
        <f t="shared" si="1438"/>
        <v>2620</v>
      </c>
      <c r="HH256" s="14">
        <f t="shared" si="1439"/>
        <v>2620</v>
      </c>
      <c r="HI256" s="13">
        <f t="shared" si="1440"/>
        <v>55030</v>
      </c>
      <c r="HJ256" s="102">
        <f t="shared" si="1441"/>
        <v>3.9132816115061558E-3</v>
      </c>
      <c r="HK256" s="16">
        <f t="shared" si="1442"/>
        <v>52410</v>
      </c>
      <c r="HL256" s="103">
        <f t="shared" si="1443"/>
        <v>55030.5</v>
      </c>
      <c r="HM256" s="103">
        <f t="shared" si="1444"/>
        <v>2620.5</v>
      </c>
      <c r="HN256" s="17">
        <f t="shared" si="1445"/>
        <v>0.5</v>
      </c>
      <c r="HO256" s="56">
        <f t="shared" si="1446"/>
        <v>2620</v>
      </c>
      <c r="HP256" s="16">
        <f t="shared" si="1447"/>
        <v>0</v>
      </c>
      <c r="HQ256" s="16">
        <f t="shared" si="1448"/>
        <v>55030</v>
      </c>
      <c r="HR256" s="16">
        <f t="shared" si="1449"/>
        <v>0</v>
      </c>
    </row>
    <row r="257" spans="1:226" x14ac:dyDescent="0.3">
      <c r="A257" s="310">
        <v>10</v>
      </c>
      <c r="B257" s="134"/>
      <c r="C257" s="310" t="s">
        <v>306</v>
      </c>
      <c r="D257" s="2" t="s">
        <v>136</v>
      </c>
      <c r="E257" s="9"/>
      <c r="F257" s="9"/>
      <c r="G257" s="9"/>
      <c r="H257" s="324"/>
      <c r="I257" s="324">
        <v>8603493</v>
      </c>
      <c r="J257" s="324"/>
      <c r="K257" s="324"/>
      <c r="L257" s="324">
        <v>8366414</v>
      </c>
      <c r="M257" s="23">
        <v>8366414</v>
      </c>
      <c r="N257" s="23">
        <v>8366414</v>
      </c>
      <c r="O257" s="298">
        <v>8366414</v>
      </c>
      <c r="P257" s="298">
        <v>8366414</v>
      </c>
      <c r="Q257" s="298">
        <v>9265346</v>
      </c>
      <c r="R257" s="298">
        <v>9265346</v>
      </c>
      <c r="S257" s="298">
        <v>9265346</v>
      </c>
      <c r="T257" s="23">
        <v>9161839</v>
      </c>
      <c r="U257" s="298">
        <f t="shared" si="1388"/>
        <v>458091.95</v>
      </c>
      <c r="V257" s="298">
        <f t="shared" si="1389"/>
        <v>9619930.9499999993</v>
      </c>
      <c r="W257" s="298">
        <v>9463157</v>
      </c>
      <c r="X257" s="23">
        <v>9265346</v>
      </c>
      <c r="Y257" s="23">
        <v>9265346</v>
      </c>
      <c r="Z257" s="23">
        <v>9265346</v>
      </c>
      <c r="AA257" s="23">
        <v>9265346</v>
      </c>
      <c r="AB257" s="23">
        <v>9265346</v>
      </c>
      <c r="AC257" s="298">
        <v>0</v>
      </c>
      <c r="AD257" s="298">
        <v>0</v>
      </c>
      <c r="AE257" s="298">
        <f t="shared" si="1390"/>
        <v>9265346</v>
      </c>
      <c r="AF257" s="23">
        <v>9265346</v>
      </c>
      <c r="AG257" s="298">
        <v>0</v>
      </c>
      <c r="AH257" s="298">
        <v>0</v>
      </c>
      <c r="AI257" s="298">
        <f t="shared" si="1391"/>
        <v>9265346</v>
      </c>
      <c r="AJ257" s="23">
        <v>9265346</v>
      </c>
      <c r="AK257" s="298">
        <v>0</v>
      </c>
      <c r="AL257" s="298">
        <v>0</v>
      </c>
      <c r="AM257" s="298">
        <f t="shared" si="1344"/>
        <v>9265346</v>
      </c>
      <c r="AN257" s="23">
        <v>9265346</v>
      </c>
      <c r="AO257" s="298">
        <v>0</v>
      </c>
      <c r="AP257" s="298">
        <v>0</v>
      </c>
      <c r="AQ257" s="298">
        <f t="shared" si="1345"/>
        <v>9265346</v>
      </c>
      <c r="AR257" s="23">
        <v>9265346</v>
      </c>
      <c r="AS257" s="298">
        <v>0</v>
      </c>
      <c r="AT257" s="298">
        <v>0</v>
      </c>
      <c r="AU257" s="298">
        <f t="shared" si="1346"/>
        <v>9265346</v>
      </c>
      <c r="AV257" s="23">
        <v>9265346</v>
      </c>
      <c r="AW257" s="298">
        <v>0</v>
      </c>
      <c r="AX257" s="298">
        <v>0</v>
      </c>
      <c r="AY257" s="298">
        <f t="shared" si="1347"/>
        <v>9265346</v>
      </c>
      <c r="AZ257" s="8">
        <f t="shared" si="1392"/>
        <v>463267.30000000005</v>
      </c>
      <c r="BA257" s="8">
        <v>0.3</v>
      </c>
      <c r="BB257" s="8">
        <f t="shared" si="1393"/>
        <v>463267.00000000006</v>
      </c>
      <c r="BC257" s="8">
        <f t="shared" si="1394"/>
        <v>9728613</v>
      </c>
      <c r="BD257" s="8">
        <f>-463267</f>
        <v>-463267</v>
      </c>
      <c r="BE257" s="8">
        <f t="shared" si="1395"/>
        <v>9265346</v>
      </c>
      <c r="BF257" s="10">
        <f t="shared" si="1396"/>
        <v>0</v>
      </c>
      <c r="BG257" s="11">
        <f t="shared" si="1397"/>
        <v>-463267.00000000006</v>
      </c>
      <c r="BH257" s="319">
        <v>9265346</v>
      </c>
      <c r="BI257" s="319">
        <v>0</v>
      </c>
      <c r="BJ257" s="319">
        <v>0</v>
      </c>
      <c r="BK257" s="319">
        <f t="shared" si="1348"/>
        <v>9265346</v>
      </c>
      <c r="BL257" s="319">
        <v>9265346</v>
      </c>
      <c r="BM257" s="319">
        <v>0</v>
      </c>
      <c r="BN257" s="319">
        <v>0</v>
      </c>
      <c r="BO257" s="319">
        <f t="shared" si="1349"/>
        <v>9265346</v>
      </c>
      <c r="BP257" s="319">
        <f t="shared" si="1398"/>
        <v>0</v>
      </c>
      <c r="BQ257" s="319">
        <v>9265346</v>
      </c>
      <c r="BR257" s="319">
        <v>0</v>
      </c>
      <c r="BS257" s="319">
        <v>0</v>
      </c>
      <c r="BT257" s="319">
        <f t="shared" si="1350"/>
        <v>9265346</v>
      </c>
      <c r="BU257" s="319">
        <f t="shared" si="1351"/>
        <v>0</v>
      </c>
      <c r="BV257" s="319">
        <v>9265346</v>
      </c>
      <c r="BW257" s="319">
        <v>0</v>
      </c>
      <c r="BX257" s="319">
        <v>0</v>
      </c>
      <c r="BY257" s="319">
        <f>BX257+BW257+BV257</f>
        <v>9265346</v>
      </c>
      <c r="BZ257" s="319">
        <f t="shared" si="1353"/>
        <v>0</v>
      </c>
      <c r="CA257" s="319">
        <v>9265346</v>
      </c>
      <c r="CB257" s="319">
        <v>0</v>
      </c>
      <c r="CC257" s="319">
        <v>0</v>
      </c>
      <c r="CD257" s="319">
        <f>CC257+CB257+CA257</f>
        <v>9265346</v>
      </c>
      <c r="CE257" s="319">
        <f t="shared" si="1355"/>
        <v>0</v>
      </c>
      <c r="CF257" s="319">
        <v>9265346</v>
      </c>
      <c r="CG257" s="319">
        <v>0</v>
      </c>
      <c r="CH257" s="319">
        <v>0</v>
      </c>
      <c r="CI257" s="319">
        <f t="shared" si="1356"/>
        <v>9265346</v>
      </c>
      <c r="CJ257" s="319">
        <f t="shared" si="1357"/>
        <v>0</v>
      </c>
      <c r="CK257" s="319">
        <v>9265346</v>
      </c>
      <c r="CL257" s="319"/>
      <c r="CM257" s="319"/>
      <c r="CN257" s="319">
        <f t="shared" si="1358"/>
        <v>9265346</v>
      </c>
      <c r="CO257" s="319">
        <f t="shared" si="1359"/>
        <v>0</v>
      </c>
      <c r="CP257" s="319">
        <v>9265346</v>
      </c>
      <c r="CQ257" s="319">
        <v>0</v>
      </c>
      <c r="CR257" s="319">
        <v>0</v>
      </c>
      <c r="CS257" s="319">
        <f t="shared" si="1360"/>
        <v>9265346</v>
      </c>
      <c r="CT257" s="319">
        <f t="shared" si="1361"/>
        <v>0</v>
      </c>
      <c r="CU257" s="4">
        <v>9165346</v>
      </c>
      <c r="CV257" s="4">
        <v>0</v>
      </c>
      <c r="CW257" s="4">
        <v>0</v>
      </c>
      <c r="CX257" s="319">
        <f t="shared" si="1362"/>
        <v>9165346</v>
      </c>
      <c r="CY257" s="48">
        <f t="shared" si="1363"/>
        <v>-100000</v>
      </c>
      <c r="CZ257" s="48"/>
      <c r="DA257" s="48"/>
      <c r="DB257" s="48"/>
      <c r="DC257" s="12">
        <f t="shared" si="1435"/>
        <v>916534.60000000009</v>
      </c>
      <c r="DD257" s="12">
        <v>0.6</v>
      </c>
      <c r="DE257" s="13">
        <f t="shared" si="1399"/>
        <v>916534.00000000012</v>
      </c>
      <c r="DF257" s="14">
        <f t="shared" si="1365"/>
        <v>916534.00000000012</v>
      </c>
      <c r="DG257" s="13">
        <f t="shared" si="1366"/>
        <v>10081880</v>
      </c>
      <c r="DH257" s="15">
        <f t="shared" si="1367"/>
        <v>0.71694054082101843</v>
      </c>
      <c r="DI257" s="16">
        <f t="shared" si="1368"/>
        <v>9165346</v>
      </c>
      <c r="DJ257" s="132">
        <f t="shared" si="1400"/>
        <v>10081880.600000001</v>
      </c>
      <c r="DK257" s="17">
        <f t="shared" si="1401"/>
        <v>916534.60000000149</v>
      </c>
      <c r="DL257" s="17">
        <f t="shared" si="1369"/>
        <v>0.6</v>
      </c>
      <c r="DM257" s="16">
        <f t="shared" si="1402"/>
        <v>916534.00000000151</v>
      </c>
      <c r="DN257" s="16">
        <f t="shared" si="1370"/>
        <v>1.3969838619232178E-9</v>
      </c>
      <c r="DO257" s="16">
        <f t="shared" si="1403"/>
        <v>10081880.000000002</v>
      </c>
      <c r="DP257" s="16">
        <f t="shared" si="1371"/>
        <v>0</v>
      </c>
      <c r="DQ257" s="9">
        <v>10091880</v>
      </c>
      <c r="DR257" s="18" t="s">
        <v>238</v>
      </c>
      <c r="DS257" s="18" t="s">
        <v>238</v>
      </c>
      <c r="DT257" s="324">
        <f t="shared" si="1404"/>
        <v>10091880</v>
      </c>
      <c r="DU257" s="321">
        <f t="shared" si="1405"/>
        <v>10091880</v>
      </c>
      <c r="DV257" s="19">
        <f t="shared" si="1406"/>
        <v>10000</v>
      </c>
      <c r="DW257" s="9">
        <v>9491880</v>
      </c>
      <c r="DX257" s="18"/>
      <c r="DY257" s="18"/>
      <c r="DZ257" s="324">
        <f t="shared" si="1407"/>
        <v>9491880</v>
      </c>
      <c r="EA257" s="321">
        <f t="shared" si="1408"/>
        <v>9491880</v>
      </c>
      <c r="EB257" s="22">
        <f t="shared" si="1372"/>
        <v>-600000</v>
      </c>
      <c r="EC257" s="9">
        <v>9265346</v>
      </c>
      <c r="ED257" s="9">
        <v>0</v>
      </c>
      <c r="EE257" s="9">
        <v>0</v>
      </c>
      <c r="EF257" s="324">
        <f t="shared" si="1409"/>
        <v>9265346</v>
      </c>
      <c r="EG257" s="321">
        <f t="shared" si="1410"/>
        <v>9265346</v>
      </c>
      <c r="EH257" s="22">
        <f t="shared" si="1373"/>
        <v>-226534</v>
      </c>
      <c r="EI257" s="9">
        <v>9265346</v>
      </c>
      <c r="EJ257" s="9">
        <v>0</v>
      </c>
      <c r="EK257" s="9">
        <v>0</v>
      </c>
      <c r="EL257" s="324">
        <f t="shared" si="1411"/>
        <v>9265346</v>
      </c>
      <c r="EM257" s="321">
        <f t="shared" si="1412"/>
        <v>9265346</v>
      </c>
      <c r="EN257" s="179">
        <f t="shared" si="1374"/>
        <v>0</v>
      </c>
      <c r="EO257" s="9">
        <v>9265346</v>
      </c>
      <c r="EP257" s="9">
        <v>0</v>
      </c>
      <c r="EQ257" s="9">
        <v>0</v>
      </c>
      <c r="ER257" s="324">
        <f t="shared" si="1413"/>
        <v>9265346</v>
      </c>
      <c r="ES257" s="321">
        <f t="shared" si="1414"/>
        <v>9265346</v>
      </c>
      <c r="ET257" s="179">
        <f t="shared" si="1375"/>
        <v>0</v>
      </c>
      <c r="EU257" s="9">
        <v>9265346</v>
      </c>
      <c r="EV257" s="9">
        <v>0</v>
      </c>
      <c r="EW257" s="9">
        <v>0</v>
      </c>
      <c r="EX257" s="324">
        <f t="shared" si="1415"/>
        <v>9265346</v>
      </c>
      <c r="EY257" s="321">
        <f t="shared" si="1416"/>
        <v>9265346</v>
      </c>
      <c r="EZ257" s="179">
        <f t="shared" si="1376"/>
        <v>0</v>
      </c>
      <c r="FA257" s="9">
        <v>0</v>
      </c>
      <c r="FB257" s="9">
        <v>0</v>
      </c>
      <c r="FC257" s="9">
        <v>0</v>
      </c>
      <c r="FD257" s="324">
        <f t="shared" si="1417"/>
        <v>0</v>
      </c>
      <c r="FE257" s="321">
        <f t="shared" si="1418"/>
        <v>0</v>
      </c>
      <c r="FF257" s="22">
        <f t="shared" si="1377"/>
        <v>-9265346</v>
      </c>
      <c r="FG257" s="9">
        <v>0</v>
      </c>
      <c r="FH257" s="9">
        <v>0</v>
      </c>
      <c r="FI257" s="9">
        <v>0</v>
      </c>
      <c r="FJ257" s="324">
        <f t="shared" si="1419"/>
        <v>0</v>
      </c>
      <c r="FK257" s="321">
        <f t="shared" si="1420"/>
        <v>0</v>
      </c>
      <c r="FL257" s="179">
        <f t="shared" si="1378"/>
        <v>0</v>
      </c>
      <c r="FM257" s="18" t="s">
        <v>238</v>
      </c>
      <c r="FN257" s="18" t="s">
        <v>238</v>
      </c>
      <c r="FO257" s="18" t="s">
        <v>238</v>
      </c>
      <c r="FP257" s="324">
        <f t="shared" si="1421"/>
        <v>0</v>
      </c>
      <c r="FQ257" s="321">
        <f t="shared" si="1422"/>
        <v>0</v>
      </c>
      <c r="FR257" s="179">
        <f t="shared" si="1379"/>
        <v>0</v>
      </c>
      <c r="FS257" s="18" t="s">
        <v>238</v>
      </c>
      <c r="FT257" s="18" t="s">
        <v>238</v>
      </c>
      <c r="FU257" s="18" t="s">
        <v>238</v>
      </c>
      <c r="FV257" s="324">
        <f t="shared" si="1423"/>
        <v>0</v>
      </c>
      <c r="FW257" s="321">
        <f t="shared" si="1424"/>
        <v>0</v>
      </c>
      <c r="FX257" s="179">
        <f t="shared" si="1380"/>
        <v>0</v>
      </c>
      <c r="FY257" s="18" t="s">
        <v>238</v>
      </c>
      <c r="FZ257" s="18" t="s">
        <v>238</v>
      </c>
      <c r="GA257" s="18" t="s">
        <v>238</v>
      </c>
      <c r="GB257" s="324">
        <f t="shared" si="1425"/>
        <v>0</v>
      </c>
      <c r="GC257" s="321">
        <f t="shared" si="1426"/>
        <v>0</v>
      </c>
      <c r="GD257" s="179">
        <f t="shared" si="1381"/>
        <v>0</v>
      </c>
      <c r="GE257" s="18" t="s">
        <v>238</v>
      </c>
      <c r="GF257" s="18" t="s">
        <v>238</v>
      </c>
      <c r="GG257" s="18" t="s">
        <v>238</v>
      </c>
      <c r="GH257" s="324">
        <f t="shared" si="1427"/>
        <v>0</v>
      </c>
      <c r="GI257" s="321">
        <f t="shared" si="1428"/>
        <v>0</v>
      </c>
      <c r="GJ257" s="179">
        <f t="shared" si="1382"/>
        <v>0</v>
      </c>
      <c r="GK257" s="18" t="s">
        <v>238</v>
      </c>
      <c r="GL257" s="18" t="s">
        <v>238</v>
      </c>
      <c r="GM257" s="18" t="s">
        <v>238</v>
      </c>
      <c r="GN257" s="324">
        <f t="shared" si="1429"/>
        <v>0</v>
      </c>
      <c r="GO257" s="321">
        <f t="shared" si="1430"/>
        <v>0</v>
      </c>
      <c r="GP257" s="179">
        <f t="shared" si="1383"/>
        <v>0</v>
      </c>
      <c r="GQ257" s="18" t="s">
        <v>238</v>
      </c>
      <c r="GR257" s="18" t="s">
        <v>238</v>
      </c>
      <c r="GS257" s="18" t="s">
        <v>238</v>
      </c>
      <c r="GT257" s="324">
        <f t="shared" si="1431"/>
        <v>0</v>
      </c>
      <c r="GU257" s="321">
        <f t="shared" si="1432"/>
        <v>0</v>
      </c>
      <c r="GV257" s="179">
        <f t="shared" si="1384"/>
        <v>0</v>
      </c>
      <c r="GW257" s="18" t="s">
        <v>238</v>
      </c>
      <c r="GX257" s="18" t="s">
        <v>238</v>
      </c>
      <c r="GY257" s="18" t="s">
        <v>238</v>
      </c>
      <c r="GZ257" s="324">
        <f t="shared" si="1433"/>
        <v>0</v>
      </c>
      <c r="HA257" s="321">
        <f t="shared" si="1434"/>
        <v>0</v>
      </c>
      <c r="HB257" s="179">
        <f t="shared" si="1385"/>
        <v>0</v>
      </c>
      <c r="HC257" s="102">
        <f t="shared" si="1386"/>
        <v>0</v>
      </c>
      <c r="HD257" s="285">
        <f t="shared" si="1436"/>
        <v>0</v>
      </c>
      <c r="HE257" s="12">
        <f t="shared" si="1437"/>
        <v>0</v>
      </c>
      <c r="HF257" s="12">
        <f t="shared" si="1387"/>
        <v>0</v>
      </c>
      <c r="HG257" s="12">
        <f t="shared" si="1438"/>
        <v>0</v>
      </c>
      <c r="HH257" s="14">
        <f t="shared" si="1439"/>
        <v>0</v>
      </c>
      <c r="HI257" s="13">
        <f t="shared" si="1440"/>
        <v>0</v>
      </c>
      <c r="HJ257" s="102">
        <f t="shared" si="1441"/>
        <v>0</v>
      </c>
      <c r="HK257" s="16">
        <f t="shared" si="1442"/>
        <v>0</v>
      </c>
      <c r="HL257" s="103">
        <f t="shared" si="1443"/>
        <v>0</v>
      </c>
      <c r="HM257" s="103">
        <f t="shared" si="1444"/>
        <v>0</v>
      </c>
      <c r="HN257" s="17">
        <f t="shared" si="1445"/>
        <v>0</v>
      </c>
      <c r="HO257" s="56">
        <f t="shared" si="1446"/>
        <v>0</v>
      </c>
      <c r="HP257" s="16">
        <f t="shared" si="1447"/>
        <v>0</v>
      </c>
      <c r="HQ257" s="16">
        <f t="shared" si="1448"/>
        <v>0</v>
      </c>
      <c r="HR257" s="16">
        <f t="shared" si="1449"/>
        <v>0</v>
      </c>
    </row>
    <row r="258" spans="1:226" x14ac:dyDescent="0.3">
      <c r="A258" s="140"/>
      <c r="B258" s="140"/>
      <c r="C258" s="140"/>
      <c r="D258" s="141" t="s">
        <v>216</v>
      </c>
      <c r="E258" s="121">
        <f t="shared" ref="E258:BP258" si="1451">SUM(E248:E257)</f>
        <v>0</v>
      </c>
      <c r="F258" s="121">
        <f t="shared" si="1451"/>
        <v>0</v>
      </c>
      <c r="G258" s="121">
        <f t="shared" si="1451"/>
        <v>0</v>
      </c>
      <c r="H258" s="121">
        <f t="shared" si="1451"/>
        <v>0</v>
      </c>
      <c r="I258" s="121">
        <f t="shared" si="1451"/>
        <v>15179682</v>
      </c>
      <c r="J258" s="121">
        <f t="shared" si="1451"/>
        <v>0</v>
      </c>
      <c r="K258" s="121">
        <f t="shared" si="1451"/>
        <v>0</v>
      </c>
      <c r="L258" s="121">
        <f t="shared" si="1451"/>
        <v>14670780</v>
      </c>
      <c r="M258" s="121">
        <f t="shared" si="1451"/>
        <v>12570780</v>
      </c>
      <c r="N258" s="121">
        <f t="shared" si="1451"/>
        <v>12268210</v>
      </c>
      <c r="O258" s="121">
        <f t="shared" si="1451"/>
        <v>12261380</v>
      </c>
      <c r="P258" s="121">
        <f t="shared" si="1451"/>
        <v>12261380</v>
      </c>
      <c r="Q258" s="121">
        <f t="shared" si="1451"/>
        <v>10463516</v>
      </c>
      <c r="R258" s="121">
        <f t="shared" si="1451"/>
        <v>10463516</v>
      </c>
      <c r="S258" s="121">
        <f t="shared" si="1451"/>
        <v>10463516</v>
      </c>
      <c r="T258" s="121">
        <f t="shared" si="1451"/>
        <v>10360009</v>
      </c>
      <c r="U258" s="121">
        <f t="shared" si="1451"/>
        <v>518000.45</v>
      </c>
      <c r="V258" s="121">
        <f t="shared" si="1451"/>
        <v>10878009.449999999</v>
      </c>
      <c r="W258" s="121">
        <f t="shared" si="1451"/>
        <v>10685323</v>
      </c>
      <c r="X258" s="121">
        <f t="shared" si="1451"/>
        <v>10487512</v>
      </c>
      <c r="Y258" s="121">
        <f t="shared" si="1451"/>
        <v>10487512</v>
      </c>
      <c r="Z258" s="121">
        <f t="shared" si="1451"/>
        <v>10015570</v>
      </c>
      <c r="AA258" s="121">
        <f t="shared" si="1451"/>
        <v>10126894</v>
      </c>
      <c r="AB258" s="121">
        <f t="shared" si="1451"/>
        <v>9297340</v>
      </c>
      <c r="AC258" s="121">
        <f t="shared" si="1451"/>
        <v>718230</v>
      </c>
      <c r="AD258" s="121">
        <f t="shared" si="1451"/>
        <v>111324</v>
      </c>
      <c r="AE258" s="121">
        <f t="shared" si="1451"/>
        <v>10126894</v>
      </c>
      <c r="AF258" s="121">
        <f t="shared" si="1451"/>
        <v>9297340</v>
      </c>
      <c r="AG258" s="121">
        <f t="shared" si="1451"/>
        <v>718230</v>
      </c>
      <c r="AH258" s="121">
        <f t="shared" si="1451"/>
        <v>111324</v>
      </c>
      <c r="AI258" s="121">
        <f t="shared" si="1451"/>
        <v>10126894</v>
      </c>
      <c r="AJ258" s="121">
        <f t="shared" si="1451"/>
        <v>9297340</v>
      </c>
      <c r="AK258" s="121">
        <f t="shared" si="1451"/>
        <v>718230</v>
      </c>
      <c r="AL258" s="121">
        <f t="shared" si="1451"/>
        <v>111324</v>
      </c>
      <c r="AM258" s="121">
        <f t="shared" si="1451"/>
        <v>10126894</v>
      </c>
      <c r="AN258" s="121">
        <f t="shared" si="1451"/>
        <v>9297340</v>
      </c>
      <c r="AO258" s="121">
        <f t="shared" si="1451"/>
        <v>436730</v>
      </c>
      <c r="AP258" s="121">
        <f t="shared" si="1451"/>
        <v>67692</v>
      </c>
      <c r="AQ258" s="121">
        <f t="shared" si="1451"/>
        <v>9801762</v>
      </c>
      <c r="AR258" s="121">
        <f t="shared" si="1451"/>
        <v>9297340</v>
      </c>
      <c r="AS258" s="121">
        <f t="shared" si="1451"/>
        <v>436730</v>
      </c>
      <c r="AT258" s="121">
        <f t="shared" si="1451"/>
        <v>67692</v>
      </c>
      <c r="AU258" s="121">
        <f t="shared" si="1451"/>
        <v>9801762</v>
      </c>
      <c r="AV258" s="121">
        <f t="shared" si="1451"/>
        <v>9297340</v>
      </c>
      <c r="AW258" s="121">
        <f t="shared" si="1451"/>
        <v>436730</v>
      </c>
      <c r="AX258" s="121">
        <f t="shared" si="1451"/>
        <v>67692</v>
      </c>
      <c r="AY258" s="121">
        <f t="shared" si="1451"/>
        <v>9801762</v>
      </c>
      <c r="AZ258" s="121">
        <f t="shared" si="1451"/>
        <v>490088.10000000003</v>
      </c>
      <c r="BA258" s="121">
        <f t="shared" si="1451"/>
        <v>3.0999999999999996</v>
      </c>
      <c r="BB258" s="121">
        <f t="shared" si="1451"/>
        <v>490085.00000000006</v>
      </c>
      <c r="BC258" s="121">
        <f t="shared" si="1451"/>
        <v>10291847</v>
      </c>
      <c r="BD258" s="121">
        <f t="shared" si="1451"/>
        <v>-454891</v>
      </c>
      <c r="BE258" s="121">
        <f t="shared" si="1451"/>
        <v>9836956</v>
      </c>
      <c r="BF258" s="121">
        <f t="shared" si="1451"/>
        <v>35194</v>
      </c>
      <c r="BG258" s="121">
        <f t="shared" si="1451"/>
        <v>-454891.00000000006</v>
      </c>
      <c r="BH258" s="121">
        <f t="shared" si="1451"/>
        <v>9324158</v>
      </c>
      <c r="BI258" s="121">
        <f t="shared" si="1451"/>
        <v>436730</v>
      </c>
      <c r="BJ258" s="121">
        <f t="shared" si="1451"/>
        <v>67692</v>
      </c>
      <c r="BK258" s="121">
        <f t="shared" si="1451"/>
        <v>9828580</v>
      </c>
      <c r="BL258" s="121">
        <f t="shared" si="1451"/>
        <v>9290565</v>
      </c>
      <c r="BM258" s="121">
        <f t="shared" si="1451"/>
        <v>436730</v>
      </c>
      <c r="BN258" s="121">
        <f t="shared" si="1451"/>
        <v>67683</v>
      </c>
      <c r="BO258" s="121">
        <f t="shared" si="1451"/>
        <v>9794978</v>
      </c>
      <c r="BP258" s="121">
        <f t="shared" si="1451"/>
        <v>-33602</v>
      </c>
      <c r="BQ258" s="121">
        <f t="shared" ref="BQ258:EB258" si="1452">SUM(BQ248:BQ257)</f>
        <v>9290565</v>
      </c>
      <c r="BR258" s="121">
        <f t="shared" si="1452"/>
        <v>436730</v>
      </c>
      <c r="BS258" s="121">
        <f t="shared" si="1452"/>
        <v>67692</v>
      </c>
      <c r="BT258" s="121">
        <f t="shared" si="1452"/>
        <v>9794987</v>
      </c>
      <c r="BU258" s="121">
        <f t="shared" si="1452"/>
        <v>9</v>
      </c>
      <c r="BV258" s="121">
        <f t="shared" si="1452"/>
        <v>9290565</v>
      </c>
      <c r="BW258" s="121">
        <f t="shared" si="1452"/>
        <v>436730</v>
      </c>
      <c r="BX258" s="121">
        <f t="shared" si="1452"/>
        <v>67692</v>
      </c>
      <c r="BY258" s="121">
        <f t="shared" si="1452"/>
        <v>9794987</v>
      </c>
      <c r="BZ258" s="121">
        <f t="shared" si="1452"/>
        <v>0</v>
      </c>
      <c r="CA258" s="121">
        <f t="shared" si="1452"/>
        <v>9290565</v>
      </c>
      <c r="CB258" s="121">
        <f t="shared" si="1452"/>
        <v>436730</v>
      </c>
      <c r="CC258" s="121">
        <f t="shared" si="1452"/>
        <v>67692</v>
      </c>
      <c r="CD258" s="121">
        <f t="shared" si="1452"/>
        <v>9794987</v>
      </c>
      <c r="CE258" s="121">
        <f t="shared" si="1452"/>
        <v>0</v>
      </c>
      <c r="CF258" s="121">
        <f t="shared" si="1452"/>
        <v>9290585</v>
      </c>
      <c r="CG258" s="121">
        <f t="shared" si="1452"/>
        <v>436730</v>
      </c>
      <c r="CH258" s="121">
        <f t="shared" si="1452"/>
        <v>67692</v>
      </c>
      <c r="CI258" s="121">
        <f t="shared" si="1452"/>
        <v>9795007</v>
      </c>
      <c r="CJ258" s="121">
        <f t="shared" si="1452"/>
        <v>20</v>
      </c>
      <c r="CK258" s="121">
        <f t="shared" si="1452"/>
        <v>9290585</v>
      </c>
      <c r="CL258" s="121">
        <f t="shared" si="1452"/>
        <v>436730</v>
      </c>
      <c r="CM258" s="121">
        <f t="shared" si="1452"/>
        <v>67692</v>
      </c>
      <c r="CN258" s="121">
        <f t="shared" si="1452"/>
        <v>9795007</v>
      </c>
      <c r="CO258" s="121">
        <f t="shared" si="1452"/>
        <v>0</v>
      </c>
      <c r="CP258" s="121">
        <f t="shared" si="1452"/>
        <v>9290585</v>
      </c>
      <c r="CQ258" s="121">
        <f t="shared" si="1452"/>
        <v>436730</v>
      </c>
      <c r="CR258" s="121">
        <f t="shared" si="1452"/>
        <v>67692</v>
      </c>
      <c r="CS258" s="121">
        <f t="shared" si="1452"/>
        <v>9795007</v>
      </c>
      <c r="CT258" s="121">
        <f t="shared" si="1452"/>
        <v>0</v>
      </c>
      <c r="CU258" s="121">
        <f t="shared" si="1452"/>
        <v>9190585</v>
      </c>
      <c r="CV258" s="121">
        <f t="shared" si="1452"/>
        <v>436730</v>
      </c>
      <c r="CW258" s="121">
        <f t="shared" si="1452"/>
        <v>67692</v>
      </c>
      <c r="CX258" s="121">
        <f t="shared" si="1452"/>
        <v>9695007</v>
      </c>
      <c r="CY258" s="121">
        <f t="shared" si="1452"/>
        <v>-100000</v>
      </c>
      <c r="CZ258" s="121">
        <f t="shared" si="1452"/>
        <v>2521.9</v>
      </c>
      <c r="DA258" s="121">
        <f t="shared" si="1452"/>
        <v>43673</v>
      </c>
      <c r="DB258" s="121">
        <f t="shared" si="1452"/>
        <v>6769.2000000000007</v>
      </c>
      <c r="DC258" s="121">
        <f t="shared" si="1452"/>
        <v>969500.70000000007</v>
      </c>
      <c r="DD258" s="121">
        <f t="shared" si="1452"/>
        <v>2.7</v>
      </c>
      <c r="DE258" s="121">
        <f t="shared" si="1452"/>
        <v>969498.00000000012</v>
      </c>
      <c r="DF258" s="121">
        <f t="shared" si="1452"/>
        <v>969498.00000000012</v>
      </c>
      <c r="DG258" s="121">
        <f t="shared" si="1452"/>
        <v>10664505</v>
      </c>
      <c r="DH258" s="121">
        <f t="shared" si="1452"/>
        <v>0.75837219476968565</v>
      </c>
      <c r="DI258" s="121">
        <f t="shared" si="1452"/>
        <v>9695007</v>
      </c>
      <c r="DJ258" s="121">
        <f t="shared" si="1452"/>
        <v>10664507.700000001</v>
      </c>
      <c r="DK258" s="121">
        <f t="shared" si="1452"/>
        <v>969500.70000000158</v>
      </c>
      <c r="DL258" s="121">
        <f t="shared" si="1452"/>
        <v>2.7</v>
      </c>
      <c r="DM258" s="121">
        <f t="shared" si="1452"/>
        <v>969498.00000000151</v>
      </c>
      <c r="DN258" s="121">
        <f t="shared" si="1452"/>
        <v>1.4206307241693139E-9</v>
      </c>
      <c r="DO258" s="121">
        <f t="shared" si="1452"/>
        <v>10664505.000000002</v>
      </c>
      <c r="DP258" s="121">
        <f t="shared" si="1452"/>
        <v>0</v>
      </c>
      <c r="DQ258" s="121">
        <f t="shared" si="1452"/>
        <v>10119642</v>
      </c>
      <c r="DR258" s="121">
        <f t="shared" si="1452"/>
        <v>0</v>
      </c>
      <c r="DS258" s="121">
        <f t="shared" si="1452"/>
        <v>118132</v>
      </c>
      <c r="DT258" s="121">
        <f t="shared" si="1452"/>
        <v>10674504</v>
      </c>
      <c r="DU258" s="121">
        <f t="shared" si="1452"/>
        <v>10674504</v>
      </c>
      <c r="DV258" s="121">
        <f t="shared" si="1452"/>
        <v>9999</v>
      </c>
      <c r="DW258" s="121">
        <f t="shared" si="1452"/>
        <v>9570082</v>
      </c>
      <c r="DX258" s="121">
        <f t="shared" si="1452"/>
        <v>291500</v>
      </c>
      <c r="DY258" s="121">
        <f t="shared" si="1452"/>
        <v>67692</v>
      </c>
      <c r="DZ258" s="121">
        <f t="shared" si="1452"/>
        <v>10074504</v>
      </c>
      <c r="EA258" s="121">
        <f t="shared" si="1452"/>
        <v>10074504</v>
      </c>
      <c r="EB258" s="121">
        <f t="shared" si="1452"/>
        <v>-600000</v>
      </c>
      <c r="EC258" s="121">
        <f t="shared" ref="EC258:FL258" si="1453">SUM(EC248:EC257)</f>
        <v>9343548</v>
      </c>
      <c r="ED258" s="121">
        <f t="shared" si="1453"/>
        <v>436730</v>
      </c>
      <c r="EE258" s="121">
        <f t="shared" si="1453"/>
        <v>67692</v>
      </c>
      <c r="EF258" s="121">
        <f t="shared" si="1453"/>
        <v>9847970</v>
      </c>
      <c r="EG258" s="121">
        <f t="shared" si="1453"/>
        <v>9847970</v>
      </c>
      <c r="EH258" s="121">
        <f t="shared" si="1453"/>
        <v>-226534</v>
      </c>
      <c r="EI258" s="121">
        <f t="shared" si="1453"/>
        <v>9343548</v>
      </c>
      <c r="EJ258" s="121">
        <f t="shared" si="1453"/>
        <v>436730</v>
      </c>
      <c r="EK258" s="121">
        <f t="shared" si="1453"/>
        <v>67692</v>
      </c>
      <c r="EL258" s="121">
        <f t="shared" si="1453"/>
        <v>9847970</v>
      </c>
      <c r="EM258" s="121">
        <f t="shared" si="1453"/>
        <v>9847970</v>
      </c>
      <c r="EN258" s="121">
        <f t="shared" si="1453"/>
        <v>0</v>
      </c>
      <c r="EO258" s="121">
        <f t="shared" si="1453"/>
        <v>9343548</v>
      </c>
      <c r="EP258" s="121">
        <f t="shared" si="1453"/>
        <v>436730</v>
      </c>
      <c r="EQ258" s="121">
        <f t="shared" si="1453"/>
        <v>67692</v>
      </c>
      <c r="ER258" s="121">
        <f t="shared" si="1453"/>
        <v>9847970</v>
      </c>
      <c r="ES258" s="121">
        <f t="shared" si="1453"/>
        <v>9847970</v>
      </c>
      <c r="ET258" s="121">
        <f t="shared" si="1453"/>
        <v>0</v>
      </c>
      <c r="EU258" s="121">
        <f t="shared" si="1453"/>
        <v>9343548</v>
      </c>
      <c r="EV258" s="121">
        <f t="shared" si="1453"/>
        <v>436730</v>
      </c>
      <c r="EW258" s="121">
        <f t="shared" si="1453"/>
        <v>67692</v>
      </c>
      <c r="EX258" s="121">
        <f t="shared" si="1453"/>
        <v>9847970</v>
      </c>
      <c r="EY258" s="121">
        <f t="shared" si="1453"/>
        <v>9847970</v>
      </c>
      <c r="EZ258" s="121">
        <f t="shared" si="1453"/>
        <v>0</v>
      </c>
      <c r="FA258" s="121">
        <f t="shared" si="1453"/>
        <v>78202</v>
      </c>
      <c r="FB258" s="121">
        <f t="shared" si="1453"/>
        <v>436730</v>
      </c>
      <c r="FC258" s="121">
        <f t="shared" si="1453"/>
        <v>67692</v>
      </c>
      <c r="FD258" s="121">
        <f t="shared" si="1453"/>
        <v>582624</v>
      </c>
      <c r="FE258" s="121">
        <f t="shared" si="1453"/>
        <v>582624</v>
      </c>
      <c r="FF258" s="121">
        <f t="shared" si="1453"/>
        <v>-9265346</v>
      </c>
      <c r="FG258" s="121">
        <f t="shared" si="1453"/>
        <v>78202</v>
      </c>
      <c r="FH258" s="121">
        <f t="shared" si="1453"/>
        <v>436730</v>
      </c>
      <c r="FI258" s="121">
        <f t="shared" si="1453"/>
        <v>67692</v>
      </c>
      <c r="FJ258" s="121">
        <f t="shared" si="1453"/>
        <v>582624</v>
      </c>
      <c r="FK258" s="121">
        <f t="shared" si="1453"/>
        <v>582624</v>
      </c>
      <c r="FL258" s="121">
        <f t="shared" si="1453"/>
        <v>0</v>
      </c>
      <c r="FM258" s="121">
        <f t="shared" ref="FM258:FR258" si="1454">SUM(FM248:FM257)</f>
        <v>78202</v>
      </c>
      <c r="FN258" s="121">
        <f t="shared" si="1454"/>
        <v>436730</v>
      </c>
      <c r="FO258" s="121">
        <f t="shared" si="1454"/>
        <v>67692</v>
      </c>
      <c r="FP258" s="121">
        <f t="shared" si="1454"/>
        <v>582624</v>
      </c>
      <c r="FQ258" s="121">
        <f t="shared" si="1454"/>
        <v>582624</v>
      </c>
      <c r="FR258" s="121">
        <f t="shared" si="1454"/>
        <v>0</v>
      </c>
      <c r="FS258" s="121">
        <f t="shared" ref="FS258:FX258" si="1455">SUM(FS248:FS257)</f>
        <v>78202</v>
      </c>
      <c r="FT258" s="121">
        <f t="shared" si="1455"/>
        <v>436730</v>
      </c>
      <c r="FU258" s="121">
        <f t="shared" si="1455"/>
        <v>67692</v>
      </c>
      <c r="FV258" s="121">
        <f t="shared" si="1455"/>
        <v>582624</v>
      </c>
      <c r="FW258" s="121">
        <f t="shared" si="1455"/>
        <v>582624</v>
      </c>
      <c r="FX258" s="121">
        <f t="shared" si="1455"/>
        <v>0</v>
      </c>
      <c r="FY258" s="121">
        <f t="shared" ref="FY258:GD258" si="1456">SUM(FY248:FY257)</f>
        <v>78202</v>
      </c>
      <c r="FZ258" s="121">
        <f t="shared" si="1456"/>
        <v>436730</v>
      </c>
      <c r="GA258" s="121">
        <f t="shared" si="1456"/>
        <v>67692</v>
      </c>
      <c r="GB258" s="121">
        <f t="shared" si="1456"/>
        <v>582624</v>
      </c>
      <c r="GC258" s="121">
        <f t="shared" si="1456"/>
        <v>582624</v>
      </c>
      <c r="GD258" s="121">
        <f t="shared" si="1456"/>
        <v>0</v>
      </c>
      <c r="GE258" s="121">
        <f t="shared" ref="GE258:GJ258" si="1457">SUM(GE248:GE257)</f>
        <v>78202</v>
      </c>
      <c r="GF258" s="121">
        <f t="shared" si="1457"/>
        <v>436730</v>
      </c>
      <c r="GG258" s="121">
        <f t="shared" si="1457"/>
        <v>67692</v>
      </c>
      <c r="GH258" s="121">
        <f t="shared" si="1457"/>
        <v>582624</v>
      </c>
      <c r="GI258" s="121">
        <f t="shared" si="1457"/>
        <v>582624</v>
      </c>
      <c r="GJ258" s="121">
        <f t="shared" si="1457"/>
        <v>0</v>
      </c>
      <c r="GK258" s="121">
        <f t="shared" ref="GK258:GP258" si="1458">SUM(GK248:GK257)</f>
        <v>78202</v>
      </c>
      <c r="GL258" s="121">
        <f t="shared" si="1458"/>
        <v>436730</v>
      </c>
      <c r="GM258" s="121">
        <f t="shared" si="1458"/>
        <v>67692</v>
      </c>
      <c r="GN258" s="121">
        <f t="shared" si="1458"/>
        <v>582624</v>
      </c>
      <c r="GO258" s="121">
        <f t="shared" si="1458"/>
        <v>582624</v>
      </c>
      <c r="GP258" s="121">
        <f t="shared" si="1458"/>
        <v>0</v>
      </c>
      <c r="GQ258" s="121">
        <f t="shared" ref="GQ258:GV258" si="1459">SUM(GQ248:GQ257)</f>
        <v>78202</v>
      </c>
      <c r="GR258" s="121">
        <f t="shared" si="1459"/>
        <v>436730</v>
      </c>
      <c r="GS258" s="121">
        <f t="shared" si="1459"/>
        <v>67692</v>
      </c>
      <c r="GT258" s="121">
        <f t="shared" si="1459"/>
        <v>582624</v>
      </c>
      <c r="GU258" s="121">
        <f t="shared" si="1459"/>
        <v>582624</v>
      </c>
      <c r="GV258" s="121">
        <f t="shared" si="1459"/>
        <v>0</v>
      </c>
      <c r="GW258" s="121">
        <f t="shared" ref="GW258:HB258" si="1460">SUM(GW248:GW257)</f>
        <v>82110</v>
      </c>
      <c r="GX258" s="121">
        <f t="shared" si="1460"/>
        <v>436730</v>
      </c>
      <c r="GY258" s="121">
        <f t="shared" si="1460"/>
        <v>92911</v>
      </c>
      <c r="GZ258" s="121">
        <f t="shared" si="1460"/>
        <v>611751</v>
      </c>
      <c r="HA258" s="121">
        <f t="shared" si="1460"/>
        <v>611751</v>
      </c>
      <c r="HB258" s="121">
        <f t="shared" si="1460"/>
        <v>29127</v>
      </c>
      <c r="HC258" s="121">
        <f>SUM(HC248:HC257)</f>
        <v>4.1431433502129064E-2</v>
      </c>
    </row>
    <row r="259" spans="1:226" x14ac:dyDescent="0.3">
      <c r="A259" s="98"/>
      <c r="B259" s="98"/>
      <c r="C259" s="98"/>
      <c r="D259" s="99"/>
      <c r="E259" s="108"/>
      <c r="F259" s="108"/>
      <c r="G259" s="108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R259" s="20"/>
      <c r="AS259" s="20"/>
      <c r="AT259" s="20"/>
      <c r="AU259" s="20"/>
      <c r="AV259" s="20"/>
      <c r="AW259" s="20"/>
      <c r="AX259" s="20"/>
      <c r="AY259" s="127">
        <f>AY258*10*5%</f>
        <v>4900881</v>
      </c>
      <c r="AZ259" s="20"/>
      <c r="BA259" s="20"/>
      <c r="BB259" s="20"/>
      <c r="BC259" s="20"/>
      <c r="BD259" s="20"/>
      <c r="BE259" s="20"/>
      <c r="BF259" s="100"/>
      <c r="BG259" s="100"/>
      <c r="BH259" s="100"/>
      <c r="BI259" s="100"/>
      <c r="BJ259" s="100"/>
      <c r="BK259" s="100"/>
      <c r="BL259" s="100"/>
      <c r="BM259" s="100"/>
      <c r="BN259" s="100"/>
      <c r="BO259" s="100"/>
      <c r="BP259" s="100"/>
      <c r="BQ259" s="100"/>
      <c r="BR259" s="100"/>
      <c r="BS259" s="100"/>
      <c r="BT259" s="100"/>
      <c r="BU259" s="100"/>
      <c r="BV259" s="100"/>
      <c r="BW259" s="100"/>
      <c r="BX259" s="100"/>
      <c r="BY259" s="100"/>
      <c r="BZ259" s="100"/>
      <c r="CA259" s="100"/>
      <c r="CB259" s="100"/>
      <c r="CC259" s="100"/>
      <c r="CD259" s="100"/>
      <c r="CE259" s="100"/>
      <c r="CF259" s="100"/>
      <c r="CG259" s="100"/>
      <c r="CH259" s="100"/>
      <c r="CI259" s="100"/>
      <c r="CJ259" s="100"/>
      <c r="CK259" s="100"/>
      <c r="CL259" s="100"/>
      <c r="CM259" s="100"/>
      <c r="CN259" s="100"/>
      <c r="CO259" s="100"/>
      <c r="CP259" s="100"/>
      <c r="CQ259" s="100"/>
      <c r="CR259" s="100"/>
      <c r="CS259" s="100"/>
      <c r="CT259" s="100"/>
      <c r="CU259" s="100"/>
      <c r="CV259" s="100"/>
      <c r="CW259" s="100"/>
      <c r="CX259" s="100"/>
      <c r="CY259" s="100"/>
      <c r="CZ259" s="100"/>
      <c r="DA259" s="100"/>
      <c r="DB259" s="100"/>
      <c r="DC259" s="100"/>
      <c r="DD259" s="100"/>
      <c r="DE259" s="100"/>
      <c r="DF259" s="100"/>
      <c r="DG259" s="100"/>
      <c r="DH259" s="114"/>
    </row>
    <row r="260" spans="1:226" x14ac:dyDescent="0.3">
      <c r="A260" s="98"/>
      <c r="B260" s="98"/>
      <c r="C260" s="98"/>
      <c r="D260" s="99"/>
      <c r="E260" s="108"/>
      <c r="F260" s="108"/>
      <c r="G260" s="108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B260" s="20"/>
      <c r="BC260" s="20"/>
      <c r="BD260" s="20"/>
      <c r="BE260" s="20"/>
      <c r="BF260" s="100"/>
      <c r="BG260" s="100"/>
      <c r="BH260" s="100"/>
      <c r="BI260" s="100"/>
      <c r="BJ260" s="100"/>
      <c r="BK260" s="100"/>
      <c r="BL260" s="100"/>
      <c r="BM260" s="100"/>
      <c r="BN260" s="100"/>
      <c r="BO260" s="100"/>
      <c r="BP260" s="100"/>
      <c r="BQ260" s="100"/>
      <c r="BR260" s="100"/>
      <c r="BS260" s="100"/>
      <c r="BT260" s="100"/>
      <c r="BU260" s="100"/>
      <c r="BV260" s="100"/>
      <c r="BW260" s="100"/>
      <c r="BX260" s="100"/>
      <c r="BY260" s="100"/>
      <c r="BZ260" s="100"/>
      <c r="CA260" s="100"/>
      <c r="CB260" s="100"/>
      <c r="CC260" s="100"/>
      <c r="CD260" s="100"/>
      <c r="CE260" s="100"/>
      <c r="CF260" s="100"/>
      <c r="CG260" s="100"/>
      <c r="CH260" s="100"/>
      <c r="CI260" s="100"/>
      <c r="CJ260" s="100"/>
      <c r="CK260" s="100"/>
      <c r="CL260" s="100"/>
      <c r="CM260" s="100"/>
      <c r="CN260" s="100"/>
      <c r="CO260" s="100"/>
      <c r="CP260" s="100"/>
      <c r="CQ260" s="100"/>
      <c r="CR260" s="100"/>
      <c r="CS260" s="100"/>
      <c r="CT260" s="100"/>
      <c r="CU260" s="100"/>
      <c r="CV260" s="100"/>
      <c r="CW260" s="100"/>
      <c r="CX260" s="100"/>
      <c r="CY260" s="100"/>
      <c r="CZ260" s="100"/>
      <c r="DA260" s="100"/>
      <c r="DB260" s="100"/>
      <c r="DC260" s="100"/>
      <c r="DD260" s="100"/>
      <c r="DE260" s="100"/>
      <c r="DF260" s="100"/>
      <c r="DG260" s="100"/>
      <c r="DH260" s="114"/>
    </row>
    <row r="261" spans="1:226" s="74" customFormat="1" ht="52.5" customHeight="1" x14ac:dyDescent="0.3">
      <c r="A261" s="85" t="s">
        <v>0</v>
      </c>
      <c r="B261" s="85" t="s">
        <v>1</v>
      </c>
      <c r="C261" s="85" t="s">
        <v>217</v>
      </c>
      <c r="D261" s="86" t="s">
        <v>218</v>
      </c>
      <c r="E261" s="87" t="s">
        <v>233</v>
      </c>
      <c r="F261" s="87" t="s">
        <v>234</v>
      </c>
      <c r="G261" s="87" t="s">
        <v>235</v>
      </c>
      <c r="H261" s="87" t="s">
        <v>383</v>
      </c>
      <c r="I261" s="87" t="s">
        <v>382</v>
      </c>
      <c r="J261" s="87" t="s">
        <v>381</v>
      </c>
      <c r="K261" s="87" t="s">
        <v>380</v>
      </c>
      <c r="L261" s="87" t="s">
        <v>379</v>
      </c>
      <c r="M261" s="87" t="s">
        <v>378</v>
      </c>
      <c r="N261" s="87" t="s">
        <v>377</v>
      </c>
      <c r="O261" s="87" t="s">
        <v>394</v>
      </c>
      <c r="P261" s="87" t="s">
        <v>413</v>
      </c>
      <c r="Q261" s="87" t="s">
        <v>415</v>
      </c>
      <c r="R261" s="87" t="s">
        <v>417</v>
      </c>
      <c r="S261" s="87" t="s">
        <v>420</v>
      </c>
      <c r="T261" s="87" t="s">
        <v>421</v>
      </c>
      <c r="U261" s="87" t="s">
        <v>425</v>
      </c>
      <c r="V261" s="87" t="s">
        <v>426</v>
      </c>
      <c r="W261" s="87" t="s">
        <v>424</v>
      </c>
      <c r="X261" s="87" t="s">
        <v>437</v>
      </c>
      <c r="Y261" s="87" t="s">
        <v>439</v>
      </c>
      <c r="Z261" s="87" t="s">
        <v>447</v>
      </c>
      <c r="AA261" s="87" t="s">
        <v>458</v>
      </c>
      <c r="AB261" s="590" t="s">
        <v>459</v>
      </c>
      <c r="AC261" s="591"/>
      <c r="AD261" s="591"/>
      <c r="AE261" s="592"/>
      <c r="AF261" s="596" t="s">
        <v>462</v>
      </c>
      <c r="AG261" s="597"/>
      <c r="AH261" s="597"/>
      <c r="AI261" s="598"/>
      <c r="AJ261" s="590" t="s">
        <v>466</v>
      </c>
      <c r="AK261" s="591"/>
      <c r="AL261" s="591"/>
      <c r="AM261" s="592"/>
      <c r="AN261" s="596" t="s">
        <v>470</v>
      </c>
      <c r="AO261" s="597"/>
      <c r="AP261" s="597"/>
      <c r="AQ261" s="598"/>
      <c r="AR261" s="590" t="s">
        <v>478</v>
      </c>
      <c r="AS261" s="591"/>
      <c r="AT261" s="591"/>
      <c r="AU261" s="592"/>
      <c r="AV261" s="596" t="s">
        <v>483</v>
      </c>
      <c r="AW261" s="597"/>
      <c r="AX261" s="597"/>
      <c r="AY261" s="598"/>
      <c r="AZ261" s="436" t="s">
        <v>503</v>
      </c>
      <c r="BA261" s="436" t="s">
        <v>488</v>
      </c>
      <c r="BB261" s="436" t="s">
        <v>489</v>
      </c>
      <c r="BC261" s="436" t="s">
        <v>423</v>
      </c>
      <c r="BD261" s="436" t="s">
        <v>507</v>
      </c>
      <c r="BE261" s="436" t="s">
        <v>531</v>
      </c>
      <c r="BF261" s="437" t="s">
        <v>508</v>
      </c>
      <c r="BG261" s="437" t="s">
        <v>509</v>
      </c>
      <c r="BH261" s="590" t="s">
        <v>532</v>
      </c>
      <c r="BI261" s="591"/>
      <c r="BJ261" s="591"/>
      <c r="BK261" s="592"/>
      <c r="BL261" s="596" t="s">
        <v>539</v>
      </c>
      <c r="BM261" s="597"/>
      <c r="BN261" s="597"/>
      <c r="BO261" s="598"/>
      <c r="BP261" s="438" t="s">
        <v>538</v>
      </c>
      <c r="BQ261" s="590" t="s">
        <v>542</v>
      </c>
      <c r="BR261" s="591"/>
      <c r="BS261" s="591"/>
      <c r="BT261" s="592"/>
      <c r="BU261" s="438" t="s">
        <v>541</v>
      </c>
      <c r="BV261" s="590" t="s">
        <v>552</v>
      </c>
      <c r="BW261" s="591"/>
      <c r="BX261" s="591"/>
      <c r="BY261" s="592"/>
      <c r="BZ261" s="438" t="s">
        <v>553</v>
      </c>
      <c r="CA261" s="590" t="s">
        <v>578</v>
      </c>
      <c r="CB261" s="591"/>
      <c r="CC261" s="591"/>
      <c r="CD261" s="592"/>
      <c r="CE261" s="438" t="s">
        <v>579</v>
      </c>
      <c r="CF261" s="590" t="s">
        <v>581</v>
      </c>
      <c r="CG261" s="591"/>
      <c r="CH261" s="591"/>
      <c r="CI261" s="592"/>
      <c r="CJ261" s="438" t="s">
        <v>580</v>
      </c>
      <c r="CK261" s="590" t="s">
        <v>585</v>
      </c>
      <c r="CL261" s="591"/>
      <c r="CM261" s="591"/>
      <c r="CN261" s="592"/>
      <c r="CO261" s="438" t="s">
        <v>586</v>
      </c>
      <c r="CP261" s="590" t="s">
        <v>587</v>
      </c>
      <c r="CQ261" s="591"/>
      <c r="CR261" s="591"/>
      <c r="CS261" s="592"/>
      <c r="CT261" s="438" t="s">
        <v>588</v>
      </c>
      <c r="CU261" s="590" t="s">
        <v>590</v>
      </c>
      <c r="CV261" s="591"/>
      <c r="CW261" s="591"/>
      <c r="CX261" s="592"/>
      <c r="CY261" s="438" t="s">
        <v>592</v>
      </c>
      <c r="CZ261" s="294"/>
      <c r="DA261" s="294"/>
      <c r="DB261" s="294"/>
      <c r="DC261" s="95" t="s">
        <v>602</v>
      </c>
      <c r="DD261" s="95" t="s">
        <v>488</v>
      </c>
      <c r="DE261" s="95" t="s">
        <v>489</v>
      </c>
      <c r="DF261" s="95" t="s">
        <v>603</v>
      </c>
      <c r="DG261" s="95" t="s">
        <v>423</v>
      </c>
      <c r="DH261" s="85" t="s">
        <v>2</v>
      </c>
      <c r="DI261" s="593" t="s">
        <v>613</v>
      </c>
      <c r="DJ261" s="594"/>
      <c r="DK261" s="594"/>
      <c r="DL261" s="594"/>
      <c r="DM261" s="594"/>
      <c r="DN261" s="594"/>
      <c r="DO261" s="594"/>
      <c r="DP261" s="595"/>
      <c r="DQ261" s="584" t="s">
        <v>614</v>
      </c>
      <c r="DR261" s="585"/>
      <c r="DS261" s="585"/>
      <c r="DT261" s="585"/>
      <c r="DU261" s="586"/>
      <c r="DV261" s="87" t="s">
        <v>615</v>
      </c>
      <c r="DW261" s="584" t="s">
        <v>623</v>
      </c>
      <c r="DX261" s="585"/>
      <c r="DY261" s="585"/>
      <c r="DZ261" s="585"/>
      <c r="EA261" s="586"/>
      <c r="EB261" s="87" t="s">
        <v>624</v>
      </c>
      <c r="EC261" s="584" t="s">
        <v>627</v>
      </c>
      <c r="ED261" s="585"/>
      <c r="EE261" s="585"/>
      <c r="EF261" s="585"/>
      <c r="EG261" s="586"/>
      <c r="EH261" s="87" t="s">
        <v>628</v>
      </c>
      <c r="EI261" s="584" t="s">
        <v>631</v>
      </c>
      <c r="EJ261" s="585"/>
      <c r="EK261" s="585"/>
      <c r="EL261" s="585"/>
      <c r="EM261" s="586"/>
      <c r="EN261" s="87" t="s">
        <v>632</v>
      </c>
      <c r="EO261" s="584" t="s">
        <v>638</v>
      </c>
      <c r="EP261" s="585"/>
      <c r="EQ261" s="585"/>
      <c r="ER261" s="585"/>
      <c r="ES261" s="586"/>
      <c r="ET261" s="87" t="s">
        <v>637</v>
      </c>
      <c r="EU261" s="584" t="s">
        <v>641</v>
      </c>
      <c r="EV261" s="585"/>
      <c r="EW261" s="585"/>
      <c r="EX261" s="585"/>
      <c r="EY261" s="586"/>
      <c r="EZ261" s="87" t="s">
        <v>642</v>
      </c>
      <c r="FA261" s="584" t="s">
        <v>645</v>
      </c>
      <c r="FB261" s="585"/>
      <c r="FC261" s="585"/>
      <c r="FD261" s="585"/>
      <c r="FE261" s="586"/>
      <c r="FF261" s="87" t="s">
        <v>646</v>
      </c>
      <c r="FG261" s="584" t="s">
        <v>653</v>
      </c>
      <c r="FH261" s="585"/>
      <c r="FI261" s="585"/>
      <c r="FJ261" s="585"/>
      <c r="FK261" s="586"/>
      <c r="FL261" s="87" t="s">
        <v>654</v>
      </c>
      <c r="FM261" s="584" t="s">
        <v>662</v>
      </c>
      <c r="FN261" s="585"/>
      <c r="FO261" s="585"/>
      <c r="FP261" s="585"/>
      <c r="FQ261" s="586"/>
      <c r="FR261" s="87" t="s">
        <v>657</v>
      </c>
      <c r="FS261" s="584" t="s">
        <v>661</v>
      </c>
      <c r="FT261" s="585"/>
      <c r="FU261" s="585"/>
      <c r="FV261" s="585"/>
      <c r="FW261" s="586"/>
      <c r="FX261" s="87" t="s">
        <v>663</v>
      </c>
      <c r="FY261" s="584" t="s">
        <v>665</v>
      </c>
      <c r="FZ261" s="585"/>
      <c r="GA261" s="585"/>
      <c r="GB261" s="585"/>
      <c r="GC261" s="586"/>
      <c r="GD261" s="87" t="s">
        <v>666</v>
      </c>
      <c r="GE261" s="584" t="s">
        <v>668</v>
      </c>
      <c r="GF261" s="585"/>
      <c r="GG261" s="585"/>
      <c r="GH261" s="585"/>
      <c r="GI261" s="586"/>
      <c r="GJ261" s="87" t="s">
        <v>669</v>
      </c>
      <c r="GK261" s="584" t="s">
        <v>671</v>
      </c>
      <c r="GL261" s="585"/>
      <c r="GM261" s="585"/>
      <c r="GN261" s="585"/>
      <c r="GO261" s="586"/>
      <c r="GP261" s="87" t="s">
        <v>672</v>
      </c>
      <c r="GQ261" s="584" t="s">
        <v>674</v>
      </c>
      <c r="GR261" s="585"/>
      <c r="GS261" s="585"/>
      <c r="GT261" s="585"/>
      <c r="GU261" s="586"/>
      <c r="GV261" s="87" t="s">
        <v>675</v>
      </c>
      <c r="GW261" s="584" t="s">
        <v>696</v>
      </c>
      <c r="GX261" s="585"/>
      <c r="GY261" s="585"/>
      <c r="GZ261" s="585"/>
      <c r="HA261" s="586"/>
      <c r="HB261" s="87" t="s">
        <v>697</v>
      </c>
      <c r="HC261" s="85" t="s">
        <v>2</v>
      </c>
      <c r="HD261" s="6"/>
      <c r="HE261" s="587" t="s">
        <v>678</v>
      </c>
      <c r="HF261" s="588"/>
      <c r="HG261" s="588"/>
      <c r="HH261" s="588"/>
      <c r="HI261" s="589"/>
      <c r="HJ261" s="85" t="s">
        <v>2</v>
      </c>
      <c r="HK261" s="593" t="s">
        <v>698</v>
      </c>
      <c r="HL261" s="594"/>
      <c r="HM261" s="594"/>
      <c r="HN261" s="594"/>
      <c r="HO261" s="594"/>
      <c r="HP261" s="594"/>
      <c r="HQ261" s="594"/>
      <c r="HR261" s="594"/>
    </row>
    <row r="262" spans="1:226" s="74" customFormat="1" ht="30.6" x14ac:dyDescent="0.3">
      <c r="A262" s="85"/>
      <c r="B262" s="446" t="s">
        <v>570</v>
      </c>
      <c r="C262" s="441"/>
      <c r="D262" s="442"/>
      <c r="E262" s="87"/>
      <c r="F262" s="87"/>
      <c r="G262" s="87"/>
      <c r="H262" s="88"/>
      <c r="I262" s="88"/>
      <c r="J262" s="294"/>
      <c r="K262" s="88"/>
      <c r="L262" s="87"/>
      <c r="M262" s="87"/>
      <c r="N262" s="87"/>
      <c r="O262" s="294"/>
      <c r="P262" s="294"/>
      <c r="Q262" s="294"/>
      <c r="R262" s="294"/>
      <c r="S262" s="294"/>
      <c r="T262" s="294"/>
      <c r="U262" s="294"/>
      <c r="V262" s="294"/>
      <c r="W262" s="294"/>
      <c r="X262" s="294"/>
      <c r="Y262" s="294"/>
      <c r="Z262" s="294"/>
      <c r="AA262" s="294"/>
      <c r="AB262" s="112" t="s">
        <v>234</v>
      </c>
      <c r="AC262" s="112" t="s">
        <v>454</v>
      </c>
      <c r="AD262" s="112" t="s">
        <v>455</v>
      </c>
      <c r="AE262" s="112" t="s">
        <v>456</v>
      </c>
      <c r="AF262" s="14" t="s">
        <v>234</v>
      </c>
      <c r="AG262" s="14" t="s">
        <v>454</v>
      </c>
      <c r="AH262" s="14" t="s">
        <v>455</v>
      </c>
      <c r="AI262" s="14" t="s">
        <v>456</v>
      </c>
      <c r="AJ262" s="112" t="s">
        <v>234</v>
      </c>
      <c r="AK262" s="112" t="s">
        <v>454</v>
      </c>
      <c r="AL262" s="112" t="s">
        <v>455</v>
      </c>
      <c r="AM262" s="112" t="s">
        <v>456</v>
      </c>
      <c r="AN262" s="14" t="s">
        <v>234</v>
      </c>
      <c r="AO262" s="14" t="s">
        <v>454</v>
      </c>
      <c r="AP262" s="14" t="s">
        <v>455</v>
      </c>
      <c r="AQ262" s="14" t="s">
        <v>456</v>
      </c>
      <c r="AR262" s="112" t="s">
        <v>234</v>
      </c>
      <c r="AS262" s="112" t="s">
        <v>454</v>
      </c>
      <c r="AT262" s="112" t="s">
        <v>455</v>
      </c>
      <c r="AU262" s="112" t="s">
        <v>456</v>
      </c>
      <c r="AV262" s="14" t="s">
        <v>234</v>
      </c>
      <c r="AW262" s="14" t="s">
        <v>454</v>
      </c>
      <c r="AX262" s="14" t="s">
        <v>455</v>
      </c>
      <c r="AY262" s="14" t="s">
        <v>456</v>
      </c>
      <c r="AZ262" s="443"/>
      <c r="BA262" s="443"/>
      <c r="BB262" s="443"/>
      <c r="BC262" s="443"/>
      <c r="BD262" s="443"/>
      <c r="BE262" s="443"/>
      <c r="BF262" s="444"/>
      <c r="BG262" s="444"/>
      <c r="BH262" s="112" t="s">
        <v>234</v>
      </c>
      <c r="BI262" s="112" t="s">
        <v>454</v>
      </c>
      <c r="BJ262" s="112" t="s">
        <v>455</v>
      </c>
      <c r="BK262" s="112" t="s">
        <v>456</v>
      </c>
      <c r="BL262" s="14" t="s">
        <v>234</v>
      </c>
      <c r="BM262" s="14" t="s">
        <v>454</v>
      </c>
      <c r="BN262" s="14" t="s">
        <v>455</v>
      </c>
      <c r="BO262" s="14" t="s">
        <v>456</v>
      </c>
      <c r="BP262" s="445"/>
      <c r="BQ262" s="112" t="s">
        <v>234</v>
      </c>
      <c r="BR262" s="112" t="s">
        <v>454</v>
      </c>
      <c r="BS262" s="112" t="s">
        <v>455</v>
      </c>
      <c r="BT262" s="112" t="s">
        <v>456</v>
      </c>
      <c r="BU262" s="445"/>
      <c r="BV262" s="112" t="s">
        <v>234</v>
      </c>
      <c r="BW262" s="112" t="s">
        <v>454</v>
      </c>
      <c r="BX262" s="112" t="s">
        <v>455</v>
      </c>
      <c r="BY262" s="112" t="s">
        <v>456</v>
      </c>
      <c r="BZ262" s="445"/>
      <c r="CA262" s="112" t="s">
        <v>234</v>
      </c>
      <c r="CB262" s="112" t="s">
        <v>454</v>
      </c>
      <c r="CC262" s="112" t="s">
        <v>455</v>
      </c>
      <c r="CD262" s="112" t="s">
        <v>456</v>
      </c>
      <c r="CE262" s="445"/>
      <c r="CF262" s="112" t="s">
        <v>234</v>
      </c>
      <c r="CG262" s="112" t="s">
        <v>454</v>
      </c>
      <c r="CH262" s="112" t="s">
        <v>455</v>
      </c>
      <c r="CI262" s="112" t="s">
        <v>456</v>
      </c>
      <c r="CJ262" s="445"/>
      <c r="CK262" s="112" t="s">
        <v>234</v>
      </c>
      <c r="CL262" s="112" t="s">
        <v>454</v>
      </c>
      <c r="CM262" s="112" t="s">
        <v>455</v>
      </c>
      <c r="CN262" s="112" t="s">
        <v>456</v>
      </c>
      <c r="CO262" s="445"/>
      <c r="CP262" s="112" t="s">
        <v>234</v>
      </c>
      <c r="CQ262" s="112" t="s">
        <v>454</v>
      </c>
      <c r="CR262" s="112" t="s">
        <v>455</v>
      </c>
      <c r="CS262" s="112" t="s">
        <v>456</v>
      </c>
      <c r="CT262" s="445"/>
      <c r="CU262" s="112" t="s">
        <v>234</v>
      </c>
      <c r="CV262" s="112" t="s">
        <v>454</v>
      </c>
      <c r="CW262" s="112" t="s">
        <v>455</v>
      </c>
      <c r="CX262" s="112" t="s">
        <v>456</v>
      </c>
      <c r="CY262" s="445"/>
      <c r="CZ262" s="295"/>
      <c r="DA262" s="295"/>
      <c r="DB262" s="295"/>
      <c r="DC262" s="95" t="s">
        <v>602</v>
      </c>
      <c r="DD262" s="95" t="s">
        <v>488</v>
      </c>
      <c r="DE262" s="95" t="s">
        <v>489</v>
      </c>
      <c r="DF262" s="95" t="s">
        <v>603</v>
      </c>
      <c r="DG262" s="95" t="s">
        <v>423</v>
      </c>
      <c r="DH262" s="89"/>
      <c r="DI262" s="90" t="s">
        <v>604</v>
      </c>
      <c r="DJ262" s="91" t="s">
        <v>605</v>
      </c>
      <c r="DK262" s="92" t="s">
        <v>606</v>
      </c>
      <c r="DL262" s="92" t="s">
        <v>607</v>
      </c>
      <c r="DM262" s="91" t="s">
        <v>608</v>
      </c>
      <c r="DN262" s="91" t="s">
        <v>609</v>
      </c>
      <c r="DO262" s="91" t="s">
        <v>611</v>
      </c>
      <c r="DP262" s="91" t="s">
        <v>610</v>
      </c>
      <c r="DQ262" s="112" t="s">
        <v>234</v>
      </c>
      <c r="DR262" s="112" t="s">
        <v>454</v>
      </c>
      <c r="DS262" s="112" t="s">
        <v>455</v>
      </c>
      <c r="DT262" s="93" t="s">
        <v>456</v>
      </c>
      <c r="DU262" s="94" t="s">
        <v>457</v>
      </c>
      <c r="DV262" s="87"/>
      <c r="DW262" s="112" t="s">
        <v>234</v>
      </c>
      <c r="DX262" s="112" t="s">
        <v>454</v>
      </c>
      <c r="DY262" s="112" t="s">
        <v>455</v>
      </c>
      <c r="DZ262" s="93" t="s">
        <v>456</v>
      </c>
      <c r="EA262" s="94" t="s">
        <v>457</v>
      </c>
      <c r="EB262" s="87"/>
      <c r="EC262" s="112" t="s">
        <v>234</v>
      </c>
      <c r="ED262" s="112" t="s">
        <v>454</v>
      </c>
      <c r="EE262" s="112" t="s">
        <v>455</v>
      </c>
      <c r="EF262" s="93" t="s">
        <v>456</v>
      </c>
      <c r="EG262" s="94" t="s">
        <v>457</v>
      </c>
      <c r="EH262" s="87"/>
      <c r="EI262" s="112" t="s">
        <v>234</v>
      </c>
      <c r="EJ262" s="112" t="s">
        <v>454</v>
      </c>
      <c r="EK262" s="112" t="s">
        <v>455</v>
      </c>
      <c r="EL262" s="93" t="s">
        <v>456</v>
      </c>
      <c r="EM262" s="94" t="s">
        <v>457</v>
      </c>
      <c r="EN262" s="87"/>
      <c r="EO262" s="112" t="s">
        <v>234</v>
      </c>
      <c r="EP262" s="112" t="s">
        <v>454</v>
      </c>
      <c r="EQ262" s="112" t="s">
        <v>455</v>
      </c>
      <c r="ER262" s="93" t="s">
        <v>456</v>
      </c>
      <c r="ES262" s="94" t="s">
        <v>457</v>
      </c>
      <c r="ET262" s="87"/>
      <c r="EU262" s="112" t="s">
        <v>234</v>
      </c>
      <c r="EV262" s="112" t="s">
        <v>454</v>
      </c>
      <c r="EW262" s="112" t="s">
        <v>455</v>
      </c>
      <c r="EX262" s="93" t="s">
        <v>456</v>
      </c>
      <c r="EY262" s="94" t="s">
        <v>457</v>
      </c>
      <c r="EZ262" s="87"/>
      <c r="FA262" s="112" t="s">
        <v>234</v>
      </c>
      <c r="FB262" s="112" t="s">
        <v>454</v>
      </c>
      <c r="FC262" s="112" t="s">
        <v>455</v>
      </c>
      <c r="FD262" s="93" t="s">
        <v>456</v>
      </c>
      <c r="FE262" s="94" t="s">
        <v>457</v>
      </c>
      <c r="FF262" s="87"/>
      <c r="FG262" s="112" t="s">
        <v>234</v>
      </c>
      <c r="FH262" s="112" t="s">
        <v>454</v>
      </c>
      <c r="FI262" s="112" t="s">
        <v>455</v>
      </c>
      <c r="FJ262" s="93" t="s">
        <v>456</v>
      </c>
      <c r="FK262" s="94" t="s">
        <v>457</v>
      </c>
      <c r="FL262" s="87"/>
      <c r="FM262" s="112" t="s">
        <v>234</v>
      </c>
      <c r="FN262" s="112" t="s">
        <v>454</v>
      </c>
      <c r="FO262" s="112" t="s">
        <v>455</v>
      </c>
      <c r="FP262" s="93" t="s">
        <v>456</v>
      </c>
      <c r="FQ262" s="94" t="s">
        <v>457</v>
      </c>
      <c r="FR262" s="87"/>
      <c r="FS262" s="112" t="s">
        <v>234</v>
      </c>
      <c r="FT262" s="112" t="s">
        <v>454</v>
      </c>
      <c r="FU262" s="112" t="s">
        <v>455</v>
      </c>
      <c r="FV262" s="93" t="s">
        <v>456</v>
      </c>
      <c r="FW262" s="94" t="s">
        <v>457</v>
      </c>
      <c r="FX262" s="87"/>
      <c r="FY262" s="112" t="s">
        <v>234</v>
      </c>
      <c r="FZ262" s="112" t="s">
        <v>454</v>
      </c>
      <c r="GA262" s="112" t="s">
        <v>455</v>
      </c>
      <c r="GB262" s="93" t="s">
        <v>456</v>
      </c>
      <c r="GC262" s="94" t="s">
        <v>457</v>
      </c>
      <c r="GD262" s="87"/>
      <c r="GE262" s="112" t="s">
        <v>234</v>
      </c>
      <c r="GF262" s="112" t="s">
        <v>454</v>
      </c>
      <c r="GG262" s="112" t="s">
        <v>455</v>
      </c>
      <c r="GH262" s="93" t="s">
        <v>456</v>
      </c>
      <c r="GI262" s="94" t="s">
        <v>457</v>
      </c>
      <c r="GJ262" s="87"/>
      <c r="GK262" s="112" t="s">
        <v>234</v>
      </c>
      <c r="GL262" s="112" t="s">
        <v>454</v>
      </c>
      <c r="GM262" s="112" t="s">
        <v>455</v>
      </c>
      <c r="GN262" s="93" t="s">
        <v>456</v>
      </c>
      <c r="GO262" s="94" t="s">
        <v>457</v>
      </c>
      <c r="GP262" s="87"/>
      <c r="GQ262" s="112" t="s">
        <v>234</v>
      </c>
      <c r="GR262" s="112" t="s">
        <v>454</v>
      </c>
      <c r="GS262" s="112" t="s">
        <v>455</v>
      </c>
      <c r="GT262" s="93" t="s">
        <v>456</v>
      </c>
      <c r="GU262" s="94" t="s">
        <v>457</v>
      </c>
      <c r="GV262" s="87"/>
      <c r="GW262" s="112" t="s">
        <v>234</v>
      </c>
      <c r="GX262" s="112" t="s">
        <v>454</v>
      </c>
      <c r="GY262" s="112" t="s">
        <v>455</v>
      </c>
      <c r="GZ262" s="93" t="s">
        <v>456</v>
      </c>
      <c r="HA262" s="94" t="s">
        <v>457</v>
      </c>
      <c r="HB262" s="87"/>
      <c r="HC262" s="85"/>
      <c r="HD262" s="6"/>
      <c r="HE262" s="95" t="s">
        <v>679</v>
      </c>
      <c r="HF262" s="95" t="s">
        <v>488</v>
      </c>
      <c r="HG262" s="220" t="s">
        <v>489</v>
      </c>
      <c r="HH262" s="95" t="s">
        <v>603</v>
      </c>
      <c r="HI262" s="95" t="s">
        <v>423</v>
      </c>
      <c r="HJ262" s="85"/>
      <c r="HK262" s="90" t="s">
        <v>680</v>
      </c>
      <c r="HL262" s="91" t="s">
        <v>681</v>
      </c>
      <c r="HM262" s="92" t="s">
        <v>606</v>
      </c>
      <c r="HN262" s="92" t="s">
        <v>607</v>
      </c>
      <c r="HO262" s="91" t="s">
        <v>608</v>
      </c>
      <c r="HP262" s="91" t="s">
        <v>609</v>
      </c>
      <c r="HQ262" s="92" t="s">
        <v>456</v>
      </c>
      <c r="HR262" s="91" t="s">
        <v>610</v>
      </c>
    </row>
    <row r="263" spans="1:226" ht="10.5" customHeight="1" x14ac:dyDescent="0.3">
      <c r="A263" s="326">
        <v>1</v>
      </c>
      <c r="B263" s="105" t="s">
        <v>514</v>
      </c>
      <c r="C263" s="326" t="s">
        <v>312</v>
      </c>
      <c r="D263" s="21" t="s">
        <v>42</v>
      </c>
      <c r="E263" s="4"/>
      <c r="F263" s="4"/>
      <c r="G263" s="4"/>
      <c r="H263" s="325"/>
      <c r="I263" s="325">
        <v>734792</v>
      </c>
      <c r="J263" s="325"/>
      <c r="K263" s="325"/>
      <c r="L263" s="325">
        <v>734792</v>
      </c>
      <c r="M263" s="6">
        <v>734792</v>
      </c>
      <c r="N263" s="6">
        <v>734792</v>
      </c>
      <c r="O263" s="7">
        <v>734792</v>
      </c>
      <c r="P263" s="7">
        <v>734792</v>
      </c>
      <c r="Q263" s="7">
        <v>734792</v>
      </c>
      <c r="R263" s="7">
        <v>734792</v>
      </c>
      <c r="S263" s="7">
        <v>734792</v>
      </c>
      <c r="T263" s="7">
        <v>734792</v>
      </c>
      <c r="U263" s="7">
        <f t="shared" ref="U263:U268" si="1461">T263*5%</f>
        <v>36739.599999999999</v>
      </c>
      <c r="V263" s="7">
        <f t="shared" ref="V263:V268" si="1462">T263+U263</f>
        <v>771531.6</v>
      </c>
      <c r="W263" s="7">
        <v>771531</v>
      </c>
      <c r="X263" s="7">
        <v>771531</v>
      </c>
      <c r="Y263" s="7">
        <v>771531</v>
      </c>
      <c r="Z263" s="7">
        <v>771531</v>
      </c>
      <c r="AA263" s="7">
        <v>771531</v>
      </c>
      <c r="AB263" s="7">
        <v>771531</v>
      </c>
      <c r="AC263" s="4">
        <v>0</v>
      </c>
      <c r="AD263" s="4">
        <v>0</v>
      </c>
      <c r="AE263" s="7">
        <f t="shared" ref="AE263:AE268" si="1463">AD263+AC263+AB263</f>
        <v>771531</v>
      </c>
      <c r="AF263" s="7">
        <v>771531</v>
      </c>
      <c r="AG263" s="4">
        <v>0</v>
      </c>
      <c r="AH263" s="4">
        <v>0</v>
      </c>
      <c r="AI263" s="7">
        <f t="shared" ref="AI263:AI268" si="1464">AH263+AG263+AF263</f>
        <v>771531</v>
      </c>
      <c r="AJ263" s="7">
        <v>771531</v>
      </c>
      <c r="AK263" s="4">
        <v>0</v>
      </c>
      <c r="AL263" s="4">
        <v>0</v>
      </c>
      <c r="AM263" s="7">
        <f t="shared" ref="AM263:AM268" si="1465">AL263+AK263+AJ263</f>
        <v>771531</v>
      </c>
      <c r="AN263" s="7">
        <v>771531</v>
      </c>
      <c r="AO263" s="4">
        <v>0</v>
      </c>
      <c r="AP263" s="4">
        <v>0</v>
      </c>
      <c r="AQ263" s="7">
        <f t="shared" ref="AQ263:AQ268" si="1466">AP263+AO263+AN263</f>
        <v>771531</v>
      </c>
      <c r="AR263" s="7">
        <v>771531</v>
      </c>
      <c r="AS263" s="4">
        <v>0</v>
      </c>
      <c r="AT263" s="4">
        <v>0</v>
      </c>
      <c r="AU263" s="7">
        <f t="shared" ref="AU263:AU268" si="1467">AT263+AS263+AR263</f>
        <v>771531</v>
      </c>
      <c r="AV263" s="7">
        <v>771531</v>
      </c>
      <c r="AW263" s="4">
        <v>0</v>
      </c>
      <c r="AX263" s="4">
        <v>0</v>
      </c>
      <c r="AY263" s="7">
        <f t="shared" ref="AY263:AY268" si="1468">AX263+AW263+AV263</f>
        <v>771531</v>
      </c>
      <c r="AZ263" s="8">
        <f t="shared" ref="AZ263:AZ268" si="1469">AY263*5%</f>
        <v>38576.550000000003</v>
      </c>
      <c r="BA263" s="8">
        <v>0.55000000000000004</v>
      </c>
      <c r="BB263" s="8">
        <f t="shared" ref="BB263:BB268" si="1470">AZ263-BA263</f>
        <v>38576</v>
      </c>
      <c r="BC263" s="8">
        <f t="shared" ref="BC263:BC268" si="1471">BB263+AY263</f>
        <v>810107</v>
      </c>
      <c r="BD263" s="8"/>
      <c r="BE263" s="8">
        <f t="shared" ref="BE263:BE268" si="1472">BD263+BC263</f>
        <v>810107</v>
      </c>
      <c r="BF263" s="10">
        <f t="shared" ref="BF263:BF268" si="1473">BE263-AY263</f>
        <v>38576</v>
      </c>
      <c r="BG263" s="11">
        <f t="shared" ref="BG263:BG268" si="1474">BF263-BB263</f>
        <v>0</v>
      </c>
      <c r="BH263" s="324">
        <v>812107</v>
      </c>
      <c r="BI263" s="319">
        <v>0</v>
      </c>
      <c r="BJ263" s="319">
        <v>0</v>
      </c>
      <c r="BK263" s="319">
        <f t="shared" ref="BK263:BK268" si="1475">BJ263+BI263+BH263</f>
        <v>812107</v>
      </c>
      <c r="BL263" s="319">
        <v>812107</v>
      </c>
      <c r="BM263" s="319">
        <v>0</v>
      </c>
      <c r="BN263" s="319">
        <v>0</v>
      </c>
      <c r="BO263" s="319">
        <f t="shared" ref="BO263:BO268" si="1476">BN263+BM263+BL263</f>
        <v>812107</v>
      </c>
      <c r="BP263" s="319">
        <f t="shared" ref="BP263:BP268" si="1477">BO263-BK263</f>
        <v>0</v>
      </c>
      <c r="BQ263" s="319">
        <v>8386383</v>
      </c>
      <c r="BR263" s="319">
        <v>0</v>
      </c>
      <c r="BS263" s="319">
        <v>0</v>
      </c>
      <c r="BT263" s="319">
        <f t="shared" ref="BT263:BT268" si="1478">BS263+BR263+BQ263</f>
        <v>8386383</v>
      </c>
      <c r="BU263" s="319">
        <f t="shared" ref="BU263:BU268" si="1479">BT263-BO263</f>
        <v>7574276</v>
      </c>
      <c r="BV263" s="319">
        <v>8386383</v>
      </c>
      <c r="BW263" s="319">
        <v>0</v>
      </c>
      <c r="BX263" s="319">
        <v>0</v>
      </c>
      <c r="BY263" s="319">
        <f t="shared" ref="BY263:BY268" si="1480">BX263+BW263+BV263</f>
        <v>8386383</v>
      </c>
      <c r="BZ263" s="319">
        <f t="shared" ref="BZ263:BZ268" si="1481">BY263-BT263</f>
        <v>0</v>
      </c>
      <c r="CA263" s="319">
        <v>8386383</v>
      </c>
      <c r="CB263" s="319">
        <v>0</v>
      </c>
      <c r="CC263" s="319">
        <v>0</v>
      </c>
      <c r="CD263" s="319">
        <f t="shared" ref="CD263:CD268" si="1482">CC263+CB263+CA263</f>
        <v>8386383</v>
      </c>
      <c r="CE263" s="319">
        <f t="shared" ref="CE263:CE268" si="1483">CD263-BY263</f>
        <v>0</v>
      </c>
      <c r="CF263" s="319">
        <v>8386383</v>
      </c>
      <c r="CG263" s="319">
        <v>0</v>
      </c>
      <c r="CH263" s="319">
        <v>0</v>
      </c>
      <c r="CI263" s="319">
        <f t="shared" ref="CI263:CI268" si="1484">CH263+CG263+CF263</f>
        <v>8386383</v>
      </c>
      <c r="CJ263" s="319">
        <f t="shared" ref="CJ263:CJ268" si="1485">CI263-CD263</f>
        <v>0</v>
      </c>
      <c r="CK263" s="319">
        <v>8386383</v>
      </c>
      <c r="CL263" s="319">
        <v>0</v>
      </c>
      <c r="CM263" s="319">
        <v>0</v>
      </c>
      <c r="CN263" s="319">
        <f t="shared" ref="CN263:CN268" si="1486">CM263+CL263+CK263</f>
        <v>8386383</v>
      </c>
      <c r="CO263" s="319">
        <f t="shared" ref="CO263:CO268" si="1487">CN263-CI263</f>
        <v>0</v>
      </c>
      <c r="CP263" s="319">
        <v>8386383</v>
      </c>
      <c r="CQ263" s="319">
        <v>0</v>
      </c>
      <c r="CR263" s="319">
        <v>0</v>
      </c>
      <c r="CS263" s="319">
        <f t="shared" ref="CS263:CS268" si="1488">CR263+CQ263+CP263</f>
        <v>8386383</v>
      </c>
      <c r="CT263" s="319">
        <f t="shared" ref="CT263:CT268" si="1489">CS263-CN263</f>
        <v>0</v>
      </c>
      <c r="CU263" s="319">
        <v>8386383</v>
      </c>
      <c r="CV263" s="319">
        <v>0</v>
      </c>
      <c r="CW263" s="319">
        <v>0</v>
      </c>
      <c r="CX263" s="319">
        <f t="shared" ref="CX263:CX268" si="1490">CW263+CV263+CU263</f>
        <v>8386383</v>
      </c>
      <c r="CY263" s="319">
        <f t="shared" ref="CY263:CY268" si="1491">CX263-CS263</f>
        <v>0</v>
      </c>
      <c r="CZ263" s="319"/>
      <c r="DA263" s="319"/>
      <c r="DB263" s="319"/>
      <c r="DC263" s="12">
        <f t="shared" ref="DC263:DC268" si="1492">CX263*10%</f>
        <v>838638.3</v>
      </c>
      <c r="DD263" s="12">
        <v>0.3</v>
      </c>
      <c r="DE263" s="13">
        <f t="shared" ref="DE263:DE268" si="1493">DC263-DD263</f>
        <v>838638</v>
      </c>
      <c r="DF263" s="14">
        <f t="shared" ref="DF263:DF268" si="1494">DE263:DE263</f>
        <v>838638</v>
      </c>
      <c r="DG263" s="13">
        <f t="shared" ref="DG263:DG268" si="1495">DE263+CX263</f>
        <v>9225021</v>
      </c>
      <c r="DH263" s="15">
        <f t="shared" ref="DH263:DH268" si="1496">100/1278396949*CX263</f>
        <v>0.65600774521247696</v>
      </c>
      <c r="DI263" s="16">
        <f t="shared" ref="DI263:DI268" si="1497">CX263</f>
        <v>8386383</v>
      </c>
      <c r="DJ263" s="132">
        <f t="shared" ref="DJ263:DJ268" si="1498">DI263*1.1</f>
        <v>9225021.3000000007</v>
      </c>
      <c r="DK263" s="17">
        <f t="shared" ref="DK263:DK268" si="1499">DJ263-DI263</f>
        <v>838638.30000000075</v>
      </c>
      <c r="DL263" s="17">
        <f t="shared" ref="DL263:DL268" si="1500">DD263</f>
        <v>0.3</v>
      </c>
      <c r="DM263" s="16">
        <f t="shared" ref="DM263:DM268" si="1501">DK263-DL263</f>
        <v>838638.0000000007</v>
      </c>
      <c r="DN263" s="16">
        <f t="shared" ref="DN263:DN268" si="1502">DM263-DE263</f>
        <v>0</v>
      </c>
      <c r="DO263" s="16">
        <f t="shared" ref="DO263:DO268" si="1503">DM263+DI263</f>
        <v>9225021</v>
      </c>
      <c r="DP263" s="16">
        <f t="shared" ref="DP263:DP268" si="1504">DO263-DG263</f>
        <v>0</v>
      </c>
      <c r="DQ263" s="9">
        <v>9225021</v>
      </c>
      <c r="DR263" s="18" t="s">
        <v>238</v>
      </c>
      <c r="DS263" s="18" t="s">
        <v>238</v>
      </c>
      <c r="DT263" s="324">
        <f t="shared" ref="DT263:DT268" si="1505">DQ263+DR263+DS263</f>
        <v>9225021</v>
      </c>
      <c r="DU263" s="321">
        <f t="shared" ref="DU263:DU268" si="1506">DT263</f>
        <v>9225021</v>
      </c>
      <c r="DV263" s="19">
        <f t="shared" ref="DV263:DV268" si="1507">DT263-DG263</f>
        <v>0</v>
      </c>
      <c r="DW263" s="9">
        <v>9225021</v>
      </c>
      <c r="DX263" s="18"/>
      <c r="DY263" s="18"/>
      <c r="DZ263" s="324">
        <f t="shared" ref="DZ263:DZ268" si="1508">DW263+DX263+DY263</f>
        <v>9225021</v>
      </c>
      <c r="EA263" s="321">
        <f t="shared" ref="EA263:EA268" si="1509">DZ263</f>
        <v>9225021</v>
      </c>
      <c r="EB263" s="179">
        <f t="shared" ref="EB263:EB268" si="1510">DZ263-DT263</f>
        <v>0</v>
      </c>
      <c r="EC263" s="9">
        <v>9225021</v>
      </c>
      <c r="ED263" s="18" t="s">
        <v>238</v>
      </c>
      <c r="EE263" s="18" t="s">
        <v>238</v>
      </c>
      <c r="EF263" s="324">
        <f t="shared" ref="EF263:EF268" si="1511">EC263+ED263+EE263</f>
        <v>9225021</v>
      </c>
      <c r="EG263" s="321">
        <f t="shared" ref="EG263:EG268" si="1512">EF263</f>
        <v>9225021</v>
      </c>
      <c r="EH263" s="179">
        <f t="shared" ref="EH263:EH268" si="1513">EF263-DZ263</f>
        <v>0</v>
      </c>
      <c r="EI263" s="9">
        <v>9225021</v>
      </c>
      <c r="EJ263" s="18" t="s">
        <v>238</v>
      </c>
      <c r="EK263" s="18" t="s">
        <v>238</v>
      </c>
      <c r="EL263" s="324">
        <f t="shared" ref="EL263:EL268" si="1514">EI263+EJ263+EK263</f>
        <v>9225021</v>
      </c>
      <c r="EM263" s="321">
        <f t="shared" ref="EM263:EM268" si="1515">EL263</f>
        <v>9225021</v>
      </c>
      <c r="EN263" s="179">
        <f t="shared" ref="EN263:EN268" si="1516">EL263-EF263</f>
        <v>0</v>
      </c>
      <c r="EO263" s="9">
        <v>9225021</v>
      </c>
      <c r="EP263" s="18" t="s">
        <v>238</v>
      </c>
      <c r="EQ263" s="18" t="s">
        <v>238</v>
      </c>
      <c r="ER263" s="324">
        <f t="shared" ref="ER263:ER268" si="1517">EO263+EP263+EQ263</f>
        <v>9225021</v>
      </c>
      <c r="ES263" s="321">
        <f t="shared" ref="ES263:ES268" si="1518">ER263</f>
        <v>9225021</v>
      </c>
      <c r="ET263" s="179">
        <f t="shared" ref="ET263:ET268" si="1519">ER263-EL263</f>
        <v>0</v>
      </c>
      <c r="EU263" s="9">
        <v>9225021</v>
      </c>
      <c r="EV263" s="18" t="s">
        <v>238</v>
      </c>
      <c r="EW263" s="18" t="s">
        <v>238</v>
      </c>
      <c r="EX263" s="324">
        <f t="shared" ref="EX263:EX268" si="1520">EU263+EV263+EW263</f>
        <v>9225021</v>
      </c>
      <c r="EY263" s="321">
        <f t="shared" ref="EY263:EY268" si="1521">EX263</f>
        <v>9225021</v>
      </c>
      <c r="EZ263" s="179">
        <f t="shared" ref="EZ263:EZ268" si="1522">EX263-ER263</f>
        <v>0</v>
      </c>
      <c r="FA263" s="9">
        <v>9225021</v>
      </c>
      <c r="FB263" s="18" t="s">
        <v>238</v>
      </c>
      <c r="FC263" s="18" t="s">
        <v>238</v>
      </c>
      <c r="FD263" s="324">
        <f t="shared" ref="FD263:FD268" si="1523">FA263+FB263+FC263</f>
        <v>9225021</v>
      </c>
      <c r="FE263" s="321">
        <f t="shared" ref="FE263:FE268" si="1524">FD263</f>
        <v>9225021</v>
      </c>
      <c r="FF263" s="179">
        <f t="shared" ref="FF263:FF268" si="1525">FD263-EX263</f>
        <v>0</v>
      </c>
      <c r="FG263" s="9">
        <v>9225021</v>
      </c>
      <c r="FH263" s="9">
        <v>0</v>
      </c>
      <c r="FI263" s="9">
        <v>0</v>
      </c>
      <c r="FJ263" s="324">
        <f t="shared" ref="FJ263:FJ268" si="1526">FG263+FH263+FI263</f>
        <v>9225021</v>
      </c>
      <c r="FK263" s="321">
        <f t="shared" ref="FK263:FK268" si="1527">FJ263</f>
        <v>9225021</v>
      </c>
      <c r="FL263" s="179">
        <f t="shared" ref="FL263:FL268" si="1528">FJ263-FD263</f>
        <v>0</v>
      </c>
      <c r="FM263" s="9">
        <v>9225021</v>
      </c>
      <c r="FN263" s="9">
        <v>0</v>
      </c>
      <c r="FO263" s="9">
        <v>0</v>
      </c>
      <c r="FP263" s="324">
        <f t="shared" ref="FP263:FP268" si="1529">FM263+FN263+FO263</f>
        <v>9225021</v>
      </c>
      <c r="FQ263" s="321">
        <f t="shared" ref="FQ263:FQ268" si="1530">FP263</f>
        <v>9225021</v>
      </c>
      <c r="FR263" s="179">
        <f t="shared" ref="FR263:FR268" si="1531">FP263-FJ263</f>
        <v>0</v>
      </c>
      <c r="FS263" s="9">
        <v>9225021</v>
      </c>
      <c r="FT263" s="9">
        <v>0</v>
      </c>
      <c r="FU263" s="9">
        <v>0</v>
      </c>
      <c r="FV263" s="324">
        <f t="shared" ref="FV263:FV268" si="1532">FS263+FT263+FU263</f>
        <v>9225021</v>
      </c>
      <c r="FW263" s="321">
        <f t="shared" ref="FW263:FW268" si="1533">FV263</f>
        <v>9225021</v>
      </c>
      <c r="FX263" s="179">
        <f t="shared" ref="FX263:FX268" si="1534">FV263-FP263</f>
        <v>0</v>
      </c>
      <c r="FY263" s="9">
        <v>9225021</v>
      </c>
      <c r="FZ263" s="9">
        <v>0</v>
      </c>
      <c r="GA263" s="9">
        <v>0</v>
      </c>
      <c r="GB263" s="324">
        <f t="shared" ref="GB263:GB268" si="1535">FY263+FZ263+GA263</f>
        <v>9225021</v>
      </c>
      <c r="GC263" s="321">
        <f t="shared" ref="GC263:GC268" si="1536">GB263</f>
        <v>9225021</v>
      </c>
      <c r="GD263" s="179">
        <f t="shared" ref="GD263:GD268" si="1537">GB263-FV263</f>
        <v>0</v>
      </c>
      <c r="GE263" s="9">
        <v>9225021</v>
      </c>
      <c r="GF263" s="9">
        <v>0</v>
      </c>
      <c r="GG263" s="9">
        <v>0</v>
      </c>
      <c r="GH263" s="324">
        <f t="shared" ref="GH263:GH268" si="1538">GE263+GF263+GG263</f>
        <v>9225021</v>
      </c>
      <c r="GI263" s="321">
        <f t="shared" ref="GI263:GI268" si="1539">GH263</f>
        <v>9225021</v>
      </c>
      <c r="GJ263" s="179">
        <f t="shared" ref="GJ263:GJ268" si="1540">GH263-GB263</f>
        <v>0</v>
      </c>
      <c r="GK263" s="9">
        <v>9225021</v>
      </c>
      <c r="GL263" s="9">
        <v>0</v>
      </c>
      <c r="GM263" s="9">
        <v>0</v>
      </c>
      <c r="GN263" s="324">
        <f t="shared" ref="GN263:GN268" si="1541">GK263+GL263+GM263</f>
        <v>9225021</v>
      </c>
      <c r="GO263" s="321">
        <f t="shared" ref="GO263:GO268" si="1542">GN263</f>
        <v>9225021</v>
      </c>
      <c r="GP263" s="179">
        <f t="shared" ref="GP263:GP268" si="1543">GN263-GH263</f>
        <v>0</v>
      </c>
      <c r="GQ263" s="9">
        <v>9225021</v>
      </c>
      <c r="GR263" s="9">
        <v>0</v>
      </c>
      <c r="GS263" s="9">
        <v>0</v>
      </c>
      <c r="GT263" s="324">
        <f t="shared" ref="GT263:GT268" si="1544">GQ263+GR263+GS263</f>
        <v>9225021</v>
      </c>
      <c r="GU263" s="321">
        <f t="shared" ref="GU263:GU268" si="1545">GT263</f>
        <v>9225021</v>
      </c>
      <c r="GV263" s="179">
        <f t="shared" ref="GV263:GV268" si="1546">GT263-GN263</f>
        <v>0</v>
      </c>
      <c r="GW263" s="9">
        <v>9686272</v>
      </c>
      <c r="GX263" s="9">
        <v>0</v>
      </c>
      <c r="GY263" s="9">
        <v>0</v>
      </c>
      <c r="GZ263" s="324">
        <f t="shared" ref="GZ263:GZ268" si="1547">GW263+GX263+GY263</f>
        <v>9686272</v>
      </c>
      <c r="HA263" s="321">
        <f t="shared" ref="HA263:HA268" si="1548">GZ263</f>
        <v>9686272</v>
      </c>
      <c r="HB263" s="179">
        <f t="shared" ref="HB263:HB268" si="1549">GZ263-GT263</f>
        <v>461251</v>
      </c>
      <c r="HC263" s="102">
        <f t="shared" ref="HC263:HC268" si="1550">100/1406236643.9*GT263</f>
        <v>0.65600772387894102</v>
      </c>
      <c r="HD263" s="285">
        <f t="shared" ref="HD263:HD268" si="1551">HB263-HO263</f>
        <v>-6.9849193096160889E-10</v>
      </c>
      <c r="HE263" s="12">
        <f t="shared" ref="HE263:HE268" si="1552">GT263*0.05</f>
        <v>461251.05000000005</v>
      </c>
      <c r="HF263" s="12">
        <f t="shared" ref="HF263:HF268" si="1553">IF(ISNUMBER($HE263), $HE263-INT($HE263), "")</f>
        <v>5.0000000046566129E-2</v>
      </c>
      <c r="HG263" s="12">
        <f t="shared" ref="HG263:HG268" si="1554">HE263-HF263</f>
        <v>461251</v>
      </c>
      <c r="HH263" s="14">
        <f t="shared" ref="HH263:HH268" si="1555">HG263:HG263</f>
        <v>461251</v>
      </c>
      <c r="HI263" s="13">
        <f t="shared" ref="HI263:HI268" si="1556">HG263+GT263</f>
        <v>9686272</v>
      </c>
      <c r="HJ263" s="102">
        <f t="shared" ref="HJ263:HJ268" si="1557">100/1406236643.9*HI263</f>
        <v>0.68880810651729885</v>
      </c>
      <c r="HK263" s="16">
        <f t="shared" ref="HK263:HK268" si="1558">GT263</f>
        <v>9225021</v>
      </c>
      <c r="HL263" s="103">
        <f t="shared" ref="HL263:HL268" si="1559">HK263*1.05</f>
        <v>9686272.0500000007</v>
      </c>
      <c r="HM263" s="103">
        <f t="shared" ref="HM263:HM268" si="1560">HL263-HK263</f>
        <v>461251.05000000075</v>
      </c>
      <c r="HN263" s="17">
        <f t="shared" ref="HN263:HN268" si="1561">HF263</f>
        <v>5.0000000046566129E-2</v>
      </c>
      <c r="HO263" s="56">
        <f t="shared" ref="HO263:HO268" si="1562">HM263-HN263</f>
        <v>461251.0000000007</v>
      </c>
      <c r="HP263" s="16">
        <f t="shared" ref="HP263:HP268" si="1563">HO263-HG263</f>
        <v>6.9849193096160889E-10</v>
      </c>
      <c r="HQ263" s="16">
        <f t="shared" ref="HQ263:HQ268" si="1564">HO263+HK263</f>
        <v>9686272</v>
      </c>
      <c r="HR263" s="16">
        <f t="shared" ref="HR263:HR268" si="1565">HQ263-HI263</f>
        <v>0</v>
      </c>
    </row>
    <row r="264" spans="1:226" x14ac:dyDescent="0.3">
      <c r="A264" s="326">
        <v>2</v>
      </c>
      <c r="B264" s="240"/>
      <c r="C264" s="326" t="s">
        <v>311</v>
      </c>
      <c r="D264" s="21" t="s">
        <v>43</v>
      </c>
      <c r="E264" s="4"/>
      <c r="F264" s="4"/>
      <c r="G264" s="4"/>
      <c r="H264" s="325"/>
      <c r="I264" s="325">
        <v>174266</v>
      </c>
      <c r="J264" s="325"/>
      <c r="K264" s="325"/>
      <c r="L264" s="325">
        <v>174266</v>
      </c>
      <c r="M264" s="6">
        <v>174266</v>
      </c>
      <c r="N264" s="6">
        <v>174266</v>
      </c>
      <c r="O264" s="7">
        <v>174266</v>
      </c>
      <c r="P264" s="7">
        <v>174266</v>
      </c>
      <c r="Q264" s="7">
        <v>174266</v>
      </c>
      <c r="R264" s="7">
        <v>174266</v>
      </c>
      <c r="S264" s="7">
        <v>174266</v>
      </c>
      <c r="T264" s="7">
        <v>174266</v>
      </c>
      <c r="U264" s="7">
        <f t="shared" si="1461"/>
        <v>8713.3000000000011</v>
      </c>
      <c r="V264" s="7">
        <f t="shared" si="1462"/>
        <v>182979.3</v>
      </c>
      <c r="W264" s="7">
        <v>182979</v>
      </c>
      <c r="X264" s="7">
        <v>182979</v>
      </c>
      <c r="Y264" s="7">
        <v>182979</v>
      </c>
      <c r="Z264" s="7">
        <v>182979</v>
      </c>
      <c r="AA264" s="7">
        <v>182979</v>
      </c>
      <c r="AB264" s="7">
        <v>182979</v>
      </c>
      <c r="AC264" s="4">
        <v>0</v>
      </c>
      <c r="AD264" s="4">
        <v>0</v>
      </c>
      <c r="AE264" s="7">
        <f t="shared" si="1463"/>
        <v>182979</v>
      </c>
      <c r="AF264" s="7">
        <v>182979</v>
      </c>
      <c r="AG264" s="4">
        <v>0</v>
      </c>
      <c r="AH264" s="4">
        <v>0</v>
      </c>
      <c r="AI264" s="7">
        <f t="shared" si="1464"/>
        <v>182979</v>
      </c>
      <c r="AJ264" s="7">
        <v>182979</v>
      </c>
      <c r="AK264" s="4">
        <v>0</v>
      </c>
      <c r="AL264" s="4">
        <v>0</v>
      </c>
      <c r="AM264" s="7">
        <f t="shared" si="1465"/>
        <v>182979</v>
      </c>
      <c r="AN264" s="7">
        <v>182979</v>
      </c>
      <c r="AO264" s="4">
        <v>0</v>
      </c>
      <c r="AP264" s="4">
        <v>0</v>
      </c>
      <c r="AQ264" s="7">
        <f t="shared" si="1466"/>
        <v>182979</v>
      </c>
      <c r="AR264" s="7">
        <v>182979</v>
      </c>
      <c r="AS264" s="4">
        <v>0</v>
      </c>
      <c r="AT264" s="4">
        <v>0</v>
      </c>
      <c r="AU264" s="7">
        <f t="shared" si="1467"/>
        <v>182979</v>
      </c>
      <c r="AV264" s="7">
        <v>182979</v>
      </c>
      <c r="AW264" s="4">
        <v>0</v>
      </c>
      <c r="AX264" s="4">
        <v>0</v>
      </c>
      <c r="AY264" s="7">
        <f t="shared" si="1468"/>
        <v>182979</v>
      </c>
      <c r="AZ264" s="8">
        <f t="shared" si="1469"/>
        <v>9148.9500000000007</v>
      </c>
      <c r="BA264" s="8">
        <v>0.95</v>
      </c>
      <c r="BB264" s="8">
        <f t="shared" si="1470"/>
        <v>9148</v>
      </c>
      <c r="BC264" s="8">
        <f t="shared" si="1471"/>
        <v>192127</v>
      </c>
      <c r="BD264" s="8"/>
      <c r="BE264" s="8">
        <f t="shared" si="1472"/>
        <v>192127</v>
      </c>
      <c r="BF264" s="10">
        <f t="shared" si="1473"/>
        <v>9148</v>
      </c>
      <c r="BG264" s="11">
        <f t="shared" si="1474"/>
        <v>0</v>
      </c>
      <c r="BH264" s="324">
        <v>192127</v>
      </c>
      <c r="BI264" s="319">
        <v>0</v>
      </c>
      <c r="BJ264" s="319">
        <v>0</v>
      </c>
      <c r="BK264" s="319">
        <f t="shared" si="1475"/>
        <v>192127</v>
      </c>
      <c r="BL264" s="319">
        <v>192127</v>
      </c>
      <c r="BM264" s="319">
        <v>0</v>
      </c>
      <c r="BN264" s="319">
        <v>0</v>
      </c>
      <c r="BO264" s="319">
        <f t="shared" si="1476"/>
        <v>192127</v>
      </c>
      <c r="BP264" s="319">
        <f t="shared" si="1477"/>
        <v>0</v>
      </c>
      <c r="BQ264" s="319">
        <v>192127</v>
      </c>
      <c r="BR264" s="319">
        <v>0</v>
      </c>
      <c r="BS264" s="319">
        <v>0</v>
      </c>
      <c r="BT264" s="319">
        <f t="shared" si="1478"/>
        <v>192127</v>
      </c>
      <c r="BU264" s="319">
        <f t="shared" si="1479"/>
        <v>0</v>
      </c>
      <c r="BV264" s="319">
        <v>192127</v>
      </c>
      <c r="BW264" s="319">
        <v>0</v>
      </c>
      <c r="BX264" s="319">
        <v>0</v>
      </c>
      <c r="BY264" s="319">
        <f t="shared" si="1480"/>
        <v>192127</v>
      </c>
      <c r="BZ264" s="319">
        <f t="shared" si="1481"/>
        <v>0</v>
      </c>
      <c r="CA264" s="319">
        <v>192127</v>
      </c>
      <c r="CB264" s="319">
        <v>0</v>
      </c>
      <c r="CC264" s="319">
        <v>0</v>
      </c>
      <c r="CD264" s="319">
        <f t="shared" si="1482"/>
        <v>192127</v>
      </c>
      <c r="CE264" s="319">
        <f t="shared" si="1483"/>
        <v>0</v>
      </c>
      <c r="CF264" s="319">
        <v>192127</v>
      </c>
      <c r="CG264" s="319">
        <v>0</v>
      </c>
      <c r="CH264" s="319">
        <v>0</v>
      </c>
      <c r="CI264" s="319">
        <f t="shared" si="1484"/>
        <v>192127</v>
      </c>
      <c r="CJ264" s="319">
        <f t="shared" si="1485"/>
        <v>0</v>
      </c>
      <c r="CK264" s="319">
        <v>192127</v>
      </c>
      <c r="CL264" s="319">
        <v>0</v>
      </c>
      <c r="CM264" s="319">
        <v>0</v>
      </c>
      <c r="CN264" s="319">
        <f t="shared" si="1486"/>
        <v>192127</v>
      </c>
      <c r="CO264" s="319">
        <f t="shared" si="1487"/>
        <v>0</v>
      </c>
      <c r="CP264" s="319">
        <v>192127</v>
      </c>
      <c r="CQ264" s="319">
        <v>0</v>
      </c>
      <c r="CR264" s="319">
        <v>0</v>
      </c>
      <c r="CS264" s="319">
        <f t="shared" si="1488"/>
        <v>192127</v>
      </c>
      <c r="CT264" s="319">
        <f t="shared" si="1489"/>
        <v>0</v>
      </c>
      <c r="CU264" s="319">
        <v>192127</v>
      </c>
      <c r="CV264" s="319">
        <v>0</v>
      </c>
      <c r="CW264" s="319">
        <v>0</v>
      </c>
      <c r="CX264" s="319">
        <f t="shared" si="1490"/>
        <v>192127</v>
      </c>
      <c r="CY264" s="319">
        <f t="shared" si="1491"/>
        <v>0</v>
      </c>
      <c r="CZ264" s="319"/>
      <c r="DA264" s="319"/>
      <c r="DB264" s="319"/>
      <c r="DC264" s="12">
        <f t="shared" si="1492"/>
        <v>19212.7</v>
      </c>
      <c r="DD264" s="12">
        <v>0.7</v>
      </c>
      <c r="DE264" s="13">
        <f t="shared" si="1493"/>
        <v>19212</v>
      </c>
      <c r="DF264" s="14">
        <f t="shared" si="1494"/>
        <v>19212</v>
      </c>
      <c r="DG264" s="13">
        <f t="shared" si="1495"/>
        <v>211339</v>
      </c>
      <c r="DH264" s="15">
        <f t="shared" si="1496"/>
        <v>1.502874362695307E-2</v>
      </c>
      <c r="DI264" s="16">
        <f t="shared" si="1497"/>
        <v>192127</v>
      </c>
      <c r="DJ264" s="132">
        <f t="shared" si="1498"/>
        <v>211339.7</v>
      </c>
      <c r="DK264" s="17">
        <f t="shared" si="1499"/>
        <v>19212.700000000012</v>
      </c>
      <c r="DL264" s="17">
        <f t="shared" si="1500"/>
        <v>0.7</v>
      </c>
      <c r="DM264" s="16">
        <f t="shared" si="1501"/>
        <v>19212.000000000011</v>
      </c>
      <c r="DN264" s="16">
        <f t="shared" si="1502"/>
        <v>0</v>
      </c>
      <c r="DO264" s="16">
        <f t="shared" si="1503"/>
        <v>211339</v>
      </c>
      <c r="DP264" s="16">
        <f t="shared" si="1504"/>
        <v>0</v>
      </c>
      <c r="DQ264" s="9">
        <v>211339</v>
      </c>
      <c r="DR264" s="18" t="s">
        <v>238</v>
      </c>
      <c r="DS264" s="18" t="s">
        <v>238</v>
      </c>
      <c r="DT264" s="324">
        <f t="shared" si="1505"/>
        <v>211339</v>
      </c>
      <c r="DU264" s="321">
        <f t="shared" si="1506"/>
        <v>211339</v>
      </c>
      <c r="DV264" s="19">
        <f t="shared" si="1507"/>
        <v>0</v>
      </c>
      <c r="DW264" s="9">
        <v>211339</v>
      </c>
      <c r="DX264" s="18"/>
      <c r="DY264" s="18"/>
      <c r="DZ264" s="324">
        <f t="shared" si="1508"/>
        <v>211339</v>
      </c>
      <c r="EA264" s="321">
        <f t="shared" si="1509"/>
        <v>211339</v>
      </c>
      <c r="EB264" s="179">
        <f t="shared" si="1510"/>
        <v>0</v>
      </c>
      <c r="EC264" s="9">
        <v>211339</v>
      </c>
      <c r="ED264" s="18" t="s">
        <v>238</v>
      </c>
      <c r="EE264" s="18" t="s">
        <v>238</v>
      </c>
      <c r="EF264" s="324">
        <f t="shared" si="1511"/>
        <v>211339</v>
      </c>
      <c r="EG264" s="321">
        <f t="shared" si="1512"/>
        <v>211339</v>
      </c>
      <c r="EH264" s="179">
        <f t="shared" si="1513"/>
        <v>0</v>
      </c>
      <c r="EI264" s="9">
        <v>211339</v>
      </c>
      <c r="EJ264" s="18" t="s">
        <v>238</v>
      </c>
      <c r="EK264" s="18" t="s">
        <v>238</v>
      </c>
      <c r="EL264" s="324">
        <f t="shared" si="1514"/>
        <v>211339</v>
      </c>
      <c r="EM264" s="321">
        <f t="shared" si="1515"/>
        <v>211339</v>
      </c>
      <c r="EN264" s="179">
        <f t="shared" si="1516"/>
        <v>0</v>
      </c>
      <c r="EO264" s="9">
        <v>211339</v>
      </c>
      <c r="EP264" s="18" t="s">
        <v>238</v>
      </c>
      <c r="EQ264" s="18" t="s">
        <v>238</v>
      </c>
      <c r="ER264" s="324">
        <f t="shared" si="1517"/>
        <v>211339</v>
      </c>
      <c r="ES264" s="321">
        <f t="shared" si="1518"/>
        <v>211339</v>
      </c>
      <c r="ET264" s="179">
        <f t="shared" si="1519"/>
        <v>0</v>
      </c>
      <c r="EU264" s="9">
        <v>211339</v>
      </c>
      <c r="EV264" s="18" t="s">
        <v>238</v>
      </c>
      <c r="EW264" s="18" t="s">
        <v>238</v>
      </c>
      <c r="EX264" s="324">
        <f t="shared" si="1520"/>
        <v>211339</v>
      </c>
      <c r="EY264" s="321">
        <f t="shared" si="1521"/>
        <v>211339</v>
      </c>
      <c r="EZ264" s="179">
        <f t="shared" si="1522"/>
        <v>0</v>
      </c>
      <c r="FA264" s="9">
        <v>211339</v>
      </c>
      <c r="FB264" s="18" t="s">
        <v>238</v>
      </c>
      <c r="FC264" s="18" t="s">
        <v>238</v>
      </c>
      <c r="FD264" s="324">
        <f t="shared" si="1523"/>
        <v>211339</v>
      </c>
      <c r="FE264" s="321">
        <f t="shared" si="1524"/>
        <v>211339</v>
      </c>
      <c r="FF264" s="179">
        <f t="shared" si="1525"/>
        <v>0</v>
      </c>
      <c r="FG264" s="9">
        <v>211339</v>
      </c>
      <c r="FH264" s="9">
        <v>0</v>
      </c>
      <c r="FI264" s="9">
        <v>0</v>
      </c>
      <c r="FJ264" s="324">
        <f t="shared" si="1526"/>
        <v>211339</v>
      </c>
      <c r="FK264" s="321">
        <f t="shared" si="1527"/>
        <v>211339</v>
      </c>
      <c r="FL264" s="179">
        <f t="shared" si="1528"/>
        <v>0</v>
      </c>
      <c r="FM264" s="9">
        <v>211339</v>
      </c>
      <c r="FN264" s="9">
        <v>0</v>
      </c>
      <c r="FO264" s="9">
        <v>0</v>
      </c>
      <c r="FP264" s="324">
        <f t="shared" si="1529"/>
        <v>211339</v>
      </c>
      <c r="FQ264" s="321">
        <f t="shared" si="1530"/>
        <v>211339</v>
      </c>
      <c r="FR264" s="179">
        <f t="shared" si="1531"/>
        <v>0</v>
      </c>
      <c r="FS264" s="9">
        <v>211339</v>
      </c>
      <c r="FT264" s="9">
        <v>0</v>
      </c>
      <c r="FU264" s="9">
        <v>0</v>
      </c>
      <c r="FV264" s="324">
        <f t="shared" si="1532"/>
        <v>211339</v>
      </c>
      <c r="FW264" s="321">
        <f t="shared" si="1533"/>
        <v>211339</v>
      </c>
      <c r="FX264" s="179">
        <f t="shared" si="1534"/>
        <v>0</v>
      </c>
      <c r="FY264" s="9">
        <v>211339</v>
      </c>
      <c r="FZ264" s="9">
        <v>0</v>
      </c>
      <c r="GA264" s="9">
        <v>0</v>
      </c>
      <c r="GB264" s="324">
        <f t="shared" si="1535"/>
        <v>211339</v>
      </c>
      <c r="GC264" s="321">
        <f t="shared" si="1536"/>
        <v>211339</v>
      </c>
      <c r="GD264" s="179">
        <f t="shared" si="1537"/>
        <v>0</v>
      </c>
      <c r="GE264" s="9">
        <v>211339</v>
      </c>
      <c r="GF264" s="9">
        <v>0</v>
      </c>
      <c r="GG264" s="9">
        <v>0</v>
      </c>
      <c r="GH264" s="324">
        <f t="shared" si="1538"/>
        <v>211339</v>
      </c>
      <c r="GI264" s="321">
        <f t="shared" si="1539"/>
        <v>211339</v>
      </c>
      <c r="GJ264" s="179">
        <f t="shared" si="1540"/>
        <v>0</v>
      </c>
      <c r="GK264" s="9">
        <v>211339</v>
      </c>
      <c r="GL264" s="9">
        <v>0</v>
      </c>
      <c r="GM264" s="9">
        <v>0</v>
      </c>
      <c r="GN264" s="324">
        <f t="shared" si="1541"/>
        <v>211339</v>
      </c>
      <c r="GO264" s="321">
        <f t="shared" si="1542"/>
        <v>211339</v>
      </c>
      <c r="GP264" s="179">
        <f t="shared" si="1543"/>
        <v>0</v>
      </c>
      <c r="GQ264" s="9">
        <v>211339</v>
      </c>
      <c r="GR264" s="9">
        <v>0</v>
      </c>
      <c r="GS264" s="9">
        <v>0</v>
      </c>
      <c r="GT264" s="324">
        <f t="shared" si="1544"/>
        <v>211339</v>
      </c>
      <c r="GU264" s="321">
        <f t="shared" si="1545"/>
        <v>211339</v>
      </c>
      <c r="GV264" s="179">
        <f t="shared" si="1546"/>
        <v>0</v>
      </c>
      <c r="GW264" s="9">
        <v>221905</v>
      </c>
      <c r="GX264" s="9">
        <v>0</v>
      </c>
      <c r="GY264" s="9">
        <v>0</v>
      </c>
      <c r="GZ264" s="324">
        <f t="shared" si="1547"/>
        <v>221905</v>
      </c>
      <c r="HA264" s="321">
        <f t="shared" si="1548"/>
        <v>221905</v>
      </c>
      <c r="HB264" s="179">
        <f t="shared" si="1549"/>
        <v>10566</v>
      </c>
      <c r="HC264" s="102">
        <f t="shared" si="1550"/>
        <v>1.5028693848702515E-2</v>
      </c>
      <c r="HD264" s="285">
        <f t="shared" si="1551"/>
        <v>0</v>
      </c>
      <c r="HE264" s="12">
        <f t="shared" si="1552"/>
        <v>10566.95</v>
      </c>
      <c r="HF264" s="12">
        <f t="shared" si="1553"/>
        <v>0.9500000000007276</v>
      </c>
      <c r="HG264" s="12">
        <f t="shared" si="1554"/>
        <v>10566</v>
      </c>
      <c r="HH264" s="14">
        <f t="shared" si="1555"/>
        <v>10566</v>
      </c>
      <c r="HI264" s="13">
        <f t="shared" si="1556"/>
        <v>221905</v>
      </c>
      <c r="HJ264" s="102">
        <f t="shared" si="1557"/>
        <v>1.5780060984940458E-2</v>
      </c>
      <c r="HK264" s="16">
        <f t="shared" si="1558"/>
        <v>211339</v>
      </c>
      <c r="HL264" s="103">
        <f t="shared" si="1559"/>
        <v>221905.95</v>
      </c>
      <c r="HM264" s="103">
        <f t="shared" si="1560"/>
        <v>10566.950000000012</v>
      </c>
      <c r="HN264" s="17">
        <f t="shared" si="1561"/>
        <v>0.9500000000007276</v>
      </c>
      <c r="HO264" s="56">
        <f t="shared" si="1562"/>
        <v>10566.000000000011</v>
      </c>
      <c r="HP264" s="16">
        <f t="shared" si="1563"/>
        <v>0</v>
      </c>
      <c r="HQ264" s="16">
        <f t="shared" si="1564"/>
        <v>221905</v>
      </c>
      <c r="HR264" s="16">
        <f t="shared" si="1565"/>
        <v>0</v>
      </c>
    </row>
    <row r="265" spans="1:226" x14ac:dyDescent="0.3">
      <c r="A265" s="326">
        <v>3</v>
      </c>
      <c r="B265" s="240"/>
      <c r="C265" s="326" t="s">
        <v>44</v>
      </c>
      <c r="D265" s="21" t="s">
        <v>45</v>
      </c>
      <c r="E265" s="4"/>
      <c r="F265" s="4"/>
      <c r="G265" s="4"/>
      <c r="H265" s="325"/>
      <c r="I265" s="325">
        <v>265100</v>
      </c>
      <c r="J265" s="325"/>
      <c r="K265" s="325"/>
      <c r="L265" s="325">
        <v>265100</v>
      </c>
      <c r="M265" s="6">
        <v>265100</v>
      </c>
      <c r="N265" s="6">
        <v>265100</v>
      </c>
      <c r="O265" s="7">
        <v>265100</v>
      </c>
      <c r="P265" s="7">
        <v>265100</v>
      </c>
      <c r="Q265" s="7">
        <v>265100</v>
      </c>
      <c r="R265" s="7">
        <v>265100</v>
      </c>
      <c r="S265" s="7">
        <v>265100</v>
      </c>
      <c r="T265" s="7">
        <v>265100</v>
      </c>
      <c r="U265" s="7">
        <f t="shared" si="1461"/>
        <v>13255</v>
      </c>
      <c r="V265" s="7">
        <f t="shared" si="1462"/>
        <v>278355</v>
      </c>
      <c r="W265" s="7">
        <v>278355</v>
      </c>
      <c r="X265" s="7">
        <v>278355</v>
      </c>
      <c r="Y265" s="7">
        <v>278355</v>
      </c>
      <c r="Z265" s="7">
        <v>278355</v>
      </c>
      <c r="AA265" s="7">
        <v>278355</v>
      </c>
      <c r="AB265" s="7">
        <v>278355</v>
      </c>
      <c r="AC265" s="4">
        <v>0</v>
      </c>
      <c r="AD265" s="4">
        <v>0</v>
      </c>
      <c r="AE265" s="7">
        <f t="shared" si="1463"/>
        <v>278355</v>
      </c>
      <c r="AF265" s="7">
        <v>278355</v>
      </c>
      <c r="AG265" s="4">
        <v>0</v>
      </c>
      <c r="AH265" s="4">
        <v>0</v>
      </c>
      <c r="AI265" s="7">
        <f t="shared" si="1464"/>
        <v>278355</v>
      </c>
      <c r="AJ265" s="7">
        <v>278355</v>
      </c>
      <c r="AK265" s="4">
        <v>0</v>
      </c>
      <c r="AL265" s="4">
        <v>0</v>
      </c>
      <c r="AM265" s="7">
        <f t="shared" si="1465"/>
        <v>278355</v>
      </c>
      <c r="AN265" s="7">
        <v>278355</v>
      </c>
      <c r="AO265" s="4">
        <v>0</v>
      </c>
      <c r="AP265" s="4">
        <v>0</v>
      </c>
      <c r="AQ265" s="7">
        <f t="shared" si="1466"/>
        <v>278355</v>
      </c>
      <c r="AR265" s="7">
        <v>278355</v>
      </c>
      <c r="AS265" s="4">
        <v>0</v>
      </c>
      <c r="AT265" s="4">
        <v>0</v>
      </c>
      <c r="AU265" s="7">
        <f t="shared" si="1467"/>
        <v>278355</v>
      </c>
      <c r="AV265" s="7">
        <v>278355</v>
      </c>
      <c r="AW265" s="4">
        <v>0</v>
      </c>
      <c r="AX265" s="4">
        <v>0</v>
      </c>
      <c r="AY265" s="7">
        <f t="shared" si="1468"/>
        <v>278355</v>
      </c>
      <c r="AZ265" s="8">
        <f t="shared" si="1469"/>
        <v>13917.75</v>
      </c>
      <c r="BA265" s="8">
        <v>0.75</v>
      </c>
      <c r="BB265" s="8">
        <f t="shared" si="1470"/>
        <v>13917</v>
      </c>
      <c r="BC265" s="8">
        <f t="shared" si="1471"/>
        <v>292272</v>
      </c>
      <c r="BD265" s="8"/>
      <c r="BE265" s="8">
        <f t="shared" si="1472"/>
        <v>292272</v>
      </c>
      <c r="BF265" s="10">
        <f t="shared" si="1473"/>
        <v>13917</v>
      </c>
      <c r="BG265" s="11">
        <f t="shared" si="1474"/>
        <v>0</v>
      </c>
      <c r="BH265" s="324">
        <v>292272</v>
      </c>
      <c r="BI265" s="319">
        <v>0</v>
      </c>
      <c r="BJ265" s="319">
        <v>0</v>
      </c>
      <c r="BK265" s="319">
        <f t="shared" si="1475"/>
        <v>292272</v>
      </c>
      <c r="BL265" s="319">
        <v>292272</v>
      </c>
      <c r="BM265" s="319">
        <v>0</v>
      </c>
      <c r="BN265" s="319">
        <v>0</v>
      </c>
      <c r="BO265" s="319">
        <f t="shared" si="1476"/>
        <v>292272</v>
      </c>
      <c r="BP265" s="319">
        <f t="shared" si="1477"/>
        <v>0</v>
      </c>
      <c r="BQ265" s="319">
        <v>4079410</v>
      </c>
      <c r="BR265" s="319">
        <v>0</v>
      </c>
      <c r="BS265" s="319">
        <v>0</v>
      </c>
      <c r="BT265" s="319">
        <f t="shared" si="1478"/>
        <v>4079410</v>
      </c>
      <c r="BU265" s="319">
        <f t="shared" si="1479"/>
        <v>3787138</v>
      </c>
      <c r="BV265" s="319">
        <v>4079410</v>
      </c>
      <c r="BW265" s="319">
        <v>0</v>
      </c>
      <c r="BX265" s="319">
        <v>0</v>
      </c>
      <c r="BY265" s="319">
        <f t="shared" si="1480"/>
        <v>4079410</v>
      </c>
      <c r="BZ265" s="319">
        <f t="shared" si="1481"/>
        <v>0</v>
      </c>
      <c r="CA265" s="319">
        <v>4079410</v>
      </c>
      <c r="CB265" s="319">
        <v>0</v>
      </c>
      <c r="CC265" s="319">
        <v>0</v>
      </c>
      <c r="CD265" s="319">
        <f t="shared" si="1482"/>
        <v>4079410</v>
      </c>
      <c r="CE265" s="319">
        <f t="shared" si="1483"/>
        <v>0</v>
      </c>
      <c r="CF265" s="319">
        <v>4079410</v>
      </c>
      <c r="CG265" s="319">
        <v>0</v>
      </c>
      <c r="CH265" s="319">
        <v>0</v>
      </c>
      <c r="CI265" s="319">
        <f t="shared" si="1484"/>
        <v>4079410</v>
      </c>
      <c r="CJ265" s="319">
        <f t="shared" si="1485"/>
        <v>0</v>
      </c>
      <c r="CK265" s="319">
        <v>4079410</v>
      </c>
      <c r="CL265" s="319">
        <v>0</v>
      </c>
      <c r="CM265" s="319">
        <v>0</v>
      </c>
      <c r="CN265" s="319">
        <f t="shared" si="1486"/>
        <v>4079410</v>
      </c>
      <c r="CO265" s="319">
        <f t="shared" si="1487"/>
        <v>0</v>
      </c>
      <c r="CP265" s="319">
        <v>4079410</v>
      </c>
      <c r="CQ265" s="319">
        <v>0</v>
      </c>
      <c r="CR265" s="319">
        <v>0</v>
      </c>
      <c r="CS265" s="319">
        <f t="shared" si="1488"/>
        <v>4079410</v>
      </c>
      <c r="CT265" s="319">
        <f t="shared" si="1489"/>
        <v>0</v>
      </c>
      <c r="CU265" s="319">
        <v>4079410</v>
      </c>
      <c r="CV265" s="319">
        <v>0</v>
      </c>
      <c r="CW265" s="319">
        <v>0</v>
      </c>
      <c r="CX265" s="319">
        <f t="shared" si="1490"/>
        <v>4079410</v>
      </c>
      <c r="CY265" s="319">
        <f t="shared" si="1491"/>
        <v>0</v>
      </c>
      <c r="CZ265" s="319"/>
      <c r="DA265" s="319"/>
      <c r="DB265" s="319"/>
      <c r="DC265" s="12">
        <f t="shared" si="1492"/>
        <v>407941</v>
      </c>
      <c r="DD265" s="12">
        <v>0</v>
      </c>
      <c r="DE265" s="13">
        <f t="shared" si="1493"/>
        <v>407941</v>
      </c>
      <c r="DF265" s="14">
        <f t="shared" si="1494"/>
        <v>407941</v>
      </c>
      <c r="DG265" s="13">
        <f t="shared" si="1495"/>
        <v>4487351</v>
      </c>
      <c r="DH265" s="15">
        <f t="shared" si="1496"/>
        <v>0.31910354629608861</v>
      </c>
      <c r="DI265" s="16">
        <f t="shared" si="1497"/>
        <v>4079410</v>
      </c>
      <c r="DJ265" s="132">
        <f t="shared" si="1498"/>
        <v>4487351</v>
      </c>
      <c r="DK265" s="17">
        <f t="shared" si="1499"/>
        <v>407941</v>
      </c>
      <c r="DL265" s="17">
        <f t="shared" si="1500"/>
        <v>0</v>
      </c>
      <c r="DM265" s="16">
        <f t="shared" si="1501"/>
        <v>407941</v>
      </c>
      <c r="DN265" s="16">
        <f t="shared" si="1502"/>
        <v>0</v>
      </c>
      <c r="DO265" s="16">
        <f t="shared" si="1503"/>
        <v>4487351</v>
      </c>
      <c r="DP265" s="16">
        <f t="shared" si="1504"/>
        <v>0</v>
      </c>
      <c r="DQ265" s="9">
        <v>4487351</v>
      </c>
      <c r="DR265" s="18" t="s">
        <v>238</v>
      </c>
      <c r="DS265" s="18" t="s">
        <v>238</v>
      </c>
      <c r="DT265" s="324">
        <f t="shared" si="1505"/>
        <v>4487351</v>
      </c>
      <c r="DU265" s="321">
        <f t="shared" si="1506"/>
        <v>4487351</v>
      </c>
      <c r="DV265" s="19">
        <f t="shared" si="1507"/>
        <v>0</v>
      </c>
      <c r="DW265" s="9">
        <v>4487351</v>
      </c>
      <c r="DX265" s="18"/>
      <c r="DY265" s="18"/>
      <c r="DZ265" s="324">
        <f t="shared" si="1508"/>
        <v>4487351</v>
      </c>
      <c r="EA265" s="321">
        <f t="shared" si="1509"/>
        <v>4487351</v>
      </c>
      <c r="EB265" s="179">
        <f t="shared" si="1510"/>
        <v>0</v>
      </c>
      <c r="EC265" s="9">
        <v>4487351</v>
      </c>
      <c r="ED265" s="18" t="s">
        <v>238</v>
      </c>
      <c r="EE265" s="18" t="s">
        <v>238</v>
      </c>
      <c r="EF265" s="324">
        <f t="shared" si="1511"/>
        <v>4487351</v>
      </c>
      <c r="EG265" s="321">
        <f t="shared" si="1512"/>
        <v>4487351</v>
      </c>
      <c r="EH265" s="179">
        <f t="shared" si="1513"/>
        <v>0</v>
      </c>
      <c r="EI265" s="9">
        <v>4487351</v>
      </c>
      <c r="EJ265" s="18" t="s">
        <v>238</v>
      </c>
      <c r="EK265" s="18" t="s">
        <v>238</v>
      </c>
      <c r="EL265" s="324">
        <f t="shared" si="1514"/>
        <v>4487351</v>
      </c>
      <c r="EM265" s="321">
        <f t="shared" si="1515"/>
        <v>4487351</v>
      </c>
      <c r="EN265" s="179">
        <f t="shared" si="1516"/>
        <v>0</v>
      </c>
      <c r="EO265" s="9">
        <v>4487351</v>
      </c>
      <c r="EP265" s="18" t="s">
        <v>238</v>
      </c>
      <c r="EQ265" s="18" t="s">
        <v>238</v>
      </c>
      <c r="ER265" s="324">
        <f t="shared" si="1517"/>
        <v>4487351</v>
      </c>
      <c r="ES265" s="321">
        <f t="shared" si="1518"/>
        <v>4487351</v>
      </c>
      <c r="ET265" s="179">
        <f t="shared" si="1519"/>
        <v>0</v>
      </c>
      <c r="EU265" s="9">
        <v>4487351</v>
      </c>
      <c r="EV265" s="18" t="s">
        <v>238</v>
      </c>
      <c r="EW265" s="18" t="s">
        <v>238</v>
      </c>
      <c r="EX265" s="324">
        <f t="shared" si="1520"/>
        <v>4487351</v>
      </c>
      <c r="EY265" s="321">
        <f t="shared" si="1521"/>
        <v>4487351</v>
      </c>
      <c r="EZ265" s="179">
        <f t="shared" si="1522"/>
        <v>0</v>
      </c>
      <c r="FA265" s="9">
        <v>4487351</v>
      </c>
      <c r="FB265" s="18" t="s">
        <v>238</v>
      </c>
      <c r="FC265" s="18" t="s">
        <v>238</v>
      </c>
      <c r="FD265" s="324">
        <f t="shared" si="1523"/>
        <v>4487351</v>
      </c>
      <c r="FE265" s="321">
        <f t="shared" si="1524"/>
        <v>4487351</v>
      </c>
      <c r="FF265" s="179">
        <f t="shared" si="1525"/>
        <v>0</v>
      </c>
      <c r="FG265" s="9">
        <v>4487351</v>
      </c>
      <c r="FH265" s="9">
        <v>0</v>
      </c>
      <c r="FI265" s="9">
        <v>0</v>
      </c>
      <c r="FJ265" s="324">
        <f t="shared" si="1526"/>
        <v>4487351</v>
      </c>
      <c r="FK265" s="321">
        <f t="shared" si="1527"/>
        <v>4487351</v>
      </c>
      <c r="FL265" s="179">
        <f t="shared" si="1528"/>
        <v>0</v>
      </c>
      <c r="FM265" s="9">
        <v>4487351</v>
      </c>
      <c r="FN265" s="9">
        <v>0</v>
      </c>
      <c r="FO265" s="9">
        <v>0</v>
      </c>
      <c r="FP265" s="324">
        <f t="shared" si="1529"/>
        <v>4487351</v>
      </c>
      <c r="FQ265" s="321">
        <f t="shared" si="1530"/>
        <v>4487351</v>
      </c>
      <c r="FR265" s="179">
        <f t="shared" si="1531"/>
        <v>0</v>
      </c>
      <c r="FS265" s="9">
        <v>4487351</v>
      </c>
      <c r="FT265" s="9">
        <v>0</v>
      </c>
      <c r="FU265" s="9">
        <v>0</v>
      </c>
      <c r="FV265" s="324">
        <f t="shared" si="1532"/>
        <v>4487351</v>
      </c>
      <c r="FW265" s="321">
        <f t="shared" si="1533"/>
        <v>4487351</v>
      </c>
      <c r="FX265" s="179">
        <f t="shared" si="1534"/>
        <v>0</v>
      </c>
      <c r="FY265" s="9">
        <v>4487351</v>
      </c>
      <c r="FZ265" s="9">
        <v>0</v>
      </c>
      <c r="GA265" s="9">
        <v>0</v>
      </c>
      <c r="GB265" s="324">
        <f t="shared" si="1535"/>
        <v>4487351</v>
      </c>
      <c r="GC265" s="321">
        <f t="shared" si="1536"/>
        <v>4487351</v>
      </c>
      <c r="GD265" s="179">
        <f t="shared" si="1537"/>
        <v>0</v>
      </c>
      <c r="GE265" s="9">
        <v>4487351</v>
      </c>
      <c r="GF265" s="9">
        <v>0</v>
      </c>
      <c r="GG265" s="9">
        <v>0</v>
      </c>
      <c r="GH265" s="324">
        <f t="shared" si="1538"/>
        <v>4487351</v>
      </c>
      <c r="GI265" s="321">
        <f t="shared" si="1539"/>
        <v>4487351</v>
      </c>
      <c r="GJ265" s="179">
        <f t="shared" si="1540"/>
        <v>0</v>
      </c>
      <c r="GK265" s="9">
        <v>4487351</v>
      </c>
      <c r="GL265" s="9">
        <v>0</v>
      </c>
      <c r="GM265" s="9">
        <v>0</v>
      </c>
      <c r="GN265" s="324">
        <f t="shared" si="1541"/>
        <v>4487351</v>
      </c>
      <c r="GO265" s="321">
        <f t="shared" si="1542"/>
        <v>4487351</v>
      </c>
      <c r="GP265" s="179">
        <f t="shared" si="1543"/>
        <v>0</v>
      </c>
      <c r="GQ265" s="9">
        <v>4487351</v>
      </c>
      <c r="GR265" s="9">
        <v>0</v>
      </c>
      <c r="GS265" s="9">
        <v>0</v>
      </c>
      <c r="GT265" s="324">
        <f t="shared" si="1544"/>
        <v>4487351</v>
      </c>
      <c r="GU265" s="321">
        <f t="shared" si="1545"/>
        <v>4487351</v>
      </c>
      <c r="GV265" s="179">
        <f t="shared" si="1546"/>
        <v>0</v>
      </c>
      <c r="GW265" s="9">
        <v>4711718</v>
      </c>
      <c r="GX265" s="9">
        <v>0</v>
      </c>
      <c r="GY265" s="9">
        <v>0</v>
      </c>
      <c r="GZ265" s="324">
        <f t="shared" si="1547"/>
        <v>4711718</v>
      </c>
      <c r="HA265" s="321">
        <f t="shared" si="1548"/>
        <v>4711718</v>
      </c>
      <c r="HB265" s="179">
        <f t="shared" si="1549"/>
        <v>224367</v>
      </c>
      <c r="HC265" s="102">
        <f t="shared" si="1550"/>
        <v>0.31910354629608867</v>
      </c>
      <c r="HD265" s="285">
        <f t="shared" si="1551"/>
        <v>0</v>
      </c>
      <c r="HE265" s="12">
        <f t="shared" si="1552"/>
        <v>224367.55000000002</v>
      </c>
      <c r="HF265" s="12">
        <f t="shared" si="1553"/>
        <v>0.5500000000174623</v>
      </c>
      <c r="HG265" s="12">
        <f t="shared" si="1554"/>
        <v>224367</v>
      </c>
      <c r="HH265" s="14">
        <f t="shared" si="1555"/>
        <v>224367</v>
      </c>
      <c r="HI265" s="13">
        <f t="shared" si="1556"/>
        <v>4711718</v>
      </c>
      <c r="HJ265" s="102">
        <f t="shared" si="1557"/>
        <v>0.33505868449941051</v>
      </c>
      <c r="HK265" s="16">
        <f t="shared" si="1558"/>
        <v>4487351</v>
      </c>
      <c r="HL265" s="103">
        <f t="shared" si="1559"/>
        <v>4711718.55</v>
      </c>
      <c r="HM265" s="103">
        <f t="shared" si="1560"/>
        <v>224367.54999999981</v>
      </c>
      <c r="HN265" s="17">
        <f t="shared" si="1561"/>
        <v>0.5500000000174623</v>
      </c>
      <c r="HO265" s="56">
        <f t="shared" si="1562"/>
        <v>224366.9999999998</v>
      </c>
      <c r="HP265" s="16">
        <f t="shared" si="1563"/>
        <v>0</v>
      </c>
      <c r="HQ265" s="16">
        <f t="shared" si="1564"/>
        <v>4711718</v>
      </c>
      <c r="HR265" s="16">
        <f t="shared" si="1565"/>
        <v>0</v>
      </c>
    </row>
    <row r="266" spans="1:226" x14ac:dyDescent="0.3">
      <c r="A266" s="326">
        <v>4</v>
      </c>
      <c r="B266" s="106"/>
      <c r="C266" s="326" t="s">
        <v>46</v>
      </c>
      <c r="D266" s="21" t="s">
        <v>47</v>
      </c>
      <c r="E266" s="4"/>
      <c r="F266" s="4"/>
      <c r="G266" s="4"/>
      <c r="H266" s="325"/>
      <c r="I266" s="325">
        <v>516285</v>
      </c>
      <c r="J266" s="325"/>
      <c r="K266" s="325"/>
      <c r="L266" s="325">
        <v>516285</v>
      </c>
      <c r="M266" s="6">
        <v>516285</v>
      </c>
      <c r="N266" s="6">
        <v>516285</v>
      </c>
      <c r="O266" s="7">
        <v>516285</v>
      </c>
      <c r="P266" s="7">
        <v>516285</v>
      </c>
      <c r="Q266" s="7">
        <v>516285</v>
      </c>
      <c r="R266" s="7">
        <v>516285</v>
      </c>
      <c r="S266" s="7">
        <v>516285</v>
      </c>
      <c r="T266" s="7">
        <v>516285</v>
      </c>
      <c r="U266" s="7">
        <f t="shared" si="1461"/>
        <v>25814.25</v>
      </c>
      <c r="V266" s="7">
        <f t="shared" si="1462"/>
        <v>542099.25</v>
      </c>
      <c r="W266" s="7">
        <v>542099</v>
      </c>
      <c r="X266" s="7">
        <v>542099</v>
      </c>
      <c r="Y266" s="7">
        <v>542099</v>
      </c>
      <c r="Z266" s="7">
        <v>542099</v>
      </c>
      <c r="AA266" s="7">
        <v>542099</v>
      </c>
      <c r="AB266" s="7">
        <v>542099</v>
      </c>
      <c r="AC266" s="4">
        <v>0</v>
      </c>
      <c r="AD266" s="4">
        <v>0</v>
      </c>
      <c r="AE266" s="7">
        <f t="shared" si="1463"/>
        <v>542099</v>
      </c>
      <c r="AF266" s="7">
        <v>542099</v>
      </c>
      <c r="AG266" s="4">
        <v>0</v>
      </c>
      <c r="AH266" s="4">
        <v>0</v>
      </c>
      <c r="AI266" s="7">
        <f t="shared" si="1464"/>
        <v>542099</v>
      </c>
      <c r="AJ266" s="7">
        <v>542099</v>
      </c>
      <c r="AK266" s="4">
        <v>0</v>
      </c>
      <c r="AL266" s="4">
        <v>0</v>
      </c>
      <c r="AM266" s="7">
        <f t="shared" si="1465"/>
        <v>542099</v>
      </c>
      <c r="AN266" s="7">
        <v>542099</v>
      </c>
      <c r="AO266" s="4">
        <v>0</v>
      </c>
      <c r="AP266" s="4">
        <v>0</v>
      </c>
      <c r="AQ266" s="7">
        <f t="shared" si="1466"/>
        <v>542099</v>
      </c>
      <c r="AR266" s="7">
        <v>542099</v>
      </c>
      <c r="AS266" s="4">
        <v>0</v>
      </c>
      <c r="AT266" s="4">
        <v>0</v>
      </c>
      <c r="AU266" s="7">
        <f t="shared" si="1467"/>
        <v>542099</v>
      </c>
      <c r="AV266" s="7">
        <v>542099</v>
      </c>
      <c r="AW266" s="4">
        <v>0</v>
      </c>
      <c r="AX266" s="4">
        <v>0</v>
      </c>
      <c r="AY266" s="7">
        <f t="shared" si="1468"/>
        <v>542099</v>
      </c>
      <c r="AZ266" s="8">
        <f t="shared" si="1469"/>
        <v>27104.95</v>
      </c>
      <c r="BA266" s="8">
        <v>0.95</v>
      </c>
      <c r="BB266" s="8">
        <f t="shared" si="1470"/>
        <v>27104</v>
      </c>
      <c r="BC266" s="8">
        <f t="shared" si="1471"/>
        <v>569203</v>
      </c>
      <c r="BD266" s="8"/>
      <c r="BE266" s="8">
        <f t="shared" si="1472"/>
        <v>569203</v>
      </c>
      <c r="BF266" s="10">
        <f t="shared" si="1473"/>
        <v>27104</v>
      </c>
      <c r="BG266" s="11">
        <f t="shared" si="1474"/>
        <v>0</v>
      </c>
      <c r="BH266" s="324">
        <v>569203</v>
      </c>
      <c r="BI266" s="319">
        <v>0</v>
      </c>
      <c r="BJ266" s="319">
        <v>0</v>
      </c>
      <c r="BK266" s="319">
        <f t="shared" si="1475"/>
        <v>569203</v>
      </c>
      <c r="BL266" s="319">
        <v>569203</v>
      </c>
      <c r="BM266" s="319">
        <v>0</v>
      </c>
      <c r="BN266" s="319">
        <v>0</v>
      </c>
      <c r="BO266" s="319">
        <f t="shared" si="1476"/>
        <v>569203</v>
      </c>
      <c r="BP266" s="319">
        <f t="shared" si="1477"/>
        <v>0</v>
      </c>
      <c r="BQ266" s="319">
        <v>4361341</v>
      </c>
      <c r="BR266" s="319">
        <v>0</v>
      </c>
      <c r="BS266" s="319">
        <v>0</v>
      </c>
      <c r="BT266" s="319">
        <f t="shared" si="1478"/>
        <v>4361341</v>
      </c>
      <c r="BU266" s="319">
        <f t="shared" si="1479"/>
        <v>3792138</v>
      </c>
      <c r="BV266" s="319">
        <v>4361341</v>
      </c>
      <c r="BW266" s="319">
        <v>0</v>
      </c>
      <c r="BX266" s="319">
        <v>0</v>
      </c>
      <c r="BY266" s="319">
        <f t="shared" si="1480"/>
        <v>4361341</v>
      </c>
      <c r="BZ266" s="319">
        <f t="shared" si="1481"/>
        <v>0</v>
      </c>
      <c r="CA266" s="319">
        <v>4361341</v>
      </c>
      <c r="CB266" s="319">
        <v>0</v>
      </c>
      <c r="CC266" s="319">
        <v>0</v>
      </c>
      <c r="CD266" s="319">
        <f t="shared" si="1482"/>
        <v>4361341</v>
      </c>
      <c r="CE266" s="319">
        <f t="shared" si="1483"/>
        <v>0</v>
      </c>
      <c r="CF266" s="319">
        <v>4361341</v>
      </c>
      <c r="CG266" s="319">
        <v>0</v>
      </c>
      <c r="CH266" s="319">
        <v>0</v>
      </c>
      <c r="CI266" s="319">
        <f t="shared" si="1484"/>
        <v>4361341</v>
      </c>
      <c r="CJ266" s="319">
        <f t="shared" si="1485"/>
        <v>0</v>
      </c>
      <c r="CK266" s="319">
        <v>4361341</v>
      </c>
      <c r="CL266" s="319">
        <v>0</v>
      </c>
      <c r="CM266" s="319">
        <v>0</v>
      </c>
      <c r="CN266" s="319">
        <f t="shared" si="1486"/>
        <v>4361341</v>
      </c>
      <c r="CO266" s="319">
        <f t="shared" si="1487"/>
        <v>0</v>
      </c>
      <c r="CP266" s="319">
        <v>4361341</v>
      </c>
      <c r="CQ266" s="319">
        <v>0</v>
      </c>
      <c r="CR266" s="319">
        <v>0</v>
      </c>
      <c r="CS266" s="319">
        <f t="shared" si="1488"/>
        <v>4361341</v>
      </c>
      <c r="CT266" s="319">
        <f t="shared" si="1489"/>
        <v>0</v>
      </c>
      <c r="CU266" s="319">
        <v>4361341</v>
      </c>
      <c r="CV266" s="319">
        <v>0</v>
      </c>
      <c r="CW266" s="319">
        <v>0</v>
      </c>
      <c r="CX266" s="319">
        <f t="shared" si="1490"/>
        <v>4361341</v>
      </c>
      <c r="CY266" s="319">
        <f t="shared" si="1491"/>
        <v>0</v>
      </c>
      <c r="CZ266" s="319"/>
      <c r="DA266" s="319"/>
      <c r="DB266" s="319"/>
      <c r="DC266" s="12">
        <f t="shared" si="1492"/>
        <v>436134.10000000003</v>
      </c>
      <c r="DD266" s="12">
        <v>0.1</v>
      </c>
      <c r="DE266" s="13">
        <f t="shared" si="1493"/>
        <v>436134.00000000006</v>
      </c>
      <c r="DF266" s="14">
        <f t="shared" si="1494"/>
        <v>436134.00000000006</v>
      </c>
      <c r="DG266" s="13">
        <f t="shared" si="1495"/>
        <v>4797475</v>
      </c>
      <c r="DH266" s="15">
        <f t="shared" si="1496"/>
        <v>0.3411570250861104</v>
      </c>
      <c r="DI266" s="16">
        <f t="shared" si="1497"/>
        <v>4361341</v>
      </c>
      <c r="DJ266" s="132">
        <f t="shared" si="1498"/>
        <v>4797475.1000000006</v>
      </c>
      <c r="DK266" s="17">
        <f t="shared" si="1499"/>
        <v>436134.10000000056</v>
      </c>
      <c r="DL266" s="17">
        <f t="shared" si="1500"/>
        <v>0.1</v>
      </c>
      <c r="DM266" s="16">
        <f t="shared" si="1501"/>
        <v>436134.00000000058</v>
      </c>
      <c r="DN266" s="16">
        <f t="shared" si="1502"/>
        <v>5.2386894822120667E-10</v>
      </c>
      <c r="DO266" s="16">
        <f t="shared" si="1503"/>
        <v>4797475.0000000009</v>
      </c>
      <c r="DP266" s="16">
        <f t="shared" si="1504"/>
        <v>0</v>
      </c>
      <c r="DQ266" s="9">
        <v>4797475</v>
      </c>
      <c r="DR266" s="18" t="s">
        <v>238</v>
      </c>
      <c r="DS266" s="18" t="s">
        <v>238</v>
      </c>
      <c r="DT266" s="324">
        <f t="shared" si="1505"/>
        <v>4797475</v>
      </c>
      <c r="DU266" s="321">
        <f t="shared" si="1506"/>
        <v>4797475</v>
      </c>
      <c r="DV266" s="19">
        <f t="shared" si="1507"/>
        <v>0</v>
      </c>
      <c r="DW266" s="9">
        <v>4797475</v>
      </c>
      <c r="DX266" s="18"/>
      <c r="DY266" s="18"/>
      <c r="DZ266" s="324">
        <f t="shared" si="1508"/>
        <v>4797475</v>
      </c>
      <c r="EA266" s="321">
        <f t="shared" si="1509"/>
        <v>4797475</v>
      </c>
      <c r="EB266" s="179">
        <f t="shared" si="1510"/>
        <v>0</v>
      </c>
      <c r="EC266" s="9">
        <v>4797475</v>
      </c>
      <c r="ED266" s="18" t="s">
        <v>238</v>
      </c>
      <c r="EE266" s="18" t="s">
        <v>238</v>
      </c>
      <c r="EF266" s="324">
        <f t="shared" si="1511"/>
        <v>4797475</v>
      </c>
      <c r="EG266" s="321">
        <f t="shared" si="1512"/>
        <v>4797475</v>
      </c>
      <c r="EH266" s="179">
        <f t="shared" si="1513"/>
        <v>0</v>
      </c>
      <c r="EI266" s="9">
        <v>4797475</v>
      </c>
      <c r="EJ266" s="18" t="s">
        <v>238</v>
      </c>
      <c r="EK266" s="18" t="s">
        <v>238</v>
      </c>
      <c r="EL266" s="324">
        <f t="shared" si="1514"/>
        <v>4797475</v>
      </c>
      <c r="EM266" s="321">
        <f t="shared" si="1515"/>
        <v>4797475</v>
      </c>
      <c r="EN266" s="179">
        <f t="shared" si="1516"/>
        <v>0</v>
      </c>
      <c r="EO266" s="9">
        <v>4797475</v>
      </c>
      <c r="EP266" s="18" t="s">
        <v>238</v>
      </c>
      <c r="EQ266" s="18" t="s">
        <v>238</v>
      </c>
      <c r="ER266" s="324">
        <f t="shared" si="1517"/>
        <v>4797475</v>
      </c>
      <c r="ES266" s="321">
        <f t="shared" si="1518"/>
        <v>4797475</v>
      </c>
      <c r="ET266" s="179">
        <f t="shared" si="1519"/>
        <v>0</v>
      </c>
      <c r="EU266" s="9">
        <v>4797475</v>
      </c>
      <c r="EV266" s="18" t="s">
        <v>238</v>
      </c>
      <c r="EW266" s="18" t="s">
        <v>238</v>
      </c>
      <c r="EX266" s="324">
        <f t="shared" si="1520"/>
        <v>4797475</v>
      </c>
      <c r="EY266" s="321">
        <f t="shared" si="1521"/>
        <v>4797475</v>
      </c>
      <c r="EZ266" s="179">
        <f t="shared" si="1522"/>
        <v>0</v>
      </c>
      <c r="FA266" s="9">
        <v>4797475</v>
      </c>
      <c r="FB266" s="18" t="s">
        <v>238</v>
      </c>
      <c r="FC266" s="18" t="s">
        <v>238</v>
      </c>
      <c r="FD266" s="324">
        <f t="shared" si="1523"/>
        <v>4797475</v>
      </c>
      <c r="FE266" s="321">
        <f t="shared" si="1524"/>
        <v>4797475</v>
      </c>
      <c r="FF266" s="179">
        <f t="shared" si="1525"/>
        <v>0</v>
      </c>
      <c r="FG266" s="9">
        <v>4797475</v>
      </c>
      <c r="FH266" s="9">
        <v>0</v>
      </c>
      <c r="FI266" s="9">
        <v>0</v>
      </c>
      <c r="FJ266" s="324">
        <f t="shared" si="1526"/>
        <v>4797475</v>
      </c>
      <c r="FK266" s="321">
        <f t="shared" si="1527"/>
        <v>4797475</v>
      </c>
      <c r="FL266" s="179">
        <f t="shared" si="1528"/>
        <v>0</v>
      </c>
      <c r="FM266" s="9">
        <v>4797475</v>
      </c>
      <c r="FN266" s="9">
        <v>0</v>
      </c>
      <c r="FO266" s="9">
        <v>0</v>
      </c>
      <c r="FP266" s="324">
        <f t="shared" si="1529"/>
        <v>4797475</v>
      </c>
      <c r="FQ266" s="321">
        <f t="shared" si="1530"/>
        <v>4797475</v>
      </c>
      <c r="FR266" s="179">
        <f t="shared" si="1531"/>
        <v>0</v>
      </c>
      <c r="FS266" s="9">
        <v>4797475</v>
      </c>
      <c r="FT266" s="9">
        <v>0</v>
      </c>
      <c r="FU266" s="9">
        <v>0</v>
      </c>
      <c r="FV266" s="324">
        <f t="shared" si="1532"/>
        <v>4797475</v>
      </c>
      <c r="FW266" s="321">
        <f t="shared" si="1533"/>
        <v>4797475</v>
      </c>
      <c r="FX266" s="179">
        <f t="shared" si="1534"/>
        <v>0</v>
      </c>
      <c r="FY266" s="9">
        <v>4797475</v>
      </c>
      <c r="FZ266" s="9">
        <v>0</v>
      </c>
      <c r="GA266" s="9">
        <v>0</v>
      </c>
      <c r="GB266" s="324">
        <f t="shared" si="1535"/>
        <v>4797475</v>
      </c>
      <c r="GC266" s="321">
        <f t="shared" si="1536"/>
        <v>4797475</v>
      </c>
      <c r="GD266" s="179">
        <f t="shared" si="1537"/>
        <v>0</v>
      </c>
      <c r="GE266" s="9">
        <v>4797475</v>
      </c>
      <c r="GF266" s="9">
        <v>0</v>
      </c>
      <c r="GG266" s="9">
        <v>0</v>
      </c>
      <c r="GH266" s="324">
        <f t="shared" si="1538"/>
        <v>4797475</v>
      </c>
      <c r="GI266" s="321">
        <f t="shared" si="1539"/>
        <v>4797475</v>
      </c>
      <c r="GJ266" s="179">
        <f t="shared" si="1540"/>
        <v>0</v>
      </c>
      <c r="GK266" s="9">
        <v>4797475</v>
      </c>
      <c r="GL266" s="9">
        <v>0</v>
      </c>
      <c r="GM266" s="9">
        <v>0</v>
      </c>
      <c r="GN266" s="324">
        <f t="shared" si="1541"/>
        <v>4797475</v>
      </c>
      <c r="GO266" s="321">
        <f t="shared" si="1542"/>
        <v>4797475</v>
      </c>
      <c r="GP266" s="179">
        <f t="shared" si="1543"/>
        <v>0</v>
      </c>
      <c r="GQ266" s="9">
        <v>4797475</v>
      </c>
      <c r="GR266" s="9">
        <v>0</v>
      </c>
      <c r="GS266" s="9">
        <v>0</v>
      </c>
      <c r="GT266" s="324">
        <f t="shared" si="1544"/>
        <v>4797475</v>
      </c>
      <c r="GU266" s="321">
        <f t="shared" si="1545"/>
        <v>4797475</v>
      </c>
      <c r="GV266" s="179">
        <f t="shared" si="1546"/>
        <v>0</v>
      </c>
      <c r="GW266" s="9">
        <v>5037348</v>
      </c>
      <c r="GX266" s="9">
        <v>0</v>
      </c>
      <c r="GY266" s="9">
        <v>0</v>
      </c>
      <c r="GZ266" s="324">
        <f t="shared" si="1547"/>
        <v>5037348</v>
      </c>
      <c r="HA266" s="321">
        <f t="shared" si="1548"/>
        <v>5037348</v>
      </c>
      <c r="HB266" s="179">
        <f t="shared" si="1549"/>
        <v>239873</v>
      </c>
      <c r="HC266" s="102">
        <f t="shared" si="1550"/>
        <v>0.34115701797493175</v>
      </c>
      <c r="HD266" s="285">
        <f t="shared" si="1551"/>
        <v>0</v>
      </c>
      <c r="HE266" s="12">
        <f t="shared" si="1552"/>
        <v>239873.75</v>
      </c>
      <c r="HF266" s="12">
        <f t="shared" si="1553"/>
        <v>0.75</v>
      </c>
      <c r="HG266" s="12">
        <f t="shared" si="1554"/>
        <v>239873</v>
      </c>
      <c r="HH266" s="14">
        <f t="shared" si="1555"/>
        <v>239873</v>
      </c>
      <c r="HI266" s="13">
        <f t="shared" si="1556"/>
        <v>5037348</v>
      </c>
      <c r="HJ266" s="102">
        <f t="shared" si="1557"/>
        <v>0.35821481553983847</v>
      </c>
      <c r="HK266" s="16">
        <f t="shared" si="1558"/>
        <v>4797475</v>
      </c>
      <c r="HL266" s="103">
        <f t="shared" si="1559"/>
        <v>5037348.75</v>
      </c>
      <c r="HM266" s="103">
        <f t="shared" si="1560"/>
        <v>239873.75</v>
      </c>
      <c r="HN266" s="17">
        <f t="shared" si="1561"/>
        <v>0.75</v>
      </c>
      <c r="HO266" s="56">
        <f t="shared" si="1562"/>
        <v>239873</v>
      </c>
      <c r="HP266" s="16">
        <f t="shared" si="1563"/>
        <v>0</v>
      </c>
      <c r="HQ266" s="16">
        <f t="shared" si="1564"/>
        <v>5037348</v>
      </c>
      <c r="HR266" s="16">
        <f t="shared" si="1565"/>
        <v>0</v>
      </c>
    </row>
    <row r="267" spans="1:226" x14ac:dyDescent="0.3">
      <c r="A267" s="326">
        <v>5</v>
      </c>
      <c r="B267" s="105" t="s">
        <v>48</v>
      </c>
      <c r="C267" s="326" t="s">
        <v>303</v>
      </c>
      <c r="D267" s="21" t="s">
        <v>49</v>
      </c>
      <c r="E267" s="4"/>
      <c r="F267" s="4"/>
      <c r="G267" s="4"/>
      <c r="H267" s="325"/>
      <c r="I267" s="325">
        <v>522</v>
      </c>
      <c r="J267" s="325"/>
      <c r="K267" s="325"/>
      <c r="L267" s="325">
        <v>522</v>
      </c>
      <c r="M267" s="6">
        <v>522</v>
      </c>
      <c r="N267" s="6">
        <v>522</v>
      </c>
      <c r="O267" s="7">
        <v>522</v>
      </c>
      <c r="P267" s="7">
        <v>522</v>
      </c>
      <c r="Q267" s="7">
        <v>522</v>
      </c>
      <c r="R267" s="7">
        <v>522</v>
      </c>
      <c r="S267" s="7">
        <v>522</v>
      </c>
      <c r="T267" s="7">
        <v>522</v>
      </c>
      <c r="U267" s="7">
        <f t="shared" si="1461"/>
        <v>26.1</v>
      </c>
      <c r="V267" s="7">
        <f t="shared" si="1462"/>
        <v>548.1</v>
      </c>
      <c r="W267" s="7">
        <v>548</v>
      </c>
      <c r="X267" s="7">
        <v>548</v>
      </c>
      <c r="Y267" s="7">
        <v>548</v>
      </c>
      <c r="Z267" s="7">
        <v>548</v>
      </c>
      <c r="AA267" s="7">
        <v>548</v>
      </c>
      <c r="AB267" s="7">
        <v>548</v>
      </c>
      <c r="AC267" s="4">
        <v>0</v>
      </c>
      <c r="AD267" s="4">
        <v>0</v>
      </c>
      <c r="AE267" s="7">
        <f t="shared" si="1463"/>
        <v>548</v>
      </c>
      <c r="AF267" s="7">
        <v>548</v>
      </c>
      <c r="AG267" s="4">
        <v>0</v>
      </c>
      <c r="AH267" s="4">
        <v>0</v>
      </c>
      <c r="AI267" s="7">
        <f t="shared" si="1464"/>
        <v>548</v>
      </c>
      <c r="AJ267" s="7">
        <v>548</v>
      </c>
      <c r="AK267" s="4">
        <v>0</v>
      </c>
      <c r="AL267" s="4">
        <v>0</v>
      </c>
      <c r="AM267" s="7">
        <f t="shared" si="1465"/>
        <v>548</v>
      </c>
      <c r="AN267" s="7">
        <v>548</v>
      </c>
      <c r="AO267" s="4">
        <v>0</v>
      </c>
      <c r="AP267" s="4">
        <v>0</v>
      </c>
      <c r="AQ267" s="7">
        <f t="shared" si="1466"/>
        <v>548</v>
      </c>
      <c r="AR267" s="7">
        <v>548</v>
      </c>
      <c r="AS267" s="4">
        <v>0</v>
      </c>
      <c r="AT267" s="4">
        <v>0</v>
      </c>
      <c r="AU267" s="7">
        <f t="shared" si="1467"/>
        <v>548</v>
      </c>
      <c r="AV267" s="7">
        <v>548</v>
      </c>
      <c r="AW267" s="4">
        <v>0</v>
      </c>
      <c r="AX267" s="4">
        <v>0</v>
      </c>
      <c r="AY267" s="7">
        <f t="shared" si="1468"/>
        <v>548</v>
      </c>
      <c r="AZ267" s="8">
        <f t="shared" si="1469"/>
        <v>27.400000000000002</v>
      </c>
      <c r="BA267" s="8">
        <v>0.4</v>
      </c>
      <c r="BB267" s="8">
        <f t="shared" si="1470"/>
        <v>27.000000000000004</v>
      </c>
      <c r="BC267" s="8">
        <f t="shared" si="1471"/>
        <v>575</v>
      </c>
      <c r="BD267" s="8"/>
      <c r="BE267" s="8">
        <f t="shared" si="1472"/>
        <v>575</v>
      </c>
      <c r="BF267" s="10">
        <f t="shared" si="1473"/>
        <v>27</v>
      </c>
      <c r="BG267" s="11">
        <f t="shared" si="1474"/>
        <v>0</v>
      </c>
      <c r="BH267" s="324">
        <v>575</v>
      </c>
      <c r="BI267" s="319">
        <v>0</v>
      </c>
      <c r="BJ267" s="319">
        <v>0</v>
      </c>
      <c r="BK267" s="319">
        <f t="shared" si="1475"/>
        <v>575</v>
      </c>
      <c r="BL267" s="319">
        <v>575</v>
      </c>
      <c r="BM267" s="319">
        <v>0</v>
      </c>
      <c r="BN267" s="319">
        <v>0</v>
      </c>
      <c r="BO267" s="319">
        <f t="shared" si="1476"/>
        <v>575</v>
      </c>
      <c r="BP267" s="319">
        <f t="shared" si="1477"/>
        <v>0</v>
      </c>
      <c r="BQ267" s="319">
        <v>575</v>
      </c>
      <c r="BR267" s="319">
        <v>0</v>
      </c>
      <c r="BS267" s="319">
        <v>0</v>
      </c>
      <c r="BT267" s="319">
        <f t="shared" si="1478"/>
        <v>575</v>
      </c>
      <c r="BU267" s="319">
        <f t="shared" si="1479"/>
        <v>0</v>
      </c>
      <c r="BV267" s="319">
        <v>575</v>
      </c>
      <c r="BW267" s="319">
        <v>0</v>
      </c>
      <c r="BX267" s="319">
        <v>0</v>
      </c>
      <c r="BY267" s="319">
        <f t="shared" si="1480"/>
        <v>575</v>
      </c>
      <c r="BZ267" s="319">
        <f t="shared" si="1481"/>
        <v>0</v>
      </c>
      <c r="CA267" s="319">
        <v>575</v>
      </c>
      <c r="CB267" s="319">
        <v>0</v>
      </c>
      <c r="CC267" s="319">
        <v>0</v>
      </c>
      <c r="CD267" s="319">
        <f t="shared" si="1482"/>
        <v>575</v>
      </c>
      <c r="CE267" s="319">
        <f t="shared" si="1483"/>
        <v>0</v>
      </c>
      <c r="CF267" s="319">
        <v>575</v>
      </c>
      <c r="CG267" s="319">
        <v>0</v>
      </c>
      <c r="CH267" s="319">
        <v>0</v>
      </c>
      <c r="CI267" s="319">
        <f t="shared" si="1484"/>
        <v>575</v>
      </c>
      <c r="CJ267" s="319">
        <f t="shared" si="1485"/>
        <v>0</v>
      </c>
      <c r="CK267" s="319">
        <v>575</v>
      </c>
      <c r="CL267" s="319">
        <v>0</v>
      </c>
      <c r="CM267" s="319">
        <v>0</v>
      </c>
      <c r="CN267" s="319">
        <f t="shared" si="1486"/>
        <v>575</v>
      </c>
      <c r="CO267" s="319">
        <f t="shared" si="1487"/>
        <v>0</v>
      </c>
      <c r="CP267" s="319">
        <v>575</v>
      </c>
      <c r="CQ267" s="319">
        <v>0</v>
      </c>
      <c r="CR267" s="319">
        <v>0</v>
      </c>
      <c r="CS267" s="319">
        <f t="shared" si="1488"/>
        <v>575</v>
      </c>
      <c r="CT267" s="319">
        <f t="shared" si="1489"/>
        <v>0</v>
      </c>
      <c r="CU267" s="319">
        <v>575</v>
      </c>
      <c r="CV267" s="319">
        <v>0</v>
      </c>
      <c r="CW267" s="319">
        <v>0</v>
      </c>
      <c r="CX267" s="319">
        <f t="shared" si="1490"/>
        <v>575</v>
      </c>
      <c r="CY267" s="319">
        <f t="shared" si="1491"/>
        <v>0</v>
      </c>
      <c r="CZ267" s="319"/>
      <c r="DA267" s="319"/>
      <c r="DB267" s="319"/>
      <c r="DC267" s="12">
        <f t="shared" si="1492"/>
        <v>57.5</v>
      </c>
      <c r="DD267" s="12">
        <v>0.5</v>
      </c>
      <c r="DE267" s="13">
        <f t="shared" si="1493"/>
        <v>57</v>
      </c>
      <c r="DF267" s="14">
        <f t="shared" si="1494"/>
        <v>57</v>
      </c>
      <c r="DG267" s="13">
        <f t="shared" si="1495"/>
        <v>632</v>
      </c>
      <c r="DH267" s="15">
        <f t="shared" si="1496"/>
        <v>4.4978204965975713E-5</v>
      </c>
      <c r="DI267" s="16">
        <f t="shared" si="1497"/>
        <v>575</v>
      </c>
      <c r="DJ267" s="132">
        <f t="shared" si="1498"/>
        <v>632.5</v>
      </c>
      <c r="DK267" s="17">
        <f t="shared" si="1499"/>
        <v>57.5</v>
      </c>
      <c r="DL267" s="17">
        <f t="shared" si="1500"/>
        <v>0.5</v>
      </c>
      <c r="DM267" s="16">
        <f t="shared" si="1501"/>
        <v>57</v>
      </c>
      <c r="DN267" s="16">
        <f t="shared" si="1502"/>
        <v>0</v>
      </c>
      <c r="DO267" s="16">
        <f t="shared" si="1503"/>
        <v>632</v>
      </c>
      <c r="DP267" s="16">
        <f t="shared" si="1504"/>
        <v>0</v>
      </c>
      <c r="DQ267" s="9">
        <v>632</v>
      </c>
      <c r="DR267" s="18" t="s">
        <v>238</v>
      </c>
      <c r="DS267" s="18" t="s">
        <v>238</v>
      </c>
      <c r="DT267" s="324">
        <f t="shared" si="1505"/>
        <v>632</v>
      </c>
      <c r="DU267" s="321">
        <f t="shared" si="1506"/>
        <v>632</v>
      </c>
      <c r="DV267" s="19">
        <f t="shared" si="1507"/>
        <v>0</v>
      </c>
      <c r="DW267" s="9">
        <v>632</v>
      </c>
      <c r="DX267" s="18"/>
      <c r="DY267" s="18"/>
      <c r="DZ267" s="324">
        <f t="shared" si="1508"/>
        <v>632</v>
      </c>
      <c r="EA267" s="321">
        <f t="shared" si="1509"/>
        <v>632</v>
      </c>
      <c r="EB267" s="179">
        <f t="shared" si="1510"/>
        <v>0</v>
      </c>
      <c r="EC267" s="9">
        <v>632</v>
      </c>
      <c r="ED267" s="18" t="s">
        <v>238</v>
      </c>
      <c r="EE267" s="18" t="s">
        <v>238</v>
      </c>
      <c r="EF267" s="324">
        <f t="shared" si="1511"/>
        <v>632</v>
      </c>
      <c r="EG267" s="321">
        <f t="shared" si="1512"/>
        <v>632</v>
      </c>
      <c r="EH267" s="179">
        <f t="shared" si="1513"/>
        <v>0</v>
      </c>
      <c r="EI267" s="9">
        <v>632</v>
      </c>
      <c r="EJ267" s="18" t="s">
        <v>238</v>
      </c>
      <c r="EK267" s="18" t="s">
        <v>238</v>
      </c>
      <c r="EL267" s="324">
        <f t="shared" si="1514"/>
        <v>632</v>
      </c>
      <c r="EM267" s="321">
        <f t="shared" si="1515"/>
        <v>632</v>
      </c>
      <c r="EN267" s="179">
        <f t="shared" si="1516"/>
        <v>0</v>
      </c>
      <c r="EO267" s="9">
        <v>632</v>
      </c>
      <c r="EP267" s="18" t="s">
        <v>238</v>
      </c>
      <c r="EQ267" s="18" t="s">
        <v>238</v>
      </c>
      <c r="ER267" s="324">
        <f t="shared" si="1517"/>
        <v>632</v>
      </c>
      <c r="ES267" s="321">
        <f t="shared" si="1518"/>
        <v>632</v>
      </c>
      <c r="ET267" s="179">
        <f t="shared" si="1519"/>
        <v>0</v>
      </c>
      <c r="EU267" s="9">
        <v>632</v>
      </c>
      <c r="EV267" s="18" t="s">
        <v>238</v>
      </c>
      <c r="EW267" s="18" t="s">
        <v>238</v>
      </c>
      <c r="EX267" s="324">
        <f t="shared" si="1520"/>
        <v>632</v>
      </c>
      <c r="EY267" s="321">
        <f t="shared" si="1521"/>
        <v>632</v>
      </c>
      <c r="EZ267" s="179">
        <f t="shared" si="1522"/>
        <v>0</v>
      </c>
      <c r="FA267" s="9">
        <v>632</v>
      </c>
      <c r="FB267" s="18" t="s">
        <v>238</v>
      </c>
      <c r="FC267" s="18" t="s">
        <v>238</v>
      </c>
      <c r="FD267" s="324">
        <f t="shared" si="1523"/>
        <v>632</v>
      </c>
      <c r="FE267" s="321">
        <f t="shared" si="1524"/>
        <v>632</v>
      </c>
      <c r="FF267" s="179">
        <f t="shared" si="1525"/>
        <v>0</v>
      </c>
      <c r="FG267" s="9">
        <v>632</v>
      </c>
      <c r="FH267" s="9">
        <v>0</v>
      </c>
      <c r="FI267" s="9">
        <v>0</v>
      </c>
      <c r="FJ267" s="324">
        <f t="shared" si="1526"/>
        <v>632</v>
      </c>
      <c r="FK267" s="321">
        <f t="shared" si="1527"/>
        <v>632</v>
      </c>
      <c r="FL267" s="179">
        <f t="shared" si="1528"/>
        <v>0</v>
      </c>
      <c r="FM267" s="9">
        <v>632</v>
      </c>
      <c r="FN267" s="9">
        <v>0</v>
      </c>
      <c r="FO267" s="9">
        <v>0</v>
      </c>
      <c r="FP267" s="324">
        <f t="shared" si="1529"/>
        <v>632</v>
      </c>
      <c r="FQ267" s="321">
        <f t="shared" si="1530"/>
        <v>632</v>
      </c>
      <c r="FR267" s="179">
        <f t="shared" si="1531"/>
        <v>0</v>
      </c>
      <c r="FS267" s="9">
        <v>632</v>
      </c>
      <c r="FT267" s="9">
        <v>0</v>
      </c>
      <c r="FU267" s="9">
        <v>0</v>
      </c>
      <c r="FV267" s="324">
        <f t="shared" si="1532"/>
        <v>632</v>
      </c>
      <c r="FW267" s="321">
        <f t="shared" si="1533"/>
        <v>632</v>
      </c>
      <c r="FX267" s="179">
        <f t="shared" si="1534"/>
        <v>0</v>
      </c>
      <c r="FY267" s="9">
        <v>632</v>
      </c>
      <c r="FZ267" s="9">
        <v>0</v>
      </c>
      <c r="GA267" s="9">
        <v>0</v>
      </c>
      <c r="GB267" s="324">
        <f t="shared" si="1535"/>
        <v>632</v>
      </c>
      <c r="GC267" s="321">
        <f t="shared" si="1536"/>
        <v>632</v>
      </c>
      <c r="GD267" s="179">
        <f t="shared" si="1537"/>
        <v>0</v>
      </c>
      <c r="GE267" s="9">
        <v>632</v>
      </c>
      <c r="GF267" s="9">
        <v>0</v>
      </c>
      <c r="GG267" s="9">
        <v>0</v>
      </c>
      <c r="GH267" s="324">
        <f t="shared" si="1538"/>
        <v>632</v>
      </c>
      <c r="GI267" s="321">
        <f t="shared" si="1539"/>
        <v>632</v>
      </c>
      <c r="GJ267" s="179">
        <f t="shared" si="1540"/>
        <v>0</v>
      </c>
      <c r="GK267" s="9">
        <v>632</v>
      </c>
      <c r="GL267" s="9">
        <v>0</v>
      </c>
      <c r="GM267" s="9">
        <v>0</v>
      </c>
      <c r="GN267" s="324">
        <f t="shared" si="1541"/>
        <v>632</v>
      </c>
      <c r="GO267" s="321">
        <f t="shared" si="1542"/>
        <v>632</v>
      </c>
      <c r="GP267" s="179">
        <f t="shared" si="1543"/>
        <v>0</v>
      </c>
      <c r="GQ267" s="9">
        <v>632</v>
      </c>
      <c r="GR267" s="9">
        <v>0</v>
      </c>
      <c r="GS267" s="9">
        <v>0</v>
      </c>
      <c r="GT267" s="324">
        <f t="shared" si="1544"/>
        <v>632</v>
      </c>
      <c r="GU267" s="321">
        <f t="shared" si="1545"/>
        <v>632</v>
      </c>
      <c r="GV267" s="179">
        <f t="shared" si="1546"/>
        <v>0</v>
      </c>
      <c r="GW267" s="9">
        <v>663</v>
      </c>
      <c r="GX267" s="9">
        <v>0</v>
      </c>
      <c r="GY267" s="9">
        <v>0</v>
      </c>
      <c r="GZ267" s="324">
        <f t="shared" si="1547"/>
        <v>663</v>
      </c>
      <c r="HA267" s="321">
        <f t="shared" si="1548"/>
        <v>663</v>
      </c>
      <c r="HB267" s="179">
        <f t="shared" si="1549"/>
        <v>31</v>
      </c>
      <c r="HC267" s="102">
        <f t="shared" si="1550"/>
        <v>4.4942649072721973E-5</v>
      </c>
      <c r="HD267" s="285">
        <f t="shared" si="1551"/>
        <v>0</v>
      </c>
      <c r="HE267" s="12">
        <f t="shared" si="1552"/>
        <v>31.6</v>
      </c>
      <c r="HF267" s="12">
        <f t="shared" si="1553"/>
        <v>0.60000000000000142</v>
      </c>
      <c r="HG267" s="12">
        <f t="shared" si="1554"/>
        <v>31</v>
      </c>
      <c r="HH267" s="14">
        <f t="shared" si="1555"/>
        <v>31</v>
      </c>
      <c r="HI267" s="13">
        <f t="shared" si="1556"/>
        <v>663</v>
      </c>
      <c r="HJ267" s="102">
        <f t="shared" si="1557"/>
        <v>4.7147114454453593E-5</v>
      </c>
      <c r="HK267" s="16">
        <f t="shared" si="1558"/>
        <v>632</v>
      </c>
      <c r="HL267" s="103">
        <f t="shared" si="1559"/>
        <v>663.6</v>
      </c>
      <c r="HM267" s="103">
        <f t="shared" si="1560"/>
        <v>31.600000000000023</v>
      </c>
      <c r="HN267" s="17">
        <f t="shared" si="1561"/>
        <v>0.60000000000000142</v>
      </c>
      <c r="HO267" s="56">
        <f t="shared" si="1562"/>
        <v>31.000000000000021</v>
      </c>
      <c r="HP267" s="16">
        <f t="shared" si="1563"/>
        <v>0</v>
      </c>
      <c r="HQ267" s="16">
        <f t="shared" si="1564"/>
        <v>663</v>
      </c>
      <c r="HR267" s="16">
        <f t="shared" si="1565"/>
        <v>0</v>
      </c>
    </row>
    <row r="268" spans="1:226" x14ac:dyDescent="0.3">
      <c r="A268" s="326">
        <v>6</v>
      </c>
      <c r="B268" s="106"/>
      <c r="C268" s="326" t="s">
        <v>304</v>
      </c>
      <c r="D268" s="21" t="s">
        <v>50</v>
      </c>
      <c r="E268" s="4"/>
      <c r="F268" s="4"/>
      <c r="G268" s="4"/>
      <c r="H268" s="325"/>
      <c r="I268" s="325">
        <v>23554601</v>
      </c>
      <c r="J268" s="325"/>
      <c r="K268" s="325"/>
      <c r="L268" s="325">
        <v>23554601</v>
      </c>
      <c r="M268" s="6">
        <v>23554601</v>
      </c>
      <c r="N268" s="6">
        <v>23554601</v>
      </c>
      <c r="O268" s="7">
        <v>23554601</v>
      </c>
      <c r="P268" s="7">
        <v>23554601</v>
      </c>
      <c r="Q268" s="7">
        <v>23554601</v>
      </c>
      <c r="R268" s="7">
        <v>23554601</v>
      </c>
      <c r="S268" s="7">
        <v>23554601</v>
      </c>
      <c r="T268" s="7">
        <v>23554601</v>
      </c>
      <c r="U268" s="7">
        <f t="shared" si="1461"/>
        <v>1177730.05</v>
      </c>
      <c r="V268" s="7">
        <f t="shared" si="1462"/>
        <v>24732331.050000001</v>
      </c>
      <c r="W268" s="7">
        <v>24732331</v>
      </c>
      <c r="X268" s="7">
        <v>24732331</v>
      </c>
      <c r="Y268" s="7">
        <v>24732331</v>
      </c>
      <c r="Z268" s="7">
        <v>24732331</v>
      </c>
      <c r="AA268" s="7">
        <v>24732331</v>
      </c>
      <c r="AB268" s="7">
        <v>24732331</v>
      </c>
      <c r="AC268" s="4">
        <v>0</v>
      </c>
      <c r="AD268" s="4">
        <v>0</v>
      </c>
      <c r="AE268" s="7">
        <f t="shared" si="1463"/>
        <v>24732331</v>
      </c>
      <c r="AF268" s="7">
        <v>24732331</v>
      </c>
      <c r="AG268" s="4">
        <v>0</v>
      </c>
      <c r="AH268" s="4">
        <v>0</v>
      </c>
      <c r="AI268" s="7">
        <f t="shared" si="1464"/>
        <v>24732331</v>
      </c>
      <c r="AJ268" s="7">
        <v>24732331</v>
      </c>
      <c r="AK268" s="4">
        <v>0</v>
      </c>
      <c r="AL268" s="4">
        <v>0</v>
      </c>
      <c r="AM268" s="7">
        <f t="shared" si="1465"/>
        <v>24732331</v>
      </c>
      <c r="AN268" s="7">
        <v>24732331</v>
      </c>
      <c r="AO268" s="4">
        <v>0</v>
      </c>
      <c r="AP268" s="4">
        <v>0</v>
      </c>
      <c r="AQ268" s="7">
        <f t="shared" si="1466"/>
        <v>24732331</v>
      </c>
      <c r="AR268" s="7">
        <v>24732331</v>
      </c>
      <c r="AS268" s="4">
        <v>0</v>
      </c>
      <c r="AT268" s="4">
        <v>0</v>
      </c>
      <c r="AU268" s="7">
        <f t="shared" si="1467"/>
        <v>24732331</v>
      </c>
      <c r="AV268" s="7">
        <v>24732331</v>
      </c>
      <c r="AW268" s="4">
        <v>0</v>
      </c>
      <c r="AX268" s="4">
        <v>0</v>
      </c>
      <c r="AY268" s="7">
        <f t="shared" si="1468"/>
        <v>24732331</v>
      </c>
      <c r="AZ268" s="8">
        <f t="shared" si="1469"/>
        <v>1236616.55</v>
      </c>
      <c r="BA268" s="8">
        <v>0.55000000000000004</v>
      </c>
      <c r="BB268" s="8">
        <f t="shared" si="1470"/>
        <v>1236616</v>
      </c>
      <c r="BC268" s="8">
        <f t="shared" si="1471"/>
        <v>25968947</v>
      </c>
      <c r="BD268" s="8"/>
      <c r="BE268" s="8">
        <f t="shared" si="1472"/>
        <v>25968947</v>
      </c>
      <c r="BF268" s="10">
        <f t="shared" si="1473"/>
        <v>1236616</v>
      </c>
      <c r="BG268" s="11">
        <f t="shared" si="1474"/>
        <v>0</v>
      </c>
      <c r="BH268" s="324">
        <v>25968947</v>
      </c>
      <c r="BI268" s="319">
        <v>0</v>
      </c>
      <c r="BJ268" s="319">
        <v>0</v>
      </c>
      <c r="BK268" s="319">
        <f t="shared" si="1475"/>
        <v>25968947</v>
      </c>
      <c r="BL268" s="319">
        <v>25968947</v>
      </c>
      <c r="BM268" s="319">
        <v>0</v>
      </c>
      <c r="BN268" s="319">
        <v>0</v>
      </c>
      <c r="BO268" s="319">
        <f t="shared" si="1476"/>
        <v>25968947</v>
      </c>
      <c r="BP268" s="319">
        <f t="shared" si="1477"/>
        <v>0</v>
      </c>
      <c r="BQ268" s="319">
        <v>0</v>
      </c>
      <c r="BR268" s="319">
        <v>0</v>
      </c>
      <c r="BS268" s="319">
        <v>0</v>
      </c>
      <c r="BT268" s="319">
        <f t="shared" si="1478"/>
        <v>0</v>
      </c>
      <c r="BU268" s="319">
        <f t="shared" si="1479"/>
        <v>-25968947</v>
      </c>
      <c r="BV268" s="319">
        <v>0</v>
      </c>
      <c r="BW268" s="319">
        <v>0</v>
      </c>
      <c r="BX268" s="319">
        <v>0</v>
      </c>
      <c r="BY268" s="319">
        <f t="shared" si="1480"/>
        <v>0</v>
      </c>
      <c r="BZ268" s="319">
        <f t="shared" si="1481"/>
        <v>0</v>
      </c>
      <c r="CA268" s="319">
        <v>0</v>
      </c>
      <c r="CB268" s="319">
        <v>0</v>
      </c>
      <c r="CC268" s="319">
        <v>0</v>
      </c>
      <c r="CD268" s="319">
        <f t="shared" si="1482"/>
        <v>0</v>
      </c>
      <c r="CE268" s="319">
        <f t="shared" si="1483"/>
        <v>0</v>
      </c>
      <c r="CF268" s="319">
        <v>0</v>
      </c>
      <c r="CG268" s="319">
        <v>0</v>
      </c>
      <c r="CH268" s="319">
        <v>0</v>
      </c>
      <c r="CI268" s="319">
        <f t="shared" si="1484"/>
        <v>0</v>
      </c>
      <c r="CJ268" s="319">
        <f t="shared" si="1485"/>
        <v>0</v>
      </c>
      <c r="CK268" s="319">
        <v>0</v>
      </c>
      <c r="CL268" s="319">
        <v>0</v>
      </c>
      <c r="CM268" s="319">
        <v>0</v>
      </c>
      <c r="CN268" s="319">
        <f t="shared" si="1486"/>
        <v>0</v>
      </c>
      <c r="CO268" s="319">
        <f t="shared" si="1487"/>
        <v>0</v>
      </c>
      <c r="CP268" s="319">
        <v>0</v>
      </c>
      <c r="CQ268" s="319">
        <v>0</v>
      </c>
      <c r="CR268" s="319">
        <v>0</v>
      </c>
      <c r="CS268" s="319">
        <f t="shared" si="1488"/>
        <v>0</v>
      </c>
      <c r="CT268" s="319">
        <f t="shared" si="1489"/>
        <v>0</v>
      </c>
      <c r="CU268" s="319">
        <v>0</v>
      </c>
      <c r="CV268" s="319">
        <v>0</v>
      </c>
      <c r="CW268" s="319">
        <v>0</v>
      </c>
      <c r="CX268" s="319">
        <f t="shared" si="1490"/>
        <v>0</v>
      </c>
      <c r="CY268" s="319">
        <f t="shared" si="1491"/>
        <v>0</v>
      </c>
      <c r="CZ268" s="319"/>
      <c r="DA268" s="319"/>
      <c r="DB268" s="319"/>
      <c r="DC268" s="12">
        <f t="shared" si="1492"/>
        <v>0</v>
      </c>
      <c r="DD268" s="12">
        <v>0</v>
      </c>
      <c r="DE268" s="13">
        <f t="shared" si="1493"/>
        <v>0</v>
      </c>
      <c r="DF268" s="14">
        <f t="shared" si="1494"/>
        <v>0</v>
      </c>
      <c r="DG268" s="13">
        <f t="shared" si="1495"/>
        <v>0</v>
      </c>
      <c r="DH268" s="15">
        <f t="shared" si="1496"/>
        <v>0</v>
      </c>
      <c r="DI268" s="16">
        <f t="shared" si="1497"/>
        <v>0</v>
      </c>
      <c r="DJ268" s="132">
        <f t="shared" si="1498"/>
        <v>0</v>
      </c>
      <c r="DK268" s="17">
        <f t="shared" si="1499"/>
        <v>0</v>
      </c>
      <c r="DL268" s="17">
        <f t="shared" si="1500"/>
        <v>0</v>
      </c>
      <c r="DM268" s="16">
        <f t="shared" si="1501"/>
        <v>0</v>
      </c>
      <c r="DN268" s="16">
        <f t="shared" si="1502"/>
        <v>0</v>
      </c>
      <c r="DO268" s="16">
        <f t="shared" si="1503"/>
        <v>0</v>
      </c>
      <c r="DP268" s="16">
        <f t="shared" si="1504"/>
        <v>0</v>
      </c>
      <c r="DQ268" s="9">
        <v>0</v>
      </c>
      <c r="DR268" s="18" t="s">
        <v>238</v>
      </c>
      <c r="DS268" s="18" t="s">
        <v>238</v>
      </c>
      <c r="DT268" s="324">
        <f t="shared" si="1505"/>
        <v>0</v>
      </c>
      <c r="DU268" s="321">
        <f t="shared" si="1506"/>
        <v>0</v>
      </c>
      <c r="DV268" s="19">
        <f t="shared" si="1507"/>
        <v>0</v>
      </c>
      <c r="DW268" s="9">
        <v>0</v>
      </c>
      <c r="DX268" s="18"/>
      <c r="DY268" s="18"/>
      <c r="DZ268" s="324">
        <f t="shared" si="1508"/>
        <v>0</v>
      </c>
      <c r="EA268" s="321">
        <f t="shared" si="1509"/>
        <v>0</v>
      </c>
      <c r="EB268" s="179">
        <f t="shared" si="1510"/>
        <v>0</v>
      </c>
      <c r="EC268" s="9">
        <v>0</v>
      </c>
      <c r="ED268" s="18" t="s">
        <v>238</v>
      </c>
      <c r="EE268" s="18" t="s">
        <v>238</v>
      </c>
      <c r="EF268" s="324">
        <f t="shared" si="1511"/>
        <v>0</v>
      </c>
      <c r="EG268" s="321">
        <f t="shared" si="1512"/>
        <v>0</v>
      </c>
      <c r="EH268" s="179">
        <f t="shared" si="1513"/>
        <v>0</v>
      </c>
      <c r="EI268" s="9">
        <v>0</v>
      </c>
      <c r="EJ268" s="18" t="s">
        <v>238</v>
      </c>
      <c r="EK268" s="18" t="s">
        <v>238</v>
      </c>
      <c r="EL268" s="324">
        <f t="shared" si="1514"/>
        <v>0</v>
      </c>
      <c r="EM268" s="321">
        <f t="shared" si="1515"/>
        <v>0</v>
      </c>
      <c r="EN268" s="179">
        <f t="shared" si="1516"/>
        <v>0</v>
      </c>
      <c r="EO268" s="9">
        <v>0</v>
      </c>
      <c r="EP268" s="18" t="s">
        <v>238</v>
      </c>
      <c r="EQ268" s="18" t="s">
        <v>238</v>
      </c>
      <c r="ER268" s="324">
        <f t="shared" si="1517"/>
        <v>0</v>
      </c>
      <c r="ES268" s="321">
        <f t="shared" si="1518"/>
        <v>0</v>
      </c>
      <c r="ET268" s="179">
        <f t="shared" si="1519"/>
        <v>0</v>
      </c>
      <c r="EU268" s="9">
        <v>0</v>
      </c>
      <c r="EV268" s="18" t="s">
        <v>238</v>
      </c>
      <c r="EW268" s="18" t="s">
        <v>238</v>
      </c>
      <c r="EX268" s="324">
        <f t="shared" si="1520"/>
        <v>0</v>
      </c>
      <c r="EY268" s="321">
        <f t="shared" si="1521"/>
        <v>0</v>
      </c>
      <c r="EZ268" s="179">
        <f t="shared" si="1522"/>
        <v>0</v>
      </c>
      <c r="FA268" s="9">
        <v>0</v>
      </c>
      <c r="FB268" s="18" t="s">
        <v>238</v>
      </c>
      <c r="FC268" s="18" t="s">
        <v>238</v>
      </c>
      <c r="FD268" s="324">
        <f t="shared" si="1523"/>
        <v>0</v>
      </c>
      <c r="FE268" s="321">
        <f t="shared" si="1524"/>
        <v>0</v>
      </c>
      <c r="FF268" s="179">
        <f t="shared" si="1525"/>
        <v>0</v>
      </c>
      <c r="FG268" s="9">
        <v>0</v>
      </c>
      <c r="FH268" s="9">
        <v>0</v>
      </c>
      <c r="FI268" s="9">
        <v>0</v>
      </c>
      <c r="FJ268" s="324">
        <f t="shared" si="1526"/>
        <v>0</v>
      </c>
      <c r="FK268" s="321">
        <f t="shared" si="1527"/>
        <v>0</v>
      </c>
      <c r="FL268" s="179">
        <f t="shared" si="1528"/>
        <v>0</v>
      </c>
      <c r="FM268" s="9">
        <v>0</v>
      </c>
      <c r="FN268" s="9">
        <v>0</v>
      </c>
      <c r="FO268" s="9">
        <v>0</v>
      </c>
      <c r="FP268" s="324">
        <f t="shared" si="1529"/>
        <v>0</v>
      </c>
      <c r="FQ268" s="321">
        <f t="shared" si="1530"/>
        <v>0</v>
      </c>
      <c r="FR268" s="179">
        <f t="shared" si="1531"/>
        <v>0</v>
      </c>
      <c r="FS268" s="9">
        <v>0</v>
      </c>
      <c r="FT268" s="9">
        <v>0</v>
      </c>
      <c r="FU268" s="9">
        <v>0</v>
      </c>
      <c r="FV268" s="324">
        <f t="shared" si="1532"/>
        <v>0</v>
      </c>
      <c r="FW268" s="321">
        <f t="shared" si="1533"/>
        <v>0</v>
      </c>
      <c r="FX268" s="179">
        <f t="shared" si="1534"/>
        <v>0</v>
      </c>
      <c r="FY268" s="9">
        <v>0</v>
      </c>
      <c r="FZ268" s="9">
        <v>0</v>
      </c>
      <c r="GA268" s="9">
        <v>0</v>
      </c>
      <c r="GB268" s="324">
        <f t="shared" si="1535"/>
        <v>0</v>
      </c>
      <c r="GC268" s="321">
        <f t="shared" si="1536"/>
        <v>0</v>
      </c>
      <c r="GD268" s="179">
        <f t="shared" si="1537"/>
        <v>0</v>
      </c>
      <c r="GE268" s="9">
        <v>0</v>
      </c>
      <c r="GF268" s="9">
        <v>0</v>
      </c>
      <c r="GG268" s="9">
        <v>0</v>
      </c>
      <c r="GH268" s="324">
        <f t="shared" si="1538"/>
        <v>0</v>
      </c>
      <c r="GI268" s="321">
        <f t="shared" si="1539"/>
        <v>0</v>
      </c>
      <c r="GJ268" s="179">
        <f t="shared" si="1540"/>
        <v>0</v>
      </c>
      <c r="GK268" s="9">
        <v>0</v>
      </c>
      <c r="GL268" s="9">
        <v>0</v>
      </c>
      <c r="GM268" s="9">
        <v>0</v>
      </c>
      <c r="GN268" s="324">
        <f t="shared" si="1541"/>
        <v>0</v>
      </c>
      <c r="GO268" s="321">
        <f t="shared" si="1542"/>
        <v>0</v>
      </c>
      <c r="GP268" s="179">
        <f t="shared" si="1543"/>
        <v>0</v>
      </c>
      <c r="GQ268" s="9">
        <v>0</v>
      </c>
      <c r="GR268" s="9">
        <v>0</v>
      </c>
      <c r="GS268" s="9">
        <v>0</v>
      </c>
      <c r="GT268" s="324">
        <f t="shared" si="1544"/>
        <v>0</v>
      </c>
      <c r="GU268" s="321">
        <f t="shared" si="1545"/>
        <v>0</v>
      </c>
      <c r="GV268" s="179">
        <f t="shared" si="1546"/>
        <v>0</v>
      </c>
      <c r="GW268" s="9">
        <v>0</v>
      </c>
      <c r="GX268" s="9">
        <v>0</v>
      </c>
      <c r="GY268" s="9">
        <v>0</v>
      </c>
      <c r="GZ268" s="324">
        <f t="shared" si="1547"/>
        <v>0</v>
      </c>
      <c r="HA268" s="321">
        <f t="shared" si="1548"/>
        <v>0</v>
      </c>
      <c r="HB268" s="179">
        <f t="shared" si="1549"/>
        <v>0</v>
      </c>
      <c r="HC268" s="102">
        <f t="shared" si="1550"/>
        <v>0</v>
      </c>
      <c r="HD268" s="285">
        <f t="shared" si="1551"/>
        <v>0</v>
      </c>
      <c r="HE268" s="12">
        <f t="shared" si="1552"/>
        <v>0</v>
      </c>
      <c r="HF268" s="12">
        <f t="shared" si="1553"/>
        <v>0</v>
      </c>
      <c r="HG268" s="12">
        <f t="shared" si="1554"/>
        <v>0</v>
      </c>
      <c r="HH268" s="14">
        <f t="shared" si="1555"/>
        <v>0</v>
      </c>
      <c r="HI268" s="13">
        <f t="shared" si="1556"/>
        <v>0</v>
      </c>
      <c r="HJ268" s="102">
        <f t="shared" si="1557"/>
        <v>0</v>
      </c>
      <c r="HK268" s="16">
        <f t="shared" si="1558"/>
        <v>0</v>
      </c>
      <c r="HL268" s="103">
        <f t="shared" si="1559"/>
        <v>0</v>
      </c>
      <c r="HM268" s="103">
        <f t="shared" si="1560"/>
        <v>0</v>
      </c>
      <c r="HN268" s="17">
        <f t="shared" si="1561"/>
        <v>0</v>
      </c>
      <c r="HO268" s="56">
        <f t="shared" si="1562"/>
        <v>0</v>
      </c>
      <c r="HP268" s="16">
        <f t="shared" si="1563"/>
        <v>0</v>
      </c>
      <c r="HQ268" s="16">
        <f t="shared" si="1564"/>
        <v>0</v>
      </c>
      <c r="HR268" s="16">
        <f t="shared" si="1565"/>
        <v>0</v>
      </c>
    </row>
    <row r="269" spans="1:226" x14ac:dyDescent="0.3">
      <c r="A269" s="140"/>
      <c r="B269" s="140"/>
      <c r="C269" s="140"/>
      <c r="D269" s="141" t="s">
        <v>216</v>
      </c>
      <c r="E269" s="139"/>
      <c r="F269" s="121">
        <f t="shared" ref="F269:BQ269" si="1566">SUM(F263:F268)</f>
        <v>0</v>
      </c>
      <c r="G269" s="121">
        <f t="shared" si="1566"/>
        <v>0</v>
      </c>
      <c r="H269" s="121">
        <f t="shared" si="1566"/>
        <v>0</v>
      </c>
      <c r="I269" s="121">
        <f t="shared" si="1566"/>
        <v>25245566</v>
      </c>
      <c r="J269" s="121">
        <f t="shared" si="1566"/>
        <v>0</v>
      </c>
      <c r="K269" s="121">
        <f t="shared" si="1566"/>
        <v>0</v>
      </c>
      <c r="L269" s="121">
        <f t="shared" si="1566"/>
        <v>25245566</v>
      </c>
      <c r="M269" s="121">
        <f t="shared" si="1566"/>
        <v>25245566</v>
      </c>
      <c r="N269" s="121">
        <f t="shared" si="1566"/>
        <v>25245566</v>
      </c>
      <c r="O269" s="121">
        <f t="shared" si="1566"/>
        <v>25245566</v>
      </c>
      <c r="P269" s="121">
        <f t="shared" si="1566"/>
        <v>25245566</v>
      </c>
      <c r="Q269" s="121">
        <f t="shared" si="1566"/>
        <v>25245566</v>
      </c>
      <c r="R269" s="121">
        <f t="shared" si="1566"/>
        <v>25245566</v>
      </c>
      <c r="S269" s="121">
        <f t="shared" si="1566"/>
        <v>25245566</v>
      </c>
      <c r="T269" s="121">
        <f t="shared" si="1566"/>
        <v>25245566</v>
      </c>
      <c r="U269" s="121">
        <f t="shared" si="1566"/>
        <v>1262278.3</v>
      </c>
      <c r="V269" s="121">
        <f t="shared" si="1566"/>
        <v>26507844.300000001</v>
      </c>
      <c r="W269" s="121">
        <f t="shared" si="1566"/>
        <v>26507843</v>
      </c>
      <c r="X269" s="121">
        <f t="shared" si="1566"/>
        <v>26507843</v>
      </c>
      <c r="Y269" s="121">
        <f t="shared" si="1566"/>
        <v>26507843</v>
      </c>
      <c r="Z269" s="121">
        <f t="shared" si="1566"/>
        <v>26507843</v>
      </c>
      <c r="AA269" s="121">
        <f t="shared" si="1566"/>
        <v>26507843</v>
      </c>
      <c r="AB269" s="121">
        <f t="shared" si="1566"/>
        <v>26507843</v>
      </c>
      <c r="AC269" s="121">
        <f t="shared" si="1566"/>
        <v>0</v>
      </c>
      <c r="AD269" s="121">
        <f t="shared" si="1566"/>
        <v>0</v>
      </c>
      <c r="AE269" s="121">
        <f t="shared" si="1566"/>
        <v>26507843</v>
      </c>
      <c r="AF269" s="121">
        <f t="shared" si="1566"/>
        <v>26507843</v>
      </c>
      <c r="AG269" s="121">
        <f t="shared" si="1566"/>
        <v>0</v>
      </c>
      <c r="AH269" s="121">
        <f t="shared" si="1566"/>
        <v>0</v>
      </c>
      <c r="AI269" s="121">
        <f t="shared" si="1566"/>
        <v>26507843</v>
      </c>
      <c r="AJ269" s="121">
        <f t="shared" si="1566"/>
        <v>26507843</v>
      </c>
      <c r="AK269" s="121">
        <f t="shared" si="1566"/>
        <v>0</v>
      </c>
      <c r="AL269" s="121">
        <f t="shared" si="1566"/>
        <v>0</v>
      </c>
      <c r="AM269" s="121">
        <f t="shared" si="1566"/>
        <v>26507843</v>
      </c>
      <c r="AN269" s="121">
        <f t="shared" si="1566"/>
        <v>26507843</v>
      </c>
      <c r="AO269" s="121">
        <f t="shared" si="1566"/>
        <v>0</v>
      </c>
      <c r="AP269" s="121">
        <f t="shared" si="1566"/>
        <v>0</v>
      </c>
      <c r="AQ269" s="121">
        <f t="shared" si="1566"/>
        <v>26507843</v>
      </c>
      <c r="AR269" s="121">
        <f t="shared" si="1566"/>
        <v>26507843</v>
      </c>
      <c r="AS269" s="121">
        <f t="shared" si="1566"/>
        <v>0</v>
      </c>
      <c r="AT269" s="121">
        <f t="shared" si="1566"/>
        <v>0</v>
      </c>
      <c r="AU269" s="121">
        <f t="shared" si="1566"/>
        <v>26507843</v>
      </c>
      <c r="AV269" s="121">
        <f t="shared" si="1566"/>
        <v>26507843</v>
      </c>
      <c r="AW269" s="121">
        <f t="shared" si="1566"/>
        <v>0</v>
      </c>
      <c r="AX269" s="121">
        <f t="shared" si="1566"/>
        <v>0</v>
      </c>
      <c r="AY269" s="121">
        <f t="shared" si="1566"/>
        <v>26507843</v>
      </c>
      <c r="AZ269" s="121">
        <f t="shared" si="1566"/>
        <v>1325392.1500000001</v>
      </c>
      <c r="BA269" s="121">
        <f t="shared" si="1566"/>
        <v>4.1500000000000004</v>
      </c>
      <c r="BB269" s="121">
        <f t="shared" si="1566"/>
        <v>1325388</v>
      </c>
      <c r="BC269" s="121">
        <f t="shared" si="1566"/>
        <v>27833231</v>
      </c>
      <c r="BD269" s="121">
        <f t="shared" si="1566"/>
        <v>0</v>
      </c>
      <c r="BE269" s="121">
        <f t="shared" si="1566"/>
        <v>27833231</v>
      </c>
      <c r="BF269" s="121">
        <f t="shared" si="1566"/>
        <v>1325388</v>
      </c>
      <c r="BG269" s="121">
        <f t="shared" si="1566"/>
        <v>0</v>
      </c>
      <c r="BH269" s="121">
        <f t="shared" si="1566"/>
        <v>27835231</v>
      </c>
      <c r="BI269" s="121">
        <f t="shared" si="1566"/>
        <v>0</v>
      </c>
      <c r="BJ269" s="121">
        <f t="shared" si="1566"/>
        <v>0</v>
      </c>
      <c r="BK269" s="121">
        <f t="shared" si="1566"/>
        <v>27835231</v>
      </c>
      <c r="BL269" s="121">
        <f t="shared" si="1566"/>
        <v>27835231</v>
      </c>
      <c r="BM269" s="121">
        <f t="shared" si="1566"/>
        <v>0</v>
      </c>
      <c r="BN269" s="121">
        <f t="shared" si="1566"/>
        <v>0</v>
      </c>
      <c r="BO269" s="121">
        <f t="shared" si="1566"/>
        <v>27835231</v>
      </c>
      <c r="BP269" s="121">
        <f t="shared" si="1566"/>
        <v>0</v>
      </c>
      <c r="BQ269" s="121">
        <f t="shared" si="1566"/>
        <v>17019836</v>
      </c>
      <c r="BR269" s="121">
        <f t="shared" ref="BR269:EC269" si="1567">SUM(BR263:BR268)</f>
        <v>0</v>
      </c>
      <c r="BS269" s="121">
        <f t="shared" si="1567"/>
        <v>0</v>
      </c>
      <c r="BT269" s="121">
        <f t="shared" si="1567"/>
        <v>17019836</v>
      </c>
      <c r="BU269" s="121">
        <f t="shared" si="1567"/>
        <v>-10815395</v>
      </c>
      <c r="BV269" s="121">
        <f t="shared" si="1567"/>
        <v>17019836</v>
      </c>
      <c r="BW269" s="121">
        <f t="shared" si="1567"/>
        <v>0</v>
      </c>
      <c r="BX269" s="121">
        <f t="shared" si="1567"/>
        <v>0</v>
      </c>
      <c r="BY269" s="121">
        <f t="shared" si="1567"/>
        <v>17019836</v>
      </c>
      <c r="BZ269" s="121">
        <f t="shared" si="1567"/>
        <v>0</v>
      </c>
      <c r="CA269" s="121">
        <f t="shared" si="1567"/>
        <v>17019836</v>
      </c>
      <c r="CB269" s="121">
        <f t="shared" si="1567"/>
        <v>0</v>
      </c>
      <c r="CC269" s="121">
        <f t="shared" si="1567"/>
        <v>0</v>
      </c>
      <c r="CD269" s="121">
        <f t="shared" si="1567"/>
        <v>17019836</v>
      </c>
      <c r="CE269" s="121">
        <f t="shared" si="1567"/>
        <v>0</v>
      </c>
      <c r="CF269" s="121">
        <f t="shared" si="1567"/>
        <v>17019836</v>
      </c>
      <c r="CG269" s="121">
        <f t="shared" si="1567"/>
        <v>0</v>
      </c>
      <c r="CH269" s="121">
        <f t="shared" si="1567"/>
        <v>0</v>
      </c>
      <c r="CI269" s="121">
        <f t="shared" si="1567"/>
        <v>17019836</v>
      </c>
      <c r="CJ269" s="121">
        <f t="shared" si="1567"/>
        <v>0</v>
      </c>
      <c r="CK269" s="121">
        <f t="shared" si="1567"/>
        <v>17019836</v>
      </c>
      <c r="CL269" s="121">
        <f t="shared" si="1567"/>
        <v>0</v>
      </c>
      <c r="CM269" s="121">
        <f t="shared" si="1567"/>
        <v>0</v>
      </c>
      <c r="CN269" s="121">
        <f t="shared" si="1567"/>
        <v>17019836</v>
      </c>
      <c r="CO269" s="121">
        <f t="shared" si="1567"/>
        <v>0</v>
      </c>
      <c r="CP269" s="121">
        <f t="shared" si="1567"/>
        <v>17019836</v>
      </c>
      <c r="CQ269" s="121">
        <f t="shared" si="1567"/>
        <v>0</v>
      </c>
      <c r="CR269" s="121">
        <f t="shared" si="1567"/>
        <v>0</v>
      </c>
      <c r="CS269" s="121">
        <f t="shared" si="1567"/>
        <v>17019836</v>
      </c>
      <c r="CT269" s="121">
        <f t="shared" si="1567"/>
        <v>0</v>
      </c>
      <c r="CU269" s="121">
        <f t="shared" si="1567"/>
        <v>17019836</v>
      </c>
      <c r="CV269" s="121">
        <f t="shared" si="1567"/>
        <v>0</v>
      </c>
      <c r="CW269" s="121">
        <f t="shared" si="1567"/>
        <v>0</v>
      </c>
      <c r="CX269" s="121">
        <f t="shared" si="1567"/>
        <v>17019836</v>
      </c>
      <c r="CY269" s="121">
        <f t="shared" si="1567"/>
        <v>0</v>
      </c>
      <c r="CZ269" s="121">
        <f t="shared" si="1567"/>
        <v>0</v>
      </c>
      <c r="DA269" s="121">
        <f t="shared" si="1567"/>
        <v>0</v>
      </c>
      <c r="DB269" s="121">
        <f t="shared" si="1567"/>
        <v>0</v>
      </c>
      <c r="DC269" s="121">
        <f t="shared" si="1567"/>
        <v>1701983.6</v>
      </c>
      <c r="DD269" s="121">
        <f t="shared" si="1567"/>
        <v>1.6</v>
      </c>
      <c r="DE269" s="121">
        <f t="shared" si="1567"/>
        <v>1701982</v>
      </c>
      <c r="DF269" s="121">
        <f t="shared" si="1567"/>
        <v>1701982</v>
      </c>
      <c r="DG269" s="121">
        <f t="shared" si="1567"/>
        <v>18721818</v>
      </c>
      <c r="DH269" s="121">
        <f t="shared" si="1567"/>
        <v>1.331342038426595</v>
      </c>
      <c r="DI269" s="121">
        <f t="shared" si="1567"/>
        <v>17019836</v>
      </c>
      <c r="DJ269" s="121">
        <f t="shared" si="1567"/>
        <v>18721819.600000001</v>
      </c>
      <c r="DK269" s="121">
        <f t="shared" si="1567"/>
        <v>1701983.6000000013</v>
      </c>
      <c r="DL269" s="121">
        <f t="shared" si="1567"/>
        <v>1.6</v>
      </c>
      <c r="DM269" s="121">
        <f t="shared" si="1567"/>
        <v>1701982.0000000014</v>
      </c>
      <c r="DN269" s="121">
        <f t="shared" si="1567"/>
        <v>5.2386894822120667E-10</v>
      </c>
      <c r="DO269" s="121">
        <f t="shared" si="1567"/>
        <v>18721818</v>
      </c>
      <c r="DP269" s="121">
        <f t="shared" si="1567"/>
        <v>0</v>
      </c>
      <c r="DQ269" s="121">
        <f t="shared" si="1567"/>
        <v>18721818</v>
      </c>
      <c r="DR269" s="121">
        <f t="shared" si="1567"/>
        <v>0</v>
      </c>
      <c r="DS269" s="121">
        <f t="shared" si="1567"/>
        <v>0</v>
      </c>
      <c r="DT269" s="121">
        <f t="shared" si="1567"/>
        <v>18721818</v>
      </c>
      <c r="DU269" s="121">
        <f t="shared" si="1567"/>
        <v>18721818</v>
      </c>
      <c r="DV269" s="121">
        <f t="shared" si="1567"/>
        <v>0</v>
      </c>
      <c r="DW269" s="121">
        <f t="shared" si="1567"/>
        <v>18721818</v>
      </c>
      <c r="DX269" s="121">
        <f t="shared" si="1567"/>
        <v>0</v>
      </c>
      <c r="DY269" s="121">
        <f t="shared" si="1567"/>
        <v>0</v>
      </c>
      <c r="DZ269" s="121">
        <f t="shared" si="1567"/>
        <v>18721818</v>
      </c>
      <c r="EA269" s="121">
        <f t="shared" si="1567"/>
        <v>18721818</v>
      </c>
      <c r="EB269" s="121">
        <f t="shared" si="1567"/>
        <v>0</v>
      </c>
      <c r="EC269" s="121">
        <f t="shared" si="1567"/>
        <v>18721818</v>
      </c>
      <c r="ED269" s="121">
        <f t="shared" ref="ED269:FL269" si="1568">SUM(ED263:ED268)</f>
        <v>0</v>
      </c>
      <c r="EE269" s="121">
        <f t="shared" si="1568"/>
        <v>0</v>
      </c>
      <c r="EF269" s="121">
        <f t="shared" si="1568"/>
        <v>18721818</v>
      </c>
      <c r="EG269" s="121">
        <f t="shared" si="1568"/>
        <v>18721818</v>
      </c>
      <c r="EH269" s="121">
        <f t="shared" si="1568"/>
        <v>0</v>
      </c>
      <c r="EI269" s="121">
        <f t="shared" si="1568"/>
        <v>18721818</v>
      </c>
      <c r="EJ269" s="121">
        <f t="shared" si="1568"/>
        <v>0</v>
      </c>
      <c r="EK269" s="121">
        <f t="shared" si="1568"/>
        <v>0</v>
      </c>
      <c r="EL269" s="121">
        <f t="shared" si="1568"/>
        <v>18721818</v>
      </c>
      <c r="EM269" s="121">
        <f t="shared" si="1568"/>
        <v>18721818</v>
      </c>
      <c r="EN269" s="121">
        <f t="shared" si="1568"/>
        <v>0</v>
      </c>
      <c r="EO269" s="121">
        <f t="shared" si="1568"/>
        <v>18721818</v>
      </c>
      <c r="EP269" s="121">
        <f t="shared" si="1568"/>
        <v>0</v>
      </c>
      <c r="EQ269" s="121">
        <f t="shared" si="1568"/>
        <v>0</v>
      </c>
      <c r="ER269" s="121">
        <f t="shared" si="1568"/>
        <v>18721818</v>
      </c>
      <c r="ES269" s="121">
        <f t="shared" si="1568"/>
        <v>18721818</v>
      </c>
      <c r="ET269" s="121">
        <f t="shared" si="1568"/>
        <v>0</v>
      </c>
      <c r="EU269" s="121">
        <f t="shared" si="1568"/>
        <v>18721818</v>
      </c>
      <c r="EV269" s="121">
        <f t="shared" si="1568"/>
        <v>0</v>
      </c>
      <c r="EW269" s="121">
        <f t="shared" si="1568"/>
        <v>0</v>
      </c>
      <c r="EX269" s="121">
        <f t="shared" si="1568"/>
        <v>18721818</v>
      </c>
      <c r="EY269" s="121">
        <f t="shared" si="1568"/>
        <v>18721818</v>
      </c>
      <c r="EZ269" s="121">
        <f t="shared" si="1568"/>
        <v>0</v>
      </c>
      <c r="FA269" s="121">
        <f t="shared" si="1568"/>
        <v>18721818</v>
      </c>
      <c r="FB269" s="121">
        <f t="shared" si="1568"/>
        <v>0</v>
      </c>
      <c r="FC269" s="121">
        <f t="shared" si="1568"/>
        <v>0</v>
      </c>
      <c r="FD269" s="121">
        <f t="shared" si="1568"/>
        <v>18721818</v>
      </c>
      <c r="FE269" s="121">
        <f t="shared" si="1568"/>
        <v>18721818</v>
      </c>
      <c r="FF269" s="121">
        <f t="shared" si="1568"/>
        <v>0</v>
      </c>
      <c r="FG269" s="121">
        <f t="shared" si="1568"/>
        <v>18721818</v>
      </c>
      <c r="FH269" s="121">
        <f t="shared" si="1568"/>
        <v>0</v>
      </c>
      <c r="FI269" s="121">
        <f t="shared" si="1568"/>
        <v>0</v>
      </c>
      <c r="FJ269" s="121">
        <f t="shared" si="1568"/>
        <v>18721818</v>
      </c>
      <c r="FK269" s="121">
        <f t="shared" si="1568"/>
        <v>18721818</v>
      </c>
      <c r="FL269" s="121">
        <f t="shared" si="1568"/>
        <v>0</v>
      </c>
      <c r="FM269" s="121">
        <f t="shared" ref="FM269:FR269" si="1569">SUM(FM263:FM268)</f>
        <v>18721818</v>
      </c>
      <c r="FN269" s="121">
        <f t="shared" si="1569"/>
        <v>0</v>
      </c>
      <c r="FO269" s="121">
        <f t="shared" si="1569"/>
        <v>0</v>
      </c>
      <c r="FP269" s="121">
        <f t="shared" si="1569"/>
        <v>18721818</v>
      </c>
      <c r="FQ269" s="121">
        <f t="shared" si="1569"/>
        <v>18721818</v>
      </c>
      <c r="FR269" s="121">
        <f t="shared" si="1569"/>
        <v>0</v>
      </c>
      <c r="FS269" s="121">
        <f t="shared" ref="FS269:FX269" si="1570">SUM(FS263:FS268)</f>
        <v>18721818</v>
      </c>
      <c r="FT269" s="121">
        <f t="shared" si="1570"/>
        <v>0</v>
      </c>
      <c r="FU269" s="121">
        <f t="shared" si="1570"/>
        <v>0</v>
      </c>
      <c r="FV269" s="121">
        <f t="shared" si="1570"/>
        <v>18721818</v>
      </c>
      <c r="FW269" s="121">
        <f t="shared" si="1570"/>
        <v>18721818</v>
      </c>
      <c r="FX269" s="121">
        <f t="shared" si="1570"/>
        <v>0</v>
      </c>
      <c r="FY269" s="121">
        <f t="shared" ref="FY269:GD269" si="1571">SUM(FY263:FY268)</f>
        <v>18721818</v>
      </c>
      <c r="FZ269" s="121">
        <f t="shared" si="1571"/>
        <v>0</v>
      </c>
      <c r="GA269" s="121">
        <f t="shared" si="1571"/>
        <v>0</v>
      </c>
      <c r="GB269" s="121">
        <f t="shared" si="1571"/>
        <v>18721818</v>
      </c>
      <c r="GC269" s="121">
        <f t="shared" si="1571"/>
        <v>18721818</v>
      </c>
      <c r="GD269" s="121">
        <f t="shared" si="1571"/>
        <v>0</v>
      </c>
      <c r="GE269" s="121">
        <f t="shared" ref="GE269:GJ269" si="1572">SUM(GE263:GE268)</f>
        <v>18721818</v>
      </c>
      <c r="GF269" s="121">
        <f t="shared" si="1572"/>
        <v>0</v>
      </c>
      <c r="GG269" s="121">
        <f t="shared" si="1572"/>
        <v>0</v>
      </c>
      <c r="GH269" s="121">
        <f t="shared" si="1572"/>
        <v>18721818</v>
      </c>
      <c r="GI269" s="121">
        <f t="shared" si="1572"/>
        <v>18721818</v>
      </c>
      <c r="GJ269" s="121">
        <f t="shared" si="1572"/>
        <v>0</v>
      </c>
      <c r="GK269" s="121">
        <f t="shared" ref="GK269:GP269" si="1573">SUM(GK263:GK268)</f>
        <v>18721818</v>
      </c>
      <c r="GL269" s="121">
        <f t="shared" si="1573"/>
        <v>0</v>
      </c>
      <c r="GM269" s="121">
        <f t="shared" si="1573"/>
        <v>0</v>
      </c>
      <c r="GN269" s="121">
        <f t="shared" si="1573"/>
        <v>18721818</v>
      </c>
      <c r="GO269" s="121">
        <f t="shared" si="1573"/>
        <v>18721818</v>
      </c>
      <c r="GP269" s="121">
        <f t="shared" si="1573"/>
        <v>0</v>
      </c>
      <c r="GQ269" s="121">
        <f t="shared" ref="GQ269:GV269" si="1574">SUM(GQ263:GQ268)</f>
        <v>18721818</v>
      </c>
      <c r="GR269" s="121">
        <f t="shared" si="1574"/>
        <v>0</v>
      </c>
      <c r="GS269" s="121">
        <f t="shared" si="1574"/>
        <v>0</v>
      </c>
      <c r="GT269" s="121">
        <f t="shared" si="1574"/>
        <v>18721818</v>
      </c>
      <c r="GU269" s="121">
        <f t="shared" si="1574"/>
        <v>18721818</v>
      </c>
      <c r="GV269" s="121">
        <f t="shared" si="1574"/>
        <v>0</v>
      </c>
      <c r="GW269" s="121">
        <f t="shared" ref="GW269:HB269" si="1575">SUM(GW263:GW268)</f>
        <v>19657906</v>
      </c>
      <c r="GX269" s="121">
        <f t="shared" si="1575"/>
        <v>0</v>
      </c>
      <c r="GY269" s="121">
        <f t="shared" si="1575"/>
        <v>0</v>
      </c>
      <c r="GZ269" s="121">
        <f t="shared" si="1575"/>
        <v>19657906</v>
      </c>
      <c r="HA269" s="121">
        <f t="shared" si="1575"/>
        <v>19657906</v>
      </c>
      <c r="HB269" s="121">
        <f t="shared" si="1575"/>
        <v>936088</v>
      </c>
      <c r="HC269" s="121">
        <f>SUM(HC263:HC268)</f>
        <v>1.3313419246477367</v>
      </c>
    </row>
    <row r="270" spans="1:226" x14ac:dyDescent="0.3">
      <c r="A270" s="98"/>
      <c r="B270" s="98"/>
      <c r="C270" s="98"/>
      <c r="D270" s="99"/>
      <c r="E270" s="108"/>
      <c r="F270" s="108"/>
      <c r="G270" s="108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127">
        <f>AY269*10*5%</f>
        <v>13253921.5</v>
      </c>
      <c r="AZ270" s="20"/>
      <c r="BA270" s="20"/>
      <c r="BB270" s="20"/>
      <c r="BC270" s="20"/>
      <c r="BD270" s="20"/>
      <c r="BE270" s="20"/>
      <c r="BF270" s="100"/>
      <c r="BG270" s="100"/>
      <c r="BH270" s="100"/>
      <c r="BI270" s="100"/>
      <c r="BJ270" s="100"/>
      <c r="BK270" s="100"/>
      <c r="BL270" s="100"/>
      <c r="BM270" s="100"/>
      <c r="BN270" s="100"/>
      <c r="BO270" s="100"/>
      <c r="BP270" s="100"/>
      <c r="BQ270" s="100"/>
      <c r="BR270" s="100"/>
      <c r="BS270" s="100"/>
      <c r="BT270" s="100"/>
      <c r="BU270" s="100"/>
      <c r="BV270" s="100"/>
      <c r="BW270" s="100"/>
      <c r="BX270" s="100"/>
      <c r="BY270" s="100"/>
      <c r="BZ270" s="100"/>
      <c r="CA270" s="100"/>
      <c r="CB270" s="100"/>
      <c r="CC270" s="100"/>
      <c r="CD270" s="100"/>
      <c r="CE270" s="100"/>
      <c r="CF270" s="100"/>
      <c r="CG270" s="100"/>
      <c r="CH270" s="100"/>
      <c r="CI270" s="100"/>
      <c r="CJ270" s="100"/>
      <c r="CK270" s="100"/>
      <c r="CL270" s="100"/>
      <c r="CM270" s="100"/>
      <c r="CN270" s="100"/>
      <c r="CO270" s="100"/>
      <c r="CP270" s="100"/>
      <c r="CQ270" s="100"/>
      <c r="CR270" s="100"/>
      <c r="CS270" s="100"/>
      <c r="CT270" s="100"/>
      <c r="CU270" s="100"/>
      <c r="CV270" s="100"/>
      <c r="CW270" s="100"/>
      <c r="CX270" s="100"/>
      <c r="CY270" s="100"/>
      <c r="CZ270" s="100"/>
      <c r="DA270" s="100"/>
      <c r="DB270" s="100"/>
      <c r="DC270" s="100"/>
      <c r="DD270" s="100"/>
      <c r="DE270" s="100"/>
      <c r="DF270" s="100"/>
      <c r="DG270" s="100"/>
      <c r="DH270" s="114"/>
    </row>
    <row r="271" spans="1:226" x14ac:dyDescent="0.3">
      <c r="A271" s="98"/>
      <c r="B271" s="98"/>
      <c r="C271" s="98"/>
      <c r="D271" s="99"/>
      <c r="E271" s="108"/>
      <c r="F271" s="108"/>
      <c r="G271" s="108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  <c r="BB271" s="20"/>
      <c r="BC271" s="20"/>
      <c r="BD271" s="20"/>
      <c r="BE271" s="20"/>
      <c r="BF271" s="100"/>
      <c r="BG271" s="100"/>
      <c r="BH271" s="100"/>
      <c r="BI271" s="100"/>
      <c r="BJ271" s="100"/>
      <c r="BK271" s="100"/>
      <c r="BL271" s="100"/>
      <c r="BM271" s="100"/>
      <c r="BN271" s="100"/>
      <c r="BO271" s="100"/>
      <c r="BP271" s="100"/>
      <c r="BQ271" s="100"/>
      <c r="BR271" s="100"/>
      <c r="BS271" s="100"/>
      <c r="BT271" s="100"/>
      <c r="BU271" s="100"/>
      <c r="BV271" s="100"/>
      <c r="BW271" s="100"/>
      <c r="BX271" s="100"/>
      <c r="BY271" s="100"/>
      <c r="BZ271" s="100"/>
      <c r="CA271" s="100"/>
      <c r="CB271" s="100"/>
      <c r="CC271" s="100"/>
      <c r="CD271" s="100"/>
      <c r="CE271" s="100"/>
      <c r="CF271" s="100"/>
      <c r="CG271" s="100"/>
      <c r="CH271" s="100"/>
      <c r="CI271" s="100"/>
      <c r="CJ271" s="100"/>
      <c r="CK271" s="100"/>
      <c r="CL271" s="100"/>
      <c r="CM271" s="100"/>
      <c r="CN271" s="100"/>
      <c r="CO271" s="100"/>
      <c r="CP271" s="100"/>
      <c r="CQ271" s="100"/>
      <c r="CR271" s="100"/>
      <c r="CS271" s="100"/>
      <c r="CT271" s="100"/>
      <c r="CU271" s="100"/>
      <c r="CV271" s="100"/>
      <c r="CW271" s="100"/>
      <c r="CX271" s="100"/>
      <c r="CY271" s="100"/>
      <c r="CZ271" s="100"/>
      <c r="DA271" s="100"/>
      <c r="DB271" s="100"/>
      <c r="DC271" s="100"/>
      <c r="DD271" s="100"/>
      <c r="DE271" s="100"/>
      <c r="DF271" s="100"/>
      <c r="DG271" s="100"/>
      <c r="DH271" s="114"/>
    </row>
    <row r="272" spans="1:226" s="74" customFormat="1" ht="52.5" customHeight="1" x14ac:dyDescent="0.3">
      <c r="A272" s="85" t="s">
        <v>0</v>
      </c>
      <c r="B272" s="85" t="s">
        <v>1</v>
      </c>
      <c r="C272" s="85" t="s">
        <v>217</v>
      </c>
      <c r="D272" s="86" t="s">
        <v>218</v>
      </c>
      <c r="E272" s="87" t="s">
        <v>233</v>
      </c>
      <c r="F272" s="87" t="s">
        <v>234</v>
      </c>
      <c r="G272" s="87" t="s">
        <v>235</v>
      </c>
      <c r="H272" s="87" t="s">
        <v>383</v>
      </c>
      <c r="I272" s="87" t="s">
        <v>382</v>
      </c>
      <c r="J272" s="87" t="s">
        <v>381</v>
      </c>
      <c r="K272" s="87" t="s">
        <v>380</v>
      </c>
      <c r="L272" s="87" t="s">
        <v>379</v>
      </c>
      <c r="M272" s="87" t="s">
        <v>378</v>
      </c>
      <c r="N272" s="87" t="s">
        <v>377</v>
      </c>
      <c r="O272" s="87" t="s">
        <v>394</v>
      </c>
      <c r="P272" s="87" t="s">
        <v>413</v>
      </c>
      <c r="Q272" s="87" t="s">
        <v>415</v>
      </c>
      <c r="R272" s="87" t="s">
        <v>417</v>
      </c>
      <c r="S272" s="87" t="s">
        <v>420</v>
      </c>
      <c r="T272" s="87" t="s">
        <v>421</v>
      </c>
      <c r="U272" s="87" t="s">
        <v>425</v>
      </c>
      <c r="V272" s="87" t="s">
        <v>426</v>
      </c>
      <c r="W272" s="87" t="s">
        <v>424</v>
      </c>
      <c r="X272" s="87" t="s">
        <v>437</v>
      </c>
      <c r="Y272" s="87" t="s">
        <v>439</v>
      </c>
      <c r="Z272" s="87" t="s">
        <v>447</v>
      </c>
      <c r="AA272" s="87" t="s">
        <v>458</v>
      </c>
      <c r="AB272" s="590" t="s">
        <v>459</v>
      </c>
      <c r="AC272" s="591"/>
      <c r="AD272" s="591"/>
      <c r="AE272" s="592"/>
      <c r="AF272" s="596" t="s">
        <v>462</v>
      </c>
      <c r="AG272" s="597"/>
      <c r="AH272" s="597"/>
      <c r="AI272" s="598"/>
      <c r="AJ272" s="590" t="s">
        <v>466</v>
      </c>
      <c r="AK272" s="591"/>
      <c r="AL272" s="591"/>
      <c r="AM272" s="592"/>
      <c r="AN272" s="596" t="s">
        <v>470</v>
      </c>
      <c r="AO272" s="597"/>
      <c r="AP272" s="597"/>
      <c r="AQ272" s="598"/>
      <c r="AR272" s="590" t="s">
        <v>478</v>
      </c>
      <c r="AS272" s="591"/>
      <c r="AT272" s="591"/>
      <c r="AU272" s="592"/>
      <c r="AV272" s="596" t="s">
        <v>483</v>
      </c>
      <c r="AW272" s="597"/>
      <c r="AX272" s="597"/>
      <c r="AY272" s="598"/>
      <c r="AZ272" s="436" t="s">
        <v>503</v>
      </c>
      <c r="BA272" s="436" t="s">
        <v>488</v>
      </c>
      <c r="BB272" s="436" t="s">
        <v>489</v>
      </c>
      <c r="BC272" s="436" t="s">
        <v>423</v>
      </c>
      <c r="BD272" s="436" t="s">
        <v>507</v>
      </c>
      <c r="BE272" s="436" t="s">
        <v>531</v>
      </c>
      <c r="BF272" s="437" t="s">
        <v>508</v>
      </c>
      <c r="BG272" s="437" t="s">
        <v>509</v>
      </c>
      <c r="BH272" s="590" t="s">
        <v>532</v>
      </c>
      <c r="BI272" s="591"/>
      <c r="BJ272" s="591"/>
      <c r="BK272" s="592"/>
      <c r="BL272" s="596" t="s">
        <v>539</v>
      </c>
      <c r="BM272" s="597"/>
      <c r="BN272" s="597"/>
      <c r="BO272" s="598"/>
      <c r="BP272" s="438" t="s">
        <v>538</v>
      </c>
      <c r="BQ272" s="590" t="s">
        <v>542</v>
      </c>
      <c r="BR272" s="591"/>
      <c r="BS272" s="591"/>
      <c r="BT272" s="592"/>
      <c r="BU272" s="438" t="s">
        <v>541</v>
      </c>
      <c r="BV272" s="590" t="s">
        <v>552</v>
      </c>
      <c r="BW272" s="591"/>
      <c r="BX272" s="591"/>
      <c r="BY272" s="592"/>
      <c r="BZ272" s="438" t="s">
        <v>553</v>
      </c>
      <c r="CA272" s="590" t="s">
        <v>578</v>
      </c>
      <c r="CB272" s="591"/>
      <c r="CC272" s="591"/>
      <c r="CD272" s="592"/>
      <c r="CE272" s="438" t="s">
        <v>579</v>
      </c>
      <c r="CF272" s="590" t="s">
        <v>581</v>
      </c>
      <c r="CG272" s="591"/>
      <c r="CH272" s="591"/>
      <c r="CI272" s="592"/>
      <c r="CJ272" s="438" t="s">
        <v>580</v>
      </c>
      <c r="CK272" s="590" t="s">
        <v>585</v>
      </c>
      <c r="CL272" s="591"/>
      <c r="CM272" s="591"/>
      <c r="CN272" s="592"/>
      <c r="CO272" s="438" t="s">
        <v>586</v>
      </c>
      <c r="CP272" s="590" t="s">
        <v>587</v>
      </c>
      <c r="CQ272" s="591"/>
      <c r="CR272" s="591"/>
      <c r="CS272" s="592"/>
      <c r="CT272" s="438" t="s">
        <v>588</v>
      </c>
      <c r="CU272" s="590" t="s">
        <v>590</v>
      </c>
      <c r="CV272" s="591"/>
      <c r="CW272" s="591"/>
      <c r="CX272" s="592"/>
      <c r="CY272" s="438" t="s">
        <v>592</v>
      </c>
      <c r="CZ272" s="294"/>
      <c r="DA272" s="294"/>
      <c r="DB272" s="294"/>
      <c r="DC272" s="95" t="s">
        <v>602</v>
      </c>
      <c r="DD272" s="95" t="s">
        <v>488</v>
      </c>
      <c r="DE272" s="95" t="s">
        <v>489</v>
      </c>
      <c r="DF272" s="95" t="s">
        <v>603</v>
      </c>
      <c r="DG272" s="95" t="s">
        <v>423</v>
      </c>
      <c r="DH272" s="85" t="s">
        <v>2</v>
      </c>
      <c r="DI272" s="593" t="s">
        <v>613</v>
      </c>
      <c r="DJ272" s="594"/>
      <c r="DK272" s="594"/>
      <c r="DL272" s="594"/>
      <c r="DM272" s="594"/>
      <c r="DN272" s="594"/>
      <c r="DO272" s="594"/>
      <c r="DP272" s="595"/>
      <c r="DQ272" s="584" t="s">
        <v>614</v>
      </c>
      <c r="DR272" s="585"/>
      <c r="DS272" s="585"/>
      <c r="DT272" s="585"/>
      <c r="DU272" s="586"/>
      <c r="DV272" s="87" t="s">
        <v>615</v>
      </c>
      <c r="DW272" s="584" t="s">
        <v>623</v>
      </c>
      <c r="DX272" s="585"/>
      <c r="DY272" s="585"/>
      <c r="DZ272" s="585"/>
      <c r="EA272" s="586"/>
      <c r="EB272" s="87" t="s">
        <v>624</v>
      </c>
      <c r="EC272" s="584" t="s">
        <v>627</v>
      </c>
      <c r="ED272" s="585"/>
      <c r="EE272" s="585"/>
      <c r="EF272" s="585"/>
      <c r="EG272" s="586"/>
      <c r="EH272" s="87" t="s">
        <v>628</v>
      </c>
      <c r="EI272" s="584" t="s">
        <v>631</v>
      </c>
      <c r="EJ272" s="585"/>
      <c r="EK272" s="585"/>
      <c r="EL272" s="585"/>
      <c r="EM272" s="586"/>
      <c r="EN272" s="87" t="s">
        <v>632</v>
      </c>
      <c r="EO272" s="584" t="s">
        <v>638</v>
      </c>
      <c r="EP272" s="585"/>
      <c r="EQ272" s="585"/>
      <c r="ER272" s="585"/>
      <c r="ES272" s="586"/>
      <c r="ET272" s="87" t="s">
        <v>637</v>
      </c>
      <c r="EU272" s="584" t="s">
        <v>641</v>
      </c>
      <c r="EV272" s="585"/>
      <c r="EW272" s="585"/>
      <c r="EX272" s="585"/>
      <c r="EY272" s="586"/>
      <c r="EZ272" s="87" t="s">
        <v>642</v>
      </c>
      <c r="FA272" s="584" t="s">
        <v>645</v>
      </c>
      <c r="FB272" s="585"/>
      <c r="FC272" s="585"/>
      <c r="FD272" s="585"/>
      <c r="FE272" s="586"/>
      <c r="FF272" s="87" t="s">
        <v>646</v>
      </c>
      <c r="FG272" s="584" t="s">
        <v>653</v>
      </c>
      <c r="FH272" s="585"/>
      <c r="FI272" s="585"/>
      <c r="FJ272" s="585"/>
      <c r="FK272" s="586"/>
      <c r="FL272" s="87" t="s">
        <v>654</v>
      </c>
      <c r="FM272" s="584" t="s">
        <v>662</v>
      </c>
      <c r="FN272" s="585"/>
      <c r="FO272" s="585"/>
      <c r="FP272" s="585"/>
      <c r="FQ272" s="586"/>
      <c r="FR272" s="87" t="s">
        <v>657</v>
      </c>
      <c r="FS272" s="584" t="s">
        <v>661</v>
      </c>
      <c r="FT272" s="585"/>
      <c r="FU272" s="585"/>
      <c r="FV272" s="585"/>
      <c r="FW272" s="586"/>
      <c r="FX272" s="87" t="s">
        <v>663</v>
      </c>
      <c r="FY272" s="584" t="s">
        <v>665</v>
      </c>
      <c r="FZ272" s="585"/>
      <c r="GA272" s="585"/>
      <c r="GB272" s="585"/>
      <c r="GC272" s="586"/>
      <c r="GD272" s="87" t="s">
        <v>666</v>
      </c>
      <c r="GE272" s="584" t="s">
        <v>668</v>
      </c>
      <c r="GF272" s="585"/>
      <c r="GG272" s="585"/>
      <c r="GH272" s="585"/>
      <c r="GI272" s="586"/>
      <c r="GJ272" s="87" t="s">
        <v>669</v>
      </c>
      <c r="GK272" s="584" t="s">
        <v>671</v>
      </c>
      <c r="GL272" s="585"/>
      <c r="GM272" s="585"/>
      <c r="GN272" s="585"/>
      <c r="GO272" s="586"/>
      <c r="GP272" s="87" t="s">
        <v>672</v>
      </c>
      <c r="GQ272" s="584" t="s">
        <v>674</v>
      </c>
      <c r="GR272" s="585"/>
      <c r="GS272" s="585"/>
      <c r="GT272" s="585"/>
      <c r="GU272" s="586"/>
      <c r="GV272" s="87" t="s">
        <v>675</v>
      </c>
      <c r="GW272" s="584" t="s">
        <v>696</v>
      </c>
      <c r="GX272" s="585"/>
      <c r="GY272" s="585"/>
      <c r="GZ272" s="585"/>
      <c r="HA272" s="586"/>
      <c r="HB272" s="87" t="s">
        <v>697</v>
      </c>
      <c r="HC272" s="85" t="s">
        <v>2</v>
      </c>
      <c r="HD272" s="6"/>
      <c r="HE272" s="587" t="s">
        <v>678</v>
      </c>
      <c r="HF272" s="588"/>
      <c r="HG272" s="588"/>
      <c r="HH272" s="588"/>
      <c r="HI272" s="589"/>
      <c r="HJ272" s="85" t="s">
        <v>2</v>
      </c>
      <c r="HK272" s="593" t="s">
        <v>698</v>
      </c>
      <c r="HL272" s="594"/>
      <c r="HM272" s="594"/>
      <c r="HN272" s="594"/>
      <c r="HO272" s="594"/>
      <c r="HP272" s="594"/>
      <c r="HQ272" s="594"/>
      <c r="HR272" s="594"/>
    </row>
    <row r="273" spans="1:226" s="74" customFormat="1" ht="30.6" x14ac:dyDescent="0.3">
      <c r="A273" s="85"/>
      <c r="B273" s="446" t="s">
        <v>571</v>
      </c>
      <c r="C273" s="441"/>
      <c r="D273" s="442"/>
      <c r="E273" s="87"/>
      <c r="F273" s="87"/>
      <c r="G273" s="87"/>
      <c r="H273" s="88"/>
      <c r="I273" s="88"/>
      <c r="J273" s="294"/>
      <c r="K273" s="88"/>
      <c r="L273" s="87"/>
      <c r="M273" s="87"/>
      <c r="N273" s="87"/>
      <c r="O273" s="294"/>
      <c r="P273" s="294"/>
      <c r="Q273" s="294"/>
      <c r="R273" s="294"/>
      <c r="S273" s="294"/>
      <c r="T273" s="294"/>
      <c r="U273" s="294"/>
      <c r="V273" s="294"/>
      <c r="W273" s="294"/>
      <c r="X273" s="294"/>
      <c r="Y273" s="294"/>
      <c r="Z273" s="294"/>
      <c r="AA273" s="294"/>
      <c r="AB273" s="112" t="s">
        <v>234</v>
      </c>
      <c r="AC273" s="112" t="s">
        <v>454</v>
      </c>
      <c r="AD273" s="112" t="s">
        <v>455</v>
      </c>
      <c r="AE273" s="112" t="s">
        <v>456</v>
      </c>
      <c r="AF273" s="14" t="s">
        <v>234</v>
      </c>
      <c r="AG273" s="14" t="s">
        <v>454</v>
      </c>
      <c r="AH273" s="14" t="s">
        <v>455</v>
      </c>
      <c r="AI273" s="14" t="s">
        <v>456</v>
      </c>
      <c r="AJ273" s="112" t="s">
        <v>234</v>
      </c>
      <c r="AK273" s="112" t="s">
        <v>454</v>
      </c>
      <c r="AL273" s="112" t="s">
        <v>455</v>
      </c>
      <c r="AM273" s="112" t="s">
        <v>456</v>
      </c>
      <c r="AN273" s="14" t="s">
        <v>234</v>
      </c>
      <c r="AO273" s="14" t="s">
        <v>454</v>
      </c>
      <c r="AP273" s="14" t="s">
        <v>455</v>
      </c>
      <c r="AQ273" s="14" t="s">
        <v>456</v>
      </c>
      <c r="AR273" s="112" t="s">
        <v>234</v>
      </c>
      <c r="AS273" s="112" t="s">
        <v>454</v>
      </c>
      <c r="AT273" s="112" t="s">
        <v>455</v>
      </c>
      <c r="AU273" s="112" t="s">
        <v>456</v>
      </c>
      <c r="AV273" s="14" t="s">
        <v>234</v>
      </c>
      <c r="AW273" s="14" t="s">
        <v>454</v>
      </c>
      <c r="AX273" s="14" t="s">
        <v>455</v>
      </c>
      <c r="AY273" s="14" t="s">
        <v>456</v>
      </c>
      <c r="AZ273" s="443"/>
      <c r="BA273" s="443"/>
      <c r="BB273" s="443"/>
      <c r="BC273" s="443"/>
      <c r="BD273" s="443"/>
      <c r="BE273" s="443"/>
      <c r="BF273" s="444"/>
      <c r="BG273" s="444"/>
      <c r="BH273" s="112" t="s">
        <v>234</v>
      </c>
      <c r="BI273" s="112" t="s">
        <v>454</v>
      </c>
      <c r="BJ273" s="112" t="s">
        <v>455</v>
      </c>
      <c r="BK273" s="112" t="s">
        <v>456</v>
      </c>
      <c r="BL273" s="14" t="s">
        <v>234</v>
      </c>
      <c r="BM273" s="14" t="s">
        <v>454</v>
      </c>
      <c r="BN273" s="14" t="s">
        <v>455</v>
      </c>
      <c r="BO273" s="14" t="s">
        <v>456</v>
      </c>
      <c r="BP273" s="445"/>
      <c r="BQ273" s="112" t="s">
        <v>234</v>
      </c>
      <c r="BR273" s="112" t="s">
        <v>454</v>
      </c>
      <c r="BS273" s="112" t="s">
        <v>455</v>
      </c>
      <c r="BT273" s="112" t="s">
        <v>456</v>
      </c>
      <c r="BU273" s="445"/>
      <c r="BV273" s="112" t="s">
        <v>234</v>
      </c>
      <c r="BW273" s="112" t="s">
        <v>454</v>
      </c>
      <c r="BX273" s="112" t="s">
        <v>455</v>
      </c>
      <c r="BY273" s="112" t="s">
        <v>456</v>
      </c>
      <c r="BZ273" s="445"/>
      <c r="CA273" s="112" t="s">
        <v>234</v>
      </c>
      <c r="CB273" s="112" t="s">
        <v>454</v>
      </c>
      <c r="CC273" s="112" t="s">
        <v>455</v>
      </c>
      <c r="CD273" s="112" t="s">
        <v>456</v>
      </c>
      <c r="CE273" s="445"/>
      <c r="CF273" s="112" t="s">
        <v>234</v>
      </c>
      <c r="CG273" s="112" t="s">
        <v>454</v>
      </c>
      <c r="CH273" s="112" t="s">
        <v>455</v>
      </c>
      <c r="CI273" s="112" t="s">
        <v>456</v>
      </c>
      <c r="CJ273" s="445"/>
      <c r="CK273" s="112" t="s">
        <v>234</v>
      </c>
      <c r="CL273" s="112" t="s">
        <v>454</v>
      </c>
      <c r="CM273" s="112" t="s">
        <v>455</v>
      </c>
      <c r="CN273" s="112" t="s">
        <v>456</v>
      </c>
      <c r="CO273" s="445"/>
      <c r="CP273" s="112" t="s">
        <v>234</v>
      </c>
      <c r="CQ273" s="112" t="s">
        <v>454</v>
      </c>
      <c r="CR273" s="112" t="s">
        <v>455</v>
      </c>
      <c r="CS273" s="112" t="s">
        <v>456</v>
      </c>
      <c r="CT273" s="445"/>
      <c r="CU273" s="112" t="s">
        <v>234</v>
      </c>
      <c r="CV273" s="112" t="s">
        <v>454</v>
      </c>
      <c r="CW273" s="112" t="s">
        <v>455</v>
      </c>
      <c r="CX273" s="112" t="s">
        <v>456</v>
      </c>
      <c r="CY273" s="445"/>
      <c r="CZ273" s="295"/>
      <c r="DA273" s="295"/>
      <c r="DB273" s="295"/>
      <c r="DC273" s="95" t="s">
        <v>602</v>
      </c>
      <c r="DD273" s="95" t="s">
        <v>488</v>
      </c>
      <c r="DE273" s="95" t="s">
        <v>489</v>
      </c>
      <c r="DF273" s="95" t="s">
        <v>603</v>
      </c>
      <c r="DG273" s="95" t="s">
        <v>423</v>
      </c>
      <c r="DH273" s="89"/>
      <c r="DI273" s="90" t="s">
        <v>604</v>
      </c>
      <c r="DJ273" s="91" t="s">
        <v>605</v>
      </c>
      <c r="DK273" s="92" t="s">
        <v>606</v>
      </c>
      <c r="DL273" s="92" t="s">
        <v>607</v>
      </c>
      <c r="DM273" s="91" t="s">
        <v>608</v>
      </c>
      <c r="DN273" s="91" t="s">
        <v>609</v>
      </c>
      <c r="DO273" s="91" t="s">
        <v>611</v>
      </c>
      <c r="DP273" s="91" t="s">
        <v>610</v>
      </c>
      <c r="DQ273" s="112" t="s">
        <v>234</v>
      </c>
      <c r="DR273" s="112" t="s">
        <v>454</v>
      </c>
      <c r="DS273" s="112" t="s">
        <v>455</v>
      </c>
      <c r="DT273" s="93" t="s">
        <v>456</v>
      </c>
      <c r="DU273" s="94" t="s">
        <v>457</v>
      </c>
      <c r="DV273" s="87"/>
      <c r="DW273" s="112" t="s">
        <v>234</v>
      </c>
      <c r="DX273" s="112" t="s">
        <v>454</v>
      </c>
      <c r="DY273" s="112" t="s">
        <v>455</v>
      </c>
      <c r="DZ273" s="93" t="s">
        <v>456</v>
      </c>
      <c r="EA273" s="94" t="s">
        <v>457</v>
      </c>
      <c r="EB273" s="87"/>
      <c r="EC273" s="112" t="s">
        <v>234</v>
      </c>
      <c r="ED273" s="112" t="s">
        <v>454</v>
      </c>
      <c r="EE273" s="112" t="s">
        <v>455</v>
      </c>
      <c r="EF273" s="93" t="s">
        <v>456</v>
      </c>
      <c r="EG273" s="94" t="s">
        <v>457</v>
      </c>
      <c r="EH273" s="87"/>
      <c r="EI273" s="112" t="s">
        <v>234</v>
      </c>
      <c r="EJ273" s="112" t="s">
        <v>454</v>
      </c>
      <c r="EK273" s="112" t="s">
        <v>455</v>
      </c>
      <c r="EL273" s="93" t="s">
        <v>456</v>
      </c>
      <c r="EM273" s="94" t="s">
        <v>457</v>
      </c>
      <c r="EN273" s="87"/>
      <c r="EO273" s="112" t="s">
        <v>234</v>
      </c>
      <c r="EP273" s="112" t="s">
        <v>454</v>
      </c>
      <c r="EQ273" s="112" t="s">
        <v>455</v>
      </c>
      <c r="ER273" s="93" t="s">
        <v>456</v>
      </c>
      <c r="ES273" s="94" t="s">
        <v>457</v>
      </c>
      <c r="ET273" s="87"/>
      <c r="EU273" s="112" t="s">
        <v>234</v>
      </c>
      <c r="EV273" s="112" t="s">
        <v>454</v>
      </c>
      <c r="EW273" s="112" t="s">
        <v>455</v>
      </c>
      <c r="EX273" s="93" t="s">
        <v>456</v>
      </c>
      <c r="EY273" s="94" t="s">
        <v>457</v>
      </c>
      <c r="EZ273" s="87"/>
      <c r="FA273" s="112" t="s">
        <v>234</v>
      </c>
      <c r="FB273" s="112" t="s">
        <v>454</v>
      </c>
      <c r="FC273" s="112" t="s">
        <v>455</v>
      </c>
      <c r="FD273" s="93" t="s">
        <v>456</v>
      </c>
      <c r="FE273" s="94" t="s">
        <v>457</v>
      </c>
      <c r="FF273" s="87"/>
      <c r="FG273" s="112" t="s">
        <v>234</v>
      </c>
      <c r="FH273" s="112" t="s">
        <v>454</v>
      </c>
      <c r="FI273" s="112" t="s">
        <v>455</v>
      </c>
      <c r="FJ273" s="93" t="s">
        <v>456</v>
      </c>
      <c r="FK273" s="94" t="s">
        <v>457</v>
      </c>
      <c r="FL273" s="87"/>
      <c r="FM273" s="112" t="s">
        <v>234</v>
      </c>
      <c r="FN273" s="112" t="s">
        <v>454</v>
      </c>
      <c r="FO273" s="112" t="s">
        <v>455</v>
      </c>
      <c r="FP273" s="93" t="s">
        <v>456</v>
      </c>
      <c r="FQ273" s="94" t="s">
        <v>457</v>
      </c>
      <c r="FR273" s="87"/>
      <c r="FS273" s="112" t="s">
        <v>234</v>
      </c>
      <c r="FT273" s="112" t="s">
        <v>454</v>
      </c>
      <c r="FU273" s="112" t="s">
        <v>455</v>
      </c>
      <c r="FV273" s="93" t="s">
        <v>456</v>
      </c>
      <c r="FW273" s="94" t="s">
        <v>457</v>
      </c>
      <c r="FX273" s="87"/>
      <c r="FY273" s="112" t="s">
        <v>234</v>
      </c>
      <c r="FZ273" s="112" t="s">
        <v>454</v>
      </c>
      <c r="GA273" s="112" t="s">
        <v>455</v>
      </c>
      <c r="GB273" s="93" t="s">
        <v>456</v>
      </c>
      <c r="GC273" s="94" t="s">
        <v>457</v>
      </c>
      <c r="GD273" s="87"/>
      <c r="GE273" s="112" t="s">
        <v>234</v>
      </c>
      <c r="GF273" s="112" t="s">
        <v>454</v>
      </c>
      <c r="GG273" s="112" t="s">
        <v>455</v>
      </c>
      <c r="GH273" s="93" t="s">
        <v>456</v>
      </c>
      <c r="GI273" s="94" t="s">
        <v>457</v>
      </c>
      <c r="GJ273" s="87"/>
      <c r="GK273" s="112" t="s">
        <v>234</v>
      </c>
      <c r="GL273" s="112" t="s">
        <v>454</v>
      </c>
      <c r="GM273" s="112" t="s">
        <v>455</v>
      </c>
      <c r="GN273" s="93" t="s">
        <v>456</v>
      </c>
      <c r="GO273" s="94" t="s">
        <v>457</v>
      </c>
      <c r="GP273" s="87"/>
      <c r="GQ273" s="112" t="s">
        <v>234</v>
      </c>
      <c r="GR273" s="112" t="s">
        <v>454</v>
      </c>
      <c r="GS273" s="112" t="s">
        <v>455</v>
      </c>
      <c r="GT273" s="93" t="s">
        <v>456</v>
      </c>
      <c r="GU273" s="94" t="s">
        <v>457</v>
      </c>
      <c r="GV273" s="87"/>
      <c r="GW273" s="112" t="s">
        <v>234</v>
      </c>
      <c r="GX273" s="112" t="s">
        <v>454</v>
      </c>
      <c r="GY273" s="112" t="s">
        <v>455</v>
      </c>
      <c r="GZ273" s="93" t="s">
        <v>456</v>
      </c>
      <c r="HA273" s="94" t="s">
        <v>457</v>
      </c>
      <c r="HB273" s="87"/>
      <c r="HC273" s="85"/>
      <c r="HD273" s="6"/>
      <c r="HE273" s="95" t="s">
        <v>679</v>
      </c>
      <c r="HF273" s="95" t="s">
        <v>488</v>
      </c>
      <c r="HG273" s="220" t="s">
        <v>489</v>
      </c>
      <c r="HH273" s="95" t="s">
        <v>603</v>
      </c>
      <c r="HI273" s="95" t="s">
        <v>423</v>
      </c>
      <c r="HJ273" s="85"/>
      <c r="HK273" s="90" t="s">
        <v>680</v>
      </c>
      <c r="HL273" s="91" t="s">
        <v>681</v>
      </c>
      <c r="HM273" s="92" t="s">
        <v>606</v>
      </c>
      <c r="HN273" s="92" t="s">
        <v>607</v>
      </c>
      <c r="HO273" s="91" t="s">
        <v>608</v>
      </c>
      <c r="HP273" s="91" t="s">
        <v>609</v>
      </c>
      <c r="HQ273" s="92" t="s">
        <v>456</v>
      </c>
      <c r="HR273" s="91" t="s">
        <v>610</v>
      </c>
    </row>
    <row r="274" spans="1:226" x14ac:dyDescent="0.3">
      <c r="A274" s="326">
        <v>3</v>
      </c>
      <c r="B274" s="326"/>
      <c r="C274" s="326" t="s">
        <v>513</v>
      </c>
      <c r="D274" s="84" t="s">
        <v>512</v>
      </c>
      <c r="E274" s="3"/>
      <c r="F274" s="4"/>
      <c r="G274" s="4"/>
      <c r="H274" s="325"/>
      <c r="I274" s="325"/>
      <c r="J274" s="325"/>
      <c r="K274" s="325"/>
      <c r="L274" s="325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4"/>
      <c r="AD274" s="4"/>
      <c r="AE274" s="6"/>
      <c r="AF274" s="6"/>
      <c r="AG274" s="4"/>
      <c r="AH274" s="4"/>
      <c r="AI274" s="6"/>
      <c r="AJ274" s="6"/>
      <c r="AK274" s="4"/>
      <c r="AL274" s="4"/>
      <c r="AM274" s="6"/>
      <c r="AN274" s="6"/>
      <c r="AO274" s="4"/>
      <c r="AP274" s="4"/>
      <c r="AQ274" s="6"/>
      <c r="AR274" s="6"/>
      <c r="AS274" s="4"/>
      <c r="AT274" s="4"/>
      <c r="AU274" s="6"/>
      <c r="AV274" s="6"/>
      <c r="AW274" s="4"/>
      <c r="AX274" s="4"/>
      <c r="AY274" s="6"/>
      <c r="AZ274" s="8"/>
      <c r="BA274" s="8"/>
      <c r="BB274" s="8"/>
      <c r="BC274" s="8"/>
      <c r="BD274" s="8"/>
      <c r="BE274" s="9">
        <v>6219080</v>
      </c>
      <c r="BF274" s="10"/>
      <c r="BG274" s="10"/>
      <c r="BH274" s="324">
        <v>6219080</v>
      </c>
      <c r="BI274" s="324">
        <v>0</v>
      </c>
      <c r="BJ274" s="324">
        <v>0</v>
      </c>
      <c r="BK274" s="324">
        <f>BJ274+BI274+BH274</f>
        <v>6219080</v>
      </c>
      <c r="BL274" s="324">
        <v>6219080</v>
      </c>
      <c r="BM274" s="324">
        <v>0</v>
      </c>
      <c r="BN274" s="324">
        <v>0</v>
      </c>
      <c r="BO274" s="324">
        <f>BN274+BM274+BL274</f>
        <v>6219080</v>
      </c>
      <c r="BP274" s="324">
        <f>BO274-BK274</f>
        <v>0</v>
      </c>
      <c r="BQ274" s="324">
        <v>6219080</v>
      </c>
      <c r="BR274" s="324">
        <v>0</v>
      </c>
      <c r="BS274" s="324">
        <v>0</v>
      </c>
      <c r="BT274" s="324">
        <f>BS274+BR274+BQ274</f>
        <v>6219080</v>
      </c>
      <c r="BU274" s="324">
        <f>BT274-BO274</f>
        <v>0</v>
      </c>
      <c r="BV274" s="324">
        <v>6219080</v>
      </c>
      <c r="BW274" s="324">
        <v>0</v>
      </c>
      <c r="BX274" s="324">
        <v>0</v>
      </c>
      <c r="BY274" s="324">
        <f>BX274+BW274+BV274</f>
        <v>6219080</v>
      </c>
      <c r="BZ274" s="324">
        <f>BY274-BT274</f>
        <v>0</v>
      </c>
      <c r="CA274" s="324">
        <v>6219080</v>
      </c>
      <c r="CB274" s="324">
        <v>0</v>
      </c>
      <c r="CC274" s="324">
        <v>0</v>
      </c>
      <c r="CD274" s="324">
        <f>CC274+CB274+CA274</f>
        <v>6219080</v>
      </c>
      <c r="CE274" s="324">
        <f>CD274-BY274</f>
        <v>0</v>
      </c>
      <c r="CF274" s="319">
        <v>6219080</v>
      </c>
      <c r="CG274" s="319">
        <v>0</v>
      </c>
      <c r="CH274" s="319">
        <v>0</v>
      </c>
      <c r="CI274" s="319">
        <f>CH274+CG274+CF274</f>
        <v>6219080</v>
      </c>
      <c r="CJ274" s="319">
        <f>CI274-CD274</f>
        <v>0</v>
      </c>
      <c r="CK274" s="319">
        <v>6219080</v>
      </c>
      <c r="CL274" s="319">
        <v>0</v>
      </c>
      <c r="CM274" s="319">
        <v>0</v>
      </c>
      <c r="CN274" s="319">
        <f>CM274+CL274+CK274</f>
        <v>6219080</v>
      </c>
      <c r="CO274" s="319">
        <f>CN274-CI274</f>
        <v>0</v>
      </c>
      <c r="CP274" s="319">
        <v>6219080</v>
      </c>
      <c r="CQ274" s="319">
        <v>0</v>
      </c>
      <c r="CR274" s="319">
        <v>0</v>
      </c>
      <c r="CS274" s="319">
        <f>CR274+CQ274+CP274</f>
        <v>6219080</v>
      </c>
      <c r="CT274" s="319">
        <f>CS274-CN274</f>
        <v>0</v>
      </c>
      <c r="CU274" s="319">
        <v>6219080</v>
      </c>
      <c r="CV274" s="319">
        <v>0</v>
      </c>
      <c r="CW274" s="319">
        <v>0</v>
      </c>
      <c r="CX274" s="319">
        <f>CW274+CV274+CU274</f>
        <v>6219080</v>
      </c>
      <c r="CY274" s="319">
        <f>CX274-CS274</f>
        <v>0</v>
      </c>
      <c r="CZ274" s="319"/>
      <c r="DA274" s="319"/>
      <c r="DB274" s="319"/>
      <c r="DC274" s="12">
        <f>CX274*10%</f>
        <v>621908</v>
      </c>
      <c r="DD274" s="12">
        <v>0</v>
      </c>
      <c r="DE274" s="13">
        <f>DC274-DD274</f>
        <v>621908</v>
      </c>
      <c r="DF274" s="14">
        <f>DE274:DE274</f>
        <v>621908</v>
      </c>
      <c r="DG274" s="13">
        <f>DE274+CX274</f>
        <v>6840988</v>
      </c>
      <c r="DH274" s="15">
        <f>100/1278396949*CX274</f>
        <v>0.4864748781561743</v>
      </c>
      <c r="DI274" s="16">
        <f>CX274</f>
        <v>6219080</v>
      </c>
      <c r="DJ274" s="132">
        <f>DI274*1.1</f>
        <v>6840988.0000000009</v>
      </c>
      <c r="DK274" s="17">
        <f>DJ274-DI274</f>
        <v>621908.00000000093</v>
      </c>
      <c r="DL274" s="17">
        <f>DD274</f>
        <v>0</v>
      </c>
      <c r="DM274" s="16">
        <f>DK274-DL274</f>
        <v>621908.00000000093</v>
      </c>
      <c r="DN274" s="16">
        <f>DM274-DE274</f>
        <v>9.3132257461547852E-10</v>
      </c>
      <c r="DO274" s="16">
        <f>DM274+DI274</f>
        <v>6840988.0000000009</v>
      </c>
      <c r="DP274" s="16">
        <f>DO274-DG274</f>
        <v>0</v>
      </c>
      <c r="DQ274" s="9">
        <v>6840988</v>
      </c>
      <c r="DR274" s="18" t="s">
        <v>238</v>
      </c>
      <c r="DS274" s="18" t="s">
        <v>238</v>
      </c>
      <c r="DT274" s="324">
        <f>DQ274+DR274+DS274</f>
        <v>6840988</v>
      </c>
      <c r="DU274" s="321">
        <f>DT274</f>
        <v>6840988</v>
      </c>
      <c r="DV274" s="19">
        <f>DT274-DG274</f>
        <v>0</v>
      </c>
      <c r="DW274" s="9">
        <v>6840988</v>
      </c>
      <c r="DX274" s="18"/>
      <c r="DY274" s="18"/>
      <c r="DZ274" s="324">
        <f>DW274+DX274+DY274</f>
        <v>6840988</v>
      </c>
      <c r="EA274" s="321">
        <f>DZ274</f>
        <v>6840988</v>
      </c>
      <c r="EB274" s="179">
        <f>DZ274-DT274</f>
        <v>0</v>
      </c>
      <c r="EC274" s="9">
        <v>6840988</v>
      </c>
      <c r="ED274" s="18" t="s">
        <v>238</v>
      </c>
      <c r="EE274" s="18" t="s">
        <v>238</v>
      </c>
      <c r="EF274" s="324">
        <f>EC274+ED274+EE274</f>
        <v>6840988</v>
      </c>
      <c r="EG274" s="321">
        <f>EF274</f>
        <v>6840988</v>
      </c>
      <c r="EH274" s="179">
        <f>EF274-DZ274</f>
        <v>0</v>
      </c>
      <c r="EI274" s="9">
        <v>6840988</v>
      </c>
      <c r="EJ274" s="18" t="s">
        <v>238</v>
      </c>
      <c r="EK274" s="18" t="s">
        <v>238</v>
      </c>
      <c r="EL274" s="324">
        <f>EI274+EJ274+EK274</f>
        <v>6840988</v>
      </c>
      <c r="EM274" s="321">
        <f>EL274</f>
        <v>6840988</v>
      </c>
      <c r="EN274" s="179">
        <f>EL274-EF274</f>
        <v>0</v>
      </c>
      <c r="EO274" s="9">
        <v>6840988</v>
      </c>
      <c r="EP274" s="18" t="s">
        <v>238</v>
      </c>
      <c r="EQ274" s="18" t="s">
        <v>238</v>
      </c>
      <c r="ER274" s="324">
        <f>EO274+EP274+EQ274</f>
        <v>6840988</v>
      </c>
      <c r="ES274" s="321">
        <f>ER274</f>
        <v>6840988</v>
      </c>
      <c r="ET274" s="179">
        <f>ER274-EL274</f>
        <v>0</v>
      </c>
      <c r="EU274" s="9">
        <v>6840988</v>
      </c>
      <c r="EV274" s="18" t="s">
        <v>238</v>
      </c>
      <c r="EW274" s="18" t="s">
        <v>238</v>
      </c>
      <c r="EX274" s="324">
        <f>EU274+EV274+EW274</f>
        <v>6840988</v>
      </c>
      <c r="EY274" s="321">
        <f>EX274</f>
        <v>6840988</v>
      </c>
      <c r="EZ274" s="179">
        <f>EX274-ER274</f>
        <v>0</v>
      </c>
      <c r="FA274" s="9">
        <v>6840988</v>
      </c>
      <c r="FB274" s="18" t="s">
        <v>238</v>
      </c>
      <c r="FC274" s="18" t="s">
        <v>238</v>
      </c>
      <c r="FD274" s="324">
        <f>FA274+FB274+FC274</f>
        <v>6840988</v>
      </c>
      <c r="FE274" s="321">
        <f>FD274</f>
        <v>6840988</v>
      </c>
      <c r="FF274" s="179">
        <f>FD274-EX274</f>
        <v>0</v>
      </c>
      <c r="FG274" s="9">
        <v>6840988</v>
      </c>
      <c r="FH274" s="9">
        <v>0</v>
      </c>
      <c r="FI274" s="9">
        <v>0</v>
      </c>
      <c r="FJ274" s="324">
        <f>FG274+FH274+FI274</f>
        <v>6840988</v>
      </c>
      <c r="FK274" s="321">
        <f>FJ274</f>
        <v>6840988</v>
      </c>
      <c r="FL274" s="179">
        <f>FJ274-FD274</f>
        <v>0</v>
      </c>
      <c r="FM274" s="9">
        <v>6840988</v>
      </c>
      <c r="FN274" s="9">
        <v>0</v>
      </c>
      <c r="FO274" s="9">
        <v>0</v>
      </c>
      <c r="FP274" s="324">
        <f>FM274+FN274+FO274</f>
        <v>6840988</v>
      </c>
      <c r="FQ274" s="321">
        <f>FP274</f>
        <v>6840988</v>
      </c>
      <c r="FR274" s="179">
        <f>FP274-FJ274</f>
        <v>0</v>
      </c>
      <c r="FS274" s="9">
        <v>6840988</v>
      </c>
      <c r="FT274" s="9">
        <v>0</v>
      </c>
      <c r="FU274" s="9">
        <v>0</v>
      </c>
      <c r="FV274" s="324">
        <f>FS274+FT274+FU274</f>
        <v>6840988</v>
      </c>
      <c r="FW274" s="321">
        <f>FV274</f>
        <v>6840988</v>
      </c>
      <c r="FX274" s="179">
        <f>FV274-FP274</f>
        <v>0</v>
      </c>
      <c r="FY274" s="9">
        <v>6840988</v>
      </c>
      <c r="FZ274" s="9">
        <v>0</v>
      </c>
      <c r="GA274" s="9">
        <v>0</v>
      </c>
      <c r="GB274" s="324">
        <f>FY274+FZ274+GA274</f>
        <v>6840988</v>
      </c>
      <c r="GC274" s="321">
        <f>GB274</f>
        <v>6840988</v>
      </c>
      <c r="GD274" s="179">
        <f>GB274-FV274</f>
        <v>0</v>
      </c>
      <c r="GE274" s="9">
        <v>6840988</v>
      </c>
      <c r="GF274" s="9">
        <v>0</v>
      </c>
      <c r="GG274" s="9">
        <v>0</v>
      </c>
      <c r="GH274" s="324">
        <f>GE274+GF274+GG274</f>
        <v>6840988</v>
      </c>
      <c r="GI274" s="321">
        <f>GH274</f>
        <v>6840988</v>
      </c>
      <c r="GJ274" s="179">
        <f>GH274-GB274</f>
        <v>0</v>
      </c>
      <c r="GK274" s="9">
        <v>6840988</v>
      </c>
      <c r="GL274" s="9">
        <v>0</v>
      </c>
      <c r="GM274" s="9">
        <v>0</v>
      </c>
      <c r="GN274" s="324">
        <f>GK274+GL274+GM274</f>
        <v>6840988</v>
      </c>
      <c r="GO274" s="321">
        <f>GN274</f>
        <v>6840988</v>
      </c>
      <c r="GP274" s="179">
        <f>GN274-GH274</f>
        <v>0</v>
      </c>
      <c r="GQ274" s="9">
        <v>6840988</v>
      </c>
      <c r="GR274" s="9">
        <v>0</v>
      </c>
      <c r="GS274" s="9">
        <v>0</v>
      </c>
      <c r="GT274" s="324">
        <f>GQ274+GR274+GS274</f>
        <v>6840988</v>
      </c>
      <c r="GU274" s="321">
        <f>GT274</f>
        <v>6840988</v>
      </c>
      <c r="GV274" s="179">
        <f>GT274-GN274</f>
        <v>0</v>
      </c>
      <c r="GW274" s="9">
        <v>7183037</v>
      </c>
      <c r="GX274" s="9">
        <v>0</v>
      </c>
      <c r="GY274" s="9">
        <v>0</v>
      </c>
      <c r="GZ274" s="324">
        <f>GW274+GX274+GY274</f>
        <v>7183037</v>
      </c>
      <c r="HA274" s="321">
        <f>GZ274</f>
        <v>7183037</v>
      </c>
      <c r="HB274" s="179">
        <f>GZ274-GT274</f>
        <v>342049</v>
      </c>
      <c r="HC274" s="102">
        <f>100/1406236643.9*GT274</f>
        <v>0.4864748781561743</v>
      </c>
      <c r="HD274" s="285">
        <f>HB274-HO274</f>
        <v>0</v>
      </c>
      <c r="HE274" s="12">
        <f>GT274*0.05</f>
        <v>342049.4</v>
      </c>
      <c r="HF274" s="12">
        <f>IF(ISNUMBER($HE274), $HE274-INT($HE274), "")</f>
        <v>0.40000000002328306</v>
      </c>
      <c r="HG274" s="12">
        <f>HE274-HF274</f>
        <v>342049</v>
      </c>
      <c r="HH274" s="14">
        <f>HG274:HG274</f>
        <v>342049</v>
      </c>
      <c r="HI274" s="13">
        <f>HG274+GT274</f>
        <v>7183037</v>
      </c>
      <c r="HJ274" s="102">
        <f>100/1406236643.9*HI274</f>
        <v>0.51079859361926838</v>
      </c>
      <c r="HK274" s="16">
        <f>GT274</f>
        <v>6840988</v>
      </c>
      <c r="HL274" s="103">
        <f>HK274*1.05</f>
        <v>7183037.4000000004</v>
      </c>
      <c r="HM274" s="103">
        <f>HL274-HK274</f>
        <v>342049.40000000037</v>
      </c>
      <c r="HN274" s="17">
        <f>HF274</f>
        <v>0.40000000002328306</v>
      </c>
      <c r="HO274" s="56">
        <f>HM274-HN274</f>
        <v>342049.00000000035</v>
      </c>
      <c r="HP274" s="16">
        <f>HO274-HG274</f>
        <v>0</v>
      </c>
      <c r="HQ274" s="16">
        <f>HO274+HK274</f>
        <v>7183037</v>
      </c>
      <c r="HR274" s="16">
        <f>HQ274-HI274</f>
        <v>0</v>
      </c>
    </row>
    <row r="275" spans="1:226" x14ac:dyDescent="0.3">
      <c r="A275" s="140"/>
      <c r="B275" s="140"/>
      <c r="C275" s="140"/>
      <c r="D275" s="141" t="s">
        <v>216</v>
      </c>
      <c r="E275" s="121">
        <f t="shared" ref="E275:BP275" si="1576">SUM(E274)</f>
        <v>0</v>
      </c>
      <c r="F275" s="121">
        <f t="shared" si="1576"/>
        <v>0</v>
      </c>
      <c r="G275" s="121">
        <f t="shared" si="1576"/>
        <v>0</v>
      </c>
      <c r="H275" s="121">
        <f t="shared" si="1576"/>
        <v>0</v>
      </c>
      <c r="I275" s="121">
        <f t="shared" si="1576"/>
        <v>0</v>
      </c>
      <c r="J275" s="121">
        <f t="shared" si="1576"/>
        <v>0</v>
      </c>
      <c r="K275" s="121">
        <f t="shared" si="1576"/>
        <v>0</v>
      </c>
      <c r="L275" s="121">
        <f t="shared" si="1576"/>
        <v>0</v>
      </c>
      <c r="M275" s="121">
        <f t="shared" si="1576"/>
        <v>0</v>
      </c>
      <c r="N275" s="121">
        <f t="shared" si="1576"/>
        <v>0</v>
      </c>
      <c r="O275" s="121">
        <f t="shared" si="1576"/>
        <v>0</v>
      </c>
      <c r="P275" s="121">
        <f t="shared" si="1576"/>
        <v>0</v>
      </c>
      <c r="Q275" s="121">
        <f t="shared" si="1576"/>
        <v>0</v>
      </c>
      <c r="R275" s="121">
        <f t="shared" si="1576"/>
        <v>0</v>
      </c>
      <c r="S275" s="121">
        <f t="shared" si="1576"/>
        <v>0</v>
      </c>
      <c r="T275" s="121">
        <f t="shared" si="1576"/>
        <v>0</v>
      </c>
      <c r="U275" s="121">
        <f t="shared" si="1576"/>
        <v>0</v>
      </c>
      <c r="V275" s="121">
        <f t="shared" si="1576"/>
        <v>0</v>
      </c>
      <c r="W275" s="121">
        <f t="shared" si="1576"/>
        <v>0</v>
      </c>
      <c r="X275" s="121">
        <f t="shared" si="1576"/>
        <v>0</v>
      </c>
      <c r="Y275" s="121">
        <f t="shared" si="1576"/>
        <v>0</v>
      </c>
      <c r="Z275" s="121">
        <f t="shared" si="1576"/>
        <v>0</v>
      </c>
      <c r="AA275" s="121">
        <f t="shared" si="1576"/>
        <v>0</v>
      </c>
      <c r="AB275" s="121">
        <f t="shared" si="1576"/>
        <v>0</v>
      </c>
      <c r="AC275" s="121">
        <f t="shared" si="1576"/>
        <v>0</v>
      </c>
      <c r="AD275" s="121">
        <f t="shared" si="1576"/>
        <v>0</v>
      </c>
      <c r="AE275" s="121">
        <f t="shared" si="1576"/>
        <v>0</v>
      </c>
      <c r="AF275" s="121">
        <f t="shared" si="1576"/>
        <v>0</v>
      </c>
      <c r="AG275" s="121">
        <f t="shared" si="1576"/>
        <v>0</v>
      </c>
      <c r="AH275" s="121">
        <f t="shared" si="1576"/>
        <v>0</v>
      </c>
      <c r="AI275" s="121">
        <f t="shared" si="1576"/>
        <v>0</v>
      </c>
      <c r="AJ275" s="121">
        <f t="shared" si="1576"/>
        <v>0</v>
      </c>
      <c r="AK275" s="121">
        <f t="shared" si="1576"/>
        <v>0</v>
      </c>
      <c r="AL275" s="121">
        <f t="shared" si="1576"/>
        <v>0</v>
      </c>
      <c r="AM275" s="121">
        <f t="shared" si="1576"/>
        <v>0</v>
      </c>
      <c r="AN275" s="121">
        <f t="shared" si="1576"/>
        <v>0</v>
      </c>
      <c r="AO275" s="121">
        <f t="shared" si="1576"/>
        <v>0</v>
      </c>
      <c r="AP275" s="121">
        <f t="shared" si="1576"/>
        <v>0</v>
      </c>
      <c r="AQ275" s="121">
        <f t="shared" si="1576"/>
        <v>0</v>
      </c>
      <c r="AR275" s="121">
        <f t="shared" si="1576"/>
        <v>0</v>
      </c>
      <c r="AS275" s="121">
        <f t="shared" si="1576"/>
        <v>0</v>
      </c>
      <c r="AT275" s="121">
        <f t="shared" si="1576"/>
        <v>0</v>
      </c>
      <c r="AU275" s="121">
        <f t="shared" si="1576"/>
        <v>0</v>
      </c>
      <c r="AV275" s="121">
        <f t="shared" si="1576"/>
        <v>0</v>
      </c>
      <c r="AW275" s="121">
        <f t="shared" si="1576"/>
        <v>0</v>
      </c>
      <c r="AX275" s="121">
        <f t="shared" si="1576"/>
        <v>0</v>
      </c>
      <c r="AY275" s="121">
        <f t="shared" si="1576"/>
        <v>0</v>
      </c>
      <c r="AZ275" s="121">
        <f t="shared" si="1576"/>
        <v>0</v>
      </c>
      <c r="BA275" s="121">
        <f t="shared" si="1576"/>
        <v>0</v>
      </c>
      <c r="BB275" s="121">
        <f t="shared" si="1576"/>
        <v>0</v>
      </c>
      <c r="BC275" s="121">
        <f t="shared" si="1576"/>
        <v>0</v>
      </c>
      <c r="BD275" s="121">
        <f t="shared" si="1576"/>
        <v>0</v>
      </c>
      <c r="BE275" s="121">
        <f t="shared" si="1576"/>
        <v>6219080</v>
      </c>
      <c r="BF275" s="121">
        <f t="shared" si="1576"/>
        <v>0</v>
      </c>
      <c r="BG275" s="121">
        <f t="shared" si="1576"/>
        <v>0</v>
      </c>
      <c r="BH275" s="121">
        <f t="shared" si="1576"/>
        <v>6219080</v>
      </c>
      <c r="BI275" s="121">
        <f t="shared" si="1576"/>
        <v>0</v>
      </c>
      <c r="BJ275" s="121">
        <f t="shared" si="1576"/>
        <v>0</v>
      </c>
      <c r="BK275" s="121">
        <f t="shared" si="1576"/>
        <v>6219080</v>
      </c>
      <c r="BL275" s="121">
        <f t="shared" si="1576"/>
        <v>6219080</v>
      </c>
      <c r="BM275" s="121">
        <f t="shared" si="1576"/>
        <v>0</v>
      </c>
      <c r="BN275" s="121">
        <f t="shared" si="1576"/>
        <v>0</v>
      </c>
      <c r="BO275" s="121">
        <f t="shared" si="1576"/>
        <v>6219080</v>
      </c>
      <c r="BP275" s="121">
        <f t="shared" si="1576"/>
        <v>0</v>
      </c>
      <c r="BQ275" s="121">
        <f t="shared" ref="BQ275:EB275" si="1577">SUM(BQ274)</f>
        <v>6219080</v>
      </c>
      <c r="BR275" s="121">
        <f t="shared" si="1577"/>
        <v>0</v>
      </c>
      <c r="BS275" s="121">
        <f t="shared" si="1577"/>
        <v>0</v>
      </c>
      <c r="BT275" s="121">
        <f t="shared" si="1577"/>
        <v>6219080</v>
      </c>
      <c r="BU275" s="121">
        <f t="shared" si="1577"/>
        <v>0</v>
      </c>
      <c r="BV275" s="121">
        <f t="shared" si="1577"/>
        <v>6219080</v>
      </c>
      <c r="BW275" s="121">
        <f t="shared" si="1577"/>
        <v>0</v>
      </c>
      <c r="BX275" s="121">
        <f t="shared" si="1577"/>
        <v>0</v>
      </c>
      <c r="BY275" s="121">
        <f t="shared" si="1577"/>
        <v>6219080</v>
      </c>
      <c r="BZ275" s="121">
        <f t="shared" si="1577"/>
        <v>0</v>
      </c>
      <c r="CA275" s="121">
        <f t="shared" si="1577"/>
        <v>6219080</v>
      </c>
      <c r="CB275" s="121">
        <f t="shared" si="1577"/>
        <v>0</v>
      </c>
      <c r="CC275" s="121">
        <f t="shared" si="1577"/>
        <v>0</v>
      </c>
      <c r="CD275" s="121">
        <f t="shared" si="1577"/>
        <v>6219080</v>
      </c>
      <c r="CE275" s="121">
        <f t="shared" si="1577"/>
        <v>0</v>
      </c>
      <c r="CF275" s="121">
        <f t="shared" si="1577"/>
        <v>6219080</v>
      </c>
      <c r="CG275" s="121">
        <f t="shared" si="1577"/>
        <v>0</v>
      </c>
      <c r="CH275" s="121">
        <f t="shared" si="1577"/>
        <v>0</v>
      </c>
      <c r="CI275" s="121">
        <f t="shared" si="1577"/>
        <v>6219080</v>
      </c>
      <c r="CJ275" s="121">
        <f t="shared" si="1577"/>
        <v>0</v>
      </c>
      <c r="CK275" s="121">
        <f t="shared" si="1577"/>
        <v>6219080</v>
      </c>
      <c r="CL275" s="121">
        <f t="shared" si="1577"/>
        <v>0</v>
      </c>
      <c r="CM275" s="121">
        <f t="shared" si="1577"/>
        <v>0</v>
      </c>
      <c r="CN275" s="121">
        <f t="shared" si="1577"/>
        <v>6219080</v>
      </c>
      <c r="CO275" s="121">
        <f t="shared" si="1577"/>
        <v>0</v>
      </c>
      <c r="CP275" s="121">
        <f t="shared" si="1577"/>
        <v>6219080</v>
      </c>
      <c r="CQ275" s="121">
        <f t="shared" si="1577"/>
        <v>0</v>
      </c>
      <c r="CR275" s="121">
        <f t="shared" si="1577"/>
        <v>0</v>
      </c>
      <c r="CS275" s="121">
        <f t="shared" si="1577"/>
        <v>6219080</v>
      </c>
      <c r="CT275" s="121">
        <f t="shared" si="1577"/>
        <v>0</v>
      </c>
      <c r="CU275" s="121">
        <f t="shared" si="1577"/>
        <v>6219080</v>
      </c>
      <c r="CV275" s="121">
        <f t="shared" si="1577"/>
        <v>0</v>
      </c>
      <c r="CW275" s="121">
        <f t="shared" si="1577"/>
        <v>0</v>
      </c>
      <c r="CX275" s="121">
        <f t="shared" si="1577"/>
        <v>6219080</v>
      </c>
      <c r="CY275" s="121">
        <f t="shared" si="1577"/>
        <v>0</v>
      </c>
      <c r="CZ275" s="121">
        <f t="shared" si="1577"/>
        <v>0</v>
      </c>
      <c r="DA275" s="121">
        <f t="shared" si="1577"/>
        <v>0</v>
      </c>
      <c r="DB275" s="121">
        <f t="shared" si="1577"/>
        <v>0</v>
      </c>
      <c r="DC275" s="121">
        <f t="shared" si="1577"/>
        <v>621908</v>
      </c>
      <c r="DD275" s="121">
        <f t="shared" si="1577"/>
        <v>0</v>
      </c>
      <c r="DE275" s="121">
        <f t="shared" si="1577"/>
        <v>621908</v>
      </c>
      <c r="DF275" s="121">
        <f t="shared" si="1577"/>
        <v>621908</v>
      </c>
      <c r="DG275" s="121">
        <f t="shared" si="1577"/>
        <v>6840988</v>
      </c>
      <c r="DH275" s="121">
        <f t="shared" si="1577"/>
        <v>0.4864748781561743</v>
      </c>
      <c r="DI275" s="121">
        <f t="shared" si="1577"/>
        <v>6219080</v>
      </c>
      <c r="DJ275" s="121">
        <f t="shared" si="1577"/>
        <v>6840988.0000000009</v>
      </c>
      <c r="DK275" s="121">
        <f t="shared" si="1577"/>
        <v>621908.00000000093</v>
      </c>
      <c r="DL275" s="121">
        <f t="shared" si="1577"/>
        <v>0</v>
      </c>
      <c r="DM275" s="121">
        <f t="shared" si="1577"/>
        <v>621908.00000000093</v>
      </c>
      <c r="DN275" s="121">
        <f t="shared" si="1577"/>
        <v>9.3132257461547852E-10</v>
      </c>
      <c r="DO275" s="121">
        <f t="shared" si="1577"/>
        <v>6840988.0000000009</v>
      </c>
      <c r="DP275" s="121">
        <f t="shared" si="1577"/>
        <v>0</v>
      </c>
      <c r="DQ275" s="121">
        <f t="shared" si="1577"/>
        <v>6840988</v>
      </c>
      <c r="DR275" s="121">
        <f t="shared" si="1577"/>
        <v>0</v>
      </c>
      <c r="DS275" s="121">
        <f t="shared" si="1577"/>
        <v>0</v>
      </c>
      <c r="DT275" s="121">
        <f t="shared" si="1577"/>
        <v>6840988</v>
      </c>
      <c r="DU275" s="121">
        <f t="shared" si="1577"/>
        <v>6840988</v>
      </c>
      <c r="DV275" s="121">
        <f t="shared" si="1577"/>
        <v>0</v>
      </c>
      <c r="DW275" s="121">
        <f t="shared" si="1577"/>
        <v>6840988</v>
      </c>
      <c r="DX275" s="121">
        <f t="shared" si="1577"/>
        <v>0</v>
      </c>
      <c r="DY275" s="121">
        <f t="shared" si="1577"/>
        <v>0</v>
      </c>
      <c r="DZ275" s="121">
        <f t="shared" si="1577"/>
        <v>6840988</v>
      </c>
      <c r="EA275" s="121">
        <f t="shared" si="1577"/>
        <v>6840988</v>
      </c>
      <c r="EB275" s="121">
        <f t="shared" si="1577"/>
        <v>0</v>
      </c>
      <c r="EC275" s="121">
        <f t="shared" ref="EC275:FL275" si="1578">SUM(EC274)</f>
        <v>6840988</v>
      </c>
      <c r="ED275" s="121">
        <f t="shared" si="1578"/>
        <v>0</v>
      </c>
      <c r="EE275" s="121">
        <f t="shared" si="1578"/>
        <v>0</v>
      </c>
      <c r="EF275" s="121">
        <f t="shared" si="1578"/>
        <v>6840988</v>
      </c>
      <c r="EG275" s="121">
        <f t="shared" si="1578"/>
        <v>6840988</v>
      </c>
      <c r="EH275" s="121">
        <f t="shared" si="1578"/>
        <v>0</v>
      </c>
      <c r="EI275" s="121">
        <f t="shared" si="1578"/>
        <v>6840988</v>
      </c>
      <c r="EJ275" s="121">
        <f t="shared" si="1578"/>
        <v>0</v>
      </c>
      <c r="EK275" s="121">
        <f t="shared" si="1578"/>
        <v>0</v>
      </c>
      <c r="EL275" s="121">
        <f t="shared" si="1578"/>
        <v>6840988</v>
      </c>
      <c r="EM275" s="121">
        <f t="shared" si="1578"/>
        <v>6840988</v>
      </c>
      <c r="EN275" s="121">
        <f t="shared" si="1578"/>
        <v>0</v>
      </c>
      <c r="EO275" s="121">
        <f t="shared" si="1578"/>
        <v>6840988</v>
      </c>
      <c r="EP275" s="121">
        <f t="shared" si="1578"/>
        <v>0</v>
      </c>
      <c r="EQ275" s="121">
        <f t="shared" si="1578"/>
        <v>0</v>
      </c>
      <c r="ER275" s="121">
        <f t="shared" si="1578"/>
        <v>6840988</v>
      </c>
      <c r="ES275" s="121">
        <f t="shared" si="1578"/>
        <v>6840988</v>
      </c>
      <c r="ET275" s="121">
        <f t="shared" si="1578"/>
        <v>0</v>
      </c>
      <c r="EU275" s="121">
        <f t="shared" si="1578"/>
        <v>6840988</v>
      </c>
      <c r="EV275" s="121">
        <f t="shared" si="1578"/>
        <v>0</v>
      </c>
      <c r="EW275" s="121">
        <f t="shared" si="1578"/>
        <v>0</v>
      </c>
      <c r="EX275" s="121">
        <f t="shared" si="1578"/>
        <v>6840988</v>
      </c>
      <c r="EY275" s="121">
        <f t="shared" si="1578"/>
        <v>6840988</v>
      </c>
      <c r="EZ275" s="121">
        <f t="shared" si="1578"/>
        <v>0</v>
      </c>
      <c r="FA275" s="121">
        <f t="shared" si="1578"/>
        <v>6840988</v>
      </c>
      <c r="FB275" s="121">
        <f t="shared" si="1578"/>
        <v>0</v>
      </c>
      <c r="FC275" s="121">
        <f t="shared" si="1578"/>
        <v>0</v>
      </c>
      <c r="FD275" s="121">
        <f t="shared" si="1578"/>
        <v>6840988</v>
      </c>
      <c r="FE275" s="121">
        <f t="shared" si="1578"/>
        <v>6840988</v>
      </c>
      <c r="FF275" s="121">
        <f t="shared" si="1578"/>
        <v>0</v>
      </c>
      <c r="FG275" s="121">
        <f t="shared" si="1578"/>
        <v>6840988</v>
      </c>
      <c r="FH275" s="121">
        <f t="shared" si="1578"/>
        <v>0</v>
      </c>
      <c r="FI275" s="121">
        <f t="shared" si="1578"/>
        <v>0</v>
      </c>
      <c r="FJ275" s="121">
        <f t="shared" si="1578"/>
        <v>6840988</v>
      </c>
      <c r="FK275" s="121">
        <f t="shared" si="1578"/>
        <v>6840988</v>
      </c>
      <c r="FL275" s="121">
        <f t="shared" si="1578"/>
        <v>0</v>
      </c>
      <c r="FM275" s="121">
        <f t="shared" ref="FM275:FR275" si="1579">SUM(FM274)</f>
        <v>6840988</v>
      </c>
      <c r="FN275" s="121">
        <f t="shared" si="1579"/>
        <v>0</v>
      </c>
      <c r="FO275" s="121">
        <f t="shared" si="1579"/>
        <v>0</v>
      </c>
      <c r="FP275" s="121">
        <f t="shared" si="1579"/>
        <v>6840988</v>
      </c>
      <c r="FQ275" s="121">
        <f t="shared" si="1579"/>
        <v>6840988</v>
      </c>
      <c r="FR275" s="121">
        <f t="shared" si="1579"/>
        <v>0</v>
      </c>
      <c r="FS275" s="121">
        <f t="shared" ref="FS275:FX275" si="1580">SUM(FS274)</f>
        <v>6840988</v>
      </c>
      <c r="FT275" s="121">
        <f t="shared" si="1580"/>
        <v>0</v>
      </c>
      <c r="FU275" s="121">
        <f t="shared" si="1580"/>
        <v>0</v>
      </c>
      <c r="FV275" s="121">
        <f t="shared" si="1580"/>
        <v>6840988</v>
      </c>
      <c r="FW275" s="121">
        <f t="shared" si="1580"/>
        <v>6840988</v>
      </c>
      <c r="FX275" s="121">
        <f t="shared" si="1580"/>
        <v>0</v>
      </c>
      <c r="FY275" s="121">
        <f t="shared" ref="FY275:GD275" si="1581">SUM(FY274)</f>
        <v>6840988</v>
      </c>
      <c r="FZ275" s="121">
        <f t="shared" si="1581"/>
        <v>0</v>
      </c>
      <c r="GA275" s="121">
        <f t="shared" si="1581"/>
        <v>0</v>
      </c>
      <c r="GB275" s="121">
        <f t="shared" si="1581"/>
        <v>6840988</v>
      </c>
      <c r="GC275" s="121">
        <f t="shared" si="1581"/>
        <v>6840988</v>
      </c>
      <c r="GD275" s="121">
        <f t="shared" si="1581"/>
        <v>0</v>
      </c>
      <c r="GE275" s="121">
        <f t="shared" ref="GE275:GJ275" si="1582">SUM(GE274)</f>
        <v>6840988</v>
      </c>
      <c r="GF275" s="121">
        <f t="shared" si="1582"/>
        <v>0</v>
      </c>
      <c r="GG275" s="121">
        <f t="shared" si="1582"/>
        <v>0</v>
      </c>
      <c r="GH275" s="121">
        <f t="shared" si="1582"/>
        <v>6840988</v>
      </c>
      <c r="GI275" s="121">
        <f t="shared" si="1582"/>
        <v>6840988</v>
      </c>
      <c r="GJ275" s="121">
        <f t="shared" si="1582"/>
        <v>0</v>
      </c>
      <c r="GK275" s="121">
        <f t="shared" ref="GK275:GP275" si="1583">SUM(GK274)</f>
        <v>6840988</v>
      </c>
      <c r="GL275" s="121">
        <f t="shared" si="1583"/>
        <v>0</v>
      </c>
      <c r="GM275" s="121">
        <f t="shared" si="1583"/>
        <v>0</v>
      </c>
      <c r="GN275" s="121">
        <f t="shared" si="1583"/>
        <v>6840988</v>
      </c>
      <c r="GO275" s="121">
        <f t="shared" si="1583"/>
        <v>6840988</v>
      </c>
      <c r="GP275" s="121">
        <f t="shared" si="1583"/>
        <v>0</v>
      </c>
      <c r="GQ275" s="121">
        <f t="shared" ref="GQ275:GV275" si="1584">SUM(GQ274)</f>
        <v>6840988</v>
      </c>
      <c r="GR275" s="121">
        <f t="shared" si="1584"/>
        <v>0</v>
      </c>
      <c r="GS275" s="121">
        <f t="shared" si="1584"/>
        <v>0</v>
      </c>
      <c r="GT275" s="121">
        <f t="shared" si="1584"/>
        <v>6840988</v>
      </c>
      <c r="GU275" s="121">
        <f t="shared" si="1584"/>
        <v>6840988</v>
      </c>
      <c r="GV275" s="121">
        <f t="shared" si="1584"/>
        <v>0</v>
      </c>
      <c r="GW275" s="121">
        <f t="shared" ref="GW275:HB275" si="1585">SUM(GW274)</f>
        <v>7183037</v>
      </c>
      <c r="GX275" s="121">
        <f t="shared" si="1585"/>
        <v>0</v>
      </c>
      <c r="GY275" s="121">
        <f t="shared" si="1585"/>
        <v>0</v>
      </c>
      <c r="GZ275" s="121">
        <f t="shared" si="1585"/>
        <v>7183037</v>
      </c>
      <c r="HA275" s="121">
        <f t="shared" si="1585"/>
        <v>7183037</v>
      </c>
      <c r="HB275" s="121">
        <f t="shared" si="1585"/>
        <v>342049</v>
      </c>
      <c r="HC275" s="121">
        <f>SUM(HC274)</f>
        <v>0.4864748781561743</v>
      </c>
      <c r="HD275" s="285">
        <f>HB275-HO275</f>
        <v>0</v>
      </c>
      <c r="HE275" s="12">
        <f>GT275*0.05</f>
        <v>342049.4</v>
      </c>
      <c r="HF275" s="12">
        <f>IF(ISNUMBER($HE275), $HE275-INT($HE275), "")</f>
        <v>0.40000000002328306</v>
      </c>
      <c r="HG275" s="12">
        <f>HE275-HF275</f>
        <v>342049</v>
      </c>
      <c r="HH275" s="14">
        <f>HG275:HG275</f>
        <v>342049</v>
      </c>
      <c r="HI275" s="13">
        <f>HG275+GT275</f>
        <v>7183037</v>
      </c>
      <c r="HJ275" s="102">
        <f>100/1406236643.9*HI275</f>
        <v>0.51079859361926838</v>
      </c>
      <c r="HK275" s="16">
        <f>GT275</f>
        <v>6840988</v>
      </c>
      <c r="HL275" s="103">
        <f>HK275*1.05</f>
        <v>7183037.4000000004</v>
      </c>
      <c r="HM275" s="103">
        <f>HL275-HK275</f>
        <v>342049.40000000037</v>
      </c>
      <c r="HN275" s="17">
        <f>HF275</f>
        <v>0.40000000002328306</v>
      </c>
      <c r="HO275" s="56">
        <f>HM275-HN275</f>
        <v>342049.00000000035</v>
      </c>
      <c r="HP275" s="16">
        <f>HO275-HG275</f>
        <v>0</v>
      </c>
      <c r="HQ275" s="16">
        <f>HO275+HK275</f>
        <v>7183037</v>
      </c>
      <c r="HR275" s="16">
        <f>HQ275-HI275</f>
        <v>0</v>
      </c>
    </row>
    <row r="277" spans="1:226" x14ac:dyDescent="0.3">
      <c r="A277" s="100"/>
      <c r="B277" s="100"/>
      <c r="C277" s="100"/>
      <c r="D277" s="100"/>
      <c r="M277" s="100"/>
      <c r="N277" s="100"/>
      <c r="O277" s="100"/>
      <c r="P277" s="100"/>
      <c r="Q277" s="100"/>
      <c r="R277" s="100"/>
      <c r="S277" s="100"/>
      <c r="T277" s="100"/>
      <c r="U277" s="100"/>
      <c r="V277" s="100"/>
      <c r="W277" s="100"/>
      <c r="X277" s="100"/>
      <c r="Y277" s="100"/>
      <c r="Z277" s="100"/>
      <c r="AA277" s="100"/>
      <c r="AB277" s="100"/>
      <c r="AC277" s="100"/>
      <c r="AD277" s="100"/>
      <c r="AE277" s="100"/>
      <c r="AF277" s="100"/>
      <c r="AG277" s="100"/>
      <c r="AH277" s="100"/>
      <c r="AI277" s="100"/>
      <c r="AJ277" s="100"/>
      <c r="AK277" s="100"/>
      <c r="AL277" s="100"/>
      <c r="AM277" s="100"/>
      <c r="AN277" s="100"/>
      <c r="AO277" s="100"/>
      <c r="AP277" s="100"/>
      <c r="AQ277" s="100"/>
      <c r="AR277" s="100"/>
      <c r="AS277" s="100"/>
      <c r="AT277" s="100"/>
      <c r="AU277" s="100"/>
      <c r="AV277" s="100"/>
      <c r="AW277" s="100"/>
      <c r="AX277" s="100"/>
      <c r="AY277" s="127">
        <f>AY30*10*5%</f>
        <v>17172098</v>
      </c>
      <c r="AZ277" s="100"/>
      <c r="BA277" s="100"/>
      <c r="BB277" s="100"/>
      <c r="BC277" s="100"/>
      <c r="BD277" s="100"/>
      <c r="BE277" s="100"/>
      <c r="BF277" s="100"/>
      <c r="BG277" s="100"/>
      <c r="BH277" s="100"/>
      <c r="BI277" s="100"/>
      <c r="BJ277" s="100"/>
      <c r="BK277" s="100"/>
      <c r="BL277" s="100"/>
      <c r="BM277" s="100"/>
      <c r="BN277" s="100"/>
      <c r="BO277" s="100"/>
      <c r="BP277" s="100"/>
      <c r="BQ277" s="100"/>
      <c r="BR277" s="100"/>
      <c r="BS277" s="100"/>
      <c r="BT277" s="100"/>
      <c r="BU277" s="100"/>
      <c r="BV277" s="100"/>
      <c r="BW277" s="100"/>
      <c r="BX277" s="100"/>
      <c r="BY277" s="100"/>
      <c r="BZ277" s="100"/>
      <c r="CA277" s="100"/>
      <c r="CB277" s="100"/>
      <c r="CC277" s="100"/>
      <c r="CD277" s="100"/>
      <c r="CE277" s="100"/>
      <c r="CF277" s="100"/>
      <c r="CG277" s="100"/>
      <c r="CH277" s="100"/>
      <c r="CI277" s="100"/>
      <c r="CJ277" s="100"/>
      <c r="CK277" s="100"/>
      <c r="CL277" s="100"/>
      <c r="CM277" s="100"/>
      <c r="CN277" s="100"/>
      <c r="CO277" s="100"/>
      <c r="CP277" s="100"/>
      <c r="CQ277" s="100"/>
      <c r="CR277" s="100"/>
      <c r="CS277" s="100"/>
      <c r="CT277" s="100"/>
      <c r="CU277" s="100"/>
      <c r="CV277" s="100"/>
      <c r="CW277" s="100"/>
      <c r="CX277" s="100"/>
      <c r="CY277" s="100"/>
      <c r="CZ277" s="100"/>
      <c r="DA277" s="100"/>
      <c r="DB277" s="100"/>
      <c r="DC277" s="100"/>
      <c r="DD277" s="100"/>
      <c r="DE277" s="100"/>
      <c r="DF277" s="100"/>
      <c r="DG277" s="100"/>
      <c r="DH277" s="100"/>
    </row>
    <row r="278" spans="1:226" x14ac:dyDescent="0.3">
      <c r="A278" s="100"/>
      <c r="B278" s="100"/>
      <c r="C278" s="100"/>
      <c r="D278" s="100"/>
      <c r="M278" s="100"/>
      <c r="N278" s="100"/>
      <c r="O278" s="100"/>
      <c r="P278" s="100"/>
      <c r="Q278" s="100"/>
      <c r="R278" s="100"/>
      <c r="S278" s="100"/>
      <c r="T278" s="100"/>
      <c r="U278" s="100"/>
      <c r="V278" s="100"/>
      <c r="W278" s="100"/>
      <c r="X278" s="100"/>
      <c r="Y278" s="100"/>
      <c r="Z278" s="100"/>
      <c r="AA278" s="100"/>
      <c r="AB278" s="100"/>
      <c r="AC278" s="100"/>
      <c r="AD278" s="100"/>
      <c r="AE278" s="100"/>
      <c r="AF278" s="100"/>
      <c r="AG278" s="100"/>
      <c r="AH278" s="100"/>
      <c r="AI278" s="100"/>
      <c r="AJ278" s="100"/>
      <c r="AK278" s="100"/>
      <c r="AL278" s="100"/>
      <c r="AM278" s="100"/>
      <c r="AN278" s="100"/>
      <c r="AO278" s="100"/>
      <c r="AP278" s="100"/>
      <c r="AQ278" s="100"/>
      <c r="AR278" s="100"/>
      <c r="AS278" s="100"/>
      <c r="AT278" s="100"/>
      <c r="AU278" s="100"/>
      <c r="AV278" s="100"/>
      <c r="AW278" s="100"/>
      <c r="AX278" s="100"/>
      <c r="AY278" s="129">
        <f>AY30*10*5%</f>
        <v>17172098</v>
      </c>
      <c r="AZ278" s="100"/>
      <c r="BA278" s="100"/>
      <c r="BB278" s="100"/>
      <c r="BC278" s="100"/>
      <c r="BD278" s="100"/>
      <c r="BE278" s="100"/>
      <c r="BF278" s="100"/>
      <c r="BG278" s="100"/>
      <c r="BH278" s="100"/>
      <c r="BI278" s="100"/>
      <c r="BJ278" s="100"/>
      <c r="BK278" s="100"/>
      <c r="BL278" s="100"/>
      <c r="BM278" s="100"/>
      <c r="BN278" s="100"/>
      <c r="BO278" s="100"/>
      <c r="BP278" s="100"/>
      <c r="BQ278" s="100"/>
      <c r="BR278" s="100"/>
      <c r="BS278" s="100"/>
      <c r="BT278" s="100"/>
      <c r="BU278" s="100"/>
      <c r="BV278" s="100"/>
      <c r="BW278" s="100"/>
      <c r="BX278" s="100"/>
      <c r="BY278" s="100"/>
      <c r="BZ278" s="100"/>
      <c r="CA278" s="100"/>
      <c r="CB278" s="100"/>
      <c r="CC278" s="100"/>
      <c r="CD278" s="100"/>
      <c r="CE278" s="100"/>
      <c r="CF278" s="100"/>
      <c r="CG278" s="100"/>
      <c r="CH278" s="100"/>
      <c r="CI278" s="100"/>
      <c r="CJ278" s="100"/>
      <c r="CK278" s="100"/>
      <c r="CL278" s="100"/>
      <c r="CM278" s="100"/>
      <c r="CN278" s="100"/>
      <c r="CO278" s="100"/>
      <c r="CP278" s="100"/>
      <c r="CQ278" s="100"/>
      <c r="CR278" s="100"/>
      <c r="CS278" s="100"/>
      <c r="CT278" s="100"/>
      <c r="CU278" s="100"/>
      <c r="CV278" s="100"/>
      <c r="CW278" s="100"/>
      <c r="CX278" s="100"/>
      <c r="CY278" s="100"/>
      <c r="CZ278" s="100"/>
      <c r="DA278" s="100"/>
      <c r="DB278" s="100"/>
      <c r="DC278" s="100"/>
      <c r="DD278" s="100"/>
      <c r="DE278" s="100"/>
      <c r="DF278" s="100"/>
      <c r="DG278" s="100"/>
      <c r="DH278" s="100"/>
    </row>
    <row r="282" spans="1:226" s="74" customFormat="1" ht="52.5" customHeight="1" x14ac:dyDescent="0.3">
      <c r="A282" s="85" t="s">
        <v>0</v>
      </c>
      <c r="B282" s="85" t="s">
        <v>1</v>
      </c>
      <c r="C282" s="85" t="s">
        <v>217</v>
      </c>
      <c r="D282" s="86" t="s">
        <v>218</v>
      </c>
      <c r="E282" s="87" t="s">
        <v>233</v>
      </c>
      <c r="F282" s="87" t="s">
        <v>234</v>
      </c>
      <c r="G282" s="87" t="s">
        <v>235</v>
      </c>
      <c r="H282" s="87" t="s">
        <v>383</v>
      </c>
      <c r="I282" s="87" t="s">
        <v>382</v>
      </c>
      <c r="J282" s="87" t="s">
        <v>381</v>
      </c>
      <c r="K282" s="87" t="s">
        <v>380</v>
      </c>
      <c r="L282" s="87" t="s">
        <v>379</v>
      </c>
      <c r="M282" s="87" t="s">
        <v>378</v>
      </c>
      <c r="N282" s="87" t="s">
        <v>377</v>
      </c>
      <c r="O282" s="87" t="s">
        <v>394</v>
      </c>
      <c r="P282" s="87" t="s">
        <v>413</v>
      </c>
      <c r="Q282" s="87" t="s">
        <v>415</v>
      </c>
      <c r="R282" s="87" t="s">
        <v>417</v>
      </c>
      <c r="S282" s="87" t="s">
        <v>420</v>
      </c>
      <c r="T282" s="87" t="s">
        <v>421</v>
      </c>
      <c r="U282" s="87" t="s">
        <v>425</v>
      </c>
      <c r="V282" s="87" t="s">
        <v>426</v>
      </c>
      <c r="W282" s="87" t="s">
        <v>424</v>
      </c>
      <c r="X282" s="87" t="s">
        <v>437</v>
      </c>
      <c r="Y282" s="87" t="s">
        <v>439</v>
      </c>
      <c r="Z282" s="87" t="s">
        <v>447</v>
      </c>
      <c r="AA282" s="87" t="s">
        <v>458</v>
      </c>
      <c r="AB282" s="590" t="s">
        <v>459</v>
      </c>
      <c r="AC282" s="591"/>
      <c r="AD282" s="591"/>
      <c r="AE282" s="592"/>
      <c r="AF282" s="596" t="s">
        <v>462</v>
      </c>
      <c r="AG282" s="597"/>
      <c r="AH282" s="597"/>
      <c r="AI282" s="598"/>
      <c r="AJ282" s="590" t="s">
        <v>466</v>
      </c>
      <c r="AK282" s="591"/>
      <c r="AL282" s="591"/>
      <c r="AM282" s="592"/>
      <c r="AN282" s="596" t="s">
        <v>470</v>
      </c>
      <c r="AO282" s="597"/>
      <c r="AP282" s="597"/>
      <c r="AQ282" s="598"/>
      <c r="AR282" s="590" t="s">
        <v>478</v>
      </c>
      <c r="AS282" s="591"/>
      <c r="AT282" s="591"/>
      <c r="AU282" s="592"/>
      <c r="AV282" s="596" t="s">
        <v>483</v>
      </c>
      <c r="AW282" s="597"/>
      <c r="AX282" s="597"/>
      <c r="AY282" s="598"/>
      <c r="AZ282" s="436" t="s">
        <v>503</v>
      </c>
      <c r="BA282" s="436" t="s">
        <v>488</v>
      </c>
      <c r="BB282" s="436" t="s">
        <v>489</v>
      </c>
      <c r="BC282" s="436" t="s">
        <v>423</v>
      </c>
      <c r="BD282" s="436" t="s">
        <v>507</v>
      </c>
      <c r="BE282" s="436" t="s">
        <v>531</v>
      </c>
      <c r="BF282" s="437" t="s">
        <v>508</v>
      </c>
      <c r="BG282" s="437" t="s">
        <v>509</v>
      </c>
      <c r="BH282" s="590" t="s">
        <v>532</v>
      </c>
      <c r="BI282" s="591"/>
      <c r="BJ282" s="591"/>
      <c r="BK282" s="592"/>
      <c r="BL282" s="596" t="s">
        <v>539</v>
      </c>
      <c r="BM282" s="597"/>
      <c r="BN282" s="597"/>
      <c r="BO282" s="598"/>
      <c r="BP282" s="438" t="s">
        <v>538</v>
      </c>
      <c r="BQ282" s="590" t="s">
        <v>542</v>
      </c>
      <c r="BR282" s="591"/>
      <c r="BS282" s="591"/>
      <c r="BT282" s="592"/>
      <c r="BU282" s="438" t="s">
        <v>541</v>
      </c>
      <c r="BV282" s="590" t="s">
        <v>552</v>
      </c>
      <c r="BW282" s="591"/>
      <c r="BX282" s="591"/>
      <c r="BY282" s="592"/>
      <c r="BZ282" s="438" t="s">
        <v>553</v>
      </c>
      <c r="CA282" s="590" t="s">
        <v>578</v>
      </c>
      <c r="CB282" s="591"/>
      <c r="CC282" s="591"/>
      <c r="CD282" s="592"/>
      <c r="CE282" s="438" t="s">
        <v>579</v>
      </c>
      <c r="CF282" s="590" t="s">
        <v>581</v>
      </c>
      <c r="CG282" s="591"/>
      <c r="CH282" s="591"/>
      <c r="CI282" s="592"/>
      <c r="CJ282" s="438" t="s">
        <v>580</v>
      </c>
      <c r="CK282" s="590" t="s">
        <v>585</v>
      </c>
      <c r="CL282" s="591"/>
      <c r="CM282" s="591"/>
      <c r="CN282" s="592"/>
      <c r="CO282" s="438" t="s">
        <v>586</v>
      </c>
      <c r="CP282" s="590" t="s">
        <v>587</v>
      </c>
      <c r="CQ282" s="591"/>
      <c r="CR282" s="591"/>
      <c r="CS282" s="592"/>
      <c r="CT282" s="438" t="s">
        <v>588</v>
      </c>
      <c r="CU282" s="590" t="s">
        <v>590</v>
      </c>
      <c r="CV282" s="591"/>
      <c r="CW282" s="591"/>
      <c r="CX282" s="592"/>
      <c r="CY282" s="438" t="s">
        <v>592</v>
      </c>
      <c r="CZ282" s="294"/>
      <c r="DA282" s="294"/>
      <c r="DB282" s="294"/>
      <c r="DC282" s="95" t="s">
        <v>602</v>
      </c>
      <c r="DD282" s="95" t="s">
        <v>488</v>
      </c>
      <c r="DE282" s="95" t="s">
        <v>489</v>
      </c>
      <c r="DF282" s="95" t="s">
        <v>603</v>
      </c>
      <c r="DG282" s="95" t="s">
        <v>423</v>
      </c>
      <c r="DH282" s="85" t="s">
        <v>2</v>
      </c>
      <c r="DI282" s="593" t="s">
        <v>613</v>
      </c>
      <c r="DJ282" s="594"/>
      <c r="DK282" s="594"/>
      <c r="DL282" s="594"/>
      <c r="DM282" s="594"/>
      <c r="DN282" s="594"/>
      <c r="DO282" s="594"/>
      <c r="DP282" s="595"/>
      <c r="DQ282" s="584" t="s">
        <v>614</v>
      </c>
      <c r="DR282" s="585"/>
      <c r="DS282" s="585"/>
      <c r="DT282" s="585"/>
      <c r="DU282" s="586"/>
      <c r="DV282" s="87" t="s">
        <v>615</v>
      </c>
      <c r="DW282" s="584" t="s">
        <v>623</v>
      </c>
      <c r="DX282" s="585"/>
      <c r="DY282" s="585"/>
      <c r="DZ282" s="585"/>
      <c r="EA282" s="586"/>
      <c r="EB282" s="87" t="s">
        <v>624</v>
      </c>
      <c r="EC282" s="584" t="s">
        <v>627</v>
      </c>
      <c r="ED282" s="585"/>
      <c r="EE282" s="585"/>
      <c r="EF282" s="585"/>
      <c r="EG282" s="586"/>
      <c r="EH282" s="87" t="s">
        <v>628</v>
      </c>
      <c r="EI282" s="584" t="s">
        <v>631</v>
      </c>
      <c r="EJ282" s="585"/>
      <c r="EK282" s="585"/>
      <c r="EL282" s="585"/>
      <c r="EM282" s="586"/>
      <c r="EN282" s="87" t="s">
        <v>632</v>
      </c>
      <c r="EO282" s="584" t="s">
        <v>638</v>
      </c>
      <c r="EP282" s="585"/>
      <c r="EQ282" s="585"/>
      <c r="ER282" s="585"/>
      <c r="ES282" s="586"/>
      <c r="ET282" s="87" t="s">
        <v>637</v>
      </c>
      <c r="EU282" s="584" t="s">
        <v>641</v>
      </c>
      <c r="EV282" s="585"/>
      <c r="EW282" s="585"/>
      <c r="EX282" s="585"/>
      <c r="EY282" s="586"/>
      <c r="EZ282" s="87" t="s">
        <v>642</v>
      </c>
      <c r="FA282" s="584" t="s">
        <v>645</v>
      </c>
      <c r="FB282" s="585"/>
      <c r="FC282" s="585"/>
      <c r="FD282" s="585"/>
      <c r="FE282" s="586"/>
      <c r="FF282" s="87" t="s">
        <v>646</v>
      </c>
      <c r="FG282" s="584" t="s">
        <v>653</v>
      </c>
      <c r="FH282" s="585"/>
      <c r="FI282" s="585"/>
      <c r="FJ282" s="585"/>
      <c r="FK282" s="586"/>
      <c r="FL282" s="87" t="s">
        <v>654</v>
      </c>
      <c r="FM282" s="584" t="s">
        <v>662</v>
      </c>
      <c r="FN282" s="585"/>
      <c r="FO282" s="585"/>
      <c r="FP282" s="585"/>
      <c r="FQ282" s="586"/>
      <c r="FR282" s="87" t="s">
        <v>657</v>
      </c>
      <c r="FS282" s="584" t="s">
        <v>661</v>
      </c>
      <c r="FT282" s="585"/>
      <c r="FU282" s="585"/>
      <c r="FV282" s="585"/>
      <c r="FW282" s="586"/>
      <c r="FX282" s="87" t="s">
        <v>663</v>
      </c>
      <c r="FY282" s="584" t="s">
        <v>665</v>
      </c>
      <c r="FZ282" s="585"/>
      <c r="GA282" s="585"/>
      <c r="GB282" s="585"/>
      <c r="GC282" s="586"/>
      <c r="GD282" s="87" t="s">
        <v>666</v>
      </c>
      <c r="GE282" s="584" t="s">
        <v>668</v>
      </c>
      <c r="GF282" s="585"/>
      <c r="GG282" s="585"/>
      <c r="GH282" s="585"/>
      <c r="GI282" s="586"/>
      <c r="GJ282" s="87" t="s">
        <v>669</v>
      </c>
      <c r="GK282" s="584" t="s">
        <v>671</v>
      </c>
      <c r="GL282" s="585"/>
      <c r="GM282" s="585"/>
      <c r="GN282" s="585"/>
      <c r="GO282" s="586"/>
      <c r="GP282" s="87" t="s">
        <v>672</v>
      </c>
      <c r="GQ282" s="584" t="s">
        <v>674</v>
      </c>
      <c r="GR282" s="585"/>
      <c r="GS282" s="585"/>
      <c r="GT282" s="585"/>
      <c r="GU282" s="586"/>
      <c r="GV282" s="87" t="s">
        <v>675</v>
      </c>
      <c r="GW282" s="584" t="s">
        <v>696</v>
      </c>
      <c r="GX282" s="585"/>
      <c r="GY282" s="585"/>
      <c r="GZ282" s="585"/>
      <c r="HA282" s="586"/>
      <c r="HB282" s="87" t="s">
        <v>697</v>
      </c>
      <c r="HC282" s="85" t="s">
        <v>2</v>
      </c>
      <c r="HD282" s="6"/>
      <c r="HE282" s="587" t="s">
        <v>678</v>
      </c>
      <c r="HF282" s="588"/>
      <c r="HG282" s="588"/>
      <c r="HH282" s="588"/>
      <c r="HI282" s="589"/>
      <c r="HJ282" s="85" t="s">
        <v>2</v>
      </c>
      <c r="HK282" s="593" t="s">
        <v>698</v>
      </c>
      <c r="HL282" s="594"/>
      <c r="HM282" s="594"/>
      <c r="HN282" s="594"/>
      <c r="HO282" s="594"/>
      <c r="HP282" s="594"/>
      <c r="HQ282" s="594"/>
      <c r="HR282" s="594"/>
    </row>
    <row r="283" spans="1:226" s="74" customFormat="1" ht="20.399999999999999" x14ac:dyDescent="0.3">
      <c r="A283" s="85"/>
      <c r="B283" s="180"/>
      <c r="C283" s="85"/>
      <c r="D283" s="86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294"/>
      <c r="P283" s="294"/>
      <c r="Q283" s="294"/>
      <c r="R283" s="294"/>
      <c r="S283" s="294"/>
      <c r="T283" s="294"/>
      <c r="U283" s="294"/>
      <c r="V283" s="294"/>
      <c r="W283" s="294"/>
      <c r="X283" s="294"/>
      <c r="Y283" s="294"/>
      <c r="Z283" s="294"/>
      <c r="AA283" s="294"/>
      <c r="AB283" s="181"/>
      <c r="AC283" s="289"/>
      <c r="AD283" s="289"/>
      <c r="AE283" s="182"/>
      <c r="AF283" s="183"/>
      <c r="AG283" s="288"/>
      <c r="AH283" s="288"/>
      <c r="AI283" s="184"/>
      <c r="AJ283" s="181"/>
      <c r="AK283" s="289"/>
      <c r="AL283" s="289"/>
      <c r="AM283" s="182"/>
      <c r="AN283" s="183"/>
      <c r="AO283" s="288"/>
      <c r="AP283" s="288"/>
      <c r="AQ283" s="184"/>
      <c r="AR283" s="181"/>
      <c r="AS283" s="289"/>
      <c r="AT283" s="289"/>
      <c r="AU283" s="182"/>
      <c r="AV283" s="183"/>
      <c r="AW283" s="288"/>
      <c r="AX283" s="288"/>
      <c r="AY283" s="184"/>
      <c r="AZ283" s="129"/>
      <c r="BA283" s="129"/>
      <c r="BB283" s="129"/>
      <c r="BC283" s="129"/>
      <c r="BD283" s="129"/>
      <c r="BE283" s="129"/>
      <c r="BF283" s="20"/>
      <c r="BG283" s="20"/>
      <c r="BH283" s="181"/>
      <c r="BI283" s="185"/>
      <c r="BJ283" s="185"/>
      <c r="BK283" s="182"/>
      <c r="BL283" s="183"/>
      <c r="BM283" s="186"/>
      <c r="BN283" s="186"/>
      <c r="BO283" s="184"/>
      <c r="BP283" s="20"/>
      <c r="BQ283" s="181"/>
      <c r="BR283" s="185"/>
      <c r="BS283" s="185"/>
      <c r="BT283" s="182"/>
      <c r="BU283" s="20"/>
      <c r="BV283" s="181"/>
      <c r="BW283" s="185"/>
      <c r="BX283" s="185"/>
      <c r="BY283" s="182"/>
      <c r="BZ283" s="20"/>
      <c r="CA283" s="181"/>
      <c r="CB283" s="185"/>
      <c r="CC283" s="185"/>
      <c r="CD283" s="182"/>
      <c r="CE283" s="20"/>
      <c r="CF283" s="181"/>
      <c r="CG283" s="185"/>
      <c r="CH283" s="185"/>
      <c r="CI283" s="182"/>
      <c r="CJ283" s="20"/>
      <c r="CK283" s="181"/>
      <c r="CL283" s="185"/>
      <c r="CM283" s="185"/>
      <c r="CN283" s="182"/>
      <c r="CO283" s="20"/>
      <c r="CP283" s="181"/>
      <c r="CQ283" s="185"/>
      <c r="CR283" s="185"/>
      <c r="CS283" s="182"/>
      <c r="CT283" s="20"/>
      <c r="CU283" s="181"/>
      <c r="CV283" s="185"/>
      <c r="CW283" s="185"/>
      <c r="CX283" s="182"/>
      <c r="CY283" s="20"/>
      <c r="CZ283" s="294"/>
      <c r="DA283" s="294"/>
      <c r="DB283" s="294"/>
      <c r="DC283" s="95"/>
      <c r="DD283" s="95"/>
      <c r="DE283" s="95"/>
      <c r="DF283" s="95"/>
      <c r="DG283" s="95"/>
      <c r="DH283" s="89"/>
      <c r="DI283" s="290"/>
      <c r="DJ283" s="290"/>
      <c r="DK283" s="290"/>
      <c r="DL283" s="290"/>
      <c r="DM283" s="290"/>
      <c r="DN283" s="290"/>
      <c r="DO283" s="290"/>
      <c r="DP283" s="290"/>
      <c r="DQ283" s="291"/>
      <c r="DR283" s="292"/>
      <c r="DS283" s="292"/>
      <c r="DT283" s="292"/>
      <c r="DU283" s="293"/>
      <c r="DV283" s="87"/>
      <c r="DW283" s="291"/>
      <c r="DX283" s="292"/>
      <c r="DY283" s="292"/>
      <c r="DZ283" s="292"/>
      <c r="EA283" s="293"/>
      <c r="EB283" s="87"/>
      <c r="EC283" s="291"/>
      <c r="ED283" s="292"/>
      <c r="EE283" s="292"/>
      <c r="EF283" s="292"/>
      <c r="EG283" s="293"/>
      <c r="EH283" s="87"/>
      <c r="EI283" s="291"/>
      <c r="EJ283" s="292"/>
      <c r="EK283" s="292"/>
      <c r="EL283" s="292"/>
      <c r="EM283" s="293"/>
      <c r="EN283" s="87"/>
      <c r="EO283" s="291"/>
      <c r="EP283" s="292"/>
      <c r="EQ283" s="292"/>
      <c r="ER283" s="292"/>
      <c r="ES283" s="293"/>
      <c r="ET283" s="87"/>
      <c r="EU283" s="291"/>
      <c r="EV283" s="292"/>
      <c r="EW283" s="292"/>
      <c r="EX283" s="292"/>
      <c r="EY283" s="293"/>
      <c r="EZ283" s="87"/>
      <c r="FA283" s="291"/>
      <c r="FB283" s="292"/>
      <c r="FC283" s="292"/>
      <c r="FD283" s="292"/>
      <c r="FE283" s="293"/>
      <c r="FF283" s="87"/>
      <c r="FG283" s="112" t="s">
        <v>234</v>
      </c>
      <c r="FH283" s="112" t="s">
        <v>454</v>
      </c>
      <c r="FI283" s="112" t="s">
        <v>455</v>
      </c>
      <c r="FJ283" s="93" t="s">
        <v>456</v>
      </c>
      <c r="FK283" s="94" t="s">
        <v>457</v>
      </c>
      <c r="FL283" s="87"/>
      <c r="FM283" s="112" t="s">
        <v>234</v>
      </c>
      <c r="FN283" s="112" t="s">
        <v>454</v>
      </c>
      <c r="FO283" s="112" t="s">
        <v>455</v>
      </c>
      <c r="FP283" s="93" t="s">
        <v>456</v>
      </c>
      <c r="FQ283" s="94" t="s">
        <v>457</v>
      </c>
      <c r="FR283" s="87"/>
      <c r="FS283" s="112" t="s">
        <v>234</v>
      </c>
      <c r="FT283" s="112" t="s">
        <v>454</v>
      </c>
      <c r="FU283" s="112" t="s">
        <v>455</v>
      </c>
      <c r="FV283" s="93" t="s">
        <v>456</v>
      </c>
      <c r="FW283" s="94" t="s">
        <v>457</v>
      </c>
      <c r="FX283" s="87"/>
      <c r="FY283" s="112" t="s">
        <v>234</v>
      </c>
      <c r="FZ283" s="112" t="s">
        <v>454</v>
      </c>
      <c r="GA283" s="112" t="s">
        <v>455</v>
      </c>
      <c r="GB283" s="93" t="s">
        <v>456</v>
      </c>
      <c r="GC283" s="94" t="s">
        <v>457</v>
      </c>
      <c r="GD283" s="87"/>
      <c r="GE283" s="112" t="s">
        <v>234</v>
      </c>
      <c r="GF283" s="112" t="s">
        <v>454</v>
      </c>
      <c r="GG283" s="112" t="s">
        <v>455</v>
      </c>
      <c r="GH283" s="93" t="s">
        <v>456</v>
      </c>
      <c r="GI283" s="94" t="s">
        <v>457</v>
      </c>
      <c r="GJ283" s="87"/>
      <c r="GK283" s="112" t="s">
        <v>234</v>
      </c>
      <c r="GL283" s="112" t="s">
        <v>454</v>
      </c>
      <c r="GM283" s="112" t="s">
        <v>455</v>
      </c>
      <c r="GN283" s="93" t="s">
        <v>456</v>
      </c>
      <c r="GO283" s="94" t="s">
        <v>457</v>
      </c>
      <c r="GP283" s="87"/>
      <c r="GQ283" s="112" t="s">
        <v>234</v>
      </c>
      <c r="GR283" s="112" t="s">
        <v>454</v>
      </c>
      <c r="GS283" s="112" t="s">
        <v>455</v>
      </c>
      <c r="GT283" s="93" t="s">
        <v>456</v>
      </c>
      <c r="GU283" s="94" t="s">
        <v>457</v>
      </c>
      <c r="GV283" s="87"/>
      <c r="GW283" s="112" t="s">
        <v>234</v>
      </c>
      <c r="GX283" s="112" t="s">
        <v>454</v>
      </c>
      <c r="GY283" s="112" t="s">
        <v>455</v>
      </c>
      <c r="GZ283" s="93" t="s">
        <v>456</v>
      </c>
      <c r="HA283" s="94" t="s">
        <v>457</v>
      </c>
      <c r="HB283" s="87"/>
      <c r="HC283" s="85"/>
      <c r="HD283" s="6"/>
      <c r="HE283" s="95" t="s">
        <v>679</v>
      </c>
      <c r="HF283" s="95" t="s">
        <v>488</v>
      </c>
      <c r="HG283" s="220" t="s">
        <v>489</v>
      </c>
      <c r="HH283" s="95" t="s">
        <v>603</v>
      </c>
      <c r="HI283" s="95" t="s">
        <v>423</v>
      </c>
      <c r="HJ283" s="85"/>
      <c r="HK283" s="90" t="s">
        <v>680</v>
      </c>
      <c r="HL283" s="91" t="s">
        <v>681</v>
      </c>
      <c r="HM283" s="92" t="s">
        <v>606</v>
      </c>
      <c r="HN283" s="92" t="s">
        <v>607</v>
      </c>
      <c r="HO283" s="91" t="s">
        <v>608</v>
      </c>
      <c r="HP283" s="91" t="s">
        <v>609</v>
      </c>
      <c r="HQ283" s="92" t="s">
        <v>456</v>
      </c>
      <c r="HR283" s="91" t="s">
        <v>610</v>
      </c>
    </row>
    <row r="284" spans="1:226" x14ac:dyDescent="0.3">
      <c r="A284" s="310">
        <v>6</v>
      </c>
      <c r="B284" s="133"/>
      <c r="C284" s="310" t="s">
        <v>517</v>
      </c>
      <c r="D284" s="130" t="s">
        <v>515</v>
      </c>
      <c r="E284" s="9"/>
      <c r="F284" s="9"/>
      <c r="G284" s="9"/>
      <c r="H284" s="324"/>
      <c r="I284" s="324"/>
      <c r="J284" s="324"/>
      <c r="K284" s="324"/>
      <c r="L284" s="324"/>
      <c r="M284" s="23"/>
      <c r="N284" s="23"/>
      <c r="O284" s="298"/>
      <c r="P284" s="298"/>
      <c r="Q284" s="298"/>
      <c r="R284" s="298"/>
      <c r="S284" s="298"/>
      <c r="T284" s="298"/>
      <c r="U284" s="298"/>
      <c r="V284" s="298"/>
      <c r="W284" s="298"/>
      <c r="X284" s="298"/>
      <c r="Y284" s="298"/>
      <c r="Z284" s="298"/>
      <c r="AA284" s="298"/>
      <c r="AB284" s="298"/>
      <c r="AC284" s="9"/>
      <c r="AD284" s="9"/>
      <c r="AE284" s="298"/>
      <c r="AF284" s="298"/>
      <c r="AG284" s="9"/>
      <c r="AH284" s="9"/>
      <c r="AI284" s="298"/>
      <c r="AJ284" s="298"/>
      <c r="AK284" s="9"/>
      <c r="AL284" s="9"/>
      <c r="AM284" s="298"/>
      <c r="AN284" s="298"/>
      <c r="AO284" s="9"/>
      <c r="AP284" s="9"/>
      <c r="AQ284" s="298"/>
      <c r="AR284" s="298">
        <v>3000000</v>
      </c>
      <c r="AS284" s="9">
        <v>0</v>
      </c>
      <c r="AT284" s="9">
        <v>0</v>
      </c>
      <c r="AU284" s="298">
        <f>AT284+AS284+AR284</f>
        <v>3000000</v>
      </c>
      <c r="AV284" s="298">
        <f>AU284</f>
        <v>3000000</v>
      </c>
      <c r="AW284" s="9">
        <v>0</v>
      </c>
      <c r="AX284" s="9">
        <v>0</v>
      </c>
      <c r="AY284" s="298">
        <f>AX284+AW284+AV284</f>
        <v>3000000</v>
      </c>
      <c r="AZ284" s="8">
        <f>AY284*5%</f>
        <v>150000</v>
      </c>
      <c r="BA284" s="8">
        <v>0</v>
      </c>
      <c r="BB284" s="8">
        <f>AZ284-BA284</f>
        <v>150000</v>
      </c>
      <c r="BC284" s="8">
        <f>BB284+AY284</f>
        <v>3150000</v>
      </c>
      <c r="BD284" s="8"/>
      <c r="BE284" s="8">
        <f>BD284+BC284</f>
        <v>3150000</v>
      </c>
      <c r="BF284" s="10">
        <f>BE284-AY284</f>
        <v>150000</v>
      </c>
      <c r="BG284" s="11">
        <f>BF284-BB284</f>
        <v>0</v>
      </c>
      <c r="BH284" s="319">
        <v>3200000</v>
      </c>
      <c r="BI284" s="319">
        <v>0</v>
      </c>
      <c r="BJ284" s="319">
        <v>0</v>
      </c>
      <c r="BK284" s="319">
        <f>BJ284+BI284+BH284</f>
        <v>3200000</v>
      </c>
      <c r="BL284" s="319">
        <v>3200000</v>
      </c>
      <c r="BM284" s="319">
        <v>0</v>
      </c>
      <c r="BN284" s="319">
        <v>0</v>
      </c>
      <c r="BO284" s="319">
        <f>BN284+BM284+BL284</f>
        <v>3200000</v>
      </c>
      <c r="BP284" s="319">
        <f>BO284-BK284</f>
        <v>0</v>
      </c>
      <c r="BQ284" s="319">
        <v>3200000</v>
      </c>
      <c r="BR284" s="319">
        <v>0</v>
      </c>
      <c r="BS284" s="319">
        <v>0</v>
      </c>
      <c r="BT284" s="319">
        <f>BS284+BR284+BQ284</f>
        <v>3200000</v>
      </c>
      <c r="BU284" s="319">
        <f>BT284-BO284</f>
        <v>0</v>
      </c>
      <c r="BV284" s="319">
        <v>3200000</v>
      </c>
      <c r="BW284" s="319">
        <v>0</v>
      </c>
      <c r="BX284" s="319">
        <v>0</v>
      </c>
      <c r="BY284" s="319">
        <f>BX284+BW284+BV284</f>
        <v>3200000</v>
      </c>
      <c r="BZ284" s="319">
        <f>BY284-BT284</f>
        <v>0</v>
      </c>
      <c r="CA284" s="319">
        <v>3200000</v>
      </c>
      <c r="CB284" s="319">
        <v>0</v>
      </c>
      <c r="CC284" s="319">
        <v>0</v>
      </c>
      <c r="CD284" s="319">
        <f>CC284+CB284+CA284</f>
        <v>3200000</v>
      </c>
      <c r="CE284" s="319">
        <f>CD284-BY284</f>
        <v>0</v>
      </c>
      <c r="CF284" s="319">
        <v>3200000</v>
      </c>
      <c r="CG284" s="319">
        <v>0</v>
      </c>
      <c r="CH284" s="319">
        <v>0</v>
      </c>
      <c r="CI284" s="319">
        <f>CH284+CG284+CF284</f>
        <v>3200000</v>
      </c>
      <c r="CJ284" s="319">
        <f>CI284-CD284</f>
        <v>0</v>
      </c>
      <c r="CK284" s="319">
        <v>3200000</v>
      </c>
      <c r="CL284" s="319">
        <v>0</v>
      </c>
      <c r="CM284" s="319">
        <v>0</v>
      </c>
      <c r="CN284" s="319">
        <f>CM284+CL284+CK284</f>
        <v>3200000</v>
      </c>
      <c r="CO284" s="319">
        <f>CN284-CI284</f>
        <v>0</v>
      </c>
      <c r="CP284" s="319">
        <v>3200000</v>
      </c>
      <c r="CQ284" s="319">
        <v>0</v>
      </c>
      <c r="CR284" s="319">
        <v>0</v>
      </c>
      <c r="CS284" s="319">
        <f>CR284+CQ284+CP284</f>
        <v>3200000</v>
      </c>
      <c r="CT284" s="319">
        <f>CS284-CN284</f>
        <v>0</v>
      </c>
      <c r="CU284" s="319">
        <v>3200000</v>
      </c>
      <c r="CV284" s="319">
        <v>0</v>
      </c>
      <c r="CW284" s="319">
        <v>0</v>
      </c>
      <c r="CX284" s="319">
        <f>CW284+CV284+CU284</f>
        <v>3200000</v>
      </c>
      <c r="CY284" s="319">
        <f>CX284-CS284</f>
        <v>0</v>
      </c>
      <c r="CZ284" s="319"/>
      <c r="DA284" s="319"/>
      <c r="DB284" s="319"/>
      <c r="DC284" s="12">
        <f>CX284*10%</f>
        <v>320000</v>
      </c>
      <c r="DD284" s="12">
        <v>0</v>
      </c>
      <c r="DE284" s="13">
        <f>DC284-DD284</f>
        <v>320000</v>
      </c>
      <c r="DF284" s="14">
        <f>DE284:DE284</f>
        <v>320000</v>
      </c>
      <c r="DG284" s="13">
        <f>DE284+CX284</f>
        <v>3520000</v>
      </c>
      <c r="DH284" s="15">
        <f>100/1278396949*CX284</f>
        <v>0.25031348850629959</v>
      </c>
      <c r="DI284" s="16">
        <f>CX284</f>
        <v>3200000</v>
      </c>
      <c r="DJ284" s="132">
        <f>DI284*1.1</f>
        <v>3520000.0000000005</v>
      </c>
      <c r="DK284" s="17">
        <f>DJ284-DI284</f>
        <v>320000.00000000047</v>
      </c>
      <c r="DL284" s="17">
        <f>DD284</f>
        <v>0</v>
      </c>
      <c r="DM284" s="16">
        <f>DK284-DL284</f>
        <v>320000.00000000047</v>
      </c>
      <c r="DN284" s="16">
        <f>DM284-DE284</f>
        <v>4.6566128730773926E-10</v>
      </c>
      <c r="DO284" s="16">
        <f>DM284+DI284</f>
        <v>3520000.0000000005</v>
      </c>
      <c r="DP284" s="16">
        <f>DO284-DG284</f>
        <v>0</v>
      </c>
      <c r="DQ284" s="9">
        <v>3520000</v>
      </c>
      <c r="DR284" s="18" t="s">
        <v>238</v>
      </c>
      <c r="DS284" s="18" t="s">
        <v>238</v>
      </c>
      <c r="DT284" s="324">
        <f>DQ284+DR284+DS284</f>
        <v>3520000</v>
      </c>
      <c r="DU284" s="321">
        <f>DT284</f>
        <v>3520000</v>
      </c>
      <c r="DV284" s="19">
        <f>DT284-DG284</f>
        <v>0</v>
      </c>
      <c r="DW284" s="9">
        <v>3520000</v>
      </c>
      <c r="DX284" s="18"/>
      <c r="DY284" s="18"/>
      <c r="DZ284" s="324">
        <f>DW284+DX284+DY284</f>
        <v>3520000</v>
      </c>
      <c r="EA284" s="321">
        <f>DZ284</f>
        <v>3520000</v>
      </c>
      <c r="EB284" s="179">
        <f>DZ284-DT284</f>
        <v>0</v>
      </c>
      <c r="EC284" s="9">
        <v>3520000</v>
      </c>
      <c r="ED284" s="18" t="s">
        <v>238</v>
      </c>
      <c r="EE284" s="18" t="s">
        <v>238</v>
      </c>
      <c r="EF284" s="324">
        <f>EC284+ED284+EE284</f>
        <v>3520000</v>
      </c>
      <c r="EG284" s="321">
        <f>EF284</f>
        <v>3520000</v>
      </c>
      <c r="EH284" s="179">
        <f>EF284-DZ284</f>
        <v>0</v>
      </c>
      <c r="EI284" s="9">
        <v>3520000</v>
      </c>
      <c r="EJ284" s="18" t="s">
        <v>238</v>
      </c>
      <c r="EK284" s="18" t="s">
        <v>238</v>
      </c>
      <c r="EL284" s="324">
        <f>EI284+EJ284+EK284</f>
        <v>3520000</v>
      </c>
      <c r="EM284" s="321">
        <f>EL284</f>
        <v>3520000</v>
      </c>
      <c r="EN284" s="179">
        <f>EL284-EF284</f>
        <v>0</v>
      </c>
      <c r="EO284" s="9">
        <v>3520000</v>
      </c>
      <c r="EP284" s="18" t="s">
        <v>238</v>
      </c>
      <c r="EQ284" s="18" t="s">
        <v>238</v>
      </c>
      <c r="ER284" s="324">
        <f>EO284+EP284+EQ284</f>
        <v>3520000</v>
      </c>
      <c r="ES284" s="321">
        <f>ER284</f>
        <v>3520000</v>
      </c>
      <c r="ET284" s="179">
        <f>ER284-EL284</f>
        <v>0</v>
      </c>
      <c r="EU284" s="9">
        <v>3520000</v>
      </c>
      <c r="EV284" s="18" t="s">
        <v>238</v>
      </c>
      <c r="EW284" s="18" t="s">
        <v>238</v>
      </c>
      <c r="EX284" s="324">
        <f>EU284+EV284+EW284</f>
        <v>3520000</v>
      </c>
      <c r="EY284" s="321">
        <f>EX284</f>
        <v>3520000</v>
      </c>
      <c r="EZ284" s="179">
        <f>EX284-ER284</f>
        <v>0</v>
      </c>
      <c r="FA284" s="9">
        <v>3520000</v>
      </c>
      <c r="FB284" s="18" t="s">
        <v>238</v>
      </c>
      <c r="FC284" s="18" t="s">
        <v>238</v>
      </c>
      <c r="FD284" s="324">
        <f>FA284+FB284+FC284</f>
        <v>3520000</v>
      </c>
      <c r="FE284" s="321">
        <f>FD284</f>
        <v>3520000</v>
      </c>
      <c r="FF284" s="179">
        <f>FD284-EX284</f>
        <v>0</v>
      </c>
      <c r="FG284" s="9">
        <v>3520000</v>
      </c>
      <c r="FH284" s="9">
        <v>0</v>
      </c>
      <c r="FI284" s="9">
        <v>0</v>
      </c>
      <c r="FJ284" s="324">
        <f>FG284+FH284+FI284</f>
        <v>3520000</v>
      </c>
      <c r="FK284" s="321">
        <f>FJ284</f>
        <v>3520000</v>
      </c>
      <c r="FL284" s="179">
        <f>FJ284-FD284</f>
        <v>0</v>
      </c>
      <c r="FM284" s="9">
        <v>3520000</v>
      </c>
      <c r="FN284" s="9">
        <v>0</v>
      </c>
      <c r="FO284" s="9">
        <v>0</v>
      </c>
      <c r="FP284" s="324">
        <f>FM284+FN284+FO284</f>
        <v>3520000</v>
      </c>
      <c r="FQ284" s="321">
        <f>FP284</f>
        <v>3520000</v>
      </c>
      <c r="FR284" s="179">
        <f>FP284-FJ284</f>
        <v>0</v>
      </c>
      <c r="FS284" s="9">
        <v>3520000</v>
      </c>
      <c r="FT284" s="9">
        <v>0</v>
      </c>
      <c r="FU284" s="9">
        <v>0</v>
      </c>
      <c r="FV284" s="324">
        <f>FS284+FT284+FU284</f>
        <v>3520000</v>
      </c>
      <c r="FW284" s="321">
        <f>FV284</f>
        <v>3520000</v>
      </c>
      <c r="FX284" s="179">
        <f>FV284-FP284</f>
        <v>0</v>
      </c>
      <c r="FY284" s="9">
        <v>3520000</v>
      </c>
      <c r="FZ284" s="9">
        <v>0</v>
      </c>
      <c r="GA284" s="9">
        <v>0</v>
      </c>
      <c r="GB284" s="324">
        <f>FY284+FZ284+GA284</f>
        <v>3520000</v>
      </c>
      <c r="GC284" s="321">
        <f>GB284</f>
        <v>3520000</v>
      </c>
      <c r="GD284" s="179">
        <f>GB284-FV284</f>
        <v>0</v>
      </c>
      <c r="GE284" s="9">
        <v>3520000</v>
      </c>
      <c r="GF284" s="9">
        <v>0</v>
      </c>
      <c r="GG284" s="9">
        <v>0</v>
      </c>
      <c r="GH284" s="324">
        <f>GE284+GF284+GG284</f>
        <v>3520000</v>
      </c>
      <c r="GI284" s="321">
        <f>GH284</f>
        <v>3520000</v>
      </c>
      <c r="GJ284" s="179">
        <f>GH284-GB284</f>
        <v>0</v>
      </c>
      <c r="GK284" s="9">
        <v>3520000</v>
      </c>
      <c r="GL284" s="9">
        <v>0</v>
      </c>
      <c r="GM284" s="9">
        <v>0</v>
      </c>
      <c r="GN284" s="324">
        <f>GK284+GL284+GM284</f>
        <v>3520000</v>
      </c>
      <c r="GO284" s="321">
        <f>GN284</f>
        <v>3520000</v>
      </c>
      <c r="GP284" s="179">
        <f>GN284-GH284</f>
        <v>0</v>
      </c>
      <c r="GQ284" s="9">
        <v>3520000</v>
      </c>
      <c r="GR284" s="9">
        <v>0</v>
      </c>
      <c r="GS284" s="9">
        <v>0</v>
      </c>
      <c r="GT284" s="324">
        <f>GQ284+GR284+GS284</f>
        <v>3520000</v>
      </c>
      <c r="GU284" s="321">
        <f>GT284</f>
        <v>3520000</v>
      </c>
      <c r="GV284" s="179">
        <f>GT284-GN284</f>
        <v>0</v>
      </c>
      <c r="GW284" s="9">
        <v>3696000</v>
      </c>
      <c r="GX284" s="9">
        <v>0</v>
      </c>
      <c r="GY284" s="9">
        <v>0</v>
      </c>
      <c r="GZ284" s="324">
        <f>GW284+GX284+GY284</f>
        <v>3696000</v>
      </c>
      <c r="HA284" s="321">
        <f>GZ284</f>
        <v>3696000</v>
      </c>
      <c r="HB284" s="179">
        <f>GZ284-GT284</f>
        <v>176000</v>
      </c>
      <c r="HC284" s="102">
        <f>100/1406236643.9*GT284</f>
        <v>0.25031348850629959</v>
      </c>
      <c r="HD284" s="285">
        <f>HB284-HO284</f>
        <v>0</v>
      </c>
      <c r="HE284" s="12">
        <f>GT284*0.05</f>
        <v>176000</v>
      </c>
      <c r="HF284" s="12">
        <f>IF(ISNUMBER($HE284), $HE284-INT($HE284), "")</f>
        <v>0</v>
      </c>
      <c r="HG284" s="12">
        <f>HE284-HF284</f>
        <v>176000</v>
      </c>
      <c r="HH284" s="14">
        <f>HG284:HG284</f>
        <v>176000</v>
      </c>
      <c r="HI284" s="13">
        <f>HG284+GT284</f>
        <v>3696000</v>
      </c>
      <c r="HJ284" s="102">
        <f>100/1406236643.9*HI284</f>
        <v>0.26282916293161457</v>
      </c>
      <c r="HK284" s="16">
        <f>GT284</f>
        <v>3520000</v>
      </c>
      <c r="HL284" s="103">
        <f>HK284*1.05</f>
        <v>3696000</v>
      </c>
      <c r="HM284" s="103">
        <f>HL284-HK284</f>
        <v>176000</v>
      </c>
      <c r="HN284" s="17">
        <f>HF284</f>
        <v>0</v>
      </c>
      <c r="HO284" s="56">
        <f>HM284-HN284</f>
        <v>176000</v>
      </c>
      <c r="HP284" s="16">
        <f>HO284-HG284</f>
        <v>0</v>
      </c>
      <c r="HQ284" s="16">
        <f>HO284+HK284</f>
        <v>3696000</v>
      </c>
      <c r="HR284" s="16">
        <f>HQ284-HI284</f>
        <v>0</v>
      </c>
    </row>
    <row r="285" spans="1:226" x14ac:dyDescent="0.3">
      <c r="A285" s="310">
        <v>7</v>
      </c>
      <c r="B285" s="134"/>
      <c r="C285" s="310" t="s">
        <v>518</v>
      </c>
      <c r="D285" s="130" t="s">
        <v>516</v>
      </c>
      <c r="E285" s="9"/>
      <c r="F285" s="9"/>
      <c r="G285" s="9"/>
      <c r="H285" s="324"/>
      <c r="I285" s="324"/>
      <c r="J285" s="324"/>
      <c r="K285" s="324"/>
      <c r="L285" s="324"/>
      <c r="M285" s="23"/>
      <c r="N285" s="23"/>
      <c r="O285" s="298"/>
      <c r="P285" s="298"/>
      <c r="Q285" s="298"/>
      <c r="R285" s="298"/>
      <c r="S285" s="298"/>
      <c r="T285" s="298"/>
      <c r="U285" s="298"/>
      <c r="V285" s="298"/>
      <c r="W285" s="298"/>
      <c r="X285" s="298"/>
      <c r="Y285" s="298"/>
      <c r="Z285" s="298"/>
      <c r="AA285" s="298"/>
      <c r="AB285" s="298"/>
      <c r="AC285" s="9"/>
      <c r="AD285" s="9"/>
      <c r="AE285" s="298"/>
      <c r="AF285" s="298"/>
      <c r="AG285" s="9"/>
      <c r="AH285" s="9"/>
      <c r="AI285" s="298"/>
      <c r="AJ285" s="298"/>
      <c r="AK285" s="9"/>
      <c r="AL285" s="9"/>
      <c r="AM285" s="298"/>
      <c r="AN285" s="298"/>
      <c r="AO285" s="9">
        <v>0</v>
      </c>
      <c r="AP285" s="9"/>
      <c r="AQ285" s="298"/>
      <c r="AR285" s="298">
        <v>3500000</v>
      </c>
      <c r="AS285" s="9">
        <v>0</v>
      </c>
      <c r="AT285" s="9">
        <v>0</v>
      </c>
      <c r="AU285" s="298">
        <f>AT285+AS285+AR285</f>
        <v>3500000</v>
      </c>
      <c r="AV285" s="298">
        <v>3500000</v>
      </c>
      <c r="AW285" s="9">
        <v>0</v>
      </c>
      <c r="AX285" s="9">
        <v>0</v>
      </c>
      <c r="AY285" s="298">
        <f>AX285+AW285+AV285</f>
        <v>3500000</v>
      </c>
      <c r="AZ285" s="8">
        <f>AY285*5%</f>
        <v>175000</v>
      </c>
      <c r="BA285" s="8">
        <v>0</v>
      </c>
      <c r="BB285" s="8">
        <f>AZ285-BA285</f>
        <v>175000</v>
      </c>
      <c r="BC285" s="8">
        <f>BB285+AY285</f>
        <v>3675000</v>
      </c>
      <c r="BD285" s="8"/>
      <c r="BE285" s="8">
        <f>BD285+BC285</f>
        <v>3675000</v>
      </c>
      <c r="BF285" s="10">
        <f>BE285-AY285</f>
        <v>175000</v>
      </c>
      <c r="BG285" s="11">
        <f>BF285-BB285</f>
        <v>0</v>
      </c>
      <c r="BH285" s="319">
        <v>3848229</v>
      </c>
      <c r="BI285" s="319">
        <v>0</v>
      </c>
      <c r="BJ285" s="319">
        <v>0</v>
      </c>
      <c r="BK285" s="319">
        <f>BJ285+BI285+BH285</f>
        <v>3848229</v>
      </c>
      <c r="BL285" s="319">
        <v>4000000</v>
      </c>
      <c r="BM285" s="319">
        <v>0</v>
      </c>
      <c r="BN285" s="319">
        <v>0</v>
      </c>
      <c r="BO285" s="319">
        <f>BN285+BM285+BL285</f>
        <v>4000000</v>
      </c>
      <c r="BP285" s="48">
        <f>BO285-BK285</f>
        <v>151771</v>
      </c>
      <c r="BQ285" s="319">
        <v>3827045</v>
      </c>
      <c r="BR285" s="319">
        <v>0</v>
      </c>
      <c r="BS285" s="319">
        <v>0</v>
      </c>
      <c r="BT285" s="319">
        <f>BS285+BR285+BQ285</f>
        <v>3827045</v>
      </c>
      <c r="BU285" s="48">
        <f>BT285-BO285</f>
        <v>-172955</v>
      </c>
      <c r="BV285" s="319">
        <v>3300000</v>
      </c>
      <c r="BW285" s="319">
        <v>0</v>
      </c>
      <c r="BX285" s="319">
        <v>0</v>
      </c>
      <c r="BY285" s="319">
        <f>BX285+BW285+BV285</f>
        <v>3300000</v>
      </c>
      <c r="BZ285" s="48">
        <f>BY285-BT285</f>
        <v>-527045</v>
      </c>
      <c r="CA285" s="319">
        <v>3300000</v>
      </c>
      <c r="CB285" s="319">
        <v>0</v>
      </c>
      <c r="CC285" s="319">
        <v>0</v>
      </c>
      <c r="CD285" s="319">
        <f>CC285+CB285+CA285</f>
        <v>3300000</v>
      </c>
      <c r="CE285" s="48">
        <f>CD285-BY285</f>
        <v>0</v>
      </c>
      <c r="CF285" s="319">
        <v>2950000</v>
      </c>
      <c r="CG285" s="319">
        <v>0</v>
      </c>
      <c r="CH285" s="319">
        <v>0</v>
      </c>
      <c r="CI285" s="319">
        <f>CH285+CG285+CF285</f>
        <v>2950000</v>
      </c>
      <c r="CJ285" s="48">
        <f>CI285-CD285</f>
        <v>-350000</v>
      </c>
      <c r="CK285" s="319">
        <v>2950000</v>
      </c>
      <c r="CL285" s="319">
        <v>0</v>
      </c>
      <c r="CM285" s="319">
        <v>0</v>
      </c>
      <c r="CN285" s="319">
        <f>CM285+CL285+CK285</f>
        <v>2950000</v>
      </c>
      <c r="CO285" s="319">
        <f>CN285-CI285</f>
        <v>0</v>
      </c>
      <c r="CP285" s="319">
        <v>2950000</v>
      </c>
      <c r="CQ285" s="319">
        <v>0</v>
      </c>
      <c r="CR285" s="319">
        <v>0</v>
      </c>
      <c r="CS285" s="319">
        <f>CR285+CQ285+CP285</f>
        <v>2950000</v>
      </c>
      <c r="CT285" s="319">
        <f>CS285-CN285</f>
        <v>0</v>
      </c>
      <c r="CU285" s="319">
        <v>2950000</v>
      </c>
      <c r="CV285" s="319">
        <v>0</v>
      </c>
      <c r="CW285" s="319">
        <v>0</v>
      </c>
      <c r="CX285" s="319">
        <f>CW285+CV285+CU285</f>
        <v>2950000</v>
      </c>
      <c r="CY285" s="319">
        <f>CX285-CS285</f>
        <v>0</v>
      </c>
      <c r="CZ285" s="319"/>
      <c r="DA285" s="319"/>
      <c r="DB285" s="319"/>
      <c r="DC285" s="12">
        <f>CX285*10%</f>
        <v>295000</v>
      </c>
      <c r="DD285" s="12">
        <v>0</v>
      </c>
      <c r="DE285" s="13">
        <f>DC285-DD285</f>
        <v>295000</v>
      </c>
      <c r="DF285" s="14">
        <f>DE285:DE285</f>
        <v>295000</v>
      </c>
      <c r="DG285" s="13">
        <f>DE285+CX285</f>
        <v>3245000</v>
      </c>
      <c r="DH285" s="15">
        <f>100/1278396949*CX285</f>
        <v>0.23075774721674494</v>
      </c>
      <c r="DI285" s="16">
        <f>CX285</f>
        <v>2950000</v>
      </c>
      <c r="DJ285" s="132">
        <f>DI285*1.1</f>
        <v>3245000.0000000005</v>
      </c>
      <c r="DK285" s="17">
        <f>DJ285-DI285</f>
        <v>295000.00000000047</v>
      </c>
      <c r="DL285" s="17">
        <f>DD285</f>
        <v>0</v>
      </c>
      <c r="DM285" s="16">
        <f>DK285-DL285</f>
        <v>295000.00000000047</v>
      </c>
      <c r="DN285" s="16">
        <f>DM285-DE285</f>
        <v>4.6566128730773926E-10</v>
      </c>
      <c r="DO285" s="16">
        <f>DM285+DI285</f>
        <v>3245000.0000000005</v>
      </c>
      <c r="DP285" s="16">
        <f>DO285-DG285</f>
        <v>0</v>
      </c>
      <c r="DQ285" s="9">
        <v>3245000</v>
      </c>
      <c r="DR285" s="18" t="s">
        <v>238</v>
      </c>
      <c r="DS285" s="18" t="s">
        <v>238</v>
      </c>
      <c r="DT285" s="324">
        <f>DQ285+DR285+DS285</f>
        <v>3245000</v>
      </c>
      <c r="DU285" s="321">
        <f>DT285</f>
        <v>3245000</v>
      </c>
      <c r="DV285" s="19">
        <f>DT285-DG285</f>
        <v>0</v>
      </c>
      <c r="DW285" s="9">
        <v>3245000</v>
      </c>
      <c r="DX285" s="18"/>
      <c r="DY285" s="18"/>
      <c r="DZ285" s="324">
        <f>DW285+DX285+DY285</f>
        <v>3245000</v>
      </c>
      <c r="EA285" s="321">
        <f>DZ285</f>
        <v>3245000</v>
      </c>
      <c r="EB285" s="179">
        <f>DZ285-DT285</f>
        <v>0</v>
      </c>
      <c r="EC285" s="9">
        <v>3245000</v>
      </c>
      <c r="ED285" s="18" t="s">
        <v>238</v>
      </c>
      <c r="EE285" s="18" t="s">
        <v>238</v>
      </c>
      <c r="EF285" s="324">
        <f>EC285+ED285+EE285</f>
        <v>3245000</v>
      </c>
      <c r="EG285" s="321">
        <f>EF285</f>
        <v>3245000</v>
      </c>
      <c r="EH285" s="179">
        <f>EF285-DZ285</f>
        <v>0</v>
      </c>
      <c r="EI285" s="9">
        <v>3245000</v>
      </c>
      <c r="EJ285" s="18" t="s">
        <v>238</v>
      </c>
      <c r="EK285" s="18" t="s">
        <v>238</v>
      </c>
      <c r="EL285" s="324">
        <f>EI285+EJ285+EK285</f>
        <v>3245000</v>
      </c>
      <c r="EM285" s="321">
        <f>EL285</f>
        <v>3245000</v>
      </c>
      <c r="EN285" s="179">
        <f>EL285-EF285</f>
        <v>0</v>
      </c>
      <c r="EO285" s="9">
        <v>3245000</v>
      </c>
      <c r="EP285" s="18" t="s">
        <v>238</v>
      </c>
      <c r="EQ285" s="18" t="s">
        <v>238</v>
      </c>
      <c r="ER285" s="324">
        <f>EO285+EP285+EQ285</f>
        <v>3245000</v>
      </c>
      <c r="ES285" s="321">
        <f>ER285</f>
        <v>3245000</v>
      </c>
      <c r="ET285" s="179">
        <f>ER285-EL285</f>
        <v>0</v>
      </c>
      <c r="EU285" s="9">
        <v>3245000</v>
      </c>
      <c r="EV285" s="18" t="s">
        <v>238</v>
      </c>
      <c r="EW285" s="18" t="s">
        <v>238</v>
      </c>
      <c r="EX285" s="324">
        <f>EU285+EV285+EW285</f>
        <v>3245000</v>
      </c>
      <c r="EY285" s="321">
        <f>EX285</f>
        <v>3245000</v>
      </c>
      <c r="EZ285" s="179">
        <f>EX285-ER285</f>
        <v>0</v>
      </c>
      <c r="FA285" s="9">
        <v>3245000</v>
      </c>
      <c r="FB285" s="18" t="s">
        <v>238</v>
      </c>
      <c r="FC285" s="18" t="s">
        <v>238</v>
      </c>
      <c r="FD285" s="324">
        <f>FA285+FB285+FC285</f>
        <v>3245000</v>
      </c>
      <c r="FE285" s="321">
        <f>FD285</f>
        <v>3245000</v>
      </c>
      <c r="FF285" s="179">
        <f>FD285-EX285</f>
        <v>0</v>
      </c>
      <c r="FG285" s="9">
        <v>3245000</v>
      </c>
      <c r="FH285" s="9">
        <v>0</v>
      </c>
      <c r="FI285" s="9">
        <v>0</v>
      </c>
      <c r="FJ285" s="324">
        <f>FG285+FH285+FI285</f>
        <v>3245000</v>
      </c>
      <c r="FK285" s="321">
        <f>FJ285</f>
        <v>3245000</v>
      </c>
      <c r="FL285" s="179">
        <f>FJ285-FD285</f>
        <v>0</v>
      </c>
      <c r="FM285" s="9">
        <v>3245000</v>
      </c>
      <c r="FN285" s="9">
        <v>0</v>
      </c>
      <c r="FO285" s="9">
        <v>0</v>
      </c>
      <c r="FP285" s="324">
        <f>FM285+FN285+FO285</f>
        <v>3245000</v>
      </c>
      <c r="FQ285" s="321">
        <f>FP285</f>
        <v>3245000</v>
      </c>
      <c r="FR285" s="179">
        <f>FP285-FJ285</f>
        <v>0</v>
      </c>
      <c r="FS285" s="9">
        <v>3245000</v>
      </c>
      <c r="FT285" s="9">
        <v>0</v>
      </c>
      <c r="FU285" s="9">
        <v>0</v>
      </c>
      <c r="FV285" s="324">
        <f>FS285+FT285+FU285</f>
        <v>3245000</v>
      </c>
      <c r="FW285" s="321">
        <f>FV285</f>
        <v>3245000</v>
      </c>
      <c r="FX285" s="179">
        <f>FV285-FP285</f>
        <v>0</v>
      </c>
      <c r="FY285" s="9">
        <v>3245000</v>
      </c>
      <c r="FZ285" s="9">
        <v>0</v>
      </c>
      <c r="GA285" s="9">
        <v>0</v>
      </c>
      <c r="GB285" s="324">
        <f>FY285+FZ285+GA285</f>
        <v>3245000</v>
      </c>
      <c r="GC285" s="321">
        <f>GB285</f>
        <v>3245000</v>
      </c>
      <c r="GD285" s="179">
        <f>GB285-FV285</f>
        <v>0</v>
      </c>
      <c r="GE285" s="9">
        <v>3245000</v>
      </c>
      <c r="GF285" s="9">
        <v>0</v>
      </c>
      <c r="GG285" s="9">
        <v>0</v>
      </c>
      <c r="GH285" s="324">
        <f>GE285+GF285+GG285</f>
        <v>3245000</v>
      </c>
      <c r="GI285" s="321">
        <f>GH285</f>
        <v>3245000</v>
      </c>
      <c r="GJ285" s="179">
        <f>GH285-GB285</f>
        <v>0</v>
      </c>
      <c r="GK285" s="9">
        <v>3245000</v>
      </c>
      <c r="GL285" s="9">
        <v>0</v>
      </c>
      <c r="GM285" s="9">
        <v>0</v>
      </c>
      <c r="GN285" s="324">
        <f>GK285+GL285+GM285</f>
        <v>3245000</v>
      </c>
      <c r="GO285" s="321">
        <f>GN285</f>
        <v>3245000</v>
      </c>
      <c r="GP285" s="179">
        <f>GN285-GH285</f>
        <v>0</v>
      </c>
      <c r="GQ285" s="9">
        <v>3245000</v>
      </c>
      <c r="GR285" s="9">
        <v>0</v>
      </c>
      <c r="GS285" s="9">
        <v>0</v>
      </c>
      <c r="GT285" s="324">
        <f>GQ285+GR285+GS285</f>
        <v>3245000</v>
      </c>
      <c r="GU285" s="321">
        <f>GT285</f>
        <v>3245000</v>
      </c>
      <c r="GV285" s="179">
        <f>GT285-GN285</f>
        <v>0</v>
      </c>
      <c r="GW285" s="9">
        <v>3407250</v>
      </c>
      <c r="GX285" s="9">
        <v>0</v>
      </c>
      <c r="GY285" s="9">
        <v>0</v>
      </c>
      <c r="GZ285" s="324">
        <f>GW285+GX285+GY285</f>
        <v>3407250</v>
      </c>
      <c r="HA285" s="321">
        <f>GZ285</f>
        <v>3407250</v>
      </c>
      <c r="HB285" s="179">
        <f>GZ285-GT285</f>
        <v>162250</v>
      </c>
      <c r="HC285" s="121">
        <f>SUM(HC284)</f>
        <v>0.25031348850629959</v>
      </c>
      <c r="HD285" s="285">
        <f>HB285-HO285</f>
        <v>0</v>
      </c>
      <c r="HE285" s="12">
        <f>GT285*0.05</f>
        <v>162250</v>
      </c>
      <c r="HF285" s="12">
        <f>IF(ISNUMBER($HE285), $HE285-INT($HE285), "")</f>
        <v>0</v>
      </c>
      <c r="HG285" s="12">
        <f>HE285-HF285</f>
        <v>162250</v>
      </c>
      <c r="HH285" s="14">
        <f>HG285:HG285</f>
        <v>162250</v>
      </c>
      <c r="HI285" s="13">
        <f>HG285+GT285</f>
        <v>3407250</v>
      </c>
      <c r="HJ285" s="102">
        <f>100/1406236643.9*HI285</f>
        <v>0.24229563457758221</v>
      </c>
      <c r="HK285" s="16">
        <f>GT285</f>
        <v>3245000</v>
      </c>
      <c r="HL285" s="103">
        <f>HK285*1.05</f>
        <v>3407250</v>
      </c>
      <c r="HM285" s="103">
        <f>HL285-HK285</f>
        <v>162250</v>
      </c>
      <c r="HN285" s="17">
        <f>HF285</f>
        <v>0</v>
      </c>
      <c r="HO285" s="56">
        <f>HM285-HN285</f>
        <v>162250</v>
      </c>
      <c r="HP285" s="16">
        <f>HO285-HG285</f>
        <v>0</v>
      </c>
      <c r="HQ285" s="16">
        <f>HO285+HK285</f>
        <v>3407250</v>
      </c>
      <c r="HR285" s="16">
        <f>HQ285-HI285</f>
        <v>0</v>
      </c>
    </row>
    <row r="286" spans="1:226" x14ac:dyDescent="0.3">
      <c r="A286" s="140"/>
      <c r="B286" s="140"/>
      <c r="C286" s="140"/>
      <c r="D286" s="141" t="s">
        <v>216</v>
      </c>
      <c r="E286" s="121">
        <f t="shared" ref="E286:BP286" si="1586">SUM(E284:E285)</f>
        <v>0</v>
      </c>
      <c r="F286" s="121">
        <f t="shared" si="1586"/>
        <v>0</v>
      </c>
      <c r="G286" s="121">
        <f t="shared" si="1586"/>
        <v>0</v>
      </c>
      <c r="H286" s="121">
        <f t="shared" si="1586"/>
        <v>0</v>
      </c>
      <c r="I286" s="121">
        <f t="shared" si="1586"/>
        <v>0</v>
      </c>
      <c r="J286" s="121">
        <f t="shared" si="1586"/>
        <v>0</v>
      </c>
      <c r="K286" s="121">
        <f t="shared" si="1586"/>
        <v>0</v>
      </c>
      <c r="L286" s="121">
        <f t="shared" si="1586"/>
        <v>0</v>
      </c>
      <c r="M286" s="121">
        <f t="shared" si="1586"/>
        <v>0</v>
      </c>
      <c r="N286" s="121">
        <f t="shared" si="1586"/>
        <v>0</v>
      </c>
      <c r="O286" s="121">
        <f t="shared" si="1586"/>
        <v>0</v>
      </c>
      <c r="P286" s="121">
        <f t="shared" si="1586"/>
        <v>0</v>
      </c>
      <c r="Q286" s="121">
        <f t="shared" si="1586"/>
        <v>0</v>
      </c>
      <c r="R286" s="121">
        <f t="shared" si="1586"/>
        <v>0</v>
      </c>
      <c r="S286" s="121">
        <f t="shared" si="1586"/>
        <v>0</v>
      </c>
      <c r="T286" s="121">
        <f t="shared" si="1586"/>
        <v>0</v>
      </c>
      <c r="U286" s="121">
        <f t="shared" si="1586"/>
        <v>0</v>
      </c>
      <c r="V286" s="121">
        <f t="shared" si="1586"/>
        <v>0</v>
      </c>
      <c r="W286" s="121">
        <f t="shared" si="1586"/>
        <v>0</v>
      </c>
      <c r="X286" s="121">
        <f t="shared" si="1586"/>
        <v>0</v>
      </c>
      <c r="Y286" s="121">
        <f t="shared" si="1586"/>
        <v>0</v>
      </c>
      <c r="Z286" s="121">
        <f t="shared" si="1586"/>
        <v>0</v>
      </c>
      <c r="AA286" s="121">
        <f t="shared" si="1586"/>
        <v>0</v>
      </c>
      <c r="AB286" s="121">
        <f t="shared" si="1586"/>
        <v>0</v>
      </c>
      <c r="AC286" s="121">
        <f t="shared" si="1586"/>
        <v>0</v>
      </c>
      <c r="AD286" s="121">
        <f t="shared" si="1586"/>
        <v>0</v>
      </c>
      <c r="AE286" s="121">
        <f t="shared" si="1586"/>
        <v>0</v>
      </c>
      <c r="AF286" s="121">
        <f t="shared" si="1586"/>
        <v>0</v>
      </c>
      <c r="AG286" s="121">
        <f t="shared" si="1586"/>
        <v>0</v>
      </c>
      <c r="AH286" s="121">
        <f t="shared" si="1586"/>
        <v>0</v>
      </c>
      <c r="AI286" s="121">
        <f t="shared" si="1586"/>
        <v>0</v>
      </c>
      <c r="AJ286" s="121">
        <f t="shared" si="1586"/>
        <v>0</v>
      </c>
      <c r="AK286" s="121">
        <f t="shared" si="1586"/>
        <v>0</v>
      </c>
      <c r="AL286" s="121">
        <f t="shared" si="1586"/>
        <v>0</v>
      </c>
      <c r="AM286" s="121">
        <f t="shared" si="1586"/>
        <v>0</v>
      </c>
      <c r="AN286" s="121">
        <f t="shared" si="1586"/>
        <v>0</v>
      </c>
      <c r="AO286" s="121">
        <f t="shared" si="1586"/>
        <v>0</v>
      </c>
      <c r="AP286" s="121">
        <f t="shared" si="1586"/>
        <v>0</v>
      </c>
      <c r="AQ286" s="121">
        <f t="shared" si="1586"/>
        <v>0</v>
      </c>
      <c r="AR286" s="121">
        <f t="shared" si="1586"/>
        <v>6500000</v>
      </c>
      <c r="AS286" s="121">
        <f t="shared" si="1586"/>
        <v>0</v>
      </c>
      <c r="AT286" s="121">
        <f t="shared" si="1586"/>
        <v>0</v>
      </c>
      <c r="AU286" s="121">
        <f t="shared" si="1586"/>
        <v>6500000</v>
      </c>
      <c r="AV286" s="121">
        <f t="shared" si="1586"/>
        <v>6500000</v>
      </c>
      <c r="AW286" s="121">
        <f t="shared" si="1586"/>
        <v>0</v>
      </c>
      <c r="AX286" s="121">
        <f t="shared" si="1586"/>
        <v>0</v>
      </c>
      <c r="AY286" s="121">
        <f t="shared" si="1586"/>
        <v>6500000</v>
      </c>
      <c r="AZ286" s="121">
        <f t="shared" si="1586"/>
        <v>325000</v>
      </c>
      <c r="BA286" s="121">
        <f t="shared" si="1586"/>
        <v>0</v>
      </c>
      <c r="BB286" s="121">
        <f t="shared" si="1586"/>
        <v>325000</v>
      </c>
      <c r="BC286" s="121">
        <f t="shared" si="1586"/>
        <v>6825000</v>
      </c>
      <c r="BD286" s="121">
        <f t="shared" si="1586"/>
        <v>0</v>
      </c>
      <c r="BE286" s="121">
        <f t="shared" si="1586"/>
        <v>6825000</v>
      </c>
      <c r="BF286" s="121">
        <f t="shared" si="1586"/>
        <v>325000</v>
      </c>
      <c r="BG286" s="121">
        <f t="shared" si="1586"/>
        <v>0</v>
      </c>
      <c r="BH286" s="121">
        <f t="shared" si="1586"/>
        <v>7048229</v>
      </c>
      <c r="BI286" s="121">
        <f t="shared" si="1586"/>
        <v>0</v>
      </c>
      <c r="BJ286" s="121">
        <f t="shared" si="1586"/>
        <v>0</v>
      </c>
      <c r="BK286" s="121">
        <f t="shared" si="1586"/>
        <v>7048229</v>
      </c>
      <c r="BL286" s="121">
        <f t="shared" si="1586"/>
        <v>7200000</v>
      </c>
      <c r="BM286" s="121">
        <f t="shared" si="1586"/>
        <v>0</v>
      </c>
      <c r="BN286" s="121">
        <f t="shared" si="1586"/>
        <v>0</v>
      </c>
      <c r="BO286" s="121">
        <f t="shared" si="1586"/>
        <v>7200000</v>
      </c>
      <c r="BP286" s="121">
        <f t="shared" si="1586"/>
        <v>151771</v>
      </c>
      <c r="BQ286" s="121">
        <f t="shared" ref="BQ286:EB286" si="1587">SUM(BQ284:BQ285)</f>
        <v>7027045</v>
      </c>
      <c r="BR286" s="121">
        <f t="shared" si="1587"/>
        <v>0</v>
      </c>
      <c r="BS286" s="121">
        <f t="shared" si="1587"/>
        <v>0</v>
      </c>
      <c r="BT286" s="121">
        <f t="shared" si="1587"/>
        <v>7027045</v>
      </c>
      <c r="BU286" s="121">
        <f t="shared" si="1587"/>
        <v>-172955</v>
      </c>
      <c r="BV286" s="121">
        <f t="shared" si="1587"/>
        <v>6500000</v>
      </c>
      <c r="BW286" s="121">
        <f t="shared" si="1587"/>
        <v>0</v>
      </c>
      <c r="BX286" s="121">
        <f t="shared" si="1587"/>
        <v>0</v>
      </c>
      <c r="BY286" s="121">
        <f t="shared" si="1587"/>
        <v>6500000</v>
      </c>
      <c r="BZ286" s="121">
        <f t="shared" si="1587"/>
        <v>-527045</v>
      </c>
      <c r="CA286" s="121">
        <f t="shared" si="1587"/>
        <v>6500000</v>
      </c>
      <c r="CB286" s="121">
        <f t="shared" si="1587"/>
        <v>0</v>
      </c>
      <c r="CC286" s="121">
        <f t="shared" si="1587"/>
        <v>0</v>
      </c>
      <c r="CD286" s="121">
        <f t="shared" si="1587"/>
        <v>6500000</v>
      </c>
      <c r="CE286" s="121">
        <f t="shared" si="1587"/>
        <v>0</v>
      </c>
      <c r="CF286" s="121">
        <f t="shared" si="1587"/>
        <v>6150000</v>
      </c>
      <c r="CG286" s="121">
        <f t="shared" si="1587"/>
        <v>0</v>
      </c>
      <c r="CH286" s="121">
        <f t="shared" si="1587"/>
        <v>0</v>
      </c>
      <c r="CI286" s="121">
        <f t="shared" si="1587"/>
        <v>6150000</v>
      </c>
      <c r="CJ286" s="121">
        <f t="shared" si="1587"/>
        <v>-350000</v>
      </c>
      <c r="CK286" s="121">
        <f t="shared" si="1587"/>
        <v>6150000</v>
      </c>
      <c r="CL286" s="121">
        <f t="shared" si="1587"/>
        <v>0</v>
      </c>
      <c r="CM286" s="121">
        <f t="shared" si="1587"/>
        <v>0</v>
      </c>
      <c r="CN286" s="121">
        <f t="shared" si="1587"/>
        <v>6150000</v>
      </c>
      <c r="CO286" s="121">
        <f t="shared" si="1587"/>
        <v>0</v>
      </c>
      <c r="CP286" s="121">
        <f t="shared" si="1587"/>
        <v>6150000</v>
      </c>
      <c r="CQ286" s="121">
        <f t="shared" si="1587"/>
        <v>0</v>
      </c>
      <c r="CR286" s="121">
        <f t="shared" si="1587"/>
        <v>0</v>
      </c>
      <c r="CS286" s="121">
        <f t="shared" si="1587"/>
        <v>6150000</v>
      </c>
      <c r="CT286" s="121">
        <f t="shared" si="1587"/>
        <v>0</v>
      </c>
      <c r="CU286" s="121">
        <f t="shared" si="1587"/>
        <v>6150000</v>
      </c>
      <c r="CV286" s="121">
        <f t="shared" si="1587"/>
        <v>0</v>
      </c>
      <c r="CW286" s="121">
        <f t="shared" si="1587"/>
        <v>0</v>
      </c>
      <c r="CX286" s="121">
        <f t="shared" si="1587"/>
        <v>6150000</v>
      </c>
      <c r="CY286" s="121">
        <f t="shared" si="1587"/>
        <v>0</v>
      </c>
      <c r="CZ286" s="121">
        <f t="shared" si="1587"/>
        <v>0</v>
      </c>
      <c r="DA286" s="121">
        <f t="shared" si="1587"/>
        <v>0</v>
      </c>
      <c r="DB286" s="121">
        <f t="shared" si="1587"/>
        <v>0</v>
      </c>
      <c r="DC286" s="121">
        <f t="shared" si="1587"/>
        <v>615000</v>
      </c>
      <c r="DD286" s="121">
        <f t="shared" si="1587"/>
        <v>0</v>
      </c>
      <c r="DE286" s="121">
        <f t="shared" si="1587"/>
        <v>615000</v>
      </c>
      <c r="DF286" s="121">
        <f t="shared" si="1587"/>
        <v>615000</v>
      </c>
      <c r="DG286" s="121">
        <f t="shared" si="1587"/>
        <v>6765000</v>
      </c>
      <c r="DH286" s="121">
        <f t="shared" si="1587"/>
        <v>0.48107123572304455</v>
      </c>
      <c r="DI286" s="121">
        <f t="shared" si="1587"/>
        <v>6150000</v>
      </c>
      <c r="DJ286" s="121">
        <f t="shared" si="1587"/>
        <v>6765000.0000000009</v>
      </c>
      <c r="DK286" s="121">
        <f t="shared" si="1587"/>
        <v>615000.00000000093</v>
      </c>
      <c r="DL286" s="121">
        <f t="shared" si="1587"/>
        <v>0</v>
      </c>
      <c r="DM286" s="121">
        <f t="shared" si="1587"/>
        <v>615000.00000000093</v>
      </c>
      <c r="DN286" s="121">
        <f t="shared" si="1587"/>
        <v>9.3132257461547852E-10</v>
      </c>
      <c r="DO286" s="121">
        <f t="shared" si="1587"/>
        <v>6765000.0000000009</v>
      </c>
      <c r="DP286" s="121">
        <f t="shared" si="1587"/>
        <v>0</v>
      </c>
      <c r="DQ286" s="121">
        <f t="shared" si="1587"/>
        <v>6765000</v>
      </c>
      <c r="DR286" s="121">
        <f t="shared" si="1587"/>
        <v>0</v>
      </c>
      <c r="DS286" s="121">
        <f t="shared" si="1587"/>
        <v>0</v>
      </c>
      <c r="DT286" s="121">
        <f t="shared" si="1587"/>
        <v>6765000</v>
      </c>
      <c r="DU286" s="121">
        <f t="shared" si="1587"/>
        <v>6765000</v>
      </c>
      <c r="DV286" s="121">
        <f t="shared" si="1587"/>
        <v>0</v>
      </c>
      <c r="DW286" s="121">
        <f t="shared" si="1587"/>
        <v>6765000</v>
      </c>
      <c r="DX286" s="121">
        <f t="shared" si="1587"/>
        <v>0</v>
      </c>
      <c r="DY286" s="121">
        <f t="shared" si="1587"/>
        <v>0</v>
      </c>
      <c r="DZ286" s="121">
        <f t="shared" si="1587"/>
        <v>6765000</v>
      </c>
      <c r="EA286" s="121">
        <f t="shared" si="1587"/>
        <v>6765000</v>
      </c>
      <c r="EB286" s="121">
        <f t="shared" si="1587"/>
        <v>0</v>
      </c>
      <c r="EC286" s="121">
        <f t="shared" ref="EC286:FL286" si="1588">SUM(EC284:EC285)</f>
        <v>6765000</v>
      </c>
      <c r="ED286" s="121">
        <f t="shared" si="1588"/>
        <v>0</v>
      </c>
      <c r="EE286" s="121">
        <f t="shared" si="1588"/>
        <v>0</v>
      </c>
      <c r="EF286" s="121">
        <f t="shared" si="1588"/>
        <v>6765000</v>
      </c>
      <c r="EG286" s="121">
        <f t="shared" si="1588"/>
        <v>6765000</v>
      </c>
      <c r="EH286" s="121">
        <f t="shared" si="1588"/>
        <v>0</v>
      </c>
      <c r="EI286" s="121">
        <f t="shared" si="1588"/>
        <v>6765000</v>
      </c>
      <c r="EJ286" s="121">
        <f t="shared" si="1588"/>
        <v>0</v>
      </c>
      <c r="EK286" s="121">
        <f t="shared" si="1588"/>
        <v>0</v>
      </c>
      <c r="EL286" s="121">
        <f t="shared" si="1588"/>
        <v>6765000</v>
      </c>
      <c r="EM286" s="121">
        <f t="shared" si="1588"/>
        <v>6765000</v>
      </c>
      <c r="EN286" s="121">
        <f t="shared" si="1588"/>
        <v>0</v>
      </c>
      <c r="EO286" s="121">
        <f t="shared" si="1588"/>
        <v>6765000</v>
      </c>
      <c r="EP286" s="121">
        <f t="shared" si="1588"/>
        <v>0</v>
      </c>
      <c r="EQ286" s="121">
        <f t="shared" si="1588"/>
        <v>0</v>
      </c>
      <c r="ER286" s="121">
        <f t="shared" si="1588"/>
        <v>6765000</v>
      </c>
      <c r="ES286" s="121">
        <f t="shared" si="1588"/>
        <v>6765000</v>
      </c>
      <c r="ET286" s="121">
        <f t="shared" si="1588"/>
        <v>0</v>
      </c>
      <c r="EU286" s="121">
        <f t="shared" si="1588"/>
        <v>6765000</v>
      </c>
      <c r="EV286" s="121">
        <f t="shared" si="1588"/>
        <v>0</v>
      </c>
      <c r="EW286" s="121">
        <f t="shared" si="1588"/>
        <v>0</v>
      </c>
      <c r="EX286" s="121">
        <f t="shared" si="1588"/>
        <v>6765000</v>
      </c>
      <c r="EY286" s="121">
        <f t="shared" si="1588"/>
        <v>6765000</v>
      </c>
      <c r="EZ286" s="121">
        <f t="shared" si="1588"/>
        <v>0</v>
      </c>
      <c r="FA286" s="121">
        <f t="shared" si="1588"/>
        <v>6765000</v>
      </c>
      <c r="FB286" s="121">
        <f t="shared" si="1588"/>
        <v>0</v>
      </c>
      <c r="FC286" s="121">
        <f t="shared" si="1588"/>
        <v>0</v>
      </c>
      <c r="FD286" s="121">
        <f t="shared" si="1588"/>
        <v>6765000</v>
      </c>
      <c r="FE286" s="121">
        <f t="shared" si="1588"/>
        <v>6765000</v>
      </c>
      <c r="FF286" s="121">
        <f t="shared" si="1588"/>
        <v>0</v>
      </c>
      <c r="FG286" s="121">
        <f t="shared" si="1588"/>
        <v>6765000</v>
      </c>
      <c r="FH286" s="121">
        <f t="shared" si="1588"/>
        <v>0</v>
      </c>
      <c r="FI286" s="121">
        <f t="shared" si="1588"/>
        <v>0</v>
      </c>
      <c r="FJ286" s="121">
        <f t="shared" si="1588"/>
        <v>6765000</v>
      </c>
      <c r="FK286" s="121">
        <f t="shared" si="1588"/>
        <v>6765000</v>
      </c>
      <c r="FL286" s="121">
        <f t="shared" si="1588"/>
        <v>0</v>
      </c>
      <c r="FM286" s="121">
        <f t="shared" ref="FM286:FR286" si="1589">SUM(FM284:FM285)</f>
        <v>6765000</v>
      </c>
      <c r="FN286" s="121">
        <f t="shared" si="1589"/>
        <v>0</v>
      </c>
      <c r="FO286" s="121">
        <f t="shared" si="1589"/>
        <v>0</v>
      </c>
      <c r="FP286" s="121">
        <f t="shared" si="1589"/>
        <v>6765000</v>
      </c>
      <c r="FQ286" s="121">
        <f t="shared" si="1589"/>
        <v>6765000</v>
      </c>
      <c r="FR286" s="121">
        <f t="shared" si="1589"/>
        <v>0</v>
      </c>
      <c r="FS286" s="121">
        <f t="shared" ref="FS286:FX286" si="1590">SUM(FS284:FS285)</f>
        <v>6765000</v>
      </c>
      <c r="FT286" s="121">
        <f t="shared" si="1590"/>
        <v>0</v>
      </c>
      <c r="FU286" s="121">
        <f t="shared" si="1590"/>
        <v>0</v>
      </c>
      <c r="FV286" s="121">
        <f t="shared" si="1590"/>
        <v>6765000</v>
      </c>
      <c r="FW286" s="121">
        <f t="shared" si="1590"/>
        <v>6765000</v>
      </c>
      <c r="FX286" s="121">
        <f t="shared" si="1590"/>
        <v>0</v>
      </c>
      <c r="FY286" s="121">
        <f t="shared" ref="FY286:GD286" si="1591">SUM(FY284:FY285)</f>
        <v>6765000</v>
      </c>
      <c r="FZ286" s="121">
        <f t="shared" si="1591"/>
        <v>0</v>
      </c>
      <c r="GA286" s="121">
        <f t="shared" si="1591"/>
        <v>0</v>
      </c>
      <c r="GB286" s="121">
        <f t="shared" si="1591"/>
        <v>6765000</v>
      </c>
      <c r="GC286" s="121">
        <f t="shared" si="1591"/>
        <v>6765000</v>
      </c>
      <c r="GD286" s="121">
        <f t="shared" si="1591"/>
        <v>0</v>
      </c>
      <c r="GE286" s="121">
        <f t="shared" ref="GE286:GJ286" si="1592">SUM(GE284:GE285)</f>
        <v>6765000</v>
      </c>
      <c r="GF286" s="121">
        <f t="shared" si="1592"/>
        <v>0</v>
      </c>
      <c r="GG286" s="121">
        <f t="shared" si="1592"/>
        <v>0</v>
      </c>
      <c r="GH286" s="121">
        <f t="shared" si="1592"/>
        <v>6765000</v>
      </c>
      <c r="GI286" s="121">
        <f t="shared" si="1592"/>
        <v>6765000</v>
      </c>
      <c r="GJ286" s="121">
        <f t="shared" si="1592"/>
        <v>0</v>
      </c>
      <c r="GK286" s="121">
        <f t="shared" ref="GK286:GP286" si="1593">SUM(GK284:GK285)</f>
        <v>6765000</v>
      </c>
      <c r="GL286" s="121">
        <f t="shared" si="1593"/>
        <v>0</v>
      </c>
      <c r="GM286" s="121">
        <f t="shared" si="1593"/>
        <v>0</v>
      </c>
      <c r="GN286" s="121">
        <f t="shared" si="1593"/>
        <v>6765000</v>
      </c>
      <c r="GO286" s="121">
        <f t="shared" si="1593"/>
        <v>6765000</v>
      </c>
      <c r="GP286" s="121">
        <f t="shared" si="1593"/>
        <v>0</v>
      </c>
      <c r="GQ286" s="121">
        <f t="shared" ref="GQ286:GV286" si="1594">SUM(GQ284:GQ285)</f>
        <v>6765000</v>
      </c>
      <c r="GR286" s="121">
        <f t="shared" si="1594"/>
        <v>0</v>
      </c>
      <c r="GS286" s="121">
        <f t="shared" si="1594"/>
        <v>0</v>
      </c>
      <c r="GT286" s="121">
        <f t="shared" si="1594"/>
        <v>6765000</v>
      </c>
      <c r="GU286" s="121">
        <f t="shared" si="1594"/>
        <v>6765000</v>
      </c>
      <c r="GV286" s="121">
        <f t="shared" si="1594"/>
        <v>0</v>
      </c>
      <c r="GW286" s="121">
        <f t="shared" ref="GW286:HB286" si="1595">SUM(GW284:GW285)</f>
        <v>7103250</v>
      </c>
      <c r="GX286" s="121">
        <f t="shared" si="1595"/>
        <v>0</v>
      </c>
      <c r="GY286" s="121">
        <f t="shared" si="1595"/>
        <v>0</v>
      </c>
      <c r="GZ286" s="121">
        <f t="shared" si="1595"/>
        <v>7103250</v>
      </c>
      <c r="HA286" s="121">
        <f t="shared" si="1595"/>
        <v>7103250</v>
      </c>
      <c r="HB286" s="121">
        <f t="shared" si="1595"/>
        <v>338250</v>
      </c>
      <c r="HC286" s="121">
        <f>SUM(HC284:HC285)</f>
        <v>0.50062697701259917</v>
      </c>
    </row>
    <row r="287" spans="1:226" x14ac:dyDescent="0.3">
      <c r="A287" s="98"/>
      <c r="B287" s="98"/>
      <c r="C287" s="98"/>
      <c r="D287" s="99"/>
      <c r="E287" s="108"/>
      <c r="F287" s="108"/>
      <c r="G287" s="108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127">
        <f>AY51*10*5%</f>
        <v>1660</v>
      </c>
      <c r="AZ287" s="20"/>
      <c r="BA287" s="20"/>
      <c r="BB287" s="20"/>
      <c r="BC287" s="20"/>
      <c r="BD287" s="20"/>
      <c r="BE287" s="20"/>
      <c r="BF287" s="100"/>
      <c r="BG287" s="100"/>
      <c r="BH287" s="100"/>
      <c r="BI287" s="100"/>
      <c r="BJ287" s="100"/>
      <c r="BK287" s="100"/>
      <c r="BL287" s="100"/>
      <c r="BM287" s="100"/>
      <c r="BN287" s="100"/>
      <c r="BO287" s="100"/>
      <c r="BP287" s="100"/>
      <c r="BQ287" s="100"/>
      <c r="BR287" s="100"/>
      <c r="BS287" s="100"/>
      <c r="BT287" s="100"/>
      <c r="BU287" s="100"/>
      <c r="BV287" s="100"/>
      <c r="BW287" s="100"/>
      <c r="BX287" s="100"/>
      <c r="BY287" s="100"/>
      <c r="BZ287" s="100"/>
      <c r="CA287" s="100"/>
      <c r="CB287" s="100"/>
      <c r="CC287" s="100"/>
      <c r="CD287" s="100"/>
      <c r="CE287" s="100"/>
      <c r="CF287" s="100"/>
      <c r="CG287" s="100"/>
      <c r="CH287" s="100"/>
      <c r="CI287" s="100"/>
      <c r="CJ287" s="100"/>
      <c r="CK287" s="100"/>
      <c r="CL287" s="100"/>
      <c r="CM287" s="100"/>
      <c r="CN287" s="100"/>
      <c r="CO287" s="100"/>
      <c r="CP287" s="100"/>
      <c r="CQ287" s="100"/>
      <c r="CR287" s="100"/>
      <c r="CS287" s="100"/>
      <c r="CT287" s="100"/>
      <c r="CU287" s="100"/>
      <c r="CV287" s="100"/>
      <c r="CW287" s="100"/>
      <c r="CX287" s="100"/>
      <c r="CY287" s="100"/>
      <c r="CZ287" s="100"/>
      <c r="DA287" s="100"/>
      <c r="DB287" s="100"/>
      <c r="DC287" s="100"/>
      <c r="DD287" s="100"/>
      <c r="DE287" s="100"/>
      <c r="DF287" s="100"/>
      <c r="DG287" s="100"/>
      <c r="DH287" s="114"/>
    </row>
    <row r="295" spans="1:112" x14ac:dyDescent="0.3">
      <c r="AY295" s="127">
        <f>AY42*10*5%</f>
        <v>3576859</v>
      </c>
    </row>
    <row r="296" spans="1:112" x14ac:dyDescent="0.3">
      <c r="A296" s="98"/>
      <c r="B296" s="98"/>
      <c r="C296" s="98"/>
      <c r="D296" s="99"/>
      <c r="E296" s="108"/>
      <c r="F296" s="108"/>
      <c r="G296" s="108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  <c r="BB296" s="20"/>
      <c r="BC296" s="20"/>
      <c r="BD296" s="20"/>
      <c r="BE296" s="20"/>
      <c r="BF296" s="100"/>
      <c r="BG296" s="100"/>
      <c r="BH296" s="100"/>
      <c r="BI296" s="100"/>
      <c r="BJ296" s="100"/>
      <c r="BK296" s="100"/>
      <c r="BL296" s="100"/>
      <c r="BM296" s="100"/>
      <c r="BN296" s="100"/>
      <c r="BO296" s="100"/>
      <c r="BP296" s="100"/>
      <c r="BQ296" s="100"/>
      <c r="BR296" s="100"/>
      <c r="BS296" s="100"/>
      <c r="BT296" s="100"/>
      <c r="BU296" s="100"/>
      <c r="BV296" s="100"/>
      <c r="BW296" s="100"/>
      <c r="BX296" s="100"/>
      <c r="BY296" s="100"/>
      <c r="BZ296" s="100"/>
      <c r="CA296" s="100"/>
      <c r="CB296" s="100"/>
      <c r="CC296" s="100"/>
      <c r="CD296" s="100"/>
      <c r="CE296" s="100"/>
      <c r="CF296" s="100"/>
      <c r="CG296" s="100"/>
      <c r="CH296" s="100"/>
      <c r="CI296" s="100"/>
      <c r="CJ296" s="100"/>
      <c r="CK296" s="100"/>
      <c r="CL296" s="100"/>
      <c r="CM296" s="100"/>
      <c r="CN296" s="100"/>
      <c r="CO296" s="100"/>
      <c r="CP296" s="100"/>
      <c r="CQ296" s="100"/>
      <c r="CR296" s="100"/>
      <c r="CS296" s="100"/>
      <c r="CT296" s="100"/>
      <c r="CU296" s="100"/>
      <c r="CV296" s="100"/>
      <c r="CW296" s="100"/>
      <c r="CX296" s="100"/>
      <c r="CY296" s="100"/>
      <c r="CZ296" s="100"/>
      <c r="DA296" s="100"/>
      <c r="DB296" s="100"/>
      <c r="DC296" s="100"/>
      <c r="DD296" s="100"/>
      <c r="DE296" s="100"/>
      <c r="DF296" s="100"/>
      <c r="DG296" s="100"/>
      <c r="DH296" s="114"/>
    </row>
    <row r="297" spans="1:112" x14ac:dyDescent="0.3"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B297" s="20"/>
      <c r="BC297" s="20"/>
      <c r="BD297" s="20"/>
      <c r="BE297" s="20"/>
      <c r="BF297" s="100"/>
      <c r="BG297" s="100"/>
      <c r="BH297" s="100"/>
      <c r="BI297" s="100"/>
      <c r="BJ297" s="100"/>
      <c r="BK297" s="100"/>
      <c r="BL297" s="100"/>
      <c r="BM297" s="100"/>
      <c r="BN297" s="100"/>
      <c r="BO297" s="100"/>
      <c r="BP297" s="100"/>
      <c r="BQ297" s="100"/>
      <c r="BR297" s="100"/>
      <c r="BS297" s="100"/>
      <c r="BT297" s="100"/>
      <c r="BU297" s="100"/>
      <c r="BV297" s="100"/>
      <c r="BW297" s="100"/>
      <c r="BX297" s="100"/>
      <c r="BY297" s="100"/>
      <c r="BZ297" s="100"/>
      <c r="CA297" s="100"/>
      <c r="CB297" s="100"/>
      <c r="CC297" s="100"/>
      <c r="CD297" s="100"/>
      <c r="CE297" s="100"/>
      <c r="CF297" s="100"/>
      <c r="CG297" s="100"/>
      <c r="CH297" s="100"/>
      <c r="CI297" s="100"/>
      <c r="CJ297" s="100"/>
      <c r="CK297" s="100"/>
      <c r="CL297" s="100"/>
      <c r="CM297" s="100"/>
      <c r="CN297" s="100"/>
      <c r="CO297" s="100"/>
      <c r="CP297" s="100"/>
      <c r="CQ297" s="100"/>
      <c r="CR297" s="100"/>
      <c r="CS297" s="100"/>
      <c r="CT297" s="100"/>
      <c r="CU297" s="100"/>
      <c r="CV297" s="100"/>
      <c r="CW297" s="100"/>
      <c r="CX297" s="100"/>
      <c r="CY297" s="100"/>
      <c r="CZ297" s="100"/>
      <c r="DA297" s="100"/>
      <c r="DB297" s="100"/>
      <c r="DC297" s="100"/>
      <c r="DD297" s="100"/>
      <c r="DE297" s="100"/>
      <c r="DF297" s="100"/>
      <c r="DG297" s="100"/>
    </row>
    <row r="309" spans="13:111" x14ac:dyDescent="0.3"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  <c r="BB309" s="20"/>
      <c r="BC309" s="20"/>
      <c r="BD309" s="20"/>
      <c r="BE309" s="20"/>
      <c r="BF309" s="100"/>
      <c r="BG309" s="100"/>
      <c r="BH309" s="100"/>
      <c r="BI309" s="100"/>
      <c r="BJ309" s="100"/>
      <c r="BK309" s="100"/>
      <c r="BL309" s="100"/>
      <c r="BM309" s="100"/>
      <c r="BN309" s="100"/>
      <c r="BO309" s="100"/>
      <c r="BP309" s="100"/>
      <c r="BQ309" s="100"/>
      <c r="BR309" s="100"/>
      <c r="BS309" s="100"/>
      <c r="BT309" s="100"/>
      <c r="BU309" s="100"/>
      <c r="BV309" s="100"/>
      <c r="BW309" s="100"/>
      <c r="BX309" s="100"/>
      <c r="BY309" s="100"/>
      <c r="BZ309" s="100"/>
      <c r="CA309" s="100"/>
      <c r="CB309" s="100"/>
      <c r="CC309" s="100"/>
      <c r="CD309" s="100"/>
      <c r="CE309" s="100"/>
      <c r="CF309" s="100"/>
      <c r="CG309" s="100"/>
      <c r="CH309" s="100"/>
      <c r="CI309" s="100"/>
      <c r="CJ309" s="100"/>
      <c r="CK309" s="100"/>
      <c r="CL309" s="100"/>
      <c r="CM309" s="100"/>
      <c r="CN309" s="100"/>
      <c r="CO309" s="100"/>
      <c r="CP309" s="100"/>
      <c r="CQ309" s="100"/>
      <c r="CR309" s="100"/>
      <c r="CS309" s="100"/>
      <c r="CT309" s="100"/>
      <c r="CU309" s="100"/>
      <c r="CV309" s="100"/>
      <c r="CW309" s="100"/>
      <c r="CX309" s="100"/>
      <c r="CY309" s="100"/>
      <c r="CZ309" s="100"/>
      <c r="DA309" s="100"/>
      <c r="DB309" s="100"/>
      <c r="DC309" s="100"/>
      <c r="DD309" s="100"/>
      <c r="DE309" s="100"/>
      <c r="DF309" s="100"/>
      <c r="DG309" s="100"/>
    </row>
    <row r="310" spans="13:111" x14ac:dyDescent="0.3"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  <c r="BB310" s="20"/>
      <c r="BC310" s="20"/>
      <c r="BD310" s="20"/>
      <c r="BE310" s="20"/>
      <c r="BF310" s="100"/>
      <c r="BG310" s="100"/>
      <c r="BH310" s="100"/>
      <c r="BI310" s="100"/>
      <c r="BJ310" s="100"/>
      <c r="BK310" s="100"/>
      <c r="BL310" s="100"/>
      <c r="BM310" s="100"/>
      <c r="BN310" s="100"/>
      <c r="BO310" s="100"/>
      <c r="BP310" s="100"/>
      <c r="BQ310" s="100"/>
      <c r="BR310" s="100"/>
      <c r="BS310" s="100"/>
      <c r="BT310" s="100"/>
      <c r="BU310" s="100"/>
      <c r="BV310" s="100"/>
      <c r="BW310" s="100"/>
      <c r="BX310" s="100"/>
      <c r="BY310" s="100"/>
      <c r="BZ310" s="100"/>
      <c r="CA310" s="100"/>
      <c r="CB310" s="100"/>
      <c r="CC310" s="100"/>
      <c r="CD310" s="100"/>
      <c r="CE310" s="100"/>
      <c r="CF310" s="100"/>
      <c r="CG310" s="100"/>
      <c r="CH310" s="100"/>
      <c r="CI310" s="100"/>
      <c r="CJ310" s="100"/>
      <c r="CK310" s="100"/>
      <c r="CL310" s="100"/>
      <c r="CM310" s="100"/>
      <c r="CN310" s="100"/>
      <c r="CO310" s="100"/>
      <c r="CP310" s="100"/>
      <c r="CQ310" s="100"/>
      <c r="CR310" s="100"/>
      <c r="CS310" s="100"/>
      <c r="CT310" s="100"/>
      <c r="CU310" s="100"/>
      <c r="CV310" s="100"/>
      <c r="CW310" s="100"/>
      <c r="CX310" s="100"/>
      <c r="CY310" s="100"/>
      <c r="CZ310" s="100"/>
      <c r="DA310" s="100"/>
      <c r="DB310" s="100"/>
      <c r="DC310" s="100"/>
      <c r="DD310" s="100"/>
      <c r="DE310" s="100"/>
      <c r="DF310" s="100"/>
      <c r="DG310" s="100"/>
    </row>
    <row r="320" spans="13:111" x14ac:dyDescent="0.3"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  <c r="BA320" s="20"/>
      <c r="BB320" s="20"/>
      <c r="BC320" s="20"/>
      <c r="BD320" s="20"/>
      <c r="BE320" s="20"/>
      <c r="BF320" s="100"/>
      <c r="BG320" s="100"/>
      <c r="BH320" s="100"/>
      <c r="BI320" s="100"/>
      <c r="BJ320" s="100"/>
      <c r="BK320" s="100"/>
      <c r="BL320" s="100"/>
      <c r="BM320" s="100"/>
      <c r="BN320" s="100"/>
      <c r="BO320" s="100"/>
      <c r="BP320" s="100"/>
      <c r="BQ320" s="100"/>
      <c r="BR320" s="100"/>
      <c r="BS320" s="100"/>
      <c r="BT320" s="100"/>
      <c r="BU320" s="100"/>
      <c r="BV320" s="100"/>
      <c r="BW320" s="100"/>
      <c r="BX320" s="100"/>
      <c r="BY320" s="100"/>
      <c r="BZ320" s="100"/>
      <c r="CA320" s="100"/>
      <c r="CB320" s="100"/>
      <c r="CC320" s="100"/>
      <c r="CD320" s="100"/>
      <c r="CE320" s="100"/>
      <c r="CF320" s="100"/>
      <c r="CG320" s="100"/>
      <c r="CH320" s="100"/>
      <c r="CI320" s="100"/>
      <c r="CJ320" s="100"/>
      <c r="CK320" s="100"/>
      <c r="CL320" s="100"/>
      <c r="CM320" s="100"/>
      <c r="CN320" s="100"/>
      <c r="CO320" s="100"/>
      <c r="CP320" s="100"/>
      <c r="CQ320" s="100"/>
      <c r="CR320" s="100"/>
      <c r="CS320" s="100"/>
      <c r="CT320" s="100"/>
      <c r="CU320" s="100"/>
      <c r="CV320" s="100"/>
      <c r="CW320" s="100"/>
      <c r="CX320" s="100"/>
      <c r="CY320" s="100"/>
      <c r="CZ320" s="100"/>
      <c r="DA320" s="100"/>
      <c r="DB320" s="100"/>
      <c r="DC320" s="100"/>
      <c r="DD320" s="100"/>
      <c r="DE320" s="100"/>
      <c r="DF320" s="100"/>
      <c r="DG320" s="100"/>
    </row>
    <row r="321" spans="13:111" x14ac:dyDescent="0.3"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AQ321" s="20"/>
      <c r="AR321" s="20"/>
      <c r="AS321" s="20"/>
      <c r="AT321" s="20"/>
      <c r="AU321" s="20"/>
      <c r="AV321" s="20"/>
      <c r="AW321" s="20"/>
      <c r="AX321" s="20"/>
      <c r="AY321" s="20"/>
      <c r="AZ321" s="20"/>
      <c r="BA321" s="20"/>
      <c r="BB321" s="20"/>
      <c r="BC321" s="20"/>
      <c r="BD321" s="20"/>
      <c r="BE321" s="20"/>
      <c r="BF321" s="100"/>
      <c r="BG321" s="100"/>
      <c r="BH321" s="100"/>
      <c r="BI321" s="100"/>
      <c r="BJ321" s="100"/>
      <c r="BK321" s="100"/>
      <c r="BL321" s="100"/>
      <c r="BM321" s="100"/>
      <c r="BN321" s="100"/>
      <c r="BO321" s="100"/>
      <c r="BP321" s="100"/>
      <c r="BQ321" s="100"/>
      <c r="BR321" s="100"/>
      <c r="BS321" s="100"/>
      <c r="BT321" s="100"/>
      <c r="BU321" s="100"/>
      <c r="BV321" s="100"/>
      <c r="BW321" s="100"/>
      <c r="BX321" s="100"/>
      <c r="BY321" s="100"/>
      <c r="BZ321" s="100"/>
      <c r="CA321" s="100"/>
      <c r="CB321" s="100"/>
      <c r="CC321" s="100"/>
      <c r="CD321" s="100"/>
      <c r="CE321" s="100"/>
      <c r="CF321" s="100"/>
      <c r="CG321" s="100"/>
      <c r="CH321" s="100"/>
      <c r="CI321" s="100"/>
      <c r="CJ321" s="100"/>
      <c r="CK321" s="100"/>
      <c r="CL321" s="100"/>
      <c r="CM321" s="100"/>
      <c r="CN321" s="100"/>
      <c r="CO321" s="100"/>
      <c r="CP321" s="100"/>
      <c r="CQ321" s="100"/>
      <c r="CR321" s="100"/>
      <c r="CS321" s="100"/>
      <c r="CT321" s="100"/>
      <c r="CU321" s="100"/>
      <c r="CV321" s="100"/>
      <c r="CW321" s="100"/>
      <c r="CX321" s="100"/>
      <c r="CY321" s="100"/>
      <c r="CZ321" s="100"/>
      <c r="DA321" s="100"/>
      <c r="DB321" s="100"/>
      <c r="DC321" s="100"/>
      <c r="DD321" s="100"/>
      <c r="DE321" s="100"/>
      <c r="DF321" s="100"/>
      <c r="DG321" s="100"/>
    </row>
  </sheetData>
  <autoFilter ref="A2:DH334" xr:uid="{00000000-0009-0000-0000-000001000000}"/>
  <mergeCells count="505">
    <mergeCell ref="BQ2:BT2"/>
    <mergeCell ref="BL2:BO2"/>
    <mergeCell ref="AF2:AI2"/>
    <mergeCell ref="AB2:AE2"/>
    <mergeCell ref="HE2:HI2"/>
    <mergeCell ref="GW2:HA2"/>
    <mergeCell ref="GQ2:GU2"/>
    <mergeCell ref="GK2:GO2"/>
    <mergeCell ref="GE2:GI2"/>
    <mergeCell ref="FY2:GC2"/>
    <mergeCell ref="FS2:FW2"/>
    <mergeCell ref="FM2:FQ2"/>
    <mergeCell ref="FG2:FK2"/>
    <mergeCell ref="FA2:FE2"/>
    <mergeCell ref="EU2:EY2"/>
    <mergeCell ref="EO2:ES2"/>
    <mergeCell ref="EI2:EM2"/>
    <mergeCell ref="EC2:EG2"/>
    <mergeCell ref="BH2:BK2"/>
    <mergeCell ref="AV2:AY2"/>
    <mergeCell ref="AR2:AU2"/>
    <mergeCell ref="AN2:AQ2"/>
    <mergeCell ref="AJ2:AM2"/>
    <mergeCell ref="CF2:CI2"/>
    <mergeCell ref="CA2:CD2"/>
    <mergeCell ref="BV2:BY2"/>
    <mergeCell ref="DW2:EA2"/>
    <mergeCell ref="DQ2:DU2"/>
    <mergeCell ref="DI2:DP2"/>
    <mergeCell ref="HK2:HR2"/>
    <mergeCell ref="HK18:HR18"/>
    <mergeCell ref="FY18:GC18"/>
    <mergeCell ref="GE18:GI18"/>
    <mergeCell ref="GK18:GO18"/>
    <mergeCell ref="GQ18:GU18"/>
    <mergeCell ref="GW18:HA18"/>
    <mergeCell ref="HE18:HI18"/>
    <mergeCell ref="CA18:CD18"/>
    <mergeCell ref="CF18:CI18"/>
    <mergeCell ref="CK18:CN18"/>
    <mergeCell ref="CP18:CS18"/>
    <mergeCell ref="CU18:CX18"/>
    <mergeCell ref="HK184:HR184"/>
    <mergeCell ref="HK197:HR197"/>
    <mergeCell ref="HK95:HR95"/>
    <mergeCell ref="HK103:HR103"/>
    <mergeCell ref="HK112:HR112"/>
    <mergeCell ref="HK119:HR119"/>
    <mergeCell ref="HK131:HR131"/>
    <mergeCell ref="HK26:HR26"/>
    <mergeCell ref="HK38:HR38"/>
    <mergeCell ref="HK45:HR45"/>
    <mergeCell ref="HK53:HR53"/>
    <mergeCell ref="HK86:HR86"/>
    <mergeCell ref="AB18:AE18"/>
    <mergeCell ref="AF18:AI18"/>
    <mergeCell ref="AJ18:AM18"/>
    <mergeCell ref="AN18:AQ18"/>
    <mergeCell ref="AR18:AU18"/>
    <mergeCell ref="HK204:HR204"/>
    <mergeCell ref="HK215:HR215"/>
    <mergeCell ref="CP2:CS2"/>
    <mergeCell ref="CK2:CN2"/>
    <mergeCell ref="CU2:CX2"/>
    <mergeCell ref="DI18:DP18"/>
    <mergeCell ref="DQ18:DU18"/>
    <mergeCell ref="DW18:EA18"/>
    <mergeCell ref="EC18:EG18"/>
    <mergeCell ref="EI18:EM18"/>
    <mergeCell ref="EO18:ES18"/>
    <mergeCell ref="EU18:EY18"/>
    <mergeCell ref="FA18:FE18"/>
    <mergeCell ref="FG18:FK18"/>
    <mergeCell ref="FM18:FQ18"/>
    <mergeCell ref="FS18:FW18"/>
    <mergeCell ref="HK145:HR145"/>
    <mergeCell ref="HK157:HR157"/>
    <mergeCell ref="HK169:HR169"/>
    <mergeCell ref="AV18:AY18"/>
    <mergeCell ref="BH18:BK18"/>
    <mergeCell ref="BL18:BO18"/>
    <mergeCell ref="BQ18:BT18"/>
    <mergeCell ref="BV18:BY18"/>
    <mergeCell ref="AV26:AY26"/>
    <mergeCell ref="BH26:BK26"/>
    <mergeCell ref="BL26:BO26"/>
    <mergeCell ref="BQ26:BT26"/>
    <mergeCell ref="BV26:BY26"/>
    <mergeCell ref="AB26:AE26"/>
    <mergeCell ref="AF26:AI26"/>
    <mergeCell ref="AJ26:AM26"/>
    <mergeCell ref="AN26:AQ26"/>
    <mergeCell ref="AR26:AU26"/>
    <mergeCell ref="FG26:FK26"/>
    <mergeCell ref="FM26:FQ26"/>
    <mergeCell ref="DI26:DP26"/>
    <mergeCell ref="DQ26:DU26"/>
    <mergeCell ref="DW26:EA26"/>
    <mergeCell ref="EC26:EG26"/>
    <mergeCell ref="EI26:EM26"/>
    <mergeCell ref="CA26:CD26"/>
    <mergeCell ref="CF26:CI26"/>
    <mergeCell ref="CK26:CN26"/>
    <mergeCell ref="CP26:CS26"/>
    <mergeCell ref="CU26:CX26"/>
    <mergeCell ref="GW26:HA26"/>
    <mergeCell ref="HE26:HI26"/>
    <mergeCell ref="AB38:AE38"/>
    <mergeCell ref="AF38:AI38"/>
    <mergeCell ref="AJ38:AM38"/>
    <mergeCell ref="AN38:AQ38"/>
    <mergeCell ref="AR38:AU38"/>
    <mergeCell ref="AV38:AY38"/>
    <mergeCell ref="BH38:BK38"/>
    <mergeCell ref="BL38:BO38"/>
    <mergeCell ref="BQ38:BT38"/>
    <mergeCell ref="BV38:BY38"/>
    <mergeCell ref="CA38:CD38"/>
    <mergeCell ref="CF38:CI38"/>
    <mergeCell ref="CK38:CN38"/>
    <mergeCell ref="CP38:CS38"/>
    <mergeCell ref="FS26:FW26"/>
    <mergeCell ref="FY26:GC26"/>
    <mergeCell ref="GE26:GI26"/>
    <mergeCell ref="GK26:GO26"/>
    <mergeCell ref="GQ26:GU26"/>
    <mergeCell ref="EO26:ES26"/>
    <mergeCell ref="EU26:EY26"/>
    <mergeCell ref="FA26:FE26"/>
    <mergeCell ref="HE38:HI38"/>
    <mergeCell ref="AB45:AE45"/>
    <mergeCell ref="AF45:AI45"/>
    <mergeCell ref="AJ45:AM45"/>
    <mergeCell ref="AN45:AQ45"/>
    <mergeCell ref="AR45:AU45"/>
    <mergeCell ref="AV45:AY45"/>
    <mergeCell ref="BH45:BK45"/>
    <mergeCell ref="BL45:BO45"/>
    <mergeCell ref="BQ45:BT45"/>
    <mergeCell ref="BV45:BY45"/>
    <mergeCell ref="CA45:CD45"/>
    <mergeCell ref="CF45:CI45"/>
    <mergeCell ref="CK45:CN45"/>
    <mergeCell ref="FM38:FQ38"/>
    <mergeCell ref="FS38:FW38"/>
    <mergeCell ref="FY38:GC38"/>
    <mergeCell ref="GE38:GI38"/>
    <mergeCell ref="GK38:GO38"/>
    <mergeCell ref="EI38:EM38"/>
    <mergeCell ref="EO38:ES38"/>
    <mergeCell ref="EU38:EY38"/>
    <mergeCell ref="FA38:FE38"/>
    <mergeCell ref="FG38:FK38"/>
    <mergeCell ref="GW38:HA38"/>
    <mergeCell ref="CU38:CX38"/>
    <mergeCell ref="DI38:DP38"/>
    <mergeCell ref="DQ38:DU38"/>
    <mergeCell ref="DW38:EA38"/>
    <mergeCell ref="EC38:EG38"/>
    <mergeCell ref="GK45:GO45"/>
    <mergeCell ref="GQ45:GU45"/>
    <mergeCell ref="GW45:HA45"/>
    <mergeCell ref="EU45:EY45"/>
    <mergeCell ref="FA45:FE45"/>
    <mergeCell ref="GE45:GI45"/>
    <mergeCell ref="EC45:EG45"/>
    <mergeCell ref="EI45:EM45"/>
    <mergeCell ref="EO45:ES45"/>
    <mergeCell ref="CP45:CS45"/>
    <mergeCell ref="CU45:CX45"/>
    <mergeCell ref="DI45:DP45"/>
    <mergeCell ref="DQ45:DU45"/>
    <mergeCell ref="DW45:EA45"/>
    <mergeCell ref="GQ38:GU38"/>
    <mergeCell ref="GK53:GO53"/>
    <mergeCell ref="HE45:HI45"/>
    <mergeCell ref="AB53:AE53"/>
    <mergeCell ref="AF53:AI53"/>
    <mergeCell ref="AJ53:AM53"/>
    <mergeCell ref="AN53:AQ53"/>
    <mergeCell ref="AR53:AU53"/>
    <mergeCell ref="AV53:AY53"/>
    <mergeCell ref="BH53:BK53"/>
    <mergeCell ref="BL53:BO53"/>
    <mergeCell ref="BQ53:BT53"/>
    <mergeCell ref="BV53:BY53"/>
    <mergeCell ref="CA53:CD53"/>
    <mergeCell ref="CF53:CI53"/>
    <mergeCell ref="FG45:FK45"/>
    <mergeCell ref="FM45:FQ45"/>
    <mergeCell ref="FS45:FW45"/>
    <mergeCell ref="FY45:GC45"/>
    <mergeCell ref="BQ86:BT86"/>
    <mergeCell ref="BV86:BY86"/>
    <mergeCell ref="GW86:HA86"/>
    <mergeCell ref="HE86:HI86"/>
    <mergeCell ref="GQ86:GU86"/>
    <mergeCell ref="EO53:ES53"/>
    <mergeCell ref="EU53:EY53"/>
    <mergeCell ref="CK53:CN53"/>
    <mergeCell ref="CP53:CS53"/>
    <mergeCell ref="CU53:CX53"/>
    <mergeCell ref="DI53:DP53"/>
    <mergeCell ref="DQ53:DU53"/>
    <mergeCell ref="GE53:GI53"/>
    <mergeCell ref="EI53:EM53"/>
    <mergeCell ref="DW53:EA53"/>
    <mergeCell ref="EC53:EG53"/>
    <mergeCell ref="GQ53:GU53"/>
    <mergeCell ref="GW53:HA53"/>
    <mergeCell ref="HE53:HI53"/>
    <mergeCell ref="FA53:FE53"/>
    <mergeCell ref="FG53:FK53"/>
    <mergeCell ref="FM53:FQ53"/>
    <mergeCell ref="FS53:FW53"/>
    <mergeCell ref="FY53:GC53"/>
    <mergeCell ref="AB86:AE86"/>
    <mergeCell ref="AF86:AI86"/>
    <mergeCell ref="AJ86:AM86"/>
    <mergeCell ref="AN86:AQ86"/>
    <mergeCell ref="AR86:AU86"/>
    <mergeCell ref="BV95:BY95"/>
    <mergeCell ref="CA95:CD95"/>
    <mergeCell ref="CF95:CI95"/>
    <mergeCell ref="CK95:CN95"/>
    <mergeCell ref="CA86:CD86"/>
    <mergeCell ref="CF86:CI86"/>
    <mergeCell ref="CK86:CN86"/>
    <mergeCell ref="AB95:AE95"/>
    <mergeCell ref="AF95:AI95"/>
    <mergeCell ref="AJ95:AM95"/>
    <mergeCell ref="AN95:AQ95"/>
    <mergeCell ref="AR95:AU95"/>
    <mergeCell ref="AV95:AY95"/>
    <mergeCell ref="BH95:BK95"/>
    <mergeCell ref="BL95:BO95"/>
    <mergeCell ref="BQ95:BT95"/>
    <mergeCell ref="AV86:AY86"/>
    <mergeCell ref="BH86:BK86"/>
    <mergeCell ref="BL86:BO86"/>
    <mergeCell ref="CP95:CS95"/>
    <mergeCell ref="FS86:FW86"/>
    <mergeCell ref="FY86:GC86"/>
    <mergeCell ref="GE86:GI86"/>
    <mergeCell ref="GK86:GO86"/>
    <mergeCell ref="EO86:ES86"/>
    <mergeCell ref="EU86:EY86"/>
    <mergeCell ref="FA86:FE86"/>
    <mergeCell ref="FG86:FK86"/>
    <mergeCell ref="FM86:FQ86"/>
    <mergeCell ref="DI86:DP86"/>
    <mergeCell ref="DQ86:DU86"/>
    <mergeCell ref="DW86:EA86"/>
    <mergeCell ref="EC86:EG86"/>
    <mergeCell ref="EI86:EM86"/>
    <mergeCell ref="CP86:CS86"/>
    <mergeCell ref="CU86:CX86"/>
    <mergeCell ref="FA95:FE95"/>
    <mergeCell ref="FG95:FK95"/>
    <mergeCell ref="CU95:CX95"/>
    <mergeCell ref="DI95:DP95"/>
    <mergeCell ref="DQ95:DU95"/>
    <mergeCell ref="DW95:EA95"/>
    <mergeCell ref="EC95:EG95"/>
    <mergeCell ref="GQ95:GU95"/>
    <mergeCell ref="GW95:HA95"/>
    <mergeCell ref="HE95:HI95"/>
    <mergeCell ref="AB104:AE104"/>
    <mergeCell ref="AF104:AI104"/>
    <mergeCell ref="AJ104:AM104"/>
    <mergeCell ref="AN104:AQ104"/>
    <mergeCell ref="AR104:AU104"/>
    <mergeCell ref="AV104:AY104"/>
    <mergeCell ref="BH104:BK104"/>
    <mergeCell ref="BL104:BO104"/>
    <mergeCell ref="BQ104:BT104"/>
    <mergeCell ref="BV104:BY104"/>
    <mergeCell ref="CA104:CD104"/>
    <mergeCell ref="CF104:CI104"/>
    <mergeCell ref="CK104:CN104"/>
    <mergeCell ref="FM95:FQ95"/>
    <mergeCell ref="FS95:FW95"/>
    <mergeCell ref="FY95:GC95"/>
    <mergeCell ref="GE95:GI95"/>
    <mergeCell ref="GK95:GO95"/>
    <mergeCell ref="EI95:EM95"/>
    <mergeCell ref="EO95:ES95"/>
    <mergeCell ref="EU95:EY95"/>
    <mergeCell ref="EC104:EG104"/>
    <mergeCell ref="EI104:EM104"/>
    <mergeCell ref="EO104:ES104"/>
    <mergeCell ref="EU104:EY104"/>
    <mergeCell ref="FA104:FE104"/>
    <mergeCell ref="CP104:CS104"/>
    <mergeCell ref="CU104:CX104"/>
    <mergeCell ref="DI104:DP104"/>
    <mergeCell ref="DQ104:DU104"/>
    <mergeCell ref="DW104:EA104"/>
    <mergeCell ref="GK104:GO104"/>
    <mergeCell ref="GQ104:GU104"/>
    <mergeCell ref="GW104:HA104"/>
    <mergeCell ref="HE104:HI104"/>
    <mergeCell ref="HK104:HR104"/>
    <mergeCell ref="FG104:FK104"/>
    <mergeCell ref="FM104:FQ104"/>
    <mergeCell ref="FS104:FW104"/>
    <mergeCell ref="FY104:GC104"/>
    <mergeCell ref="GE104:GI104"/>
    <mergeCell ref="AV233:AY233"/>
    <mergeCell ref="BH233:BK233"/>
    <mergeCell ref="BL233:BO233"/>
    <mergeCell ref="BQ233:BT233"/>
    <mergeCell ref="BV233:BY233"/>
    <mergeCell ref="AB233:AE233"/>
    <mergeCell ref="AF233:AI233"/>
    <mergeCell ref="AJ233:AM233"/>
    <mergeCell ref="AN233:AQ233"/>
    <mergeCell ref="AR233:AU233"/>
    <mergeCell ref="FG233:FK233"/>
    <mergeCell ref="FM233:FQ233"/>
    <mergeCell ref="DI233:DP233"/>
    <mergeCell ref="DQ233:DU233"/>
    <mergeCell ref="DW233:EA233"/>
    <mergeCell ref="EC233:EG233"/>
    <mergeCell ref="EI233:EM233"/>
    <mergeCell ref="CA233:CD233"/>
    <mergeCell ref="CF233:CI233"/>
    <mergeCell ref="CK233:CN233"/>
    <mergeCell ref="CP233:CS233"/>
    <mergeCell ref="CU233:CX233"/>
    <mergeCell ref="GW233:HA233"/>
    <mergeCell ref="HE233:HI233"/>
    <mergeCell ref="HK233:HR233"/>
    <mergeCell ref="AB246:AE246"/>
    <mergeCell ref="AF246:AI246"/>
    <mergeCell ref="AJ246:AM246"/>
    <mergeCell ref="AN246:AQ246"/>
    <mergeCell ref="AR246:AU246"/>
    <mergeCell ref="AV246:AY246"/>
    <mergeCell ref="BH246:BK246"/>
    <mergeCell ref="BL246:BO246"/>
    <mergeCell ref="BQ246:BT246"/>
    <mergeCell ref="BV246:BY246"/>
    <mergeCell ref="CA246:CD246"/>
    <mergeCell ref="CF246:CI246"/>
    <mergeCell ref="CK246:CN246"/>
    <mergeCell ref="FS233:FW233"/>
    <mergeCell ref="FY233:GC233"/>
    <mergeCell ref="GE233:GI233"/>
    <mergeCell ref="GK233:GO233"/>
    <mergeCell ref="GQ233:GU233"/>
    <mergeCell ref="EO233:ES233"/>
    <mergeCell ref="EU233:EY233"/>
    <mergeCell ref="FA233:FE233"/>
    <mergeCell ref="EC246:EG246"/>
    <mergeCell ref="EI246:EM246"/>
    <mergeCell ref="EO246:ES246"/>
    <mergeCell ref="EU246:EY246"/>
    <mergeCell ref="FA246:FE246"/>
    <mergeCell ref="CP246:CS246"/>
    <mergeCell ref="CU246:CX246"/>
    <mergeCell ref="DI246:DP246"/>
    <mergeCell ref="DQ246:DU246"/>
    <mergeCell ref="DW246:EA246"/>
    <mergeCell ref="GK246:GO246"/>
    <mergeCell ref="GQ246:GU246"/>
    <mergeCell ref="GW246:HA246"/>
    <mergeCell ref="HE246:HI246"/>
    <mergeCell ref="HK246:HR246"/>
    <mergeCell ref="FG246:FK246"/>
    <mergeCell ref="FM246:FQ246"/>
    <mergeCell ref="FS246:FW246"/>
    <mergeCell ref="FY246:GC246"/>
    <mergeCell ref="GE246:GI246"/>
    <mergeCell ref="AV261:AY261"/>
    <mergeCell ref="BH261:BK261"/>
    <mergeCell ref="BL261:BO261"/>
    <mergeCell ref="BQ261:BT261"/>
    <mergeCell ref="BV261:BY261"/>
    <mergeCell ref="AB261:AE261"/>
    <mergeCell ref="AF261:AI261"/>
    <mergeCell ref="AJ261:AM261"/>
    <mergeCell ref="AN261:AQ261"/>
    <mergeCell ref="AR261:AU261"/>
    <mergeCell ref="FG261:FK261"/>
    <mergeCell ref="FM261:FQ261"/>
    <mergeCell ref="DI261:DP261"/>
    <mergeCell ref="DQ261:DU261"/>
    <mergeCell ref="DW261:EA261"/>
    <mergeCell ref="EC261:EG261"/>
    <mergeCell ref="EI261:EM261"/>
    <mergeCell ref="CA261:CD261"/>
    <mergeCell ref="CF261:CI261"/>
    <mergeCell ref="CK261:CN261"/>
    <mergeCell ref="CP261:CS261"/>
    <mergeCell ref="CU261:CX261"/>
    <mergeCell ref="GW261:HA261"/>
    <mergeCell ref="HE261:HI261"/>
    <mergeCell ref="HK261:HR261"/>
    <mergeCell ref="AB272:AE272"/>
    <mergeCell ref="AF272:AI272"/>
    <mergeCell ref="AJ272:AM272"/>
    <mergeCell ref="AN272:AQ272"/>
    <mergeCell ref="AR272:AU272"/>
    <mergeCell ref="AV272:AY272"/>
    <mergeCell ref="BH272:BK272"/>
    <mergeCell ref="BL272:BO272"/>
    <mergeCell ref="BQ272:BT272"/>
    <mergeCell ref="BV272:BY272"/>
    <mergeCell ref="CA272:CD272"/>
    <mergeCell ref="CF272:CI272"/>
    <mergeCell ref="CK272:CN272"/>
    <mergeCell ref="FS261:FW261"/>
    <mergeCell ref="FY261:GC261"/>
    <mergeCell ref="GE261:GI261"/>
    <mergeCell ref="GK261:GO261"/>
    <mergeCell ref="GQ261:GU261"/>
    <mergeCell ref="EO261:ES261"/>
    <mergeCell ref="EU261:EY261"/>
    <mergeCell ref="FA261:FE261"/>
    <mergeCell ref="EC272:EG272"/>
    <mergeCell ref="EI272:EM272"/>
    <mergeCell ref="EO272:ES272"/>
    <mergeCell ref="EU272:EY272"/>
    <mergeCell ref="FA272:FE272"/>
    <mergeCell ref="CP272:CS272"/>
    <mergeCell ref="CU272:CX272"/>
    <mergeCell ref="DI272:DP272"/>
    <mergeCell ref="DQ272:DU272"/>
    <mergeCell ref="DW272:EA272"/>
    <mergeCell ref="GK272:GO272"/>
    <mergeCell ref="GQ272:GU272"/>
    <mergeCell ref="GW272:HA272"/>
    <mergeCell ref="HE272:HI272"/>
    <mergeCell ref="HK272:HR272"/>
    <mergeCell ref="FG272:FK272"/>
    <mergeCell ref="FM272:FQ272"/>
    <mergeCell ref="FS272:FW272"/>
    <mergeCell ref="FY272:GC272"/>
    <mergeCell ref="GE272:GI272"/>
    <mergeCell ref="AV282:AY282"/>
    <mergeCell ref="BH282:BK282"/>
    <mergeCell ref="BL282:BO282"/>
    <mergeCell ref="BQ282:BT282"/>
    <mergeCell ref="BV282:BY282"/>
    <mergeCell ref="AB282:AE282"/>
    <mergeCell ref="AF282:AI282"/>
    <mergeCell ref="AJ282:AM282"/>
    <mergeCell ref="AN282:AQ282"/>
    <mergeCell ref="AR282:AU282"/>
    <mergeCell ref="FG282:FK282"/>
    <mergeCell ref="FM282:FQ282"/>
    <mergeCell ref="DI282:DP282"/>
    <mergeCell ref="DQ282:DU282"/>
    <mergeCell ref="DW282:EA282"/>
    <mergeCell ref="EC282:EG282"/>
    <mergeCell ref="EI282:EM282"/>
    <mergeCell ref="CA282:CD282"/>
    <mergeCell ref="CF282:CI282"/>
    <mergeCell ref="CK282:CN282"/>
    <mergeCell ref="CP282:CS282"/>
    <mergeCell ref="CU282:CX282"/>
    <mergeCell ref="GW282:HA282"/>
    <mergeCell ref="HE282:HI282"/>
    <mergeCell ref="HK282:HR282"/>
    <mergeCell ref="AB215:AE215"/>
    <mergeCell ref="AF215:AI215"/>
    <mergeCell ref="AJ215:AM215"/>
    <mergeCell ref="AN215:AQ215"/>
    <mergeCell ref="AR215:AU215"/>
    <mergeCell ref="AV215:AY215"/>
    <mergeCell ref="BH215:BK215"/>
    <mergeCell ref="BL215:BO215"/>
    <mergeCell ref="BQ215:BT215"/>
    <mergeCell ref="BV215:BY215"/>
    <mergeCell ref="CA215:CD215"/>
    <mergeCell ref="CF215:CI215"/>
    <mergeCell ref="CK215:CN215"/>
    <mergeCell ref="FS282:FW282"/>
    <mergeCell ref="FY282:GC282"/>
    <mergeCell ref="GE282:GI282"/>
    <mergeCell ref="GK282:GO282"/>
    <mergeCell ref="GQ282:GU282"/>
    <mergeCell ref="EO282:ES282"/>
    <mergeCell ref="EU282:EY282"/>
    <mergeCell ref="FA282:FE282"/>
    <mergeCell ref="EC215:EG215"/>
    <mergeCell ref="EI215:EM215"/>
    <mergeCell ref="EO215:ES215"/>
    <mergeCell ref="EU215:EY215"/>
    <mergeCell ref="FA215:FE215"/>
    <mergeCell ref="CP215:CS215"/>
    <mergeCell ref="CU215:CX215"/>
    <mergeCell ref="DI215:DP215"/>
    <mergeCell ref="DQ215:DU215"/>
    <mergeCell ref="DW215:EA215"/>
    <mergeCell ref="GK215:GO215"/>
    <mergeCell ref="GQ215:GU215"/>
    <mergeCell ref="GW215:HA215"/>
    <mergeCell ref="HE215:HI215"/>
    <mergeCell ref="FG215:FK215"/>
    <mergeCell ref="FM215:FQ215"/>
    <mergeCell ref="FS215:FW215"/>
    <mergeCell ref="FY215:GC215"/>
    <mergeCell ref="GE215:GI21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L115"/>
  <sheetViews>
    <sheetView workbookViewId="0">
      <pane xSplit="3" ySplit="3" topLeftCell="D79" activePane="bottomRight" state="frozen"/>
      <selection pane="topRight" activeCell="E1" sqref="E1"/>
      <selection pane="bottomLeft" activeCell="A4" sqref="A4"/>
      <selection pane="bottomRight" activeCell="C75" sqref="C75:G75"/>
    </sheetView>
  </sheetViews>
  <sheetFormatPr defaultColWidth="9.109375" defaultRowHeight="10.199999999999999" x14ac:dyDescent="0.2"/>
  <cols>
    <col min="1" max="1" width="39.6640625" style="111" bestFit="1" customWidth="1"/>
    <col min="2" max="2" width="11.33203125" style="111" bestFit="1" customWidth="1"/>
    <col min="3" max="3" width="17.33203125" style="111" bestFit="1" customWidth="1"/>
    <col min="4" max="4" width="10.33203125" style="111" bestFit="1" customWidth="1"/>
    <col min="5" max="5" width="12.44140625" style="111" bestFit="1" customWidth="1"/>
    <col min="6" max="6" width="16" style="111" bestFit="1" customWidth="1"/>
    <col min="7" max="7" width="9" style="111" bestFit="1" customWidth="1"/>
    <col min="8" max="8" width="14" style="111" bestFit="1" customWidth="1"/>
    <col min="9" max="9" width="10.33203125" style="111" bestFit="1" customWidth="1"/>
    <col min="10" max="10" width="12.44140625" style="111" bestFit="1" customWidth="1"/>
    <col min="11" max="11" width="16" style="111" bestFit="1" customWidth="1"/>
    <col min="12" max="12" width="10.44140625" style="111" bestFit="1" customWidth="1"/>
    <col min="13" max="13" width="14" style="111" bestFit="1" customWidth="1"/>
    <col min="14" max="14" width="5.109375" style="111" bestFit="1" customWidth="1"/>
    <col min="15" max="15" width="10.5546875" style="111" bestFit="1" customWidth="1"/>
    <col min="16" max="16" width="9" style="111" bestFit="1" customWidth="1"/>
    <col min="17" max="17" width="5.109375" style="111" bestFit="1" customWidth="1"/>
    <col min="18" max="18" width="26.5546875" style="111" bestFit="1" customWidth="1"/>
    <col min="19" max="19" width="11.33203125" style="111" bestFit="1" customWidth="1"/>
    <col min="20" max="20" width="17.33203125" style="111" bestFit="1" customWidth="1"/>
    <col min="21" max="21" width="11.5546875" style="111" bestFit="1" customWidth="1"/>
    <col min="22" max="22" width="14.6640625" style="111" bestFit="1" customWidth="1"/>
    <col min="23" max="23" width="15.109375" style="111" bestFit="1" customWidth="1"/>
    <col min="24" max="24" width="8.6640625" style="111" bestFit="1" customWidth="1"/>
    <col min="25" max="25" width="13.33203125" style="111" bestFit="1" customWidth="1"/>
    <col min="26" max="26" width="14.33203125" style="111" bestFit="1" customWidth="1"/>
    <col min="27" max="27" width="12.5546875" style="111" bestFit="1" customWidth="1"/>
    <col min="28" max="28" width="11.6640625" style="111" bestFit="1" customWidth="1"/>
    <col min="29" max="16384" width="9.109375" style="111"/>
  </cols>
  <sheetData>
    <row r="2" spans="1:13" ht="24.75" customHeight="1" x14ac:dyDescent="0.2">
      <c r="A2" s="85" t="s">
        <v>1</v>
      </c>
      <c r="B2" s="85" t="s">
        <v>217</v>
      </c>
      <c r="C2" s="86" t="s">
        <v>218</v>
      </c>
      <c r="D2" s="584" t="s">
        <v>674</v>
      </c>
      <c r="E2" s="585"/>
      <c r="F2" s="585"/>
      <c r="G2" s="585"/>
      <c r="H2" s="586"/>
      <c r="I2" s="584" t="s">
        <v>696</v>
      </c>
      <c r="J2" s="585"/>
      <c r="K2" s="585"/>
      <c r="L2" s="585"/>
      <c r="M2" s="586"/>
    </row>
    <row r="3" spans="1:13" ht="21" thickBot="1" x14ac:dyDescent="0.25">
      <c r="A3" s="440" t="s">
        <v>502</v>
      </c>
      <c r="B3" s="448"/>
      <c r="C3" s="447"/>
      <c r="D3" s="96" t="s">
        <v>234</v>
      </c>
      <c r="E3" s="96" t="s">
        <v>454</v>
      </c>
      <c r="F3" s="96" t="s">
        <v>455</v>
      </c>
      <c r="G3" s="244" t="s">
        <v>456</v>
      </c>
      <c r="H3" s="94" t="s">
        <v>457</v>
      </c>
      <c r="I3" s="96" t="s">
        <v>234</v>
      </c>
      <c r="J3" s="96" t="s">
        <v>454</v>
      </c>
      <c r="K3" s="96" t="s">
        <v>455</v>
      </c>
      <c r="L3" s="244" t="s">
        <v>456</v>
      </c>
      <c r="M3" s="94" t="s">
        <v>457</v>
      </c>
    </row>
    <row r="4" spans="1:13" ht="15" customHeight="1" x14ac:dyDescent="0.2">
      <c r="A4" s="254" t="s">
        <v>360</v>
      </c>
      <c r="B4" s="249" t="s">
        <v>5</v>
      </c>
      <c r="C4" s="250" t="s">
        <v>6</v>
      </c>
      <c r="D4" s="251">
        <v>1970</v>
      </c>
      <c r="E4" s="250" t="s">
        <v>238</v>
      </c>
      <c r="F4" s="250" t="s">
        <v>238</v>
      </c>
      <c r="G4" s="255">
        <f>D4+E4+F4</f>
        <v>1970</v>
      </c>
      <c r="H4" s="252">
        <f>G4</f>
        <v>1970</v>
      </c>
      <c r="I4" s="251">
        <v>2068</v>
      </c>
      <c r="J4" s="250" t="s">
        <v>238</v>
      </c>
      <c r="K4" s="250" t="s">
        <v>238</v>
      </c>
      <c r="L4" s="255">
        <f>I4+J4+K4</f>
        <v>2068</v>
      </c>
      <c r="M4" s="252">
        <f>L4</f>
        <v>2068</v>
      </c>
    </row>
    <row r="5" spans="1:13" ht="15" customHeight="1" thickBot="1" x14ac:dyDescent="0.25">
      <c r="A5" s="254" t="s">
        <v>511</v>
      </c>
      <c r="B5" s="249" t="s">
        <v>249</v>
      </c>
      <c r="C5" s="250" t="s">
        <v>20</v>
      </c>
      <c r="D5" s="251">
        <v>28126358</v>
      </c>
      <c r="E5" s="250" t="s">
        <v>238</v>
      </c>
      <c r="F5" s="250" t="s">
        <v>238</v>
      </c>
      <c r="G5" s="255">
        <f>D5+E5+F5</f>
        <v>28126358</v>
      </c>
      <c r="H5" s="253">
        <f>G5</f>
        <v>28126358</v>
      </c>
      <c r="I5" s="251">
        <v>29532675</v>
      </c>
      <c r="J5" s="250" t="s">
        <v>238</v>
      </c>
      <c r="K5" s="250" t="s">
        <v>238</v>
      </c>
      <c r="L5" s="255">
        <f>I5+J5+K5</f>
        <v>29532675</v>
      </c>
      <c r="M5" s="253">
        <f>L5</f>
        <v>29532675</v>
      </c>
    </row>
    <row r="6" spans="1:13" ht="15" customHeight="1" x14ac:dyDescent="0.2">
      <c r="H6" s="327">
        <f>H5+H4</f>
        <v>28128328</v>
      </c>
      <c r="M6" s="327">
        <f>M5+M4</f>
        <v>29534743</v>
      </c>
    </row>
    <row r="7" spans="1:13" ht="20.399999999999999" x14ac:dyDescent="0.2">
      <c r="A7" s="440" t="s">
        <v>502</v>
      </c>
      <c r="B7" s="441"/>
      <c r="C7" s="442"/>
      <c r="D7" s="112" t="s">
        <v>234</v>
      </c>
      <c r="E7" s="112" t="s">
        <v>454</v>
      </c>
      <c r="F7" s="112" t="s">
        <v>455</v>
      </c>
      <c r="G7" s="93" t="s">
        <v>456</v>
      </c>
      <c r="H7" s="94" t="s">
        <v>457</v>
      </c>
      <c r="I7" s="112" t="s">
        <v>234</v>
      </c>
      <c r="J7" s="112" t="s">
        <v>454</v>
      </c>
      <c r="K7" s="112" t="s">
        <v>455</v>
      </c>
      <c r="L7" s="93" t="s">
        <v>456</v>
      </c>
      <c r="M7" s="94" t="s">
        <v>457</v>
      </c>
    </row>
    <row r="8" spans="1:13" ht="15" customHeight="1" x14ac:dyDescent="0.2">
      <c r="A8" s="307" t="s">
        <v>360</v>
      </c>
      <c r="B8" s="326" t="s">
        <v>5</v>
      </c>
      <c r="C8" s="21" t="s">
        <v>6</v>
      </c>
      <c r="D8" s="4">
        <v>1970</v>
      </c>
      <c r="E8" s="21" t="s">
        <v>238</v>
      </c>
      <c r="F8" s="21" t="s">
        <v>238</v>
      </c>
      <c r="G8" s="325">
        <f t="shared" ref="G8:G15" si="0">D8+E8+F8</f>
        <v>1970</v>
      </c>
      <c r="H8" s="321">
        <f t="shared" ref="H8:H15" si="1">G8</f>
        <v>1970</v>
      </c>
      <c r="I8" s="4">
        <v>2068</v>
      </c>
      <c r="J8" s="21" t="s">
        <v>238</v>
      </c>
      <c r="K8" s="21" t="s">
        <v>238</v>
      </c>
      <c r="L8" s="325">
        <f t="shared" ref="L8:L15" si="2">I8+J8+K8</f>
        <v>2068</v>
      </c>
      <c r="M8" s="321">
        <f t="shared" ref="M8:M15" si="3">L8</f>
        <v>2068</v>
      </c>
    </row>
    <row r="9" spans="1:13" ht="15" customHeight="1" x14ac:dyDescent="0.2">
      <c r="A9" s="241" t="s">
        <v>361</v>
      </c>
      <c r="B9" s="326" t="s">
        <v>7</v>
      </c>
      <c r="C9" s="21" t="s">
        <v>8</v>
      </c>
      <c r="D9" s="4">
        <v>39355771</v>
      </c>
      <c r="E9" s="21" t="s">
        <v>238</v>
      </c>
      <c r="F9" s="21" t="s">
        <v>238</v>
      </c>
      <c r="G9" s="325">
        <f t="shared" si="0"/>
        <v>39355771</v>
      </c>
      <c r="H9" s="243">
        <f t="shared" si="1"/>
        <v>39355771</v>
      </c>
      <c r="I9" s="4">
        <v>41323559</v>
      </c>
      <c r="J9" s="21" t="s">
        <v>238</v>
      </c>
      <c r="K9" s="21" t="s">
        <v>238</v>
      </c>
      <c r="L9" s="325">
        <f t="shared" si="2"/>
        <v>41323559</v>
      </c>
      <c r="M9" s="243">
        <f t="shared" si="3"/>
        <v>41323559</v>
      </c>
    </row>
    <row r="10" spans="1:13" ht="15" customHeight="1" x14ac:dyDescent="0.2">
      <c r="A10" s="241" t="s">
        <v>9</v>
      </c>
      <c r="B10" s="326" t="s">
        <v>248</v>
      </c>
      <c r="C10" s="21" t="s">
        <v>10</v>
      </c>
      <c r="D10" s="4">
        <v>2918</v>
      </c>
      <c r="E10" s="21" t="s">
        <v>238</v>
      </c>
      <c r="F10" s="21" t="s">
        <v>238</v>
      </c>
      <c r="G10" s="325">
        <f t="shared" si="0"/>
        <v>2918</v>
      </c>
      <c r="H10" s="248">
        <f t="shared" si="1"/>
        <v>2918</v>
      </c>
      <c r="I10" s="4">
        <v>3063</v>
      </c>
      <c r="J10" s="21" t="s">
        <v>238</v>
      </c>
      <c r="K10" s="21" t="s">
        <v>238</v>
      </c>
      <c r="L10" s="325">
        <f t="shared" si="2"/>
        <v>3063</v>
      </c>
      <c r="M10" s="248">
        <f t="shared" si="3"/>
        <v>3063</v>
      </c>
    </row>
    <row r="11" spans="1:13" ht="15" customHeight="1" x14ac:dyDescent="0.2">
      <c r="A11" s="241"/>
      <c r="B11" s="326" t="s">
        <v>11</v>
      </c>
      <c r="C11" s="21" t="s">
        <v>12</v>
      </c>
      <c r="D11" s="4">
        <v>39664627</v>
      </c>
      <c r="E11" s="21" t="s">
        <v>238</v>
      </c>
      <c r="F11" s="21" t="s">
        <v>238</v>
      </c>
      <c r="G11" s="325">
        <f t="shared" si="0"/>
        <v>39664627</v>
      </c>
      <c r="H11" s="248">
        <f t="shared" si="1"/>
        <v>39664627</v>
      </c>
      <c r="I11" s="4">
        <v>41647858</v>
      </c>
      <c r="J11" s="21" t="s">
        <v>238</v>
      </c>
      <c r="K11" s="21" t="s">
        <v>238</v>
      </c>
      <c r="L11" s="325">
        <f t="shared" si="2"/>
        <v>41647858</v>
      </c>
      <c r="M11" s="248">
        <f t="shared" si="3"/>
        <v>41647858</v>
      </c>
    </row>
    <row r="12" spans="1:13" ht="15" customHeight="1" x14ac:dyDescent="0.2">
      <c r="A12" s="241" t="s">
        <v>3</v>
      </c>
      <c r="B12" s="326" t="s">
        <v>236</v>
      </c>
      <c r="C12" s="21" t="s">
        <v>4</v>
      </c>
      <c r="D12" s="4">
        <v>8262543</v>
      </c>
      <c r="E12" s="4">
        <v>0</v>
      </c>
      <c r="F12" s="4">
        <v>0</v>
      </c>
      <c r="G12" s="325">
        <f t="shared" si="0"/>
        <v>8262543</v>
      </c>
      <c r="H12" s="321">
        <f t="shared" si="1"/>
        <v>8262543</v>
      </c>
      <c r="I12" s="4">
        <v>8675670</v>
      </c>
      <c r="J12" s="4">
        <v>0</v>
      </c>
      <c r="K12" s="4">
        <v>0</v>
      </c>
      <c r="L12" s="325">
        <f t="shared" si="2"/>
        <v>8675670</v>
      </c>
      <c r="M12" s="321">
        <f t="shared" si="3"/>
        <v>8675670</v>
      </c>
    </row>
    <row r="13" spans="1:13" ht="15" customHeight="1" x14ac:dyDescent="0.2">
      <c r="A13" s="307" t="s">
        <v>13</v>
      </c>
      <c r="B13" s="326" t="s">
        <v>14</v>
      </c>
      <c r="C13" s="21" t="s">
        <v>15</v>
      </c>
      <c r="D13" s="4">
        <v>1346</v>
      </c>
      <c r="E13" s="21" t="s">
        <v>238</v>
      </c>
      <c r="F13" s="21" t="s">
        <v>238</v>
      </c>
      <c r="G13" s="325">
        <f t="shared" si="0"/>
        <v>1346</v>
      </c>
      <c r="H13" s="321">
        <f t="shared" si="1"/>
        <v>1346</v>
      </c>
      <c r="I13" s="4">
        <v>1413</v>
      </c>
      <c r="J13" s="21" t="s">
        <v>238</v>
      </c>
      <c r="K13" s="21" t="s">
        <v>238</v>
      </c>
      <c r="L13" s="325">
        <f t="shared" si="2"/>
        <v>1413</v>
      </c>
      <c r="M13" s="321">
        <f t="shared" si="3"/>
        <v>1413</v>
      </c>
    </row>
    <row r="14" spans="1:13" ht="15" customHeight="1" x14ac:dyDescent="0.2">
      <c r="A14" s="307" t="s">
        <v>362</v>
      </c>
      <c r="B14" s="326" t="s">
        <v>16</v>
      </c>
      <c r="C14" s="21" t="s">
        <v>17</v>
      </c>
      <c r="D14" s="4">
        <v>1210</v>
      </c>
      <c r="E14" s="21" t="s">
        <v>238</v>
      </c>
      <c r="F14" s="21" t="s">
        <v>238</v>
      </c>
      <c r="G14" s="325">
        <f t="shared" si="0"/>
        <v>1210</v>
      </c>
      <c r="H14" s="321">
        <f t="shared" si="1"/>
        <v>1210</v>
      </c>
      <c r="I14" s="4">
        <v>1270</v>
      </c>
      <c r="J14" s="21" t="s">
        <v>238</v>
      </c>
      <c r="K14" s="21" t="s">
        <v>238</v>
      </c>
      <c r="L14" s="325">
        <f t="shared" si="2"/>
        <v>1270</v>
      </c>
      <c r="M14" s="321">
        <f t="shared" si="3"/>
        <v>1270</v>
      </c>
    </row>
    <row r="15" spans="1:13" ht="15" customHeight="1" x14ac:dyDescent="0.2">
      <c r="A15" s="307" t="s">
        <v>363</v>
      </c>
      <c r="B15" s="326" t="s">
        <v>18</v>
      </c>
      <c r="C15" s="21" t="s">
        <v>19</v>
      </c>
      <c r="D15" s="4">
        <v>1277</v>
      </c>
      <c r="E15" s="21" t="s">
        <v>238</v>
      </c>
      <c r="F15" s="21" t="s">
        <v>238</v>
      </c>
      <c r="G15" s="325">
        <f t="shared" si="0"/>
        <v>1277</v>
      </c>
      <c r="H15" s="321">
        <f t="shared" si="1"/>
        <v>1277</v>
      </c>
      <c r="I15" s="4">
        <v>1340</v>
      </c>
      <c r="J15" s="21" t="s">
        <v>238</v>
      </c>
      <c r="K15" s="21" t="s">
        <v>238</v>
      </c>
      <c r="L15" s="325">
        <f t="shared" si="2"/>
        <v>1340</v>
      </c>
      <c r="M15" s="321">
        <f t="shared" si="3"/>
        <v>1340</v>
      </c>
    </row>
    <row r="16" spans="1:13" ht="15" customHeight="1" x14ac:dyDescent="0.2">
      <c r="H16" s="329">
        <f>H15+H14+H13+H12+H11+H10+H9+H8</f>
        <v>87291662</v>
      </c>
      <c r="M16" s="329">
        <f>M15+M14+M13+M12+M11+M10+M9+M8</f>
        <v>91656241</v>
      </c>
    </row>
    <row r="18" spans="1:13" ht="20.399999999999999" x14ac:dyDescent="0.2">
      <c r="A18" s="440" t="s">
        <v>533</v>
      </c>
      <c r="B18" s="448"/>
      <c r="C18" s="447"/>
      <c r="D18" s="96" t="s">
        <v>234</v>
      </c>
      <c r="E18" s="96" t="s">
        <v>454</v>
      </c>
      <c r="F18" s="96" t="s">
        <v>455</v>
      </c>
      <c r="G18" s="244" t="s">
        <v>456</v>
      </c>
      <c r="H18" s="94" t="s">
        <v>457</v>
      </c>
      <c r="I18" s="96" t="s">
        <v>234</v>
      </c>
      <c r="J18" s="96" t="s">
        <v>454</v>
      </c>
      <c r="K18" s="96" t="s">
        <v>455</v>
      </c>
      <c r="L18" s="244" t="s">
        <v>456</v>
      </c>
      <c r="M18" s="94" t="s">
        <v>457</v>
      </c>
    </row>
    <row r="19" spans="1:13" ht="15" customHeight="1" x14ac:dyDescent="0.2">
      <c r="A19" s="245" t="s">
        <v>533</v>
      </c>
      <c r="B19" s="65" t="s">
        <v>92</v>
      </c>
      <c r="C19" s="246" t="s">
        <v>93</v>
      </c>
      <c r="D19" s="9">
        <v>28871</v>
      </c>
      <c r="E19" s="9">
        <v>500</v>
      </c>
      <c r="F19" s="52">
        <v>50</v>
      </c>
      <c r="G19" s="324">
        <f t="shared" ref="G19:G29" si="4">D19+E19+F19</f>
        <v>29421</v>
      </c>
      <c r="H19" s="243">
        <f t="shared" ref="H19:H29" si="5">G19</f>
        <v>29421</v>
      </c>
      <c r="I19" s="9">
        <v>30314</v>
      </c>
      <c r="J19" s="9">
        <v>500</v>
      </c>
      <c r="K19" s="52">
        <f>50+27</f>
        <v>77</v>
      </c>
      <c r="L19" s="324">
        <f t="shared" ref="L19:L29" si="6">I19+J19+K19</f>
        <v>30891</v>
      </c>
      <c r="M19" s="243">
        <f t="shared" ref="M19:M29" si="7">L19</f>
        <v>30891</v>
      </c>
    </row>
    <row r="20" spans="1:13" ht="15" customHeight="1" x14ac:dyDescent="0.2">
      <c r="A20" s="245"/>
      <c r="B20" s="65" t="s">
        <v>259</v>
      </c>
      <c r="C20" s="246" t="s">
        <v>94</v>
      </c>
      <c r="D20" s="9">
        <v>15553965</v>
      </c>
      <c r="E20" s="18" t="s">
        <v>238</v>
      </c>
      <c r="F20" s="18" t="s">
        <v>238</v>
      </c>
      <c r="G20" s="324">
        <f t="shared" si="4"/>
        <v>15553965</v>
      </c>
      <c r="H20" s="243">
        <f t="shared" si="5"/>
        <v>15553965</v>
      </c>
      <c r="I20" s="9">
        <v>16331663</v>
      </c>
      <c r="J20" s="18" t="s">
        <v>238</v>
      </c>
      <c r="K20" s="18" t="s">
        <v>238</v>
      </c>
      <c r="L20" s="324">
        <f t="shared" si="6"/>
        <v>16331663</v>
      </c>
      <c r="M20" s="243">
        <f t="shared" si="7"/>
        <v>16331663</v>
      </c>
    </row>
    <row r="21" spans="1:13" ht="15" customHeight="1" x14ac:dyDescent="0.2">
      <c r="A21" s="245"/>
      <c r="B21" s="65" t="s">
        <v>260</v>
      </c>
      <c r="C21" s="246" t="s">
        <v>95</v>
      </c>
      <c r="D21" s="9">
        <v>9338175</v>
      </c>
      <c r="E21" s="18" t="s">
        <v>238</v>
      </c>
      <c r="F21" s="18" t="s">
        <v>238</v>
      </c>
      <c r="G21" s="324">
        <f t="shared" si="4"/>
        <v>9338175</v>
      </c>
      <c r="H21" s="243">
        <f t="shared" si="5"/>
        <v>9338175</v>
      </c>
      <c r="I21" s="9">
        <v>9805083</v>
      </c>
      <c r="J21" s="18" t="s">
        <v>238</v>
      </c>
      <c r="K21" s="18" t="s">
        <v>238</v>
      </c>
      <c r="L21" s="324">
        <f t="shared" si="6"/>
        <v>9805083</v>
      </c>
      <c r="M21" s="243">
        <f t="shared" si="7"/>
        <v>9805083</v>
      </c>
    </row>
    <row r="22" spans="1:13" ht="15" customHeight="1" x14ac:dyDescent="0.2">
      <c r="A22" s="245"/>
      <c r="B22" s="65" t="s">
        <v>261</v>
      </c>
      <c r="C22" s="246" t="s">
        <v>96</v>
      </c>
      <c r="D22" s="9">
        <v>3362788</v>
      </c>
      <c r="E22" s="18" t="s">
        <v>238</v>
      </c>
      <c r="F22" s="18" t="s">
        <v>238</v>
      </c>
      <c r="G22" s="324">
        <f t="shared" si="4"/>
        <v>3362788</v>
      </c>
      <c r="H22" s="243">
        <f t="shared" si="5"/>
        <v>3362788</v>
      </c>
      <c r="I22" s="9">
        <v>3530927</v>
      </c>
      <c r="J22" s="18" t="s">
        <v>238</v>
      </c>
      <c r="K22" s="18" t="s">
        <v>238</v>
      </c>
      <c r="L22" s="324">
        <f t="shared" si="6"/>
        <v>3530927</v>
      </c>
      <c r="M22" s="243">
        <f t="shared" si="7"/>
        <v>3530927</v>
      </c>
    </row>
    <row r="23" spans="1:13" ht="15" customHeight="1" x14ac:dyDescent="0.2">
      <c r="A23" s="58" t="s">
        <v>86</v>
      </c>
      <c r="B23" s="309" t="s">
        <v>257</v>
      </c>
      <c r="C23" s="59" t="s">
        <v>87</v>
      </c>
      <c r="D23" s="9">
        <v>9432396</v>
      </c>
      <c r="E23" s="18" t="s">
        <v>238</v>
      </c>
      <c r="F23" s="18" t="s">
        <v>238</v>
      </c>
      <c r="G23" s="324">
        <f t="shared" si="4"/>
        <v>9432396</v>
      </c>
      <c r="H23" s="248">
        <f t="shared" si="5"/>
        <v>9432396</v>
      </c>
      <c r="I23" s="9">
        <v>9904015</v>
      </c>
      <c r="J23" s="18" t="s">
        <v>238</v>
      </c>
      <c r="K23" s="18" t="s">
        <v>238</v>
      </c>
      <c r="L23" s="324">
        <f t="shared" si="6"/>
        <v>9904015</v>
      </c>
      <c r="M23" s="248">
        <f t="shared" si="7"/>
        <v>9904015</v>
      </c>
    </row>
    <row r="24" spans="1:13" ht="15" customHeight="1" x14ac:dyDescent="0.2">
      <c r="A24" s="58"/>
      <c r="B24" s="309" t="s">
        <v>256</v>
      </c>
      <c r="C24" s="59" t="s">
        <v>88</v>
      </c>
      <c r="D24" s="9">
        <v>8404357</v>
      </c>
      <c r="E24" s="18" t="s">
        <v>238</v>
      </c>
      <c r="F24" s="18" t="s">
        <v>238</v>
      </c>
      <c r="G24" s="324">
        <f t="shared" si="4"/>
        <v>8404357</v>
      </c>
      <c r="H24" s="248">
        <f t="shared" si="5"/>
        <v>8404357</v>
      </c>
      <c r="I24" s="9">
        <v>8824574</v>
      </c>
      <c r="J24" s="18" t="s">
        <v>238</v>
      </c>
      <c r="K24" s="18" t="s">
        <v>238</v>
      </c>
      <c r="L24" s="324">
        <f t="shared" si="6"/>
        <v>8824574</v>
      </c>
      <c r="M24" s="248">
        <f t="shared" si="7"/>
        <v>8824574</v>
      </c>
    </row>
    <row r="25" spans="1:13" ht="15" customHeight="1" x14ac:dyDescent="0.2">
      <c r="A25" s="58"/>
      <c r="B25" s="309" t="s">
        <v>255</v>
      </c>
      <c r="C25" s="59" t="s">
        <v>89</v>
      </c>
      <c r="D25" s="9">
        <v>5131350</v>
      </c>
      <c r="E25" s="18" t="s">
        <v>238</v>
      </c>
      <c r="F25" s="18" t="s">
        <v>238</v>
      </c>
      <c r="G25" s="324">
        <f t="shared" si="4"/>
        <v>5131350</v>
      </c>
      <c r="H25" s="248">
        <f t="shared" si="5"/>
        <v>5131350</v>
      </c>
      <c r="I25" s="9">
        <v>5387917</v>
      </c>
      <c r="J25" s="18" t="s">
        <v>238</v>
      </c>
      <c r="K25" s="18" t="s">
        <v>238</v>
      </c>
      <c r="L25" s="324">
        <f t="shared" si="6"/>
        <v>5387917</v>
      </c>
      <c r="M25" s="248">
        <f t="shared" si="7"/>
        <v>5387917</v>
      </c>
    </row>
    <row r="26" spans="1:13" ht="15" customHeight="1" x14ac:dyDescent="0.2">
      <c r="A26" s="58"/>
      <c r="B26" s="309" t="s">
        <v>258</v>
      </c>
      <c r="C26" s="59" t="s">
        <v>90</v>
      </c>
      <c r="D26" s="9">
        <v>5213791</v>
      </c>
      <c r="E26" s="18" t="s">
        <v>238</v>
      </c>
      <c r="F26" s="18" t="s">
        <v>238</v>
      </c>
      <c r="G26" s="324">
        <f t="shared" si="4"/>
        <v>5213791</v>
      </c>
      <c r="H26" s="248">
        <f t="shared" si="5"/>
        <v>5213791</v>
      </c>
      <c r="I26" s="9">
        <v>5474480</v>
      </c>
      <c r="J26" s="18" t="s">
        <v>238</v>
      </c>
      <c r="K26" s="18" t="s">
        <v>238</v>
      </c>
      <c r="L26" s="324">
        <f t="shared" si="6"/>
        <v>5474480</v>
      </c>
      <c r="M26" s="248">
        <f t="shared" si="7"/>
        <v>5474480</v>
      </c>
    </row>
    <row r="27" spans="1:13" ht="15" customHeight="1" x14ac:dyDescent="0.2">
      <c r="A27" s="58" t="s">
        <v>432</v>
      </c>
      <c r="B27" s="309" t="s">
        <v>98</v>
      </c>
      <c r="C27" s="59" t="s">
        <v>99</v>
      </c>
      <c r="D27" s="9">
        <v>865550</v>
      </c>
      <c r="E27" s="18" t="s">
        <v>238</v>
      </c>
      <c r="F27" s="18" t="s">
        <v>238</v>
      </c>
      <c r="G27" s="324">
        <f t="shared" si="4"/>
        <v>865550</v>
      </c>
      <c r="H27" s="321">
        <f t="shared" si="5"/>
        <v>865550</v>
      </c>
      <c r="I27" s="9">
        <v>908827</v>
      </c>
      <c r="J27" s="18" t="s">
        <v>238</v>
      </c>
      <c r="K27" s="18" t="s">
        <v>238</v>
      </c>
      <c r="L27" s="324">
        <f t="shared" si="6"/>
        <v>908827</v>
      </c>
      <c r="M27" s="321">
        <f t="shared" si="7"/>
        <v>908827</v>
      </c>
    </row>
    <row r="28" spans="1:13" ht="15" customHeight="1" x14ac:dyDescent="0.2">
      <c r="A28" s="58" t="s">
        <v>433</v>
      </c>
      <c r="B28" s="309" t="s">
        <v>327</v>
      </c>
      <c r="C28" s="59" t="s">
        <v>101</v>
      </c>
      <c r="D28" s="9">
        <v>2523538</v>
      </c>
      <c r="E28" s="18" t="s">
        <v>238</v>
      </c>
      <c r="F28" s="18" t="s">
        <v>238</v>
      </c>
      <c r="G28" s="324">
        <f t="shared" si="4"/>
        <v>2523538</v>
      </c>
      <c r="H28" s="321">
        <f t="shared" si="5"/>
        <v>2523538</v>
      </c>
      <c r="I28" s="9">
        <v>2649714</v>
      </c>
      <c r="J28" s="18" t="s">
        <v>238</v>
      </c>
      <c r="K28" s="18" t="s">
        <v>238</v>
      </c>
      <c r="L28" s="324">
        <f t="shared" si="6"/>
        <v>2649714</v>
      </c>
      <c r="M28" s="321">
        <f t="shared" si="7"/>
        <v>2649714</v>
      </c>
    </row>
    <row r="29" spans="1:13" ht="15" customHeight="1" x14ac:dyDescent="0.2">
      <c r="A29" s="505" t="s">
        <v>501</v>
      </c>
      <c r="B29" s="68" t="s">
        <v>528</v>
      </c>
      <c r="C29" s="247" t="s">
        <v>498</v>
      </c>
      <c r="D29" s="9">
        <v>1938163</v>
      </c>
      <c r="E29" s="18" t="s">
        <v>238</v>
      </c>
      <c r="F29" s="18" t="s">
        <v>238</v>
      </c>
      <c r="G29" s="324">
        <f t="shared" si="4"/>
        <v>1938163</v>
      </c>
      <c r="H29" s="321">
        <f t="shared" si="5"/>
        <v>1938163</v>
      </c>
      <c r="I29" s="9">
        <v>2035071</v>
      </c>
      <c r="J29" s="18" t="s">
        <v>238</v>
      </c>
      <c r="K29" s="18" t="s">
        <v>238</v>
      </c>
      <c r="L29" s="324">
        <f t="shared" si="6"/>
        <v>2035071</v>
      </c>
      <c r="M29" s="321">
        <f t="shared" si="7"/>
        <v>2035071</v>
      </c>
    </row>
    <row r="30" spans="1:13" ht="15" customHeight="1" x14ac:dyDescent="0.2">
      <c r="H30" s="329">
        <f>SUM(H19:H29)</f>
        <v>61793494</v>
      </c>
      <c r="M30" s="329">
        <f>SUM(M19:M29)</f>
        <v>64883162</v>
      </c>
    </row>
    <row r="32" spans="1:13" ht="21" thickBot="1" x14ac:dyDescent="0.25">
      <c r="A32" s="440" t="s">
        <v>682</v>
      </c>
      <c r="B32" s="441"/>
      <c r="C32" s="442"/>
      <c r="D32" s="112" t="s">
        <v>234</v>
      </c>
      <c r="E32" s="112" t="s">
        <v>454</v>
      </c>
      <c r="F32" s="112" t="s">
        <v>455</v>
      </c>
      <c r="G32" s="93" t="s">
        <v>456</v>
      </c>
      <c r="H32" s="94" t="s">
        <v>457</v>
      </c>
      <c r="I32" s="112" t="s">
        <v>234</v>
      </c>
      <c r="J32" s="112" t="s">
        <v>454</v>
      </c>
      <c r="K32" s="112" t="s">
        <v>455</v>
      </c>
      <c r="L32" s="93" t="s">
        <v>456</v>
      </c>
      <c r="M32" s="94" t="s">
        <v>457</v>
      </c>
    </row>
    <row r="33" spans="1:13" ht="15" customHeight="1" x14ac:dyDescent="0.2">
      <c r="A33" s="452" t="s">
        <v>187</v>
      </c>
      <c r="B33" s="208" t="s">
        <v>262</v>
      </c>
      <c r="C33" s="205" t="s">
        <v>188</v>
      </c>
      <c r="D33" s="9">
        <v>13995775</v>
      </c>
      <c r="E33" s="18" t="s">
        <v>238</v>
      </c>
      <c r="F33" s="18" t="s">
        <v>238</v>
      </c>
      <c r="G33" s="324">
        <f>D33+E33+F33</f>
        <v>13995775</v>
      </c>
      <c r="H33" s="243">
        <f>G33</f>
        <v>13995775</v>
      </c>
      <c r="I33" s="9">
        <v>14695563</v>
      </c>
      <c r="J33" s="18" t="s">
        <v>238</v>
      </c>
      <c r="K33" s="18" t="s">
        <v>238</v>
      </c>
      <c r="L33" s="324">
        <f>I33+J33+K33</f>
        <v>14695563</v>
      </c>
      <c r="M33" s="243">
        <f>L33</f>
        <v>14695563</v>
      </c>
    </row>
    <row r="34" spans="1:13" ht="15" customHeight="1" x14ac:dyDescent="0.2">
      <c r="A34" s="428"/>
      <c r="B34" s="313" t="s">
        <v>263</v>
      </c>
      <c r="C34" s="206" t="s">
        <v>189</v>
      </c>
      <c r="D34" s="9">
        <v>3908991</v>
      </c>
      <c r="E34" s="18" t="s">
        <v>238</v>
      </c>
      <c r="F34" s="18" t="s">
        <v>238</v>
      </c>
      <c r="G34" s="324">
        <f t="shared" ref="G34:G60" si="8">D34+E34+F34</f>
        <v>3908991</v>
      </c>
      <c r="H34" s="243">
        <f t="shared" ref="H34:H60" si="9">G34</f>
        <v>3908991</v>
      </c>
      <c r="I34" s="9">
        <v>4104440</v>
      </c>
      <c r="J34" s="18" t="s">
        <v>238</v>
      </c>
      <c r="K34" s="18" t="s">
        <v>238</v>
      </c>
      <c r="L34" s="324">
        <f t="shared" ref="L34:L60" si="10">I34+J34+K34</f>
        <v>4104440</v>
      </c>
      <c r="M34" s="243">
        <f t="shared" ref="M34:M60" si="11">L34</f>
        <v>4104440</v>
      </c>
    </row>
    <row r="35" spans="1:13" ht="15" customHeight="1" x14ac:dyDescent="0.2">
      <c r="A35" s="428"/>
      <c r="B35" s="209" t="s">
        <v>265</v>
      </c>
      <c r="C35" s="206" t="s">
        <v>191</v>
      </c>
      <c r="D35" s="9">
        <v>761728</v>
      </c>
      <c r="E35" s="18" t="s">
        <v>238</v>
      </c>
      <c r="F35" s="18" t="s">
        <v>238</v>
      </c>
      <c r="G35" s="324">
        <f t="shared" si="8"/>
        <v>761728</v>
      </c>
      <c r="H35" s="243">
        <f t="shared" si="9"/>
        <v>761728</v>
      </c>
      <c r="I35" s="9">
        <v>799814</v>
      </c>
      <c r="J35" s="18" t="s">
        <v>238</v>
      </c>
      <c r="K35" s="18" t="s">
        <v>238</v>
      </c>
      <c r="L35" s="324">
        <f t="shared" si="10"/>
        <v>799814</v>
      </c>
      <c r="M35" s="243">
        <f t="shared" si="11"/>
        <v>799814</v>
      </c>
    </row>
    <row r="36" spans="1:13" ht="15" customHeight="1" x14ac:dyDescent="0.2">
      <c r="A36" s="428"/>
      <c r="B36" s="313" t="s">
        <v>267</v>
      </c>
      <c r="C36" s="206" t="s">
        <v>193</v>
      </c>
      <c r="D36" s="9">
        <v>5883049</v>
      </c>
      <c r="E36" s="18" t="s">
        <v>238</v>
      </c>
      <c r="F36" s="18" t="s">
        <v>238</v>
      </c>
      <c r="G36" s="324">
        <f t="shared" si="8"/>
        <v>5883049</v>
      </c>
      <c r="H36" s="243">
        <f t="shared" si="9"/>
        <v>5883049</v>
      </c>
      <c r="I36" s="9">
        <v>6177201</v>
      </c>
      <c r="J36" s="18" t="s">
        <v>238</v>
      </c>
      <c r="K36" s="18" t="s">
        <v>238</v>
      </c>
      <c r="L36" s="324">
        <f t="shared" si="10"/>
        <v>6177201</v>
      </c>
      <c r="M36" s="243">
        <f t="shared" si="11"/>
        <v>6177201</v>
      </c>
    </row>
    <row r="37" spans="1:13" ht="15" customHeight="1" x14ac:dyDescent="0.2">
      <c r="A37" s="428"/>
      <c r="B37" s="313" t="s">
        <v>268</v>
      </c>
      <c r="C37" s="2" t="s">
        <v>194</v>
      </c>
      <c r="D37" s="27">
        <v>1291163</v>
      </c>
      <c r="E37" s="18" t="s">
        <v>238</v>
      </c>
      <c r="F37" s="18" t="s">
        <v>238</v>
      </c>
      <c r="G37" s="324">
        <f t="shared" si="8"/>
        <v>1291163</v>
      </c>
      <c r="H37" s="243">
        <f t="shared" si="9"/>
        <v>1291163</v>
      </c>
      <c r="I37" s="9">
        <v>1355721</v>
      </c>
      <c r="J37" s="18" t="s">
        <v>238</v>
      </c>
      <c r="K37" s="18" t="s">
        <v>238</v>
      </c>
      <c r="L37" s="324">
        <f t="shared" si="10"/>
        <v>1355721</v>
      </c>
      <c r="M37" s="243">
        <f t="shared" si="11"/>
        <v>1355721</v>
      </c>
    </row>
    <row r="38" spans="1:13" ht="15" customHeight="1" x14ac:dyDescent="0.2">
      <c r="A38" s="428"/>
      <c r="B38" s="313" t="s">
        <v>264</v>
      </c>
      <c r="C38" s="2" t="s">
        <v>190</v>
      </c>
      <c r="D38" s="27">
        <v>3346547</v>
      </c>
      <c r="E38" s="18" t="s">
        <v>238</v>
      </c>
      <c r="F38" s="18" t="s">
        <v>238</v>
      </c>
      <c r="G38" s="324">
        <f t="shared" si="8"/>
        <v>3346547</v>
      </c>
      <c r="H38" s="243">
        <f t="shared" si="9"/>
        <v>3346547</v>
      </c>
      <c r="I38" s="9">
        <v>3513874</v>
      </c>
      <c r="J38" s="18" t="s">
        <v>238</v>
      </c>
      <c r="K38" s="18" t="s">
        <v>238</v>
      </c>
      <c r="L38" s="324">
        <f t="shared" si="10"/>
        <v>3513874</v>
      </c>
      <c r="M38" s="243">
        <f t="shared" si="11"/>
        <v>3513874</v>
      </c>
    </row>
    <row r="39" spans="1:13" ht="15" customHeight="1" x14ac:dyDescent="0.2">
      <c r="A39" s="428"/>
      <c r="B39" s="313" t="s">
        <v>266</v>
      </c>
      <c r="C39" s="2" t="s">
        <v>192</v>
      </c>
      <c r="D39" s="27">
        <v>1353349</v>
      </c>
      <c r="E39" s="18" t="s">
        <v>238</v>
      </c>
      <c r="F39" s="18" t="s">
        <v>238</v>
      </c>
      <c r="G39" s="324">
        <f t="shared" si="8"/>
        <v>1353349</v>
      </c>
      <c r="H39" s="243">
        <f t="shared" si="9"/>
        <v>1353349</v>
      </c>
      <c r="I39" s="9">
        <v>1421016</v>
      </c>
      <c r="J39" s="18" t="s">
        <v>238</v>
      </c>
      <c r="K39" s="18" t="s">
        <v>238</v>
      </c>
      <c r="L39" s="324">
        <f t="shared" si="10"/>
        <v>1421016</v>
      </c>
      <c r="M39" s="243">
        <f t="shared" si="11"/>
        <v>1421016</v>
      </c>
    </row>
    <row r="40" spans="1:13" ht="15" customHeight="1" x14ac:dyDescent="0.2">
      <c r="A40" s="280" t="s">
        <v>204</v>
      </c>
      <c r="B40" s="312" t="s">
        <v>320</v>
      </c>
      <c r="C40" s="2" t="s">
        <v>205</v>
      </c>
      <c r="D40" s="27">
        <v>177890</v>
      </c>
      <c r="E40" s="18" t="s">
        <v>238</v>
      </c>
      <c r="F40" s="18" t="s">
        <v>238</v>
      </c>
      <c r="G40" s="324">
        <f t="shared" si="8"/>
        <v>177890</v>
      </c>
      <c r="H40" s="321">
        <f t="shared" si="9"/>
        <v>177890</v>
      </c>
      <c r="I40" s="9">
        <v>186784</v>
      </c>
      <c r="J40" s="18" t="s">
        <v>238</v>
      </c>
      <c r="K40" s="18" t="s">
        <v>238</v>
      </c>
      <c r="L40" s="324">
        <f t="shared" si="10"/>
        <v>186784</v>
      </c>
      <c r="M40" s="321">
        <f t="shared" si="11"/>
        <v>186784</v>
      </c>
    </row>
    <row r="41" spans="1:13" ht="15" customHeight="1" x14ac:dyDescent="0.2">
      <c r="A41" s="280"/>
      <c r="B41" s="312" t="s">
        <v>335</v>
      </c>
      <c r="C41" s="2" t="s">
        <v>206</v>
      </c>
      <c r="D41" s="27">
        <v>3473</v>
      </c>
      <c r="E41" s="18" t="s">
        <v>238</v>
      </c>
      <c r="F41" s="18" t="s">
        <v>238</v>
      </c>
      <c r="G41" s="324">
        <f t="shared" si="8"/>
        <v>3473</v>
      </c>
      <c r="H41" s="321">
        <f t="shared" si="9"/>
        <v>3473</v>
      </c>
      <c r="I41" s="9">
        <v>3646</v>
      </c>
      <c r="J41" s="18" t="s">
        <v>238</v>
      </c>
      <c r="K41" s="18" t="s">
        <v>238</v>
      </c>
      <c r="L41" s="324">
        <f t="shared" si="10"/>
        <v>3646</v>
      </c>
      <c r="M41" s="321">
        <f t="shared" si="11"/>
        <v>3646</v>
      </c>
    </row>
    <row r="42" spans="1:13" ht="15" customHeight="1" x14ac:dyDescent="0.2">
      <c r="A42" s="280"/>
      <c r="B42" s="312" t="s">
        <v>354</v>
      </c>
      <c r="C42" s="2" t="s">
        <v>207</v>
      </c>
      <c r="D42" s="27">
        <v>16673</v>
      </c>
      <c r="E42" s="18" t="s">
        <v>238</v>
      </c>
      <c r="F42" s="18" t="s">
        <v>238</v>
      </c>
      <c r="G42" s="324">
        <f t="shared" si="8"/>
        <v>16673</v>
      </c>
      <c r="H42" s="321">
        <f t="shared" si="9"/>
        <v>16673</v>
      </c>
      <c r="I42" s="9">
        <v>17506</v>
      </c>
      <c r="J42" s="18" t="s">
        <v>238</v>
      </c>
      <c r="K42" s="18" t="s">
        <v>238</v>
      </c>
      <c r="L42" s="324">
        <f t="shared" si="10"/>
        <v>17506</v>
      </c>
      <c r="M42" s="321">
        <f t="shared" si="11"/>
        <v>17506</v>
      </c>
    </row>
    <row r="43" spans="1:13" ht="15" customHeight="1" x14ac:dyDescent="0.2">
      <c r="A43" s="280"/>
      <c r="B43" s="312" t="s">
        <v>355</v>
      </c>
      <c r="C43" s="2" t="s">
        <v>208</v>
      </c>
      <c r="D43" s="27">
        <v>160083</v>
      </c>
      <c r="E43" s="18" t="s">
        <v>238</v>
      </c>
      <c r="F43" s="18" t="s">
        <v>238</v>
      </c>
      <c r="G43" s="324">
        <f t="shared" si="8"/>
        <v>160083</v>
      </c>
      <c r="H43" s="321">
        <f t="shared" si="9"/>
        <v>160083</v>
      </c>
      <c r="I43" s="9">
        <v>168087</v>
      </c>
      <c r="J43" s="18" t="s">
        <v>238</v>
      </c>
      <c r="K43" s="18" t="s">
        <v>238</v>
      </c>
      <c r="L43" s="324">
        <f t="shared" si="10"/>
        <v>168087</v>
      </c>
      <c r="M43" s="321">
        <f t="shared" si="11"/>
        <v>168087</v>
      </c>
    </row>
    <row r="44" spans="1:13" ht="15" customHeight="1" x14ac:dyDescent="0.2">
      <c r="A44" s="280"/>
      <c r="B44" s="312" t="s">
        <v>343</v>
      </c>
      <c r="C44" s="2" t="s">
        <v>209</v>
      </c>
      <c r="D44" s="27">
        <v>848</v>
      </c>
      <c r="E44" s="18" t="s">
        <v>238</v>
      </c>
      <c r="F44" s="18" t="s">
        <v>238</v>
      </c>
      <c r="G44" s="324">
        <f t="shared" si="8"/>
        <v>848</v>
      </c>
      <c r="H44" s="321">
        <f t="shared" si="9"/>
        <v>848</v>
      </c>
      <c r="I44" s="9">
        <v>890</v>
      </c>
      <c r="J44" s="18" t="s">
        <v>238</v>
      </c>
      <c r="K44" s="18" t="s">
        <v>238</v>
      </c>
      <c r="L44" s="324">
        <f t="shared" si="10"/>
        <v>890</v>
      </c>
      <c r="M44" s="321">
        <f t="shared" si="11"/>
        <v>890</v>
      </c>
    </row>
    <row r="45" spans="1:13" ht="15" customHeight="1" x14ac:dyDescent="0.2">
      <c r="A45" s="280" t="s">
        <v>195</v>
      </c>
      <c r="B45" s="312" t="s">
        <v>330</v>
      </c>
      <c r="C45" s="2" t="s">
        <v>196</v>
      </c>
      <c r="D45" s="27">
        <v>1798043</v>
      </c>
      <c r="E45" s="18" t="s">
        <v>238</v>
      </c>
      <c r="F45" s="18" t="s">
        <v>238</v>
      </c>
      <c r="G45" s="324">
        <f t="shared" si="8"/>
        <v>1798043</v>
      </c>
      <c r="H45" s="321">
        <f t="shared" si="9"/>
        <v>1798043</v>
      </c>
      <c r="I45" s="9">
        <v>1887945</v>
      </c>
      <c r="J45" s="18" t="s">
        <v>238</v>
      </c>
      <c r="K45" s="18" t="s">
        <v>238</v>
      </c>
      <c r="L45" s="324">
        <f t="shared" si="10"/>
        <v>1887945</v>
      </c>
      <c r="M45" s="321">
        <f t="shared" si="11"/>
        <v>1887945</v>
      </c>
    </row>
    <row r="46" spans="1:13" ht="15" customHeight="1" x14ac:dyDescent="0.2">
      <c r="A46" s="280"/>
      <c r="B46" s="312" t="s">
        <v>345</v>
      </c>
      <c r="C46" s="2" t="s">
        <v>202</v>
      </c>
      <c r="D46" s="27">
        <v>0</v>
      </c>
      <c r="E46" s="18" t="s">
        <v>238</v>
      </c>
      <c r="F46" s="18" t="s">
        <v>238</v>
      </c>
      <c r="G46" s="324">
        <f t="shared" si="8"/>
        <v>0</v>
      </c>
      <c r="H46" s="321">
        <f t="shared" si="9"/>
        <v>0</v>
      </c>
      <c r="I46" s="9">
        <v>0</v>
      </c>
      <c r="J46" s="18" t="s">
        <v>238</v>
      </c>
      <c r="K46" s="18" t="s">
        <v>238</v>
      </c>
      <c r="L46" s="324">
        <f t="shared" si="10"/>
        <v>0</v>
      </c>
      <c r="M46" s="321">
        <f t="shared" si="11"/>
        <v>0</v>
      </c>
    </row>
    <row r="47" spans="1:13" ht="15" customHeight="1" x14ac:dyDescent="0.2">
      <c r="A47" s="280"/>
      <c r="B47" s="312" t="s">
        <v>334</v>
      </c>
      <c r="C47" s="2" t="s">
        <v>197</v>
      </c>
      <c r="D47" s="27">
        <v>0</v>
      </c>
      <c r="E47" s="18" t="s">
        <v>238</v>
      </c>
      <c r="F47" s="18" t="s">
        <v>238</v>
      </c>
      <c r="G47" s="324">
        <f t="shared" si="8"/>
        <v>0</v>
      </c>
      <c r="H47" s="321">
        <f t="shared" si="9"/>
        <v>0</v>
      </c>
      <c r="I47" s="9">
        <v>0</v>
      </c>
      <c r="J47" s="18" t="s">
        <v>238</v>
      </c>
      <c r="K47" s="18" t="s">
        <v>238</v>
      </c>
      <c r="L47" s="324">
        <f t="shared" si="10"/>
        <v>0</v>
      </c>
      <c r="M47" s="321">
        <f t="shared" si="11"/>
        <v>0</v>
      </c>
    </row>
    <row r="48" spans="1:13" ht="15" customHeight="1" x14ac:dyDescent="0.2">
      <c r="A48" s="280"/>
      <c r="B48" s="312" t="s">
        <v>351</v>
      </c>
      <c r="C48" s="206" t="s">
        <v>198</v>
      </c>
      <c r="D48" s="9">
        <v>1226058</v>
      </c>
      <c r="E48" s="18" t="s">
        <v>238</v>
      </c>
      <c r="F48" s="18" t="s">
        <v>238</v>
      </c>
      <c r="G48" s="324">
        <f t="shared" si="8"/>
        <v>1226058</v>
      </c>
      <c r="H48" s="321">
        <f t="shared" si="9"/>
        <v>1226058</v>
      </c>
      <c r="I48" s="9">
        <v>1287360</v>
      </c>
      <c r="J48" s="18" t="s">
        <v>238</v>
      </c>
      <c r="K48" s="18" t="s">
        <v>238</v>
      </c>
      <c r="L48" s="324">
        <f t="shared" si="10"/>
        <v>1287360</v>
      </c>
      <c r="M48" s="321">
        <f t="shared" si="11"/>
        <v>1287360</v>
      </c>
    </row>
    <row r="49" spans="1:13" ht="15" customHeight="1" x14ac:dyDescent="0.2">
      <c r="A49" s="280"/>
      <c r="B49" s="312" t="s">
        <v>319</v>
      </c>
      <c r="C49" s="206" t="s">
        <v>199</v>
      </c>
      <c r="D49" s="9">
        <v>7490412</v>
      </c>
      <c r="E49" s="18" t="s">
        <v>238</v>
      </c>
      <c r="F49" s="18" t="s">
        <v>238</v>
      </c>
      <c r="G49" s="324">
        <f t="shared" si="8"/>
        <v>7490412</v>
      </c>
      <c r="H49" s="321">
        <f t="shared" si="9"/>
        <v>7490412</v>
      </c>
      <c r="I49" s="9">
        <v>7864932</v>
      </c>
      <c r="J49" s="18" t="s">
        <v>238</v>
      </c>
      <c r="K49" s="18" t="s">
        <v>238</v>
      </c>
      <c r="L49" s="324">
        <f t="shared" si="10"/>
        <v>7864932</v>
      </c>
      <c r="M49" s="321">
        <f t="shared" si="11"/>
        <v>7864932</v>
      </c>
    </row>
    <row r="50" spans="1:13" ht="15" customHeight="1" x14ac:dyDescent="0.2">
      <c r="A50" s="280"/>
      <c r="B50" s="312" t="s">
        <v>352</v>
      </c>
      <c r="C50" s="206" t="s">
        <v>200</v>
      </c>
      <c r="D50" s="9">
        <v>14564170</v>
      </c>
      <c r="E50" s="18" t="s">
        <v>238</v>
      </c>
      <c r="F50" s="18" t="s">
        <v>238</v>
      </c>
      <c r="G50" s="324">
        <f t="shared" si="8"/>
        <v>14564170</v>
      </c>
      <c r="H50" s="321">
        <f t="shared" si="9"/>
        <v>14564170</v>
      </c>
      <c r="I50" s="9">
        <v>15292378</v>
      </c>
      <c r="J50" s="18" t="s">
        <v>238</v>
      </c>
      <c r="K50" s="18" t="s">
        <v>238</v>
      </c>
      <c r="L50" s="324">
        <f t="shared" si="10"/>
        <v>15292378</v>
      </c>
      <c r="M50" s="321">
        <f t="shared" si="11"/>
        <v>15292378</v>
      </c>
    </row>
    <row r="51" spans="1:13" ht="15" customHeight="1" x14ac:dyDescent="0.2">
      <c r="A51" s="280"/>
      <c r="B51" s="312" t="s">
        <v>353</v>
      </c>
      <c r="C51" s="206" t="s">
        <v>201</v>
      </c>
      <c r="D51" s="9">
        <v>0</v>
      </c>
      <c r="E51" s="18" t="s">
        <v>238</v>
      </c>
      <c r="F51" s="18" t="s">
        <v>238</v>
      </c>
      <c r="G51" s="324">
        <f t="shared" si="8"/>
        <v>0</v>
      </c>
      <c r="H51" s="321">
        <f t="shared" si="9"/>
        <v>0</v>
      </c>
      <c r="I51" s="9">
        <v>0</v>
      </c>
      <c r="J51" s="18" t="s">
        <v>238</v>
      </c>
      <c r="K51" s="18" t="s">
        <v>238</v>
      </c>
      <c r="L51" s="324">
        <f t="shared" si="10"/>
        <v>0</v>
      </c>
      <c r="M51" s="321">
        <f t="shared" si="11"/>
        <v>0</v>
      </c>
    </row>
    <row r="52" spans="1:13" ht="15" customHeight="1" x14ac:dyDescent="0.2">
      <c r="A52" s="280"/>
      <c r="B52" s="312" t="s">
        <v>344</v>
      </c>
      <c r="C52" s="206" t="s">
        <v>203</v>
      </c>
      <c r="D52" s="9">
        <v>4016787</v>
      </c>
      <c r="E52" s="18" t="s">
        <v>238</v>
      </c>
      <c r="F52" s="18" t="s">
        <v>238</v>
      </c>
      <c r="G52" s="324">
        <f t="shared" si="8"/>
        <v>4016787</v>
      </c>
      <c r="H52" s="321">
        <f t="shared" si="9"/>
        <v>4016787</v>
      </c>
      <c r="I52" s="9">
        <v>4217626</v>
      </c>
      <c r="J52" s="18" t="s">
        <v>238</v>
      </c>
      <c r="K52" s="18" t="s">
        <v>238</v>
      </c>
      <c r="L52" s="324">
        <f t="shared" si="10"/>
        <v>4217626</v>
      </c>
      <c r="M52" s="321">
        <f t="shared" si="11"/>
        <v>4217626</v>
      </c>
    </row>
    <row r="53" spans="1:13" ht="15" customHeight="1" x14ac:dyDescent="0.2">
      <c r="A53" s="453" t="s">
        <v>493</v>
      </c>
      <c r="B53" s="312" t="s">
        <v>521</v>
      </c>
      <c r="C53" s="238" t="s">
        <v>490</v>
      </c>
      <c r="D53" s="9">
        <v>131666</v>
      </c>
      <c r="E53" s="18" t="s">
        <v>238</v>
      </c>
      <c r="F53" s="18" t="s">
        <v>238</v>
      </c>
      <c r="G53" s="324">
        <f t="shared" si="8"/>
        <v>131666</v>
      </c>
      <c r="H53" s="321">
        <f t="shared" si="9"/>
        <v>131666</v>
      </c>
      <c r="I53" s="9">
        <v>138249</v>
      </c>
      <c r="J53" s="18" t="s">
        <v>238</v>
      </c>
      <c r="K53" s="18" t="s">
        <v>238</v>
      </c>
      <c r="L53" s="324">
        <f t="shared" si="10"/>
        <v>138249</v>
      </c>
      <c r="M53" s="321">
        <f t="shared" si="11"/>
        <v>138249</v>
      </c>
    </row>
    <row r="54" spans="1:13" ht="15" customHeight="1" x14ac:dyDescent="0.2">
      <c r="A54" s="453"/>
      <c r="B54" s="312" t="s">
        <v>522</v>
      </c>
      <c r="C54" s="238" t="s">
        <v>491</v>
      </c>
      <c r="D54" s="9">
        <v>82120</v>
      </c>
      <c r="E54" s="18" t="s">
        <v>238</v>
      </c>
      <c r="F54" s="18" t="s">
        <v>238</v>
      </c>
      <c r="G54" s="324">
        <f t="shared" si="8"/>
        <v>82120</v>
      </c>
      <c r="H54" s="321">
        <f t="shared" si="9"/>
        <v>82120</v>
      </c>
      <c r="I54" s="9">
        <v>86226</v>
      </c>
      <c r="J54" s="18" t="s">
        <v>238</v>
      </c>
      <c r="K54" s="18" t="s">
        <v>238</v>
      </c>
      <c r="L54" s="324">
        <f t="shared" si="10"/>
        <v>86226</v>
      </c>
      <c r="M54" s="321">
        <f t="shared" si="11"/>
        <v>86226</v>
      </c>
    </row>
    <row r="55" spans="1:13" ht="15" customHeight="1" x14ac:dyDescent="0.2">
      <c r="A55" s="453"/>
      <c r="B55" s="312" t="s">
        <v>523</v>
      </c>
      <c r="C55" s="239" t="s">
        <v>492</v>
      </c>
      <c r="D55" s="9">
        <v>186340</v>
      </c>
      <c r="E55" s="18" t="s">
        <v>238</v>
      </c>
      <c r="F55" s="18" t="s">
        <v>238</v>
      </c>
      <c r="G55" s="324">
        <f t="shared" si="8"/>
        <v>186340</v>
      </c>
      <c r="H55" s="321">
        <f t="shared" si="9"/>
        <v>186340</v>
      </c>
      <c r="I55" s="9">
        <v>195657</v>
      </c>
      <c r="J55" s="18" t="s">
        <v>238</v>
      </c>
      <c r="K55" s="18" t="s">
        <v>238</v>
      </c>
      <c r="L55" s="324">
        <f t="shared" si="10"/>
        <v>195657</v>
      </c>
      <c r="M55" s="321">
        <f t="shared" si="11"/>
        <v>195657</v>
      </c>
    </row>
    <row r="56" spans="1:13" ht="15" customHeight="1" x14ac:dyDescent="0.2">
      <c r="A56" s="453"/>
      <c r="B56" s="312" t="s">
        <v>336</v>
      </c>
      <c r="C56" s="206" t="s">
        <v>213</v>
      </c>
      <c r="D56" s="9">
        <v>168173</v>
      </c>
      <c r="E56" s="18" t="s">
        <v>238</v>
      </c>
      <c r="F56" s="18" t="s">
        <v>238</v>
      </c>
      <c r="G56" s="324">
        <f t="shared" si="8"/>
        <v>168173</v>
      </c>
      <c r="H56" s="321">
        <f t="shared" si="9"/>
        <v>168173</v>
      </c>
      <c r="I56" s="9">
        <v>176581</v>
      </c>
      <c r="J56" s="18" t="s">
        <v>238</v>
      </c>
      <c r="K56" s="18" t="s">
        <v>238</v>
      </c>
      <c r="L56" s="324">
        <f t="shared" si="10"/>
        <v>176581</v>
      </c>
      <c r="M56" s="321">
        <f t="shared" si="11"/>
        <v>176581</v>
      </c>
    </row>
    <row r="57" spans="1:13" ht="15" customHeight="1" x14ac:dyDescent="0.2">
      <c r="A57" s="280" t="s">
        <v>210</v>
      </c>
      <c r="B57" s="312" t="s">
        <v>291</v>
      </c>
      <c r="C57" s="206" t="s">
        <v>211</v>
      </c>
      <c r="D57" s="9">
        <v>253469</v>
      </c>
      <c r="E57" s="18" t="s">
        <v>238</v>
      </c>
      <c r="F57" s="18" t="s">
        <v>238</v>
      </c>
      <c r="G57" s="324">
        <f t="shared" si="8"/>
        <v>253469</v>
      </c>
      <c r="H57" s="321">
        <f t="shared" si="9"/>
        <v>253469</v>
      </c>
      <c r="I57" s="9">
        <v>266142</v>
      </c>
      <c r="J57" s="18" t="s">
        <v>238</v>
      </c>
      <c r="K57" s="18" t="s">
        <v>238</v>
      </c>
      <c r="L57" s="324">
        <f t="shared" si="10"/>
        <v>266142</v>
      </c>
      <c r="M57" s="321">
        <f t="shared" si="11"/>
        <v>266142</v>
      </c>
    </row>
    <row r="58" spans="1:13" ht="15" customHeight="1" x14ac:dyDescent="0.2">
      <c r="A58" s="280"/>
      <c r="B58" s="312" t="s">
        <v>331</v>
      </c>
      <c r="C58" s="206" t="s">
        <v>212</v>
      </c>
      <c r="D58" s="9">
        <v>1258</v>
      </c>
      <c r="E58" s="18" t="s">
        <v>238</v>
      </c>
      <c r="F58" s="18" t="s">
        <v>238</v>
      </c>
      <c r="G58" s="324">
        <f t="shared" si="8"/>
        <v>1258</v>
      </c>
      <c r="H58" s="321">
        <f t="shared" si="9"/>
        <v>1258</v>
      </c>
      <c r="I58" s="9">
        <v>1320</v>
      </c>
      <c r="J58" s="18" t="s">
        <v>238</v>
      </c>
      <c r="K58" s="18" t="s">
        <v>238</v>
      </c>
      <c r="L58" s="324">
        <f t="shared" si="10"/>
        <v>1320</v>
      </c>
      <c r="M58" s="321">
        <f t="shared" si="11"/>
        <v>1320</v>
      </c>
    </row>
    <row r="59" spans="1:13" ht="15" customHeight="1" x14ac:dyDescent="0.2">
      <c r="A59" s="280"/>
      <c r="B59" s="312" t="s">
        <v>356</v>
      </c>
      <c r="C59" s="206" t="s">
        <v>214</v>
      </c>
      <c r="D59" s="9">
        <v>215830</v>
      </c>
      <c r="E59" s="18" t="s">
        <v>238</v>
      </c>
      <c r="F59" s="18" t="s">
        <v>238</v>
      </c>
      <c r="G59" s="324">
        <f t="shared" si="8"/>
        <v>215830</v>
      </c>
      <c r="H59" s="321">
        <f t="shared" si="9"/>
        <v>215830</v>
      </c>
      <c r="I59" s="9">
        <v>226621</v>
      </c>
      <c r="J59" s="18" t="s">
        <v>238</v>
      </c>
      <c r="K59" s="18" t="s">
        <v>238</v>
      </c>
      <c r="L59" s="324">
        <f t="shared" si="10"/>
        <v>226621</v>
      </c>
      <c r="M59" s="321">
        <f t="shared" si="11"/>
        <v>226621</v>
      </c>
    </row>
    <row r="60" spans="1:13" ht="15" customHeight="1" thickBot="1" x14ac:dyDescent="0.25">
      <c r="A60" s="454"/>
      <c r="B60" s="235" t="s">
        <v>357</v>
      </c>
      <c r="C60" s="207" t="s">
        <v>215</v>
      </c>
      <c r="D60" s="9">
        <v>124663</v>
      </c>
      <c r="E60" s="18" t="s">
        <v>238</v>
      </c>
      <c r="F60" s="18" t="s">
        <v>238</v>
      </c>
      <c r="G60" s="324">
        <f t="shared" si="8"/>
        <v>124663</v>
      </c>
      <c r="H60" s="321">
        <f t="shared" si="9"/>
        <v>124663</v>
      </c>
      <c r="I60" s="9">
        <v>130896</v>
      </c>
      <c r="J60" s="18" t="s">
        <v>238</v>
      </c>
      <c r="K60" s="18" t="s">
        <v>238</v>
      </c>
      <c r="L60" s="324">
        <f t="shared" si="10"/>
        <v>130896</v>
      </c>
      <c r="M60" s="321">
        <f t="shared" si="11"/>
        <v>130896</v>
      </c>
    </row>
    <row r="61" spans="1:13" ht="15" customHeight="1" x14ac:dyDescent="0.2">
      <c r="H61" s="329">
        <f>SUM(H33:H60)</f>
        <v>61158558</v>
      </c>
      <c r="M61" s="329">
        <f>SUM(M33:M60)</f>
        <v>64216475</v>
      </c>
    </row>
    <row r="64" spans="1:13" ht="20.399999999999999" x14ac:dyDescent="0.2">
      <c r="A64" s="440" t="s">
        <v>683</v>
      </c>
      <c r="B64" s="441"/>
      <c r="C64" s="442"/>
      <c r="D64" s="112" t="s">
        <v>234</v>
      </c>
      <c r="E64" s="112" t="s">
        <v>454</v>
      </c>
      <c r="F64" s="112" t="s">
        <v>455</v>
      </c>
      <c r="G64" s="93" t="s">
        <v>456</v>
      </c>
      <c r="H64" s="94" t="s">
        <v>457</v>
      </c>
      <c r="I64" s="112" t="s">
        <v>234</v>
      </c>
      <c r="J64" s="112" t="s">
        <v>454</v>
      </c>
      <c r="K64" s="112" t="s">
        <v>455</v>
      </c>
      <c r="L64" s="93" t="s">
        <v>456</v>
      </c>
      <c r="M64" s="94" t="s">
        <v>457</v>
      </c>
    </row>
    <row r="65" spans="1:17" ht="15" customHeight="1" x14ac:dyDescent="0.2">
      <c r="A65" s="105" t="s">
        <v>37</v>
      </c>
      <c r="B65" s="326" t="s">
        <v>250</v>
      </c>
      <c r="C65" s="21" t="s">
        <v>38</v>
      </c>
      <c r="D65" s="9">
        <v>18927355</v>
      </c>
      <c r="E65" s="18" t="s">
        <v>238</v>
      </c>
      <c r="F65" s="18" t="s">
        <v>238</v>
      </c>
      <c r="G65" s="324">
        <f t="shared" ref="G65:G75" si="12">D65+E65+F65</f>
        <v>18927355</v>
      </c>
      <c r="H65" s="243">
        <f t="shared" ref="H65:H75" si="13">G65</f>
        <v>18927355</v>
      </c>
      <c r="I65" s="9">
        <v>19873722</v>
      </c>
      <c r="J65" s="18" t="s">
        <v>238</v>
      </c>
      <c r="K65" s="18" t="s">
        <v>238</v>
      </c>
      <c r="L65" s="324">
        <f t="shared" ref="L65:L75" si="14">I65+J65+K65</f>
        <v>19873722</v>
      </c>
      <c r="M65" s="243">
        <f t="shared" ref="M65:M75" si="15">L65</f>
        <v>19873722</v>
      </c>
    </row>
    <row r="66" spans="1:17" ht="15" customHeight="1" x14ac:dyDescent="0.2">
      <c r="A66" s="240"/>
      <c r="B66" s="326" t="s">
        <v>293</v>
      </c>
      <c r="C66" s="21" t="s">
        <v>39</v>
      </c>
      <c r="D66" s="9">
        <v>168086</v>
      </c>
      <c r="E66" s="18" t="s">
        <v>238</v>
      </c>
      <c r="F66" s="18" t="s">
        <v>238</v>
      </c>
      <c r="G66" s="324">
        <f t="shared" si="12"/>
        <v>168086</v>
      </c>
      <c r="H66" s="243">
        <f t="shared" si="13"/>
        <v>168086</v>
      </c>
      <c r="I66" s="9">
        <v>176490</v>
      </c>
      <c r="J66" s="18" t="s">
        <v>238</v>
      </c>
      <c r="K66" s="18" t="s">
        <v>238</v>
      </c>
      <c r="L66" s="324">
        <f t="shared" si="14"/>
        <v>176490</v>
      </c>
      <c r="M66" s="243">
        <f t="shared" si="15"/>
        <v>176490</v>
      </c>
    </row>
    <row r="67" spans="1:17" ht="15" customHeight="1" x14ac:dyDescent="0.2">
      <c r="A67" s="106"/>
      <c r="B67" s="326" t="s">
        <v>40</v>
      </c>
      <c r="C67" s="21" t="s">
        <v>41</v>
      </c>
      <c r="D67" s="9">
        <v>9034971</v>
      </c>
      <c r="E67" s="18" t="s">
        <v>238</v>
      </c>
      <c r="F67" s="18" t="s">
        <v>238</v>
      </c>
      <c r="G67" s="324">
        <f t="shared" si="12"/>
        <v>9034971</v>
      </c>
      <c r="H67" s="243">
        <f t="shared" si="13"/>
        <v>9034971</v>
      </c>
      <c r="I67" s="9">
        <v>9486719</v>
      </c>
      <c r="J67" s="18" t="s">
        <v>238</v>
      </c>
      <c r="K67" s="18" t="s">
        <v>238</v>
      </c>
      <c r="L67" s="324">
        <f t="shared" si="14"/>
        <v>9486719</v>
      </c>
      <c r="M67" s="243">
        <f t="shared" si="15"/>
        <v>9486719</v>
      </c>
    </row>
    <row r="68" spans="1:17" ht="15" customHeight="1" x14ac:dyDescent="0.2">
      <c r="A68" s="280" t="s">
        <v>519</v>
      </c>
      <c r="B68" s="310" t="s">
        <v>28</v>
      </c>
      <c r="C68" s="2" t="s">
        <v>29</v>
      </c>
      <c r="D68" s="9">
        <v>0</v>
      </c>
      <c r="E68" s="18" t="s">
        <v>238</v>
      </c>
      <c r="F68" s="18" t="s">
        <v>238</v>
      </c>
      <c r="G68" s="324">
        <f t="shared" si="12"/>
        <v>0</v>
      </c>
      <c r="H68" s="321">
        <f t="shared" si="13"/>
        <v>0</v>
      </c>
      <c r="I68" s="9">
        <v>0</v>
      </c>
      <c r="J68" s="18" t="s">
        <v>238</v>
      </c>
      <c r="K68" s="18" t="s">
        <v>238</v>
      </c>
      <c r="L68" s="324">
        <f t="shared" si="14"/>
        <v>0</v>
      </c>
      <c r="M68" s="321">
        <f t="shared" si="15"/>
        <v>0</v>
      </c>
    </row>
    <row r="69" spans="1:17" ht="15" customHeight="1" x14ac:dyDescent="0.2">
      <c r="A69" s="280"/>
      <c r="B69" s="310" t="s">
        <v>30</v>
      </c>
      <c r="C69" s="2" t="s">
        <v>29</v>
      </c>
      <c r="D69" s="9">
        <v>1065000</v>
      </c>
      <c r="E69" s="18" t="s">
        <v>238</v>
      </c>
      <c r="F69" s="18" t="s">
        <v>238</v>
      </c>
      <c r="G69" s="324">
        <f t="shared" si="12"/>
        <v>1065000</v>
      </c>
      <c r="H69" s="321">
        <f t="shared" si="13"/>
        <v>1065000</v>
      </c>
      <c r="I69" s="9">
        <v>1118250</v>
      </c>
      <c r="J69" s="18" t="s">
        <v>238</v>
      </c>
      <c r="K69" s="18" t="s">
        <v>238</v>
      </c>
      <c r="L69" s="324">
        <f t="shared" si="14"/>
        <v>1118250</v>
      </c>
      <c r="M69" s="321">
        <f t="shared" si="15"/>
        <v>1118250</v>
      </c>
    </row>
    <row r="70" spans="1:17" ht="17.25" customHeight="1" x14ac:dyDescent="0.2">
      <c r="A70" s="280"/>
      <c r="B70" s="68" t="s">
        <v>651</v>
      </c>
      <c r="C70" s="187" t="s">
        <v>652</v>
      </c>
      <c r="D70" s="68">
        <v>9376950</v>
      </c>
      <c r="E70" s="18" t="s">
        <v>238</v>
      </c>
      <c r="F70" s="18" t="s">
        <v>238</v>
      </c>
      <c r="G70" s="324">
        <f t="shared" si="12"/>
        <v>9376950</v>
      </c>
      <c r="H70" s="321">
        <f t="shared" si="13"/>
        <v>9376950</v>
      </c>
      <c r="I70" s="68">
        <v>9845797</v>
      </c>
      <c r="J70" s="18" t="s">
        <v>238</v>
      </c>
      <c r="K70" s="18" t="s">
        <v>238</v>
      </c>
      <c r="L70" s="324">
        <f t="shared" si="14"/>
        <v>9845797</v>
      </c>
      <c r="M70" s="321">
        <f t="shared" si="15"/>
        <v>9845797</v>
      </c>
    </row>
    <row r="71" spans="1:17" ht="15" customHeight="1" x14ac:dyDescent="0.2">
      <c r="A71" s="280" t="s">
        <v>519</v>
      </c>
      <c r="B71" s="310" t="s">
        <v>305</v>
      </c>
      <c r="C71" s="2" t="s">
        <v>31</v>
      </c>
      <c r="D71" s="9">
        <v>1559137</v>
      </c>
      <c r="E71" s="18" t="s">
        <v>238</v>
      </c>
      <c r="F71" s="18" t="s">
        <v>238</v>
      </c>
      <c r="G71" s="324">
        <f t="shared" si="12"/>
        <v>1559137</v>
      </c>
      <c r="H71" s="321">
        <f t="shared" si="13"/>
        <v>1559137</v>
      </c>
      <c r="I71" s="9">
        <v>1637093</v>
      </c>
      <c r="J71" s="18" t="s">
        <v>238</v>
      </c>
      <c r="K71" s="18" t="s">
        <v>238</v>
      </c>
      <c r="L71" s="324">
        <f t="shared" si="14"/>
        <v>1637093</v>
      </c>
      <c r="M71" s="321">
        <f t="shared" si="15"/>
        <v>1637093</v>
      </c>
    </row>
    <row r="72" spans="1:17" ht="15" customHeight="1" x14ac:dyDescent="0.2">
      <c r="A72" s="280"/>
      <c r="B72" s="310" t="s">
        <v>32</v>
      </c>
      <c r="C72" s="2" t="s">
        <v>33</v>
      </c>
      <c r="D72" s="4">
        <v>6646</v>
      </c>
      <c r="E72" s="4">
        <v>28400</v>
      </c>
      <c r="F72" s="52">
        <v>2840</v>
      </c>
      <c r="G72" s="324">
        <f t="shared" si="12"/>
        <v>37886</v>
      </c>
      <c r="H72" s="321">
        <f t="shared" si="13"/>
        <v>37886</v>
      </c>
      <c r="I72" s="4">
        <v>6978</v>
      </c>
      <c r="J72" s="4">
        <v>28400</v>
      </c>
      <c r="K72" s="52">
        <f>2840+1562</f>
        <v>4402</v>
      </c>
      <c r="L72" s="324">
        <f t="shared" si="14"/>
        <v>39780</v>
      </c>
      <c r="M72" s="321">
        <f t="shared" si="15"/>
        <v>39780</v>
      </c>
    </row>
    <row r="73" spans="1:17" ht="15" customHeight="1" x14ac:dyDescent="0.2">
      <c r="A73" s="303" t="s">
        <v>34</v>
      </c>
      <c r="B73" s="310" t="s">
        <v>35</v>
      </c>
      <c r="C73" s="2" t="s">
        <v>36</v>
      </c>
      <c r="D73" s="9">
        <v>1772885</v>
      </c>
      <c r="E73" s="18" t="s">
        <v>238</v>
      </c>
      <c r="F73" s="18" t="s">
        <v>238</v>
      </c>
      <c r="G73" s="324">
        <f t="shared" si="12"/>
        <v>1772885</v>
      </c>
      <c r="H73" s="321">
        <f t="shared" si="13"/>
        <v>1772885</v>
      </c>
      <c r="I73" s="9">
        <v>1861529</v>
      </c>
      <c r="J73" s="18" t="s">
        <v>238</v>
      </c>
      <c r="K73" s="18" t="s">
        <v>238</v>
      </c>
      <c r="L73" s="324">
        <f t="shared" si="14"/>
        <v>1861529</v>
      </c>
      <c r="M73" s="321">
        <f t="shared" si="15"/>
        <v>1861529</v>
      </c>
    </row>
    <row r="74" spans="1:17" ht="15" customHeight="1" x14ac:dyDescent="0.2">
      <c r="A74" s="104" t="s">
        <v>3</v>
      </c>
      <c r="B74" s="296" t="s">
        <v>236</v>
      </c>
      <c r="C74" s="191" t="s">
        <v>4</v>
      </c>
      <c r="D74" s="322">
        <v>8262543</v>
      </c>
      <c r="E74" s="9">
        <v>0</v>
      </c>
      <c r="F74" s="9">
        <v>0</v>
      </c>
      <c r="G74" s="324">
        <f t="shared" si="12"/>
        <v>8262543</v>
      </c>
      <c r="H74" s="321">
        <f t="shared" si="13"/>
        <v>8262543</v>
      </c>
      <c r="I74" s="322">
        <v>8675670</v>
      </c>
      <c r="J74" s="9">
        <v>0</v>
      </c>
      <c r="K74" s="9">
        <v>0</v>
      </c>
      <c r="L74" s="324">
        <f t="shared" si="14"/>
        <v>8675670</v>
      </c>
      <c r="M74" s="321">
        <f t="shared" si="15"/>
        <v>8675670</v>
      </c>
    </row>
    <row r="75" spans="1:17" ht="15" customHeight="1" x14ac:dyDescent="0.2">
      <c r="A75" s="506" t="s">
        <v>495</v>
      </c>
      <c r="B75" s="326" t="s">
        <v>520</v>
      </c>
      <c r="C75" s="242" t="s">
        <v>494</v>
      </c>
      <c r="D75" s="9">
        <v>1045</v>
      </c>
      <c r="E75" s="18" t="s">
        <v>238</v>
      </c>
      <c r="F75" s="18" t="s">
        <v>238</v>
      </c>
      <c r="G75" s="324">
        <f t="shared" si="12"/>
        <v>1045</v>
      </c>
      <c r="H75" s="317">
        <f t="shared" si="13"/>
        <v>1045</v>
      </c>
      <c r="I75" s="9">
        <v>1097</v>
      </c>
      <c r="J75" s="18" t="s">
        <v>238</v>
      </c>
      <c r="K75" s="18" t="s">
        <v>238</v>
      </c>
      <c r="L75" s="324">
        <f t="shared" si="14"/>
        <v>1097</v>
      </c>
      <c r="M75" s="317">
        <f t="shared" si="15"/>
        <v>1097</v>
      </c>
    </row>
    <row r="76" spans="1:17" s="126" customFormat="1" ht="15" customHeight="1" x14ac:dyDescent="0.3">
      <c r="H76" s="327">
        <f>SUM(H65:H75)</f>
        <v>50205858</v>
      </c>
      <c r="M76" s="327">
        <f>SUM(M65:M75)</f>
        <v>52716147</v>
      </c>
      <c r="P76" s="126">
        <v>50205858</v>
      </c>
      <c r="Q76" s="328">
        <f>H76-P76</f>
        <v>0</v>
      </c>
    </row>
    <row r="79" spans="1:17" ht="20.399999999999999" x14ac:dyDescent="0.2">
      <c r="A79" s="440" t="s">
        <v>704</v>
      </c>
      <c r="B79" s="441"/>
      <c r="C79" s="442"/>
      <c r="D79" s="112" t="s">
        <v>234</v>
      </c>
      <c r="E79" s="112" t="s">
        <v>454</v>
      </c>
      <c r="F79" s="112" t="s">
        <v>455</v>
      </c>
      <c r="G79" s="93" t="s">
        <v>456</v>
      </c>
      <c r="H79" s="94" t="s">
        <v>457</v>
      </c>
      <c r="I79" s="112" t="s">
        <v>234</v>
      </c>
      <c r="J79" s="112" t="s">
        <v>454</v>
      </c>
      <c r="K79" s="112" t="s">
        <v>455</v>
      </c>
      <c r="L79" s="93" t="s">
        <v>456</v>
      </c>
      <c r="M79" s="94" t="s">
        <v>457</v>
      </c>
    </row>
    <row r="80" spans="1:17" ht="14.25" customHeight="1" x14ac:dyDescent="0.2">
      <c r="A80" s="280" t="s">
        <v>693</v>
      </c>
      <c r="B80" s="310" t="s">
        <v>60</v>
      </c>
      <c r="C80" s="2" t="s">
        <v>61</v>
      </c>
      <c r="I80" s="502">
        <v>1225528</v>
      </c>
      <c r="J80" s="502"/>
      <c r="K80" s="502"/>
      <c r="L80" s="324">
        <f>I80+J80+K80</f>
        <v>1225528</v>
      </c>
      <c r="M80" s="321">
        <f>L80</f>
        <v>1225528</v>
      </c>
    </row>
    <row r="81" spans="1:13" ht="14.25" customHeight="1" x14ac:dyDescent="0.2">
      <c r="A81" s="280" t="s">
        <v>428</v>
      </c>
      <c r="B81" s="310" t="s">
        <v>58</v>
      </c>
      <c r="C81" s="2" t="s">
        <v>59</v>
      </c>
      <c r="I81" s="502">
        <v>28308519</v>
      </c>
      <c r="J81" s="502"/>
      <c r="K81" s="502"/>
      <c r="L81" s="324">
        <f t="shared" ref="L81:L86" si="16">I81+J81+K81</f>
        <v>28308519</v>
      </c>
      <c r="M81" s="321">
        <f t="shared" ref="M81:M86" si="17">L81</f>
        <v>28308519</v>
      </c>
    </row>
    <row r="82" spans="1:13" ht="14.25" customHeight="1" x14ac:dyDescent="0.2">
      <c r="A82" s="303" t="s">
        <v>430</v>
      </c>
      <c r="B82" s="310" t="s">
        <v>67</v>
      </c>
      <c r="C82" s="2" t="s">
        <v>68</v>
      </c>
      <c r="I82" s="502"/>
      <c r="J82" s="502"/>
      <c r="K82" s="502"/>
      <c r="L82" s="324">
        <f t="shared" si="16"/>
        <v>0</v>
      </c>
      <c r="M82" s="321">
        <f t="shared" si="17"/>
        <v>0</v>
      </c>
    </row>
    <row r="83" spans="1:13" ht="14.25" customHeight="1" x14ac:dyDescent="0.2">
      <c r="A83" s="280" t="s">
        <v>429</v>
      </c>
      <c r="B83" s="310" t="s">
        <v>64</v>
      </c>
      <c r="C83" s="2" t="s">
        <v>65</v>
      </c>
      <c r="I83" s="502">
        <v>9677812</v>
      </c>
      <c r="J83" s="502"/>
      <c r="K83" s="502"/>
      <c r="L83" s="324">
        <f t="shared" si="16"/>
        <v>9677812</v>
      </c>
      <c r="M83" s="321">
        <f t="shared" si="17"/>
        <v>9677812</v>
      </c>
    </row>
    <row r="84" spans="1:13" ht="14.25" customHeight="1" x14ac:dyDescent="0.2">
      <c r="A84" s="303" t="s">
        <v>431</v>
      </c>
      <c r="B84" s="310" t="s">
        <v>252</v>
      </c>
      <c r="C84" s="2" t="s">
        <v>70</v>
      </c>
      <c r="I84" s="502">
        <v>4412286</v>
      </c>
      <c r="J84" s="502"/>
      <c r="K84" s="502"/>
      <c r="L84" s="324">
        <f t="shared" si="16"/>
        <v>4412286</v>
      </c>
      <c r="M84" s="321">
        <f t="shared" si="17"/>
        <v>4412286</v>
      </c>
    </row>
    <row r="85" spans="1:13" ht="14.25" customHeight="1" x14ac:dyDescent="0.2">
      <c r="A85" s="280" t="s">
        <v>429</v>
      </c>
      <c r="B85" s="310" t="s">
        <v>251</v>
      </c>
      <c r="C85" s="2" t="s">
        <v>63</v>
      </c>
      <c r="I85" s="502">
        <v>4059303</v>
      </c>
      <c r="J85" s="502"/>
      <c r="K85" s="502"/>
      <c r="L85" s="324">
        <f t="shared" si="16"/>
        <v>4059303</v>
      </c>
      <c r="M85" s="321">
        <f t="shared" si="17"/>
        <v>4059303</v>
      </c>
    </row>
    <row r="86" spans="1:13" ht="14.25" customHeight="1" x14ac:dyDescent="0.2">
      <c r="A86" s="507" t="s">
        <v>253</v>
      </c>
      <c r="B86" s="310" t="s">
        <v>254</v>
      </c>
      <c r="C86" s="2" t="s">
        <v>71</v>
      </c>
      <c r="I86" s="502">
        <v>0</v>
      </c>
      <c r="J86" s="502"/>
      <c r="K86" s="502"/>
      <c r="L86" s="324">
        <f t="shared" si="16"/>
        <v>0</v>
      </c>
      <c r="M86" s="321">
        <f t="shared" si="17"/>
        <v>0</v>
      </c>
    </row>
    <row r="87" spans="1:13" x14ac:dyDescent="0.2">
      <c r="M87" s="327">
        <f>SUM(M80:M86)</f>
        <v>47683448</v>
      </c>
    </row>
    <row r="106" spans="28:38" x14ac:dyDescent="0.2">
      <c r="AB106" s="501" t="s">
        <v>695</v>
      </c>
      <c r="AC106" s="501"/>
      <c r="AD106" s="501"/>
      <c r="AE106" s="501"/>
      <c r="AF106" s="501"/>
      <c r="AG106" s="501"/>
      <c r="AH106" s="501"/>
      <c r="AI106" s="501"/>
      <c r="AJ106" s="501"/>
      <c r="AK106" s="501"/>
      <c r="AL106" s="501"/>
    </row>
    <row r="107" spans="28:38" ht="40.799999999999997" x14ac:dyDescent="0.2">
      <c r="AE107" s="94" t="s">
        <v>457</v>
      </c>
      <c r="AF107" s="278" t="s">
        <v>684</v>
      </c>
      <c r="AG107" s="278" t="s">
        <v>685</v>
      </c>
      <c r="AH107" s="278" t="s">
        <v>686</v>
      </c>
      <c r="AI107" s="278" t="s">
        <v>687</v>
      </c>
      <c r="AJ107" s="278" t="s">
        <v>688</v>
      </c>
      <c r="AK107" s="278" t="s">
        <v>689</v>
      </c>
      <c r="AL107" s="279" t="s">
        <v>690</v>
      </c>
    </row>
    <row r="108" spans="28:38" x14ac:dyDescent="0.2">
      <c r="AE108" s="281">
        <v>1167170</v>
      </c>
      <c r="AF108" s="282">
        <f>AE108*10</f>
        <v>11671700</v>
      </c>
      <c r="AG108" s="282">
        <f>AF108*5%</f>
        <v>583585</v>
      </c>
      <c r="AH108" s="283">
        <v>0.1</v>
      </c>
      <c r="AI108" s="284">
        <f>AH108*AG108</f>
        <v>58358.5</v>
      </c>
      <c r="AJ108" s="284">
        <f>AG108-AI108</f>
        <v>525226.5</v>
      </c>
      <c r="AK108" s="282">
        <v>58358</v>
      </c>
      <c r="AL108" s="282">
        <f>AK108+AE108</f>
        <v>1225528</v>
      </c>
    </row>
    <row r="109" spans="28:38" x14ac:dyDescent="0.2">
      <c r="AE109" s="281">
        <v>26960495</v>
      </c>
      <c r="AF109" s="282">
        <f t="shared" ref="AF109:AF114" si="18">AE109*10</f>
        <v>269604950</v>
      </c>
      <c r="AG109" s="282">
        <f t="shared" ref="AG109:AG114" si="19">AF109*5%</f>
        <v>13480247.5</v>
      </c>
      <c r="AH109" s="283">
        <v>0.1</v>
      </c>
      <c r="AI109" s="284">
        <f t="shared" ref="AI109:AI114" si="20">AH109*AG109</f>
        <v>1348024.75</v>
      </c>
      <c r="AJ109" s="284">
        <f t="shared" ref="AJ109:AJ114" si="21">AG109-AI109</f>
        <v>12132222.75</v>
      </c>
      <c r="AK109" s="282">
        <v>1348024</v>
      </c>
      <c r="AL109" s="282">
        <f t="shared" ref="AL109:AL114" si="22">AK109+AE109</f>
        <v>28308519</v>
      </c>
    </row>
    <row r="110" spans="28:38" x14ac:dyDescent="0.2">
      <c r="AE110" s="281">
        <v>4950773</v>
      </c>
      <c r="AF110" s="282">
        <f t="shared" si="18"/>
        <v>49507730</v>
      </c>
      <c r="AG110" s="282">
        <f t="shared" si="19"/>
        <v>2475386.5</v>
      </c>
      <c r="AH110" s="283">
        <v>0.2</v>
      </c>
      <c r="AI110" s="284">
        <f t="shared" si="20"/>
        <v>495077.30000000005</v>
      </c>
      <c r="AJ110" s="284">
        <f t="shared" si="21"/>
        <v>1980309.2</v>
      </c>
      <c r="AK110" s="282">
        <v>247538</v>
      </c>
      <c r="AL110" s="282">
        <f t="shared" si="22"/>
        <v>5198311</v>
      </c>
    </row>
    <row r="111" spans="28:38" x14ac:dyDescent="0.2">
      <c r="AE111" s="281">
        <v>64015</v>
      </c>
      <c r="AF111" s="282">
        <f t="shared" si="18"/>
        <v>640150</v>
      </c>
      <c r="AG111" s="282">
        <f t="shared" si="19"/>
        <v>32007.5</v>
      </c>
      <c r="AH111" s="283">
        <v>0.1</v>
      </c>
      <c r="AI111" s="284">
        <f t="shared" si="20"/>
        <v>3200.75</v>
      </c>
      <c r="AJ111" s="284">
        <f t="shared" si="21"/>
        <v>28806.75</v>
      </c>
      <c r="AK111" s="282">
        <v>3200</v>
      </c>
      <c r="AL111" s="282">
        <f t="shared" si="22"/>
        <v>67215</v>
      </c>
    </row>
    <row r="112" spans="28:38" x14ac:dyDescent="0.2">
      <c r="AE112" s="281">
        <v>4202178</v>
      </c>
      <c r="AF112" s="282">
        <f t="shared" si="18"/>
        <v>42021780</v>
      </c>
      <c r="AG112" s="282">
        <f t="shared" si="19"/>
        <v>2101089</v>
      </c>
      <c r="AH112" s="283">
        <v>0.1</v>
      </c>
      <c r="AI112" s="284">
        <f t="shared" si="20"/>
        <v>210108.90000000002</v>
      </c>
      <c r="AJ112" s="284">
        <f t="shared" si="21"/>
        <v>1890980.1</v>
      </c>
      <c r="AK112" s="282">
        <v>210108</v>
      </c>
      <c r="AL112" s="282">
        <f t="shared" si="22"/>
        <v>4412286</v>
      </c>
    </row>
    <row r="113" spans="28:38" x14ac:dyDescent="0.2">
      <c r="AE113" s="281">
        <v>3866003</v>
      </c>
      <c r="AF113" s="282">
        <f t="shared" si="18"/>
        <v>38660030</v>
      </c>
      <c r="AG113" s="282">
        <f t="shared" si="19"/>
        <v>1933001.5</v>
      </c>
      <c r="AH113" s="283">
        <v>0.1</v>
      </c>
      <c r="AI113" s="284">
        <f t="shared" si="20"/>
        <v>193300.15000000002</v>
      </c>
      <c r="AJ113" s="284">
        <f t="shared" si="21"/>
        <v>1739701.35</v>
      </c>
      <c r="AK113" s="282">
        <v>193300</v>
      </c>
      <c r="AL113" s="282">
        <f t="shared" si="22"/>
        <v>4059303</v>
      </c>
    </row>
    <row r="114" spans="28:38" x14ac:dyDescent="0.2">
      <c r="AE114" s="281">
        <v>4202178</v>
      </c>
      <c r="AF114" s="282">
        <f t="shared" si="18"/>
        <v>42021780</v>
      </c>
      <c r="AG114" s="282">
        <f t="shared" si="19"/>
        <v>2101089</v>
      </c>
      <c r="AH114" s="283">
        <v>0.1</v>
      </c>
      <c r="AI114" s="284">
        <f t="shared" si="20"/>
        <v>210108.90000000002</v>
      </c>
      <c r="AJ114" s="284">
        <f t="shared" si="21"/>
        <v>1890980.1</v>
      </c>
      <c r="AK114" s="282">
        <v>210108</v>
      </c>
      <c r="AL114" s="282">
        <f t="shared" si="22"/>
        <v>4412286</v>
      </c>
    </row>
    <row r="115" spans="28:38" ht="20.399999999999999" x14ac:dyDescent="0.2">
      <c r="AB115" s="115"/>
      <c r="AC115" s="115"/>
      <c r="AD115" s="116" t="s">
        <v>372</v>
      </c>
      <c r="AE115" s="117">
        <f>SUM(AE108:AE114)</f>
        <v>45412812</v>
      </c>
      <c r="AF115" s="117">
        <f t="shared" ref="AF115:AL115" si="23">SUM(AF108:AF114)</f>
        <v>454128120</v>
      </c>
      <c r="AG115" s="117">
        <f t="shared" si="23"/>
        <v>22706406</v>
      </c>
      <c r="AH115" s="117">
        <f t="shared" si="23"/>
        <v>0.79999999999999993</v>
      </c>
      <c r="AI115" s="117">
        <f t="shared" si="23"/>
        <v>2518179.25</v>
      </c>
      <c r="AJ115" s="117">
        <f t="shared" si="23"/>
        <v>20188226.75</v>
      </c>
      <c r="AK115" s="117">
        <f t="shared" si="23"/>
        <v>2270636</v>
      </c>
      <c r="AL115" s="117">
        <f t="shared" si="23"/>
        <v>47683448</v>
      </c>
    </row>
  </sheetData>
  <mergeCells count="2">
    <mergeCell ref="I2:M2"/>
    <mergeCell ref="D2:H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L120"/>
  <sheetViews>
    <sheetView zoomScaleNormal="100" workbookViewId="0">
      <pane xSplit="5" ySplit="2" topLeftCell="F96" activePane="bottomRight" state="frozen"/>
      <selection activeCell="A2" sqref="A2"/>
      <selection pane="topRight" activeCell="K2" sqref="K2"/>
      <selection pane="bottomLeft" activeCell="A4" sqref="A4"/>
      <selection pane="bottomRight" activeCell="L99" sqref="L99"/>
    </sheetView>
  </sheetViews>
  <sheetFormatPr defaultColWidth="9.109375" defaultRowHeight="27" customHeight="1" x14ac:dyDescent="0.3"/>
  <cols>
    <col min="1" max="1" width="2.5546875" style="533" customWidth="1"/>
    <col min="2" max="2" width="28.33203125" style="533" bestFit="1" customWidth="1"/>
    <col min="3" max="3" width="28.33203125" style="533" hidden="1" customWidth="1"/>
    <col min="4" max="4" width="16" style="533" bestFit="1" customWidth="1"/>
    <col min="5" max="5" width="17.33203125" style="559" bestFit="1" customWidth="1"/>
    <col min="6" max="6" width="18.44140625" style="531" customWidth="1"/>
    <col min="7" max="7" width="14.5546875" style="531" customWidth="1"/>
    <col min="8" max="8" width="18" style="531" customWidth="1"/>
    <col min="9" max="9" width="15" style="531" bestFit="1" customWidth="1"/>
    <col min="10" max="10" width="12.44140625" style="532" bestFit="1" customWidth="1"/>
    <col min="11" max="11" width="9.109375" style="533"/>
    <col min="12" max="12" width="18.44140625" style="531" bestFit="1" customWidth="1"/>
    <col min="13" max="16384" width="9.109375" style="533"/>
  </cols>
  <sheetData>
    <row r="1" spans="2:12" ht="27" customHeight="1" x14ac:dyDescent="0.3">
      <c r="B1" s="530"/>
      <c r="C1" s="530"/>
      <c r="D1" s="530"/>
      <c r="E1" s="536"/>
    </row>
    <row r="2" spans="2:12" s="558" customFormat="1" ht="27" customHeight="1" x14ac:dyDescent="0.3">
      <c r="B2" s="553" t="s">
        <v>706</v>
      </c>
      <c r="C2" s="554" t="s">
        <v>784</v>
      </c>
      <c r="D2" s="554" t="s">
        <v>759</v>
      </c>
      <c r="E2" s="555" t="s">
        <v>218</v>
      </c>
      <c r="F2" s="556" t="s">
        <v>234</v>
      </c>
      <c r="G2" s="556" t="s">
        <v>454</v>
      </c>
      <c r="H2" s="556" t="s">
        <v>455</v>
      </c>
      <c r="I2" s="556" t="s">
        <v>456</v>
      </c>
      <c r="J2" s="557" t="s">
        <v>810</v>
      </c>
      <c r="L2" s="560"/>
    </row>
    <row r="3" spans="2:12" ht="27" customHeight="1" x14ac:dyDescent="0.3">
      <c r="B3" s="534" t="s">
        <v>285</v>
      </c>
      <c r="C3" s="530" t="s">
        <v>502</v>
      </c>
      <c r="D3" s="535" t="str">
        <f>IFERROR(VLOOKUP(Table1[[#This Row],[Name]], Designation!$A$2:$B$84, 2,FALSE), "Family")</f>
        <v>Family</v>
      </c>
      <c r="E3" s="536" t="s">
        <v>6</v>
      </c>
      <c r="F3" s="537">
        <v>28126358</v>
      </c>
      <c r="G3" s="537">
        <v>0</v>
      </c>
      <c r="H3" s="537">
        <v>0</v>
      </c>
      <c r="I3" s="538">
        <v>2068</v>
      </c>
      <c r="J3" s="539">
        <f>Table1[[#This Row],[Total Share]]/1476548475</f>
        <v>1.4005635676810408E-6</v>
      </c>
    </row>
    <row r="4" spans="2:12" ht="27" customHeight="1" x14ac:dyDescent="0.3">
      <c r="B4" s="534" t="s">
        <v>511</v>
      </c>
      <c r="C4" s="530" t="s">
        <v>502</v>
      </c>
      <c r="D4" s="535" t="str">
        <f>IFERROR(VLOOKUP(Table1[[#This Row],[Name]], Designation!$A$2:$B$84, 2,FALSE), "Family")</f>
        <v>Former Director &amp; immediate past Chairman</v>
      </c>
      <c r="E4" s="536" t="s">
        <v>20</v>
      </c>
      <c r="F4" s="537">
        <v>28871</v>
      </c>
      <c r="G4" s="537">
        <v>500</v>
      </c>
      <c r="H4" s="537">
        <v>50</v>
      </c>
      <c r="I4" s="538">
        <v>29532675</v>
      </c>
      <c r="J4" s="539">
        <f>Table1[[#This Row],[Total Share]]/1476548475</f>
        <v>2.0001155058590271E-2</v>
      </c>
    </row>
    <row r="5" spans="2:12" ht="27" customHeight="1" x14ac:dyDescent="0.3">
      <c r="B5" s="534" t="s">
        <v>791</v>
      </c>
      <c r="C5" s="530" t="s">
        <v>502</v>
      </c>
      <c r="D5" s="535" t="str">
        <f>IFERROR(VLOOKUP(Table1[[#This Row],[Name]], Designation!$A$2:$B$84, 2,FALSE), "Family")</f>
        <v>Family</v>
      </c>
      <c r="E5" s="536" t="s">
        <v>26</v>
      </c>
      <c r="F5" s="537">
        <v>15553965</v>
      </c>
      <c r="G5" s="537">
        <v>0</v>
      </c>
      <c r="H5" s="537">
        <v>0</v>
      </c>
      <c r="I5" s="538">
        <v>29555323</v>
      </c>
      <c r="J5" s="539">
        <f>Table1[[#This Row],[Total Share]]/1476548475</f>
        <v>2.0016493532323751E-2</v>
      </c>
    </row>
    <row r="6" spans="2:12" ht="27" customHeight="1" x14ac:dyDescent="0.3">
      <c r="B6" s="534" t="s">
        <v>792</v>
      </c>
      <c r="C6" s="530" t="s">
        <v>502</v>
      </c>
      <c r="D6" s="535" t="str">
        <f>IFERROR(VLOOKUP(Table1[[#This Row],[Name]], Designation!$A$2:$B$84, 2,FALSE), "Family")</f>
        <v>Family</v>
      </c>
      <c r="E6" s="536" t="s">
        <v>27</v>
      </c>
      <c r="F6" s="537">
        <v>9338175</v>
      </c>
      <c r="G6" s="537">
        <v>0</v>
      </c>
      <c r="H6" s="537">
        <v>0</v>
      </c>
      <c r="I6" s="538">
        <v>29555323</v>
      </c>
      <c r="J6" s="539">
        <f>Table1[[#This Row],[Total Share]]/1476548475</f>
        <v>2.0016493532323751E-2</v>
      </c>
    </row>
    <row r="7" spans="2:12" ht="27" customHeight="1" x14ac:dyDescent="0.3">
      <c r="B7" s="534" t="s">
        <v>793</v>
      </c>
      <c r="C7" s="530" t="s">
        <v>502</v>
      </c>
      <c r="D7" s="535" t="str">
        <f>IFERROR(VLOOKUP(Table1[[#This Row],[Name]], Designation!$A$2:$B$84, 2,FALSE), "Family")</f>
        <v>Family</v>
      </c>
      <c r="E7" s="536" t="s">
        <v>229</v>
      </c>
      <c r="F7" s="537">
        <v>3362788</v>
      </c>
      <c r="G7" s="537">
        <v>0</v>
      </c>
      <c r="H7" s="537">
        <v>0</v>
      </c>
      <c r="I7" s="538">
        <v>29555323</v>
      </c>
      <c r="J7" s="539">
        <f>Table1[[#This Row],[Total Share]]/1476548475</f>
        <v>2.0016493532323751E-2</v>
      </c>
    </row>
    <row r="8" spans="2:12" ht="27" customHeight="1" x14ac:dyDescent="0.3">
      <c r="B8" s="534" t="s">
        <v>794</v>
      </c>
      <c r="C8" s="530" t="s">
        <v>502</v>
      </c>
      <c r="D8" s="535" t="str">
        <f>IFERROR(VLOOKUP(Table1[[#This Row],[Name]], Designation!$A$2:$B$84, 2,FALSE), "Family")</f>
        <v>Family</v>
      </c>
      <c r="E8" s="536" t="s">
        <v>230</v>
      </c>
      <c r="F8" s="537">
        <v>39355771</v>
      </c>
      <c r="G8" s="537">
        <v>0</v>
      </c>
      <c r="H8" s="537">
        <v>0</v>
      </c>
      <c r="I8" s="538">
        <v>29542590</v>
      </c>
      <c r="J8" s="539">
        <f>Table1[[#This Row],[Total Share]]/1476548475</f>
        <v>2.0007870043006883E-2</v>
      </c>
    </row>
    <row r="9" spans="2:12" ht="27" customHeight="1" x14ac:dyDescent="0.3">
      <c r="B9" s="534" t="s">
        <v>795</v>
      </c>
      <c r="C9" s="530" t="s">
        <v>502</v>
      </c>
      <c r="D9" s="535" t="str">
        <f>IFERROR(VLOOKUP(Table1[[#This Row],[Name]], Designation!$A$2:$B$84, 2,FALSE), "Family")</f>
        <v>Family</v>
      </c>
      <c r="E9" s="536" t="s">
        <v>21</v>
      </c>
      <c r="F9" s="537">
        <v>13995775</v>
      </c>
      <c r="G9" s="537">
        <v>0</v>
      </c>
      <c r="H9" s="537">
        <v>0</v>
      </c>
      <c r="I9" s="538">
        <v>18911203</v>
      </c>
      <c r="J9" s="539">
        <f>Table1[[#This Row],[Total Share]]/1476548475</f>
        <v>1.2807708869835784E-2</v>
      </c>
    </row>
    <row r="10" spans="2:12" ht="27" customHeight="1" x14ac:dyDescent="0.3">
      <c r="B10" s="534" t="s">
        <v>795</v>
      </c>
      <c r="C10" s="530" t="s">
        <v>502</v>
      </c>
      <c r="D10" s="535" t="str">
        <f>IFERROR(VLOOKUP(Table1[[#This Row],[Name]], Designation!$A$2:$B$84, 2,FALSE), "Family")</f>
        <v>Family</v>
      </c>
      <c r="E10" s="536" t="s">
        <v>22</v>
      </c>
      <c r="F10" s="537">
        <v>3908991</v>
      </c>
      <c r="G10" s="537">
        <v>0</v>
      </c>
      <c r="H10" s="537">
        <v>0</v>
      </c>
      <c r="I10" s="538">
        <v>154079</v>
      </c>
      <c r="J10" s="539">
        <f>Table1[[#This Row],[Total Share]]/1476548475</f>
        <v>1.043507901086688E-4</v>
      </c>
    </row>
    <row r="11" spans="2:12" ht="27" customHeight="1" x14ac:dyDescent="0.3">
      <c r="B11" s="534" t="s">
        <v>795</v>
      </c>
      <c r="C11" s="530" t="s">
        <v>502</v>
      </c>
      <c r="D11" s="535" t="str">
        <f>IFERROR(VLOOKUP(Table1[[#This Row],[Name]], Designation!$A$2:$B$84, 2,FALSE), "Family")</f>
        <v>Family</v>
      </c>
      <c r="E11" s="536" t="s">
        <v>23</v>
      </c>
      <c r="F11" s="537">
        <v>3346547</v>
      </c>
      <c r="G11" s="537">
        <v>0</v>
      </c>
      <c r="H11" s="537">
        <v>0</v>
      </c>
      <c r="I11" s="538">
        <v>11205810</v>
      </c>
      <c r="J11" s="539">
        <f>Table1[[#This Row],[Total Share]]/1476548475</f>
        <v>7.5891920852784733E-3</v>
      </c>
    </row>
    <row r="12" spans="2:12" ht="27" customHeight="1" x14ac:dyDescent="0.3">
      <c r="B12" s="534" t="s">
        <v>272</v>
      </c>
      <c r="C12" s="530" t="s">
        <v>811</v>
      </c>
      <c r="D12" s="535" t="str">
        <f>IFERROR(VLOOKUP(Table1[[#This Row],[Name]], Designation!$A$2:$B$84, 2,FALSE), "Family")</f>
        <v>Director</v>
      </c>
      <c r="E12" s="536" t="s">
        <v>8</v>
      </c>
      <c r="F12" s="537">
        <v>761728</v>
      </c>
      <c r="G12" s="537">
        <v>0</v>
      </c>
      <c r="H12" s="537">
        <v>0</v>
      </c>
      <c r="I12" s="538">
        <v>41323559</v>
      </c>
      <c r="J12" s="539">
        <f>Table1[[#This Row],[Total Share]]/1476548475</f>
        <v>2.7986591500153764E-2</v>
      </c>
    </row>
    <row r="13" spans="2:12" ht="27" customHeight="1" x14ac:dyDescent="0.3">
      <c r="B13" s="534" t="s">
        <v>789</v>
      </c>
      <c r="C13" s="530" t="s">
        <v>811</v>
      </c>
      <c r="D13" s="535" t="str">
        <f>IFERROR(VLOOKUP(Table1[[#This Row],[Name]], Designation!$A$2:$B$84, 2,FALSE), "Family")</f>
        <v>Family</v>
      </c>
      <c r="E13" s="536" t="s">
        <v>475</v>
      </c>
      <c r="F13" s="537">
        <v>1353349</v>
      </c>
      <c r="G13" s="537">
        <v>0</v>
      </c>
      <c r="H13" s="537">
        <v>0</v>
      </c>
      <c r="I13" s="538">
        <v>115211</v>
      </c>
      <c r="J13" s="539">
        <f>Table1[[#This Row],[Total Share]]/1476548475</f>
        <v>7.8027238489410244E-5</v>
      </c>
    </row>
    <row r="14" spans="2:12" ht="27" customHeight="1" x14ac:dyDescent="0.3">
      <c r="B14" s="534" t="s">
        <v>789</v>
      </c>
      <c r="C14" s="530" t="s">
        <v>811</v>
      </c>
      <c r="D14" s="535" t="str">
        <f>IFERROR(VLOOKUP(Table1[[#This Row],[Name]], Designation!$A$2:$B$84, 2,FALSE), "Family")</f>
        <v>Family</v>
      </c>
      <c r="E14" s="536" t="s">
        <v>473</v>
      </c>
      <c r="F14" s="537">
        <v>5883049</v>
      </c>
      <c r="G14" s="537">
        <v>0</v>
      </c>
      <c r="H14" s="537">
        <v>0</v>
      </c>
      <c r="I14" s="538">
        <v>5984778</v>
      </c>
      <c r="J14" s="539">
        <f>Table1[[#This Row],[Total Share]]/1476548475</f>
        <v>4.0532214832973909E-3</v>
      </c>
    </row>
    <row r="15" spans="2:12" ht="27" customHeight="1" x14ac:dyDescent="0.3">
      <c r="B15" s="534" t="s">
        <v>796</v>
      </c>
      <c r="C15" s="530" t="s">
        <v>811</v>
      </c>
      <c r="D15" s="535" t="str">
        <f>IFERROR(VLOOKUP(Table1[[#This Row],[Name]], Designation!$A$2:$B$84, 2,FALSE), "Family")</f>
        <v>Family</v>
      </c>
      <c r="E15" s="536" t="s">
        <v>486</v>
      </c>
      <c r="F15" s="537">
        <v>1291163</v>
      </c>
      <c r="G15" s="537">
        <v>0</v>
      </c>
      <c r="H15" s="537">
        <v>0</v>
      </c>
      <c r="I15" s="538">
        <v>18042797</v>
      </c>
      <c r="J15" s="539">
        <f>Table1[[#This Row],[Total Share]]/1476548475</f>
        <v>1.2219576468696702E-2</v>
      </c>
    </row>
    <row r="16" spans="2:12" ht="27" customHeight="1" x14ac:dyDescent="0.3">
      <c r="B16" s="534" t="s">
        <v>705</v>
      </c>
      <c r="C16" s="530" t="s">
        <v>812</v>
      </c>
      <c r="D16" s="535" t="str">
        <f>IFERROR(VLOOKUP(Table1[[#This Row],[Name]], Designation!$A$2:$B$84, 2,FALSE), "Family")</f>
        <v>Director</v>
      </c>
      <c r="E16" s="536" t="s">
        <v>10</v>
      </c>
      <c r="F16" s="537">
        <v>9432396</v>
      </c>
      <c r="G16" s="537">
        <v>0</v>
      </c>
      <c r="H16" s="537">
        <v>0</v>
      </c>
      <c r="I16" s="538">
        <v>3063</v>
      </c>
      <c r="J16" s="539">
        <f>Table1[[#This Row],[Total Share]]/1476548475</f>
        <v>2.0744324022277697E-6</v>
      </c>
    </row>
    <row r="17" spans="2:10" ht="27" customHeight="1" x14ac:dyDescent="0.3">
      <c r="B17" s="534" t="s">
        <v>705</v>
      </c>
      <c r="C17" s="530" t="s">
        <v>812</v>
      </c>
      <c r="D17" s="535" t="str">
        <f>IFERROR(VLOOKUP(Table1[[#This Row],[Name]], Designation!$A$2:$B$84, 2,FALSE), "Family")</f>
        <v>Director</v>
      </c>
      <c r="E17" s="536" t="s">
        <v>12</v>
      </c>
      <c r="F17" s="537">
        <v>8404357</v>
      </c>
      <c r="G17" s="537">
        <v>0</v>
      </c>
      <c r="H17" s="537">
        <v>0</v>
      </c>
      <c r="I17" s="538">
        <v>41647858</v>
      </c>
      <c r="J17" s="539">
        <f>Table1[[#This Row],[Total Share]]/1476548475</f>
        <v>2.8206224655103179E-2</v>
      </c>
    </row>
    <row r="18" spans="2:10" ht="27" customHeight="1" x14ac:dyDescent="0.3">
      <c r="B18" s="534" t="s">
        <v>713</v>
      </c>
      <c r="C18" s="530" t="s">
        <v>813</v>
      </c>
      <c r="D18" s="535" t="str">
        <f>IFERROR(VLOOKUP(Table1[[#This Row],[Name]], Designation!$A$2:$B$84, 2,FALSE), "Family")</f>
        <v>Family</v>
      </c>
      <c r="E18" s="536" t="s">
        <v>4</v>
      </c>
      <c r="F18" s="537">
        <v>5131350</v>
      </c>
      <c r="G18" s="537">
        <v>0</v>
      </c>
      <c r="H18" s="537">
        <v>0</v>
      </c>
      <c r="I18" s="538">
        <v>8675670</v>
      </c>
      <c r="J18" s="539">
        <f>Table1[[#This Row],[Total Share]]/1476548475</f>
        <v>5.8756418410171058E-3</v>
      </c>
    </row>
    <row r="19" spans="2:10" ht="27" customHeight="1" x14ac:dyDescent="0.3">
      <c r="B19" s="534" t="s">
        <v>785</v>
      </c>
      <c r="C19" s="530" t="s">
        <v>813</v>
      </c>
      <c r="D19" s="535" t="str">
        <f>IFERROR(VLOOKUP(Table1[[#This Row],[Name]], Designation!$A$2:$B$84, 2,FALSE), "Family")</f>
        <v>Family</v>
      </c>
      <c r="E19" s="536" t="s">
        <v>15</v>
      </c>
      <c r="F19" s="537">
        <v>5213791</v>
      </c>
      <c r="G19" s="537">
        <v>0</v>
      </c>
      <c r="H19" s="537">
        <v>0</v>
      </c>
      <c r="I19" s="538">
        <v>1413</v>
      </c>
      <c r="J19" s="539">
        <f>Table1[[#This Row],[Total Share]]/1476548475</f>
        <v>9.569614705673648E-7</v>
      </c>
    </row>
    <row r="20" spans="2:10" ht="27" customHeight="1" x14ac:dyDescent="0.3">
      <c r="B20" s="534" t="s">
        <v>786</v>
      </c>
      <c r="C20" s="530" t="s">
        <v>813</v>
      </c>
      <c r="D20" s="535" t="str">
        <f>IFERROR(VLOOKUP(Table1[[#This Row],[Name]], Designation!$A$2:$B$84, 2,FALSE), "Family")</f>
        <v>Former Director</v>
      </c>
      <c r="E20" s="536" t="s">
        <v>17</v>
      </c>
      <c r="F20" s="537">
        <v>18927355</v>
      </c>
      <c r="G20" s="537">
        <v>0</v>
      </c>
      <c r="H20" s="537">
        <v>0</v>
      </c>
      <c r="I20" s="538">
        <v>1270</v>
      </c>
      <c r="J20" s="539">
        <f>Table1[[#This Row],[Total Share]]/1476548475</f>
        <v>8.6011398982346315E-7</v>
      </c>
    </row>
    <row r="21" spans="2:10" ht="27" customHeight="1" x14ac:dyDescent="0.3">
      <c r="B21" s="534" t="s">
        <v>827</v>
      </c>
      <c r="C21" s="530" t="s">
        <v>813</v>
      </c>
      <c r="D21" s="535" t="str">
        <f>IFERROR(VLOOKUP(Table1[[#This Row],[Name]], Designation!$A$2:$B$84, 2,FALSE), "Family")</f>
        <v>Director</v>
      </c>
      <c r="E21" s="536" t="s">
        <v>19</v>
      </c>
      <c r="F21" s="537">
        <v>168086</v>
      </c>
      <c r="G21" s="537">
        <v>0</v>
      </c>
      <c r="H21" s="537">
        <v>0</v>
      </c>
      <c r="I21" s="538">
        <v>1340</v>
      </c>
      <c r="J21" s="539">
        <f>Table1[[#This Row],[Total Share]]/1476548475</f>
        <v>9.0752184753026819E-7</v>
      </c>
    </row>
    <row r="22" spans="2:10" ht="27" customHeight="1" x14ac:dyDescent="0.3">
      <c r="B22" s="534" t="s">
        <v>366</v>
      </c>
      <c r="C22" s="530" t="s">
        <v>813</v>
      </c>
      <c r="D22" s="535" t="str">
        <f>IFERROR(VLOOKUP(Table1[[#This Row],[Name]], Designation!$A$2:$B$84, 2,FALSE), "Family")</f>
        <v>Family</v>
      </c>
      <c r="E22" s="536" t="s">
        <v>25</v>
      </c>
      <c r="F22" s="537">
        <v>9034971</v>
      </c>
      <c r="G22" s="537">
        <v>0</v>
      </c>
      <c r="H22" s="537">
        <v>0</v>
      </c>
      <c r="I22" s="538">
        <v>29531510</v>
      </c>
      <c r="J22" s="539">
        <f>Table1[[#This Row],[Total Share]]/1476548475</f>
        <v>2.0000366056387008E-2</v>
      </c>
    </row>
    <row r="23" spans="2:10" ht="27" customHeight="1" x14ac:dyDescent="0.3">
      <c r="B23" s="534" t="s">
        <v>797</v>
      </c>
      <c r="C23" s="530" t="s">
        <v>813</v>
      </c>
      <c r="D23" s="535" t="str">
        <f>IFERROR(VLOOKUP(Table1[[#This Row],[Name]], Designation!$A$2:$B$84, 2,FALSE), "Family")</f>
        <v>Family</v>
      </c>
      <c r="E23" s="536" t="s">
        <v>24</v>
      </c>
      <c r="F23" s="537">
        <v>2918</v>
      </c>
      <c r="G23" s="537">
        <v>0</v>
      </c>
      <c r="H23" s="537">
        <v>0</v>
      </c>
      <c r="I23" s="538">
        <v>29555323</v>
      </c>
      <c r="J23" s="539">
        <f>Table1[[#This Row],[Total Share]]/1476548475</f>
        <v>2.0016493532323751E-2</v>
      </c>
    </row>
    <row r="24" spans="2:10" ht="27" customHeight="1" x14ac:dyDescent="0.3">
      <c r="B24" s="534" t="s">
        <v>708</v>
      </c>
      <c r="C24" s="530" t="s">
        <v>814</v>
      </c>
      <c r="D24" s="535" t="str">
        <f>IFERROR(VLOOKUP(Table1[[#This Row],[Name]], Designation!$A$2:$B$84, 2,FALSE), "Family")</f>
        <v>Director</v>
      </c>
      <c r="E24" s="536" t="s">
        <v>188</v>
      </c>
      <c r="F24" s="537">
        <v>39664627</v>
      </c>
      <c r="G24" s="537">
        <v>0</v>
      </c>
      <c r="H24" s="537">
        <v>0</v>
      </c>
      <c r="I24" s="538">
        <v>14695563</v>
      </c>
      <c r="J24" s="539">
        <f>Table1[[#This Row],[Total Share]]/1476548475</f>
        <v>9.9526451375055603E-3</v>
      </c>
    </row>
    <row r="25" spans="2:10" ht="27" customHeight="1" x14ac:dyDescent="0.3">
      <c r="B25" s="534" t="s">
        <v>708</v>
      </c>
      <c r="C25" s="530" t="s">
        <v>814</v>
      </c>
      <c r="D25" s="535" t="str">
        <f>IFERROR(VLOOKUP(Table1[[#This Row],[Name]], Designation!$A$2:$B$84, 2,FALSE), "Family")</f>
        <v>Director</v>
      </c>
      <c r="E25" s="536" t="s">
        <v>189</v>
      </c>
      <c r="F25" s="537">
        <v>30372582</v>
      </c>
      <c r="G25" s="537">
        <v>0</v>
      </c>
      <c r="H25" s="537">
        <v>0</v>
      </c>
      <c r="I25" s="538">
        <v>4104440</v>
      </c>
      <c r="J25" s="539">
        <f>Table1[[#This Row],[Total Share]]/1476548475</f>
        <v>2.7797529640874136E-3</v>
      </c>
    </row>
    <row r="26" spans="2:10" ht="27" customHeight="1" x14ac:dyDescent="0.3">
      <c r="B26" s="534" t="s">
        <v>708</v>
      </c>
      <c r="C26" s="530" t="s">
        <v>814</v>
      </c>
      <c r="D26" s="535" t="str">
        <f>IFERROR(VLOOKUP(Table1[[#This Row],[Name]], Designation!$A$2:$B$84, 2,FALSE), "Family")</f>
        <v>Director</v>
      </c>
      <c r="E26" s="536" t="s">
        <v>191</v>
      </c>
      <c r="F26" s="537">
        <v>26960495</v>
      </c>
      <c r="G26" s="537">
        <v>0</v>
      </c>
      <c r="H26" s="537">
        <v>0</v>
      </c>
      <c r="I26" s="538">
        <v>799814</v>
      </c>
      <c r="J26" s="539">
        <f>Table1[[#This Row],[Total Share]]/1476548475</f>
        <v>5.4167811862729394E-4</v>
      </c>
    </row>
    <row r="27" spans="2:10" ht="27" customHeight="1" x14ac:dyDescent="0.3">
      <c r="B27" s="534" t="s">
        <v>708</v>
      </c>
      <c r="C27" s="530" t="s">
        <v>814</v>
      </c>
      <c r="D27" s="535" t="str">
        <f>IFERROR(VLOOKUP(Table1[[#This Row],[Name]], Designation!$A$2:$B$84, 2,FALSE), "Family")</f>
        <v>Director</v>
      </c>
      <c r="E27" s="536" t="s">
        <v>193</v>
      </c>
      <c r="F27" s="537">
        <v>1167170</v>
      </c>
      <c r="G27" s="537">
        <v>0</v>
      </c>
      <c r="H27" s="537">
        <v>0</v>
      </c>
      <c r="I27" s="538">
        <v>6177201</v>
      </c>
      <c r="J27" s="539">
        <f>Table1[[#This Row],[Total Share]]/1476548475</f>
        <v>4.1835409433476269E-3</v>
      </c>
    </row>
    <row r="28" spans="2:10" ht="27" customHeight="1" x14ac:dyDescent="0.3">
      <c r="B28" s="534" t="s">
        <v>708</v>
      </c>
      <c r="C28" s="530" t="s">
        <v>814</v>
      </c>
      <c r="D28" s="535" t="str">
        <f>IFERROR(VLOOKUP(Table1[[#This Row],[Name]], Designation!$A$2:$B$84, 2,FALSE), "Family")</f>
        <v>Director</v>
      </c>
      <c r="E28" s="536" t="s">
        <v>194</v>
      </c>
      <c r="F28" s="537">
        <v>8262543</v>
      </c>
      <c r="G28" s="537">
        <v>0</v>
      </c>
      <c r="H28" s="537">
        <v>0</v>
      </c>
      <c r="I28" s="538">
        <v>1355721</v>
      </c>
      <c r="J28" s="539">
        <f>Table1[[#This Row],[Total Share]]/1476548475</f>
        <v>9.1816897511610648E-4</v>
      </c>
    </row>
    <row r="29" spans="2:10" ht="27" customHeight="1" x14ac:dyDescent="0.3">
      <c r="B29" s="534" t="s">
        <v>708</v>
      </c>
      <c r="C29" s="530" t="s">
        <v>814</v>
      </c>
      <c r="D29" s="535" t="str">
        <f>IFERROR(VLOOKUP(Table1[[#This Row],[Name]], Designation!$A$2:$B$84, 2,FALSE), "Family")</f>
        <v>Director</v>
      </c>
      <c r="E29" s="536" t="s">
        <v>190</v>
      </c>
      <c r="F29" s="537">
        <v>504815</v>
      </c>
      <c r="G29" s="537">
        <v>0</v>
      </c>
      <c r="H29" s="537">
        <v>0</v>
      </c>
      <c r="I29" s="538">
        <v>3513874</v>
      </c>
      <c r="J29" s="539">
        <f>Table1[[#This Row],[Total Share]]/1476548475</f>
        <v>2.3797891227377416E-3</v>
      </c>
    </row>
    <row r="30" spans="2:10" ht="27" customHeight="1" x14ac:dyDescent="0.3">
      <c r="B30" s="534" t="s">
        <v>708</v>
      </c>
      <c r="C30" s="530" t="s">
        <v>814</v>
      </c>
      <c r="D30" s="535" t="str">
        <f>IFERROR(VLOOKUP(Table1[[#This Row],[Name]], Designation!$A$2:$B$84, 2,FALSE), "Family")</f>
        <v>Director</v>
      </c>
      <c r="E30" s="536" t="s">
        <v>192</v>
      </c>
      <c r="F30" s="537">
        <v>632</v>
      </c>
      <c r="G30" s="537">
        <v>0</v>
      </c>
      <c r="H30" s="537">
        <v>0</v>
      </c>
      <c r="I30" s="538">
        <v>1421016</v>
      </c>
      <c r="J30" s="539">
        <f>Table1[[#This Row],[Total Share]]/1476548475</f>
        <v>9.6239034752990419E-4</v>
      </c>
    </row>
    <row r="31" spans="2:10" ht="27" customHeight="1" x14ac:dyDescent="0.3">
      <c r="B31" s="534" t="s">
        <v>730</v>
      </c>
      <c r="C31" s="530" t="s">
        <v>814</v>
      </c>
      <c r="D31" s="535" t="str">
        <f>IFERROR(VLOOKUP(Table1[[#This Row],[Name]], Designation!$A$2:$B$84, 2,FALSE), "Family")</f>
        <v>Family</v>
      </c>
      <c r="E31" s="536" t="s">
        <v>205</v>
      </c>
      <c r="F31" s="537">
        <v>1970</v>
      </c>
      <c r="G31" s="537">
        <v>0</v>
      </c>
      <c r="H31" s="537">
        <v>0</v>
      </c>
      <c r="I31" s="538">
        <v>186784</v>
      </c>
      <c r="J31" s="539">
        <f>Table1[[#This Row],[Total Share]]/1476548475</f>
        <v>1.2650041848439822E-4</v>
      </c>
    </row>
    <row r="32" spans="2:10" ht="27" customHeight="1" x14ac:dyDescent="0.3">
      <c r="B32" s="534" t="s">
        <v>730</v>
      </c>
      <c r="C32" s="530" t="s">
        <v>814</v>
      </c>
      <c r="D32" s="535" t="str">
        <f>IFERROR(VLOOKUP(Table1[[#This Row],[Name]], Designation!$A$2:$B$84, 2,FALSE), "Family")</f>
        <v>Family</v>
      </c>
      <c r="E32" s="536" t="s">
        <v>206</v>
      </c>
      <c r="F32" s="537">
        <v>109725</v>
      </c>
      <c r="G32" s="537">
        <v>0</v>
      </c>
      <c r="H32" s="537">
        <v>0</v>
      </c>
      <c r="I32" s="538">
        <v>3646</v>
      </c>
      <c r="J32" s="539">
        <f>Table1[[#This Row],[Total Share]]/1476548475</f>
        <v>2.4692721314144461E-6</v>
      </c>
    </row>
    <row r="33" spans="2:10" ht="27" customHeight="1" x14ac:dyDescent="0.3">
      <c r="B33" s="534" t="s">
        <v>730</v>
      </c>
      <c r="C33" s="530" t="s">
        <v>814</v>
      </c>
      <c r="D33" s="535" t="str">
        <f>IFERROR(VLOOKUP(Table1[[#This Row],[Name]], Designation!$A$2:$B$84, 2,FALSE), "Family")</f>
        <v>Family</v>
      </c>
      <c r="E33" s="536" t="s">
        <v>207</v>
      </c>
      <c r="F33" s="537">
        <v>1277</v>
      </c>
      <c r="G33" s="537">
        <v>0</v>
      </c>
      <c r="H33" s="537">
        <v>0</v>
      </c>
      <c r="I33" s="538">
        <v>20000</v>
      </c>
      <c r="J33" s="539">
        <f>Table1[[#This Row],[Total Share]]/1476548475</f>
        <v>1.3545102201944302E-5</v>
      </c>
    </row>
    <row r="34" spans="2:10" ht="27" customHeight="1" x14ac:dyDescent="0.3">
      <c r="B34" s="534" t="s">
        <v>730</v>
      </c>
      <c r="C34" s="530" t="s">
        <v>814</v>
      </c>
      <c r="D34" s="535" t="str">
        <f>IFERROR(VLOOKUP(Table1[[#This Row],[Name]], Designation!$A$2:$B$84, 2,FALSE), "Family")</f>
        <v>Family</v>
      </c>
      <c r="E34" s="536" t="s">
        <v>208</v>
      </c>
      <c r="F34" s="537">
        <v>1210</v>
      </c>
      <c r="G34" s="537">
        <v>0</v>
      </c>
      <c r="H34" s="537">
        <v>0</v>
      </c>
      <c r="I34" s="538">
        <v>168087</v>
      </c>
      <c r="J34" s="539">
        <f>Table1[[#This Row],[Total Share]]/1476548475</f>
        <v>1.1383777969091059E-4</v>
      </c>
    </row>
    <row r="35" spans="2:10" ht="27" customHeight="1" x14ac:dyDescent="0.3">
      <c r="B35" s="534" t="s">
        <v>730</v>
      </c>
      <c r="C35" s="530" t="s">
        <v>814</v>
      </c>
      <c r="D35" s="535" t="str">
        <f>IFERROR(VLOOKUP(Table1[[#This Row],[Name]], Designation!$A$2:$B$84, 2,FALSE), "Family")</f>
        <v>Family</v>
      </c>
      <c r="E35" s="536" t="s">
        <v>209</v>
      </c>
      <c r="F35" s="537">
        <v>14521000</v>
      </c>
      <c r="G35" s="537">
        <v>0</v>
      </c>
      <c r="H35" s="537">
        <v>0</v>
      </c>
      <c r="I35" s="538">
        <v>890</v>
      </c>
      <c r="J35" s="539">
        <f>Table1[[#This Row],[Total Share]]/1476548475</f>
        <v>6.0275704798652139E-7</v>
      </c>
    </row>
    <row r="36" spans="2:10" ht="27" customHeight="1" x14ac:dyDescent="0.3">
      <c r="B36" s="534" t="s">
        <v>729</v>
      </c>
      <c r="C36" s="530" t="s">
        <v>814</v>
      </c>
      <c r="D36" s="535" t="str">
        <f>IFERROR(VLOOKUP(Table1[[#This Row],[Name]], Designation!$A$2:$B$84, 2,FALSE), "Family")</f>
        <v>Family</v>
      </c>
      <c r="E36" s="536" t="s">
        <v>196</v>
      </c>
      <c r="F36" s="537">
        <v>1346</v>
      </c>
      <c r="G36" s="537">
        <v>0</v>
      </c>
      <c r="H36" s="537">
        <v>0</v>
      </c>
      <c r="I36" s="538">
        <v>1887945</v>
      </c>
      <c r="J36" s="539">
        <f>Table1[[#This Row],[Total Share]]/1476548475</f>
        <v>1.2786203988324866E-3</v>
      </c>
    </row>
    <row r="37" spans="2:10" ht="27" customHeight="1" x14ac:dyDescent="0.3">
      <c r="B37" s="534" t="s">
        <v>729</v>
      </c>
      <c r="C37" s="530" t="s">
        <v>814</v>
      </c>
      <c r="D37" s="535" t="str">
        <f>IFERROR(VLOOKUP(Table1[[#This Row],[Name]], Designation!$A$2:$B$84, 2,FALSE), "Family")</f>
        <v>Family</v>
      </c>
      <c r="E37" s="536" t="s">
        <v>198</v>
      </c>
      <c r="F37" s="537">
        <v>1065000</v>
      </c>
      <c r="G37" s="537">
        <v>0</v>
      </c>
      <c r="H37" s="537">
        <v>0</v>
      </c>
      <c r="I37" s="538">
        <v>1287360</v>
      </c>
      <c r="J37" s="539">
        <f>Table1[[#This Row],[Total Share]]/1476548475</f>
        <v>8.7187113853475081E-4</v>
      </c>
    </row>
    <row r="38" spans="2:10" ht="27" customHeight="1" x14ac:dyDescent="0.3">
      <c r="B38" s="534" t="s">
        <v>729</v>
      </c>
      <c r="C38" s="530" t="s">
        <v>814</v>
      </c>
      <c r="D38" s="535" t="str">
        <f>IFERROR(VLOOKUP(Table1[[#This Row],[Name]], Designation!$A$2:$B$84, 2,FALSE), "Family")</f>
        <v>Family</v>
      </c>
      <c r="E38" s="536" t="s">
        <v>199</v>
      </c>
      <c r="F38" s="537">
        <v>1559137</v>
      </c>
      <c r="G38" s="537">
        <v>0</v>
      </c>
      <c r="H38" s="537">
        <v>0</v>
      </c>
      <c r="I38" s="538">
        <v>7864932</v>
      </c>
      <c r="J38" s="539">
        <f>Table1[[#This Row],[Total Share]]/1476548475</f>
        <v>5.3265653875671096E-3</v>
      </c>
    </row>
    <row r="39" spans="2:10" ht="27" customHeight="1" x14ac:dyDescent="0.3">
      <c r="B39" s="534" t="s">
        <v>729</v>
      </c>
      <c r="C39" s="530" t="s">
        <v>814</v>
      </c>
      <c r="D39" s="535" t="str">
        <f>IFERROR(VLOOKUP(Table1[[#This Row],[Name]], Designation!$A$2:$B$84, 2,FALSE), "Family")</f>
        <v>Family</v>
      </c>
      <c r="E39" s="536" t="s">
        <v>200</v>
      </c>
      <c r="F39" s="537">
        <v>6646</v>
      </c>
      <c r="G39" s="537">
        <v>28400</v>
      </c>
      <c r="H39" s="537">
        <v>2840</v>
      </c>
      <c r="I39" s="538">
        <v>15292378</v>
      </c>
      <c r="J39" s="539">
        <f>Table1[[#This Row],[Total Share]]/1476548475</f>
        <v>1.0356841146038229E-2</v>
      </c>
    </row>
    <row r="40" spans="2:10" ht="27" customHeight="1" x14ac:dyDescent="0.3">
      <c r="B40" s="540" t="s">
        <v>729</v>
      </c>
      <c r="C40" s="541" t="s">
        <v>814</v>
      </c>
      <c r="D40" s="542" t="str">
        <f>IFERROR(VLOOKUP(Table1[[#This Row],[Name]], Designation!$A$2:$B$84, 2,FALSE), "Family")</f>
        <v>Family</v>
      </c>
      <c r="E40" s="536" t="s">
        <v>203</v>
      </c>
      <c r="F40" s="537">
        <v>1772885</v>
      </c>
      <c r="G40" s="537">
        <v>0</v>
      </c>
      <c r="H40" s="537">
        <v>0</v>
      </c>
      <c r="I40" s="538">
        <v>4217626</v>
      </c>
      <c r="J40" s="539">
        <f>Table1[[#This Row],[Total Share]]/1476548475</f>
        <v>2.8564087609788767E-3</v>
      </c>
    </row>
    <row r="41" spans="2:10" ht="27" customHeight="1" x14ac:dyDescent="0.3">
      <c r="B41" s="529" t="s">
        <v>798</v>
      </c>
      <c r="C41" s="543" t="s">
        <v>814</v>
      </c>
      <c r="D41" s="544" t="str">
        <f>IFERROR(VLOOKUP(Table1[[#This Row],[Name]], Designation!$A$2:$B$84, 2,FALSE), "Family")</f>
        <v>Family</v>
      </c>
      <c r="E41" s="536" t="s">
        <v>490</v>
      </c>
      <c r="F41" s="537">
        <v>4969373</v>
      </c>
      <c r="G41" s="537">
        <v>0</v>
      </c>
      <c r="H41" s="537">
        <v>0</v>
      </c>
      <c r="I41" s="538">
        <v>138249</v>
      </c>
      <c r="J41" s="539">
        <f>Table1[[#This Row],[Total Share]]/1476548475</f>
        <v>9.3629841715829883E-5</v>
      </c>
    </row>
    <row r="42" spans="2:10" ht="27" customHeight="1" x14ac:dyDescent="0.3">
      <c r="B42" s="529" t="s">
        <v>798</v>
      </c>
      <c r="C42" s="543" t="s">
        <v>814</v>
      </c>
      <c r="D42" s="544" t="str">
        <f>IFERROR(VLOOKUP(Table1[[#This Row],[Name]], Designation!$A$2:$B$84, 2,FALSE), "Family")</f>
        <v>Family</v>
      </c>
      <c r="E42" s="536" t="s">
        <v>491</v>
      </c>
      <c r="F42" s="537">
        <v>3866003</v>
      </c>
      <c r="G42" s="537">
        <v>0</v>
      </c>
      <c r="H42" s="537">
        <v>0</v>
      </c>
      <c r="I42" s="538">
        <v>86226</v>
      </c>
      <c r="J42" s="539">
        <f>Table1[[#This Row],[Total Share]]/1476548475</f>
        <v>5.8396999123242468E-5</v>
      </c>
    </row>
    <row r="43" spans="2:10" ht="27" customHeight="1" x14ac:dyDescent="0.3">
      <c r="B43" s="529" t="s">
        <v>798</v>
      </c>
      <c r="C43" s="543" t="s">
        <v>814</v>
      </c>
      <c r="D43" s="544" t="str">
        <f>IFERROR(VLOOKUP(Table1[[#This Row],[Name]], Designation!$A$2:$B$84, 2,FALSE), "Family")</f>
        <v>Family</v>
      </c>
      <c r="E43" s="536" t="s">
        <v>492</v>
      </c>
      <c r="F43" s="537">
        <v>9216966</v>
      </c>
      <c r="G43" s="537">
        <v>0</v>
      </c>
      <c r="H43" s="537">
        <v>0</v>
      </c>
      <c r="I43" s="538">
        <v>195657</v>
      </c>
      <c r="J43" s="539">
        <f>Table1[[#This Row],[Total Share]]/1476548475</f>
        <v>1.3250970307629082E-4</v>
      </c>
    </row>
    <row r="44" spans="2:10" ht="27" customHeight="1" x14ac:dyDescent="0.3">
      <c r="B44" s="529" t="s">
        <v>798</v>
      </c>
      <c r="C44" s="543" t="s">
        <v>814</v>
      </c>
      <c r="D44" s="544" t="str">
        <f>IFERROR(VLOOKUP(Table1[[#This Row],[Name]], Designation!$A$2:$B$84, 2,FALSE), "Family")</f>
        <v>Family</v>
      </c>
      <c r="E44" s="536" t="s">
        <v>213</v>
      </c>
      <c r="F44" s="537">
        <v>4202178</v>
      </c>
      <c r="G44" s="537">
        <v>0</v>
      </c>
      <c r="H44" s="537">
        <v>0</v>
      </c>
      <c r="I44" s="538">
        <v>176581</v>
      </c>
      <c r="J44" s="539">
        <f>Table1[[#This Row],[Total Share]]/1476548475</f>
        <v>1.1959038459607634E-4</v>
      </c>
    </row>
    <row r="45" spans="2:10" ht="27" customHeight="1" x14ac:dyDescent="0.3">
      <c r="B45" s="529" t="s">
        <v>731</v>
      </c>
      <c r="C45" s="543" t="s">
        <v>814</v>
      </c>
      <c r="D45" s="544" t="str">
        <f>IFERROR(VLOOKUP(Table1[[#This Row],[Name]], Designation!$A$2:$B$84, 2,FALSE), "Family")</f>
        <v>Family</v>
      </c>
      <c r="E45" s="536" t="s">
        <v>212</v>
      </c>
      <c r="F45" s="537">
        <v>865550</v>
      </c>
      <c r="G45" s="537">
        <v>0</v>
      </c>
      <c r="H45" s="537">
        <v>0</v>
      </c>
      <c r="I45" s="538">
        <v>1320</v>
      </c>
      <c r="J45" s="539">
        <f>Table1[[#This Row],[Total Share]]/1476548475</f>
        <v>8.9397674532832391E-7</v>
      </c>
    </row>
    <row r="46" spans="2:10" ht="27" customHeight="1" x14ac:dyDescent="0.3">
      <c r="B46" s="529" t="s">
        <v>731</v>
      </c>
      <c r="C46" s="543" t="s">
        <v>814</v>
      </c>
      <c r="D46" s="544" t="str">
        <f>IFERROR(VLOOKUP(Table1[[#This Row],[Name]], Designation!$A$2:$B$84, 2,FALSE), "Family")</f>
        <v>Family</v>
      </c>
      <c r="E46" s="536" t="s">
        <v>214</v>
      </c>
      <c r="F46" s="537">
        <v>2523538</v>
      </c>
      <c r="G46" s="537">
        <v>0</v>
      </c>
      <c r="H46" s="537">
        <v>0</v>
      </c>
      <c r="I46" s="538">
        <v>226621</v>
      </c>
      <c r="J46" s="539">
        <f>Table1[[#This Row],[Total Share]]/1476548475</f>
        <v>1.5348023030534096E-4</v>
      </c>
    </row>
    <row r="47" spans="2:10" ht="27" customHeight="1" x14ac:dyDescent="0.3">
      <c r="B47" s="529" t="s">
        <v>731</v>
      </c>
      <c r="C47" s="543" t="s">
        <v>814</v>
      </c>
      <c r="D47" s="544" t="str">
        <f>IFERROR(VLOOKUP(Table1[[#This Row],[Name]], Designation!$A$2:$B$84, 2,FALSE), "Family")</f>
        <v>Family</v>
      </c>
      <c r="E47" s="536" t="s">
        <v>215</v>
      </c>
      <c r="F47" s="537">
        <v>133268</v>
      </c>
      <c r="G47" s="537">
        <v>0</v>
      </c>
      <c r="H47" s="537">
        <v>0</v>
      </c>
      <c r="I47" s="538">
        <v>130896</v>
      </c>
      <c r="J47" s="539">
        <f>Table1[[#This Row],[Total Share]]/1476548475</f>
        <v>8.8649984891285062E-5</v>
      </c>
    </row>
    <row r="48" spans="2:10" ht="27" customHeight="1" x14ac:dyDescent="0.3">
      <c r="B48" s="529" t="s">
        <v>709</v>
      </c>
      <c r="C48" s="543" t="s">
        <v>815</v>
      </c>
      <c r="D48" s="544" t="str">
        <f>IFERROR(VLOOKUP(Table1[[#This Row],[Name]], Designation!$A$2:$B$84, 2,FALSE), "Family")</f>
        <v>Former Director</v>
      </c>
      <c r="E48" s="536" t="s">
        <v>38</v>
      </c>
      <c r="F48" s="537">
        <v>9894471</v>
      </c>
      <c r="G48" s="537">
        <v>0</v>
      </c>
      <c r="H48" s="537">
        <v>0</v>
      </c>
      <c r="I48" s="538">
        <v>19873722</v>
      </c>
      <c r="J48" s="539">
        <f>Table1[[#This Row],[Total Share]]/1476548475</f>
        <v>1.3459579781151445E-2</v>
      </c>
    </row>
    <row r="49" spans="2:10" ht="27" customHeight="1" x14ac:dyDescent="0.3">
      <c r="B49" s="529" t="s">
        <v>709</v>
      </c>
      <c r="C49" s="543" t="s">
        <v>815</v>
      </c>
      <c r="D49" s="544" t="str">
        <f>IFERROR(VLOOKUP(Table1[[#This Row],[Name]], Designation!$A$2:$B$84, 2,FALSE), "Family")</f>
        <v>Former Director</v>
      </c>
      <c r="E49" s="536" t="s">
        <v>39</v>
      </c>
      <c r="F49" s="537">
        <v>23496161</v>
      </c>
      <c r="G49" s="537">
        <v>0</v>
      </c>
      <c r="H49" s="537">
        <v>0</v>
      </c>
      <c r="I49" s="538">
        <v>176490</v>
      </c>
      <c r="J49" s="539">
        <f>Table1[[#This Row],[Total Share]]/1476548475</f>
        <v>1.1952875438105748E-4</v>
      </c>
    </row>
    <row r="50" spans="2:10" ht="27" customHeight="1" x14ac:dyDescent="0.3">
      <c r="B50" s="529" t="s">
        <v>709</v>
      </c>
      <c r="C50" s="543" t="s">
        <v>815</v>
      </c>
      <c r="D50" s="544" t="str">
        <f>IFERROR(VLOOKUP(Table1[[#This Row],[Name]], Designation!$A$2:$B$84, 2,FALSE), "Family")</f>
        <v>Former Director</v>
      </c>
      <c r="E50" s="536" t="s">
        <v>41</v>
      </c>
      <c r="F50" s="537">
        <v>20</v>
      </c>
      <c r="G50" s="537">
        <v>0</v>
      </c>
      <c r="H50" s="537">
        <v>0</v>
      </c>
      <c r="I50" s="538">
        <v>9486719</v>
      </c>
      <c r="J50" s="539">
        <f>Table1[[#This Row],[Total Share]]/1476548475</f>
        <v>6.4249289208063417E-3</v>
      </c>
    </row>
    <row r="51" spans="2:10" ht="27" customHeight="1" x14ac:dyDescent="0.3">
      <c r="B51" s="529" t="s">
        <v>757</v>
      </c>
      <c r="C51" s="543" t="s">
        <v>815</v>
      </c>
      <c r="D51" s="544" t="str">
        <f>IFERROR(VLOOKUP(Table1[[#This Row],[Name]], Designation!$A$2:$B$84, 2,FALSE), "Family")</f>
        <v>Family</v>
      </c>
      <c r="E51" s="536" t="s">
        <v>494</v>
      </c>
      <c r="F51" s="537">
        <v>26704183</v>
      </c>
      <c r="G51" s="537">
        <v>0</v>
      </c>
      <c r="H51" s="537">
        <v>0</v>
      </c>
      <c r="I51" s="538">
        <v>1097</v>
      </c>
      <c r="J51" s="539">
        <f>Table1[[#This Row],[Total Share]]/1476548475</f>
        <v>7.4294885577664493E-7</v>
      </c>
    </row>
    <row r="52" spans="2:10" ht="27" customHeight="1" x14ac:dyDescent="0.3">
      <c r="B52" s="529" t="s">
        <v>716</v>
      </c>
      <c r="C52" s="543" t="s">
        <v>559</v>
      </c>
      <c r="D52" s="544" t="str">
        <f>IFERROR(VLOOKUP(Table1[[#This Row],[Name]], Designation!$A$2:$B$84, 2,FALSE), "Family")</f>
        <v>Family</v>
      </c>
      <c r="E52" s="536" t="s">
        <v>29</v>
      </c>
      <c r="F52" s="537">
        <v>386599</v>
      </c>
      <c r="G52" s="537">
        <v>0</v>
      </c>
      <c r="H52" s="537">
        <v>0</v>
      </c>
      <c r="I52" s="538">
        <v>1111250</v>
      </c>
      <c r="J52" s="539">
        <f>Table1[[#This Row],[Total Share]]/1476548475</f>
        <v>7.5259974109553028E-4</v>
      </c>
    </row>
    <row r="53" spans="2:10" ht="27" customHeight="1" x14ac:dyDescent="0.3">
      <c r="B53" s="529" t="s">
        <v>716</v>
      </c>
      <c r="C53" s="543" t="s">
        <v>559</v>
      </c>
      <c r="D53" s="544" t="str">
        <f>IFERROR(VLOOKUP(Table1[[#This Row],[Name]], Designation!$A$2:$B$84, 2,FALSE), "Family")</f>
        <v>Family</v>
      </c>
      <c r="E53" s="536" t="s">
        <v>652</v>
      </c>
      <c r="F53" s="537">
        <v>64</v>
      </c>
      <c r="G53" s="537">
        <v>0</v>
      </c>
      <c r="H53" s="537">
        <v>0</v>
      </c>
      <c r="I53" s="538">
        <v>9830821</v>
      </c>
      <c r="J53" s="539">
        <f>Table1[[#This Row],[Total Share]]/1476548475</f>
        <v>6.6579737587010137E-3</v>
      </c>
    </row>
    <row r="54" spans="2:10" ht="27" customHeight="1" x14ac:dyDescent="0.3">
      <c r="B54" s="529" t="s">
        <v>717</v>
      </c>
      <c r="C54" s="543" t="s">
        <v>559</v>
      </c>
      <c r="D54" s="544" t="str">
        <f>IFERROR(VLOOKUP(Table1[[#This Row],[Name]], Designation!$A$2:$B$84, 2,FALSE), "Family")</f>
        <v>Family</v>
      </c>
      <c r="E54" s="536" t="s">
        <v>31</v>
      </c>
      <c r="F54" s="537">
        <v>39</v>
      </c>
      <c r="G54" s="537">
        <v>0</v>
      </c>
      <c r="H54" s="537">
        <v>0</v>
      </c>
      <c r="I54" s="538">
        <v>1637093</v>
      </c>
      <c r="J54" s="539">
        <f>Table1[[#This Row],[Total Share]]/1476548475</f>
        <v>1.1087295999543802E-3</v>
      </c>
    </row>
    <row r="55" spans="2:10" ht="27" customHeight="1" x14ac:dyDescent="0.3">
      <c r="B55" s="529" t="s">
        <v>717</v>
      </c>
      <c r="C55" s="543" t="s">
        <v>559</v>
      </c>
      <c r="D55" s="544" t="str">
        <f>IFERROR(VLOOKUP(Table1[[#This Row],[Name]], Designation!$A$2:$B$84, 2,FALSE), "Family")</f>
        <v>Family</v>
      </c>
      <c r="E55" s="536" t="s">
        <v>33</v>
      </c>
      <c r="F55" s="537">
        <v>1798043</v>
      </c>
      <c r="G55" s="537">
        <v>0</v>
      </c>
      <c r="H55" s="537">
        <v>0</v>
      </c>
      <c r="I55" s="538">
        <v>39780</v>
      </c>
      <c r="J55" s="539">
        <f>Table1[[#This Row],[Total Share]]/1476548475</f>
        <v>2.6941208279667214E-5</v>
      </c>
    </row>
    <row r="56" spans="2:10" ht="27" customHeight="1" x14ac:dyDescent="0.3">
      <c r="B56" s="529" t="s">
        <v>718</v>
      </c>
      <c r="C56" s="543" t="s">
        <v>559</v>
      </c>
      <c r="D56" s="544" t="str">
        <f>IFERROR(VLOOKUP(Table1[[#This Row],[Name]], Designation!$A$2:$B$84, 2,FALSE), "Family")</f>
        <v>Family</v>
      </c>
      <c r="E56" s="536" t="s">
        <v>36</v>
      </c>
      <c r="F56" s="537">
        <v>1226058</v>
      </c>
      <c r="G56" s="537">
        <v>0</v>
      </c>
      <c r="H56" s="537">
        <v>0</v>
      </c>
      <c r="I56" s="538">
        <v>1861529</v>
      </c>
      <c r="J56" s="539">
        <f>Table1[[#This Row],[Total Share]]/1476548475</f>
        <v>1.2607300278441587E-3</v>
      </c>
    </row>
    <row r="57" spans="2:10" ht="27" customHeight="1" x14ac:dyDescent="0.3">
      <c r="B57" s="529" t="s">
        <v>712</v>
      </c>
      <c r="C57" s="543" t="s">
        <v>560</v>
      </c>
      <c r="D57" s="544" t="str">
        <f>IFERROR(VLOOKUP(Table1[[#This Row],[Name]], Designation!$A$2:$B$84, 2,FALSE), "Family")</f>
        <v>Sponsor</v>
      </c>
      <c r="E57" s="536" t="s">
        <v>53</v>
      </c>
      <c r="F57" s="537">
        <v>7490412</v>
      </c>
      <c r="G57" s="537">
        <v>0</v>
      </c>
      <c r="H57" s="537">
        <v>0</v>
      </c>
      <c r="I57" s="538">
        <v>31891211</v>
      </c>
      <c r="J57" s="539">
        <f>Table1[[#This Row],[Total Share]]/1476548475</f>
        <v>2.1598485616938515E-2</v>
      </c>
    </row>
    <row r="58" spans="2:10" ht="27" customHeight="1" x14ac:dyDescent="0.3">
      <c r="B58" s="529" t="s">
        <v>720</v>
      </c>
      <c r="C58" s="543" t="s">
        <v>560</v>
      </c>
      <c r="D58" s="544" t="str">
        <f>IFERROR(VLOOKUP(Table1[[#This Row],[Name]], Designation!$A$2:$B$84, 2,FALSE), "Family")</f>
        <v>Family</v>
      </c>
      <c r="E58" s="536" t="s">
        <v>56</v>
      </c>
      <c r="F58" s="537">
        <v>14564170</v>
      </c>
      <c r="G58" s="537">
        <v>0</v>
      </c>
      <c r="H58" s="537">
        <v>0</v>
      </c>
      <c r="I58" s="538">
        <v>5217841</v>
      </c>
      <c r="J58" s="539">
        <f>Table1[[#This Row],[Total Share]]/1476548475</f>
        <v>3.5338094809247629E-3</v>
      </c>
    </row>
    <row r="59" spans="2:10" ht="27" customHeight="1" x14ac:dyDescent="0.3">
      <c r="B59" s="529" t="s">
        <v>719</v>
      </c>
      <c r="C59" s="543" t="s">
        <v>820</v>
      </c>
      <c r="D59" s="544" t="str">
        <f>IFERROR(VLOOKUP(Table1[[#This Row],[Name]], Designation!$A$2:$B$84, 2,FALSE), "Family")</f>
        <v>Former Director</v>
      </c>
      <c r="E59" s="536" t="s">
        <v>59</v>
      </c>
      <c r="F59" s="537">
        <v>4016787</v>
      </c>
      <c r="G59" s="537">
        <v>0</v>
      </c>
      <c r="H59" s="537">
        <v>0</v>
      </c>
      <c r="I59" s="538">
        <v>17041349</v>
      </c>
      <c r="J59" s="539">
        <f>Table1[[#This Row],[Total Share]]/1476548475</f>
        <v>1.1541340693200066E-2</v>
      </c>
    </row>
    <row r="60" spans="2:10" ht="27" customHeight="1" x14ac:dyDescent="0.3">
      <c r="B60" s="529" t="s">
        <v>719</v>
      </c>
      <c r="C60" s="543" t="s">
        <v>820</v>
      </c>
      <c r="D60" s="544" t="str">
        <f>IFERROR(VLOOKUP(Table1[[#This Row],[Name]], Designation!$A$2:$B$84, 2,FALSE), "Family")</f>
        <v>Former Director</v>
      </c>
      <c r="E60" s="536" t="s">
        <v>61</v>
      </c>
      <c r="F60" s="537">
        <v>177890</v>
      </c>
      <c r="G60" s="537">
        <v>0</v>
      </c>
      <c r="H60" s="537">
        <v>0</v>
      </c>
      <c r="I60" s="538">
        <v>992698</v>
      </c>
      <c r="J60" s="539">
        <f>Table1[[#This Row],[Total Share]]/1476548475</f>
        <v>6.7230979328328515E-4</v>
      </c>
    </row>
    <row r="61" spans="2:10" ht="27" customHeight="1" x14ac:dyDescent="0.3">
      <c r="B61" s="529" t="s">
        <v>721</v>
      </c>
      <c r="C61" s="543" t="s">
        <v>820</v>
      </c>
      <c r="D61" s="544" t="str">
        <f>IFERROR(VLOOKUP(Table1[[#This Row],[Name]], Designation!$A$2:$B$84, 2,FALSE), "Family")</f>
        <v>Family</v>
      </c>
      <c r="E61" s="536" t="s">
        <v>63</v>
      </c>
      <c r="F61" s="537">
        <v>3473</v>
      </c>
      <c r="G61" s="537">
        <v>0</v>
      </c>
      <c r="H61" s="537">
        <v>0</v>
      </c>
      <c r="I61" s="538">
        <v>4059303</v>
      </c>
      <c r="J61" s="539">
        <f>Table1[[#This Row],[Total Share]]/1476548475</f>
        <v>2.7491837001829555E-3</v>
      </c>
    </row>
    <row r="62" spans="2:10" ht="27" customHeight="1" x14ac:dyDescent="0.3">
      <c r="B62" s="529" t="s">
        <v>721</v>
      </c>
      <c r="C62" s="543" t="s">
        <v>820</v>
      </c>
      <c r="D62" s="544" t="str">
        <f>IFERROR(VLOOKUP(Table1[[#This Row],[Name]], Designation!$A$2:$B$84, 2,FALSE), "Family")</f>
        <v>Family</v>
      </c>
      <c r="E62" s="536" t="s">
        <v>65</v>
      </c>
      <c r="F62" s="537">
        <v>16673</v>
      </c>
      <c r="G62" s="537">
        <v>0</v>
      </c>
      <c r="H62" s="537">
        <v>0</v>
      </c>
      <c r="I62" s="538">
        <v>25590098</v>
      </c>
      <c r="J62" s="539">
        <f>Table1[[#This Row],[Total Share]]/1476548475</f>
        <v>1.7331024638388523E-2</v>
      </c>
    </row>
    <row r="63" spans="2:10" ht="27" customHeight="1" x14ac:dyDescent="0.3">
      <c r="B63" s="529" t="s">
        <v>86</v>
      </c>
      <c r="C63" s="543" t="s">
        <v>562</v>
      </c>
      <c r="D63" s="544" t="str">
        <f>IFERROR(VLOOKUP(Table1[[#This Row],[Name]], Designation!$A$2:$B$84, 2,FALSE), "Family")</f>
        <v>Director</v>
      </c>
      <c r="E63" s="536" t="s">
        <v>87</v>
      </c>
      <c r="F63" s="537">
        <v>160083</v>
      </c>
      <c r="G63" s="537">
        <v>0</v>
      </c>
      <c r="H63" s="537">
        <v>0</v>
      </c>
      <c r="I63" s="538">
        <v>9904015</v>
      </c>
      <c r="J63" s="539">
        <f>Table1[[#This Row],[Total Share]]/1476548475</f>
        <v>6.7075447692294694E-3</v>
      </c>
    </row>
    <row r="64" spans="2:10" ht="27" customHeight="1" x14ac:dyDescent="0.3">
      <c r="B64" s="529" t="s">
        <v>86</v>
      </c>
      <c r="C64" s="543" t="s">
        <v>562</v>
      </c>
      <c r="D64" s="544" t="str">
        <f>IFERROR(VLOOKUP(Table1[[#This Row],[Name]], Designation!$A$2:$B$84, 2,FALSE), "Family")</f>
        <v>Director</v>
      </c>
      <c r="E64" s="536" t="s">
        <v>88</v>
      </c>
      <c r="F64" s="537">
        <v>848</v>
      </c>
      <c r="G64" s="537">
        <v>0</v>
      </c>
      <c r="H64" s="537">
        <v>0</v>
      </c>
      <c r="I64" s="538">
        <v>8824574</v>
      </c>
      <c r="J64" s="539">
        <f>Table1[[#This Row],[Total Share]]/1476548475</f>
        <v>5.9764878359310214E-3</v>
      </c>
    </row>
    <row r="65" spans="2:10" ht="27" customHeight="1" x14ac:dyDescent="0.3">
      <c r="B65" s="529" t="s">
        <v>86</v>
      </c>
      <c r="C65" s="543" t="s">
        <v>562</v>
      </c>
      <c r="D65" s="544" t="str">
        <f>IFERROR(VLOOKUP(Table1[[#This Row],[Name]], Designation!$A$2:$B$84, 2,FALSE), "Family")</f>
        <v>Director</v>
      </c>
      <c r="E65" s="536" t="s">
        <v>89</v>
      </c>
      <c r="F65" s="537">
        <v>253469</v>
      </c>
      <c r="G65" s="537">
        <v>0</v>
      </c>
      <c r="H65" s="537">
        <v>0</v>
      </c>
      <c r="I65" s="538">
        <v>5387917</v>
      </c>
      <c r="J65" s="539">
        <f>Table1[[#This Row],[Total Share]]/1476548475</f>
        <v>3.6489943210296569E-3</v>
      </c>
    </row>
    <row r="66" spans="2:10" ht="27" customHeight="1" x14ac:dyDescent="0.3">
      <c r="B66" s="529" t="s">
        <v>86</v>
      </c>
      <c r="C66" s="543" t="s">
        <v>562</v>
      </c>
      <c r="D66" s="544" t="str">
        <f>IFERROR(VLOOKUP(Table1[[#This Row],[Name]], Designation!$A$2:$B$84, 2,FALSE), "Family")</f>
        <v>Director</v>
      </c>
      <c r="E66" s="536" t="s">
        <v>90</v>
      </c>
      <c r="F66" s="537">
        <v>1258</v>
      </c>
      <c r="G66" s="537">
        <v>0</v>
      </c>
      <c r="H66" s="537">
        <v>0</v>
      </c>
      <c r="I66" s="538">
        <v>5474480</v>
      </c>
      <c r="J66" s="539">
        <f>Table1[[#This Row],[Total Share]]/1476548475</f>
        <v>3.7076195551250021E-3</v>
      </c>
    </row>
    <row r="67" spans="2:10" ht="27" customHeight="1" x14ac:dyDescent="0.3">
      <c r="B67" s="529" t="s">
        <v>799</v>
      </c>
      <c r="C67" s="543" t="s">
        <v>562</v>
      </c>
      <c r="D67" s="544" t="str">
        <f>IFERROR(VLOOKUP(Table1[[#This Row],[Name]], Designation!$A$2:$B$84, 2,FALSE), "Family")</f>
        <v>Family</v>
      </c>
      <c r="E67" s="536" t="s">
        <v>99</v>
      </c>
      <c r="F67" s="537">
        <v>168173</v>
      </c>
      <c r="G67" s="537">
        <v>0</v>
      </c>
      <c r="H67" s="537">
        <v>0</v>
      </c>
      <c r="I67" s="538">
        <v>908827</v>
      </c>
      <c r="J67" s="539">
        <f>Table1[[#This Row],[Total Share]]/1476548475</f>
        <v>6.1550772994432162E-4</v>
      </c>
    </row>
    <row r="68" spans="2:10" ht="27" customHeight="1" x14ac:dyDescent="0.3">
      <c r="B68" s="529" t="s">
        <v>723</v>
      </c>
      <c r="C68" s="543" t="s">
        <v>562</v>
      </c>
      <c r="D68" s="544" t="str">
        <f>IFERROR(VLOOKUP(Table1[[#This Row],[Name]], Designation!$A$2:$B$84, 2,FALSE), "Family")</f>
        <v>Family</v>
      </c>
      <c r="E68" s="536" t="s">
        <v>101</v>
      </c>
      <c r="F68" s="537">
        <v>215830</v>
      </c>
      <c r="G68" s="537">
        <v>0</v>
      </c>
      <c r="H68" s="537">
        <v>0</v>
      </c>
      <c r="I68" s="538">
        <v>2649714</v>
      </c>
      <c r="J68" s="539">
        <f>Table1[[#This Row],[Total Share]]/1476548475</f>
        <v>1.7945323467961321E-3</v>
      </c>
    </row>
    <row r="69" spans="2:10" ht="27" customHeight="1" x14ac:dyDescent="0.3">
      <c r="B69" s="529" t="s">
        <v>756</v>
      </c>
      <c r="C69" s="543" t="s">
        <v>562</v>
      </c>
      <c r="D69" s="544" t="str">
        <f>IFERROR(VLOOKUP(Table1[[#This Row],[Name]], Designation!$A$2:$B$84, 2,FALSE), "Family")</f>
        <v>Family</v>
      </c>
      <c r="E69" s="536" t="s">
        <v>498</v>
      </c>
      <c r="F69" s="537">
        <v>124663</v>
      </c>
      <c r="G69" s="537">
        <v>0</v>
      </c>
      <c r="H69" s="537">
        <v>0</v>
      </c>
      <c r="I69" s="538">
        <v>2035071</v>
      </c>
      <c r="J69" s="539">
        <f>Table1[[#This Row],[Total Share]]/1476548475</f>
        <v>1.3782622341606495E-3</v>
      </c>
    </row>
    <row r="70" spans="2:10" ht="27" customHeight="1" x14ac:dyDescent="0.3">
      <c r="B70" s="529" t="s">
        <v>707</v>
      </c>
      <c r="C70" s="543" t="s">
        <v>816</v>
      </c>
      <c r="D70" s="544" t="str">
        <f>IFERROR(VLOOKUP(Table1[[#This Row],[Name]], Designation!$A$2:$B$84, 2,FALSE), "Family")</f>
        <v>Vice-Chairman</v>
      </c>
      <c r="E70" s="536" t="s">
        <v>93</v>
      </c>
      <c r="F70" s="537">
        <v>1400726</v>
      </c>
      <c r="G70" s="537">
        <v>0</v>
      </c>
      <c r="H70" s="537">
        <v>0</v>
      </c>
      <c r="I70" s="538">
        <v>30891</v>
      </c>
      <c r="J70" s="539">
        <f>Table1[[#This Row],[Total Share]]/1476548475</f>
        <v>2.0921087606013069E-5</v>
      </c>
    </row>
    <row r="71" spans="2:10" ht="27" customHeight="1" x14ac:dyDescent="0.3">
      <c r="B71" s="529" t="s">
        <v>707</v>
      </c>
      <c r="C71" s="543" t="s">
        <v>816</v>
      </c>
      <c r="D71" s="544" t="str">
        <f>IFERROR(VLOOKUP(Table1[[#This Row],[Name]], Designation!$A$2:$B$84, 2,FALSE), "Family")</f>
        <v>Vice-Chairman</v>
      </c>
      <c r="E71" s="536" t="s">
        <v>94</v>
      </c>
      <c r="F71" s="537">
        <v>24478</v>
      </c>
      <c r="G71" s="537">
        <v>0</v>
      </c>
      <c r="H71" s="537">
        <v>0</v>
      </c>
      <c r="I71" s="538">
        <v>16331663</v>
      </c>
      <c r="J71" s="539">
        <f>Table1[[#This Row],[Total Share]]/1476548475</f>
        <v>1.1060702223135613E-2</v>
      </c>
    </row>
    <row r="72" spans="2:10" ht="27" customHeight="1" x14ac:dyDescent="0.3">
      <c r="B72" s="529" t="s">
        <v>707</v>
      </c>
      <c r="C72" s="543" t="s">
        <v>816</v>
      </c>
      <c r="D72" s="544" t="str">
        <f>IFERROR(VLOOKUP(Table1[[#This Row],[Name]], Designation!$A$2:$B$84, 2,FALSE), "Family")</f>
        <v>Vice-Chairman</v>
      </c>
      <c r="E72" s="536" t="s">
        <v>95</v>
      </c>
      <c r="F72" s="537">
        <v>1216311</v>
      </c>
      <c r="G72" s="537">
        <v>0</v>
      </c>
      <c r="H72" s="537">
        <v>0</v>
      </c>
      <c r="I72" s="538">
        <v>9805083</v>
      </c>
      <c r="J72" s="539">
        <f>Table1[[#This Row],[Total Share]]/1476548475</f>
        <v>6.6405425666773319E-3</v>
      </c>
    </row>
    <row r="73" spans="2:10" ht="27" customHeight="1" x14ac:dyDescent="0.3">
      <c r="B73" s="529" t="s">
        <v>800</v>
      </c>
      <c r="C73" s="543" t="s">
        <v>816</v>
      </c>
      <c r="D73" s="544" t="str">
        <f>IFERROR(VLOOKUP(Table1[[#This Row],[Name]], Designation!$A$2:$B$84, 2,FALSE), "Family")</f>
        <v>Family</v>
      </c>
      <c r="E73" s="536" t="s">
        <v>806</v>
      </c>
      <c r="F73" s="537">
        <v>42</v>
      </c>
      <c r="G73" s="537">
        <v>0</v>
      </c>
      <c r="H73" s="537">
        <v>0</v>
      </c>
      <c r="I73" s="538">
        <v>945000</v>
      </c>
      <c r="J73" s="539">
        <f>Table1[[#This Row],[Total Share]]/1476548475</f>
        <v>6.4000607904186825E-4</v>
      </c>
    </row>
    <row r="74" spans="2:10" ht="27" customHeight="1" x14ac:dyDescent="0.3">
      <c r="B74" s="529" t="s">
        <v>707</v>
      </c>
      <c r="C74" s="543" t="s">
        <v>816</v>
      </c>
      <c r="D74" s="544" t="str">
        <f>IFERROR(VLOOKUP(Table1[[#This Row],[Name]], Designation!$A$2:$B$84, 2,FALSE), "Family")</f>
        <v>Vice-Chairman</v>
      </c>
      <c r="E74" s="536" t="s">
        <v>96</v>
      </c>
      <c r="F74" s="537">
        <v>133402</v>
      </c>
      <c r="G74" s="537">
        <v>0</v>
      </c>
      <c r="H74" s="537">
        <v>0</v>
      </c>
      <c r="I74" s="538">
        <v>3530927</v>
      </c>
      <c r="J74" s="539">
        <f>Table1[[#This Row],[Total Share]]/1476548475</f>
        <v>2.3913383541302293E-3</v>
      </c>
    </row>
    <row r="75" spans="2:10" ht="27" customHeight="1" x14ac:dyDescent="0.3">
      <c r="B75" s="529" t="s">
        <v>787</v>
      </c>
      <c r="C75" s="543" t="s">
        <v>816</v>
      </c>
      <c r="D75" s="544" t="str">
        <f>IFERROR(VLOOKUP(Table1[[#This Row],[Name]], Designation!$A$2:$B$84, 2,FALSE), "Family")</f>
        <v>Family</v>
      </c>
      <c r="E75" s="536" t="s">
        <v>499</v>
      </c>
      <c r="F75" s="537">
        <v>1337107</v>
      </c>
      <c r="G75" s="537">
        <v>0</v>
      </c>
      <c r="H75" s="537">
        <v>0</v>
      </c>
      <c r="I75" s="538">
        <v>12976425</v>
      </c>
      <c r="J75" s="539">
        <f>Table1[[#This Row],[Total Share]]/1476548475</f>
        <v>8.7883501420432542E-3</v>
      </c>
    </row>
    <row r="76" spans="2:10" ht="27" customHeight="1" x14ac:dyDescent="0.3">
      <c r="B76" s="529" t="s">
        <v>787</v>
      </c>
      <c r="C76" s="543" t="s">
        <v>816</v>
      </c>
      <c r="D76" s="544" t="str">
        <f>IFERROR(VLOOKUP(Table1[[#This Row],[Name]], Designation!$A$2:$B$84, 2,FALSE), "Family")</f>
        <v>Family</v>
      </c>
      <c r="E76" s="536" t="s">
        <v>500</v>
      </c>
      <c r="F76" s="537">
        <v>198246</v>
      </c>
      <c r="G76" s="537">
        <v>0</v>
      </c>
      <c r="H76" s="537">
        <v>0</v>
      </c>
      <c r="I76" s="538">
        <v>7276501</v>
      </c>
      <c r="J76" s="539">
        <f>Table1[[#This Row],[Total Share]]/1476548475</f>
        <v>4.9280474858774959E-3</v>
      </c>
    </row>
    <row r="77" spans="2:10" ht="27" customHeight="1" x14ac:dyDescent="0.3">
      <c r="B77" s="529" t="s">
        <v>787</v>
      </c>
      <c r="C77" s="543"/>
      <c r="D77" s="544" t="str">
        <f>IFERROR(VLOOKUP(Table1[[#This Row],[Name]], Designation!$A$2:$B$84, 2,FALSE), "Family")</f>
        <v>Family</v>
      </c>
      <c r="E77" s="536" t="s">
        <v>823</v>
      </c>
      <c r="F77" s="537"/>
      <c r="G77" s="537"/>
      <c r="H77" s="537"/>
      <c r="I77" s="538">
        <v>5465973</v>
      </c>
      <c r="J77" s="539">
        <f>Table1[[#This Row],[Total Share]]/1476548475</f>
        <v>3.701858145903405E-3</v>
      </c>
    </row>
    <row r="78" spans="2:10" ht="27" customHeight="1" x14ac:dyDescent="0.3">
      <c r="B78" s="529" t="s">
        <v>787</v>
      </c>
      <c r="C78" s="543"/>
      <c r="D78" s="544" t="str">
        <f>IFERROR(VLOOKUP(Table1[[#This Row],[Name]], Designation!$A$2:$B$84, 2,FALSE), "Family")</f>
        <v>Family</v>
      </c>
      <c r="E78" s="536" t="s">
        <v>824</v>
      </c>
      <c r="F78" s="537"/>
      <c r="G78" s="537"/>
      <c r="H78" s="537"/>
      <c r="I78" s="538">
        <v>2405480</v>
      </c>
      <c r="J78" s="539">
        <f>Table1[[#This Row],[Total Share]]/1476548475</f>
        <v>1.6291236222366488E-3</v>
      </c>
    </row>
    <row r="79" spans="2:10" ht="27" customHeight="1" x14ac:dyDescent="0.3">
      <c r="B79" s="529" t="s">
        <v>715</v>
      </c>
      <c r="C79" s="543" t="s">
        <v>816</v>
      </c>
      <c r="D79" s="544" t="str">
        <f>IFERROR(VLOOKUP(Table1[[#This Row],[Name]], Designation!$A$2:$B$84, 2,FALSE), "Family")</f>
        <v>Family</v>
      </c>
      <c r="E79" s="536" t="s">
        <v>472</v>
      </c>
      <c r="F79" s="537">
        <v>317925</v>
      </c>
      <c r="G79" s="537">
        <v>0</v>
      </c>
      <c r="H79" s="537">
        <v>0</v>
      </c>
      <c r="I79" s="538">
        <v>15522240</v>
      </c>
      <c r="J79" s="539">
        <f>Table1[[#This Row],[Total Share]]/1476548475</f>
        <v>1.0512516360155396E-2</v>
      </c>
    </row>
    <row r="80" spans="2:10" ht="27" customHeight="1" x14ac:dyDescent="0.3">
      <c r="B80" s="529" t="s">
        <v>225</v>
      </c>
      <c r="C80" s="543" t="s">
        <v>564</v>
      </c>
      <c r="D80" s="544" t="str">
        <f>IFERROR(VLOOKUP(Table1[[#This Row],[Name]], Designation!$A$2:$B$84, 2,FALSE), "Family")</f>
        <v>Family</v>
      </c>
      <c r="E80" s="536" t="s">
        <v>219</v>
      </c>
      <c r="F80" s="537">
        <v>1334242</v>
      </c>
      <c r="G80" s="537">
        <v>0</v>
      </c>
      <c r="H80" s="537">
        <v>0</v>
      </c>
      <c r="I80" s="538">
        <v>10389194</v>
      </c>
      <c r="J80" s="539">
        <f>Table1[[#This Row],[Total Share]]/1476548475</f>
        <v>7.036134726291326E-3</v>
      </c>
    </row>
    <row r="81" spans="2:12" ht="27" customHeight="1" x14ac:dyDescent="0.3">
      <c r="B81" s="529" t="s">
        <v>181</v>
      </c>
      <c r="C81" s="543" t="s">
        <v>564</v>
      </c>
      <c r="D81" s="544" t="str">
        <f>IFERROR(VLOOKUP(Table1[[#This Row],[Name]], Designation!$A$2:$B$84, 2,FALSE), "Family")</f>
        <v>Family</v>
      </c>
      <c r="E81" s="536" t="s">
        <v>182</v>
      </c>
      <c r="F81" s="537">
        <v>24722465</v>
      </c>
      <c r="G81" s="537">
        <v>0</v>
      </c>
      <c r="H81" s="537">
        <v>0</v>
      </c>
      <c r="I81" s="538">
        <v>139931</v>
      </c>
      <c r="J81" s="539">
        <f>Table1[[#This Row],[Total Share]]/1476548475</f>
        <v>9.4768984811013403E-5</v>
      </c>
    </row>
    <row r="82" spans="2:12" ht="27" customHeight="1" x14ac:dyDescent="0.3">
      <c r="B82" s="529" t="s">
        <v>724</v>
      </c>
      <c r="C82" s="543" t="s">
        <v>817</v>
      </c>
      <c r="D82" s="544" t="str">
        <f>IFERROR(VLOOKUP(Table1[[#This Row],[Name]], Designation!$A$2:$B$84, 2,FALSE), "Family")</f>
        <v>Family</v>
      </c>
      <c r="E82" s="536" t="s">
        <v>104</v>
      </c>
      <c r="F82" s="537">
        <v>8698508</v>
      </c>
      <c r="G82" s="537">
        <v>0</v>
      </c>
      <c r="H82" s="537">
        <v>0</v>
      </c>
      <c r="I82" s="538">
        <v>22181450</v>
      </c>
      <c r="J82" s="539">
        <f>Table1[[#This Row],[Total Share]]/1476548475</f>
        <v>1.5022500361865872E-2</v>
      </c>
    </row>
    <row r="83" spans="2:12" ht="27" customHeight="1" x14ac:dyDescent="0.3">
      <c r="B83" s="529" t="s">
        <v>728</v>
      </c>
      <c r="C83" s="543" t="s">
        <v>817</v>
      </c>
      <c r="D83" s="544" t="str">
        <f>IFERROR(VLOOKUP(Table1[[#This Row],[Name]], Designation!$A$2:$B$84, 2,FALSE), "Family")</f>
        <v>Family</v>
      </c>
      <c r="E83" s="536" t="s">
        <v>118</v>
      </c>
      <c r="F83" s="537">
        <v>28244458</v>
      </c>
      <c r="G83" s="537">
        <v>0</v>
      </c>
      <c r="H83" s="537">
        <v>0</v>
      </c>
      <c r="I83" s="538">
        <v>40</v>
      </c>
      <c r="J83" s="539">
        <f>Table1[[#This Row],[Total Share]]/1476548475</f>
        <v>2.7090204403888601E-8</v>
      </c>
    </row>
    <row r="84" spans="2:12" ht="27" customHeight="1" x14ac:dyDescent="0.3">
      <c r="B84" s="529" t="s">
        <v>725</v>
      </c>
      <c r="C84" s="543" t="s">
        <v>817</v>
      </c>
      <c r="D84" s="544" t="str">
        <f>IFERROR(VLOOKUP(Table1[[#This Row],[Name]], Designation!$A$2:$B$84, 2,FALSE), "Family")</f>
        <v>Family</v>
      </c>
      <c r="E84" s="536" t="s">
        <v>110</v>
      </c>
      <c r="F84" s="537">
        <v>87403</v>
      </c>
      <c r="G84" s="537">
        <v>0</v>
      </c>
      <c r="H84" s="537">
        <v>0</v>
      </c>
      <c r="I84" s="538">
        <v>21</v>
      </c>
      <c r="J84" s="539">
        <f>Table1[[#This Row],[Total Share]]/1476548475</f>
        <v>1.4222357312041516E-8</v>
      </c>
    </row>
    <row r="85" spans="2:12" ht="27" customHeight="1" x14ac:dyDescent="0.3">
      <c r="B85" s="529" t="s">
        <v>726</v>
      </c>
      <c r="C85" s="543" t="s">
        <v>817</v>
      </c>
      <c r="D85" s="544" t="str">
        <f>IFERROR(VLOOKUP(Table1[[#This Row],[Name]], Designation!$A$2:$B$84, 2,FALSE), "Family")</f>
        <v>Family</v>
      </c>
      <c r="E85" s="536" t="s">
        <v>113</v>
      </c>
      <c r="F85" s="537">
        <v>12708279</v>
      </c>
      <c r="G85" s="537">
        <v>0</v>
      </c>
      <c r="H85" s="537">
        <v>0</v>
      </c>
      <c r="I85" s="538">
        <v>28039392</v>
      </c>
      <c r="J85" s="539">
        <f>Table1[[#This Row],[Total Share]]/1476548475</f>
        <v>1.8989821516018971E-2</v>
      </c>
    </row>
    <row r="86" spans="2:12" ht="27" customHeight="1" x14ac:dyDescent="0.3">
      <c r="B86" s="529" t="s">
        <v>726</v>
      </c>
      <c r="C86" s="543"/>
      <c r="D86" s="544" t="str">
        <f>IFERROR(VLOOKUP(Table1[[#This Row],[Name]], Designation!$A$2:$B$84, 2,FALSE), "Family")</f>
        <v>Family</v>
      </c>
      <c r="E86" s="536" t="s">
        <v>121</v>
      </c>
      <c r="F86" s="537"/>
      <c r="G86" s="537"/>
      <c r="H86" s="537"/>
      <c r="I86" s="538">
        <v>405928</v>
      </c>
      <c r="J86" s="539">
        <f>Table1[[#This Row],[Total Share]]/1476548475</f>
        <v>2.7491681233154231E-4</v>
      </c>
    </row>
    <row r="87" spans="2:12" ht="27" customHeight="1" x14ac:dyDescent="0.3">
      <c r="B87" s="529" t="s">
        <v>727</v>
      </c>
      <c r="C87" s="543" t="s">
        <v>817</v>
      </c>
      <c r="D87" s="544" t="str">
        <f>IFERROR(VLOOKUP(Table1[[#This Row],[Name]], Designation!$A$2:$B$84, 2,FALSE), "Family")</f>
        <v>Family</v>
      </c>
      <c r="E87" s="536" t="s">
        <v>115</v>
      </c>
      <c r="F87" s="537">
        <v>211339</v>
      </c>
      <c r="G87" s="537">
        <v>0</v>
      </c>
      <c r="H87" s="537">
        <v>0</v>
      </c>
      <c r="I87" s="538">
        <v>67</v>
      </c>
      <c r="J87" s="539">
        <f>Table1[[#This Row],[Total Share]]/1476548475</f>
        <v>4.5376092376513409E-8</v>
      </c>
    </row>
    <row r="88" spans="2:12" ht="27" customHeight="1" x14ac:dyDescent="0.3">
      <c r="B88" s="529" t="s">
        <v>733</v>
      </c>
      <c r="C88" s="543" t="s">
        <v>567</v>
      </c>
      <c r="D88" s="544" t="str">
        <f>IFERROR(VLOOKUP(Table1[[#This Row],[Name]], Designation!$A$2:$B$84, 2,FALSE), "Family")</f>
        <v>Family</v>
      </c>
      <c r="E88" s="536" t="s">
        <v>184</v>
      </c>
      <c r="F88" s="537">
        <v>4487351</v>
      </c>
      <c r="G88" s="537">
        <v>0</v>
      </c>
      <c r="H88" s="537">
        <v>0</v>
      </c>
      <c r="I88" s="538">
        <v>1470762</v>
      </c>
      <c r="J88" s="539">
        <f>Table1[[#This Row],[Total Share]]/1476548475</f>
        <v>9.9608108023680028E-4</v>
      </c>
    </row>
    <row r="89" spans="2:12" ht="27" customHeight="1" x14ac:dyDescent="0.3">
      <c r="B89" s="529" t="str">
        <f>PROPER("SHEAZEEN SADMIN HOQUE")</f>
        <v>Sheazeen Sadmin Hoque</v>
      </c>
      <c r="C89" s="543"/>
      <c r="D89" s="544" t="str">
        <f>IFERROR(VLOOKUP(Table1[[#This Row],[Name]], Designation!$A$2:$B$84, 2,FALSE), "Family")</f>
        <v>Family</v>
      </c>
      <c r="E89" s="536" t="s">
        <v>825</v>
      </c>
      <c r="F89" s="537"/>
      <c r="G89" s="537"/>
      <c r="H89" s="537"/>
      <c r="I89" s="538">
        <v>1470761</v>
      </c>
      <c r="J89" s="539">
        <f>Table1[[#This Row],[Total Share]]/1476548475</f>
        <v>9.9608040298169022E-4</v>
      </c>
      <c r="L89" s="531">
        <v>1544299</v>
      </c>
    </row>
    <row r="90" spans="2:12" ht="27" customHeight="1" x14ac:dyDescent="0.3">
      <c r="B90" s="529" t="str">
        <f>PROPER("Mr. KAZI SAMIRUL HOQUE")</f>
        <v>Mr. Kazi Samirul Hoque</v>
      </c>
      <c r="C90" s="543"/>
      <c r="D90" s="544" t="str">
        <f>IFERROR(VLOOKUP(Table1[[#This Row],[Name]], Designation!$A$2:$B$84, 2,FALSE), "Family")</f>
        <v>Family</v>
      </c>
      <c r="E90" s="536" t="s">
        <v>826</v>
      </c>
      <c r="F90" s="537"/>
      <c r="G90" s="537"/>
      <c r="H90" s="537"/>
      <c r="I90" s="538">
        <v>2941524</v>
      </c>
      <c r="J90" s="539">
        <f>Table1[[#This Row],[Total Share]]/1476548475</f>
        <v>1.9921621604736006E-3</v>
      </c>
      <c r="L90" s="531">
        <v>3088600</v>
      </c>
    </row>
    <row r="91" spans="2:12" ht="27" customHeight="1" x14ac:dyDescent="0.3">
      <c r="B91" s="529" t="str">
        <f>PROPER("Mr. KAZI SAMIRUL HOQUE")</f>
        <v>Mr. Kazi Samirul Hoque</v>
      </c>
      <c r="C91" s="543"/>
      <c r="D91" s="544" t="str">
        <f>IFERROR(VLOOKUP(Table1[[#This Row],[Name]], Designation!$A$2:$B$84, 2,FALSE), "Family")</f>
        <v>Family</v>
      </c>
      <c r="E91" s="536" t="s">
        <v>830</v>
      </c>
      <c r="F91" s="537"/>
      <c r="G91" s="537"/>
      <c r="H91" s="537"/>
      <c r="I91" s="538">
        <v>2612730</v>
      </c>
      <c r="J91" s="539">
        <f>Table1[[#This Row],[Total Share]]/1476548475</f>
        <v>1.7694847438042968E-3</v>
      </c>
      <c r="L91" s="531">
        <v>2680366</v>
      </c>
    </row>
    <row r="92" spans="2:12" ht="27" customHeight="1" x14ac:dyDescent="0.3">
      <c r="B92" s="529" t="s">
        <v>734</v>
      </c>
      <c r="C92" s="543" t="s">
        <v>818</v>
      </c>
      <c r="D92" s="544" t="str">
        <f>IFERROR(VLOOKUP(Table1[[#This Row],[Name]], Designation!$A$2:$B$84, 2,FALSE), "Family")</f>
        <v>Family</v>
      </c>
      <c r="E92" s="536" t="s">
        <v>166</v>
      </c>
      <c r="F92" s="537">
        <v>4797475</v>
      </c>
      <c r="G92" s="537">
        <v>0</v>
      </c>
      <c r="H92" s="537">
        <v>0</v>
      </c>
      <c r="I92" s="538">
        <v>25701</v>
      </c>
      <c r="J92" s="539">
        <f>Table1[[#This Row],[Total Share]]/1476548475</f>
        <v>1.7406133584608523E-5</v>
      </c>
    </row>
    <row r="93" spans="2:12" ht="27" customHeight="1" x14ac:dyDescent="0.3">
      <c r="B93" s="529" t="s">
        <v>735</v>
      </c>
      <c r="C93" s="543" t="s">
        <v>818</v>
      </c>
      <c r="D93" s="544" t="str">
        <f>IFERROR(VLOOKUP(Table1[[#This Row],[Name]], Designation!$A$2:$B$84, 2,FALSE), "Family")</f>
        <v>Family</v>
      </c>
      <c r="E93" s="536" t="s">
        <v>168</v>
      </c>
      <c r="F93" s="537">
        <v>25966</v>
      </c>
      <c r="G93" s="537">
        <v>18420</v>
      </c>
      <c r="H93" s="537">
        <f>1842+1013</f>
        <v>2855</v>
      </c>
      <c r="I93" s="538">
        <v>1277126</v>
      </c>
      <c r="J93" s="539">
        <f>Table1[[#This Row],[Total Share]]/1476548475</f>
        <v>8.649401097380159E-4</v>
      </c>
    </row>
    <row r="94" spans="2:12" ht="27" customHeight="1" x14ac:dyDescent="0.3">
      <c r="B94" s="529" t="s">
        <v>736</v>
      </c>
      <c r="C94" s="543" t="s">
        <v>818</v>
      </c>
      <c r="D94" s="544" t="str">
        <f>IFERROR(VLOOKUP(Table1[[#This Row],[Name]], Designation!$A$2:$B$84, 2,FALSE), "Family")</f>
        <v>Family</v>
      </c>
      <c r="E94" s="536" t="s">
        <v>171</v>
      </c>
      <c r="F94" s="537">
        <v>0</v>
      </c>
      <c r="G94" s="537">
        <v>126640</v>
      </c>
      <c r="H94" s="537">
        <f>12664+6965</f>
        <v>19629</v>
      </c>
      <c r="I94" s="538">
        <v>44</v>
      </c>
      <c r="J94" s="539">
        <f>Table1[[#This Row],[Total Share]]/1476548475</f>
        <v>2.9799224844277463E-8</v>
      </c>
    </row>
    <row r="95" spans="2:12" ht="27" customHeight="1" x14ac:dyDescent="0.3">
      <c r="B95" s="529" t="s">
        <v>737</v>
      </c>
      <c r="C95" s="543" t="s">
        <v>818</v>
      </c>
      <c r="D95" s="544" t="str">
        <f>IFERROR(VLOOKUP(Table1[[#This Row],[Name]], Designation!$A$2:$B$84, 2,FALSE), "Family")</f>
        <v>Family</v>
      </c>
      <c r="E95" s="536" t="s">
        <v>173</v>
      </c>
      <c r="F95" s="537">
        <v>11</v>
      </c>
      <c r="G95" s="537">
        <v>0</v>
      </c>
      <c r="H95" s="537">
        <v>0</v>
      </c>
      <c r="I95" s="538">
        <v>140072</v>
      </c>
      <c r="J95" s="539">
        <f>Table1[[#This Row],[Total Share]]/1476548475</f>
        <v>9.4864477781537104E-5</v>
      </c>
    </row>
    <row r="96" spans="2:12" ht="27" customHeight="1" x14ac:dyDescent="0.3">
      <c r="B96" s="529" t="s">
        <v>177</v>
      </c>
      <c r="C96" s="543" t="s">
        <v>818</v>
      </c>
      <c r="D96" s="544" t="str">
        <f>IFERROR(VLOOKUP(Table1[[#This Row],[Name]], Designation!$A$2:$B$84, 2,FALSE), "Family")</f>
        <v>Family</v>
      </c>
      <c r="E96" s="536" t="s">
        <v>178</v>
      </c>
      <c r="F96" s="537">
        <v>11</v>
      </c>
      <c r="G96" s="537">
        <v>0</v>
      </c>
      <c r="H96" s="537">
        <v>0</v>
      </c>
      <c r="I96" s="538">
        <v>1323962</v>
      </c>
      <c r="J96" s="539">
        <f>Table1[[#This Row],[Total Share]]/1476548475</f>
        <v>8.966600300745291E-4</v>
      </c>
    </row>
    <row r="97" spans="2:12" ht="27" customHeight="1" x14ac:dyDescent="0.3">
      <c r="B97" s="543" t="s">
        <v>739</v>
      </c>
      <c r="C97" s="543" t="s">
        <v>551</v>
      </c>
      <c r="D97" s="544" t="str">
        <f>IFERROR(VLOOKUP(Table1[[#This Row],[Name]], Designation!$A$2:$B$84, 2,FALSE), "Family")</f>
        <v>Family</v>
      </c>
      <c r="E97" s="536" t="s">
        <v>149</v>
      </c>
      <c r="F97" s="537">
        <v>0</v>
      </c>
      <c r="G97" s="537">
        <v>291500</v>
      </c>
      <c r="H97" s="537">
        <f>29150+16032</f>
        <v>45182</v>
      </c>
      <c r="I97" s="538">
        <v>208158</v>
      </c>
      <c r="J97" s="545">
        <f>Table1[[#This Row],[Total Share]]/1476548475</f>
        <v>1.4097606920761611E-4</v>
      </c>
    </row>
    <row r="98" spans="2:12" ht="27" customHeight="1" x14ac:dyDescent="0.3">
      <c r="B98" s="529" t="s">
        <v>741</v>
      </c>
      <c r="C98" s="543" t="s">
        <v>551</v>
      </c>
      <c r="D98" s="544" t="str">
        <f>IFERROR(VLOOKUP(Table1[[#This Row],[Name]], Designation!$A$2:$B$84, 2,FALSE), "Family")</f>
        <v>Family</v>
      </c>
      <c r="E98" s="536" t="s">
        <v>163</v>
      </c>
      <c r="F98" s="537">
        <v>52214</v>
      </c>
      <c r="G98" s="537">
        <v>170</v>
      </c>
      <c r="H98" s="537">
        <f>17+9</f>
        <v>26</v>
      </c>
      <c r="I98" s="538">
        <v>1261001</v>
      </c>
      <c r="J98" s="539">
        <f>Table1[[#This Row],[Total Share]]/1476548475</f>
        <v>8.5401937108769825E-4</v>
      </c>
      <c r="L98" s="531" t="s">
        <v>163</v>
      </c>
    </row>
    <row r="99" spans="2:12" ht="27" customHeight="1" x14ac:dyDescent="0.3">
      <c r="B99" s="529" t="s">
        <v>741</v>
      </c>
      <c r="C99" s="543" t="s">
        <v>551</v>
      </c>
      <c r="D99" s="544" t="str">
        <f>IFERROR(VLOOKUP(Table1[[#This Row],[Name]], Designation!$A$2:$B$84, 2,FALSE), "Family")</f>
        <v>Family</v>
      </c>
      <c r="E99" s="536" t="s">
        <v>504</v>
      </c>
      <c r="F99" s="537">
        <v>1938163</v>
      </c>
      <c r="G99" s="537">
        <v>0</v>
      </c>
      <c r="H99" s="537">
        <v>0</v>
      </c>
      <c r="I99" s="538">
        <v>181843</v>
      </c>
      <c r="J99" s="539">
        <f>Table1[[#This Row],[Total Share]]/1476548475</f>
        <v>1.2315410098540788E-4</v>
      </c>
      <c r="L99" s="531" t="s">
        <v>504</v>
      </c>
    </row>
    <row r="100" spans="2:12" ht="27" customHeight="1" x14ac:dyDescent="0.3">
      <c r="B100" s="529" t="s">
        <v>741</v>
      </c>
      <c r="C100" s="543" t="s">
        <v>551</v>
      </c>
      <c r="D100" s="544" t="str">
        <f>IFERROR(VLOOKUP(Table1[[#This Row],[Name]], Designation!$A$2:$B$84, 2,FALSE), "Family")</f>
        <v>Family</v>
      </c>
      <c r="E100" s="536" t="s">
        <v>534</v>
      </c>
      <c r="F100" s="537">
        <v>1045</v>
      </c>
      <c r="G100" s="537">
        <v>0</v>
      </c>
      <c r="H100" s="537">
        <v>0</v>
      </c>
      <c r="I100" s="538">
        <v>3445431</v>
      </c>
      <c r="J100" s="539">
        <f>Table1[[#This Row],[Total Share]]/1476548475</f>
        <v>2.3334357512373579E-3</v>
      </c>
      <c r="L100" s="531" t="s">
        <v>534</v>
      </c>
    </row>
    <row r="101" spans="2:12" ht="27" customHeight="1" x14ac:dyDescent="0.3">
      <c r="B101" s="529" t="s">
        <v>741</v>
      </c>
      <c r="C101" s="543" t="s">
        <v>551</v>
      </c>
      <c r="D101" s="544" t="str">
        <f>IFERROR(VLOOKUP(Table1[[#This Row],[Name]], Designation!$A$2:$B$84, 2,FALSE), "Family")</f>
        <v>Family</v>
      </c>
      <c r="E101" s="536" t="s">
        <v>535</v>
      </c>
      <c r="F101" s="537">
        <v>131666</v>
      </c>
      <c r="G101" s="537">
        <v>0</v>
      </c>
      <c r="H101" s="537">
        <v>0</v>
      </c>
      <c r="I101" s="538">
        <v>201382</v>
      </c>
      <c r="J101" s="539">
        <f>Table1[[#This Row],[Total Share]]/1476548475</f>
        <v>1.3638698858159737E-4</v>
      </c>
      <c r="L101" s="531" t="s">
        <v>535</v>
      </c>
    </row>
    <row r="102" spans="2:12" ht="27" customHeight="1" x14ac:dyDescent="0.3">
      <c r="B102" s="529" t="s">
        <v>801</v>
      </c>
      <c r="C102" s="543" t="s">
        <v>551</v>
      </c>
      <c r="D102" s="544" t="str">
        <f>IFERROR(VLOOKUP(Table1[[#This Row],[Name]], Designation!$A$2:$B$84, 2,FALSE), "Family")</f>
        <v>Family</v>
      </c>
      <c r="E102" s="536" t="s">
        <v>807</v>
      </c>
      <c r="F102" s="537">
        <v>82120</v>
      </c>
      <c r="G102" s="537">
        <v>0</v>
      </c>
      <c r="H102" s="537">
        <v>0</v>
      </c>
      <c r="I102" s="538">
        <v>3887644</v>
      </c>
      <c r="J102" s="539">
        <f>Table1[[#This Row],[Total Share]]/1476548475</f>
        <v>2.6329267652387776E-3</v>
      </c>
    </row>
    <row r="103" spans="2:12" ht="27" customHeight="1" x14ac:dyDescent="0.3">
      <c r="B103" s="529" t="s">
        <v>742</v>
      </c>
      <c r="C103" s="543" t="s">
        <v>821</v>
      </c>
      <c r="D103" s="544" t="str">
        <f>IFERROR(VLOOKUP(Table1[[#This Row],[Name]], Designation!$A$2:$B$84, 2,FALSE), "Family")</f>
        <v>Former Director</v>
      </c>
      <c r="E103" s="536" t="s">
        <v>139</v>
      </c>
      <c r="F103" s="537">
        <v>186340</v>
      </c>
      <c r="G103" s="537">
        <v>0</v>
      </c>
      <c r="H103" s="537">
        <v>0</v>
      </c>
      <c r="I103" s="538">
        <v>25958588</v>
      </c>
      <c r="J103" s="539">
        <f>Table1[[#This Row],[Total Share]]/1476548475</f>
        <v>1.7580586373908247E-2</v>
      </c>
    </row>
    <row r="104" spans="2:12" ht="27" customHeight="1" x14ac:dyDescent="0.3">
      <c r="B104" s="529" t="s">
        <v>742</v>
      </c>
      <c r="C104" s="543" t="s">
        <v>821</v>
      </c>
      <c r="D104" s="544" t="str">
        <f>IFERROR(VLOOKUP(Table1[[#This Row],[Name]], Designation!$A$2:$B$84, 2,FALSE), "Family")</f>
        <v>Former Director</v>
      </c>
      <c r="E104" s="536" t="s">
        <v>140</v>
      </c>
      <c r="F104" s="537">
        <v>5347408</v>
      </c>
      <c r="G104" s="537">
        <v>0</v>
      </c>
      <c r="H104" s="537">
        <v>0</v>
      </c>
      <c r="I104" s="538">
        <v>9133433</v>
      </c>
      <c r="J104" s="539">
        <f>Table1[[#This Row],[Total Share]]/1476548475</f>
        <v>6.185664171980537E-3</v>
      </c>
    </row>
    <row r="105" spans="2:12" ht="27" customHeight="1" x14ac:dyDescent="0.3">
      <c r="B105" s="529" t="s">
        <v>714</v>
      </c>
      <c r="C105" s="543" t="s">
        <v>821</v>
      </c>
      <c r="D105" s="544" t="str">
        <f>IFERROR(VLOOKUP(Table1[[#This Row],[Name]], Designation!$A$2:$B$84, 2,FALSE), "Family")</f>
        <v>Sponsor</v>
      </c>
      <c r="E105" s="536" t="s">
        <v>142</v>
      </c>
      <c r="F105" s="537">
        <v>16342384</v>
      </c>
      <c r="G105" s="537">
        <v>0</v>
      </c>
      <c r="H105" s="537">
        <v>0</v>
      </c>
      <c r="I105" s="538">
        <v>530055</v>
      </c>
      <c r="J105" s="539">
        <f>Table1[[#This Row],[Total Share]]/1476548475</f>
        <v>3.5898245738257933E-4</v>
      </c>
    </row>
    <row r="106" spans="2:12" ht="27" customHeight="1" x14ac:dyDescent="0.3">
      <c r="B106" s="529" t="s">
        <v>743</v>
      </c>
      <c r="C106" s="543" t="s">
        <v>821</v>
      </c>
      <c r="D106" s="544" t="str">
        <f>IFERROR(VLOOKUP(Table1[[#This Row],[Name]], Designation!$A$2:$B$84, 2,FALSE), "Family")</f>
        <v>Family</v>
      </c>
      <c r="E106" s="536" t="s">
        <v>144</v>
      </c>
      <c r="F106" s="537">
        <v>12358500</v>
      </c>
      <c r="G106" s="537">
        <v>0</v>
      </c>
      <c r="H106" s="537">
        <v>0</v>
      </c>
      <c r="I106" s="538">
        <v>29656680</v>
      </c>
      <c r="J106" s="539">
        <f>Table1[[#This Row],[Total Share]]/1476548475</f>
        <v>2.0085138078517875E-2</v>
      </c>
    </row>
    <row r="107" spans="2:12" ht="27" customHeight="1" x14ac:dyDescent="0.3">
      <c r="B107" s="529" t="s">
        <v>744</v>
      </c>
      <c r="C107" s="543" t="s">
        <v>821</v>
      </c>
      <c r="D107" s="544" t="str">
        <f>IFERROR(VLOOKUP(Table1[[#This Row],[Name]], Designation!$A$2:$B$84, 2,FALSE), "Family")</f>
        <v>Family</v>
      </c>
      <c r="E107" s="536" t="s">
        <v>145</v>
      </c>
      <c r="F107" s="537">
        <v>6930001</v>
      </c>
      <c r="G107" s="537">
        <v>0</v>
      </c>
      <c r="H107" s="537">
        <v>0</v>
      </c>
      <c r="I107" s="538">
        <v>91773</v>
      </c>
      <c r="J107" s="539">
        <f>Table1[[#This Row],[Total Share]]/1476548475</f>
        <v>6.2153733218951713E-5</v>
      </c>
    </row>
    <row r="108" spans="2:12" ht="27" customHeight="1" x14ac:dyDescent="0.3">
      <c r="B108" s="534" t="s">
        <v>745</v>
      </c>
      <c r="C108" s="543" t="s">
        <v>821</v>
      </c>
      <c r="D108" s="544" t="str">
        <f>IFERROR(VLOOKUP(Table1[[#This Row],[Name]], Designation!$A$2:$B$84, 2,FALSE), "Family")</f>
        <v>Family</v>
      </c>
      <c r="E108" s="536" t="s">
        <v>147</v>
      </c>
      <c r="F108" s="537">
        <v>9376950</v>
      </c>
      <c r="G108" s="537">
        <v>0</v>
      </c>
      <c r="H108" s="537">
        <v>0</v>
      </c>
      <c r="I108" s="538">
        <v>14503692</v>
      </c>
      <c r="J108" s="539">
        <f>Table1[[#This Row],[Total Share]]/1476548475</f>
        <v>9.8226995222760981E-3</v>
      </c>
    </row>
    <row r="109" spans="2:12" ht="27" customHeight="1" x14ac:dyDescent="0.3">
      <c r="B109" s="529" t="s">
        <v>802</v>
      </c>
      <c r="C109" s="543" t="s">
        <v>821</v>
      </c>
      <c r="D109" s="544" t="str">
        <f>IFERROR(VLOOKUP(Table1[[#This Row],[Name]], Designation!$A$2:$B$84, 2,FALSE), "Family")</f>
        <v>Family</v>
      </c>
      <c r="E109" s="536" t="s">
        <v>231</v>
      </c>
      <c r="F109" s="537"/>
      <c r="G109" s="537"/>
      <c r="H109" s="537"/>
      <c r="I109" s="538">
        <v>3177491</v>
      </c>
      <c r="J109" s="539">
        <f>Table1[[#This Row],[Total Share]]/1476548475</f>
        <v>2.15197201703791E-3</v>
      </c>
    </row>
    <row r="110" spans="2:12" ht="27" customHeight="1" x14ac:dyDescent="0.3">
      <c r="B110" s="529" t="s">
        <v>803</v>
      </c>
      <c r="C110" s="543" t="s">
        <v>821</v>
      </c>
      <c r="D110" s="544" t="str">
        <f>IFERROR(VLOOKUP(Table1[[#This Row],[Name]], Designation!$A$2:$B$84, 2,FALSE), "Family")</f>
        <v>Family</v>
      </c>
      <c r="E110" s="536" t="s">
        <v>232</v>
      </c>
      <c r="F110" s="537"/>
      <c r="G110" s="537"/>
      <c r="H110" s="537"/>
      <c r="I110" s="538">
        <v>333371</v>
      </c>
      <c r="J110" s="539">
        <f>Table1[[#This Row],[Total Share]]/1476548475</f>
        <v>2.2577721330821869E-4</v>
      </c>
    </row>
    <row r="111" spans="2:12" ht="27" customHeight="1" x14ac:dyDescent="0.3">
      <c r="B111" s="529" t="s">
        <v>750</v>
      </c>
      <c r="C111" s="543" t="s">
        <v>622</v>
      </c>
      <c r="D111" s="544" t="str">
        <f>IFERROR(VLOOKUP(Table1[[#This Row],[Name]], Designation!$A$2:$B$84, 2,FALSE), "Family")</f>
        <v>Family</v>
      </c>
      <c r="E111" s="536" t="s">
        <v>125</v>
      </c>
      <c r="F111" s="537"/>
      <c r="G111" s="537"/>
      <c r="H111" s="537"/>
      <c r="I111" s="538">
        <v>203184</v>
      </c>
      <c r="J111" s="539">
        <f>Table1[[#This Row],[Total Share]]/1476548475</f>
        <v>1.3760740228999254E-4</v>
      </c>
    </row>
    <row r="112" spans="2:12" ht="27" customHeight="1" x14ac:dyDescent="0.3">
      <c r="B112" s="529" t="s">
        <v>751</v>
      </c>
      <c r="C112" s="543" t="s">
        <v>622</v>
      </c>
      <c r="D112" s="544" t="str">
        <f>IFERROR(VLOOKUP(Table1[[#This Row],[Name]], Designation!$A$2:$B$84, 2,FALSE), "Family")</f>
        <v>Family</v>
      </c>
      <c r="E112" s="536" t="s">
        <v>130</v>
      </c>
      <c r="F112" s="537"/>
      <c r="G112" s="537"/>
      <c r="H112" s="537"/>
      <c r="I112" s="538">
        <v>11</v>
      </c>
      <c r="J112" s="539">
        <f>Table1[[#This Row],[Total Share]]/1476548475</f>
        <v>7.4498062110693657E-9</v>
      </c>
    </row>
    <row r="113" spans="2:10" ht="27" customHeight="1" x14ac:dyDescent="0.3">
      <c r="B113" s="529" t="s">
        <v>752</v>
      </c>
      <c r="C113" s="543" t="s">
        <v>622</v>
      </c>
      <c r="D113" s="544" t="str">
        <f>IFERROR(VLOOKUP(Table1[[#This Row],[Name]], Designation!$A$2:$B$84, 2,FALSE), "Family")</f>
        <v>Family</v>
      </c>
      <c r="E113" s="536" t="s">
        <v>134</v>
      </c>
      <c r="F113" s="537"/>
      <c r="G113" s="537"/>
      <c r="H113" s="537"/>
      <c r="I113" s="538">
        <v>354545</v>
      </c>
      <c r="J113" s="539">
        <f>Table1[[#This Row],[Total Share]]/1476548475</f>
        <v>2.4011741300941712E-4</v>
      </c>
    </row>
    <row r="114" spans="2:10" ht="27" customHeight="1" x14ac:dyDescent="0.3">
      <c r="B114" s="529" t="s">
        <v>752</v>
      </c>
      <c r="C114" s="543" t="s">
        <v>622</v>
      </c>
      <c r="D114" s="544" t="str">
        <f>IFERROR(VLOOKUP(Table1[[#This Row],[Name]], Designation!$A$2:$B$84, 2,FALSE), "Family")</f>
        <v>Family</v>
      </c>
      <c r="E114" s="536" t="s">
        <v>808</v>
      </c>
      <c r="F114" s="537"/>
      <c r="G114" s="537"/>
      <c r="H114" s="537"/>
      <c r="I114" s="538">
        <v>9265346</v>
      </c>
      <c r="J114" s="539">
        <f>Table1[[#This Row],[Total Share]]/1476548475</f>
        <v>6.2750029253187912E-3</v>
      </c>
    </row>
    <row r="115" spans="2:10" ht="27" customHeight="1" x14ac:dyDescent="0.3">
      <c r="B115" s="529" t="s">
        <v>746</v>
      </c>
      <c r="C115" s="543" t="s">
        <v>570</v>
      </c>
      <c r="D115" s="544" t="str">
        <f>IFERROR(VLOOKUP(Table1[[#This Row],[Name]], Designation!$A$2:$B$84, 2,FALSE), "Family")</f>
        <v>Family</v>
      </c>
      <c r="E115" s="536" t="s">
        <v>42</v>
      </c>
      <c r="F115" s="537"/>
      <c r="G115" s="537"/>
      <c r="H115" s="537"/>
      <c r="I115" s="538">
        <v>9686272</v>
      </c>
      <c r="J115" s="539">
        <f>Table1[[#This Row],[Total Share]]/1476548475</f>
        <v>6.5600772097915714E-3</v>
      </c>
    </row>
    <row r="116" spans="2:10" ht="27" customHeight="1" x14ac:dyDescent="0.3">
      <c r="B116" s="529" t="s">
        <v>748</v>
      </c>
      <c r="C116" s="543" t="s">
        <v>570</v>
      </c>
      <c r="D116" s="544" t="str">
        <f>IFERROR(VLOOKUP(Table1[[#This Row],[Name]], Designation!$A$2:$B$84, 2,FALSE), "Family")</f>
        <v>Family</v>
      </c>
      <c r="E116" s="536" t="s">
        <v>45</v>
      </c>
      <c r="F116" s="537"/>
      <c r="G116" s="537"/>
      <c r="H116" s="537"/>
      <c r="I116" s="538">
        <v>4711718</v>
      </c>
      <c r="J116" s="539">
        <f>Table1[[#This Row],[Total Share]]/1476548475</f>
        <v>3.1910350928370298E-3</v>
      </c>
    </row>
    <row r="117" spans="2:10" ht="27" customHeight="1" x14ac:dyDescent="0.3">
      <c r="B117" s="529" t="s">
        <v>749</v>
      </c>
      <c r="C117" s="543" t="s">
        <v>570</v>
      </c>
      <c r="D117" s="544" t="str">
        <f>IFERROR(VLOOKUP(Table1[[#This Row],[Name]], Designation!$A$2:$B$84, 2,FALSE), "Family")</f>
        <v>Family</v>
      </c>
      <c r="E117" s="536" t="s">
        <v>47</v>
      </c>
      <c r="F117" s="537"/>
      <c r="G117" s="537"/>
      <c r="H117" s="537"/>
      <c r="I117" s="538">
        <v>5037348</v>
      </c>
      <c r="J117" s="539">
        <f>Table1[[#This Row],[Total Share]]/1476548475</f>
        <v>3.4115696743379862E-3</v>
      </c>
    </row>
    <row r="118" spans="2:10" ht="27" customHeight="1" x14ac:dyDescent="0.3">
      <c r="B118" s="529" t="s">
        <v>48</v>
      </c>
      <c r="C118" s="543" t="s">
        <v>570</v>
      </c>
      <c r="D118" s="544" t="str">
        <f>IFERROR(VLOOKUP(Table1[[#This Row],[Name]], Designation!$A$2:$B$84, 2,FALSE), "Family")</f>
        <v>Family</v>
      </c>
      <c r="E118" s="536" t="s">
        <v>49</v>
      </c>
      <c r="F118" s="537"/>
      <c r="G118" s="537"/>
      <c r="H118" s="537"/>
      <c r="I118" s="538">
        <v>663</v>
      </c>
      <c r="J118" s="539">
        <f>Table1[[#This Row],[Total Share]]/1476548475</f>
        <v>4.4902013799445358E-7</v>
      </c>
    </row>
    <row r="119" spans="2:10" ht="27" customHeight="1" x14ac:dyDescent="0.3">
      <c r="B119" s="529" t="s">
        <v>804</v>
      </c>
      <c r="C119" s="543" t="s">
        <v>570</v>
      </c>
      <c r="D119" s="544" t="str">
        <f>IFERROR(VLOOKUP(Table1[[#This Row],[Name]], Designation!$A$2:$B$84, 2,FALSE), "Family")</f>
        <v>Family</v>
      </c>
      <c r="E119" s="536" t="s">
        <v>809</v>
      </c>
      <c r="F119" s="537"/>
      <c r="G119" s="537"/>
      <c r="H119" s="537"/>
      <c r="I119" s="538">
        <v>3757709</v>
      </c>
      <c r="J119" s="539">
        <f>Table1[[#This Row],[Total Share]]/1476548475</f>
        <v>2.544927622508296E-3</v>
      </c>
    </row>
    <row r="120" spans="2:10" ht="27" customHeight="1" x14ac:dyDescent="0.3">
      <c r="B120" s="546" t="s">
        <v>805</v>
      </c>
      <c r="C120" s="547" t="s">
        <v>819</v>
      </c>
      <c r="D120" s="548" t="str">
        <f>IFERROR(VLOOKUP(Table1[[#This Row],[Name]], Designation!$A$2:$B$84, 2,FALSE), "Family")</f>
        <v>Family</v>
      </c>
      <c r="E120" s="549" t="s">
        <v>512</v>
      </c>
      <c r="F120" s="550"/>
      <c r="G120" s="550"/>
      <c r="H120" s="550"/>
      <c r="I120" s="551">
        <v>7183037</v>
      </c>
      <c r="J120" s="552">
        <f>Table1[[#This Row],[Total Share]]/1476548475</f>
        <v>4.8647485142673695E-3</v>
      </c>
    </row>
  </sheetData>
  <conditionalFormatting sqref="E1:E1048576">
    <cfRule type="duplicateValues" dxfId="17" priority="1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B84"/>
  <sheetViews>
    <sheetView workbookViewId="0">
      <selection activeCell="A15" sqref="A15"/>
    </sheetView>
  </sheetViews>
  <sheetFormatPr defaultColWidth="39.44140625" defaultRowHeight="14.4" x14ac:dyDescent="0.3"/>
  <sheetData>
    <row r="1" spans="1:2" x14ac:dyDescent="0.3">
      <c r="A1" s="513" t="s">
        <v>706</v>
      </c>
      <c r="B1" s="513" t="s">
        <v>759</v>
      </c>
    </row>
    <row r="2" spans="1:2" ht="25.2" x14ac:dyDescent="0.3">
      <c r="A2" s="513" t="s">
        <v>511</v>
      </c>
      <c r="B2" s="513" t="s">
        <v>828</v>
      </c>
    </row>
    <row r="3" spans="1:2" x14ac:dyDescent="0.3">
      <c r="A3" s="513" t="s">
        <v>707</v>
      </c>
      <c r="B3" s="513" t="s">
        <v>760</v>
      </c>
    </row>
    <row r="4" spans="1:2" x14ac:dyDescent="0.3">
      <c r="A4" s="513" t="s">
        <v>272</v>
      </c>
      <c r="B4" s="513" t="s">
        <v>761</v>
      </c>
    </row>
    <row r="5" spans="1:2" x14ac:dyDescent="0.3">
      <c r="A5" s="514" t="s">
        <v>762</v>
      </c>
      <c r="B5" s="513" t="s">
        <v>650</v>
      </c>
    </row>
    <row r="6" spans="1:2" x14ac:dyDescent="0.3">
      <c r="A6" s="513" t="s">
        <v>708</v>
      </c>
      <c r="B6" s="513" t="s">
        <v>761</v>
      </c>
    </row>
    <row r="7" spans="1:2" x14ac:dyDescent="0.3">
      <c r="A7" s="513" t="s">
        <v>86</v>
      </c>
      <c r="B7" s="513" t="s">
        <v>761</v>
      </c>
    </row>
    <row r="8" spans="1:2" x14ac:dyDescent="0.3">
      <c r="A8" s="513" t="s">
        <v>709</v>
      </c>
      <c r="B8" s="513" t="s">
        <v>766</v>
      </c>
    </row>
    <row r="9" spans="1:2" x14ac:dyDescent="0.3">
      <c r="A9" s="513" t="s">
        <v>827</v>
      </c>
      <c r="B9" s="513" t="s">
        <v>761</v>
      </c>
    </row>
    <row r="10" spans="1:2" x14ac:dyDescent="0.3">
      <c r="A10" s="513" t="s">
        <v>705</v>
      </c>
      <c r="B10" s="513" t="s">
        <v>761</v>
      </c>
    </row>
    <row r="11" spans="1:2" x14ac:dyDescent="0.3">
      <c r="A11" s="513" t="s">
        <v>786</v>
      </c>
      <c r="B11" s="513" t="s">
        <v>766</v>
      </c>
    </row>
    <row r="12" spans="1:2" x14ac:dyDescent="0.3">
      <c r="A12" s="514" t="s">
        <v>754</v>
      </c>
      <c r="B12" s="513" t="s">
        <v>761</v>
      </c>
    </row>
    <row r="13" spans="1:2" x14ac:dyDescent="0.3">
      <c r="A13" s="513" t="s">
        <v>710</v>
      </c>
      <c r="B13" s="513" t="s">
        <v>761</v>
      </c>
    </row>
    <row r="14" spans="1:2" x14ac:dyDescent="0.3">
      <c r="A14" s="513" t="s">
        <v>763</v>
      </c>
      <c r="B14" s="513" t="s">
        <v>761</v>
      </c>
    </row>
    <row r="15" spans="1:2" x14ac:dyDescent="0.3">
      <c r="A15" s="514" t="s">
        <v>711</v>
      </c>
      <c r="B15" s="513" t="s">
        <v>761</v>
      </c>
    </row>
    <row r="16" spans="1:2" x14ac:dyDescent="0.3">
      <c r="A16" s="514" t="s">
        <v>753</v>
      </c>
      <c r="B16" s="513" t="s">
        <v>761</v>
      </c>
    </row>
    <row r="17" spans="1:2" x14ac:dyDescent="0.3">
      <c r="A17" s="514" t="s">
        <v>270</v>
      </c>
      <c r="B17" s="513" t="s">
        <v>650</v>
      </c>
    </row>
    <row r="18" spans="1:2" ht="25.2" x14ac:dyDescent="0.3">
      <c r="A18" s="514" t="s">
        <v>649</v>
      </c>
      <c r="B18" s="513" t="s">
        <v>650</v>
      </c>
    </row>
    <row r="19" spans="1:2" x14ac:dyDescent="0.3">
      <c r="A19" s="513" t="s">
        <v>764</v>
      </c>
      <c r="B19" s="513" t="s">
        <v>765</v>
      </c>
    </row>
    <row r="20" spans="1:2" x14ac:dyDescent="0.3">
      <c r="A20" s="504" t="s">
        <v>712</v>
      </c>
      <c r="B20" s="513" t="s">
        <v>829</v>
      </c>
    </row>
    <row r="21" spans="1:2" x14ac:dyDescent="0.3">
      <c r="A21" s="504" t="s">
        <v>719</v>
      </c>
      <c r="B21" s="513" t="s">
        <v>766</v>
      </c>
    </row>
    <row r="22" spans="1:2" ht="25.2" x14ac:dyDescent="0.3">
      <c r="A22" s="514" t="s">
        <v>767</v>
      </c>
      <c r="B22" s="513" t="s">
        <v>768</v>
      </c>
    </row>
    <row r="23" spans="1:2" ht="25.2" x14ac:dyDescent="0.3">
      <c r="A23" s="514" t="s">
        <v>769</v>
      </c>
      <c r="B23" s="513" t="s">
        <v>768</v>
      </c>
    </row>
    <row r="24" spans="1:2" ht="25.2" x14ac:dyDescent="0.3">
      <c r="A24" s="514" t="s">
        <v>770</v>
      </c>
      <c r="B24" s="513" t="s">
        <v>768</v>
      </c>
    </row>
    <row r="25" spans="1:2" ht="25.2" x14ac:dyDescent="0.3">
      <c r="A25" s="514" t="s">
        <v>771</v>
      </c>
      <c r="B25" s="513" t="s">
        <v>768</v>
      </c>
    </row>
    <row r="26" spans="1:2" ht="25.2" x14ac:dyDescent="0.3">
      <c r="A26" s="514" t="s">
        <v>772</v>
      </c>
      <c r="B26" s="513" t="s">
        <v>768</v>
      </c>
    </row>
    <row r="27" spans="1:2" x14ac:dyDescent="0.3">
      <c r="A27" s="514" t="s">
        <v>773</v>
      </c>
      <c r="B27" s="513" t="s">
        <v>761</v>
      </c>
    </row>
    <row r="28" spans="1:2" x14ac:dyDescent="0.3">
      <c r="A28" s="514" t="s">
        <v>774</v>
      </c>
      <c r="B28" s="513" t="s">
        <v>766</v>
      </c>
    </row>
    <row r="29" spans="1:2" x14ac:dyDescent="0.3">
      <c r="A29" s="514" t="s">
        <v>775</v>
      </c>
      <c r="B29" s="513" t="s">
        <v>765</v>
      </c>
    </row>
    <row r="30" spans="1:2" x14ac:dyDescent="0.3">
      <c r="A30" s="514" t="s">
        <v>776</v>
      </c>
      <c r="B30" s="513" t="s">
        <v>761</v>
      </c>
    </row>
    <row r="31" spans="1:2" x14ac:dyDescent="0.3">
      <c r="A31" s="514" t="s">
        <v>777</v>
      </c>
      <c r="B31" s="513" t="s">
        <v>765</v>
      </c>
    </row>
    <row r="32" spans="1:2" x14ac:dyDescent="0.3">
      <c r="A32" s="514" t="s">
        <v>778</v>
      </c>
      <c r="B32" s="513" t="s">
        <v>761</v>
      </c>
    </row>
    <row r="33" spans="1:2" x14ac:dyDescent="0.3">
      <c r="A33" s="518" t="s">
        <v>713</v>
      </c>
      <c r="B33" s="519" t="s">
        <v>784</v>
      </c>
    </row>
    <row r="34" spans="1:2" x14ac:dyDescent="0.3">
      <c r="A34" s="518" t="s">
        <v>714</v>
      </c>
      <c r="B34" s="513" t="s">
        <v>829</v>
      </c>
    </row>
    <row r="35" spans="1:2" x14ac:dyDescent="0.3">
      <c r="A35" s="518" t="s">
        <v>48</v>
      </c>
      <c r="B35" s="519" t="s">
        <v>784</v>
      </c>
    </row>
    <row r="36" spans="1:2" x14ac:dyDescent="0.3">
      <c r="A36" s="518" t="s">
        <v>285</v>
      </c>
      <c r="B36" s="519" t="s">
        <v>784</v>
      </c>
    </row>
    <row r="37" spans="1:2" x14ac:dyDescent="0.3">
      <c r="A37" s="518" t="s">
        <v>789</v>
      </c>
      <c r="B37" s="519" t="s">
        <v>784</v>
      </c>
    </row>
    <row r="38" spans="1:2" x14ac:dyDescent="0.3">
      <c r="A38" s="518" t="s">
        <v>715</v>
      </c>
      <c r="B38" s="519" t="s">
        <v>784</v>
      </c>
    </row>
    <row r="39" spans="1:2" x14ac:dyDescent="0.3">
      <c r="A39" s="514" t="s">
        <v>785</v>
      </c>
      <c r="B39" s="519" t="s">
        <v>784</v>
      </c>
    </row>
    <row r="40" spans="1:2" x14ac:dyDescent="0.3">
      <c r="A40" s="518" t="s">
        <v>716</v>
      </c>
      <c r="B40" s="519" t="s">
        <v>784</v>
      </c>
    </row>
    <row r="41" spans="1:2" x14ac:dyDescent="0.3">
      <c r="A41" s="518" t="s">
        <v>717</v>
      </c>
      <c r="B41" s="519" t="s">
        <v>784</v>
      </c>
    </row>
    <row r="42" spans="1:2" x14ac:dyDescent="0.3">
      <c r="A42" s="518" t="s">
        <v>718</v>
      </c>
      <c r="B42" s="519" t="s">
        <v>784</v>
      </c>
    </row>
    <row r="43" spans="1:2" x14ac:dyDescent="0.3">
      <c r="A43" s="518" t="s">
        <v>720</v>
      </c>
      <c r="B43" s="519" t="s">
        <v>784</v>
      </c>
    </row>
    <row r="44" spans="1:2" x14ac:dyDescent="0.3">
      <c r="A44" s="518" t="s">
        <v>721</v>
      </c>
      <c r="B44" s="519" t="s">
        <v>784</v>
      </c>
    </row>
    <row r="45" spans="1:2" x14ac:dyDescent="0.3">
      <c r="A45" s="518" t="s">
        <v>722</v>
      </c>
      <c r="B45" s="519" t="s">
        <v>784</v>
      </c>
    </row>
    <row r="46" spans="1:2" x14ac:dyDescent="0.3">
      <c r="A46" s="518" t="s">
        <v>755</v>
      </c>
      <c r="B46" s="519" t="s">
        <v>784</v>
      </c>
    </row>
    <row r="47" spans="1:2" x14ac:dyDescent="0.3">
      <c r="A47" s="518" t="s">
        <v>723</v>
      </c>
      <c r="B47" s="519" t="s">
        <v>784</v>
      </c>
    </row>
    <row r="48" spans="1:2" x14ac:dyDescent="0.3">
      <c r="A48" s="518" t="s">
        <v>181</v>
      </c>
      <c r="B48" s="519" t="s">
        <v>784</v>
      </c>
    </row>
    <row r="49" spans="1:2" x14ac:dyDescent="0.3">
      <c r="A49" s="518" t="s">
        <v>225</v>
      </c>
      <c r="B49" s="519" t="s">
        <v>784</v>
      </c>
    </row>
    <row r="50" spans="1:2" x14ac:dyDescent="0.3">
      <c r="A50" s="518" t="s">
        <v>724</v>
      </c>
      <c r="B50" s="519" t="s">
        <v>784</v>
      </c>
    </row>
    <row r="51" spans="1:2" x14ac:dyDescent="0.3">
      <c r="A51" s="518" t="s">
        <v>725</v>
      </c>
      <c r="B51" s="519" t="s">
        <v>784</v>
      </c>
    </row>
    <row r="52" spans="1:2" x14ac:dyDescent="0.3">
      <c r="A52" s="518" t="s">
        <v>726</v>
      </c>
      <c r="B52" s="519" t="s">
        <v>784</v>
      </c>
    </row>
    <row r="53" spans="1:2" x14ac:dyDescent="0.3">
      <c r="A53" s="518" t="s">
        <v>727</v>
      </c>
      <c r="B53" s="519" t="s">
        <v>784</v>
      </c>
    </row>
    <row r="54" spans="1:2" x14ac:dyDescent="0.3">
      <c r="A54" s="518" t="s">
        <v>728</v>
      </c>
      <c r="B54" s="519" t="s">
        <v>784</v>
      </c>
    </row>
    <row r="55" spans="1:2" x14ac:dyDescent="0.3">
      <c r="A55" s="514" t="s">
        <v>729</v>
      </c>
      <c r="B55" s="519" t="s">
        <v>784</v>
      </c>
    </row>
    <row r="56" spans="1:2" x14ac:dyDescent="0.3">
      <c r="A56" s="518" t="s">
        <v>729</v>
      </c>
      <c r="B56" s="519" t="s">
        <v>784</v>
      </c>
    </row>
    <row r="57" spans="1:2" x14ac:dyDescent="0.3">
      <c r="A57" s="518" t="s">
        <v>730</v>
      </c>
      <c r="B57" s="519" t="s">
        <v>784</v>
      </c>
    </row>
    <row r="58" spans="1:2" x14ac:dyDescent="0.3">
      <c r="A58" s="518" t="s">
        <v>731</v>
      </c>
      <c r="B58" s="519" t="s">
        <v>784</v>
      </c>
    </row>
    <row r="59" spans="1:2" x14ac:dyDescent="0.3">
      <c r="A59" s="518" t="s">
        <v>732</v>
      </c>
      <c r="B59" s="519" t="s">
        <v>784</v>
      </c>
    </row>
    <row r="60" spans="1:2" x14ac:dyDescent="0.3">
      <c r="A60" s="518" t="s">
        <v>733</v>
      </c>
      <c r="B60" s="519" t="s">
        <v>784</v>
      </c>
    </row>
    <row r="61" spans="1:2" x14ac:dyDescent="0.3">
      <c r="A61" s="518" t="s">
        <v>734</v>
      </c>
      <c r="B61" s="519" t="s">
        <v>784</v>
      </c>
    </row>
    <row r="62" spans="1:2" x14ac:dyDescent="0.3">
      <c r="A62" s="518" t="s">
        <v>735</v>
      </c>
      <c r="B62" s="519" t="s">
        <v>784</v>
      </c>
    </row>
    <row r="63" spans="1:2" x14ac:dyDescent="0.3">
      <c r="A63" s="518" t="s">
        <v>736</v>
      </c>
      <c r="B63" s="519" t="s">
        <v>784</v>
      </c>
    </row>
    <row r="64" spans="1:2" x14ac:dyDescent="0.3">
      <c r="A64" s="518" t="s">
        <v>737</v>
      </c>
      <c r="B64" s="519" t="s">
        <v>784</v>
      </c>
    </row>
    <row r="65" spans="1:2" x14ac:dyDescent="0.3">
      <c r="A65" s="518" t="s">
        <v>738</v>
      </c>
      <c r="B65" s="519" t="s">
        <v>784</v>
      </c>
    </row>
    <row r="66" spans="1:2" x14ac:dyDescent="0.3">
      <c r="A66" s="518" t="s">
        <v>739</v>
      </c>
      <c r="B66" s="519" t="s">
        <v>784</v>
      </c>
    </row>
    <row r="67" spans="1:2" x14ac:dyDescent="0.3">
      <c r="A67" s="518" t="s">
        <v>740</v>
      </c>
      <c r="B67" s="519" t="s">
        <v>784</v>
      </c>
    </row>
    <row r="68" spans="1:2" x14ac:dyDescent="0.3">
      <c r="A68" s="518" t="s">
        <v>741</v>
      </c>
      <c r="B68" s="519" t="s">
        <v>784</v>
      </c>
    </row>
    <row r="69" spans="1:2" x14ac:dyDescent="0.3">
      <c r="A69" s="518" t="s">
        <v>742</v>
      </c>
      <c r="B69" s="513" t="s">
        <v>766</v>
      </c>
    </row>
    <row r="70" spans="1:2" x14ac:dyDescent="0.3">
      <c r="A70" s="518" t="s">
        <v>743</v>
      </c>
      <c r="B70" s="519" t="s">
        <v>784</v>
      </c>
    </row>
    <row r="71" spans="1:2" x14ac:dyDescent="0.3">
      <c r="A71" s="518" t="s">
        <v>744</v>
      </c>
      <c r="B71" s="519" t="s">
        <v>784</v>
      </c>
    </row>
    <row r="72" spans="1:2" x14ac:dyDescent="0.3">
      <c r="A72" s="518" t="s">
        <v>745</v>
      </c>
      <c r="B72" s="519" t="s">
        <v>784</v>
      </c>
    </row>
    <row r="73" spans="1:2" x14ac:dyDescent="0.3">
      <c r="A73" s="518" t="s">
        <v>746</v>
      </c>
      <c r="B73" s="519" t="s">
        <v>784</v>
      </c>
    </row>
    <row r="74" spans="1:2" x14ac:dyDescent="0.3">
      <c r="A74" s="518" t="s">
        <v>747</v>
      </c>
      <c r="B74" s="519" t="s">
        <v>784</v>
      </c>
    </row>
    <row r="75" spans="1:2" x14ac:dyDescent="0.3">
      <c r="A75" s="518" t="s">
        <v>748</v>
      </c>
      <c r="B75" s="519" t="s">
        <v>784</v>
      </c>
    </row>
    <row r="76" spans="1:2" x14ac:dyDescent="0.3">
      <c r="A76" s="518" t="s">
        <v>749</v>
      </c>
      <c r="B76" s="519" t="s">
        <v>784</v>
      </c>
    </row>
    <row r="77" spans="1:2" x14ac:dyDescent="0.3">
      <c r="A77" s="518" t="s">
        <v>750</v>
      </c>
      <c r="B77" s="519" t="s">
        <v>784</v>
      </c>
    </row>
    <row r="78" spans="1:2" x14ac:dyDescent="0.3">
      <c r="A78" s="520" t="s">
        <v>751</v>
      </c>
      <c r="B78" s="521" t="s">
        <v>784</v>
      </c>
    </row>
    <row r="79" spans="1:2" x14ac:dyDescent="0.3">
      <c r="A79" s="520" t="s">
        <v>752</v>
      </c>
      <c r="B79" s="521" t="s">
        <v>784</v>
      </c>
    </row>
    <row r="80" spans="1:2" x14ac:dyDescent="0.3">
      <c r="A80" s="520" t="s">
        <v>756</v>
      </c>
      <c r="B80" s="521" t="s">
        <v>784</v>
      </c>
    </row>
    <row r="81" spans="1:2" x14ac:dyDescent="0.3">
      <c r="A81" s="520" t="s">
        <v>757</v>
      </c>
      <c r="B81" s="521" t="s">
        <v>784</v>
      </c>
    </row>
    <row r="82" spans="1:2" x14ac:dyDescent="0.3">
      <c r="A82" s="520" t="s">
        <v>788</v>
      </c>
      <c r="B82" s="521" t="s">
        <v>784</v>
      </c>
    </row>
    <row r="83" spans="1:2" x14ac:dyDescent="0.3">
      <c r="A83" s="520" t="s">
        <v>787</v>
      </c>
      <c r="B83" s="521" t="s">
        <v>784</v>
      </c>
    </row>
    <row r="84" spans="1:2" x14ac:dyDescent="0.3">
      <c r="A84" s="514" t="s">
        <v>798</v>
      </c>
      <c r="B84" s="521" t="s">
        <v>784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E11"/>
  <sheetViews>
    <sheetView zoomScale="90" zoomScaleNormal="90" workbookViewId="0">
      <pane ySplit="3" topLeftCell="A4" activePane="bottomLeft" state="frozen"/>
      <selection pane="bottomLeft" activeCell="E1" sqref="E1"/>
    </sheetView>
  </sheetViews>
  <sheetFormatPr defaultRowHeight="14.4" x14ac:dyDescent="0.3"/>
  <cols>
    <col min="1" max="1" width="19.109375" bestFit="1" customWidth="1"/>
    <col min="2" max="2" width="28.44140625" customWidth="1"/>
    <col min="3" max="3" width="17.33203125" bestFit="1" customWidth="1"/>
    <col min="4" max="4" width="17.33203125" style="516" customWidth="1"/>
    <col min="5" max="5" width="17.33203125" customWidth="1"/>
    <col min="7" max="7" width="9.88671875" bestFit="1" customWidth="1"/>
  </cols>
  <sheetData>
    <row r="1" spans="1:5" x14ac:dyDescent="0.3">
      <c r="A1" s="503" t="s">
        <v>706</v>
      </c>
      <c r="B1" t="s">
        <v>741</v>
      </c>
      <c r="C1" t="str">
        <f>VLOOKUP(B1, Designation!$A$2:$B$84, 2,FALSE)</f>
        <v>Family</v>
      </c>
      <c r="D1" s="516" t="s">
        <v>779</v>
      </c>
      <c r="E1" s="515" t="str">
        <f t="array" aca="1" ref="E1" ca="1">JOINTEXT(", ", 1, (OFFSET($A$3, COUNTA($A$4:$A$23), 0, -COUNTA($A$4:$A$23), 1)))</f>
        <v>1201830034019413, 1204030057883555, 1205590057883555, 1205590034019413</v>
      </c>
    </row>
    <row r="2" spans="1:5" x14ac:dyDescent="0.3">
      <c r="D2" s="517" t="s">
        <v>782</v>
      </c>
      <c r="E2" s="515">
        <f ca="1">SUM(OFFSET($B$3, COUNTA($B$4:$B$23), 0, -COUNTA($B$4:$B$23), 1))</f>
        <v>5089657</v>
      </c>
    </row>
    <row r="3" spans="1:5" x14ac:dyDescent="0.3">
      <c r="A3" s="503" t="s">
        <v>779</v>
      </c>
      <c r="B3" t="s">
        <v>780</v>
      </c>
      <c r="C3" t="s">
        <v>781</v>
      </c>
      <c r="D3" s="516" t="s">
        <v>783</v>
      </c>
      <c r="E3" s="515">
        <f ca="1">E2*10</f>
        <v>50896570</v>
      </c>
    </row>
    <row r="4" spans="1:5" x14ac:dyDescent="0.3">
      <c r="A4" s="504" t="s">
        <v>163</v>
      </c>
      <c r="B4" s="515">
        <v>1261001</v>
      </c>
      <c r="C4" s="515">
        <v>12610010</v>
      </c>
    </row>
    <row r="5" spans="1:5" x14ac:dyDescent="0.3">
      <c r="A5" s="504" t="s">
        <v>504</v>
      </c>
      <c r="B5" s="515">
        <v>181843</v>
      </c>
      <c r="C5" s="515">
        <v>1818430</v>
      </c>
    </row>
    <row r="6" spans="1:5" x14ac:dyDescent="0.3">
      <c r="A6" s="504" t="s">
        <v>534</v>
      </c>
      <c r="B6" s="515">
        <v>3445431</v>
      </c>
      <c r="C6" s="515">
        <v>34454310</v>
      </c>
    </row>
    <row r="7" spans="1:5" x14ac:dyDescent="0.3">
      <c r="A7" s="504" t="s">
        <v>535</v>
      </c>
      <c r="B7" s="515">
        <v>201382</v>
      </c>
      <c r="C7" s="515">
        <v>2013820</v>
      </c>
    </row>
    <row r="8" spans="1:5" x14ac:dyDescent="0.3">
      <c r="E8" t="s">
        <v>790</v>
      </c>
    </row>
    <row r="11" spans="1:5" x14ac:dyDescent="0.3">
      <c r="B11" s="504"/>
      <c r="C11" s="504"/>
      <c r="E11" s="504"/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8:H41"/>
  <sheetViews>
    <sheetView showGridLines="0" view="pageBreakPreview" zoomScale="90" zoomScaleNormal="100" zoomScaleSheetLayoutView="90" workbookViewId="0">
      <selection activeCell="C1" sqref="C1"/>
    </sheetView>
  </sheetViews>
  <sheetFormatPr defaultColWidth="9.109375" defaultRowHeight="14.4" x14ac:dyDescent="0.3"/>
  <cols>
    <col min="1" max="7" width="9.109375" style="524"/>
    <col min="8" max="8" width="21.5546875" style="524" customWidth="1"/>
    <col min="9" max="16384" width="9.109375" style="524"/>
  </cols>
  <sheetData>
    <row r="8" spans="1:8" x14ac:dyDescent="0.3">
      <c r="A8" s="522"/>
      <c r="B8" s="522"/>
      <c r="C8" s="522"/>
      <c r="D8" s="522"/>
      <c r="E8" s="522"/>
      <c r="F8" s="523"/>
      <c r="G8" s="522"/>
      <c r="H8" s="522"/>
    </row>
    <row r="9" spans="1:8" x14ac:dyDescent="0.3">
      <c r="A9" s="522"/>
      <c r="B9" s="522"/>
      <c r="C9" s="522"/>
      <c r="D9" s="522"/>
      <c r="E9" s="522"/>
      <c r="F9" s="523"/>
      <c r="G9" s="522"/>
      <c r="H9" s="522"/>
    </row>
    <row r="10" spans="1:8" x14ac:dyDescent="0.3">
      <c r="A10" s="522"/>
      <c r="B10" s="522"/>
      <c r="C10" s="522"/>
      <c r="D10" s="522"/>
      <c r="E10" s="522"/>
      <c r="F10" s="523"/>
      <c r="G10" s="522"/>
      <c r="H10" s="522"/>
    </row>
    <row r="11" spans="1:8" x14ac:dyDescent="0.3">
      <c r="A11" s="522"/>
      <c r="B11" s="522"/>
      <c r="C11" s="522"/>
      <c r="D11" s="522"/>
      <c r="E11" s="522"/>
      <c r="F11" s="523"/>
      <c r="G11" s="522"/>
      <c r="H11" s="522"/>
    </row>
    <row r="12" spans="1:8" x14ac:dyDescent="0.3">
      <c r="A12" s="522"/>
      <c r="B12" s="522"/>
      <c r="C12" s="522"/>
      <c r="D12" s="522"/>
      <c r="E12" s="522"/>
      <c r="F12" s="523"/>
      <c r="G12" s="522"/>
      <c r="H12" s="522"/>
    </row>
    <row r="13" spans="1:8" x14ac:dyDescent="0.3">
      <c r="A13" s="522"/>
      <c r="B13" s="522"/>
      <c r="C13" s="522"/>
      <c r="D13" s="522"/>
      <c r="E13" s="522"/>
      <c r="F13" s="523"/>
      <c r="G13" s="522"/>
      <c r="H13" s="522"/>
    </row>
    <row r="14" spans="1:8" x14ac:dyDescent="0.3">
      <c r="A14" s="522"/>
      <c r="B14" s="522"/>
      <c r="C14" s="522"/>
      <c r="D14" s="522"/>
      <c r="E14" s="522"/>
      <c r="F14" s="522"/>
      <c r="G14" s="522"/>
      <c r="H14" s="522"/>
    </row>
    <row r="15" spans="1:8" x14ac:dyDescent="0.3">
      <c r="A15" s="599" t="str">
        <f ca="1">CONCATENATE("NO.UCB/HO/BOARD/F-30 (VI)-6/            /", (YEAR(H15)))</f>
        <v>NO.UCB/HO/BOARD/F-30 (VI)-6/            /2026</v>
      </c>
      <c r="B15" s="599"/>
      <c r="C15" s="599"/>
      <c r="D15" s="599"/>
      <c r="E15" s="599"/>
      <c r="F15" s="599"/>
      <c r="G15" s="599"/>
      <c r="H15" s="528">
        <f ca="1">TODAY()</f>
        <v>46199</v>
      </c>
    </row>
    <row r="16" spans="1:8" x14ac:dyDescent="0.3">
      <c r="A16" s="522"/>
      <c r="B16" s="522"/>
      <c r="C16" s="522"/>
      <c r="D16" s="522"/>
      <c r="E16" s="522"/>
      <c r="F16" s="522"/>
      <c r="G16" s="522"/>
      <c r="H16" s="522"/>
    </row>
    <row r="17" spans="1:8" x14ac:dyDescent="0.3">
      <c r="A17" s="522"/>
      <c r="B17" s="522"/>
      <c r="C17" s="522"/>
      <c r="D17" s="522"/>
      <c r="E17" s="522"/>
      <c r="F17" s="522"/>
      <c r="G17" s="522"/>
      <c r="H17" s="522"/>
    </row>
    <row r="18" spans="1:8" x14ac:dyDescent="0.3">
      <c r="A18" s="522"/>
      <c r="B18" s="522"/>
      <c r="C18" s="522"/>
      <c r="D18" s="522"/>
      <c r="E18" s="522"/>
      <c r="F18" s="522"/>
      <c r="G18" s="522"/>
      <c r="H18" s="522"/>
    </row>
    <row r="19" spans="1:8" x14ac:dyDescent="0.3">
      <c r="A19" s="522"/>
      <c r="B19" s="522"/>
      <c r="C19" s="522"/>
      <c r="D19" s="522"/>
      <c r="E19" s="522"/>
      <c r="F19" s="522"/>
      <c r="G19" s="522"/>
      <c r="H19" s="522"/>
    </row>
    <row r="20" spans="1:8" x14ac:dyDescent="0.3">
      <c r="A20" s="522"/>
      <c r="B20" s="522"/>
      <c r="C20" s="522"/>
      <c r="D20" s="522"/>
      <c r="E20" s="522"/>
      <c r="F20" s="522"/>
      <c r="G20" s="522"/>
      <c r="H20" s="522"/>
    </row>
    <row r="21" spans="1:8" x14ac:dyDescent="0.3">
      <c r="A21" s="600" t="s">
        <v>758</v>
      </c>
      <c r="B21" s="600"/>
      <c r="C21" s="600"/>
      <c r="D21" s="600"/>
      <c r="E21" s="600"/>
      <c r="F21" s="600"/>
      <c r="G21" s="600"/>
      <c r="H21" s="600"/>
    </row>
    <row r="22" spans="1:8" x14ac:dyDescent="0.3">
      <c r="A22" s="525"/>
      <c r="B22" s="525"/>
      <c r="C22" s="525"/>
      <c r="D22" s="525"/>
      <c r="E22" s="525"/>
      <c r="F22" s="525"/>
      <c r="G22" s="525"/>
      <c r="H22" s="525"/>
    </row>
    <row r="23" spans="1:8" x14ac:dyDescent="0.3">
      <c r="A23" s="525"/>
      <c r="B23" s="525"/>
      <c r="C23" s="525"/>
      <c r="D23" s="525"/>
      <c r="E23" s="525"/>
      <c r="F23" s="525"/>
      <c r="G23" s="525"/>
      <c r="H23" s="525"/>
    </row>
    <row r="24" spans="1:8" x14ac:dyDescent="0.3">
      <c r="A24" s="525"/>
      <c r="B24" s="525"/>
      <c r="C24" s="525"/>
      <c r="D24" s="525"/>
      <c r="E24" s="525"/>
      <c r="F24" s="525"/>
      <c r="G24" s="525"/>
      <c r="H24" s="525"/>
    </row>
    <row r="25" spans="1:8" x14ac:dyDescent="0.3">
      <c r="A25" s="522"/>
      <c r="B25" s="522"/>
      <c r="C25" s="522"/>
      <c r="D25" s="522"/>
      <c r="E25" s="522"/>
      <c r="F25" s="522"/>
      <c r="G25" s="522"/>
      <c r="H25" s="522"/>
    </row>
    <row r="26" spans="1:8" ht="86.25" customHeight="1" x14ac:dyDescent="0.3">
      <c r="A26" s="601" t="str">
        <f ca="1">CONCATENATE("This is to certify that ", Summary!B1, (", "), Summary!C1, (" of United Commercial Bank PLC vide BO No. "), Summary!E1,(" holds "), TEXT(Summary!E2, "#,##0"), (" shares @ Tk.10/- each worth Tk."),  TEXT(Summary!E3, "#,##0"), (".00"), (" (Taka "),  NumberToTextBN(Summary!E3), (")"), (" only of the Bank as on June 30, 2024."))</f>
        <v>This is to certify that Mr. Rajiv Zafar Chowdhury, Family of United Commercial Bank PLC vide BO No. 1201830034019413, 1204030057883555, 1205590057883555, 1205590034019413 holds 5,089,657 shares @ Tk.10/- each worth Tk.50,896,570.00 (Taka Five Crore Eight Lac Ninety-Six Thousand Five Hundred Seventy) only of the Bank as on June 30, 2024.</v>
      </c>
      <c r="B26" s="601"/>
      <c r="C26" s="601"/>
      <c r="D26" s="601"/>
      <c r="E26" s="601"/>
      <c r="F26" s="601"/>
      <c r="G26" s="601"/>
      <c r="H26" s="601"/>
    </row>
    <row r="27" spans="1:8" x14ac:dyDescent="0.3">
      <c r="A27" s="526"/>
      <c r="B27" s="526"/>
      <c r="C27" s="526"/>
      <c r="D27" s="526"/>
      <c r="E27" s="526"/>
      <c r="F27" s="526"/>
      <c r="G27" s="526"/>
      <c r="H27" s="526"/>
    </row>
    <row r="28" spans="1:8" x14ac:dyDescent="0.3">
      <c r="A28" s="526"/>
      <c r="B28" s="526"/>
      <c r="C28" s="526"/>
      <c r="D28" s="526"/>
      <c r="E28" s="526"/>
      <c r="F28" s="526"/>
      <c r="G28" s="526"/>
      <c r="H28" s="526"/>
    </row>
    <row r="29" spans="1:8" x14ac:dyDescent="0.3">
      <c r="A29" s="526"/>
      <c r="B29" s="526"/>
      <c r="C29" s="526"/>
      <c r="D29" s="526"/>
      <c r="E29" s="526"/>
      <c r="F29" s="526"/>
      <c r="G29" s="526"/>
      <c r="H29" s="526"/>
    </row>
    <row r="30" spans="1:8" x14ac:dyDescent="0.3">
      <c r="A30" s="526"/>
      <c r="B30" s="526"/>
      <c r="C30" s="526"/>
      <c r="D30" s="526"/>
      <c r="E30" s="526"/>
      <c r="F30" s="526"/>
      <c r="G30" s="526"/>
      <c r="H30" s="526"/>
    </row>
    <row r="31" spans="1:8" x14ac:dyDescent="0.3">
      <c r="A31" s="526"/>
      <c r="B31" s="526"/>
      <c r="C31" s="526"/>
      <c r="D31" s="526"/>
      <c r="E31" s="526"/>
      <c r="F31" s="526"/>
      <c r="G31" s="526"/>
      <c r="H31" s="526"/>
    </row>
    <row r="32" spans="1:8" x14ac:dyDescent="0.3">
      <c r="A32" s="522"/>
      <c r="B32" s="522"/>
      <c r="C32" s="522"/>
      <c r="D32" s="522"/>
      <c r="E32" s="522"/>
      <c r="F32" s="522"/>
      <c r="G32" s="522"/>
      <c r="H32" s="522"/>
    </row>
    <row r="33" spans="1:8" x14ac:dyDescent="0.3">
      <c r="A33" s="522"/>
      <c r="B33" s="522"/>
      <c r="C33" s="522"/>
      <c r="D33" s="522"/>
      <c r="E33" s="522"/>
      <c r="F33" s="522"/>
      <c r="G33" s="522"/>
      <c r="H33" s="522"/>
    </row>
    <row r="34" spans="1:8" x14ac:dyDescent="0.3">
      <c r="A34" s="522"/>
      <c r="B34" s="522"/>
      <c r="C34" s="522"/>
      <c r="D34" s="522"/>
      <c r="E34" s="522"/>
      <c r="F34" s="522"/>
      <c r="G34" s="522"/>
      <c r="H34" s="522"/>
    </row>
    <row r="35" spans="1:8" x14ac:dyDescent="0.3">
      <c r="A35" s="522"/>
      <c r="B35" s="522"/>
      <c r="C35" s="522"/>
      <c r="D35" s="522"/>
      <c r="E35" s="522"/>
      <c r="F35" s="522"/>
      <c r="G35" s="522"/>
      <c r="H35" s="522"/>
    </row>
    <row r="36" spans="1:8" x14ac:dyDescent="0.3">
      <c r="A36" s="565" t="s">
        <v>822</v>
      </c>
      <c r="B36" s="565"/>
      <c r="C36" s="565"/>
      <c r="D36" s="565"/>
      <c r="E36" s="522"/>
      <c r="F36" s="522"/>
      <c r="G36" s="522"/>
      <c r="H36" s="522"/>
    </row>
    <row r="37" spans="1:8" ht="33.75" customHeight="1" x14ac:dyDescent="0.3">
      <c r="A37" s="565"/>
      <c r="B37" s="565"/>
      <c r="C37" s="565"/>
      <c r="D37" s="565"/>
      <c r="E37" s="527"/>
      <c r="F37" s="522"/>
      <c r="G37" s="522"/>
      <c r="H37" s="522"/>
    </row>
    <row r="38" spans="1:8" x14ac:dyDescent="0.3">
      <c r="A38" s="522"/>
      <c r="B38" s="522"/>
      <c r="C38" s="522"/>
      <c r="D38" s="522"/>
      <c r="E38" s="522"/>
      <c r="F38" s="522"/>
      <c r="G38" s="522"/>
      <c r="H38" s="522"/>
    </row>
    <row r="39" spans="1:8" x14ac:dyDescent="0.3">
      <c r="A39" s="522"/>
      <c r="B39" s="522"/>
      <c r="C39" s="522"/>
      <c r="D39" s="522"/>
      <c r="E39" s="522"/>
      <c r="F39" s="522"/>
      <c r="G39" s="522"/>
      <c r="H39" s="522"/>
    </row>
    <row r="40" spans="1:8" x14ac:dyDescent="0.3">
      <c r="A40" s="522"/>
      <c r="B40" s="522"/>
      <c r="C40" s="522"/>
      <c r="D40" s="522"/>
      <c r="E40" s="522"/>
      <c r="F40" s="522"/>
      <c r="G40" s="522"/>
      <c r="H40" s="522"/>
    </row>
    <row r="41" spans="1:8" x14ac:dyDescent="0.3">
      <c r="A41" s="522"/>
      <c r="B41" s="522"/>
      <c r="C41" s="522"/>
      <c r="D41" s="522"/>
      <c r="E41" s="522"/>
      <c r="F41" s="522"/>
      <c r="G41" s="522"/>
      <c r="H41" s="522"/>
    </row>
  </sheetData>
  <mergeCells count="4">
    <mergeCell ref="A15:G15"/>
    <mergeCell ref="A21:H21"/>
    <mergeCell ref="A26:H26"/>
    <mergeCell ref="A36:D37"/>
  </mergeCells>
  <pageMargins left="0.9055118110236221" right="0.86614173228346458" top="0.74803149606299213" bottom="0.74803149606299213" header="0.31496062992125984" footer="0.31496062992125984"/>
  <pageSetup paperSize="9" scale="9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2:H40"/>
  <sheetViews>
    <sheetView showGridLines="0" view="pageBreakPreview" zoomScale="90" zoomScaleNormal="100" zoomScaleSheetLayoutView="90" workbookViewId="0">
      <selection activeCell="A2" sqref="A2:D2"/>
    </sheetView>
  </sheetViews>
  <sheetFormatPr defaultRowHeight="14.4" x14ac:dyDescent="0.3"/>
  <cols>
    <col min="8" max="8" width="24.109375" bestFit="1" customWidth="1"/>
  </cols>
  <sheetData>
    <row r="2" spans="1:8" x14ac:dyDescent="0.3">
      <c r="A2" s="561" t="s">
        <v>707</v>
      </c>
      <c r="B2" s="561"/>
      <c r="C2" s="561"/>
      <c r="D2" s="561"/>
    </row>
    <row r="7" spans="1:8" x14ac:dyDescent="0.3">
      <c r="A7" s="508"/>
      <c r="B7" s="508"/>
      <c r="C7" s="508"/>
      <c r="D7" s="508"/>
      <c r="E7" s="508"/>
      <c r="F7" s="509"/>
      <c r="G7" s="508"/>
      <c r="H7" s="508"/>
    </row>
    <row r="8" spans="1:8" x14ac:dyDescent="0.3">
      <c r="A8" s="508"/>
      <c r="B8" s="508"/>
      <c r="C8" s="508"/>
      <c r="D8" s="508"/>
      <c r="E8" s="508"/>
      <c r="F8" s="509"/>
      <c r="G8" s="508"/>
      <c r="H8" s="508"/>
    </row>
    <row r="9" spans="1:8" x14ac:dyDescent="0.3">
      <c r="A9" s="508"/>
      <c r="B9" s="508"/>
      <c r="C9" s="508"/>
      <c r="D9" s="508"/>
      <c r="E9" s="508"/>
      <c r="F9" s="509"/>
      <c r="G9" s="508"/>
      <c r="H9" s="508"/>
    </row>
    <row r="10" spans="1:8" x14ac:dyDescent="0.3">
      <c r="A10" s="508"/>
      <c r="B10" s="508"/>
      <c r="C10" s="508"/>
      <c r="D10" s="508"/>
      <c r="E10" s="508"/>
      <c r="F10" s="509"/>
      <c r="G10" s="508"/>
      <c r="H10" s="508"/>
    </row>
    <row r="11" spans="1:8" x14ac:dyDescent="0.3">
      <c r="A11" s="508"/>
      <c r="B11" s="508"/>
      <c r="C11" s="508"/>
      <c r="D11" s="508"/>
      <c r="E11" s="508"/>
      <c r="F11" s="509"/>
      <c r="G11" s="508"/>
      <c r="H11" s="508"/>
    </row>
    <row r="12" spans="1:8" x14ac:dyDescent="0.3">
      <c r="A12" s="508"/>
      <c r="B12" s="508"/>
      <c r="C12" s="508"/>
      <c r="D12" s="508"/>
      <c r="E12" s="508"/>
      <c r="F12" s="509"/>
      <c r="G12" s="508"/>
      <c r="H12" s="508"/>
    </row>
    <row r="13" spans="1:8" x14ac:dyDescent="0.3">
      <c r="A13" s="508"/>
      <c r="B13" s="508"/>
      <c r="C13" s="508"/>
      <c r="D13" s="508"/>
      <c r="E13" s="508"/>
      <c r="F13" s="508"/>
      <c r="G13" s="508"/>
      <c r="H13" s="508"/>
    </row>
    <row r="14" spans="1:8" x14ac:dyDescent="0.3">
      <c r="A14" s="562" t="str">
        <f ca="1">CONCATENATE("NO.UCB/HO/BOARD/F-30 (VI)-6/            /", (YEAR(H14)))</f>
        <v>NO.UCB/HO/BOARD/F-30 (VI)-6/            /2026</v>
      </c>
      <c r="B14" s="562"/>
      <c r="C14" s="562"/>
      <c r="D14" s="562"/>
      <c r="E14" s="562"/>
      <c r="F14" s="562"/>
      <c r="G14" s="562"/>
      <c r="H14" s="528">
        <f ca="1">TODAY()</f>
        <v>46199</v>
      </c>
    </row>
    <row r="15" spans="1:8" x14ac:dyDescent="0.3">
      <c r="A15" s="508"/>
      <c r="B15" s="508"/>
      <c r="C15" s="508"/>
      <c r="D15" s="508"/>
      <c r="E15" s="508"/>
      <c r="F15" s="508"/>
      <c r="G15" s="508"/>
      <c r="H15" s="508"/>
    </row>
    <row r="16" spans="1:8" x14ac:dyDescent="0.3">
      <c r="A16" s="508"/>
      <c r="B16" s="508"/>
      <c r="C16" s="508"/>
      <c r="D16" s="508"/>
      <c r="E16" s="508"/>
      <c r="F16" s="508"/>
      <c r="G16" s="508"/>
      <c r="H16" s="508"/>
    </row>
    <row r="17" spans="1:8" x14ac:dyDescent="0.3">
      <c r="A17" s="508"/>
      <c r="B17" s="508"/>
      <c r="C17" s="508"/>
      <c r="D17" s="508"/>
      <c r="E17" s="508"/>
      <c r="F17" s="508"/>
      <c r="G17" s="508"/>
      <c r="H17" s="508"/>
    </row>
    <row r="18" spans="1:8" x14ac:dyDescent="0.3">
      <c r="A18" s="508"/>
      <c r="B18" s="508"/>
      <c r="C18" s="508"/>
      <c r="D18" s="508"/>
      <c r="E18" s="508"/>
      <c r="F18" s="508"/>
      <c r="G18" s="508"/>
      <c r="H18" s="508"/>
    </row>
    <row r="19" spans="1:8" x14ac:dyDescent="0.3">
      <c r="A19" s="508"/>
      <c r="B19" s="508"/>
      <c r="C19" s="508"/>
      <c r="D19" s="508"/>
      <c r="E19" s="508"/>
      <c r="F19" s="508"/>
      <c r="G19" s="508"/>
      <c r="H19" s="508"/>
    </row>
    <row r="20" spans="1:8" x14ac:dyDescent="0.3">
      <c r="A20" s="563" t="s">
        <v>758</v>
      </c>
      <c r="B20" s="563"/>
      <c r="C20" s="563"/>
      <c r="D20" s="563"/>
      <c r="E20" s="563"/>
      <c r="F20" s="563"/>
      <c r="G20" s="563"/>
      <c r="H20" s="563"/>
    </row>
    <row r="21" spans="1:8" x14ac:dyDescent="0.3">
      <c r="A21" s="510"/>
      <c r="B21" s="510"/>
      <c r="C21" s="510"/>
      <c r="D21" s="510"/>
      <c r="E21" s="510"/>
      <c r="F21" s="510"/>
      <c r="G21" s="510"/>
      <c r="H21" s="510"/>
    </row>
    <row r="22" spans="1:8" x14ac:dyDescent="0.3">
      <c r="A22" s="510"/>
      <c r="B22" s="510"/>
      <c r="C22" s="510"/>
      <c r="D22" s="510"/>
      <c r="E22" s="510"/>
      <c r="F22" s="510"/>
      <c r="G22" s="510"/>
      <c r="H22" s="510"/>
    </row>
    <row r="23" spans="1:8" x14ac:dyDescent="0.3">
      <c r="A23" s="510"/>
      <c r="B23" s="510"/>
      <c r="C23" s="510"/>
      <c r="D23" s="510"/>
      <c r="E23" s="510"/>
      <c r="F23" s="510"/>
      <c r="G23" s="510"/>
      <c r="H23" s="510"/>
    </row>
    <row r="24" spans="1:8" x14ac:dyDescent="0.3">
      <c r="A24" s="508"/>
      <c r="B24" s="508"/>
      <c r="C24" s="508"/>
      <c r="D24" s="508"/>
      <c r="E24" s="508"/>
      <c r="F24" s="508"/>
      <c r="G24" s="508"/>
      <c r="H24" s="508"/>
    </row>
    <row r="25" spans="1:8" ht="122.25" customHeight="1" x14ac:dyDescent="0.3">
      <c r="A25" s="564" t="str">
        <f ca="1">CONCATENATE("This is to certify that ", Summary!B1, (", a shareholder and "), ("son of Late Mr. Zafar Ahmed Chowdhury, Former Chairman and Sponsor of United Commercial Bank PLC, vide BO No. "), Summary!E1,(" holds "), TEXT(Summary!E2, "#,##0"), (" shares @ Tk.10/- each worth Tk."),  TEXT(Summary!E3, "#,##0"), (".00"), (" (Taka "), NumberToTextBN(Summary!E3), (")"), (" only of the Bank as on Spetember 30, 2024."))</f>
        <v>This is to certify that Mr. Rajiv Zafar Chowdhury, a shareholder and son of Late Mr. Zafar Ahmed Chowdhury, Former Chairman and Sponsor of United Commercial Bank PLC, vide BO No. 1201830034019413, 1204030057883555, 1205590057883555, 1205590034019413 holds 5,089,657 shares @ Tk.10/- each worth Tk.50,896,570.00 (Taka Five Crore Eight Lac Ninety-Six Thousand Five Hundred Seventy) only of the Bank as on Spetember 30, 2024.</v>
      </c>
      <c r="B25" s="564"/>
      <c r="C25" s="564"/>
      <c r="D25" s="564"/>
      <c r="E25" s="564"/>
      <c r="F25" s="564"/>
      <c r="G25" s="564"/>
      <c r="H25" s="564"/>
    </row>
    <row r="26" spans="1:8" x14ac:dyDescent="0.3">
      <c r="A26" s="511"/>
      <c r="B26" s="511"/>
      <c r="C26" s="511"/>
      <c r="D26" s="511"/>
      <c r="E26" s="511"/>
      <c r="F26" s="511"/>
      <c r="G26" s="511"/>
      <c r="H26" s="511"/>
    </row>
    <row r="27" spans="1:8" x14ac:dyDescent="0.3">
      <c r="A27" s="511"/>
      <c r="B27" s="511"/>
      <c r="C27" s="511"/>
      <c r="D27" s="511"/>
      <c r="E27" s="511"/>
      <c r="F27" s="511"/>
      <c r="G27" s="511"/>
      <c r="H27" s="511"/>
    </row>
    <row r="28" spans="1:8" x14ac:dyDescent="0.3">
      <c r="A28" s="511"/>
      <c r="B28" s="511"/>
      <c r="C28" s="511"/>
      <c r="D28" s="511"/>
      <c r="E28" s="511"/>
      <c r="F28" s="511"/>
      <c r="G28" s="511"/>
      <c r="H28" s="511"/>
    </row>
    <row r="29" spans="1:8" x14ac:dyDescent="0.3">
      <c r="A29" s="511"/>
      <c r="B29" s="511"/>
      <c r="C29" s="511"/>
      <c r="D29" s="511"/>
      <c r="E29" s="511"/>
      <c r="F29" s="511"/>
      <c r="G29" s="511"/>
      <c r="H29" s="511"/>
    </row>
    <row r="30" spans="1:8" x14ac:dyDescent="0.3">
      <c r="A30" s="511"/>
      <c r="B30" s="511"/>
      <c r="C30" s="511"/>
      <c r="D30" s="511"/>
      <c r="E30" s="511"/>
      <c r="F30" s="511"/>
      <c r="G30" s="511"/>
      <c r="H30" s="511"/>
    </row>
    <row r="31" spans="1:8" x14ac:dyDescent="0.3">
      <c r="A31" s="508"/>
      <c r="B31" s="508"/>
      <c r="C31" s="508"/>
      <c r="D31" s="508"/>
      <c r="E31" s="508"/>
      <c r="F31" s="508"/>
      <c r="G31" s="508"/>
      <c r="H31" s="508"/>
    </row>
    <row r="32" spans="1:8" x14ac:dyDescent="0.3">
      <c r="A32" s="508"/>
      <c r="B32" s="508"/>
      <c r="C32" s="508"/>
      <c r="D32" s="508"/>
      <c r="E32" s="508"/>
      <c r="F32" s="508"/>
      <c r="G32" s="508"/>
      <c r="H32" s="508"/>
    </row>
    <row r="33" spans="1:8" x14ac:dyDescent="0.3">
      <c r="A33" s="508"/>
      <c r="B33" s="508"/>
      <c r="C33" s="508"/>
      <c r="D33" s="508"/>
      <c r="E33" s="508"/>
      <c r="F33" s="508"/>
      <c r="G33" s="508"/>
      <c r="H33" s="508"/>
    </row>
    <row r="34" spans="1:8" x14ac:dyDescent="0.3">
      <c r="A34" s="508"/>
      <c r="B34" s="508"/>
      <c r="C34" s="508"/>
      <c r="D34" s="508"/>
      <c r="E34" s="508"/>
      <c r="F34" s="508"/>
      <c r="G34" s="508"/>
      <c r="H34" s="508"/>
    </row>
    <row r="35" spans="1:8" ht="15" customHeight="1" x14ac:dyDescent="0.3">
      <c r="A35" s="565" t="s">
        <v>831</v>
      </c>
      <c r="B35" s="565"/>
      <c r="C35" s="565"/>
      <c r="D35" s="565"/>
      <c r="E35" s="508"/>
      <c r="F35" s="508"/>
      <c r="G35" s="508"/>
      <c r="H35" s="508"/>
    </row>
    <row r="36" spans="1:8" ht="16.5" customHeight="1" x14ac:dyDescent="0.3">
      <c r="A36" s="565"/>
      <c r="B36" s="565"/>
      <c r="C36" s="565"/>
      <c r="D36" s="565"/>
      <c r="E36" s="512"/>
      <c r="F36" s="508"/>
      <c r="G36" s="508"/>
      <c r="H36" s="508"/>
    </row>
    <row r="37" spans="1:8" x14ac:dyDescent="0.3">
      <c r="A37" s="508"/>
      <c r="B37" s="508"/>
      <c r="C37" s="508"/>
      <c r="D37" s="508"/>
      <c r="E37" s="508"/>
      <c r="F37" s="508"/>
      <c r="G37" s="508"/>
      <c r="H37" s="508"/>
    </row>
    <row r="38" spans="1:8" x14ac:dyDescent="0.3">
      <c r="A38" s="508"/>
      <c r="B38" s="508"/>
      <c r="C38" s="508"/>
      <c r="D38" s="508"/>
      <c r="E38" s="508"/>
      <c r="F38" s="508"/>
      <c r="G38" s="508"/>
      <c r="H38" s="508"/>
    </row>
    <row r="39" spans="1:8" x14ac:dyDescent="0.3">
      <c r="A39" s="508"/>
      <c r="B39" s="508"/>
      <c r="C39" s="508"/>
      <c r="D39" s="508"/>
      <c r="E39" s="508"/>
      <c r="F39" s="508"/>
      <c r="G39" s="508"/>
      <c r="H39" s="508"/>
    </row>
    <row r="40" spans="1:8" x14ac:dyDescent="0.3">
      <c r="A40" s="508"/>
      <c r="B40" s="508"/>
      <c r="C40" s="508"/>
      <c r="D40" s="508"/>
      <c r="E40" s="508"/>
      <c r="F40" s="508"/>
      <c r="G40" s="508"/>
      <c r="H40" s="508"/>
    </row>
  </sheetData>
  <mergeCells count="5">
    <mergeCell ref="A2:D2"/>
    <mergeCell ref="A14:G14"/>
    <mergeCell ref="A20:H20"/>
    <mergeCell ref="A25:H25"/>
    <mergeCell ref="A35:D36"/>
  </mergeCells>
  <pageMargins left="0.98425196850393704" right="0.86614173228346458" top="0.74803149606299213" bottom="0.74803149606299213" header="0.31496062992125984" footer="0.31496062992125984"/>
  <pageSetup paperSize="9" scale="9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'C:\Users\shafat.hossain\Desktop\[Shareholding Position.xlsx]Summary'!#REF!</xm:f>
          </x14:formula1>
          <xm:sqref>A2:D2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2:H40"/>
  <sheetViews>
    <sheetView showGridLines="0" tabSelected="1" view="pageBreakPreview" topLeftCell="A16" zoomScale="90" zoomScaleNormal="100" zoomScaleSheetLayoutView="90" workbookViewId="0">
      <selection activeCell="A14" sqref="A14:G14"/>
    </sheetView>
  </sheetViews>
  <sheetFormatPr defaultRowHeight="14.4" x14ac:dyDescent="0.3"/>
  <cols>
    <col min="8" max="8" width="24.109375" bestFit="1" customWidth="1"/>
  </cols>
  <sheetData>
    <row r="2" spans="1:8" x14ac:dyDescent="0.3">
      <c r="A2" s="561" t="s">
        <v>707</v>
      </c>
      <c r="B2" s="561"/>
      <c r="C2" s="561"/>
      <c r="D2" s="561"/>
    </row>
    <row r="7" spans="1:8" x14ac:dyDescent="0.3">
      <c r="A7" s="508"/>
      <c r="B7" s="508"/>
      <c r="C7" s="508"/>
      <c r="D7" s="508"/>
      <c r="E7" s="508"/>
      <c r="F7" s="509"/>
      <c r="G7" s="508"/>
      <c r="H7" s="508"/>
    </row>
    <row r="8" spans="1:8" x14ac:dyDescent="0.3">
      <c r="A8" s="508"/>
      <c r="B8" s="508"/>
      <c r="C8" s="508"/>
      <c r="D8" s="508"/>
      <c r="E8" s="508"/>
      <c r="F8" s="509"/>
      <c r="G8" s="508"/>
      <c r="H8" s="508"/>
    </row>
    <row r="9" spans="1:8" x14ac:dyDescent="0.3">
      <c r="A9" s="508"/>
      <c r="B9" s="508"/>
      <c r="C9" s="508"/>
      <c r="D9" s="508"/>
      <c r="E9" s="508"/>
      <c r="F9" s="509"/>
      <c r="G9" s="508"/>
      <c r="H9" s="508"/>
    </row>
    <row r="10" spans="1:8" x14ac:dyDescent="0.3">
      <c r="A10" s="508"/>
      <c r="B10" s="508"/>
      <c r="C10" s="508"/>
      <c r="D10" s="508"/>
      <c r="E10" s="508"/>
      <c r="F10" s="509"/>
      <c r="G10" s="508"/>
      <c r="H10" s="508"/>
    </row>
    <row r="11" spans="1:8" x14ac:dyDescent="0.3">
      <c r="A11" s="508"/>
      <c r="B11" s="508"/>
      <c r="C11" s="508"/>
      <c r="D11" s="508"/>
      <c r="E11" s="508"/>
      <c r="F11" s="509"/>
      <c r="G11" s="508"/>
      <c r="H11" s="508"/>
    </row>
    <row r="12" spans="1:8" x14ac:dyDescent="0.3">
      <c r="A12" s="508"/>
      <c r="B12" s="508"/>
      <c r="C12" s="508"/>
      <c r="D12" s="508"/>
      <c r="E12" s="508"/>
      <c r="F12" s="509"/>
      <c r="G12" s="508"/>
      <c r="H12" s="508"/>
    </row>
    <row r="13" spans="1:8" x14ac:dyDescent="0.3">
      <c r="A13" s="508"/>
      <c r="B13" s="508"/>
      <c r="C13" s="508"/>
      <c r="D13" s="508"/>
      <c r="E13" s="508"/>
      <c r="F13" s="508"/>
      <c r="G13" s="508"/>
      <c r="H13" s="508"/>
    </row>
    <row r="14" spans="1:8" x14ac:dyDescent="0.3">
      <c r="A14" s="562" t="str">
        <f ca="1">CONCATENATE("NO.UCB/HO/BOARD/F-30 (VI)-6/            /", (YEAR(H14)))</f>
        <v>NO.UCB/HO/BOARD/F-30 (VI)-6/            /2026</v>
      </c>
      <c r="B14" s="562"/>
      <c r="C14" s="562"/>
      <c r="D14" s="562"/>
      <c r="E14" s="562"/>
      <c r="F14" s="562"/>
      <c r="G14" s="562"/>
      <c r="H14" s="528">
        <f ca="1">TODAY()-1</f>
        <v>46198</v>
      </c>
    </row>
    <row r="15" spans="1:8" x14ac:dyDescent="0.3">
      <c r="A15" s="508"/>
      <c r="B15" s="508"/>
      <c r="C15" s="508"/>
      <c r="D15" s="508"/>
      <c r="E15" s="508"/>
      <c r="F15" s="508"/>
      <c r="G15" s="508"/>
      <c r="H15" s="508"/>
    </row>
    <row r="16" spans="1:8" x14ac:dyDescent="0.3">
      <c r="A16" s="508"/>
      <c r="B16" s="508"/>
      <c r="C16" s="508"/>
      <c r="D16" s="508"/>
      <c r="E16" s="508"/>
      <c r="F16" s="508"/>
      <c r="G16" s="508"/>
      <c r="H16" s="508"/>
    </row>
    <row r="17" spans="1:8" x14ac:dyDescent="0.3">
      <c r="A17" s="508"/>
      <c r="B17" s="508"/>
      <c r="C17" s="508"/>
      <c r="D17" s="508"/>
      <c r="E17" s="508"/>
      <c r="F17" s="508"/>
      <c r="G17" s="508"/>
      <c r="H17" s="508"/>
    </row>
    <row r="18" spans="1:8" x14ac:dyDescent="0.3">
      <c r="A18" s="508"/>
      <c r="B18" s="508"/>
      <c r="C18" s="508"/>
      <c r="D18" s="508"/>
      <c r="E18" s="508"/>
      <c r="F18" s="508"/>
      <c r="G18" s="508"/>
      <c r="H18" s="508"/>
    </row>
    <row r="19" spans="1:8" x14ac:dyDescent="0.3">
      <c r="A19" s="508"/>
      <c r="B19" s="508"/>
      <c r="C19" s="508"/>
      <c r="D19" s="508"/>
      <c r="E19" s="508"/>
      <c r="F19" s="508"/>
      <c r="G19" s="508"/>
      <c r="H19" s="508"/>
    </row>
    <row r="20" spans="1:8" x14ac:dyDescent="0.3">
      <c r="A20" s="563" t="s">
        <v>758</v>
      </c>
      <c r="B20" s="563"/>
      <c r="C20" s="563"/>
      <c r="D20" s="563"/>
      <c r="E20" s="563"/>
      <c r="F20" s="563"/>
      <c r="G20" s="563"/>
      <c r="H20" s="563"/>
    </row>
    <row r="21" spans="1:8" x14ac:dyDescent="0.3">
      <c r="A21" s="510"/>
      <c r="B21" s="510"/>
      <c r="C21" s="510"/>
      <c r="D21" s="510"/>
      <c r="E21" s="510"/>
      <c r="F21" s="510"/>
      <c r="G21" s="510"/>
      <c r="H21" s="510"/>
    </row>
    <row r="22" spans="1:8" x14ac:dyDescent="0.3">
      <c r="A22" s="510"/>
      <c r="B22" s="510"/>
      <c r="C22" s="510"/>
      <c r="D22" s="510"/>
      <c r="E22" s="510"/>
      <c r="F22" s="510"/>
      <c r="G22" s="510"/>
      <c r="H22" s="510"/>
    </row>
    <row r="23" spans="1:8" x14ac:dyDescent="0.3">
      <c r="A23" s="510"/>
      <c r="B23" s="510"/>
      <c r="C23" s="510"/>
      <c r="D23" s="510"/>
      <c r="E23" s="510"/>
      <c r="F23" s="510"/>
      <c r="G23" s="510"/>
      <c r="H23" s="510"/>
    </row>
    <row r="24" spans="1:8" x14ac:dyDescent="0.3">
      <c r="A24" s="508"/>
      <c r="B24" s="508"/>
      <c r="C24" s="508"/>
      <c r="D24" s="508"/>
      <c r="E24" s="508"/>
      <c r="F24" s="508"/>
      <c r="G24" s="508"/>
      <c r="H24" s="508"/>
    </row>
    <row r="25" spans="1:8" ht="92.25" customHeight="1" x14ac:dyDescent="0.3">
      <c r="A25" s="564" t="str">
        <f ca="1">CONCATENATE("This is to certify that ", Summary!B1, (", "), (" vide BO No. "), Summary!E1,(" holds "), TEXT(Summary!E2, "#,##0"), (" shares @ Tk.10/- each worth Tk."),  TEXT(Summary!E3, "#,##0"), (".00"), (" (Taka "), NumberToTextBN(Summary!E3), (")"), (" only of the Bank as on Spetember 30, 2024."))</f>
        <v>This is to certify that Mr. Rajiv Zafar Chowdhury,  vide BO No. 1201830034019413, 1204030057883555, 1205590057883555, 1205590034019413 holds 5,089,657 shares @ Tk.10/- each worth Tk.50,896,570.00 (Taka Five Crore Eight Lac Ninety-Six Thousand Five Hundred Seventy) only of the Bank as on Spetember 30, 2024.</v>
      </c>
      <c r="B25" s="564"/>
      <c r="C25" s="564"/>
      <c r="D25" s="564"/>
      <c r="E25" s="564"/>
      <c r="F25" s="564"/>
      <c r="G25" s="564"/>
      <c r="H25" s="564"/>
    </row>
    <row r="26" spans="1:8" x14ac:dyDescent="0.3">
      <c r="A26" s="511"/>
      <c r="B26" s="511"/>
      <c r="C26" s="511"/>
      <c r="D26" s="511"/>
      <c r="E26" s="511"/>
      <c r="F26" s="511"/>
      <c r="G26" s="511"/>
      <c r="H26" s="511"/>
    </row>
    <row r="27" spans="1:8" x14ac:dyDescent="0.3">
      <c r="A27" s="511"/>
      <c r="B27" s="511"/>
      <c r="C27" s="511"/>
      <c r="D27" s="511"/>
      <c r="E27" s="511"/>
      <c r="F27" s="511"/>
      <c r="G27" s="511"/>
      <c r="H27" s="511"/>
    </row>
    <row r="28" spans="1:8" x14ac:dyDescent="0.3">
      <c r="A28" s="511"/>
      <c r="B28" s="511"/>
      <c r="C28" s="511"/>
      <c r="D28" s="511"/>
      <c r="E28" s="511"/>
      <c r="F28" s="511"/>
      <c r="G28" s="511"/>
      <c r="H28" s="511"/>
    </row>
    <row r="29" spans="1:8" x14ac:dyDescent="0.3">
      <c r="A29" s="511"/>
      <c r="B29" s="511"/>
      <c r="C29" s="511"/>
      <c r="D29" s="511"/>
      <c r="E29" s="511"/>
      <c r="F29" s="511"/>
      <c r="G29" s="511"/>
      <c r="H29" s="511"/>
    </row>
    <row r="30" spans="1:8" x14ac:dyDescent="0.3">
      <c r="A30" s="511"/>
      <c r="B30" s="511"/>
      <c r="C30" s="511"/>
      <c r="D30" s="511"/>
      <c r="E30" s="511"/>
      <c r="F30" s="511"/>
      <c r="G30" s="511"/>
      <c r="H30" s="511"/>
    </row>
    <row r="31" spans="1:8" x14ac:dyDescent="0.3">
      <c r="A31" s="508"/>
      <c r="B31" s="508"/>
      <c r="C31" s="508"/>
      <c r="D31" s="508"/>
      <c r="E31" s="508"/>
      <c r="F31" s="508"/>
      <c r="G31" s="508"/>
      <c r="H31" s="508"/>
    </row>
    <row r="32" spans="1:8" x14ac:dyDescent="0.3">
      <c r="A32" s="508"/>
      <c r="B32" s="508"/>
      <c r="C32" s="508"/>
      <c r="D32" s="508"/>
      <c r="E32" s="508"/>
      <c r="F32" s="508"/>
      <c r="G32" s="508"/>
      <c r="H32" s="508"/>
    </row>
    <row r="33" spans="1:8" x14ac:dyDescent="0.3">
      <c r="A33" s="508"/>
      <c r="B33" s="508"/>
      <c r="C33" s="508"/>
      <c r="D33" s="508"/>
      <c r="E33" s="508"/>
      <c r="F33" s="508"/>
      <c r="G33" s="508"/>
      <c r="H33" s="508"/>
    </row>
    <row r="34" spans="1:8" x14ac:dyDescent="0.3">
      <c r="A34" s="508"/>
      <c r="B34" s="508"/>
      <c r="C34" s="508"/>
      <c r="D34" s="508"/>
      <c r="E34" s="508"/>
      <c r="F34" s="508"/>
      <c r="G34" s="508"/>
      <c r="H34" s="508"/>
    </row>
    <row r="35" spans="1:8" ht="15" customHeight="1" x14ac:dyDescent="0.3">
      <c r="A35" s="565" t="s">
        <v>822</v>
      </c>
      <c r="B35" s="565"/>
      <c r="C35" s="565"/>
      <c r="D35" s="565"/>
      <c r="E35" s="508"/>
      <c r="F35" s="508"/>
      <c r="G35" s="508"/>
      <c r="H35" s="508"/>
    </row>
    <row r="36" spans="1:8" ht="39" customHeight="1" x14ac:dyDescent="0.3">
      <c r="A36" s="565"/>
      <c r="B36" s="565"/>
      <c r="C36" s="565"/>
      <c r="D36" s="565"/>
      <c r="E36" s="512"/>
      <c r="F36" s="508"/>
      <c r="G36" s="508"/>
      <c r="H36" s="508"/>
    </row>
    <row r="37" spans="1:8" x14ac:dyDescent="0.3">
      <c r="A37" s="508"/>
      <c r="B37" s="508"/>
      <c r="C37" s="508"/>
      <c r="D37" s="508"/>
      <c r="E37" s="508"/>
      <c r="F37" s="508"/>
      <c r="G37" s="508"/>
      <c r="H37" s="508"/>
    </row>
    <row r="38" spans="1:8" x14ac:dyDescent="0.3">
      <c r="A38" s="508"/>
      <c r="B38" s="508"/>
      <c r="C38" s="508"/>
      <c r="D38" s="508"/>
      <c r="E38" s="508"/>
      <c r="F38" s="508"/>
      <c r="G38" s="508"/>
      <c r="H38" s="508"/>
    </row>
    <row r="39" spans="1:8" x14ac:dyDescent="0.3">
      <c r="A39" s="508"/>
      <c r="B39" s="508"/>
      <c r="C39" s="508"/>
      <c r="D39" s="508"/>
      <c r="E39" s="508"/>
      <c r="F39" s="508"/>
      <c r="G39" s="508"/>
      <c r="H39" s="508"/>
    </row>
    <row r="40" spans="1:8" x14ac:dyDescent="0.3">
      <c r="A40" s="508"/>
      <c r="B40" s="508"/>
      <c r="C40" s="508"/>
      <c r="D40" s="508"/>
      <c r="E40" s="508"/>
      <c r="F40" s="508"/>
      <c r="G40" s="508"/>
      <c r="H40" s="508"/>
    </row>
  </sheetData>
  <mergeCells count="5">
    <mergeCell ref="A2:D2"/>
    <mergeCell ref="A14:G14"/>
    <mergeCell ref="A20:H20"/>
    <mergeCell ref="A25:H25"/>
    <mergeCell ref="A35:D36"/>
  </mergeCells>
  <pageMargins left="0.98425196850393704" right="0.86614173228346458" top="0.74803149606299213" bottom="0.74803149606299213" header="0.31496062992125984" footer="0.31496062992125984"/>
  <pageSetup paperSize="9" scale="9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'C:\Users\shafat.hossain\Desktop\[Shareholding Position.xlsx]Summary'!#REF!</xm:f>
          </x14:formula1>
          <xm:sqref>A2:D2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GX47"/>
  <sheetViews>
    <sheetView workbookViewId="0">
      <selection activeCell="HA15" sqref="HA15"/>
    </sheetView>
  </sheetViews>
  <sheetFormatPr defaultColWidth="9.109375" defaultRowHeight="10.199999999999999" x14ac:dyDescent="0.2"/>
  <cols>
    <col min="1" max="1" width="4.109375" style="129" bestFit="1" customWidth="1"/>
    <col min="2" max="2" width="27.109375" style="111" bestFit="1" customWidth="1"/>
    <col min="3" max="3" width="6.109375" style="111" bestFit="1" customWidth="1"/>
    <col min="4" max="4" width="6.5546875" style="111" bestFit="1" customWidth="1"/>
    <col min="5" max="5" width="6.109375" style="111" bestFit="1" customWidth="1"/>
    <col min="6" max="6" width="4.109375" style="111" bestFit="1" customWidth="1"/>
    <col min="7" max="7" width="27.109375" style="111" bestFit="1" customWidth="1"/>
    <col min="8" max="8" width="7.6640625" style="111" bestFit="1" customWidth="1"/>
    <col min="9" max="9" width="6.5546875" style="111" bestFit="1" customWidth="1"/>
    <col min="10" max="10" width="6.109375" style="111" bestFit="1" customWidth="1"/>
    <col min="11" max="11" width="4.109375" style="111" bestFit="1" customWidth="1"/>
    <col min="12" max="12" width="27.109375" style="111" bestFit="1" customWidth="1"/>
    <col min="13" max="13" width="7.6640625" style="111" bestFit="1" customWidth="1"/>
    <col min="14" max="14" width="6.5546875" style="111" bestFit="1" customWidth="1"/>
    <col min="15" max="16" width="6.109375" style="111" bestFit="1" customWidth="1"/>
    <col min="17" max="17" width="4.109375" style="111" bestFit="1" customWidth="1"/>
    <col min="18" max="18" width="27.109375" style="111" bestFit="1" customWidth="1"/>
    <col min="19" max="19" width="7.6640625" style="111" bestFit="1" customWidth="1"/>
    <col min="20" max="20" width="6.5546875" style="111" bestFit="1" customWidth="1"/>
    <col min="21" max="21" width="6.109375" style="111" bestFit="1" customWidth="1"/>
    <col min="22" max="22" width="4.109375" style="111" bestFit="1" customWidth="1"/>
    <col min="23" max="23" width="27.109375" style="111" bestFit="1" customWidth="1"/>
    <col min="24" max="24" width="7.6640625" style="111" bestFit="1" customWidth="1"/>
    <col min="25" max="25" width="6.5546875" style="111" bestFit="1" customWidth="1"/>
    <col min="26" max="26" width="6.109375" style="111" bestFit="1" customWidth="1"/>
    <col min="27" max="27" width="4.109375" style="111" bestFit="1" customWidth="1"/>
    <col min="28" max="28" width="27.109375" style="111" bestFit="1" customWidth="1"/>
    <col min="29" max="29" width="7.6640625" style="111" bestFit="1" customWidth="1"/>
    <col min="30" max="30" width="6.5546875" style="111" bestFit="1" customWidth="1"/>
    <col min="31" max="31" width="6.109375" style="111" bestFit="1" customWidth="1"/>
    <col min="32" max="32" width="4.109375" style="111" bestFit="1" customWidth="1"/>
    <col min="33" max="33" width="27.109375" style="111" bestFit="1" customWidth="1"/>
    <col min="34" max="34" width="7.6640625" style="111" bestFit="1" customWidth="1"/>
    <col min="35" max="35" width="6.5546875" style="111" bestFit="1" customWidth="1"/>
    <col min="36" max="36" width="7.6640625" style="111" bestFit="1" customWidth="1"/>
    <col min="37" max="37" width="4.109375" style="111" bestFit="1" customWidth="1"/>
    <col min="38" max="38" width="27.109375" style="111" bestFit="1" customWidth="1"/>
    <col min="39" max="39" width="7.6640625" style="111" bestFit="1" customWidth="1"/>
    <col min="40" max="40" width="6.5546875" style="111" bestFit="1" customWidth="1"/>
    <col min="41" max="41" width="7.6640625" style="111" bestFit="1" customWidth="1"/>
    <col min="42" max="42" width="4.109375" style="111" bestFit="1" customWidth="1"/>
    <col min="43" max="43" width="27.109375" style="111" bestFit="1" customWidth="1"/>
    <col min="44" max="44" width="7.6640625" style="111" bestFit="1" customWidth="1"/>
    <col min="45" max="45" width="6.5546875" style="111" bestFit="1" customWidth="1"/>
    <col min="46" max="46" width="7.6640625" style="111" bestFit="1" customWidth="1"/>
    <col min="47" max="47" width="4.109375" style="111" bestFit="1" customWidth="1"/>
    <col min="48" max="48" width="27.109375" style="111" bestFit="1" customWidth="1"/>
    <col min="49" max="49" width="7.6640625" style="111" bestFit="1" customWidth="1"/>
    <col min="50" max="50" width="6.5546875" style="111" bestFit="1" customWidth="1"/>
    <col min="51" max="51" width="7.6640625" style="111" bestFit="1" customWidth="1"/>
    <col min="52" max="52" width="4.109375" style="111" bestFit="1" customWidth="1"/>
    <col min="53" max="53" width="27.109375" style="111" bestFit="1" customWidth="1"/>
    <col min="54" max="54" width="7.6640625" style="111" bestFit="1" customWidth="1"/>
    <col min="55" max="55" width="6.5546875" style="111" bestFit="1" customWidth="1"/>
    <col min="56" max="56" width="7.6640625" style="111" bestFit="1" customWidth="1"/>
    <col min="57" max="57" width="4.109375" style="111" bestFit="1" customWidth="1"/>
    <col min="58" max="58" width="27.109375" style="111" bestFit="1" customWidth="1"/>
    <col min="59" max="59" width="7.6640625" style="111" bestFit="1" customWidth="1"/>
    <col min="60" max="60" width="6.5546875" style="111" bestFit="1" customWidth="1"/>
    <col min="61" max="61" width="9.109375" style="111" bestFit="1" customWidth="1"/>
    <col min="62" max="62" width="4.109375" style="111" bestFit="1" customWidth="1"/>
    <col min="63" max="63" width="27.109375" style="111" bestFit="1" customWidth="1"/>
    <col min="64" max="64" width="7.6640625" style="111" bestFit="1" customWidth="1"/>
    <col min="65" max="65" width="6.5546875" style="111" bestFit="1" customWidth="1"/>
    <col min="66" max="66" width="7.6640625" style="111" bestFit="1" customWidth="1"/>
    <col min="67" max="67" width="4.109375" style="111" bestFit="1" customWidth="1"/>
    <col min="68" max="68" width="27.109375" style="111" bestFit="1" customWidth="1"/>
    <col min="69" max="69" width="7.6640625" style="111" bestFit="1" customWidth="1"/>
    <col min="70" max="70" width="6.5546875" style="111" bestFit="1" customWidth="1"/>
    <col min="71" max="71" width="9.109375" style="111" bestFit="1" customWidth="1"/>
    <col min="72" max="72" width="4.109375" style="111" bestFit="1" customWidth="1"/>
    <col min="73" max="73" width="27.109375" style="111" bestFit="1" customWidth="1"/>
    <col min="74" max="74" width="7.6640625" style="111" bestFit="1" customWidth="1"/>
    <col min="75" max="75" width="6.5546875" style="111" bestFit="1" customWidth="1"/>
    <col min="76" max="76" width="7.6640625" style="111" bestFit="1" customWidth="1"/>
    <col min="77" max="77" width="4.109375" style="111" bestFit="1" customWidth="1"/>
    <col min="78" max="78" width="27.109375" style="111" bestFit="1" customWidth="1"/>
    <col min="79" max="79" width="7.6640625" style="111" bestFit="1" customWidth="1"/>
    <col min="80" max="80" width="6.5546875" style="111" bestFit="1" customWidth="1"/>
    <col min="81" max="81" width="7.6640625" style="111" bestFit="1" customWidth="1"/>
    <col min="82" max="82" width="4.109375" style="111" bestFit="1" customWidth="1"/>
    <col min="83" max="83" width="27.109375" style="111" bestFit="1" customWidth="1"/>
    <col min="84" max="84" width="7.6640625" style="111" bestFit="1" customWidth="1"/>
    <col min="85" max="85" width="6.5546875" style="111" bestFit="1" customWidth="1"/>
    <col min="86" max="86" width="9.109375" style="111" bestFit="1" customWidth="1"/>
    <col min="87" max="87" width="4.109375" style="111" bestFit="1" customWidth="1"/>
    <col min="88" max="88" width="27.109375" style="111" bestFit="1" customWidth="1"/>
    <col min="89" max="89" width="7.6640625" style="111" bestFit="1" customWidth="1"/>
    <col min="90" max="90" width="6.5546875" style="111" bestFit="1" customWidth="1"/>
    <col min="91" max="91" width="7.6640625" style="111" bestFit="1" customWidth="1"/>
    <col min="92" max="92" width="4.109375" style="111" bestFit="1" customWidth="1"/>
    <col min="93" max="93" width="27.109375" style="111" bestFit="1" customWidth="1"/>
    <col min="94" max="94" width="7.6640625" style="111" bestFit="1" customWidth="1"/>
    <col min="95" max="95" width="6.5546875" style="111" bestFit="1" customWidth="1"/>
    <col min="96" max="96" width="9.109375" style="111" bestFit="1" customWidth="1"/>
    <col min="97" max="97" width="4.109375" style="111" bestFit="1" customWidth="1"/>
    <col min="98" max="98" width="27.109375" style="111" bestFit="1" customWidth="1"/>
    <col min="99" max="99" width="7.6640625" style="111" bestFit="1" customWidth="1"/>
    <col min="100" max="100" width="6.5546875" style="111" bestFit="1" customWidth="1"/>
    <col min="101" max="101" width="7.6640625" style="111" bestFit="1" customWidth="1"/>
    <col min="102" max="102" width="4.109375" style="111" bestFit="1" customWidth="1"/>
    <col min="103" max="103" width="27.109375" style="111" bestFit="1" customWidth="1"/>
    <col min="104" max="104" width="7.6640625" style="111" bestFit="1" customWidth="1"/>
    <col min="105" max="105" width="6.5546875" style="111" bestFit="1" customWidth="1"/>
    <col min="106" max="106" width="7.6640625" style="111" bestFit="1" customWidth="1"/>
    <col min="107" max="107" width="4.109375" style="111" bestFit="1" customWidth="1"/>
    <col min="108" max="108" width="27.109375" style="111" bestFit="1" customWidth="1"/>
    <col min="109" max="109" width="7.6640625" style="111" bestFit="1" customWidth="1"/>
    <col min="110" max="110" width="6.5546875" style="111" bestFit="1" customWidth="1"/>
    <col min="111" max="111" width="7.6640625" style="111" bestFit="1" customWidth="1"/>
    <col min="112" max="112" width="4.109375" style="111" bestFit="1" customWidth="1"/>
    <col min="113" max="113" width="27.109375" style="111" bestFit="1" customWidth="1"/>
    <col min="114" max="114" width="7.6640625" style="111" bestFit="1" customWidth="1"/>
    <col min="115" max="115" width="6.5546875" style="111" bestFit="1" customWidth="1"/>
    <col min="116" max="116" width="7.6640625" style="111" bestFit="1" customWidth="1"/>
    <col min="117" max="117" width="4.109375" style="111" bestFit="1" customWidth="1"/>
    <col min="118" max="118" width="27.109375" style="111" bestFit="1" customWidth="1"/>
    <col min="119" max="119" width="7.6640625" style="111" bestFit="1" customWidth="1"/>
    <col min="120" max="120" width="6.5546875" style="111" bestFit="1" customWidth="1"/>
    <col min="121" max="121" width="7.6640625" style="111" bestFit="1" customWidth="1"/>
    <col min="122" max="122" width="4.109375" style="111" bestFit="1" customWidth="1"/>
    <col min="123" max="123" width="27.109375" style="111" bestFit="1" customWidth="1"/>
    <col min="124" max="124" width="7.6640625" style="111" bestFit="1" customWidth="1"/>
    <col min="125" max="125" width="6.5546875" style="111" bestFit="1" customWidth="1"/>
    <col min="126" max="126" width="15.5546875" style="111" bestFit="1" customWidth="1"/>
    <col min="127" max="127" width="17.44140625" style="111" bestFit="1" customWidth="1"/>
    <col min="128" max="128" width="27.33203125" style="111" bestFit="1" customWidth="1"/>
    <col min="129" max="129" width="7.6640625" style="111" bestFit="1" customWidth="1"/>
    <col min="130" max="130" width="6.5546875" style="111" bestFit="1" customWidth="1"/>
    <col min="131" max="131" width="9.109375" style="111" bestFit="1" customWidth="1"/>
    <col min="132" max="132" width="7.109375" style="111" bestFit="1" customWidth="1"/>
    <col min="133" max="133" width="27.109375" style="111" bestFit="1" customWidth="1"/>
    <col min="134" max="134" width="7.6640625" style="111" bestFit="1" customWidth="1"/>
    <col min="135" max="135" width="6.5546875" style="111" bestFit="1" customWidth="1"/>
    <col min="136" max="136" width="9.109375" style="111" bestFit="1" customWidth="1"/>
    <col min="137" max="137" width="4.109375" style="111" bestFit="1" customWidth="1"/>
    <col min="138" max="138" width="27.109375" style="111" bestFit="1" customWidth="1"/>
    <col min="139" max="139" width="7.6640625" style="111" bestFit="1" customWidth="1"/>
    <col min="140" max="140" width="6.5546875" style="111" bestFit="1" customWidth="1"/>
    <col min="141" max="141" width="9.109375" style="111" bestFit="1" customWidth="1"/>
    <col min="142" max="142" width="4.109375" style="111" bestFit="1" customWidth="1"/>
    <col min="143" max="143" width="27.109375" style="111" bestFit="1" customWidth="1"/>
    <col min="144" max="144" width="7.6640625" style="111" bestFit="1" customWidth="1"/>
    <col min="145" max="145" width="6.5546875" style="111" bestFit="1" customWidth="1"/>
    <col min="146" max="146" width="9.109375" style="111" bestFit="1" customWidth="1"/>
    <col min="147" max="147" width="4.109375" style="111" bestFit="1" customWidth="1"/>
    <col min="148" max="148" width="27.109375" style="111" bestFit="1" customWidth="1"/>
    <col min="149" max="149" width="7.6640625" style="111" bestFit="1" customWidth="1"/>
    <col min="150" max="150" width="6.5546875" style="111" bestFit="1" customWidth="1"/>
    <col min="151" max="151" width="9.109375" style="111" bestFit="1" customWidth="1"/>
    <col min="152" max="152" width="4.109375" style="111" bestFit="1" customWidth="1"/>
    <col min="153" max="153" width="27.109375" style="111" bestFit="1" customWidth="1"/>
    <col min="154" max="154" width="7.6640625" style="111" bestFit="1" customWidth="1"/>
    <col min="155" max="155" width="6.5546875" style="111" bestFit="1" customWidth="1"/>
    <col min="156" max="156" width="9.109375" style="111" bestFit="1" customWidth="1"/>
    <col min="157" max="157" width="4.109375" style="111" bestFit="1" customWidth="1"/>
    <col min="158" max="158" width="27.109375" style="111" bestFit="1" customWidth="1"/>
    <col min="159" max="159" width="7.6640625" style="111" bestFit="1" customWidth="1"/>
    <col min="160" max="160" width="6.5546875" style="111" bestFit="1" customWidth="1"/>
    <col min="161" max="161" width="9.109375" style="111" bestFit="1" customWidth="1"/>
    <col min="162" max="162" width="9.33203125" style="111" bestFit="1" customWidth="1"/>
    <col min="163" max="163" width="27.109375" style="111" bestFit="1" customWidth="1"/>
    <col min="164" max="164" width="9.88671875" style="111" customWidth="1"/>
    <col min="165" max="166" width="9.33203125" style="111" bestFit="1" customWidth="1"/>
    <col min="167" max="167" width="9.44140625" style="111" customWidth="1"/>
    <col min="168" max="168" width="27.109375" style="111" bestFit="1" customWidth="1"/>
    <col min="169" max="171" width="9.33203125" style="111" bestFit="1" customWidth="1"/>
    <col min="172" max="172" width="9.44140625" style="111" customWidth="1"/>
    <col min="173" max="173" width="27.109375" style="111" bestFit="1" customWidth="1"/>
    <col min="174" max="176" width="9.33203125" style="111" bestFit="1" customWidth="1"/>
    <col min="177" max="177" width="9.44140625" style="111" customWidth="1"/>
    <col min="178" max="178" width="27.109375" style="111" bestFit="1" customWidth="1"/>
    <col min="179" max="182" width="9.33203125" style="111" bestFit="1" customWidth="1"/>
    <col min="183" max="183" width="27.109375" style="111" bestFit="1" customWidth="1"/>
    <col min="184" max="187" width="9.33203125" style="111" bestFit="1" customWidth="1"/>
    <col min="188" max="188" width="27.109375" style="111" bestFit="1" customWidth="1"/>
    <col min="189" max="192" width="9.33203125" style="111" bestFit="1" customWidth="1"/>
    <col min="193" max="193" width="27.109375" style="111" bestFit="1" customWidth="1"/>
    <col min="194" max="197" width="9.33203125" style="111" bestFit="1" customWidth="1"/>
    <col min="198" max="198" width="27.109375" style="111" bestFit="1" customWidth="1"/>
    <col min="199" max="202" width="9.33203125" style="111" bestFit="1" customWidth="1"/>
    <col min="203" max="203" width="27.109375" style="111" bestFit="1" customWidth="1"/>
    <col min="204" max="206" width="9.33203125" style="111" bestFit="1" customWidth="1"/>
    <col min="207" max="16384" width="9.109375" style="111"/>
  </cols>
  <sheetData>
    <row r="1" spans="1:206" ht="10.8" thickBot="1" x14ac:dyDescent="0.25"/>
    <row r="2" spans="1:206" ht="39.75" customHeight="1" thickBot="1" x14ac:dyDescent="0.25">
      <c r="A2" s="603" t="s">
        <v>453</v>
      </c>
      <c r="B2" s="605"/>
      <c r="C2" s="605"/>
      <c r="D2" s="605"/>
      <c r="E2" s="605"/>
      <c r="F2" s="603" t="s">
        <v>452</v>
      </c>
      <c r="G2" s="605"/>
      <c r="H2" s="605"/>
      <c r="I2" s="605"/>
      <c r="J2" s="605"/>
      <c r="K2" s="605">
        <v>43983</v>
      </c>
      <c r="L2" s="605"/>
      <c r="M2" s="605"/>
      <c r="N2" s="605"/>
      <c r="O2" s="605"/>
      <c r="P2" s="605"/>
      <c r="Q2" s="602" t="s">
        <v>445</v>
      </c>
      <c r="R2" s="605"/>
      <c r="S2" s="605"/>
      <c r="T2" s="605"/>
      <c r="U2" s="606"/>
      <c r="V2" s="602" t="s">
        <v>444</v>
      </c>
      <c r="W2" s="605"/>
      <c r="X2" s="605"/>
      <c r="Y2" s="605"/>
      <c r="Z2" s="606"/>
      <c r="AA2" s="602" t="s">
        <v>443</v>
      </c>
      <c r="AB2" s="605"/>
      <c r="AC2" s="605"/>
      <c r="AD2" s="605"/>
      <c r="AE2" s="606"/>
      <c r="AF2" s="602" t="s">
        <v>442</v>
      </c>
      <c r="AG2" s="605"/>
      <c r="AH2" s="605"/>
      <c r="AI2" s="605"/>
      <c r="AJ2" s="606"/>
      <c r="AK2" s="602" t="s">
        <v>441</v>
      </c>
      <c r="AL2" s="605"/>
      <c r="AM2" s="605"/>
      <c r="AN2" s="605"/>
      <c r="AO2" s="606"/>
      <c r="AP2" s="602" t="s">
        <v>446</v>
      </c>
      <c r="AQ2" s="605"/>
      <c r="AR2" s="605"/>
      <c r="AS2" s="605"/>
      <c r="AT2" s="606"/>
      <c r="AU2" s="602" t="s">
        <v>451</v>
      </c>
      <c r="AV2" s="605"/>
      <c r="AW2" s="605"/>
      <c r="AX2" s="605"/>
      <c r="AY2" s="606"/>
      <c r="AZ2" s="602" t="s">
        <v>450</v>
      </c>
      <c r="BA2" s="605"/>
      <c r="BB2" s="605"/>
      <c r="BC2" s="605"/>
      <c r="BD2" s="606"/>
      <c r="BE2" s="602" t="s">
        <v>460</v>
      </c>
      <c r="BF2" s="603"/>
      <c r="BG2" s="603"/>
      <c r="BH2" s="603"/>
      <c r="BI2" s="604"/>
      <c r="BJ2" s="602" t="s">
        <v>463</v>
      </c>
      <c r="BK2" s="603"/>
      <c r="BL2" s="603"/>
      <c r="BM2" s="603"/>
      <c r="BN2" s="604"/>
      <c r="BO2" s="602" t="s">
        <v>469</v>
      </c>
      <c r="BP2" s="603"/>
      <c r="BQ2" s="603"/>
      <c r="BR2" s="603"/>
      <c r="BS2" s="604"/>
      <c r="BT2" s="602" t="s">
        <v>471</v>
      </c>
      <c r="BU2" s="603"/>
      <c r="BV2" s="603"/>
      <c r="BW2" s="603"/>
      <c r="BX2" s="604"/>
      <c r="BY2" s="602" t="s">
        <v>479</v>
      </c>
      <c r="BZ2" s="603"/>
      <c r="CA2" s="603"/>
      <c r="CB2" s="603"/>
      <c r="CC2" s="604"/>
      <c r="CD2" s="602" t="s">
        <v>485</v>
      </c>
      <c r="CE2" s="603"/>
      <c r="CF2" s="603"/>
      <c r="CG2" s="603"/>
      <c r="CH2" s="604"/>
      <c r="CI2" s="602" t="s">
        <v>506</v>
      </c>
      <c r="CJ2" s="603"/>
      <c r="CK2" s="603"/>
      <c r="CL2" s="603"/>
      <c r="CM2" s="604"/>
      <c r="CN2" s="602" t="s">
        <v>530</v>
      </c>
      <c r="CO2" s="603"/>
      <c r="CP2" s="603"/>
      <c r="CQ2" s="603"/>
      <c r="CR2" s="604"/>
      <c r="CS2" s="602" t="s">
        <v>543</v>
      </c>
      <c r="CT2" s="603"/>
      <c r="CU2" s="603"/>
      <c r="CV2" s="603"/>
      <c r="CW2" s="604"/>
      <c r="CX2" s="602" t="s">
        <v>545</v>
      </c>
      <c r="CY2" s="603"/>
      <c r="CZ2" s="603"/>
      <c r="DA2" s="603"/>
      <c r="DB2" s="604"/>
      <c r="DC2" s="602" t="s">
        <v>573</v>
      </c>
      <c r="DD2" s="603"/>
      <c r="DE2" s="603"/>
      <c r="DF2" s="603"/>
      <c r="DG2" s="604"/>
      <c r="DH2" s="602" t="s">
        <v>574</v>
      </c>
      <c r="DI2" s="603"/>
      <c r="DJ2" s="603"/>
      <c r="DK2" s="603"/>
      <c r="DL2" s="604"/>
      <c r="DM2" s="602" t="s">
        <v>576</v>
      </c>
      <c r="DN2" s="603"/>
      <c r="DO2" s="603"/>
      <c r="DP2" s="603"/>
      <c r="DQ2" s="604"/>
      <c r="DR2" s="602" t="s">
        <v>584</v>
      </c>
      <c r="DS2" s="603"/>
      <c r="DT2" s="603"/>
      <c r="DU2" s="603"/>
      <c r="DV2" s="604"/>
      <c r="DW2" s="602" t="s">
        <v>594</v>
      </c>
      <c r="DX2" s="603"/>
      <c r="DY2" s="603"/>
      <c r="DZ2" s="603"/>
      <c r="EA2" s="604"/>
      <c r="EB2" s="602" t="s">
        <v>595</v>
      </c>
      <c r="EC2" s="603"/>
      <c r="ED2" s="603"/>
      <c r="EE2" s="603"/>
      <c r="EF2" s="604"/>
      <c r="EG2" s="602" t="s">
        <v>626</v>
      </c>
      <c r="EH2" s="603"/>
      <c r="EI2" s="603"/>
      <c r="EJ2" s="603"/>
      <c r="EK2" s="604"/>
      <c r="EL2" s="602" t="s">
        <v>630</v>
      </c>
      <c r="EM2" s="603"/>
      <c r="EN2" s="603"/>
      <c r="EO2" s="603"/>
      <c r="EP2" s="604"/>
      <c r="EQ2" s="602" t="s">
        <v>634</v>
      </c>
      <c r="ER2" s="603"/>
      <c r="ES2" s="603"/>
      <c r="ET2" s="603"/>
      <c r="EU2" s="604"/>
      <c r="EV2" s="602" t="s">
        <v>640</v>
      </c>
      <c r="EW2" s="603"/>
      <c r="EX2" s="603"/>
      <c r="EY2" s="603"/>
      <c r="EZ2" s="604"/>
      <c r="FA2" s="602" t="s">
        <v>644</v>
      </c>
      <c r="FB2" s="603"/>
      <c r="FC2" s="603"/>
      <c r="FD2" s="603"/>
      <c r="FE2" s="604"/>
      <c r="FF2" s="602" t="s">
        <v>647</v>
      </c>
      <c r="FG2" s="603"/>
      <c r="FH2" s="603"/>
      <c r="FI2" s="603"/>
      <c r="FJ2" s="604"/>
      <c r="FK2" s="602" t="s">
        <v>677</v>
      </c>
      <c r="FL2" s="603"/>
      <c r="FM2" s="603"/>
      <c r="FN2" s="603"/>
      <c r="FO2" s="604"/>
      <c r="FP2" s="602" t="s">
        <v>656</v>
      </c>
      <c r="FQ2" s="603"/>
      <c r="FR2" s="603"/>
      <c r="FS2" s="603"/>
      <c r="FT2" s="604"/>
      <c r="FU2" s="602" t="s">
        <v>664</v>
      </c>
      <c r="FV2" s="603"/>
      <c r="FW2" s="603"/>
      <c r="FX2" s="603"/>
      <c r="FY2" s="604"/>
      <c r="FZ2" s="602" t="s">
        <v>667</v>
      </c>
      <c r="GA2" s="603"/>
      <c r="GB2" s="603"/>
      <c r="GC2" s="603"/>
      <c r="GD2" s="604"/>
      <c r="GE2" s="602" t="s">
        <v>670</v>
      </c>
      <c r="GF2" s="603"/>
      <c r="GG2" s="603"/>
      <c r="GH2" s="603"/>
      <c r="GI2" s="604"/>
      <c r="GJ2" s="602" t="s">
        <v>673</v>
      </c>
      <c r="GK2" s="603"/>
      <c r="GL2" s="603"/>
      <c r="GM2" s="603"/>
      <c r="GN2" s="604"/>
      <c r="GO2" s="602" t="s">
        <v>676</v>
      </c>
      <c r="GP2" s="603"/>
      <c r="GQ2" s="603"/>
      <c r="GR2" s="603"/>
      <c r="GS2" s="604"/>
      <c r="GT2" s="602" t="s">
        <v>699</v>
      </c>
      <c r="GU2" s="603"/>
      <c r="GV2" s="603"/>
      <c r="GW2" s="603"/>
      <c r="GX2" s="604"/>
    </row>
    <row r="3" spans="1:206" ht="10.8" thickBot="1" x14ac:dyDescent="0.25">
      <c r="A3" s="330"/>
      <c r="B3" s="331"/>
      <c r="C3" s="331"/>
      <c r="D3" s="331"/>
      <c r="E3" s="331"/>
      <c r="F3" s="330"/>
      <c r="G3" s="331"/>
      <c r="H3" s="331"/>
      <c r="I3" s="331"/>
      <c r="J3" s="331"/>
      <c r="K3" s="330"/>
      <c r="L3" s="331"/>
      <c r="M3" s="331"/>
      <c r="N3" s="331"/>
      <c r="O3" s="331"/>
      <c r="P3" s="331"/>
      <c r="Q3" s="330"/>
      <c r="R3" s="331"/>
      <c r="S3" s="331"/>
      <c r="T3" s="331"/>
      <c r="U3" s="331"/>
      <c r="V3" s="330"/>
      <c r="W3" s="331"/>
      <c r="X3" s="331"/>
      <c r="Y3" s="331"/>
      <c r="Z3" s="331"/>
      <c r="AA3" s="330"/>
      <c r="AB3" s="331"/>
      <c r="AC3" s="331"/>
      <c r="AD3" s="331"/>
      <c r="AE3" s="331"/>
      <c r="AF3" s="330"/>
      <c r="AG3" s="331"/>
      <c r="AH3" s="331"/>
      <c r="AI3" s="331"/>
      <c r="AJ3" s="331"/>
      <c r="AK3" s="330"/>
      <c r="AL3" s="331"/>
      <c r="AM3" s="331"/>
      <c r="AN3" s="331"/>
      <c r="AO3" s="331"/>
      <c r="AP3" s="330"/>
      <c r="AQ3" s="331"/>
      <c r="AR3" s="331"/>
      <c r="AS3" s="331"/>
      <c r="AT3" s="331"/>
      <c r="AU3" s="330"/>
      <c r="AV3" s="331"/>
      <c r="AW3" s="331"/>
      <c r="AX3" s="331"/>
      <c r="AY3" s="331"/>
      <c r="AZ3" s="330"/>
      <c r="BA3" s="331"/>
      <c r="BB3" s="331"/>
      <c r="BC3" s="331"/>
      <c r="BD3" s="331"/>
      <c r="BE3" s="330"/>
      <c r="BF3" s="331"/>
      <c r="BG3" s="331"/>
      <c r="BH3" s="331"/>
      <c r="BI3" s="331"/>
      <c r="BJ3" s="330"/>
      <c r="BK3" s="331"/>
      <c r="BL3" s="331"/>
      <c r="BM3" s="331"/>
      <c r="BN3" s="331"/>
      <c r="BO3" s="330"/>
      <c r="BP3" s="331"/>
      <c r="BQ3" s="331"/>
      <c r="BR3" s="331"/>
      <c r="BS3" s="331"/>
      <c r="BT3" s="330"/>
      <c r="BU3" s="331"/>
      <c r="BV3" s="331"/>
      <c r="BW3" s="331"/>
      <c r="BX3" s="331"/>
      <c r="BY3" s="330"/>
      <c r="BZ3" s="331"/>
      <c r="CA3" s="331"/>
      <c r="CB3" s="331"/>
      <c r="CC3" s="331"/>
      <c r="CD3" s="330"/>
      <c r="CE3" s="331"/>
      <c r="CF3" s="331"/>
      <c r="CG3" s="331"/>
      <c r="CH3" s="331"/>
      <c r="CI3" s="330"/>
      <c r="CJ3" s="331"/>
      <c r="CK3" s="331"/>
      <c r="CL3" s="331"/>
      <c r="CM3" s="331"/>
      <c r="CN3" s="330"/>
      <c r="CO3" s="331"/>
      <c r="CP3" s="331"/>
      <c r="CQ3" s="331"/>
      <c r="CR3" s="331"/>
      <c r="CS3" s="330"/>
      <c r="CT3" s="331"/>
      <c r="CU3" s="331"/>
      <c r="CV3" s="331"/>
      <c r="CW3" s="331"/>
      <c r="CX3" s="330"/>
      <c r="CY3" s="331"/>
      <c r="CZ3" s="331"/>
      <c r="DA3" s="331"/>
      <c r="DB3" s="331"/>
      <c r="DC3" s="330"/>
      <c r="DD3" s="331"/>
      <c r="DE3" s="331"/>
      <c r="DF3" s="331"/>
      <c r="DG3" s="331"/>
      <c r="DH3" s="330"/>
      <c r="DI3" s="331"/>
      <c r="DJ3" s="331"/>
      <c r="DK3" s="331"/>
      <c r="DL3" s="331"/>
      <c r="DM3" s="330"/>
      <c r="DN3" s="331"/>
      <c r="DO3" s="331"/>
      <c r="DP3" s="331"/>
      <c r="DQ3" s="331"/>
      <c r="DR3" s="330"/>
      <c r="DS3" s="331"/>
      <c r="DT3" s="331"/>
      <c r="DU3" s="331"/>
      <c r="DV3" s="331"/>
      <c r="DW3" s="330"/>
      <c r="DX3" s="331"/>
      <c r="DY3" s="331"/>
      <c r="DZ3" s="331"/>
      <c r="EA3" s="331"/>
      <c r="EB3" s="330"/>
      <c r="EC3" s="331"/>
      <c r="ED3" s="331"/>
      <c r="EE3" s="331"/>
      <c r="EF3" s="331"/>
      <c r="EG3" s="330"/>
      <c r="EH3" s="331"/>
      <c r="EI3" s="331"/>
      <c r="EJ3" s="331"/>
      <c r="EK3" s="331"/>
      <c r="EL3" s="330"/>
      <c r="EM3" s="331"/>
      <c r="EN3" s="331"/>
      <c r="EO3" s="331"/>
      <c r="EP3" s="331"/>
      <c r="EQ3" s="330"/>
      <c r="ER3" s="331"/>
      <c r="ES3" s="331"/>
      <c r="ET3" s="331"/>
      <c r="EU3" s="331"/>
      <c r="EV3" s="330"/>
      <c r="EW3" s="331"/>
      <c r="EX3" s="331"/>
      <c r="EY3" s="331"/>
      <c r="EZ3" s="331"/>
      <c r="FA3" s="330"/>
      <c r="FB3" s="331"/>
      <c r="FC3" s="331"/>
      <c r="FD3" s="331"/>
      <c r="FE3" s="331"/>
      <c r="FF3" s="330"/>
      <c r="FG3" s="331"/>
      <c r="FH3" s="331"/>
      <c r="FI3" s="331"/>
      <c r="FJ3" s="331"/>
      <c r="FK3" s="330"/>
      <c r="FL3" s="331"/>
      <c r="FM3" s="331"/>
      <c r="FN3" s="331"/>
      <c r="FO3" s="331"/>
      <c r="FP3" s="330"/>
      <c r="FQ3" s="331"/>
      <c r="FR3" s="331"/>
      <c r="FS3" s="331"/>
      <c r="FT3" s="331"/>
      <c r="FU3" s="330"/>
      <c r="FV3" s="331"/>
      <c r="FW3" s="331"/>
      <c r="FX3" s="331"/>
      <c r="FY3" s="331"/>
      <c r="FZ3" s="330"/>
      <c r="GA3" s="331"/>
      <c r="GB3" s="331"/>
      <c r="GC3" s="331"/>
      <c r="GD3" s="331"/>
      <c r="GE3" s="330"/>
      <c r="GF3" s="331"/>
      <c r="GG3" s="331"/>
      <c r="GH3" s="331"/>
      <c r="GI3" s="331"/>
      <c r="GJ3" s="330"/>
      <c r="GK3" s="331"/>
      <c r="GL3" s="331"/>
      <c r="GM3" s="331"/>
      <c r="GN3" s="331"/>
      <c r="GO3" s="330"/>
      <c r="GP3" s="331"/>
      <c r="GQ3" s="331"/>
      <c r="GR3" s="331"/>
      <c r="GS3" s="331"/>
      <c r="GT3" s="330"/>
      <c r="GU3" s="331"/>
      <c r="GV3" s="331"/>
      <c r="GW3" s="331"/>
      <c r="GX3" s="331"/>
    </row>
    <row r="4" spans="1:206" x14ac:dyDescent="0.2">
      <c r="A4" s="332"/>
      <c r="B4" s="333"/>
      <c r="C4" s="333"/>
      <c r="D4" s="333"/>
      <c r="E4" s="333"/>
      <c r="F4" s="332"/>
      <c r="G4" s="333"/>
      <c r="H4" s="333"/>
      <c r="I4" s="333"/>
      <c r="J4" s="333"/>
      <c r="K4" s="332"/>
      <c r="L4" s="333"/>
      <c r="M4" s="333"/>
      <c r="N4" s="333"/>
      <c r="O4" s="333"/>
      <c r="P4" s="334"/>
      <c r="Q4" s="332"/>
      <c r="R4" s="333"/>
      <c r="S4" s="333"/>
      <c r="T4" s="333"/>
      <c r="U4" s="333"/>
      <c r="V4" s="332"/>
      <c r="W4" s="331"/>
      <c r="X4" s="331"/>
      <c r="Y4" s="331"/>
      <c r="Z4" s="335"/>
      <c r="AA4" s="332"/>
      <c r="AB4" s="331"/>
      <c r="AC4" s="331"/>
      <c r="AD4" s="331"/>
      <c r="AE4" s="335"/>
      <c r="AF4" s="332"/>
      <c r="AG4" s="331"/>
      <c r="AH4" s="331"/>
      <c r="AI4" s="331"/>
      <c r="AJ4" s="335"/>
      <c r="AK4" s="332"/>
      <c r="AL4" s="331"/>
      <c r="AM4" s="331"/>
      <c r="AN4" s="331"/>
      <c r="AO4" s="335"/>
      <c r="AP4" s="332"/>
      <c r="AQ4" s="331"/>
      <c r="AR4" s="331"/>
      <c r="AS4" s="331"/>
      <c r="AT4" s="335"/>
      <c r="AU4" s="332"/>
      <c r="AV4" s="331"/>
      <c r="AW4" s="331"/>
      <c r="AX4" s="331"/>
      <c r="AY4" s="335"/>
      <c r="AZ4" s="332"/>
      <c r="BA4" s="331"/>
      <c r="BB4" s="331"/>
      <c r="BC4" s="331"/>
      <c r="BD4" s="335"/>
      <c r="BE4" s="332"/>
      <c r="BF4" s="331"/>
      <c r="BG4" s="331"/>
      <c r="BH4" s="331"/>
      <c r="BI4" s="335"/>
      <c r="BJ4" s="336"/>
      <c r="BK4" s="331"/>
      <c r="BL4" s="331"/>
      <c r="BM4" s="331"/>
      <c r="BN4" s="335"/>
      <c r="BO4" s="332"/>
      <c r="BP4" s="331"/>
      <c r="BQ4" s="331"/>
      <c r="BR4" s="331"/>
      <c r="BS4" s="335"/>
      <c r="BT4" s="332"/>
      <c r="BU4" s="331"/>
      <c r="BV4" s="331"/>
      <c r="BW4" s="331"/>
      <c r="BX4" s="335"/>
      <c r="BY4" s="332"/>
      <c r="BZ4" s="331"/>
      <c r="CA4" s="331"/>
      <c r="CB4" s="331"/>
      <c r="CC4" s="335"/>
      <c r="CD4" s="332"/>
      <c r="CE4" s="331"/>
      <c r="CF4" s="331"/>
      <c r="CG4" s="331"/>
      <c r="CH4" s="335"/>
      <c r="CI4" s="332"/>
      <c r="CJ4" s="331"/>
      <c r="CK4" s="331"/>
      <c r="CL4" s="331"/>
      <c r="CM4" s="335"/>
      <c r="CN4" s="332"/>
      <c r="CO4" s="331"/>
      <c r="CP4" s="331"/>
      <c r="CQ4" s="331"/>
      <c r="CR4" s="335"/>
      <c r="CS4" s="332"/>
      <c r="CT4" s="331"/>
      <c r="CU4" s="331"/>
      <c r="CV4" s="331"/>
      <c r="CW4" s="335"/>
      <c r="CX4" s="332"/>
      <c r="CY4" s="331"/>
      <c r="CZ4" s="331"/>
      <c r="DA4" s="331"/>
      <c r="DB4" s="335"/>
      <c r="DC4" s="332"/>
      <c r="DD4" s="331"/>
      <c r="DE4" s="331"/>
      <c r="DF4" s="331"/>
      <c r="DG4" s="335"/>
      <c r="DH4" s="332"/>
      <c r="DI4" s="331"/>
      <c r="DJ4" s="331"/>
      <c r="DK4" s="331"/>
      <c r="DL4" s="335"/>
      <c r="DM4" s="332"/>
      <c r="DN4" s="331"/>
      <c r="DO4" s="331"/>
      <c r="DP4" s="331"/>
      <c r="DQ4" s="335"/>
      <c r="DR4" s="332"/>
      <c r="DS4" s="331"/>
      <c r="DT4" s="331"/>
      <c r="DU4" s="331"/>
      <c r="DV4" s="335"/>
      <c r="DW4" s="332"/>
      <c r="DX4" s="331"/>
      <c r="DY4" s="331"/>
      <c r="DZ4" s="331"/>
      <c r="EA4" s="335"/>
      <c r="EB4" s="332"/>
      <c r="EC4" s="331"/>
      <c r="ED4" s="331"/>
      <c r="EE4" s="331"/>
      <c r="EF4" s="335"/>
      <c r="EG4" s="332"/>
      <c r="EH4" s="331"/>
      <c r="EI4" s="331"/>
      <c r="EJ4" s="331"/>
      <c r="EK4" s="335"/>
      <c r="EL4" s="332"/>
      <c r="EM4" s="331"/>
      <c r="EN4" s="331"/>
      <c r="EO4" s="331"/>
      <c r="EP4" s="335"/>
      <c r="EQ4" s="332"/>
      <c r="ER4" s="331"/>
      <c r="ES4" s="331"/>
      <c r="ET4" s="331"/>
      <c r="EU4" s="335"/>
      <c r="EV4" s="332"/>
      <c r="EW4" s="331"/>
      <c r="EX4" s="331"/>
      <c r="EY4" s="331"/>
      <c r="EZ4" s="335"/>
      <c r="FA4" s="332"/>
      <c r="FB4" s="331"/>
      <c r="FC4" s="331"/>
      <c r="FD4" s="331"/>
      <c r="FE4" s="335"/>
      <c r="FF4" s="332"/>
      <c r="FG4" s="331"/>
      <c r="FH4" s="331"/>
      <c r="FI4" s="331"/>
      <c r="FJ4" s="335"/>
      <c r="FK4" s="332"/>
      <c r="FL4" s="331"/>
      <c r="FM4" s="331"/>
      <c r="FN4" s="331"/>
      <c r="FO4" s="335"/>
      <c r="FP4" s="332"/>
      <c r="FQ4" s="331"/>
      <c r="FR4" s="331"/>
      <c r="FS4" s="331"/>
      <c r="FT4" s="335"/>
      <c r="FU4" s="332"/>
      <c r="FV4" s="331"/>
      <c r="FW4" s="331"/>
      <c r="FX4" s="331"/>
      <c r="FY4" s="331"/>
      <c r="FZ4" s="337"/>
      <c r="GA4" s="331"/>
      <c r="GB4" s="331"/>
      <c r="GC4" s="331"/>
      <c r="GD4" s="335"/>
      <c r="GE4" s="337"/>
      <c r="GF4" s="331"/>
      <c r="GG4" s="331"/>
      <c r="GH4" s="331"/>
      <c r="GI4" s="335"/>
      <c r="GJ4" s="337"/>
      <c r="GK4" s="331"/>
      <c r="GL4" s="331"/>
      <c r="GM4" s="331"/>
      <c r="GN4" s="335"/>
      <c r="GO4" s="337"/>
      <c r="GP4" s="331"/>
      <c r="GQ4" s="331"/>
      <c r="GR4" s="331"/>
      <c r="GS4" s="335"/>
      <c r="GT4" s="337"/>
      <c r="GU4" s="331"/>
      <c r="GV4" s="331"/>
      <c r="GW4" s="331"/>
      <c r="GX4" s="335"/>
    </row>
    <row r="5" spans="1:206" x14ac:dyDescent="0.2">
      <c r="A5" s="332">
        <v>1</v>
      </c>
      <c r="B5" s="111" t="s">
        <v>396</v>
      </c>
      <c r="D5" s="338">
        <v>2.65</v>
      </c>
      <c r="F5" s="332">
        <v>1</v>
      </c>
      <c r="G5" s="111" t="s">
        <v>396</v>
      </c>
      <c r="I5" s="338">
        <v>2.65</v>
      </c>
      <c r="K5" s="332">
        <v>1</v>
      </c>
      <c r="L5" s="111" t="s">
        <v>396</v>
      </c>
      <c r="N5" s="338">
        <v>2.65</v>
      </c>
      <c r="P5" s="339"/>
      <c r="Q5" s="332">
        <v>1</v>
      </c>
      <c r="R5" s="111" t="s">
        <v>396</v>
      </c>
      <c r="T5" s="338">
        <v>2.65</v>
      </c>
      <c r="V5" s="332">
        <v>1</v>
      </c>
      <c r="W5" s="111" t="s">
        <v>396</v>
      </c>
      <c r="Y5" s="338">
        <v>2.65</v>
      </c>
      <c r="Z5" s="340"/>
      <c r="AA5" s="332">
        <v>1</v>
      </c>
      <c r="AB5" s="111" t="s">
        <v>396</v>
      </c>
      <c r="AD5" s="338">
        <v>2.65</v>
      </c>
      <c r="AE5" s="340"/>
      <c r="AF5" s="332">
        <v>1</v>
      </c>
      <c r="AG5" s="111" t="s">
        <v>396</v>
      </c>
      <c r="AI5" s="338">
        <v>2.65</v>
      </c>
      <c r="AJ5" s="340"/>
      <c r="AK5" s="332">
        <v>1</v>
      </c>
      <c r="AL5" s="111" t="s">
        <v>396</v>
      </c>
      <c r="AN5" s="338">
        <v>2.65</v>
      </c>
      <c r="AO5" s="340"/>
      <c r="AP5" s="332">
        <v>1</v>
      </c>
      <c r="AQ5" s="111" t="s">
        <v>396</v>
      </c>
      <c r="AS5" s="338">
        <v>2.65</v>
      </c>
      <c r="AT5" s="340"/>
      <c r="AU5" s="332">
        <v>1</v>
      </c>
      <c r="AV5" s="111" t="s">
        <v>396</v>
      </c>
      <c r="AX5" s="338">
        <v>2.65</v>
      </c>
      <c r="AY5" s="340"/>
      <c r="AZ5" s="332">
        <v>1</v>
      </c>
      <c r="BA5" s="111" t="s">
        <v>396</v>
      </c>
      <c r="BC5" s="338">
        <v>2.65</v>
      </c>
      <c r="BD5" s="340"/>
      <c r="BE5" s="332">
        <v>1</v>
      </c>
      <c r="BF5" s="111" t="s">
        <v>396</v>
      </c>
      <c r="BH5" s="338">
        <v>2.65</v>
      </c>
      <c r="BI5" s="340"/>
      <c r="BJ5" s="341">
        <v>1</v>
      </c>
      <c r="BK5" s="111" t="s">
        <v>396</v>
      </c>
      <c r="BM5" s="338">
        <v>2.65</v>
      </c>
      <c r="BN5" s="340"/>
      <c r="BO5" s="332">
        <v>1</v>
      </c>
      <c r="BP5" s="111" t="s">
        <v>396</v>
      </c>
      <c r="BR5" s="338">
        <v>2.65</v>
      </c>
      <c r="BS5" s="340"/>
      <c r="BT5" s="332">
        <v>1</v>
      </c>
      <c r="BU5" s="111" t="s">
        <v>396</v>
      </c>
      <c r="BW5" s="338">
        <v>2.65</v>
      </c>
      <c r="BX5" s="340"/>
      <c r="BY5" s="332">
        <v>1</v>
      </c>
      <c r="BZ5" s="111" t="s">
        <v>396</v>
      </c>
      <c r="CB5" s="338">
        <v>2.65</v>
      </c>
      <c r="CC5" s="340"/>
      <c r="CD5" s="332">
        <v>1</v>
      </c>
      <c r="CE5" s="111" t="s">
        <v>396</v>
      </c>
      <c r="CG5" s="338">
        <v>2.65</v>
      </c>
      <c r="CH5" s="340"/>
      <c r="CI5" s="332">
        <v>1</v>
      </c>
      <c r="CJ5" s="111" t="s">
        <v>396</v>
      </c>
      <c r="CL5" s="338">
        <v>2.65</v>
      </c>
      <c r="CM5" s="340"/>
      <c r="CN5" s="332">
        <v>1</v>
      </c>
      <c r="CO5" s="111" t="s">
        <v>396</v>
      </c>
      <c r="CQ5" s="338">
        <v>2.65</v>
      </c>
      <c r="CR5" s="340"/>
      <c r="CS5" s="332">
        <v>1</v>
      </c>
      <c r="CT5" s="111" t="s">
        <v>396</v>
      </c>
      <c r="CV5" s="338">
        <v>2.65</v>
      </c>
      <c r="CW5" s="340"/>
      <c r="CX5" s="332">
        <v>1</v>
      </c>
      <c r="CY5" s="111" t="s">
        <v>396</v>
      </c>
      <c r="DA5" s="338">
        <v>0.62</v>
      </c>
      <c r="DB5" s="340"/>
      <c r="DC5" s="332">
        <v>1</v>
      </c>
      <c r="DD5" s="111" t="s">
        <v>396</v>
      </c>
      <c r="DF5" s="338">
        <v>0.62</v>
      </c>
      <c r="DG5" s="340"/>
      <c r="DH5" s="332">
        <v>1</v>
      </c>
      <c r="DI5" s="111" t="s">
        <v>396</v>
      </c>
      <c r="DK5" s="338">
        <v>0.62</v>
      </c>
      <c r="DL5" s="340"/>
      <c r="DM5" s="332">
        <v>1</v>
      </c>
      <c r="DN5" s="111" t="s">
        <v>396</v>
      </c>
      <c r="DP5" s="338">
        <v>0.62</v>
      </c>
      <c r="DQ5" s="340"/>
      <c r="DR5" s="332">
        <v>1</v>
      </c>
      <c r="DS5" s="111" t="s">
        <v>396</v>
      </c>
      <c r="DU5" s="338">
        <v>0.62</v>
      </c>
      <c r="DV5" s="340"/>
      <c r="DW5" s="332">
        <v>1</v>
      </c>
      <c r="DX5" s="111" t="s">
        <v>396</v>
      </c>
      <c r="DZ5" s="338">
        <v>0.62</v>
      </c>
      <c r="EA5" s="340"/>
      <c r="EB5" s="332">
        <v>1</v>
      </c>
      <c r="EC5" s="111" t="s">
        <v>396</v>
      </c>
      <c r="EE5" s="338">
        <v>0.62</v>
      </c>
      <c r="EF5" s="340"/>
      <c r="EG5" s="332">
        <v>1</v>
      </c>
      <c r="EH5" s="111" t="s">
        <v>396</v>
      </c>
      <c r="EJ5" s="338">
        <v>0.62</v>
      </c>
      <c r="EK5" s="340"/>
      <c r="EL5" s="332">
        <v>1</v>
      </c>
      <c r="EM5" s="111" t="s">
        <v>396</v>
      </c>
      <c r="EO5" s="338">
        <v>0.62</v>
      </c>
      <c r="EP5" s="340"/>
      <c r="EQ5" s="332">
        <v>1</v>
      </c>
      <c r="ER5" s="111" t="s">
        <v>396</v>
      </c>
      <c r="ET5" s="338">
        <v>0.62</v>
      </c>
      <c r="EU5" s="340"/>
      <c r="EV5" s="332">
        <v>1</v>
      </c>
      <c r="EW5" s="111" t="s">
        <v>396</v>
      </c>
      <c r="EY5" s="338">
        <v>0.62</v>
      </c>
      <c r="EZ5" s="340"/>
      <c r="FA5" s="332">
        <v>1</v>
      </c>
      <c r="FB5" s="111" t="s">
        <v>396</v>
      </c>
      <c r="FD5" s="338">
        <v>0.62</v>
      </c>
      <c r="FE5" s="340"/>
      <c r="FF5" s="332">
        <v>1</v>
      </c>
      <c r="FG5" s="111" t="s">
        <v>396</v>
      </c>
      <c r="FI5" s="338">
        <v>0.62</v>
      </c>
      <c r="FJ5" s="340"/>
      <c r="FK5" s="332">
        <v>1</v>
      </c>
      <c r="FL5" s="111" t="s">
        <v>396</v>
      </c>
      <c r="FN5" s="338">
        <v>0.62</v>
      </c>
      <c r="FO5" s="340"/>
      <c r="FP5" s="332">
        <v>1</v>
      </c>
      <c r="FQ5" s="111" t="s">
        <v>396</v>
      </c>
      <c r="FS5" s="338">
        <v>0.62</v>
      </c>
      <c r="FT5" s="340"/>
      <c r="FU5" s="332">
        <v>1</v>
      </c>
      <c r="FV5" s="111" t="s">
        <v>396</v>
      </c>
      <c r="FX5" s="338">
        <v>0.62</v>
      </c>
      <c r="FZ5" s="342">
        <v>1</v>
      </c>
      <c r="GA5" s="111" t="s">
        <v>396</v>
      </c>
      <c r="GC5" s="338">
        <v>0.62</v>
      </c>
      <c r="GD5" s="340"/>
      <c r="GE5" s="342">
        <v>1</v>
      </c>
      <c r="GF5" s="111" t="s">
        <v>396</v>
      </c>
      <c r="GH5" s="338">
        <v>0.62</v>
      </c>
      <c r="GI5" s="340"/>
      <c r="GJ5" s="342">
        <v>1</v>
      </c>
      <c r="GK5" s="111" t="s">
        <v>396</v>
      </c>
      <c r="GM5" s="338">
        <v>0.62</v>
      </c>
      <c r="GN5" s="340"/>
      <c r="GO5" s="342">
        <v>1</v>
      </c>
      <c r="GP5" s="111" t="s">
        <v>396</v>
      </c>
      <c r="GR5" s="338">
        <v>0.62</v>
      </c>
      <c r="GS5" s="340"/>
      <c r="GT5" s="342">
        <v>1</v>
      </c>
      <c r="GU5" s="111" t="s">
        <v>396</v>
      </c>
      <c r="GW5" s="343">
        <v>4.78</v>
      </c>
      <c r="GX5" s="340"/>
    </row>
    <row r="6" spans="1:206" x14ac:dyDescent="0.2">
      <c r="A6" s="332">
        <v>2</v>
      </c>
      <c r="B6" s="111" t="s">
        <v>397</v>
      </c>
      <c r="D6" s="344">
        <v>34.020000000000003</v>
      </c>
      <c r="E6" s="345">
        <f>SUM(D5:D6)</f>
        <v>36.67</v>
      </c>
      <c r="F6" s="332">
        <v>2</v>
      </c>
      <c r="G6" s="111" t="s">
        <v>397</v>
      </c>
      <c r="I6" s="344">
        <v>34.020000000000003</v>
      </c>
      <c r="J6" s="345">
        <f>SUM(I5:I6)</f>
        <v>36.67</v>
      </c>
      <c r="K6" s="332">
        <v>2</v>
      </c>
      <c r="L6" s="111" t="s">
        <v>397</v>
      </c>
      <c r="N6" s="344">
        <v>34.020000000000003</v>
      </c>
      <c r="O6" s="345">
        <f>SUM(N5:N6)</f>
        <v>36.67</v>
      </c>
      <c r="P6" s="339"/>
      <c r="Q6" s="332">
        <v>2</v>
      </c>
      <c r="R6" s="111" t="s">
        <v>397</v>
      </c>
      <c r="T6" s="344">
        <v>34.020000000000003</v>
      </c>
      <c r="U6" s="346">
        <f>SUM(T5:T6)</f>
        <v>36.67</v>
      </c>
      <c r="V6" s="332">
        <v>2</v>
      </c>
      <c r="W6" s="111" t="s">
        <v>397</v>
      </c>
      <c r="Y6" s="344">
        <v>34.020000000000003</v>
      </c>
      <c r="Z6" s="347">
        <f>SUM(Y5:Y6)</f>
        <v>36.67</v>
      </c>
      <c r="AA6" s="332">
        <v>2</v>
      </c>
      <c r="AB6" s="111" t="s">
        <v>397</v>
      </c>
      <c r="AD6" s="344">
        <v>34.020000000000003</v>
      </c>
      <c r="AE6" s="347">
        <f>SUM(AD5:AD6)</f>
        <v>36.67</v>
      </c>
      <c r="AF6" s="332">
        <v>2</v>
      </c>
      <c r="AG6" s="111" t="s">
        <v>397</v>
      </c>
      <c r="AI6" s="344">
        <v>34.020000000000003</v>
      </c>
      <c r="AJ6" s="347">
        <f>SUM(AI5:AI6)</f>
        <v>36.67</v>
      </c>
      <c r="AK6" s="332">
        <v>2</v>
      </c>
      <c r="AL6" s="111" t="s">
        <v>397</v>
      </c>
      <c r="AN6" s="344">
        <v>34.020000000000003</v>
      </c>
      <c r="AO6" s="348">
        <f>SUM(AN5:AN6)</f>
        <v>36.67</v>
      </c>
      <c r="AP6" s="332">
        <v>2</v>
      </c>
      <c r="AQ6" s="111" t="s">
        <v>397</v>
      </c>
      <c r="AS6" s="344">
        <v>34.020000000000003</v>
      </c>
      <c r="AT6" s="348">
        <f>SUM(AS5:AS6)</f>
        <v>36.67</v>
      </c>
      <c r="AU6" s="332">
        <v>2</v>
      </c>
      <c r="AV6" s="111" t="s">
        <v>397</v>
      </c>
      <c r="AX6" s="344">
        <v>34.020000000000003</v>
      </c>
      <c r="AY6" s="347">
        <f>SUM(AX5:AX6)</f>
        <v>36.67</v>
      </c>
      <c r="AZ6" s="332">
        <v>2</v>
      </c>
      <c r="BA6" s="111" t="s">
        <v>397</v>
      </c>
      <c r="BC6" s="344">
        <v>34.020000000000003</v>
      </c>
      <c r="BD6" s="347">
        <f>SUM(BC5:BC6)</f>
        <v>36.67</v>
      </c>
      <c r="BE6" s="332">
        <v>2</v>
      </c>
      <c r="BF6" s="111" t="s">
        <v>397</v>
      </c>
      <c r="BH6" s="344">
        <v>34.020000000000003</v>
      </c>
      <c r="BI6" s="347">
        <f>SUM(BH5:BH6)</f>
        <v>36.67</v>
      </c>
      <c r="BJ6" s="341">
        <v>2</v>
      </c>
      <c r="BK6" s="111" t="s">
        <v>397</v>
      </c>
      <c r="BM6" s="344">
        <v>34.020000000000003</v>
      </c>
      <c r="BN6" s="347">
        <f>SUM(BM5:BM6)</f>
        <v>36.67</v>
      </c>
      <c r="BO6" s="332">
        <v>2</v>
      </c>
      <c r="BP6" s="111" t="s">
        <v>397</v>
      </c>
      <c r="BR6" s="344">
        <v>34.020000000000003</v>
      </c>
      <c r="BS6" s="347">
        <f>SUM(BR5:BR6)</f>
        <v>36.67</v>
      </c>
      <c r="BT6" s="332">
        <v>2</v>
      </c>
      <c r="BU6" s="111" t="s">
        <v>397</v>
      </c>
      <c r="BW6" s="344">
        <v>34.020000000000003</v>
      </c>
      <c r="BX6" s="347">
        <f>SUM(BW5:BW6)</f>
        <v>36.67</v>
      </c>
      <c r="BY6" s="332">
        <v>2</v>
      </c>
      <c r="BZ6" s="111" t="s">
        <v>397</v>
      </c>
      <c r="CB6" s="344">
        <v>34.020000000000003</v>
      </c>
      <c r="CC6" s="347">
        <f>SUM(CB5:CB6)</f>
        <v>36.67</v>
      </c>
      <c r="CD6" s="332">
        <v>2</v>
      </c>
      <c r="CE6" s="111" t="s">
        <v>397</v>
      </c>
      <c r="CG6" s="344">
        <v>34.020000000000003</v>
      </c>
      <c r="CH6" s="347">
        <f>SUM(CG5:CG6)</f>
        <v>36.67</v>
      </c>
      <c r="CI6" s="332">
        <v>2</v>
      </c>
      <c r="CJ6" s="111" t="s">
        <v>397</v>
      </c>
      <c r="CL6" s="344">
        <v>34.020000000000003</v>
      </c>
      <c r="CM6" s="347">
        <f>SUM(CL5:CL6)</f>
        <v>36.67</v>
      </c>
      <c r="CN6" s="332">
        <v>2</v>
      </c>
      <c r="CO6" s="111" t="s">
        <v>397</v>
      </c>
      <c r="CQ6" s="344">
        <v>34.020000000000003</v>
      </c>
      <c r="CR6" s="347">
        <f>SUM(CQ5:CQ6)</f>
        <v>36.67</v>
      </c>
      <c r="CS6" s="332">
        <v>2</v>
      </c>
      <c r="CT6" s="111" t="s">
        <v>397</v>
      </c>
      <c r="CV6" s="344">
        <v>34.020000000000003</v>
      </c>
      <c r="CW6" s="347">
        <f>SUM(CV5:CV6)</f>
        <v>36.67</v>
      </c>
      <c r="CX6" s="332">
        <v>2</v>
      </c>
      <c r="CY6" s="111" t="s">
        <v>397</v>
      </c>
      <c r="DA6" s="344">
        <v>34.020000000000003</v>
      </c>
      <c r="DB6" s="349">
        <f>SUM(DA5:DA6)</f>
        <v>34.64</v>
      </c>
      <c r="DC6" s="332">
        <v>2</v>
      </c>
      <c r="DD6" s="111" t="s">
        <v>397</v>
      </c>
      <c r="DF6" s="344">
        <v>34.020000000000003</v>
      </c>
      <c r="DG6" s="350">
        <f>SUM(DF5:DF6)</f>
        <v>34.64</v>
      </c>
      <c r="DH6" s="332">
        <v>2</v>
      </c>
      <c r="DI6" s="111" t="s">
        <v>397</v>
      </c>
      <c r="DK6" s="344">
        <v>34.020000000000003</v>
      </c>
      <c r="DL6" s="350">
        <f>SUM(DK5:DK6)</f>
        <v>34.64</v>
      </c>
      <c r="DM6" s="332">
        <v>2</v>
      </c>
      <c r="DN6" s="111" t="s">
        <v>397</v>
      </c>
      <c r="DP6" s="344">
        <v>34.020000000000003</v>
      </c>
      <c r="DQ6" s="350">
        <f>SUM(DP5:DP6)</f>
        <v>34.64</v>
      </c>
      <c r="DR6" s="332">
        <v>2</v>
      </c>
      <c r="DS6" s="111" t="s">
        <v>397</v>
      </c>
      <c r="DU6" s="344">
        <v>34.020000000000003</v>
      </c>
      <c r="DV6" s="350">
        <f>SUM(DU5:DU6)</f>
        <v>34.64</v>
      </c>
      <c r="DW6" s="332">
        <v>2</v>
      </c>
      <c r="DX6" s="111" t="s">
        <v>397</v>
      </c>
      <c r="DZ6" s="344">
        <v>34.020000000000003</v>
      </c>
      <c r="EA6" s="350">
        <f>SUM(DZ5:DZ6)</f>
        <v>34.64</v>
      </c>
      <c r="EB6" s="332">
        <v>2</v>
      </c>
      <c r="EC6" s="111" t="s">
        <v>397</v>
      </c>
      <c r="EE6" s="344">
        <v>34.020000000000003</v>
      </c>
      <c r="EF6" s="350">
        <f>SUM(EE5:EE6)</f>
        <v>34.64</v>
      </c>
      <c r="EG6" s="332">
        <v>2</v>
      </c>
      <c r="EH6" s="111" t="s">
        <v>397</v>
      </c>
      <c r="EJ6" s="344">
        <v>34.020000000000003</v>
      </c>
      <c r="EK6" s="350">
        <f>SUM(EJ5:EJ6)</f>
        <v>34.64</v>
      </c>
      <c r="EL6" s="332">
        <v>2</v>
      </c>
      <c r="EM6" s="111" t="s">
        <v>397</v>
      </c>
      <c r="EO6" s="344">
        <v>34.020000000000003</v>
      </c>
      <c r="EP6" s="350">
        <f>SUM(EO5:EO6)</f>
        <v>34.64</v>
      </c>
      <c r="EQ6" s="332">
        <v>2</v>
      </c>
      <c r="ER6" s="111" t="s">
        <v>397</v>
      </c>
      <c r="ET6" s="344">
        <v>34.020000000000003</v>
      </c>
      <c r="EU6" s="350">
        <f>SUM(ET5:ET6)</f>
        <v>34.64</v>
      </c>
      <c r="EV6" s="332">
        <v>2</v>
      </c>
      <c r="EW6" s="111" t="s">
        <v>397</v>
      </c>
      <c r="EY6" s="344">
        <v>34.020000000000003</v>
      </c>
      <c r="EZ6" s="350">
        <f>SUM(EY5:EY6)</f>
        <v>34.64</v>
      </c>
      <c r="FA6" s="332">
        <v>2</v>
      </c>
      <c r="FB6" s="111" t="s">
        <v>397</v>
      </c>
      <c r="FD6" s="344">
        <v>34.020000000000003</v>
      </c>
      <c r="FE6" s="350">
        <f>SUM(FD5:FD6)</f>
        <v>34.64</v>
      </c>
      <c r="FF6" s="332">
        <v>2</v>
      </c>
      <c r="FG6" s="111" t="s">
        <v>397</v>
      </c>
      <c r="FI6" s="344">
        <v>34.020000000000003</v>
      </c>
      <c r="FJ6" s="350">
        <f>SUM(FI5:FI6)</f>
        <v>34.64</v>
      </c>
      <c r="FK6" s="332">
        <v>2</v>
      </c>
      <c r="FL6" s="111" t="s">
        <v>397</v>
      </c>
      <c r="FN6" s="344">
        <v>34.020000000000003</v>
      </c>
      <c r="FO6" s="350">
        <f>SUM(FN5:FN6)</f>
        <v>34.64</v>
      </c>
      <c r="FP6" s="332">
        <v>2</v>
      </c>
      <c r="FQ6" s="111" t="s">
        <v>397</v>
      </c>
      <c r="FS6" s="344">
        <v>34.020000000000003</v>
      </c>
      <c r="FT6" s="350">
        <f>SUM(FS5:FS6)</f>
        <v>34.64</v>
      </c>
      <c r="FU6" s="332">
        <v>2</v>
      </c>
      <c r="FV6" s="111" t="s">
        <v>397</v>
      </c>
      <c r="FX6" s="344">
        <v>34.020000000000003</v>
      </c>
      <c r="FY6" s="351">
        <f>SUM(FX5:FX6)</f>
        <v>34.64</v>
      </c>
      <c r="FZ6" s="342">
        <v>2</v>
      </c>
      <c r="GA6" s="111" t="s">
        <v>397</v>
      </c>
      <c r="GC6" s="344">
        <v>34.020000000000003</v>
      </c>
      <c r="GD6" s="350">
        <f>SUM(GC5:GC6)</f>
        <v>34.64</v>
      </c>
      <c r="GE6" s="342">
        <v>2</v>
      </c>
      <c r="GF6" s="111" t="s">
        <v>397</v>
      </c>
      <c r="GH6" s="344">
        <v>34.020000000000003</v>
      </c>
      <c r="GI6" s="350">
        <f>SUM(GH5:GH6)</f>
        <v>34.64</v>
      </c>
      <c r="GJ6" s="342">
        <v>2</v>
      </c>
      <c r="GK6" s="111" t="s">
        <v>397</v>
      </c>
      <c r="GM6" s="344">
        <v>34.020000000000003</v>
      </c>
      <c r="GN6" s="350">
        <f>SUM(GM5:GM6)</f>
        <v>34.64</v>
      </c>
      <c r="GO6" s="342">
        <v>2</v>
      </c>
      <c r="GP6" s="111" t="s">
        <v>397</v>
      </c>
      <c r="GR6" s="344">
        <v>34.020000000000003</v>
      </c>
      <c r="GS6" s="350">
        <f>SUM(GR5:GR6)</f>
        <v>34.64</v>
      </c>
      <c r="GT6" s="342">
        <v>2</v>
      </c>
      <c r="GU6" s="111" t="s">
        <v>397</v>
      </c>
      <c r="GW6" s="352">
        <v>29.86</v>
      </c>
      <c r="GX6" s="350">
        <f>SUM(GW5:GW6)</f>
        <v>34.64</v>
      </c>
    </row>
    <row r="7" spans="1:206" x14ac:dyDescent="0.2">
      <c r="A7" s="332">
        <v>3</v>
      </c>
      <c r="B7" s="111" t="s">
        <v>398</v>
      </c>
      <c r="C7" s="338">
        <v>14.83</v>
      </c>
      <c r="F7" s="332">
        <v>3</v>
      </c>
      <c r="G7" s="111" t="s">
        <v>398</v>
      </c>
      <c r="H7" s="353">
        <v>14.8</v>
      </c>
      <c r="K7" s="332">
        <v>3</v>
      </c>
      <c r="L7" s="111" t="s">
        <v>398</v>
      </c>
      <c r="M7" s="353">
        <v>14.57</v>
      </c>
      <c r="O7" s="354"/>
      <c r="P7" s="339"/>
      <c r="Q7" s="332">
        <v>3</v>
      </c>
      <c r="R7" s="111" t="s">
        <v>398</v>
      </c>
      <c r="S7" s="338">
        <v>14.57</v>
      </c>
      <c r="U7" s="354"/>
      <c r="V7" s="332">
        <v>3</v>
      </c>
      <c r="W7" s="111" t="s">
        <v>398</v>
      </c>
      <c r="X7" s="338">
        <v>14.57</v>
      </c>
      <c r="Z7" s="355"/>
      <c r="AA7" s="332">
        <v>3</v>
      </c>
      <c r="AB7" s="111" t="s">
        <v>398</v>
      </c>
      <c r="AC7" s="338">
        <v>14.57</v>
      </c>
      <c r="AE7" s="355"/>
      <c r="AF7" s="332">
        <v>3</v>
      </c>
      <c r="AG7" s="111" t="s">
        <v>398</v>
      </c>
      <c r="AH7" s="338">
        <v>14.53</v>
      </c>
      <c r="AJ7" s="355"/>
      <c r="AK7" s="332">
        <v>3</v>
      </c>
      <c r="AL7" s="111" t="s">
        <v>398</v>
      </c>
      <c r="AM7" s="356">
        <v>13.62</v>
      </c>
      <c r="AO7" s="355"/>
      <c r="AP7" s="332">
        <v>3</v>
      </c>
      <c r="AQ7" s="111" t="s">
        <v>398</v>
      </c>
      <c r="AR7" s="356">
        <v>13.62</v>
      </c>
      <c r="AT7" s="355"/>
      <c r="AU7" s="332">
        <v>3</v>
      </c>
      <c r="AV7" s="111" t="s">
        <v>398</v>
      </c>
      <c r="AW7" s="357">
        <v>13.58</v>
      </c>
      <c r="AY7" s="355"/>
      <c r="AZ7" s="332">
        <v>3</v>
      </c>
      <c r="BA7" s="111" t="s">
        <v>398</v>
      </c>
      <c r="BB7" s="357">
        <v>12.49</v>
      </c>
      <c r="BD7" s="355"/>
      <c r="BE7" s="332">
        <v>3</v>
      </c>
      <c r="BF7" s="111" t="s">
        <v>398</v>
      </c>
      <c r="BG7" s="358">
        <v>12.49</v>
      </c>
      <c r="BI7" s="355"/>
      <c r="BJ7" s="341">
        <v>3</v>
      </c>
      <c r="BK7" s="111" t="s">
        <v>398</v>
      </c>
      <c r="BL7" s="359">
        <v>13.58</v>
      </c>
      <c r="BN7" s="355"/>
      <c r="BO7" s="332">
        <v>3</v>
      </c>
      <c r="BP7" s="111" t="s">
        <v>398</v>
      </c>
      <c r="BQ7" s="357">
        <v>12.49</v>
      </c>
      <c r="BS7" s="355"/>
      <c r="BT7" s="332">
        <v>3</v>
      </c>
      <c r="BU7" s="111" t="s">
        <v>398</v>
      </c>
      <c r="BV7" s="360">
        <v>12.49</v>
      </c>
      <c r="BX7" s="355"/>
      <c r="BY7" s="332">
        <v>3</v>
      </c>
      <c r="BZ7" s="111" t="s">
        <v>398</v>
      </c>
      <c r="CA7" s="357">
        <v>12.38</v>
      </c>
      <c r="CC7" s="355"/>
      <c r="CD7" s="332">
        <v>3</v>
      </c>
      <c r="CE7" s="111" t="s">
        <v>398</v>
      </c>
      <c r="CF7" s="359">
        <v>12.49</v>
      </c>
      <c r="CH7" s="355"/>
      <c r="CI7" s="332">
        <v>3</v>
      </c>
      <c r="CJ7" s="111" t="s">
        <v>398</v>
      </c>
      <c r="CK7" s="357">
        <v>12.13</v>
      </c>
      <c r="CM7" s="355"/>
      <c r="CN7" s="332">
        <v>3</v>
      </c>
      <c r="CO7" s="111" t="s">
        <v>398</v>
      </c>
      <c r="CP7" s="360">
        <v>12.13</v>
      </c>
      <c r="CR7" s="355"/>
      <c r="CS7" s="332">
        <v>3</v>
      </c>
      <c r="CT7" s="111" t="s">
        <v>398</v>
      </c>
      <c r="CU7" s="357">
        <v>12.12</v>
      </c>
      <c r="CW7" s="355"/>
      <c r="CX7" s="332">
        <v>3</v>
      </c>
      <c r="CY7" s="111" t="s">
        <v>398</v>
      </c>
      <c r="CZ7" s="358">
        <v>12.12</v>
      </c>
      <c r="DB7" s="355"/>
      <c r="DC7" s="332">
        <v>3</v>
      </c>
      <c r="DD7" s="111" t="s">
        <v>398</v>
      </c>
      <c r="DE7" s="357">
        <v>11.98</v>
      </c>
      <c r="DG7" s="355"/>
      <c r="DH7" s="332">
        <v>3</v>
      </c>
      <c r="DI7" s="111" t="s">
        <v>398</v>
      </c>
      <c r="DJ7" s="359">
        <v>12</v>
      </c>
      <c r="DL7" s="355"/>
      <c r="DM7" s="332">
        <v>3</v>
      </c>
      <c r="DN7" s="111" t="s">
        <v>398</v>
      </c>
      <c r="DO7" s="358">
        <v>12</v>
      </c>
      <c r="DQ7" s="355"/>
      <c r="DR7" s="332">
        <v>3</v>
      </c>
      <c r="DS7" s="111" t="s">
        <v>398</v>
      </c>
      <c r="DT7" s="357">
        <v>11.7</v>
      </c>
      <c r="DV7" s="355"/>
      <c r="DW7" s="332">
        <v>3</v>
      </c>
      <c r="DX7" s="111" t="s">
        <v>398</v>
      </c>
      <c r="DY7" s="358">
        <v>11.7</v>
      </c>
      <c r="EA7" s="355"/>
      <c r="EB7" s="332">
        <v>3</v>
      </c>
      <c r="EC7" s="111" t="s">
        <v>398</v>
      </c>
      <c r="ED7" s="357">
        <v>11.56</v>
      </c>
      <c r="EF7" s="355"/>
      <c r="EG7" s="332">
        <v>3</v>
      </c>
      <c r="EH7" s="111" t="s">
        <v>398</v>
      </c>
      <c r="EI7" s="357">
        <v>11.33</v>
      </c>
      <c r="EK7" s="355"/>
      <c r="EL7" s="332">
        <v>3</v>
      </c>
      <c r="EM7" s="111" t="s">
        <v>398</v>
      </c>
      <c r="EN7" s="359">
        <v>11.24</v>
      </c>
      <c r="EP7" s="355"/>
      <c r="EQ7" s="332">
        <v>3</v>
      </c>
      <c r="ER7" s="111" t="s">
        <v>398</v>
      </c>
      <c r="ES7" s="360">
        <v>11.24</v>
      </c>
      <c r="EU7" s="355"/>
      <c r="EV7" s="332">
        <v>3</v>
      </c>
      <c r="EW7" s="111" t="s">
        <v>398</v>
      </c>
      <c r="EX7" s="357">
        <v>11.23</v>
      </c>
      <c r="EZ7" s="355"/>
      <c r="FA7" s="332">
        <v>3</v>
      </c>
      <c r="FB7" s="111" t="s">
        <v>398</v>
      </c>
      <c r="FC7" s="358">
        <v>11.23</v>
      </c>
      <c r="FE7" s="355"/>
      <c r="FF7" s="332">
        <v>3</v>
      </c>
      <c r="FG7" s="111" t="s">
        <v>398</v>
      </c>
      <c r="FH7" s="357">
        <v>10.96</v>
      </c>
      <c r="FJ7" s="355"/>
      <c r="FK7" s="332">
        <v>3</v>
      </c>
      <c r="FL7" s="111" t="s">
        <v>398</v>
      </c>
      <c r="FM7" s="358">
        <v>10.96</v>
      </c>
      <c r="FO7" s="355"/>
      <c r="FP7" s="332">
        <v>3</v>
      </c>
      <c r="FQ7" s="111" t="s">
        <v>398</v>
      </c>
      <c r="FR7" s="358">
        <v>10.96</v>
      </c>
      <c r="FT7" s="355"/>
      <c r="FU7" s="332">
        <v>3</v>
      </c>
      <c r="FV7" s="111" t="s">
        <v>398</v>
      </c>
      <c r="FW7" s="358">
        <v>10.96</v>
      </c>
      <c r="FY7" s="354"/>
      <c r="FZ7" s="342">
        <v>3</v>
      </c>
      <c r="GA7" s="111" t="s">
        <v>398</v>
      </c>
      <c r="GB7" s="358">
        <v>10.96</v>
      </c>
      <c r="GD7" s="355"/>
      <c r="GE7" s="342">
        <v>3</v>
      </c>
      <c r="GF7" s="111" t="s">
        <v>398</v>
      </c>
      <c r="GG7" s="358">
        <v>10.96</v>
      </c>
      <c r="GI7" s="355"/>
      <c r="GJ7" s="342">
        <v>3</v>
      </c>
      <c r="GK7" s="111" t="s">
        <v>398</v>
      </c>
      <c r="GL7" s="358">
        <v>10.96</v>
      </c>
      <c r="GN7" s="355"/>
      <c r="GO7" s="342">
        <v>3</v>
      </c>
      <c r="GP7" s="111" t="s">
        <v>398</v>
      </c>
      <c r="GQ7" s="358">
        <v>10.96</v>
      </c>
      <c r="GS7" s="355"/>
      <c r="GT7" s="342">
        <v>3</v>
      </c>
      <c r="GU7" s="111" t="s">
        <v>398</v>
      </c>
      <c r="GV7" s="358">
        <v>10.96</v>
      </c>
      <c r="GX7" s="355"/>
    </row>
    <row r="8" spans="1:206" x14ac:dyDescent="0.2">
      <c r="A8" s="332">
        <v>4</v>
      </c>
      <c r="B8" s="111" t="s">
        <v>399</v>
      </c>
      <c r="C8" s="361"/>
      <c r="E8" s="345">
        <v>0.81</v>
      </c>
      <c r="F8" s="332">
        <v>4</v>
      </c>
      <c r="G8" s="111" t="s">
        <v>399</v>
      </c>
      <c r="H8" s="361"/>
      <c r="J8" s="345">
        <v>0.81</v>
      </c>
      <c r="K8" s="332">
        <v>4</v>
      </c>
      <c r="L8" s="111" t="s">
        <v>399</v>
      </c>
      <c r="M8" s="361"/>
      <c r="O8" s="345">
        <v>0.81</v>
      </c>
      <c r="P8" s="339"/>
      <c r="Q8" s="332">
        <v>4</v>
      </c>
      <c r="R8" s="111" t="s">
        <v>399</v>
      </c>
      <c r="S8" s="361"/>
      <c r="U8" s="346">
        <v>0.81</v>
      </c>
      <c r="V8" s="332">
        <v>4</v>
      </c>
      <c r="W8" s="111" t="s">
        <v>399</v>
      </c>
      <c r="X8" s="361"/>
      <c r="Z8" s="347">
        <v>0.81</v>
      </c>
      <c r="AA8" s="332">
        <v>4</v>
      </c>
      <c r="AB8" s="111" t="s">
        <v>399</v>
      </c>
      <c r="AC8" s="361"/>
      <c r="AE8" s="347">
        <v>0.81</v>
      </c>
      <c r="AF8" s="332">
        <v>4</v>
      </c>
      <c r="AG8" s="111" t="s">
        <v>399</v>
      </c>
      <c r="AH8" s="361"/>
      <c r="AJ8" s="347">
        <v>0.81</v>
      </c>
      <c r="AK8" s="332">
        <v>4</v>
      </c>
      <c r="AL8" s="111" t="s">
        <v>399</v>
      </c>
      <c r="AM8" s="361"/>
      <c r="AO8" s="348">
        <v>0.81</v>
      </c>
      <c r="AP8" s="332">
        <v>4</v>
      </c>
      <c r="AQ8" s="111" t="s">
        <v>399</v>
      </c>
      <c r="AR8" s="361"/>
      <c r="AT8" s="348">
        <v>0.81</v>
      </c>
      <c r="AU8" s="332">
        <v>4</v>
      </c>
      <c r="AV8" s="111" t="s">
        <v>399</v>
      </c>
      <c r="AW8" s="361"/>
      <c r="AY8" s="347">
        <v>0.81</v>
      </c>
      <c r="AZ8" s="332">
        <v>4</v>
      </c>
      <c r="BA8" s="111" t="s">
        <v>399</v>
      </c>
      <c r="BB8" s="361"/>
      <c r="BD8" s="347">
        <v>0.81</v>
      </c>
      <c r="BE8" s="332">
        <v>4</v>
      </c>
      <c r="BF8" s="111" t="s">
        <v>399</v>
      </c>
      <c r="BG8" s="361"/>
      <c r="BI8" s="347">
        <v>0.81</v>
      </c>
      <c r="BJ8" s="341">
        <v>4</v>
      </c>
      <c r="BK8" s="111" t="s">
        <v>399</v>
      </c>
      <c r="BL8" s="361"/>
      <c r="BN8" s="347">
        <v>0.81</v>
      </c>
      <c r="BO8" s="332">
        <v>4</v>
      </c>
      <c r="BP8" s="111" t="s">
        <v>399</v>
      </c>
      <c r="BQ8" s="361"/>
      <c r="BS8" s="347">
        <v>0.81</v>
      </c>
      <c r="BT8" s="332">
        <v>4</v>
      </c>
      <c r="BU8" s="111" t="s">
        <v>399</v>
      </c>
      <c r="BV8" s="361"/>
      <c r="BX8" s="347">
        <v>0.81</v>
      </c>
      <c r="BY8" s="332">
        <v>4</v>
      </c>
      <c r="BZ8" s="111" t="s">
        <v>399</v>
      </c>
      <c r="CA8" s="361"/>
      <c r="CC8" s="347">
        <v>0.81</v>
      </c>
      <c r="CD8" s="332">
        <v>4</v>
      </c>
      <c r="CE8" s="111" t="s">
        <v>399</v>
      </c>
      <c r="CF8" s="361"/>
      <c r="CH8" s="347">
        <v>0.81</v>
      </c>
      <c r="CI8" s="332">
        <v>4</v>
      </c>
      <c r="CJ8" s="111" t="s">
        <v>399</v>
      </c>
      <c r="CK8" s="361"/>
      <c r="CM8" s="347">
        <v>0.81</v>
      </c>
      <c r="CN8" s="332">
        <v>4</v>
      </c>
      <c r="CO8" s="111" t="s">
        <v>399</v>
      </c>
      <c r="CP8" s="361"/>
      <c r="CR8" s="347">
        <v>0.81</v>
      </c>
      <c r="CS8" s="332">
        <v>4</v>
      </c>
      <c r="CT8" s="111" t="s">
        <v>399</v>
      </c>
      <c r="CU8" s="361"/>
      <c r="CW8" s="347">
        <v>0.81</v>
      </c>
      <c r="CX8" s="332">
        <v>4</v>
      </c>
      <c r="CY8" s="111" t="s">
        <v>399</v>
      </c>
      <c r="CZ8" s="361"/>
      <c r="DB8" s="347">
        <v>0.81</v>
      </c>
      <c r="DC8" s="332">
        <v>4</v>
      </c>
      <c r="DD8" s="111" t="s">
        <v>399</v>
      </c>
      <c r="DE8" s="361"/>
      <c r="DG8" s="347">
        <v>0.81</v>
      </c>
      <c r="DH8" s="332">
        <v>4</v>
      </c>
      <c r="DI8" s="111" t="s">
        <v>399</v>
      </c>
      <c r="DJ8" s="361"/>
      <c r="DL8" s="347">
        <v>0.81</v>
      </c>
      <c r="DM8" s="332">
        <v>4</v>
      </c>
      <c r="DN8" s="111" t="s">
        <v>399</v>
      </c>
      <c r="DO8" s="361"/>
      <c r="DQ8" s="347">
        <v>0.81</v>
      </c>
      <c r="DR8" s="332">
        <v>4</v>
      </c>
      <c r="DS8" s="111" t="s">
        <v>399</v>
      </c>
      <c r="DT8" s="361"/>
      <c r="DV8" s="347">
        <v>0.81</v>
      </c>
      <c r="DW8" s="332">
        <v>4</v>
      </c>
      <c r="DX8" s="111" t="s">
        <v>399</v>
      </c>
      <c r="DY8" s="361"/>
      <c r="EA8" s="347">
        <v>0.81</v>
      </c>
      <c r="EB8" s="332">
        <v>4</v>
      </c>
      <c r="EC8" s="111" t="s">
        <v>399</v>
      </c>
      <c r="ED8" s="361"/>
      <c r="EF8" s="347">
        <v>0.81</v>
      </c>
      <c r="EG8" s="332">
        <v>4</v>
      </c>
      <c r="EH8" s="111" t="s">
        <v>399</v>
      </c>
      <c r="EI8" s="361"/>
      <c r="EK8" s="347">
        <v>0.81</v>
      </c>
      <c r="EL8" s="332">
        <v>4</v>
      </c>
      <c r="EM8" s="111" t="s">
        <v>399</v>
      </c>
      <c r="EN8" s="361"/>
      <c r="EP8" s="347">
        <v>0.81</v>
      </c>
      <c r="EQ8" s="332">
        <v>4</v>
      </c>
      <c r="ER8" s="111" t="s">
        <v>399</v>
      </c>
      <c r="ES8" s="361"/>
      <c r="EU8" s="347">
        <v>0.81</v>
      </c>
      <c r="EV8" s="332">
        <v>4</v>
      </c>
      <c r="EW8" s="111" t="s">
        <v>399</v>
      </c>
      <c r="EX8" s="361"/>
      <c r="EZ8" s="347">
        <v>0.81</v>
      </c>
      <c r="FA8" s="332">
        <v>4</v>
      </c>
      <c r="FB8" s="111" t="s">
        <v>399</v>
      </c>
      <c r="FC8" s="361"/>
      <c r="FE8" s="347">
        <v>0.81</v>
      </c>
      <c r="FF8" s="332">
        <v>4</v>
      </c>
      <c r="FG8" s="111" t="s">
        <v>399</v>
      </c>
      <c r="FH8" s="361"/>
      <c r="FJ8" s="347">
        <v>0.81</v>
      </c>
      <c r="FK8" s="332">
        <v>4</v>
      </c>
      <c r="FL8" s="111" t="s">
        <v>399</v>
      </c>
      <c r="FM8" s="361"/>
      <c r="FO8" s="347">
        <v>0.81</v>
      </c>
      <c r="FP8" s="332">
        <v>4</v>
      </c>
      <c r="FQ8" s="111" t="s">
        <v>399</v>
      </c>
      <c r="FR8" s="361"/>
      <c r="FT8" s="347">
        <v>0.81</v>
      </c>
      <c r="FU8" s="332">
        <v>4</v>
      </c>
      <c r="FV8" s="111" t="s">
        <v>399</v>
      </c>
      <c r="FW8" s="361"/>
      <c r="FY8" s="346">
        <v>0.81</v>
      </c>
      <c r="FZ8" s="342">
        <v>4</v>
      </c>
      <c r="GA8" s="111" t="s">
        <v>399</v>
      </c>
      <c r="GB8" s="361"/>
      <c r="GD8" s="347">
        <v>0.81</v>
      </c>
      <c r="GE8" s="342">
        <v>4</v>
      </c>
      <c r="GF8" s="111" t="s">
        <v>399</v>
      </c>
      <c r="GG8" s="361"/>
      <c r="GI8" s="347">
        <v>0.81</v>
      </c>
      <c r="GJ8" s="342">
        <v>4</v>
      </c>
      <c r="GK8" s="111" t="s">
        <v>399</v>
      </c>
      <c r="GL8" s="361"/>
      <c r="GN8" s="347">
        <v>0.81</v>
      </c>
      <c r="GO8" s="342">
        <v>4</v>
      </c>
      <c r="GP8" s="111" t="s">
        <v>399</v>
      </c>
      <c r="GQ8" s="361"/>
      <c r="GS8" s="347">
        <v>0.81</v>
      </c>
      <c r="GT8" s="342">
        <v>4</v>
      </c>
      <c r="GU8" s="111" t="s">
        <v>399</v>
      </c>
      <c r="GV8" s="361"/>
      <c r="GX8" s="347">
        <v>0.81</v>
      </c>
    </row>
    <row r="9" spans="1:206" x14ac:dyDescent="0.2">
      <c r="A9" s="332">
        <v>5</v>
      </c>
      <c r="B9" s="111" t="s">
        <v>400</v>
      </c>
      <c r="C9" s="361">
        <v>0</v>
      </c>
      <c r="F9" s="332">
        <v>5</v>
      </c>
      <c r="G9" s="111" t="s">
        <v>400</v>
      </c>
      <c r="H9" s="361"/>
      <c r="K9" s="332">
        <v>5</v>
      </c>
      <c r="L9" s="111" t="s">
        <v>400</v>
      </c>
      <c r="M9" s="361"/>
      <c r="O9" s="354"/>
      <c r="P9" s="339"/>
      <c r="Q9" s="332">
        <v>5</v>
      </c>
      <c r="R9" s="111" t="s">
        <v>400</v>
      </c>
      <c r="S9" s="361"/>
      <c r="U9" s="354"/>
      <c r="V9" s="332">
        <v>5</v>
      </c>
      <c r="W9" s="111" t="s">
        <v>400</v>
      </c>
      <c r="X9" s="361"/>
      <c r="Z9" s="355"/>
      <c r="AA9" s="332">
        <v>5</v>
      </c>
      <c r="AB9" s="111" t="s">
        <v>400</v>
      </c>
      <c r="AC9" s="361"/>
      <c r="AE9" s="355"/>
      <c r="AF9" s="332">
        <v>5</v>
      </c>
      <c r="AG9" s="111" t="s">
        <v>400</v>
      </c>
      <c r="AH9" s="361"/>
      <c r="AJ9" s="355"/>
      <c r="AK9" s="332">
        <v>5</v>
      </c>
      <c r="AL9" s="111" t="s">
        <v>400</v>
      </c>
      <c r="AM9" s="361"/>
      <c r="AO9" s="355"/>
      <c r="AP9" s="332">
        <v>5</v>
      </c>
      <c r="AQ9" s="111" t="s">
        <v>400</v>
      </c>
      <c r="AR9" s="361"/>
      <c r="AT9" s="355"/>
      <c r="AU9" s="332">
        <v>5</v>
      </c>
      <c r="AV9" s="111" t="s">
        <v>400</v>
      </c>
      <c r="AW9" s="361"/>
      <c r="AY9" s="355"/>
      <c r="AZ9" s="332">
        <v>5</v>
      </c>
      <c r="BA9" s="111" t="s">
        <v>400</v>
      </c>
      <c r="BB9" s="361"/>
      <c r="BD9" s="355"/>
      <c r="BE9" s="332">
        <v>5</v>
      </c>
      <c r="BF9" s="111" t="s">
        <v>400</v>
      </c>
      <c r="BG9" s="361"/>
      <c r="BI9" s="355"/>
      <c r="BJ9" s="341">
        <v>5</v>
      </c>
      <c r="BK9" s="111" t="s">
        <v>400</v>
      </c>
      <c r="BL9" s="361"/>
      <c r="BN9" s="355"/>
      <c r="BO9" s="332">
        <v>5</v>
      </c>
      <c r="BP9" s="111" t="s">
        <v>400</v>
      </c>
      <c r="BQ9" s="361"/>
      <c r="BS9" s="355"/>
      <c r="BT9" s="332">
        <v>5</v>
      </c>
      <c r="BU9" s="111" t="s">
        <v>400</v>
      </c>
      <c r="BV9" s="361"/>
      <c r="BX9" s="355"/>
      <c r="BY9" s="332">
        <v>5</v>
      </c>
      <c r="BZ9" s="111" t="s">
        <v>400</v>
      </c>
      <c r="CA9" s="361"/>
      <c r="CC9" s="355"/>
      <c r="CD9" s="332">
        <v>5</v>
      </c>
      <c r="CE9" s="111" t="s">
        <v>400</v>
      </c>
      <c r="CF9" s="361"/>
      <c r="CH9" s="355"/>
      <c r="CI9" s="332">
        <v>5</v>
      </c>
      <c r="CJ9" s="111" t="s">
        <v>400</v>
      </c>
      <c r="CK9" s="361"/>
      <c r="CM9" s="355"/>
      <c r="CN9" s="332">
        <v>5</v>
      </c>
      <c r="CO9" s="111" t="s">
        <v>400</v>
      </c>
      <c r="CP9" s="361"/>
      <c r="CR9" s="355"/>
      <c r="CS9" s="332">
        <v>5</v>
      </c>
      <c r="CT9" s="111" t="s">
        <v>400</v>
      </c>
      <c r="CU9" s="361"/>
      <c r="CW9" s="355"/>
      <c r="CX9" s="332">
        <v>5</v>
      </c>
      <c r="CY9" s="111" t="s">
        <v>400</v>
      </c>
      <c r="CZ9" s="361"/>
      <c r="DB9" s="355"/>
      <c r="DC9" s="332">
        <v>5</v>
      </c>
      <c r="DD9" s="111" t="s">
        <v>400</v>
      </c>
      <c r="DE9" s="361"/>
      <c r="DG9" s="355"/>
      <c r="DH9" s="332">
        <v>5</v>
      </c>
      <c r="DI9" s="111" t="s">
        <v>400</v>
      </c>
      <c r="DJ9" s="361"/>
      <c r="DL9" s="355"/>
      <c r="DM9" s="332">
        <v>5</v>
      </c>
      <c r="DN9" s="111" t="s">
        <v>400</v>
      </c>
      <c r="DO9" s="361"/>
      <c r="DQ9" s="355"/>
      <c r="DR9" s="332">
        <v>5</v>
      </c>
      <c r="DS9" s="111" t="s">
        <v>400</v>
      </c>
      <c r="DT9" s="361"/>
      <c r="DV9" s="355"/>
      <c r="DW9" s="332">
        <v>5</v>
      </c>
      <c r="DX9" s="111" t="s">
        <v>400</v>
      </c>
      <c r="DY9" s="361"/>
      <c r="EA9" s="355"/>
      <c r="EB9" s="332">
        <v>5</v>
      </c>
      <c r="EC9" s="111" t="s">
        <v>400</v>
      </c>
      <c r="ED9" s="361"/>
      <c r="EF9" s="355"/>
      <c r="EG9" s="332">
        <v>5</v>
      </c>
      <c r="EH9" s="111" t="s">
        <v>400</v>
      </c>
      <c r="EI9" s="361"/>
      <c r="EK9" s="355"/>
      <c r="EL9" s="332">
        <v>5</v>
      </c>
      <c r="EM9" s="111" t="s">
        <v>400</v>
      </c>
      <c r="EN9" s="361"/>
      <c r="EP9" s="355"/>
      <c r="EQ9" s="332">
        <v>5</v>
      </c>
      <c r="ER9" s="111" t="s">
        <v>400</v>
      </c>
      <c r="ES9" s="361"/>
      <c r="EU9" s="355"/>
      <c r="EV9" s="332">
        <v>5</v>
      </c>
      <c r="EW9" s="111" t="s">
        <v>400</v>
      </c>
      <c r="EX9" s="361"/>
      <c r="EZ9" s="355"/>
      <c r="FA9" s="332">
        <v>5</v>
      </c>
      <c r="FB9" s="111" t="s">
        <v>400</v>
      </c>
      <c r="FC9" s="361"/>
      <c r="FE9" s="355"/>
      <c r="FF9" s="332">
        <v>5</v>
      </c>
      <c r="FG9" s="111" t="s">
        <v>400</v>
      </c>
      <c r="FH9" s="361"/>
      <c r="FJ9" s="355"/>
      <c r="FK9" s="332">
        <v>5</v>
      </c>
      <c r="FL9" s="111" t="s">
        <v>400</v>
      </c>
      <c r="FM9" s="361"/>
      <c r="FO9" s="355"/>
      <c r="FP9" s="332">
        <v>5</v>
      </c>
      <c r="FQ9" s="111" t="s">
        <v>400</v>
      </c>
      <c r="FR9" s="361"/>
      <c r="FT9" s="355"/>
      <c r="FU9" s="332">
        <v>5</v>
      </c>
      <c r="FV9" s="111" t="s">
        <v>400</v>
      </c>
      <c r="FW9" s="361"/>
      <c r="FY9" s="354"/>
      <c r="FZ9" s="342">
        <v>5</v>
      </c>
      <c r="GA9" s="111" t="s">
        <v>400</v>
      </c>
      <c r="GB9" s="361"/>
      <c r="GD9" s="355"/>
      <c r="GE9" s="342">
        <v>5</v>
      </c>
      <c r="GF9" s="111" t="s">
        <v>400</v>
      </c>
      <c r="GG9" s="361"/>
      <c r="GI9" s="355"/>
      <c r="GJ9" s="342">
        <v>5</v>
      </c>
      <c r="GK9" s="111" t="s">
        <v>400</v>
      </c>
      <c r="GL9" s="361"/>
      <c r="GN9" s="355"/>
      <c r="GO9" s="342">
        <v>5</v>
      </c>
      <c r="GP9" s="111" t="s">
        <v>400</v>
      </c>
      <c r="GQ9" s="361"/>
      <c r="GS9" s="355"/>
      <c r="GT9" s="342">
        <v>5</v>
      </c>
      <c r="GU9" s="111" t="s">
        <v>400</v>
      </c>
      <c r="GV9" s="361"/>
      <c r="GX9" s="355"/>
    </row>
    <row r="10" spans="1:206" x14ac:dyDescent="0.2">
      <c r="A10" s="332">
        <v>6</v>
      </c>
      <c r="B10" s="111" t="s">
        <v>401</v>
      </c>
      <c r="C10" s="361">
        <v>27.05</v>
      </c>
      <c r="F10" s="332">
        <v>6</v>
      </c>
      <c r="G10" s="111" t="s">
        <v>401</v>
      </c>
      <c r="H10" s="362">
        <v>27.02</v>
      </c>
      <c r="K10" s="332">
        <v>6</v>
      </c>
      <c r="L10" s="111" t="s">
        <v>401</v>
      </c>
      <c r="M10" s="363">
        <v>27.18</v>
      </c>
      <c r="O10" s="354"/>
      <c r="P10" s="339"/>
      <c r="Q10" s="332">
        <v>6</v>
      </c>
      <c r="R10" s="111" t="s">
        <v>401</v>
      </c>
      <c r="S10" s="361">
        <v>27.18</v>
      </c>
      <c r="U10" s="354"/>
      <c r="V10" s="332">
        <v>6</v>
      </c>
      <c r="W10" s="111" t="s">
        <v>401</v>
      </c>
      <c r="X10" s="362">
        <v>26.1</v>
      </c>
      <c r="Z10" s="355"/>
      <c r="AA10" s="332">
        <v>6</v>
      </c>
      <c r="AB10" s="111" t="s">
        <v>401</v>
      </c>
      <c r="AC10" s="363">
        <v>26.11</v>
      </c>
      <c r="AE10" s="355"/>
      <c r="AF10" s="332">
        <v>6</v>
      </c>
      <c r="AG10" s="111" t="s">
        <v>401</v>
      </c>
      <c r="AH10" s="363">
        <v>26.52</v>
      </c>
      <c r="AJ10" s="355"/>
      <c r="AK10" s="332">
        <v>6</v>
      </c>
      <c r="AL10" s="111" t="s">
        <v>401</v>
      </c>
      <c r="AM10" s="361">
        <v>27.14</v>
      </c>
      <c r="AO10" s="355"/>
      <c r="AP10" s="332">
        <v>6</v>
      </c>
      <c r="AQ10" s="111" t="s">
        <v>401</v>
      </c>
      <c r="AR10" s="361">
        <v>27.3</v>
      </c>
      <c r="AT10" s="355"/>
      <c r="AU10" s="332">
        <v>6</v>
      </c>
      <c r="AV10" s="111" t="s">
        <v>401</v>
      </c>
      <c r="AW10" s="362">
        <v>27.22</v>
      </c>
      <c r="AY10" s="355"/>
      <c r="AZ10" s="332">
        <v>6</v>
      </c>
      <c r="BA10" s="111" t="s">
        <v>401</v>
      </c>
      <c r="BB10" s="364">
        <v>28.25</v>
      </c>
      <c r="BD10" s="355"/>
      <c r="BE10" s="332">
        <v>6</v>
      </c>
      <c r="BF10" s="111" t="s">
        <v>401</v>
      </c>
      <c r="BG10" s="364">
        <v>28.34</v>
      </c>
      <c r="BI10" s="355"/>
      <c r="BJ10" s="341">
        <v>6</v>
      </c>
      <c r="BK10" s="111" t="s">
        <v>401</v>
      </c>
      <c r="BL10" s="362">
        <v>27.22</v>
      </c>
      <c r="BN10" s="355"/>
      <c r="BO10" s="332">
        <v>6</v>
      </c>
      <c r="BP10" s="111" t="s">
        <v>401</v>
      </c>
      <c r="BQ10" s="364">
        <v>28.34</v>
      </c>
      <c r="BS10" s="355"/>
      <c r="BT10" s="332">
        <v>6</v>
      </c>
      <c r="BU10" s="111" t="s">
        <v>401</v>
      </c>
      <c r="BV10" s="362">
        <v>28.25</v>
      </c>
      <c r="BX10" s="355"/>
      <c r="BY10" s="332">
        <v>6</v>
      </c>
      <c r="BZ10" s="111" t="s">
        <v>401</v>
      </c>
      <c r="CA10" s="364">
        <v>28.54</v>
      </c>
      <c r="CC10" s="355"/>
      <c r="CD10" s="332">
        <v>6</v>
      </c>
      <c r="CE10" s="111" t="s">
        <v>401</v>
      </c>
      <c r="CF10" s="362">
        <v>28.42</v>
      </c>
      <c r="CH10" s="355"/>
      <c r="CI10" s="332">
        <v>6</v>
      </c>
      <c r="CJ10" s="111" t="s">
        <v>401</v>
      </c>
      <c r="CK10" s="364">
        <v>29.28</v>
      </c>
      <c r="CM10" s="355"/>
      <c r="CN10" s="332">
        <v>6</v>
      </c>
      <c r="CO10" s="111" t="s">
        <v>401</v>
      </c>
      <c r="CP10" s="362">
        <v>29.01</v>
      </c>
      <c r="CR10" s="355"/>
      <c r="CS10" s="332">
        <v>6</v>
      </c>
      <c r="CT10" s="111" t="s">
        <v>401</v>
      </c>
      <c r="CU10" s="362">
        <v>28.67</v>
      </c>
      <c r="CW10" s="355"/>
      <c r="CX10" s="332">
        <v>6</v>
      </c>
      <c r="CY10" s="111" t="s">
        <v>401</v>
      </c>
      <c r="CZ10" s="364">
        <v>30.67</v>
      </c>
      <c r="DB10" s="355"/>
      <c r="DC10" s="332">
        <v>6</v>
      </c>
      <c r="DD10" s="111" t="s">
        <v>401</v>
      </c>
      <c r="DE10" s="364">
        <v>30.86</v>
      </c>
      <c r="DG10" s="355"/>
      <c r="DH10" s="332">
        <v>6</v>
      </c>
      <c r="DI10" s="111" t="s">
        <v>401</v>
      </c>
      <c r="DJ10" s="364">
        <v>30.92</v>
      </c>
      <c r="DL10" s="355"/>
      <c r="DM10" s="332">
        <v>6</v>
      </c>
      <c r="DN10" s="111" t="s">
        <v>401</v>
      </c>
      <c r="DO10" s="365">
        <v>30.92</v>
      </c>
      <c r="DQ10" s="355"/>
      <c r="DR10" s="332">
        <v>6</v>
      </c>
      <c r="DS10" s="111" t="s">
        <v>401</v>
      </c>
      <c r="DT10" s="366">
        <v>31.1</v>
      </c>
      <c r="DV10" s="355"/>
      <c r="DW10" s="332">
        <v>6</v>
      </c>
      <c r="DX10" s="111" t="s">
        <v>401</v>
      </c>
      <c r="DY10" s="367">
        <v>31.09</v>
      </c>
      <c r="EA10" s="355"/>
      <c r="EB10" s="332">
        <v>6</v>
      </c>
      <c r="EC10" s="111" t="s">
        <v>401</v>
      </c>
      <c r="ED10" s="366">
        <v>31.25</v>
      </c>
      <c r="EF10" s="355"/>
      <c r="EG10" s="332">
        <v>6</v>
      </c>
      <c r="EH10" s="111" t="s">
        <v>401</v>
      </c>
      <c r="EI10" s="367">
        <v>31.18</v>
      </c>
      <c r="EK10" s="355"/>
      <c r="EL10" s="332">
        <v>6</v>
      </c>
      <c r="EM10" s="111" t="s">
        <v>401</v>
      </c>
      <c r="EN10" s="367">
        <v>31.14</v>
      </c>
      <c r="EP10" s="355"/>
      <c r="EQ10" s="332">
        <v>6</v>
      </c>
      <c r="ER10" s="111" t="s">
        <v>401</v>
      </c>
      <c r="ES10" s="367">
        <v>31.04</v>
      </c>
      <c r="EU10" s="355"/>
      <c r="EV10" s="332">
        <v>6</v>
      </c>
      <c r="EW10" s="111" t="s">
        <v>401</v>
      </c>
      <c r="EX10" s="367">
        <v>30.94</v>
      </c>
      <c r="EZ10" s="355"/>
      <c r="FA10" s="332">
        <v>6</v>
      </c>
      <c r="FB10" s="111" t="s">
        <v>401</v>
      </c>
      <c r="FC10" s="367">
        <v>30.88</v>
      </c>
      <c r="FE10" s="355"/>
      <c r="FF10" s="332">
        <v>6</v>
      </c>
      <c r="FG10" s="111" t="s">
        <v>401</v>
      </c>
      <c r="FH10" s="366">
        <v>31.15</v>
      </c>
      <c r="FJ10" s="355"/>
      <c r="FK10" s="332">
        <v>6</v>
      </c>
      <c r="FL10" s="111" t="s">
        <v>401</v>
      </c>
      <c r="FM10" s="368">
        <v>31.15</v>
      </c>
      <c r="FO10" s="355"/>
      <c r="FP10" s="332">
        <v>6</v>
      </c>
      <c r="FQ10" s="111" t="s">
        <v>401</v>
      </c>
      <c r="FR10" s="366">
        <v>31.19</v>
      </c>
      <c r="FT10" s="355"/>
      <c r="FU10" s="332">
        <v>6</v>
      </c>
      <c r="FV10" s="111" t="s">
        <v>401</v>
      </c>
      <c r="FW10" s="366">
        <v>31.19</v>
      </c>
      <c r="FY10" s="354"/>
      <c r="FZ10" s="342">
        <v>6</v>
      </c>
      <c r="GA10" s="111" t="s">
        <v>401</v>
      </c>
      <c r="GB10" s="368">
        <v>31.19</v>
      </c>
      <c r="GD10" s="355"/>
      <c r="GE10" s="342">
        <v>6</v>
      </c>
      <c r="GF10" s="111" t="s">
        <v>401</v>
      </c>
      <c r="GG10" s="366">
        <v>31.2</v>
      </c>
      <c r="GI10" s="355"/>
      <c r="GJ10" s="342">
        <v>6</v>
      </c>
      <c r="GK10" s="111" t="s">
        <v>401</v>
      </c>
      <c r="GL10" s="366">
        <v>31.2</v>
      </c>
      <c r="GN10" s="355"/>
      <c r="GO10" s="342">
        <v>6</v>
      </c>
      <c r="GP10" s="111" t="s">
        <v>401</v>
      </c>
      <c r="GQ10" s="366">
        <v>31.55</v>
      </c>
      <c r="GS10" s="355"/>
      <c r="GT10" s="342">
        <v>6</v>
      </c>
      <c r="GU10" s="111" t="s">
        <v>401</v>
      </c>
      <c r="GV10" s="369">
        <v>31.55</v>
      </c>
      <c r="GX10" s="355"/>
    </row>
    <row r="11" spans="1:206" x14ac:dyDescent="0.2">
      <c r="A11" s="332">
        <v>7</v>
      </c>
      <c r="B11" s="111" t="s">
        <v>402</v>
      </c>
      <c r="C11" s="361">
        <v>0.14000000000000001</v>
      </c>
      <c r="F11" s="332">
        <v>7</v>
      </c>
      <c r="G11" s="111" t="s">
        <v>402</v>
      </c>
      <c r="H11" s="361">
        <v>0.14000000000000001</v>
      </c>
      <c r="K11" s="332">
        <v>7</v>
      </c>
      <c r="L11" s="111" t="s">
        <v>402</v>
      </c>
      <c r="M11" s="370">
        <v>0.14000000000000001</v>
      </c>
      <c r="O11" s="354"/>
      <c r="P11" s="339"/>
      <c r="Q11" s="332">
        <v>7</v>
      </c>
      <c r="R11" s="111" t="s">
        <v>402</v>
      </c>
      <c r="S11" s="361">
        <v>0.14000000000000001</v>
      </c>
      <c r="U11" s="354"/>
      <c r="V11" s="332">
        <v>7</v>
      </c>
      <c r="W11" s="111" t="s">
        <v>402</v>
      </c>
      <c r="X11" s="361">
        <v>0.14000000000000001</v>
      </c>
      <c r="Z11" s="355"/>
      <c r="AA11" s="332">
        <v>7</v>
      </c>
      <c r="AB11" s="111" t="s">
        <v>402</v>
      </c>
      <c r="AC11" s="361">
        <v>0.14000000000000001</v>
      </c>
      <c r="AE11" s="355"/>
      <c r="AF11" s="332">
        <v>7</v>
      </c>
      <c r="AG11" s="111" t="s">
        <v>402</v>
      </c>
      <c r="AH11" s="361">
        <v>1.4E-2</v>
      </c>
      <c r="AJ11" s="355"/>
      <c r="AK11" s="332">
        <v>7</v>
      </c>
      <c r="AL11" s="111" t="s">
        <v>402</v>
      </c>
      <c r="AM11" s="361">
        <v>0.14000000000000001</v>
      </c>
      <c r="AO11" s="355"/>
      <c r="AP11" s="332">
        <v>7</v>
      </c>
      <c r="AQ11" s="111" t="s">
        <v>402</v>
      </c>
      <c r="AR11" s="361">
        <v>0.14000000000000001</v>
      </c>
      <c r="AT11" s="355"/>
      <c r="AU11" s="332">
        <v>7</v>
      </c>
      <c r="AV11" s="111" t="s">
        <v>402</v>
      </c>
      <c r="AW11" s="361">
        <v>0.14000000000000001</v>
      </c>
      <c r="AY11" s="355"/>
      <c r="AZ11" s="332">
        <v>7</v>
      </c>
      <c r="BA11" s="111" t="s">
        <v>402</v>
      </c>
      <c r="BB11" s="365">
        <v>0.14000000000000001</v>
      </c>
      <c r="BD11" s="355"/>
      <c r="BE11" s="332">
        <v>7</v>
      </c>
      <c r="BF11" s="111" t="s">
        <v>402</v>
      </c>
      <c r="BG11" s="365">
        <v>0.14000000000000001</v>
      </c>
      <c r="BI11" s="355"/>
      <c r="BJ11" s="341">
        <v>7</v>
      </c>
      <c r="BK11" s="111" t="s">
        <v>402</v>
      </c>
      <c r="BL11" s="365">
        <v>0.14000000000000001</v>
      </c>
      <c r="BN11" s="355"/>
      <c r="BO11" s="332">
        <v>7</v>
      </c>
      <c r="BP11" s="111" t="s">
        <v>402</v>
      </c>
      <c r="BQ11" s="365">
        <v>0.14000000000000001</v>
      </c>
      <c r="BS11" s="355"/>
      <c r="BT11" s="332">
        <v>7</v>
      </c>
      <c r="BU11" s="111" t="s">
        <v>402</v>
      </c>
      <c r="BV11" s="365">
        <v>0.14000000000000001</v>
      </c>
      <c r="BX11" s="355"/>
      <c r="BY11" s="332">
        <v>7</v>
      </c>
      <c r="BZ11" s="111" t="s">
        <v>402</v>
      </c>
      <c r="CA11" s="362">
        <v>0.13</v>
      </c>
      <c r="CC11" s="355"/>
      <c r="CD11" s="332">
        <v>7</v>
      </c>
      <c r="CE11" s="111" t="s">
        <v>402</v>
      </c>
      <c r="CF11" s="364">
        <v>0.14000000000000001</v>
      </c>
      <c r="CH11" s="355"/>
      <c r="CI11" s="332">
        <v>7</v>
      </c>
      <c r="CJ11" s="111" t="s">
        <v>402</v>
      </c>
      <c r="CK11" s="362">
        <v>0.13</v>
      </c>
      <c r="CM11" s="355"/>
      <c r="CN11" s="332">
        <v>7</v>
      </c>
      <c r="CO11" s="111" t="s">
        <v>402</v>
      </c>
      <c r="CP11" s="364">
        <v>0.14000000000000001</v>
      </c>
      <c r="CR11" s="355"/>
      <c r="CS11" s="332">
        <v>7</v>
      </c>
      <c r="CT11" s="111" t="s">
        <v>402</v>
      </c>
      <c r="CU11" s="362">
        <v>0.12</v>
      </c>
      <c r="CW11" s="355"/>
      <c r="CX11" s="332">
        <v>7</v>
      </c>
      <c r="CY11" s="111" t="s">
        <v>402</v>
      </c>
      <c r="CZ11" s="362">
        <v>0.12</v>
      </c>
      <c r="DB11" s="355"/>
      <c r="DC11" s="332">
        <v>7</v>
      </c>
      <c r="DD11" s="111" t="s">
        <v>402</v>
      </c>
      <c r="DE11" s="362">
        <v>0.12</v>
      </c>
      <c r="DG11" s="355"/>
      <c r="DH11" s="332">
        <v>7</v>
      </c>
      <c r="DI11" s="111" t="s">
        <v>402</v>
      </c>
      <c r="DJ11" s="365">
        <v>0.12</v>
      </c>
      <c r="DL11" s="355"/>
      <c r="DM11" s="332">
        <v>7</v>
      </c>
      <c r="DN11" s="111" t="s">
        <v>402</v>
      </c>
      <c r="DO11" s="365">
        <v>0.12</v>
      </c>
      <c r="DQ11" s="355"/>
      <c r="DR11" s="332">
        <v>7</v>
      </c>
      <c r="DS11" s="111" t="s">
        <v>402</v>
      </c>
      <c r="DT11" s="365">
        <v>0.12</v>
      </c>
      <c r="DV11" s="355"/>
      <c r="DW11" s="332">
        <v>7</v>
      </c>
      <c r="DX11" s="111" t="s">
        <v>402</v>
      </c>
      <c r="DY11" s="365">
        <v>0.12</v>
      </c>
      <c r="EA11" s="355"/>
      <c r="EB11" s="332">
        <v>7</v>
      </c>
      <c r="EC11" s="111" t="s">
        <v>402</v>
      </c>
      <c r="ED11" s="365">
        <v>0.12</v>
      </c>
      <c r="EF11" s="355"/>
      <c r="EG11" s="332">
        <v>7</v>
      </c>
      <c r="EH11" s="111" t="s">
        <v>402</v>
      </c>
      <c r="EI11" s="365">
        <v>0.12</v>
      </c>
      <c r="EK11" s="355"/>
      <c r="EL11" s="332">
        <v>7</v>
      </c>
      <c r="EM11" s="111" t="s">
        <v>402</v>
      </c>
      <c r="EN11" s="365">
        <v>0.12</v>
      </c>
      <c r="EP11" s="355"/>
      <c r="EQ11" s="332">
        <v>7</v>
      </c>
      <c r="ER11" s="111" t="s">
        <v>402</v>
      </c>
      <c r="ES11" s="365">
        <v>0.12</v>
      </c>
      <c r="EU11" s="355"/>
      <c r="EV11" s="332">
        <v>7</v>
      </c>
      <c r="EW11" s="111" t="s">
        <v>402</v>
      </c>
      <c r="EX11" s="365">
        <v>0.12</v>
      </c>
      <c r="EZ11" s="355"/>
      <c r="FA11" s="332">
        <v>7</v>
      </c>
      <c r="FB11" s="111" t="s">
        <v>402</v>
      </c>
      <c r="FC11" s="365">
        <v>0.12</v>
      </c>
      <c r="FE11" s="355"/>
      <c r="FF11" s="332">
        <v>7</v>
      </c>
      <c r="FG11" s="111" t="s">
        <v>402</v>
      </c>
      <c r="FH11" s="365">
        <v>0.12</v>
      </c>
      <c r="FJ11" s="355"/>
      <c r="FK11" s="332">
        <v>7</v>
      </c>
      <c r="FL11" s="111" t="s">
        <v>402</v>
      </c>
      <c r="FM11" s="365">
        <v>0.12</v>
      </c>
      <c r="FO11" s="355"/>
      <c r="FP11" s="332">
        <v>7</v>
      </c>
      <c r="FQ11" s="111" t="s">
        <v>402</v>
      </c>
      <c r="FR11" s="365">
        <v>0.12</v>
      </c>
      <c r="FT11" s="355"/>
      <c r="FU11" s="332">
        <v>7</v>
      </c>
      <c r="FV11" s="111" t="s">
        <v>402</v>
      </c>
      <c r="FW11" s="365">
        <v>0.12</v>
      </c>
      <c r="FY11" s="354"/>
      <c r="FZ11" s="342">
        <v>7</v>
      </c>
      <c r="GA11" s="111" t="s">
        <v>402</v>
      </c>
      <c r="GB11" s="365">
        <v>0.12</v>
      </c>
      <c r="GD11" s="355"/>
      <c r="GE11" s="342">
        <v>7</v>
      </c>
      <c r="GF11" s="111" t="s">
        <v>402</v>
      </c>
      <c r="GG11" s="365">
        <v>0.12</v>
      </c>
      <c r="GI11" s="355"/>
      <c r="GJ11" s="342">
        <v>7</v>
      </c>
      <c r="GK11" s="111" t="s">
        <v>402</v>
      </c>
      <c r="GL11" s="365">
        <v>0.12</v>
      </c>
      <c r="GN11" s="355"/>
      <c r="GO11" s="342">
        <v>7</v>
      </c>
      <c r="GP11" s="111" t="s">
        <v>402</v>
      </c>
      <c r="GQ11" s="365">
        <v>0.12</v>
      </c>
      <c r="GS11" s="355"/>
      <c r="GT11" s="342">
        <v>7</v>
      </c>
      <c r="GU11" s="111" t="s">
        <v>402</v>
      </c>
      <c r="GV11" s="365">
        <v>0.12</v>
      </c>
      <c r="GX11" s="355"/>
    </row>
    <row r="12" spans="1:206" x14ac:dyDescent="0.2">
      <c r="A12" s="332">
        <v>8</v>
      </c>
      <c r="B12" s="111" t="s">
        <v>403</v>
      </c>
      <c r="C12" s="361"/>
      <c r="D12" s="334">
        <v>0.02</v>
      </c>
      <c r="F12" s="332">
        <v>8</v>
      </c>
      <c r="G12" s="111" t="s">
        <v>403</v>
      </c>
      <c r="H12" s="361"/>
      <c r="I12" s="334">
        <v>0.02</v>
      </c>
      <c r="K12" s="332">
        <v>8</v>
      </c>
      <c r="L12" s="111" t="s">
        <v>403</v>
      </c>
      <c r="M12" s="361"/>
      <c r="N12" s="334">
        <v>0.02</v>
      </c>
      <c r="O12" s="354"/>
      <c r="P12" s="339"/>
      <c r="Q12" s="332">
        <v>8</v>
      </c>
      <c r="R12" s="111" t="s">
        <v>403</v>
      </c>
      <c r="S12" s="361"/>
      <c r="T12" s="334">
        <v>0.02</v>
      </c>
      <c r="U12" s="354"/>
      <c r="V12" s="332">
        <v>8</v>
      </c>
      <c r="W12" s="111" t="s">
        <v>403</v>
      </c>
      <c r="X12" s="361"/>
      <c r="Y12" s="334">
        <v>0.02</v>
      </c>
      <c r="Z12" s="355"/>
      <c r="AA12" s="332">
        <v>8</v>
      </c>
      <c r="AB12" s="111" t="s">
        <v>403</v>
      </c>
      <c r="AC12" s="361"/>
      <c r="AD12" s="334">
        <v>0.02</v>
      </c>
      <c r="AE12" s="355"/>
      <c r="AF12" s="332">
        <v>8</v>
      </c>
      <c r="AG12" s="111" t="s">
        <v>403</v>
      </c>
      <c r="AH12" s="361"/>
      <c r="AI12" s="334">
        <v>0.02</v>
      </c>
      <c r="AJ12" s="355"/>
      <c r="AK12" s="332">
        <v>8</v>
      </c>
      <c r="AL12" s="111" t="s">
        <v>403</v>
      </c>
      <c r="AM12" s="361"/>
      <c r="AN12" s="371">
        <v>0.02</v>
      </c>
      <c r="AO12" s="355"/>
      <c r="AP12" s="332">
        <v>8</v>
      </c>
      <c r="AQ12" s="111" t="s">
        <v>403</v>
      </c>
      <c r="AR12" s="361"/>
      <c r="AS12" s="371">
        <v>0.02</v>
      </c>
      <c r="AT12" s="355"/>
      <c r="AU12" s="332">
        <v>8</v>
      </c>
      <c r="AV12" s="111" t="s">
        <v>403</v>
      </c>
      <c r="AW12" s="361"/>
      <c r="AX12" s="371">
        <v>0.02</v>
      </c>
      <c r="AY12" s="355"/>
      <c r="AZ12" s="332">
        <v>8</v>
      </c>
      <c r="BA12" s="111" t="s">
        <v>403</v>
      </c>
      <c r="BB12" s="361"/>
      <c r="BC12" s="371">
        <v>0.02</v>
      </c>
      <c r="BD12" s="355"/>
      <c r="BE12" s="332">
        <v>8</v>
      </c>
      <c r="BF12" s="111" t="s">
        <v>403</v>
      </c>
      <c r="BG12" s="361"/>
      <c r="BH12" s="371">
        <v>0.02</v>
      </c>
      <c r="BI12" s="355"/>
      <c r="BJ12" s="341">
        <v>8</v>
      </c>
      <c r="BK12" s="111" t="s">
        <v>403</v>
      </c>
      <c r="BL12" s="361"/>
      <c r="BM12" s="372">
        <v>0.02</v>
      </c>
      <c r="BN12" s="355"/>
      <c r="BO12" s="332">
        <v>8</v>
      </c>
      <c r="BP12" s="111" t="s">
        <v>403</v>
      </c>
      <c r="BQ12" s="361"/>
      <c r="BR12" s="372">
        <v>0.02</v>
      </c>
      <c r="BS12" s="355"/>
      <c r="BT12" s="332">
        <v>8</v>
      </c>
      <c r="BU12" s="111" t="s">
        <v>403</v>
      </c>
      <c r="BV12" s="361"/>
      <c r="BW12" s="372">
        <v>0.02</v>
      </c>
      <c r="BX12" s="355"/>
      <c r="BY12" s="332">
        <v>8</v>
      </c>
      <c r="BZ12" s="111" t="s">
        <v>403</v>
      </c>
      <c r="CA12" s="361"/>
      <c r="CB12" s="373">
        <v>0.01</v>
      </c>
      <c r="CC12" s="355"/>
      <c r="CD12" s="332">
        <v>8</v>
      </c>
      <c r="CE12" s="111" t="s">
        <v>403</v>
      </c>
      <c r="CF12" s="361"/>
      <c r="CG12" s="374">
        <v>0.02</v>
      </c>
      <c r="CH12" s="355"/>
      <c r="CI12" s="332">
        <v>8</v>
      </c>
      <c r="CJ12" s="111" t="s">
        <v>403</v>
      </c>
      <c r="CK12" s="361"/>
      <c r="CL12" s="373">
        <v>0.01</v>
      </c>
      <c r="CM12" s="355"/>
      <c r="CN12" s="332">
        <v>8</v>
      </c>
      <c r="CO12" s="111" t="s">
        <v>403</v>
      </c>
      <c r="CP12" s="361"/>
      <c r="CQ12" s="372">
        <v>0.01</v>
      </c>
      <c r="CR12" s="355"/>
      <c r="CS12" s="332">
        <v>8</v>
      </c>
      <c r="CT12" s="111" t="s">
        <v>403</v>
      </c>
      <c r="CU12" s="361"/>
      <c r="CV12" s="372">
        <v>0.01</v>
      </c>
      <c r="CW12" s="355"/>
      <c r="CX12" s="332">
        <v>8</v>
      </c>
      <c r="CY12" s="111" t="s">
        <v>403</v>
      </c>
      <c r="CZ12" s="361"/>
      <c r="DA12" s="372">
        <v>0.01</v>
      </c>
      <c r="DB12" s="355"/>
      <c r="DC12" s="332">
        <v>8</v>
      </c>
      <c r="DD12" s="111" t="s">
        <v>403</v>
      </c>
      <c r="DE12" s="361"/>
      <c r="DF12" s="372">
        <v>0.01</v>
      </c>
      <c r="DG12" s="355"/>
      <c r="DH12" s="332">
        <v>8</v>
      </c>
      <c r="DI12" s="111" t="s">
        <v>403</v>
      </c>
      <c r="DJ12" s="361"/>
      <c r="DK12" s="372">
        <v>0.01</v>
      </c>
      <c r="DL12" s="355"/>
      <c r="DM12" s="332">
        <v>8</v>
      </c>
      <c r="DN12" s="111" t="s">
        <v>403</v>
      </c>
      <c r="DO12" s="361"/>
      <c r="DP12" s="372">
        <v>0.01</v>
      </c>
      <c r="DQ12" s="355"/>
      <c r="DR12" s="332">
        <v>8</v>
      </c>
      <c r="DS12" s="111" t="s">
        <v>403</v>
      </c>
      <c r="DT12" s="361"/>
      <c r="DU12" s="372">
        <v>0.01</v>
      </c>
      <c r="DV12" s="355"/>
      <c r="DW12" s="332">
        <v>8</v>
      </c>
      <c r="DX12" s="111" t="s">
        <v>403</v>
      </c>
      <c r="DY12" s="361"/>
      <c r="DZ12" s="372">
        <v>0.01</v>
      </c>
      <c r="EA12" s="355"/>
      <c r="EB12" s="332">
        <v>8</v>
      </c>
      <c r="EC12" s="111" t="s">
        <v>403</v>
      </c>
      <c r="ED12" s="361"/>
      <c r="EE12" s="372">
        <v>0.01</v>
      </c>
      <c r="EF12" s="355"/>
      <c r="EG12" s="332">
        <v>8</v>
      </c>
      <c r="EH12" s="111" t="s">
        <v>403</v>
      </c>
      <c r="EI12" s="361"/>
      <c r="EJ12" s="372">
        <v>0.01</v>
      </c>
      <c r="EK12" s="355"/>
      <c r="EL12" s="332">
        <v>8</v>
      </c>
      <c r="EM12" s="111" t="s">
        <v>403</v>
      </c>
      <c r="EN12" s="361"/>
      <c r="EO12" s="372">
        <v>0.01</v>
      </c>
      <c r="EP12" s="355"/>
      <c r="EQ12" s="332">
        <v>8</v>
      </c>
      <c r="ER12" s="111" t="s">
        <v>403</v>
      </c>
      <c r="ES12" s="361"/>
      <c r="ET12" s="372">
        <v>0.01</v>
      </c>
      <c r="EU12" s="355"/>
      <c r="EV12" s="332">
        <v>8</v>
      </c>
      <c r="EW12" s="111" t="s">
        <v>403</v>
      </c>
      <c r="EX12" s="361"/>
      <c r="EY12" s="372">
        <v>0.01</v>
      </c>
      <c r="EZ12" s="355"/>
      <c r="FA12" s="332">
        <v>8</v>
      </c>
      <c r="FB12" s="111" t="s">
        <v>403</v>
      </c>
      <c r="FC12" s="361"/>
      <c r="FD12" s="372">
        <v>0.01</v>
      </c>
      <c r="FE12" s="355"/>
      <c r="FF12" s="332">
        <v>8</v>
      </c>
      <c r="FG12" s="111" t="s">
        <v>403</v>
      </c>
      <c r="FH12" s="361"/>
      <c r="FI12" s="372">
        <v>0.01</v>
      </c>
      <c r="FJ12" s="355"/>
      <c r="FK12" s="332">
        <v>8</v>
      </c>
      <c r="FL12" s="111" t="s">
        <v>403</v>
      </c>
      <c r="FM12" s="361"/>
      <c r="FN12" s="372">
        <v>0.01</v>
      </c>
      <c r="FO12" s="355"/>
      <c r="FP12" s="332">
        <v>8</v>
      </c>
      <c r="FQ12" s="111" t="s">
        <v>403</v>
      </c>
      <c r="FR12" s="361"/>
      <c r="FS12" s="372">
        <v>0.01</v>
      </c>
      <c r="FT12" s="355"/>
      <c r="FU12" s="332">
        <v>8</v>
      </c>
      <c r="FV12" s="111" t="s">
        <v>403</v>
      </c>
      <c r="FW12" s="361"/>
      <c r="FX12" s="372">
        <v>0.01</v>
      </c>
      <c r="FY12" s="354"/>
      <c r="FZ12" s="342">
        <v>8</v>
      </c>
      <c r="GA12" s="111" t="s">
        <v>403</v>
      </c>
      <c r="GB12" s="361"/>
      <c r="GC12" s="372">
        <v>0.01</v>
      </c>
      <c r="GD12" s="355"/>
      <c r="GE12" s="342">
        <v>8</v>
      </c>
      <c r="GF12" s="111" t="s">
        <v>403</v>
      </c>
      <c r="GG12" s="361"/>
      <c r="GH12" s="372">
        <v>0.01</v>
      </c>
      <c r="GI12" s="355"/>
      <c r="GJ12" s="342">
        <v>8</v>
      </c>
      <c r="GK12" s="111" t="s">
        <v>403</v>
      </c>
      <c r="GL12" s="361"/>
      <c r="GM12" s="372">
        <v>0.01</v>
      </c>
      <c r="GN12" s="355"/>
      <c r="GO12" s="342">
        <v>8</v>
      </c>
      <c r="GP12" s="111" t="s">
        <v>403</v>
      </c>
      <c r="GQ12" s="361"/>
      <c r="GR12" s="372">
        <v>0.01</v>
      </c>
      <c r="GS12" s="355"/>
      <c r="GT12" s="342">
        <v>8</v>
      </c>
      <c r="GU12" s="111" t="s">
        <v>403</v>
      </c>
      <c r="GV12" s="361"/>
      <c r="GW12" s="372">
        <v>0.01</v>
      </c>
      <c r="GX12" s="355"/>
    </row>
    <row r="13" spans="1:206" x14ac:dyDescent="0.2">
      <c r="A13" s="332">
        <v>9</v>
      </c>
      <c r="B13" s="111" t="s">
        <v>404</v>
      </c>
      <c r="C13" s="361"/>
      <c r="D13" s="339"/>
      <c r="E13" s="375">
        <v>18.95</v>
      </c>
      <c r="F13" s="332">
        <v>9</v>
      </c>
      <c r="G13" s="111" t="s">
        <v>404</v>
      </c>
      <c r="H13" s="361"/>
      <c r="I13" s="339"/>
      <c r="J13" s="376">
        <v>19.13</v>
      </c>
      <c r="K13" s="332">
        <v>9</v>
      </c>
      <c r="L13" s="111" t="s">
        <v>404</v>
      </c>
      <c r="M13" s="361"/>
      <c r="N13" s="339"/>
      <c r="O13" s="376">
        <v>19.239999999999998</v>
      </c>
      <c r="P13" s="339"/>
      <c r="Q13" s="332">
        <v>9</v>
      </c>
      <c r="R13" s="111" t="s">
        <v>404</v>
      </c>
      <c r="S13" s="361"/>
      <c r="T13" s="339"/>
      <c r="U13" s="346">
        <v>19.239999999999998</v>
      </c>
      <c r="V13" s="332">
        <v>9</v>
      </c>
      <c r="W13" s="111" t="s">
        <v>404</v>
      </c>
      <c r="X13" s="361"/>
      <c r="Y13" s="339"/>
      <c r="Z13" s="347">
        <v>20.12</v>
      </c>
      <c r="AA13" s="332">
        <v>9</v>
      </c>
      <c r="AB13" s="111" t="s">
        <v>404</v>
      </c>
      <c r="AC13" s="361"/>
      <c r="AD13" s="339"/>
      <c r="AE13" s="347">
        <v>20.12</v>
      </c>
      <c r="AF13" s="332">
        <v>9</v>
      </c>
      <c r="AG13" s="111" t="s">
        <v>404</v>
      </c>
      <c r="AH13" s="361"/>
      <c r="AI13" s="339"/>
      <c r="AJ13" s="349">
        <v>20.010000000000002</v>
      </c>
      <c r="AK13" s="332">
        <v>9</v>
      </c>
      <c r="AL13" s="111" t="s">
        <v>404</v>
      </c>
      <c r="AM13" s="361"/>
      <c r="AN13" s="377"/>
      <c r="AO13" s="378">
        <v>20.329999999999998</v>
      </c>
      <c r="AP13" s="332">
        <v>9</v>
      </c>
      <c r="AQ13" s="111" t="s">
        <v>404</v>
      </c>
      <c r="AR13" s="361"/>
      <c r="AS13" s="377"/>
      <c r="AT13" s="378">
        <v>20.22</v>
      </c>
      <c r="AU13" s="332">
        <v>9</v>
      </c>
      <c r="AV13" s="111" t="s">
        <v>404</v>
      </c>
      <c r="AW13" s="361"/>
      <c r="AX13" s="377"/>
      <c r="AY13" s="379">
        <v>20.34</v>
      </c>
      <c r="AZ13" s="332">
        <v>9</v>
      </c>
      <c r="BA13" s="111" t="s">
        <v>404</v>
      </c>
      <c r="BB13" s="361"/>
      <c r="BC13" s="377"/>
      <c r="BD13" s="379">
        <v>20.51</v>
      </c>
      <c r="BE13" s="332">
        <v>9</v>
      </c>
      <c r="BF13" s="111" t="s">
        <v>404</v>
      </c>
      <c r="BG13" s="361"/>
      <c r="BH13" s="377"/>
      <c r="BI13" s="349">
        <v>20.49</v>
      </c>
      <c r="BJ13" s="341">
        <v>9</v>
      </c>
      <c r="BK13" s="111" t="s">
        <v>404</v>
      </c>
      <c r="BL13" s="361"/>
      <c r="BM13" s="377"/>
      <c r="BN13" s="349">
        <v>20.34</v>
      </c>
      <c r="BO13" s="332">
        <v>9</v>
      </c>
      <c r="BP13" s="111" t="s">
        <v>404</v>
      </c>
      <c r="BQ13" s="361"/>
      <c r="BR13" s="377"/>
      <c r="BS13" s="379">
        <v>20.49</v>
      </c>
      <c r="BT13" s="332">
        <v>9</v>
      </c>
      <c r="BU13" s="111" t="s">
        <v>404</v>
      </c>
      <c r="BV13" s="361"/>
      <c r="BW13" s="377"/>
      <c r="BX13" s="379">
        <v>20.51</v>
      </c>
      <c r="BY13" s="332">
        <v>9</v>
      </c>
      <c r="BZ13" s="111" t="s">
        <v>404</v>
      </c>
      <c r="CA13" s="361"/>
      <c r="CB13" s="377"/>
      <c r="CC13" s="349">
        <v>20.5</v>
      </c>
      <c r="CD13" s="332">
        <v>9</v>
      </c>
      <c r="CE13" s="111" t="s">
        <v>404</v>
      </c>
      <c r="CF13" s="361"/>
      <c r="CG13" s="377"/>
      <c r="CH13" s="349">
        <v>20.47</v>
      </c>
      <c r="CI13" s="332">
        <v>9</v>
      </c>
      <c r="CJ13" s="111" t="s">
        <v>404</v>
      </c>
      <c r="CK13" s="361"/>
      <c r="CL13" s="377"/>
      <c r="CM13" s="349">
        <v>20.04</v>
      </c>
      <c r="CN13" s="332">
        <v>9</v>
      </c>
      <c r="CO13" s="111" t="s">
        <v>404</v>
      </c>
      <c r="CP13" s="361"/>
      <c r="CQ13" s="377"/>
      <c r="CR13" s="379">
        <v>20.25</v>
      </c>
      <c r="CS13" s="332">
        <v>9</v>
      </c>
      <c r="CT13" s="111" t="s">
        <v>404</v>
      </c>
      <c r="CU13" s="361"/>
      <c r="CV13" s="377"/>
      <c r="CW13" s="379">
        <v>20.6</v>
      </c>
      <c r="CX13" s="332">
        <v>9</v>
      </c>
      <c r="CY13" s="111" t="s">
        <v>404</v>
      </c>
      <c r="CZ13" s="361"/>
      <c r="DA13" s="377"/>
      <c r="DB13" s="379">
        <v>20.63</v>
      </c>
      <c r="DC13" s="332">
        <v>9</v>
      </c>
      <c r="DD13" s="111" t="s">
        <v>404</v>
      </c>
      <c r="DE13" s="361"/>
      <c r="DF13" s="377"/>
      <c r="DG13" s="349">
        <v>20.61</v>
      </c>
      <c r="DH13" s="332">
        <v>9</v>
      </c>
      <c r="DI13" s="111" t="s">
        <v>404</v>
      </c>
      <c r="DJ13" s="361"/>
      <c r="DK13" s="377"/>
      <c r="DL13" s="349">
        <v>20.6</v>
      </c>
      <c r="DM13" s="332">
        <v>9</v>
      </c>
      <c r="DN13" s="111" t="s">
        <v>404</v>
      </c>
      <c r="DO13" s="361"/>
      <c r="DP13" s="377"/>
      <c r="DQ13" s="380">
        <v>20.64</v>
      </c>
      <c r="DR13" s="332">
        <v>9</v>
      </c>
      <c r="DS13" s="111" t="s">
        <v>404</v>
      </c>
      <c r="DT13" s="361"/>
      <c r="DU13" s="377"/>
      <c r="DV13" s="381">
        <v>20.76</v>
      </c>
      <c r="DW13" s="332">
        <v>9</v>
      </c>
      <c r="DX13" s="111" t="s">
        <v>404</v>
      </c>
      <c r="DY13" s="361"/>
      <c r="DZ13" s="377"/>
      <c r="EA13" s="381">
        <v>20.77</v>
      </c>
      <c r="EB13" s="332">
        <v>9</v>
      </c>
      <c r="EC13" s="111" t="s">
        <v>404</v>
      </c>
      <c r="ED13" s="361"/>
      <c r="EE13" s="377"/>
      <c r="EF13" s="382">
        <v>20.75</v>
      </c>
      <c r="EG13" s="332">
        <v>9</v>
      </c>
      <c r="EH13" s="111" t="s">
        <v>404</v>
      </c>
      <c r="EI13" s="361"/>
      <c r="EJ13" s="377"/>
      <c r="EK13" s="381">
        <v>21.06</v>
      </c>
      <c r="EL13" s="332">
        <v>9</v>
      </c>
      <c r="EM13" s="111" t="s">
        <v>404</v>
      </c>
      <c r="EN13" s="361"/>
      <c r="EO13" s="377"/>
      <c r="EP13" s="381">
        <v>21.15</v>
      </c>
      <c r="EQ13" s="332">
        <v>9</v>
      </c>
      <c r="ER13" s="111" t="s">
        <v>404</v>
      </c>
      <c r="ES13" s="361"/>
      <c r="ET13" s="377"/>
      <c r="EU13" s="381">
        <v>21.26</v>
      </c>
      <c r="EV13" s="332">
        <v>9</v>
      </c>
      <c r="EW13" s="111" t="s">
        <v>404</v>
      </c>
      <c r="EX13" s="361"/>
      <c r="EY13" s="377"/>
      <c r="EZ13" s="381">
        <v>21.38</v>
      </c>
      <c r="FA13" s="332">
        <v>9</v>
      </c>
      <c r="FB13" s="111" t="s">
        <v>404</v>
      </c>
      <c r="FC13" s="361"/>
      <c r="FD13" s="377"/>
      <c r="FE13" s="381">
        <v>21.44</v>
      </c>
      <c r="FF13" s="332">
        <v>9</v>
      </c>
      <c r="FG13" s="111" t="s">
        <v>404</v>
      </c>
      <c r="FH13" s="361"/>
      <c r="FI13" s="377"/>
      <c r="FJ13" s="380">
        <v>21.44</v>
      </c>
      <c r="FK13" s="332">
        <v>9</v>
      </c>
      <c r="FL13" s="111" t="s">
        <v>404</v>
      </c>
      <c r="FM13" s="361"/>
      <c r="FN13" s="377"/>
      <c r="FO13" s="380">
        <v>21.44</v>
      </c>
      <c r="FP13" s="332">
        <v>9</v>
      </c>
      <c r="FQ13" s="111" t="s">
        <v>404</v>
      </c>
      <c r="FR13" s="361"/>
      <c r="FS13" s="377"/>
      <c r="FT13" s="382">
        <v>21.4</v>
      </c>
      <c r="FU13" s="332">
        <v>9</v>
      </c>
      <c r="FV13" s="111" t="s">
        <v>404</v>
      </c>
      <c r="FW13" s="361"/>
      <c r="FX13" s="377"/>
      <c r="FY13" s="383">
        <v>21.4</v>
      </c>
      <c r="FZ13" s="342">
        <v>9</v>
      </c>
      <c r="GA13" s="111" t="s">
        <v>404</v>
      </c>
      <c r="GB13" s="361"/>
      <c r="GC13" s="377"/>
      <c r="GD13" s="380">
        <v>21.4</v>
      </c>
      <c r="GE13" s="342">
        <v>9</v>
      </c>
      <c r="GF13" s="111" t="s">
        <v>404</v>
      </c>
      <c r="GG13" s="361"/>
      <c r="GH13" s="377"/>
      <c r="GI13" s="380">
        <v>21.4</v>
      </c>
      <c r="GJ13" s="342">
        <v>9</v>
      </c>
      <c r="GK13" s="111" t="s">
        <v>404</v>
      </c>
      <c r="GL13" s="361"/>
      <c r="GM13" s="377"/>
      <c r="GN13" s="380">
        <v>21.4</v>
      </c>
      <c r="GO13" s="342">
        <v>9</v>
      </c>
      <c r="GP13" s="111" t="s">
        <v>404</v>
      </c>
      <c r="GQ13" s="361"/>
      <c r="GR13" s="377"/>
      <c r="GS13" s="380">
        <v>21.05</v>
      </c>
      <c r="GT13" s="342">
        <v>9</v>
      </c>
      <c r="GU13" s="111" t="s">
        <v>404</v>
      </c>
      <c r="GV13" s="361"/>
      <c r="GW13" s="377"/>
      <c r="GX13" s="380">
        <v>21.05</v>
      </c>
    </row>
    <row r="14" spans="1:206" x14ac:dyDescent="0.2">
      <c r="A14" s="332">
        <v>10</v>
      </c>
      <c r="B14" s="111" t="s">
        <v>405</v>
      </c>
      <c r="C14" s="361"/>
      <c r="D14" s="384">
        <v>1.38</v>
      </c>
      <c r="E14" s="385">
        <f>SUM(D12:D14)</f>
        <v>1.4</v>
      </c>
      <c r="F14" s="332">
        <v>10</v>
      </c>
      <c r="G14" s="111" t="s">
        <v>405</v>
      </c>
      <c r="H14" s="361"/>
      <c r="I14" s="384">
        <v>1.26</v>
      </c>
      <c r="J14" s="386">
        <f>SUM(I12:I14)</f>
        <v>1.28</v>
      </c>
      <c r="K14" s="332">
        <v>10</v>
      </c>
      <c r="L14" s="111" t="s">
        <v>405</v>
      </c>
      <c r="M14" s="361"/>
      <c r="N14" s="384">
        <v>1.21</v>
      </c>
      <c r="O14" s="386">
        <f>SUM(N12:N14)</f>
        <v>1.23</v>
      </c>
      <c r="P14" s="339"/>
      <c r="Q14" s="332">
        <v>10</v>
      </c>
      <c r="R14" s="111" t="s">
        <v>405</v>
      </c>
      <c r="S14" s="361"/>
      <c r="T14" s="384">
        <v>1.21</v>
      </c>
      <c r="U14" s="387">
        <f>SUM(T12:T14)</f>
        <v>1.23</v>
      </c>
      <c r="V14" s="332">
        <v>10</v>
      </c>
      <c r="W14" s="111" t="s">
        <v>405</v>
      </c>
      <c r="X14" s="361"/>
      <c r="Y14" s="384">
        <v>1.42</v>
      </c>
      <c r="Z14" s="388">
        <f>SUM(Y12:Y14)</f>
        <v>1.44</v>
      </c>
      <c r="AA14" s="332">
        <v>10</v>
      </c>
      <c r="AB14" s="111" t="s">
        <v>405</v>
      </c>
      <c r="AC14" s="361"/>
      <c r="AD14" s="384">
        <v>1.42</v>
      </c>
      <c r="AE14" s="389">
        <f>SUM(AD12:AD14)</f>
        <v>1.44</v>
      </c>
      <c r="AF14" s="332">
        <v>10</v>
      </c>
      <c r="AG14" s="111" t="s">
        <v>405</v>
      </c>
      <c r="AH14" s="361"/>
      <c r="AI14" s="390">
        <v>1.1399999999999999</v>
      </c>
      <c r="AJ14" s="391">
        <f>SUM(AI12:AI14)</f>
        <v>1.1599999999999999</v>
      </c>
      <c r="AK14" s="332">
        <v>10</v>
      </c>
      <c r="AL14" s="111" t="s">
        <v>405</v>
      </c>
      <c r="AM14" s="361"/>
      <c r="AN14" s="392">
        <v>1.1100000000000001</v>
      </c>
      <c r="AO14" s="393">
        <f>SUM(AN12:AN14)</f>
        <v>1.1300000000000001</v>
      </c>
      <c r="AP14" s="332">
        <v>10</v>
      </c>
      <c r="AQ14" s="111" t="s">
        <v>405</v>
      </c>
      <c r="AR14" s="361"/>
      <c r="AS14" s="392">
        <v>1.06</v>
      </c>
      <c r="AT14" s="393">
        <f>SUM(AS12:AS14)</f>
        <v>1.08</v>
      </c>
      <c r="AU14" s="332">
        <v>10</v>
      </c>
      <c r="AV14" s="111" t="s">
        <v>405</v>
      </c>
      <c r="AW14" s="361"/>
      <c r="AX14" s="392">
        <v>1.06</v>
      </c>
      <c r="AY14" s="389">
        <f>SUM(AX12:AX14)</f>
        <v>1.08</v>
      </c>
      <c r="AZ14" s="332">
        <v>10</v>
      </c>
      <c r="BA14" s="111" t="s">
        <v>405</v>
      </c>
      <c r="BB14" s="361"/>
      <c r="BC14" s="392">
        <v>0.95</v>
      </c>
      <c r="BD14" s="391">
        <f>SUM(BC12:BC14)</f>
        <v>0.97</v>
      </c>
      <c r="BE14" s="332">
        <v>10</v>
      </c>
      <c r="BF14" s="111" t="s">
        <v>405</v>
      </c>
      <c r="BG14" s="361"/>
      <c r="BH14" s="392">
        <v>0.89</v>
      </c>
      <c r="BI14" s="391">
        <f>SUM(BH12:BH14)</f>
        <v>0.91</v>
      </c>
      <c r="BJ14" s="341">
        <v>10</v>
      </c>
      <c r="BK14" s="111" t="s">
        <v>405</v>
      </c>
      <c r="BL14" s="361"/>
      <c r="BM14" s="394">
        <v>1.06</v>
      </c>
      <c r="BN14" s="395">
        <f>SUM(BM12:BM14)</f>
        <v>1.08</v>
      </c>
      <c r="BO14" s="332">
        <v>10</v>
      </c>
      <c r="BP14" s="111" t="s">
        <v>405</v>
      </c>
      <c r="BQ14" s="361"/>
      <c r="BR14" s="390">
        <v>0.89</v>
      </c>
      <c r="BS14" s="391">
        <f>SUM(BR12:BR14)</f>
        <v>0.91</v>
      </c>
      <c r="BT14" s="332">
        <v>10</v>
      </c>
      <c r="BU14" s="111" t="s">
        <v>405</v>
      </c>
      <c r="BV14" s="361"/>
      <c r="BW14" s="394">
        <v>0.95</v>
      </c>
      <c r="BX14" s="395">
        <f>SUM(BW12:BW14)</f>
        <v>0.97</v>
      </c>
      <c r="BY14" s="332">
        <v>10</v>
      </c>
      <c r="BZ14" s="111" t="s">
        <v>405</v>
      </c>
      <c r="CA14" s="361"/>
      <c r="CB14" s="390">
        <v>0.79</v>
      </c>
      <c r="CC14" s="391">
        <f>SUM(CB12:CB14)</f>
        <v>0.8</v>
      </c>
      <c r="CD14" s="332">
        <v>10</v>
      </c>
      <c r="CE14" s="111" t="s">
        <v>405</v>
      </c>
      <c r="CF14" s="361"/>
      <c r="CG14" s="394">
        <v>0.83</v>
      </c>
      <c r="CH14" s="391">
        <f>SUM(CG12:CG14)</f>
        <v>0.85</v>
      </c>
      <c r="CI14" s="332">
        <v>10</v>
      </c>
      <c r="CJ14" s="111" t="s">
        <v>405</v>
      </c>
      <c r="CK14" s="361"/>
      <c r="CL14" s="390">
        <v>0.77</v>
      </c>
      <c r="CM14" s="391">
        <f>SUM(CL12:CL14)</f>
        <v>0.78</v>
      </c>
      <c r="CN14" s="332">
        <v>10</v>
      </c>
      <c r="CO14" s="111" t="s">
        <v>405</v>
      </c>
      <c r="CP14" s="361"/>
      <c r="CQ14" s="394">
        <v>0.84</v>
      </c>
      <c r="CR14" s="395">
        <f>SUM(CQ12:CQ14)</f>
        <v>0.85</v>
      </c>
      <c r="CS14" s="332">
        <v>10</v>
      </c>
      <c r="CT14" s="111" t="s">
        <v>405</v>
      </c>
      <c r="CU14" s="361"/>
      <c r="CV14" s="390">
        <v>0.84</v>
      </c>
      <c r="CW14" s="395">
        <f>SUM(CV12:CV14)</f>
        <v>0.85</v>
      </c>
      <c r="CX14" s="332">
        <v>10</v>
      </c>
      <c r="CY14" s="111" t="s">
        <v>405</v>
      </c>
      <c r="CZ14" s="361"/>
      <c r="DA14" s="390">
        <v>0.83</v>
      </c>
      <c r="DB14" s="391">
        <f>SUM(DA12:DA14)</f>
        <v>0.84</v>
      </c>
      <c r="DC14" s="332">
        <v>10</v>
      </c>
      <c r="DD14" s="111" t="s">
        <v>405</v>
      </c>
      <c r="DE14" s="361"/>
      <c r="DF14" s="390">
        <v>0.81</v>
      </c>
      <c r="DG14" s="391">
        <f>SUM(DF12:DF14)</f>
        <v>0.82000000000000006</v>
      </c>
      <c r="DH14" s="332">
        <v>10</v>
      </c>
      <c r="DI14" s="111" t="s">
        <v>405</v>
      </c>
      <c r="DJ14" s="361"/>
      <c r="DK14" s="390">
        <v>0.74</v>
      </c>
      <c r="DL14" s="391">
        <f>SUM(DK12:DK14)</f>
        <v>0.75</v>
      </c>
      <c r="DM14" s="332">
        <v>10</v>
      </c>
      <c r="DN14" s="111" t="s">
        <v>405</v>
      </c>
      <c r="DO14" s="361"/>
      <c r="DP14" s="396">
        <v>0.7</v>
      </c>
      <c r="DQ14" s="389">
        <f>SUM(DP12:DP14)</f>
        <v>0.71</v>
      </c>
      <c r="DR14" s="332">
        <v>10</v>
      </c>
      <c r="DS14" s="111" t="s">
        <v>405</v>
      </c>
      <c r="DT14" s="361"/>
      <c r="DU14" s="396">
        <v>0.7</v>
      </c>
      <c r="DV14" s="389">
        <f>SUM(DU12:DU14)</f>
        <v>0.71</v>
      </c>
      <c r="DW14" s="332">
        <v>10</v>
      </c>
      <c r="DX14" s="111" t="s">
        <v>405</v>
      </c>
      <c r="DY14" s="361"/>
      <c r="DZ14" s="396">
        <v>0.7</v>
      </c>
      <c r="EA14" s="389">
        <f>SUM(DZ12:DZ14)</f>
        <v>0.71</v>
      </c>
      <c r="EB14" s="332">
        <v>10</v>
      </c>
      <c r="EC14" s="111" t="s">
        <v>405</v>
      </c>
      <c r="ED14" s="361"/>
      <c r="EE14" s="396">
        <v>0.7</v>
      </c>
      <c r="EF14" s="389">
        <f>SUM(EE12:EE14)</f>
        <v>0.71</v>
      </c>
      <c r="EG14" s="332">
        <v>10</v>
      </c>
      <c r="EH14" s="111" t="s">
        <v>405</v>
      </c>
      <c r="EI14" s="361"/>
      <c r="EJ14" s="396">
        <v>0.7</v>
      </c>
      <c r="EK14" s="389">
        <f>SUM(EJ12:EJ14)</f>
        <v>0.71</v>
      </c>
      <c r="EL14" s="332">
        <v>10</v>
      </c>
      <c r="EM14" s="111" t="s">
        <v>405</v>
      </c>
      <c r="EN14" s="361"/>
      <c r="EO14" s="397">
        <v>0.73</v>
      </c>
      <c r="EP14" s="389">
        <f>SUM(EO12:EO14)</f>
        <v>0.74</v>
      </c>
      <c r="EQ14" s="332">
        <v>10</v>
      </c>
      <c r="ER14" s="111" t="s">
        <v>405</v>
      </c>
      <c r="ES14" s="361"/>
      <c r="ET14" s="397">
        <v>0.73</v>
      </c>
      <c r="EU14" s="389">
        <f>SUM(ET12:ET14)</f>
        <v>0.74</v>
      </c>
      <c r="EV14" s="332">
        <v>10</v>
      </c>
      <c r="EW14" s="111" t="s">
        <v>405</v>
      </c>
      <c r="EX14" s="361"/>
      <c r="EY14" s="398">
        <v>0.72</v>
      </c>
      <c r="EZ14" s="389">
        <f>SUM(EY12:EY14)</f>
        <v>0.73</v>
      </c>
      <c r="FA14" s="332">
        <v>10</v>
      </c>
      <c r="FB14" s="111" t="s">
        <v>405</v>
      </c>
      <c r="FC14" s="361"/>
      <c r="FD14" s="372">
        <v>0.72</v>
      </c>
      <c r="FE14" s="389">
        <f>SUM(FD12:FD14)</f>
        <v>0.73</v>
      </c>
      <c r="FF14" s="332">
        <v>10</v>
      </c>
      <c r="FG14" s="111" t="s">
        <v>405</v>
      </c>
      <c r="FH14" s="361"/>
      <c r="FI14" s="372">
        <v>0.72</v>
      </c>
      <c r="FJ14" s="389">
        <f>SUM(FI12:FI14)</f>
        <v>0.73</v>
      </c>
      <c r="FK14" s="332">
        <v>10</v>
      </c>
      <c r="FL14" s="111" t="s">
        <v>405</v>
      </c>
      <c r="FM14" s="361"/>
      <c r="FN14" s="372">
        <v>0.72</v>
      </c>
      <c r="FO14" s="389">
        <f>SUM(FN12:FN14)</f>
        <v>0.73</v>
      </c>
      <c r="FP14" s="332">
        <v>10</v>
      </c>
      <c r="FQ14" s="111" t="s">
        <v>405</v>
      </c>
      <c r="FR14" s="361"/>
      <c r="FS14" s="372">
        <v>0.72</v>
      </c>
      <c r="FT14" s="389">
        <f>SUM(FS12:FS14)</f>
        <v>0.73</v>
      </c>
      <c r="FU14" s="332">
        <v>10</v>
      </c>
      <c r="FV14" s="111" t="s">
        <v>405</v>
      </c>
      <c r="FW14" s="361"/>
      <c r="FX14" s="372">
        <v>0.72</v>
      </c>
      <c r="FY14" s="399">
        <f>SUM(FX12:FX14)</f>
        <v>0.73</v>
      </c>
      <c r="FZ14" s="342">
        <v>10</v>
      </c>
      <c r="GA14" s="111" t="s">
        <v>405</v>
      </c>
      <c r="GB14" s="361"/>
      <c r="GC14" s="372">
        <v>0.72</v>
      </c>
      <c r="GD14" s="389">
        <f>SUM(GC12:GC14)</f>
        <v>0.73</v>
      </c>
      <c r="GE14" s="342">
        <v>10</v>
      </c>
      <c r="GF14" s="111" t="s">
        <v>405</v>
      </c>
      <c r="GG14" s="361"/>
      <c r="GH14" s="373">
        <v>0.71</v>
      </c>
      <c r="GI14" s="391">
        <f>SUM(GH12:GH14)</f>
        <v>0.72</v>
      </c>
      <c r="GJ14" s="342">
        <v>10</v>
      </c>
      <c r="GK14" s="111" t="s">
        <v>405</v>
      </c>
      <c r="GL14" s="361"/>
      <c r="GM14" s="373">
        <v>0.71</v>
      </c>
      <c r="GN14" s="391">
        <f>SUM(GM12:GM14)</f>
        <v>0.72</v>
      </c>
      <c r="GO14" s="342">
        <v>10</v>
      </c>
      <c r="GP14" s="111" t="s">
        <v>405</v>
      </c>
      <c r="GQ14" s="361"/>
      <c r="GR14" s="373">
        <v>0.71</v>
      </c>
      <c r="GS14" s="391">
        <f>SUM(GR12:GR14)</f>
        <v>0.72</v>
      </c>
      <c r="GT14" s="342">
        <v>10</v>
      </c>
      <c r="GU14" s="111" t="s">
        <v>405</v>
      </c>
      <c r="GV14" s="361"/>
      <c r="GW14" s="400">
        <v>0.71</v>
      </c>
      <c r="GX14" s="389">
        <f>SUM(GW12:GW14)</f>
        <v>0.72</v>
      </c>
    </row>
    <row r="15" spans="1:206" x14ac:dyDescent="0.2">
      <c r="A15" s="332">
        <v>11</v>
      </c>
      <c r="B15" s="111" t="s">
        <v>406</v>
      </c>
      <c r="C15" s="361">
        <v>0</v>
      </c>
      <c r="F15" s="332">
        <v>11</v>
      </c>
      <c r="G15" s="111" t="s">
        <v>406</v>
      </c>
      <c r="H15" s="361"/>
      <c r="K15" s="332">
        <v>11</v>
      </c>
      <c r="L15" s="111" t="s">
        <v>406</v>
      </c>
      <c r="M15" s="361"/>
      <c r="O15" s="354"/>
      <c r="P15" s="339"/>
      <c r="Q15" s="332">
        <v>11</v>
      </c>
      <c r="R15" s="111" t="s">
        <v>406</v>
      </c>
      <c r="S15" s="361"/>
      <c r="U15" s="354"/>
      <c r="V15" s="332">
        <v>11</v>
      </c>
      <c r="W15" s="111" t="s">
        <v>406</v>
      </c>
      <c r="X15" s="361"/>
      <c r="Z15" s="355"/>
      <c r="AA15" s="332">
        <v>11</v>
      </c>
      <c r="AB15" s="111" t="s">
        <v>406</v>
      </c>
      <c r="AC15" s="361"/>
      <c r="AE15" s="355"/>
      <c r="AF15" s="332">
        <v>11</v>
      </c>
      <c r="AG15" s="111" t="s">
        <v>406</v>
      </c>
      <c r="AH15" s="361"/>
      <c r="AJ15" s="355"/>
      <c r="AK15" s="332">
        <v>11</v>
      </c>
      <c r="AL15" s="111" t="s">
        <v>406</v>
      </c>
      <c r="AM15" s="361"/>
      <c r="AO15" s="355"/>
      <c r="AP15" s="332">
        <v>11</v>
      </c>
      <c r="AQ15" s="111" t="s">
        <v>406</v>
      </c>
      <c r="AR15" s="361"/>
      <c r="AT15" s="355"/>
      <c r="AU15" s="332">
        <v>11</v>
      </c>
      <c r="AV15" s="111" t="s">
        <v>406</v>
      </c>
      <c r="AW15" s="361"/>
      <c r="AY15" s="355"/>
      <c r="AZ15" s="332">
        <v>11</v>
      </c>
      <c r="BA15" s="111" t="s">
        <v>406</v>
      </c>
      <c r="BB15" s="361"/>
      <c r="BD15" s="355"/>
      <c r="BE15" s="332">
        <v>11</v>
      </c>
      <c r="BF15" s="111" t="s">
        <v>406</v>
      </c>
      <c r="BG15" s="361"/>
      <c r="BI15" s="355"/>
      <c r="BJ15" s="341">
        <v>11</v>
      </c>
      <c r="BK15" s="111" t="s">
        <v>406</v>
      </c>
      <c r="BL15" s="361"/>
      <c r="BN15" s="355"/>
      <c r="BO15" s="332">
        <v>11</v>
      </c>
      <c r="BP15" s="111" t="s">
        <v>406</v>
      </c>
      <c r="BQ15" s="361"/>
      <c r="BS15" s="355"/>
      <c r="BT15" s="332">
        <v>11</v>
      </c>
      <c r="BU15" s="111" t="s">
        <v>406</v>
      </c>
      <c r="BV15" s="361"/>
      <c r="BX15" s="355"/>
      <c r="BY15" s="332">
        <v>11</v>
      </c>
      <c r="BZ15" s="111" t="s">
        <v>406</v>
      </c>
      <c r="CA15" s="361"/>
      <c r="CC15" s="355"/>
      <c r="CD15" s="332">
        <v>11</v>
      </c>
      <c r="CE15" s="111" t="s">
        <v>406</v>
      </c>
      <c r="CF15" s="361"/>
      <c r="CH15" s="355"/>
      <c r="CI15" s="332">
        <v>11</v>
      </c>
      <c r="CJ15" s="111" t="s">
        <v>406</v>
      </c>
      <c r="CK15" s="361"/>
      <c r="CM15" s="355"/>
      <c r="CN15" s="332">
        <v>11</v>
      </c>
      <c r="CO15" s="111" t="s">
        <v>406</v>
      </c>
      <c r="CP15" s="361"/>
      <c r="CR15" s="355"/>
      <c r="CS15" s="332">
        <v>11</v>
      </c>
      <c r="CT15" s="111" t="s">
        <v>406</v>
      </c>
      <c r="CU15" s="361"/>
      <c r="CW15" s="355"/>
      <c r="CX15" s="332">
        <v>11</v>
      </c>
      <c r="CY15" s="111" t="s">
        <v>406</v>
      </c>
      <c r="CZ15" s="361"/>
      <c r="DB15" s="355"/>
      <c r="DC15" s="332">
        <v>11</v>
      </c>
      <c r="DD15" s="111" t="s">
        <v>406</v>
      </c>
      <c r="DE15" s="361"/>
      <c r="DG15" s="355"/>
      <c r="DH15" s="332">
        <v>11</v>
      </c>
      <c r="DI15" s="111" t="s">
        <v>406</v>
      </c>
      <c r="DJ15" s="361"/>
      <c r="DL15" s="355"/>
      <c r="DM15" s="332">
        <v>11</v>
      </c>
      <c r="DN15" s="111" t="s">
        <v>406</v>
      </c>
      <c r="DO15" s="361"/>
      <c r="DQ15" s="355"/>
      <c r="DR15" s="332">
        <v>11</v>
      </c>
      <c r="DS15" s="111" t="s">
        <v>406</v>
      </c>
      <c r="DT15" s="361"/>
      <c r="DV15" s="355"/>
      <c r="DW15" s="332">
        <v>11</v>
      </c>
      <c r="DX15" s="111" t="s">
        <v>406</v>
      </c>
      <c r="DY15" s="361"/>
      <c r="EA15" s="355"/>
      <c r="EB15" s="332">
        <v>11</v>
      </c>
      <c r="EC15" s="111" t="s">
        <v>406</v>
      </c>
      <c r="ED15" s="361"/>
      <c r="EF15" s="355"/>
      <c r="EG15" s="332">
        <v>11</v>
      </c>
      <c r="EH15" s="111" t="s">
        <v>406</v>
      </c>
      <c r="EI15" s="361"/>
      <c r="EK15" s="355"/>
      <c r="EL15" s="332">
        <v>11</v>
      </c>
      <c r="EM15" s="111" t="s">
        <v>406</v>
      </c>
      <c r="EN15" s="361"/>
      <c r="EP15" s="355"/>
      <c r="EQ15" s="332">
        <v>11</v>
      </c>
      <c r="ER15" s="111" t="s">
        <v>406</v>
      </c>
      <c r="ES15" s="361"/>
      <c r="EU15" s="355"/>
      <c r="EV15" s="332">
        <v>11</v>
      </c>
      <c r="EW15" s="111" t="s">
        <v>406</v>
      </c>
      <c r="EX15" s="361"/>
      <c r="EZ15" s="355"/>
      <c r="FA15" s="332">
        <v>11</v>
      </c>
      <c r="FB15" s="111" t="s">
        <v>406</v>
      </c>
      <c r="FC15" s="361"/>
      <c r="FE15" s="355"/>
      <c r="FF15" s="332">
        <v>11</v>
      </c>
      <c r="FG15" s="111" t="s">
        <v>406</v>
      </c>
      <c r="FH15" s="361"/>
      <c r="FJ15" s="355"/>
      <c r="FK15" s="332">
        <v>11</v>
      </c>
      <c r="FL15" s="111" t="s">
        <v>406</v>
      </c>
      <c r="FM15" s="361"/>
      <c r="FO15" s="355"/>
      <c r="FP15" s="332">
        <v>11</v>
      </c>
      <c r="FQ15" s="111" t="s">
        <v>406</v>
      </c>
      <c r="FR15" s="361"/>
      <c r="FT15" s="355"/>
      <c r="FU15" s="332">
        <v>11</v>
      </c>
      <c r="FV15" s="111" t="s">
        <v>406</v>
      </c>
      <c r="FW15" s="361"/>
      <c r="FY15" s="354"/>
      <c r="FZ15" s="342">
        <v>11</v>
      </c>
      <c r="GA15" s="111" t="s">
        <v>406</v>
      </c>
      <c r="GB15" s="361"/>
      <c r="GD15" s="355"/>
      <c r="GE15" s="342">
        <v>11</v>
      </c>
      <c r="GF15" s="111" t="s">
        <v>406</v>
      </c>
      <c r="GG15" s="361"/>
      <c r="GI15" s="355"/>
      <c r="GJ15" s="342">
        <v>11</v>
      </c>
      <c r="GK15" s="111" t="s">
        <v>406</v>
      </c>
      <c r="GL15" s="361"/>
      <c r="GN15" s="355"/>
      <c r="GO15" s="342">
        <v>11</v>
      </c>
      <c r="GP15" s="111" t="s">
        <v>406</v>
      </c>
      <c r="GQ15" s="361"/>
      <c r="GS15" s="355"/>
      <c r="GT15" s="342">
        <v>11</v>
      </c>
      <c r="GU15" s="111" t="s">
        <v>406</v>
      </c>
      <c r="GV15" s="361"/>
      <c r="GX15" s="355"/>
    </row>
    <row r="16" spans="1:206" x14ac:dyDescent="0.2">
      <c r="A16" s="332">
        <v>12</v>
      </c>
      <c r="B16" s="111" t="s">
        <v>407</v>
      </c>
      <c r="C16" s="361">
        <v>0</v>
      </c>
      <c r="F16" s="332">
        <v>12</v>
      </c>
      <c r="G16" s="111" t="s">
        <v>407</v>
      </c>
      <c r="H16" s="361"/>
      <c r="K16" s="332">
        <v>12</v>
      </c>
      <c r="L16" s="111" t="s">
        <v>407</v>
      </c>
      <c r="M16" s="361"/>
      <c r="P16" s="339"/>
      <c r="Q16" s="332">
        <v>12</v>
      </c>
      <c r="R16" s="111" t="s">
        <v>407</v>
      </c>
      <c r="S16" s="361"/>
      <c r="V16" s="332">
        <v>12</v>
      </c>
      <c r="W16" s="111" t="s">
        <v>407</v>
      </c>
      <c r="X16" s="361"/>
      <c r="Z16" s="340"/>
      <c r="AA16" s="332">
        <v>12</v>
      </c>
      <c r="AB16" s="111" t="s">
        <v>407</v>
      </c>
      <c r="AC16" s="361"/>
      <c r="AE16" s="340"/>
      <c r="AF16" s="332">
        <v>12</v>
      </c>
      <c r="AG16" s="111" t="s">
        <v>407</v>
      </c>
      <c r="AH16" s="361"/>
      <c r="AJ16" s="340"/>
      <c r="AK16" s="332">
        <v>12</v>
      </c>
      <c r="AL16" s="111" t="s">
        <v>407</v>
      </c>
      <c r="AM16" s="361"/>
      <c r="AO16" s="340"/>
      <c r="AP16" s="332">
        <v>12</v>
      </c>
      <c r="AQ16" s="111" t="s">
        <v>407</v>
      </c>
      <c r="AR16" s="361"/>
      <c r="AT16" s="340"/>
      <c r="AU16" s="332">
        <v>12</v>
      </c>
      <c r="AV16" s="111" t="s">
        <v>407</v>
      </c>
      <c r="AW16" s="361"/>
      <c r="AY16" s="340"/>
      <c r="AZ16" s="332">
        <v>12</v>
      </c>
      <c r="BA16" s="111" t="s">
        <v>407</v>
      </c>
      <c r="BB16" s="361"/>
      <c r="BD16" s="340"/>
      <c r="BE16" s="332">
        <v>12</v>
      </c>
      <c r="BF16" s="111" t="s">
        <v>407</v>
      </c>
      <c r="BG16" s="361"/>
      <c r="BI16" s="340"/>
      <c r="BJ16" s="341">
        <v>12</v>
      </c>
      <c r="BK16" s="111" t="s">
        <v>407</v>
      </c>
      <c r="BL16" s="361"/>
      <c r="BN16" s="340"/>
      <c r="BO16" s="332">
        <v>12</v>
      </c>
      <c r="BP16" s="111" t="s">
        <v>407</v>
      </c>
      <c r="BQ16" s="361"/>
      <c r="BS16" s="340"/>
      <c r="BT16" s="332">
        <v>12</v>
      </c>
      <c r="BU16" s="111" t="s">
        <v>407</v>
      </c>
      <c r="BV16" s="361"/>
      <c r="BX16" s="340"/>
      <c r="BY16" s="332">
        <v>12</v>
      </c>
      <c r="BZ16" s="111" t="s">
        <v>407</v>
      </c>
      <c r="CA16" s="361"/>
      <c r="CC16" s="340"/>
      <c r="CD16" s="332">
        <v>12</v>
      </c>
      <c r="CE16" s="111" t="s">
        <v>407</v>
      </c>
      <c r="CF16" s="361"/>
      <c r="CH16" s="340"/>
      <c r="CI16" s="332">
        <v>12</v>
      </c>
      <c r="CJ16" s="111" t="s">
        <v>407</v>
      </c>
      <c r="CK16" s="361"/>
      <c r="CM16" s="340"/>
      <c r="CN16" s="332">
        <v>12</v>
      </c>
      <c r="CO16" s="111" t="s">
        <v>407</v>
      </c>
      <c r="CP16" s="361"/>
      <c r="CR16" s="340"/>
      <c r="CS16" s="332">
        <v>12</v>
      </c>
      <c r="CT16" s="111" t="s">
        <v>407</v>
      </c>
      <c r="CU16" s="361"/>
      <c r="CW16" s="340"/>
      <c r="CX16" s="332">
        <v>12</v>
      </c>
      <c r="CY16" s="111" t="s">
        <v>407</v>
      </c>
      <c r="CZ16" s="361"/>
      <c r="DB16" s="340"/>
      <c r="DC16" s="332">
        <v>12</v>
      </c>
      <c r="DD16" s="111" t="s">
        <v>407</v>
      </c>
      <c r="DE16" s="361"/>
      <c r="DG16" s="340"/>
      <c r="DH16" s="332">
        <v>12</v>
      </c>
      <c r="DI16" s="111" t="s">
        <v>407</v>
      </c>
      <c r="DJ16" s="361"/>
      <c r="DL16" s="340"/>
      <c r="DM16" s="332">
        <v>12</v>
      </c>
      <c r="DN16" s="111" t="s">
        <v>407</v>
      </c>
      <c r="DO16" s="361"/>
      <c r="DQ16" s="340"/>
      <c r="DR16" s="332">
        <v>12</v>
      </c>
      <c r="DS16" s="111" t="s">
        <v>407</v>
      </c>
      <c r="DT16" s="361"/>
      <c r="DV16" s="340"/>
      <c r="DW16" s="332">
        <v>12</v>
      </c>
      <c r="DX16" s="111" t="s">
        <v>407</v>
      </c>
      <c r="DY16" s="361"/>
      <c r="EA16" s="340"/>
      <c r="EB16" s="332">
        <v>12</v>
      </c>
      <c r="EC16" s="111" t="s">
        <v>407</v>
      </c>
      <c r="ED16" s="361"/>
      <c r="EF16" s="340"/>
      <c r="EG16" s="332">
        <v>12</v>
      </c>
      <c r="EH16" s="111" t="s">
        <v>407</v>
      </c>
      <c r="EI16" s="361"/>
      <c r="EK16" s="340"/>
      <c r="EL16" s="332">
        <v>12</v>
      </c>
      <c r="EM16" s="111" t="s">
        <v>407</v>
      </c>
      <c r="EN16" s="361"/>
      <c r="EP16" s="340"/>
      <c r="EQ16" s="332">
        <v>12</v>
      </c>
      <c r="ER16" s="111" t="s">
        <v>407</v>
      </c>
      <c r="ES16" s="361"/>
      <c r="EU16" s="340"/>
      <c r="EV16" s="332">
        <v>12</v>
      </c>
      <c r="EW16" s="111" t="s">
        <v>407</v>
      </c>
      <c r="EX16" s="361"/>
      <c r="EZ16" s="340"/>
      <c r="FA16" s="332">
        <v>12</v>
      </c>
      <c r="FB16" s="111" t="s">
        <v>407</v>
      </c>
      <c r="FC16" s="361"/>
      <c r="FE16" s="340"/>
      <c r="FF16" s="332">
        <v>12</v>
      </c>
      <c r="FG16" s="111" t="s">
        <v>407</v>
      </c>
      <c r="FH16" s="361"/>
      <c r="FJ16" s="340"/>
      <c r="FK16" s="332">
        <v>12</v>
      </c>
      <c r="FL16" s="111" t="s">
        <v>407</v>
      </c>
      <c r="FM16" s="361"/>
      <c r="FO16" s="340"/>
      <c r="FP16" s="332">
        <v>12</v>
      </c>
      <c r="FQ16" s="111" t="s">
        <v>407</v>
      </c>
      <c r="FR16" s="361"/>
      <c r="FT16" s="340"/>
      <c r="FU16" s="332">
        <v>12</v>
      </c>
      <c r="FV16" s="111" t="s">
        <v>407</v>
      </c>
      <c r="FW16" s="361"/>
      <c r="FZ16" s="342">
        <v>12</v>
      </c>
      <c r="GA16" s="111" t="s">
        <v>407</v>
      </c>
      <c r="GB16" s="361"/>
      <c r="GD16" s="340"/>
      <c r="GE16" s="342">
        <v>12</v>
      </c>
      <c r="GF16" s="111" t="s">
        <v>407</v>
      </c>
      <c r="GG16" s="361"/>
      <c r="GI16" s="340"/>
      <c r="GJ16" s="342">
        <v>12</v>
      </c>
      <c r="GK16" s="111" t="s">
        <v>407</v>
      </c>
      <c r="GL16" s="361"/>
      <c r="GN16" s="340"/>
      <c r="GO16" s="342">
        <v>12</v>
      </c>
      <c r="GP16" s="111" t="s">
        <v>407</v>
      </c>
      <c r="GQ16" s="361"/>
      <c r="GS16" s="340"/>
      <c r="GT16" s="342">
        <v>12</v>
      </c>
      <c r="GU16" s="111" t="s">
        <v>407</v>
      </c>
      <c r="GV16" s="361"/>
      <c r="GX16" s="340"/>
    </row>
    <row r="17" spans="1:206" x14ac:dyDescent="0.2">
      <c r="A17" s="332">
        <v>13</v>
      </c>
      <c r="B17" s="111" t="s">
        <v>408</v>
      </c>
      <c r="C17" s="361">
        <v>0</v>
      </c>
      <c r="F17" s="332">
        <v>13</v>
      </c>
      <c r="G17" s="111" t="s">
        <v>408</v>
      </c>
      <c r="H17" s="361"/>
      <c r="K17" s="332">
        <v>13</v>
      </c>
      <c r="L17" s="111" t="s">
        <v>408</v>
      </c>
      <c r="M17" s="361"/>
      <c r="P17" s="339"/>
      <c r="Q17" s="332">
        <v>13</v>
      </c>
      <c r="R17" s="111" t="s">
        <v>408</v>
      </c>
      <c r="S17" s="361"/>
      <c r="V17" s="332">
        <v>13</v>
      </c>
      <c r="W17" s="111" t="s">
        <v>408</v>
      </c>
      <c r="X17" s="361"/>
      <c r="Z17" s="340"/>
      <c r="AA17" s="332">
        <v>13</v>
      </c>
      <c r="AB17" s="111" t="s">
        <v>408</v>
      </c>
      <c r="AC17" s="361"/>
      <c r="AE17" s="340"/>
      <c r="AF17" s="332">
        <v>13</v>
      </c>
      <c r="AG17" s="111" t="s">
        <v>408</v>
      </c>
      <c r="AH17" s="361"/>
      <c r="AJ17" s="340"/>
      <c r="AK17" s="332">
        <v>13</v>
      </c>
      <c r="AL17" s="111" t="s">
        <v>408</v>
      </c>
      <c r="AM17" s="361"/>
      <c r="AO17" s="340"/>
      <c r="AP17" s="332">
        <v>13</v>
      </c>
      <c r="AQ17" s="111" t="s">
        <v>408</v>
      </c>
      <c r="AR17" s="361"/>
      <c r="AT17" s="340"/>
      <c r="AU17" s="332">
        <v>13</v>
      </c>
      <c r="AV17" s="111" t="s">
        <v>408</v>
      </c>
      <c r="AW17" s="361"/>
      <c r="AY17" s="340"/>
      <c r="AZ17" s="332">
        <v>13</v>
      </c>
      <c r="BA17" s="111" t="s">
        <v>408</v>
      </c>
      <c r="BB17" s="361"/>
      <c r="BD17" s="340"/>
      <c r="BE17" s="332">
        <v>13</v>
      </c>
      <c r="BF17" s="111" t="s">
        <v>408</v>
      </c>
      <c r="BG17" s="361"/>
      <c r="BI17" s="340"/>
      <c r="BJ17" s="341">
        <v>13</v>
      </c>
      <c r="BK17" s="111" t="s">
        <v>408</v>
      </c>
      <c r="BL17" s="361"/>
      <c r="BN17" s="340"/>
      <c r="BO17" s="332">
        <v>13</v>
      </c>
      <c r="BP17" s="111" t="s">
        <v>408</v>
      </c>
      <c r="BQ17" s="361"/>
      <c r="BS17" s="340"/>
      <c r="BT17" s="332">
        <v>13</v>
      </c>
      <c r="BU17" s="111" t="s">
        <v>408</v>
      </c>
      <c r="BV17" s="361"/>
      <c r="BX17" s="340"/>
      <c r="BY17" s="332">
        <v>13</v>
      </c>
      <c r="BZ17" s="111" t="s">
        <v>408</v>
      </c>
      <c r="CA17" s="361"/>
      <c r="CC17" s="340"/>
      <c r="CD17" s="332">
        <v>13</v>
      </c>
      <c r="CE17" s="111" t="s">
        <v>408</v>
      </c>
      <c r="CF17" s="361"/>
      <c r="CH17" s="340"/>
      <c r="CI17" s="332">
        <v>13</v>
      </c>
      <c r="CJ17" s="111" t="s">
        <v>408</v>
      </c>
      <c r="CK17" s="361"/>
      <c r="CM17" s="340"/>
      <c r="CN17" s="332">
        <v>13</v>
      </c>
      <c r="CO17" s="111" t="s">
        <v>408</v>
      </c>
      <c r="CP17" s="361"/>
      <c r="CR17" s="340"/>
      <c r="CS17" s="332">
        <v>13</v>
      </c>
      <c r="CT17" s="111" t="s">
        <v>408</v>
      </c>
      <c r="CU17" s="361"/>
      <c r="CW17" s="340"/>
      <c r="CX17" s="332">
        <v>13</v>
      </c>
      <c r="CY17" s="111" t="s">
        <v>408</v>
      </c>
      <c r="CZ17" s="361"/>
      <c r="DB17" s="340"/>
      <c r="DC17" s="332">
        <v>13</v>
      </c>
      <c r="DD17" s="111" t="s">
        <v>408</v>
      </c>
      <c r="DE17" s="361"/>
      <c r="DG17" s="340"/>
      <c r="DH17" s="332">
        <v>13</v>
      </c>
      <c r="DI17" s="111" t="s">
        <v>408</v>
      </c>
      <c r="DJ17" s="361"/>
      <c r="DL17" s="340"/>
      <c r="DM17" s="332">
        <v>13</v>
      </c>
      <c r="DN17" s="111" t="s">
        <v>408</v>
      </c>
      <c r="DO17" s="361"/>
      <c r="DQ17" s="340"/>
      <c r="DR17" s="332">
        <v>13</v>
      </c>
      <c r="DS17" s="111" t="s">
        <v>408</v>
      </c>
      <c r="DT17" s="361"/>
      <c r="DV17" s="340"/>
      <c r="DW17" s="332">
        <v>13</v>
      </c>
      <c r="DX17" s="111" t="s">
        <v>408</v>
      </c>
      <c r="DY17" s="361"/>
      <c r="EA17" s="340"/>
      <c r="EB17" s="332">
        <v>13</v>
      </c>
      <c r="EC17" s="111" t="s">
        <v>408</v>
      </c>
      <c r="ED17" s="361"/>
      <c r="EF17" s="340"/>
      <c r="EG17" s="332">
        <v>13</v>
      </c>
      <c r="EH17" s="111" t="s">
        <v>408</v>
      </c>
      <c r="EI17" s="361"/>
      <c r="EK17" s="340"/>
      <c r="EL17" s="332">
        <v>13</v>
      </c>
      <c r="EM17" s="111" t="s">
        <v>408</v>
      </c>
      <c r="EN17" s="361"/>
      <c r="EP17" s="340"/>
      <c r="EQ17" s="332">
        <v>13</v>
      </c>
      <c r="ER17" s="111" t="s">
        <v>408</v>
      </c>
      <c r="ES17" s="361"/>
      <c r="EU17" s="340"/>
      <c r="EV17" s="332">
        <v>13</v>
      </c>
      <c r="EW17" s="111" t="s">
        <v>408</v>
      </c>
      <c r="EX17" s="361"/>
      <c r="EZ17" s="340"/>
      <c r="FA17" s="332">
        <v>13</v>
      </c>
      <c r="FB17" s="111" t="s">
        <v>408</v>
      </c>
      <c r="FC17" s="361"/>
      <c r="FE17" s="340"/>
      <c r="FF17" s="332">
        <v>13</v>
      </c>
      <c r="FG17" s="111" t="s">
        <v>408</v>
      </c>
      <c r="FH17" s="361"/>
      <c r="FJ17" s="340"/>
      <c r="FK17" s="332">
        <v>13</v>
      </c>
      <c r="FL17" s="111" t="s">
        <v>408</v>
      </c>
      <c r="FM17" s="361"/>
      <c r="FO17" s="340"/>
      <c r="FP17" s="332">
        <v>13</v>
      </c>
      <c r="FQ17" s="111" t="s">
        <v>408</v>
      </c>
      <c r="FR17" s="361"/>
      <c r="FT17" s="340"/>
      <c r="FU17" s="332">
        <v>13</v>
      </c>
      <c r="FV17" s="111" t="s">
        <v>408</v>
      </c>
      <c r="FW17" s="361"/>
      <c r="FZ17" s="342">
        <v>13</v>
      </c>
      <c r="GA17" s="111" t="s">
        <v>408</v>
      </c>
      <c r="GB17" s="361"/>
      <c r="GD17" s="340"/>
      <c r="GE17" s="342">
        <v>13</v>
      </c>
      <c r="GF17" s="111" t="s">
        <v>408</v>
      </c>
      <c r="GG17" s="361"/>
      <c r="GI17" s="340"/>
      <c r="GJ17" s="342">
        <v>13</v>
      </c>
      <c r="GK17" s="111" t="s">
        <v>408</v>
      </c>
      <c r="GL17" s="361"/>
      <c r="GN17" s="340"/>
      <c r="GO17" s="342">
        <v>13</v>
      </c>
      <c r="GP17" s="111" t="s">
        <v>408</v>
      </c>
      <c r="GQ17" s="361"/>
      <c r="GS17" s="340"/>
      <c r="GT17" s="342">
        <v>13</v>
      </c>
      <c r="GU17" s="111" t="s">
        <v>408</v>
      </c>
      <c r="GV17" s="361"/>
      <c r="GX17" s="340"/>
    </row>
    <row r="18" spans="1:206" x14ac:dyDescent="0.2">
      <c r="A18" s="332">
        <v>14</v>
      </c>
      <c r="B18" s="111" t="s">
        <v>409</v>
      </c>
      <c r="C18" s="361">
        <v>0</v>
      </c>
      <c r="F18" s="332">
        <v>14</v>
      </c>
      <c r="G18" s="111" t="s">
        <v>409</v>
      </c>
      <c r="H18" s="361"/>
      <c r="K18" s="332">
        <v>14</v>
      </c>
      <c r="L18" s="111" t="s">
        <v>409</v>
      </c>
      <c r="M18" s="361"/>
      <c r="P18" s="339"/>
      <c r="Q18" s="332">
        <v>14</v>
      </c>
      <c r="R18" s="111" t="s">
        <v>409</v>
      </c>
      <c r="S18" s="361"/>
      <c r="V18" s="332">
        <v>14</v>
      </c>
      <c r="W18" s="111" t="s">
        <v>409</v>
      </c>
      <c r="X18" s="361"/>
      <c r="Z18" s="340"/>
      <c r="AA18" s="332">
        <v>14</v>
      </c>
      <c r="AB18" s="111" t="s">
        <v>409</v>
      </c>
      <c r="AC18" s="361"/>
      <c r="AE18" s="340"/>
      <c r="AF18" s="332">
        <v>14</v>
      </c>
      <c r="AG18" s="111" t="s">
        <v>409</v>
      </c>
      <c r="AH18" s="361"/>
      <c r="AJ18" s="340"/>
      <c r="AK18" s="332">
        <v>14</v>
      </c>
      <c r="AL18" s="111" t="s">
        <v>409</v>
      </c>
      <c r="AM18" s="361"/>
      <c r="AO18" s="340"/>
      <c r="AP18" s="332">
        <v>14</v>
      </c>
      <c r="AQ18" s="111" t="s">
        <v>409</v>
      </c>
      <c r="AR18" s="361"/>
      <c r="AT18" s="340"/>
      <c r="AU18" s="332">
        <v>14</v>
      </c>
      <c r="AV18" s="111" t="s">
        <v>409</v>
      </c>
      <c r="AW18" s="361"/>
      <c r="AY18" s="340"/>
      <c r="AZ18" s="332">
        <v>14</v>
      </c>
      <c r="BA18" s="111" t="s">
        <v>409</v>
      </c>
      <c r="BB18" s="361"/>
      <c r="BD18" s="340"/>
      <c r="BE18" s="332">
        <v>14</v>
      </c>
      <c r="BF18" s="111" t="s">
        <v>409</v>
      </c>
      <c r="BG18" s="361"/>
      <c r="BI18" s="340"/>
      <c r="BJ18" s="341">
        <v>14</v>
      </c>
      <c r="BK18" s="111" t="s">
        <v>409</v>
      </c>
      <c r="BL18" s="361"/>
      <c r="BN18" s="340"/>
      <c r="BO18" s="332">
        <v>14</v>
      </c>
      <c r="BP18" s="111" t="s">
        <v>409</v>
      </c>
      <c r="BQ18" s="361"/>
      <c r="BS18" s="340"/>
      <c r="BT18" s="332">
        <v>14</v>
      </c>
      <c r="BU18" s="111" t="s">
        <v>409</v>
      </c>
      <c r="BV18" s="361"/>
      <c r="BX18" s="340"/>
      <c r="BY18" s="332">
        <v>14</v>
      </c>
      <c r="BZ18" s="111" t="s">
        <v>409</v>
      </c>
      <c r="CA18" s="361"/>
      <c r="CC18" s="340"/>
      <c r="CD18" s="332">
        <v>14</v>
      </c>
      <c r="CE18" s="111" t="s">
        <v>409</v>
      </c>
      <c r="CF18" s="361"/>
      <c r="CH18" s="340"/>
      <c r="CI18" s="332">
        <v>14</v>
      </c>
      <c r="CJ18" s="111" t="s">
        <v>409</v>
      </c>
      <c r="CK18" s="361"/>
      <c r="CM18" s="340"/>
      <c r="CN18" s="332">
        <v>14</v>
      </c>
      <c r="CO18" s="111" t="s">
        <v>409</v>
      </c>
      <c r="CP18" s="361"/>
      <c r="CR18" s="340"/>
      <c r="CS18" s="332">
        <v>14</v>
      </c>
      <c r="CT18" s="111" t="s">
        <v>409</v>
      </c>
      <c r="CU18" s="361"/>
      <c r="CW18" s="340"/>
      <c r="CX18" s="332">
        <v>14</v>
      </c>
      <c r="CY18" s="111" t="s">
        <v>409</v>
      </c>
      <c r="CZ18" s="361"/>
      <c r="DB18" s="340"/>
      <c r="DC18" s="332">
        <v>14</v>
      </c>
      <c r="DD18" s="111" t="s">
        <v>409</v>
      </c>
      <c r="DE18" s="361"/>
      <c r="DG18" s="340"/>
      <c r="DH18" s="332">
        <v>14</v>
      </c>
      <c r="DI18" s="111" t="s">
        <v>409</v>
      </c>
      <c r="DJ18" s="361"/>
      <c r="DL18" s="340"/>
      <c r="DM18" s="332">
        <v>14</v>
      </c>
      <c r="DN18" s="111" t="s">
        <v>409</v>
      </c>
      <c r="DO18" s="361"/>
      <c r="DQ18" s="340"/>
      <c r="DR18" s="332">
        <v>14</v>
      </c>
      <c r="DS18" s="111" t="s">
        <v>409</v>
      </c>
      <c r="DT18" s="361"/>
      <c r="DV18" s="340"/>
      <c r="DW18" s="332">
        <v>14</v>
      </c>
      <c r="DX18" s="111" t="s">
        <v>409</v>
      </c>
      <c r="DY18" s="361"/>
      <c r="EA18" s="340"/>
      <c r="EB18" s="332">
        <v>14</v>
      </c>
      <c r="EC18" s="111" t="s">
        <v>409</v>
      </c>
      <c r="ED18" s="361"/>
      <c r="EF18" s="340"/>
      <c r="EG18" s="332">
        <v>14</v>
      </c>
      <c r="EH18" s="111" t="s">
        <v>409</v>
      </c>
      <c r="EI18" s="361"/>
      <c r="EK18" s="340"/>
      <c r="EL18" s="332">
        <v>14</v>
      </c>
      <c r="EM18" s="111" t="s">
        <v>409</v>
      </c>
      <c r="EN18" s="361"/>
      <c r="EP18" s="340"/>
      <c r="EQ18" s="332">
        <v>14</v>
      </c>
      <c r="ER18" s="111" t="s">
        <v>409</v>
      </c>
      <c r="ES18" s="361"/>
      <c r="EU18" s="340"/>
      <c r="EV18" s="332">
        <v>14</v>
      </c>
      <c r="EW18" s="111" t="s">
        <v>409</v>
      </c>
      <c r="EX18" s="361"/>
      <c r="EZ18" s="340"/>
      <c r="FA18" s="332">
        <v>14</v>
      </c>
      <c r="FB18" s="111" t="s">
        <v>409</v>
      </c>
      <c r="FC18" s="361"/>
      <c r="FE18" s="340"/>
      <c r="FF18" s="332">
        <v>14</v>
      </c>
      <c r="FG18" s="111" t="s">
        <v>409</v>
      </c>
      <c r="FH18" s="361"/>
      <c r="FJ18" s="340"/>
      <c r="FK18" s="332">
        <v>14</v>
      </c>
      <c r="FL18" s="111" t="s">
        <v>409</v>
      </c>
      <c r="FM18" s="361"/>
      <c r="FO18" s="340"/>
      <c r="FP18" s="332">
        <v>14</v>
      </c>
      <c r="FQ18" s="111" t="s">
        <v>409</v>
      </c>
      <c r="FR18" s="361"/>
      <c r="FT18" s="340"/>
      <c r="FU18" s="332">
        <v>14</v>
      </c>
      <c r="FV18" s="111" t="s">
        <v>409</v>
      </c>
      <c r="FW18" s="361"/>
      <c r="FZ18" s="342">
        <v>14</v>
      </c>
      <c r="GA18" s="111" t="s">
        <v>409</v>
      </c>
      <c r="GB18" s="361"/>
      <c r="GD18" s="340"/>
      <c r="GE18" s="342">
        <v>14</v>
      </c>
      <c r="GF18" s="111" t="s">
        <v>409</v>
      </c>
      <c r="GG18" s="361"/>
      <c r="GI18" s="340"/>
      <c r="GJ18" s="342">
        <v>14</v>
      </c>
      <c r="GK18" s="111" t="s">
        <v>409</v>
      </c>
      <c r="GL18" s="361"/>
      <c r="GN18" s="340"/>
      <c r="GO18" s="342">
        <v>14</v>
      </c>
      <c r="GP18" s="111" t="s">
        <v>409</v>
      </c>
      <c r="GQ18" s="361"/>
      <c r="GS18" s="340"/>
      <c r="GT18" s="342">
        <v>14</v>
      </c>
      <c r="GU18" s="111" t="s">
        <v>409</v>
      </c>
      <c r="GV18" s="361"/>
      <c r="GX18" s="340"/>
    </row>
    <row r="19" spans="1:206" x14ac:dyDescent="0.2">
      <c r="A19" s="332">
        <v>15</v>
      </c>
      <c r="B19" s="111" t="s">
        <v>410</v>
      </c>
      <c r="C19" s="344">
        <v>0.14000000000000001</v>
      </c>
      <c r="D19" s="332" t="s">
        <v>412</v>
      </c>
      <c r="F19" s="332">
        <v>15</v>
      </c>
      <c r="G19" s="111" t="s">
        <v>410</v>
      </c>
      <c r="H19" s="401">
        <v>0.14000000000000001</v>
      </c>
      <c r="I19" s="332" t="s">
        <v>412</v>
      </c>
      <c r="K19" s="332">
        <v>15</v>
      </c>
      <c r="L19" s="111" t="s">
        <v>410</v>
      </c>
      <c r="M19" s="401">
        <v>0.14000000000000001</v>
      </c>
      <c r="N19" s="332" t="s">
        <v>412</v>
      </c>
      <c r="P19" s="339"/>
      <c r="Q19" s="332">
        <v>15</v>
      </c>
      <c r="R19" s="111" t="s">
        <v>410</v>
      </c>
      <c r="S19" s="344">
        <v>0.14000000000000001</v>
      </c>
      <c r="T19" s="332" t="s">
        <v>412</v>
      </c>
      <c r="V19" s="332">
        <v>15</v>
      </c>
      <c r="W19" s="111" t="s">
        <v>410</v>
      </c>
      <c r="X19" s="344">
        <v>0.14000000000000001</v>
      </c>
      <c r="Y19" s="332" t="s">
        <v>412</v>
      </c>
      <c r="Z19" s="340"/>
      <c r="AA19" s="332">
        <v>15</v>
      </c>
      <c r="AB19" s="111" t="s">
        <v>410</v>
      </c>
      <c r="AC19" s="344">
        <v>0.14000000000000001</v>
      </c>
      <c r="AD19" s="402" t="s">
        <v>412</v>
      </c>
      <c r="AE19" s="340"/>
      <c r="AF19" s="332">
        <v>15</v>
      </c>
      <c r="AG19" s="111" t="s">
        <v>410</v>
      </c>
      <c r="AH19" s="344">
        <v>0.15</v>
      </c>
      <c r="AI19" s="402" t="s">
        <v>412</v>
      </c>
      <c r="AJ19" s="340"/>
      <c r="AK19" s="332">
        <v>15</v>
      </c>
      <c r="AL19" s="111" t="s">
        <v>410</v>
      </c>
      <c r="AM19" s="403">
        <v>0.15</v>
      </c>
      <c r="AN19" s="402" t="s">
        <v>412</v>
      </c>
      <c r="AO19" s="340"/>
      <c r="AP19" s="332">
        <v>15</v>
      </c>
      <c r="AQ19" s="111" t="s">
        <v>410</v>
      </c>
      <c r="AR19" s="403">
        <v>0.15</v>
      </c>
      <c r="AS19" s="402" t="s">
        <v>412</v>
      </c>
      <c r="AT19" s="340"/>
      <c r="AU19" s="332">
        <v>15</v>
      </c>
      <c r="AV19" s="111" t="s">
        <v>410</v>
      </c>
      <c r="AW19" s="403">
        <v>0.15</v>
      </c>
      <c r="AX19" s="402" t="s">
        <v>412</v>
      </c>
      <c r="AY19" s="340"/>
      <c r="AZ19" s="332">
        <v>15</v>
      </c>
      <c r="BA19" s="111" t="s">
        <v>410</v>
      </c>
      <c r="BB19" s="403">
        <v>0.15</v>
      </c>
      <c r="BC19" s="402" t="s">
        <v>412</v>
      </c>
      <c r="BD19" s="340"/>
      <c r="BE19" s="332">
        <v>15</v>
      </c>
      <c r="BF19" s="111" t="s">
        <v>410</v>
      </c>
      <c r="BG19" s="403">
        <v>0.15</v>
      </c>
      <c r="BH19" s="402" t="s">
        <v>412</v>
      </c>
      <c r="BI19" s="340"/>
      <c r="BJ19" s="341">
        <v>15</v>
      </c>
      <c r="BK19" s="111" t="s">
        <v>410</v>
      </c>
      <c r="BL19" s="404">
        <v>0.15</v>
      </c>
      <c r="BM19" s="402" t="s">
        <v>412</v>
      </c>
      <c r="BN19" s="340"/>
      <c r="BO19" s="332">
        <v>15</v>
      </c>
      <c r="BP19" s="111" t="s">
        <v>410</v>
      </c>
      <c r="BQ19" s="404">
        <v>0.15</v>
      </c>
      <c r="BR19" s="402" t="s">
        <v>412</v>
      </c>
      <c r="BS19" s="340"/>
      <c r="BT19" s="332">
        <v>15</v>
      </c>
      <c r="BU19" s="111" t="s">
        <v>410</v>
      </c>
      <c r="BV19" s="404">
        <v>0.15</v>
      </c>
      <c r="BW19" s="402" t="s">
        <v>412</v>
      </c>
      <c r="BX19" s="340"/>
      <c r="BY19" s="332">
        <v>15</v>
      </c>
      <c r="BZ19" s="111" t="s">
        <v>410</v>
      </c>
      <c r="CA19" s="404">
        <v>0.15</v>
      </c>
      <c r="CB19" s="402" t="s">
        <v>412</v>
      </c>
      <c r="CC19" s="340"/>
      <c r="CD19" s="332">
        <v>15</v>
      </c>
      <c r="CE19" s="111" t="s">
        <v>410</v>
      </c>
      <c r="CF19" s="404">
        <v>0.15</v>
      </c>
      <c r="CG19" s="402" t="s">
        <v>412</v>
      </c>
      <c r="CH19" s="340"/>
      <c r="CI19" s="332">
        <v>15</v>
      </c>
      <c r="CJ19" s="111" t="s">
        <v>410</v>
      </c>
      <c r="CK19" s="405">
        <v>0.14000000000000001</v>
      </c>
      <c r="CL19" s="402" t="s">
        <v>412</v>
      </c>
      <c r="CM19" s="340"/>
      <c r="CN19" s="332">
        <v>15</v>
      </c>
      <c r="CO19" s="111" t="s">
        <v>410</v>
      </c>
      <c r="CP19" s="404">
        <v>0.14000000000000001</v>
      </c>
      <c r="CQ19" s="402" t="s">
        <v>412</v>
      </c>
      <c r="CR19" s="340"/>
      <c r="CS19" s="332">
        <v>15</v>
      </c>
      <c r="CT19" s="111" t="s">
        <v>410</v>
      </c>
      <c r="CU19" s="404">
        <v>0.14000000000000001</v>
      </c>
      <c r="CV19" s="402" t="s">
        <v>412</v>
      </c>
      <c r="CW19" s="340"/>
      <c r="CX19" s="332">
        <v>15</v>
      </c>
      <c r="CY19" s="111" t="s">
        <v>410</v>
      </c>
      <c r="CZ19" s="404">
        <v>0.14000000000000001</v>
      </c>
      <c r="DA19" s="402" t="s">
        <v>412</v>
      </c>
      <c r="DB19" s="340"/>
      <c r="DC19" s="332">
        <v>15</v>
      </c>
      <c r="DD19" s="111" t="s">
        <v>410</v>
      </c>
      <c r="DE19" s="404">
        <v>0.14000000000000001</v>
      </c>
      <c r="DF19" s="402" t="s">
        <v>412</v>
      </c>
      <c r="DG19" s="340"/>
      <c r="DH19" s="332">
        <v>15</v>
      </c>
      <c r="DI19" s="111" t="s">
        <v>410</v>
      </c>
      <c r="DJ19" s="404">
        <v>0.14000000000000001</v>
      </c>
      <c r="DK19" s="402" t="s">
        <v>412</v>
      </c>
      <c r="DL19" s="340"/>
      <c r="DM19" s="332">
        <v>15</v>
      </c>
      <c r="DN19" s="111" t="s">
        <v>410</v>
      </c>
      <c r="DO19" s="404">
        <v>0.14000000000000001</v>
      </c>
      <c r="DP19" s="402" t="s">
        <v>412</v>
      </c>
      <c r="DQ19" s="340"/>
      <c r="DR19" s="332">
        <v>15</v>
      </c>
      <c r="DS19" s="111" t="s">
        <v>410</v>
      </c>
      <c r="DT19" s="404">
        <v>0.14000000000000001</v>
      </c>
      <c r="DU19" s="402" t="s">
        <v>412</v>
      </c>
      <c r="DV19" s="340"/>
      <c r="DW19" s="332">
        <v>15</v>
      </c>
      <c r="DX19" s="111" t="s">
        <v>410</v>
      </c>
      <c r="DY19" s="404">
        <v>0.14000000000000001</v>
      </c>
      <c r="DZ19" s="402" t="s">
        <v>412</v>
      </c>
      <c r="EA19" s="340"/>
      <c r="EB19" s="332">
        <v>15</v>
      </c>
      <c r="EC19" s="111" t="s">
        <v>410</v>
      </c>
      <c r="ED19" s="404">
        <v>0.14000000000000001</v>
      </c>
      <c r="EE19" s="402" t="s">
        <v>412</v>
      </c>
      <c r="EF19" s="340"/>
      <c r="EG19" s="332">
        <v>15</v>
      </c>
      <c r="EH19" s="111" t="s">
        <v>410</v>
      </c>
      <c r="EI19" s="404">
        <v>0.15</v>
      </c>
      <c r="EJ19" s="402" t="s">
        <v>412</v>
      </c>
      <c r="EK19" s="340"/>
      <c r="EL19" s="332">
        <v>15</v>
      </c>
      <c r="EM19" s="111" t="s">
        <v>410</v>
      </c>
      <c r="EN19" s="404">
        <f>0.15+0.01</f>
        <v>0.16</v>
      </c>
      <c r="EO19" s="402" t="s">
        <v>412</v>
      </c>
      <c r="EP19" s="340"/>
      <c r="EQ19" s="332">
        <v>15</v>
      </c>
      <c r="ER19" s="111" t="s">
        <v>410</v>
      </c>
      <c r="ES19" s="404">
        <v>0.15</v>
      </c>
      <c r="ET19" s="402" t="s">
        <v>412</v>
      </c>
      <c r="EU19" s="340"/>
      <c r="EV19" s="332">
        <v>15</v>
      </c>
      <c r="EW19" s="111" t="s">
        <v>410</v>
      </c>
      <c r="EX19" s="404">
        <v>0.15</v>
      </c>
      <c r="EY19" s="402" t="s">
        <v>412</v>
      </c>
      <c r="EZ19" s="340"/>
      <c r="FA19" s="332">
        <v>15</v>
      </c>
      <c r="FB19" s="111" t="s">
        <v>410</v>
      </c>
      <c r="FC19" s="404">
        <v>0.15</v>
      </c>
      <c r="FD19" s="402" t="s">
        <v>412</v>
      </c>
      <c r="FE19" s="340"/>
      <c r="FF19" s="332">
        <v>15</v>
      </c>
      <c r="FG19" s="111" t="s">
        <v>410</v>
      </c>
      <c r="FH19" s="404">
        <v>0.15</v>
      </c>
      <c r="FI19" s="402" t="s">
        <v>412</v>
      </c>
      <c r="FJ19" s="340"/>
      <c r="FK19" s="332">
        <v>15</v>
      </c>
      <c r="FL19" s="111" t="s">
        <v>410</v>
      </c>
      <c r="FM19" s="404">
        <v>0.15</v>
      </c>
      <c r="FN19" s="402" t="s">
        <v>412</v>
      </c>
      <c r="FO19" s="340"/>
      <c r="FP19" s="332">
        <v>15</v>
      </c>
      <c r="FQ19" s="111" t="s">
        <v>410</v>
      </c>
      <c r="FR19" s="404">
        <v>0.15</v>
      </c>
      <c r="FS19" s="402" t="s">
        <v>412</v>
      </c>
      <c r="FT19" s="340"/>
      <c r="FU19" s="332">
        <v>15</v>
      </c>
      <c r="FV19" s="111" t="s">
        <v>410</v>
      </c>
      <c r="FW19" s="404">
        <v>0.15</v>
      </c>
      <c r="FX19" s="402" t="s">
        <v>412</v>
      </c>
      <c r="FZ19" s="342">
        <v>15</v>
      </c>
      <c r="GA19" s="111" t="s">
        <v>410</v>
      </c>
      <c r="GB19" s="404">
        <v>0.15</v>
      </c>
      <c r="GC19" s="402" t="s">
        <v>412</v>
      </c>
      <c r="GD19" s="340"/>
      <c r="GE19" s="342">
        <v>15</v>
      </c>
      <c r="GF19" s="111" t="s">
        <v>410</v>
      </c>
      <c r="GG19" s="404">
        <v>0.15</v>
      </c>
      <c r="GH19" s="402" t="s">
        <v>412</v>
      </c>
      <c r="GI19" s="340"/>
      <c r="GJ19" s="342">
        <v>15</v>
      </c>
      <c r="GK19" s="111" t="s">
        <v>410</v>
      </c>
      <c r="GL19" s="404">
        <v>0.15</v>
      </c>
      <c r="GM19" s="402" t="s">
        <v>412</v>
      </c>
      <c r="GN19" s="340"/>
      <c r="GO19" s="342">
        <v>15</v>
      </c>
      <c r="GP19" s="111" t="s">
        <v>410</v>
      </c>
      <c r="GQ19" s="404">
        <v>0.15</v>
      </c>
      <c r="GR19" s="402" t="s">
        <v>412</v>
      </c>
      <c r="GS19" s="340"/>
      <c r="GT19" s="342">
        <v>15</v>
      </c>
      <c r="GU19" s="111" t="s">
        <v>410</v>
      </c>
      <c r="GV19" s="404">
        <v>0.15</v>
      </c>
      <c r="GW19" s="402" t="s">
        <v>412</v>
      </c>
      <c r="GX19" s="340"/>
    </row>
    <row r="20" spans="1:206" ht="10.8" thickBot="1" x14ac:dyDescent="0.25">
      <c r="A20" s="332"/>
      <c r="B20" s="406"/>
      <c r="C20" s="406"/>
      <c r="D20" s="406"/>
      <c r="E20" s="406"/>
      <c r="F20" s="332"/>
      <c r="G20" s="406"/>
      <c r="H20" s="406"/>
      <c r="I20" s="406"/>
      <c r="J20" s="406"/>
      <c r="K20" s="332"/>
      <c r="L20" s="406"/>
      <c r="M20" s="406"/>
      <c r="N20" s="406"/>
      <c r="O20" s="406"/>
      <c r="P20" s="384"/>
      <c r="Q20" s="332"/>
      <c r="R20" s="406"/>
      <c r="S20" s="406"/>
      <c r="T20" s="406"/>
      <c r="U20" s="406"/>
      <c r="V20" s="332"/>
      <c r="W20" s="407"/>
      <c r="X20" s="407"/>
      <c r="Y20" s="407"/>
      <c r="Z20" s="408"/>
      <c r="AA20" s="332"/>
      <c r="AB20" s="407"/>
      <c r="AC20" s="407"/>
      <c r="AD20" s="407"/>
      <c r="AE20" s="408"/>
      <c r="AF20" s="332"/>
      <c r="AG20" s="407"/>
      <c r="AH20" s="407"/>
      <c r="AI20" s="407"/>
      <c r="AJ20" s="408"/>
      <c r="AK20" s="332"/>
      <c r="AL20" s="407"/>
      <c r="AM20" s="407"/>
      <c r="AN20" s="407"/>
      <c r="AO20" s="408"/>
      <c r="AP20" s="332"/>
      <c r="AQ20" s="407"/>
      <c r="AR20" s="407"/>
      <c r="AS20" s="407"/>
      <c r="AT20" s="408"/>
      <c r="AU20" s="332"/>
      <c r="AV20" s="407"/>
      <c r="AW20" s="407"/>
      <c r="AX20" s="407"/>
      <c r="AY20" s="408"/>
      <c r="AZ20" s="332"/>
      <c r="BA20" s="407"/>
      <c r="BB20" s="407"/>
      <c r="BC20" s="407"/>
      <c r="BD20" s="408"/>
      <c r="BE20" s="332"/>
      <c r="BF20" s="407"/>
      <c r="BG20" s="407"/>
      <c r="BH20" s="407"/>
      <c r="BI20" s="408"/>
      <c r="BJ20" s="409"/>
      <c r="BK20" s="407"/>
      <c r="BL20" s="407"/>
      <c r="BM20" s="407"/>
      <c r="BN20" s="408"/>
      <c r="BO20" s="332"/>
      <c r="BP20" s="407"/>
      <c r="BQ20" s="407"/>
      <c r="BR20" s="407"/>
      <c r="BS20" s="408"/>
      <c r="BT20" s="332"/>
      <c r="BU20" s="407"/>
      <c r="BV20" s="407"/>
      <c r="BW20" s="407"/>
      <c r="BX20" s="408"/>
      <c r="BY20" s="332"/>
      <c r="BZ20" s="407"/>
      <c r="CA20" s="407"/>
      <c r="CB20" s="407"/>
      <c r="CC20" s="408"/>
      <c r="CD20" s="332"/>
      <c r="CE20" s="407"/>
      <c r="CF20" s="407"/>
      <c r="CG20" s="407"/>
      <c r="CH20" s="408"/>
      <c r="CI20" s="332"/>
      <c r="CJ20" s="407"/>
      <c r="CK20" s="407"/>
      <c r="CL20" s="407"/>
      <c r="CM20" s="408"/>
      <c r="CN20" s="332"/>
      <c r="CO20" s="407"/>
      <c r="CP20" s="407"/>
      <c r="CQ20" s="407"/>
      <c r="CR20" s="408"/>
      <c r="CS20" s="332"/>
      <c r="CT20" s="407"/>
      <c r="CU20" s="407"/>
      <c r="CV20" s="407"/>
      <c r="CW20" s="408"/>
      <c r="CX20" s="332"/>
      <c r="CY20" s="407"/>
      <c r="CZ20" s="407"/>
      <c r="DA20" s="407"/>
      <c r="DB20" s="408"/>
      <c r="DC20" s="332"/>
      <c r="DD20" s="407"/>
      <c r="DE20" s="407"/>
      <c r="DF20" s="407"/>
      <c r="DG20" s="408"/>
      <c r="DH20" s="332"/>
      <c r="DI20" s="407"/>
      <c r="DJ20" s="407"/>
      <c r="DK20" s="407"/>
      <c r="DL20" s="408"/>
      <c r="DM20" s="332"/>
      <c r="DN20" s="407"/>
      <c r="DO20" s="407"/>
      <c r="DP20" s="407"/>
      <c r="DQ20" s="408"/>
      <c r="DR20" s="332"/>
      <c r="DS20" s="407"/>
      <c r="DT20" s="407"/>
      <c r="DU20" s="407"/>
      <c r="DV20" s="408"/>
      <c r="DW20" s="332"/>
      <c r="DX20" s="407"/>
      <c r="DY20" s="407"/>
      <c r="DZ20" s="407"/>
      <c r="EA20" s="408"/>
      <c r="EB20" s="332"/>
      <c r="EC20" s="407"/>
      <c r="ED20" s="407"/>
      <c r="EE20" s="407"/>
      <c r="EF20" s="408"/>
      <c r="EG20" s="332"/>
      <c r="EH20" s="407"/>
      <c r="EI20" s="407"/>
      <c r="EJ20" s="407"/>
      <c r="EK20" s="408"/>
      <c r="EL20" s="332"/>
      <c r="EM20" s="407"/>
      <c r="EN20" s="407"/>
      <c r="EO20" s="407"/>
      <c r="EP20" s="408"/>
      <c r="EQ20" s="332"/>
      <c r="ER20" s="407"/>
      <c r="ES20" s="407"/>
      <c r="ET20" s="407"/>
      <c r="EU20" s="408"/>
      <c r="EV20" s="332"/>
      <c r="EW20" s="407"/>
      <c r="EX20" s="407"/>
      <c r="EY20" s="407"/>
      <c r="EZ20" s="408"/>
      <c r="FA20" s="332"/>
      <c r="FB20" s="407"/>
      <c r="FC20" s="407"/>
      <c r="FD20" s="407"/>
      <c r="FE20" s="408"/>
      <c r="FF20" s="332"/>
      <c r="FG20" s="407"/>
      <c r="FH20" s="407"/>
      <c r="FI20" s="407"/>
      <c r="FJ20" s="408"/>
      <c r="FK20" s="332"/>
      <c r="FL20" s="407"/>
      <c r="FM20" s="407"/>
      <c r="FN20" s="407"/>
      <c r="FO20" s="408"/>
      <c r="FP20" s="332"/>
      <c r="FQ20" s="407"/>
      <c r="FR20" s="407"/>
      <c r="FS20" s="407"/>
      <c r="FT20" s="408"/>
      <c r="FU20" s="332"/>
      <c r="FV20" s="407"/>
      <c r="FW20" s="407"/>
      <c r="FX20" s="407"/>
      <c r="FY20" s="407"/>
      <c r="FZ20" s="410"/>
      <c r="GA20" s="407"/>
      <c r="GB20" s="407"/>
      <c r="GC20" s="407"/>
      <c r="GD20" s="408"/>
      <c r="GE20" s="410"/>
      <c r="GF20" s="407"/>
      <c r="GG20" s="407"/>
      <c r="GH20" s="407"/>
      <c r="GI20" s="408"/>
      <c r="GJ20" s="410"/>
      <c r="GK20" s="407"/>
      <c r="GL20" s="407"/>
      <c r="GM20" s="407"/>
      <c r="GN20" s="408"/>
      <c r="GO20" s="410"/>
      <c r="GP20" s="407"/>
      <c r="GQ20" s="407"/>
      <c r="GR20" s="407"/>
      <c r="GS20" s="408"/>
      <c r="GT20" s="410"/>
      <c r="GU20" s="407"/>
      <c r="GV20" s="407"/>
      <c r="GW20" s="407"/>
      <c r="GX20" s="408"/>
    </row>
    <row r="21" spans="1:206" x14ac:dyDescent="0.2">
      <c r="F21" s="129"/>
      <c r="K21" s="129"/>
      <c r="Q21" s="129"/>
      <c r="V21" s="336"/>
      <c r="W21" s="331"/>
      <c r="X21" s="331"/>
      <c r="Y21" s="331"/>
      <c r="Z21" s="335"/>
      <c r="AA21" s="336"/>
      <c r="AB21" s="331"/>
      <c r="AC21" s="331"/>
      <c r="AD21" s="331"/>
      <c r="AE21" s="335"/>
      <c r="AF21" s="336"/>
      <c r="AG21" s="331"/>
      <c r="AH21" s="331"/>
      <c r="AI21" s="331"/>
      <c r="AJ21" s="335"/>
      <c r="AK21" s="336"/>
      <c r="AL21" s="331"/>
      <c r="AM21" s="331"/>
      <c r="AN21" s="331"/>
      <c r="AO21" s="335"/>
      <c r="AP21" s="336"/>
      <c r="AQ21" s="331"/>
      <c r="AR21" s="331"/>
      <c r="AS21" s="331"/>
      <c r="AT21" s="335"/>
      <c r="AU21" s="336"/>
      <c r="AV21" s="331"/>
      <c r="AW21" s="331"/>
      <c r="AX21" s="331"/>
      <c r="AY21" s="335"/>
      <c r="AZ21" s="336"/>
      <c r="BA21" s="331"/>
      <c r="BB21" s="331"/>
      <c r="BC21" s="331"/>
      <c r="BD21" s="335"/>
      <c r="BE21" s="336"/>
      <c r="BF21" s="331"/>
      <c r="BG21" s="331"/>
      <c r="BH21" s="331"/>
      <c r="BI21" s="335"/>
      <c r="BJ21" s="336"/>
      <c r="BK21" s="331"/>
      <c r="BL21" s="331"/>
      <c r="BM21" s="331"/>
      <c r="BN21" s="335"/>
      <c r="BO21" s="336"/>
      <c r="BP21" s="331"/>
      <c r="BQ21" s="331"/>
      <c r="BR21" s="331"/>
      <c r="BS21" s="335"/>
      <c r="BT21" s="336"/>
      <c r="BU21" s="331"/>
      <c r="BV21" s="331"/>
      <c r="BW21" s="331"/>
      <c r="BX21" s="335"/>
      <c r="BY21" s="336"/>
      <c r="BZ21" s="331"/>
      <c r="CA21" s="331"/>
      <c r="CB21" s="331"/>
      <c r="CC21" s="335"/>
      <c r="CD21" s="336"/>
      <c r="CE21" s="331"/>
      <c r="CF21" s="331"/>
      <c r="CG21" s="331"/>
      <c r="CH21" s="335"/>
      <c r="CI21" s="336"/>
      <c r="CJ21" s="331"/>
      <c r="CK21" s="331"/>
      <c r="CL21" s="331"/>
      <c r="CM21" s="335"/>
      <c r="CN21" s="336"/>
      <c r="CO21" s="331"/>
      <c r="CP21" s="331"/>
      <c r="CQ21" s="331"/>
      <c r="CR21" s="335"/>
      <c r="CS21" s="336"/>
      <c r="CT21" s="331"/>
      <c r="CU21" s="331"/>
      <c r="CV21" s="331"/>
      <c r="CW21" s="335"/>
      <c r="CX21" s="336"/>
      <c r="CY21" s="331"/>
      <c r="CZ21" s="331"/>
      <c r="DA21" s="331"/>
      <c r="DB21" s="335"/>
      <c r="DC21" s="336"/>
      <c r="DD21" s="331"/>
      <c r="DE21" s="331"/>
      <c r="DF21" s="331"/>
      <c r="DG21" s="335"/>
      <c r="DH21" s="336"/>
      <c r="DI21" s="331"/>
      <c r="DJ21" s="331"/>
      <c r="DK21" s="331"/>
      <c r="DL21" s="335"/>
      <c r="DM21" s="336"/>
      <c r="DN21" s="331"/>
      <c r="DO21" s="331"/>
      <c r="DP21" s="331"/>
      <c r="DQ21" s="335"/>
      <c r="DR21" s="336"/>
      <c r="DS21" s="331"/>
      <c r="DT21" s="331"/>
      <c r="DU21" s="331"/>
      <c r="DV21" s="335"/>
      <c r="DW21" s="336"/>
      <c r="DX21" s="331"/>
      <c r="DY21" s="331"/>
      <c r="DZ21" s="331"/>
      <c r="EA21" s="335"/>
      <c r="EB21" s="336"/>
      <c r="EC21" s="331"/>
      <c r="ED21" s="331"/>
      <c r="EE21" s="331"/>
      <c r="EF21" s="335"/>
      <c r="EG21" s="336"/>
      <c r="EH21" s="331"/>
      <c r="EI21" s="331"/>
      <c r="EJ21" s="331"/>
      <c r="EK21" s="335"/>
      <c r="EL21" s="336"/>
      <c r="EM21" s="331"/>
      <c r="EN21" s="331"/>
      <c r="EO21" s="331"/>
      <c r="EP21" s="335"/>
      <c r="EQ21" s="336"/>
      <c r="ER21" s="331"/>
      <c r="ES21" s="331"/>
      <c r="ET21" s="331"/>
      <c r="EU21" s="335"/>
      <c r="EV21" s="336"/>
      <c r="EW21" s="331"/>
      <c r="EX21" s="331"/>
      <c r="EY21" s="331"/>
      <c r="EZ21" s="335"/>
      <c r="FA21" s="336"/>
      <c r="FB21" s="331"/>
      <c r="FC21" s="331"/>
      <c r="FD21" s="331"/>
      <c r="FE21" s="335"/>
      <c r="FF21" s="336"/>
      <c r="FG21" s="331"/>
      <c r="FH21" s="331"/>
      <c r="FI21" s="331"/>
      <c r="FJ21" s="335"/>
      <c r="FK21" s="336"/>
      <c r="FL21" s="331"/>
      <c r="FM21" s="331"/>
      <c r="FN21" s="331"/>
      <c r="FO21" s="335"/>
      <c r="FP21" s="336"/>
      <c r="FQ21" s="331"/>
      <c r="FR21" s="331"/>
      <c r="FS21" s="331"/>
      <c r="FT21" s="335"/>
      <c r="FU21" s="336"/>
      <c r="FV21" s="331"/>
      <c r="FW21" s="331"/>
      <c r="FX21" s="331"/>
      <c r="FY21" s="335"/>
      <c r="FZ21" s="341"/>
      <c r="GD21" s="340"/>
      <c r="GE21" s="341"/>
      <c r="GI21" s="340"/>
      <c r="GJ21" s="341"/>
      <c r="GN21" s="340"/>
      <c r="GO21" s="341"/>
      <c r="GS21" s="340"/>
      <c r="GT21" s="341"/>
      <c r="GX21" s="340"/>
    </row>
    <row r="22" spans="1:206" x14ac:dyDescent="0.2">
      <c r="C22" s="375">
        <f>SUM(C5:C19)</f>
        <v>42.160000000000004</v>
      </c>
      <c r="D22" s="129" t="s">
        <v>411</v>
      </c>
      <c r="E22" s="375">
        <f>SUM(E5:E19)</f>
        <v>57.830000000000005</v>
      </c>
      <c r="F22" s="129"/>
      <c r="H22" s="411">
        <f>SUM(H5:H19)</f>
        <v>42.1</v>
      </c>
      <c r="I22" s="129" t="s">
        <v>411</v>
      </c>
      <c r="J22" s="375">
        <f>SUM(J5:J19)</f>
        <v>57.89</v>
      </c>
      <c r="K22" s="129"/>
      <c r="M22" s="412">
        <f>SUM(M5:M19)</f>
        <v>42.03</v>
      </c>
      <c r="N22" s="129" t="s">
        <v>411</v>
      </c>
      <c r="O22" s="413">
        <f>SUM(O5:O19)</f>
        <v>57.949999999999996</v>
      </c>
      <c r="P22" s="375">
        <f>SUM(M22:O22)</f>
        <v>99.97999999999999</v>
      </c>
      <c r="Q22" s="129"/>
      <c r="S22" s="412">
        <f>SUM(S5:S19)</f>
        <v>42.03</v>
      </c>
      <c r="T22" s="129" t="s">
        <v>411</v>
      </c>
      <c r="U22" s="414">
        <f>SUM(U5:U19)</f>
        <v>57.949999999999996</v>
      </c>
      <c r="V22" s="341"/>
      <c r="X22" s="412">
        <f>SUM(X5:X19)</f>
        <v>40.950000000000003</v>
      </c>
      <c r="Y22" s="129" t="s">
        <v>411</v>
      </c>
      <c r="Z22" s="415">
        <f>SUM(Z5:Z19)</f>
        <v>59.040000000000006</v>
      </c>
      <c r="AA22" s="341"/>
      <c r="AC22" s="412">
        <f>SUM(AC5:AC19)</f>
        <v>40.96</v>
      </c>
      <c r="AD22" s="129" t="s">
        <v>411</v>
      </c>
      <c r="AE22" s="415">
        <f>SUM(AE5:AE19)</f>
        <v>59.040000000000006</v>
      </c>
      <c r="AF22" s="341"/>
      <c r="AH22" s="412">
        <f>SUM(AH5:AH19)</f>
        <v>41.213999999999999</v>
      </c>
      <c r="AI22" s="129" t="s">
        <v>411</v>
      </c>
      <c r="AJ22" s="415">
        <f>SUM(AJ5:AJ19)</f>
        <v>58.650000000000006</v>
      </c>
      <c r="AK22" s="341"/>
      <c r="AM22" s="416">
        <f>SUM(AM5:AM19)</f>
        <v>41.05</v>
      </c>
      <c r="AN22" s="129" t="s">
        <v>411</v>
      </c>
      <c r="AO22" s="415">
        <f>SUM(AO5:AO19)</f>
        <v>58.940000000000005</v>
      </c>
      <c r="AP22" s="341"/>
      <c r="AR22" s="416">
        <f>SUM(AR5:AR19)</f>
        <v>41.21</v>
      </c>
      <c r="AS22" s="129" t="s">
        <v>411</v>
      </c>
      <c r="AT22" s="415">
        <f>SUM(AT5:AT19)</f>
        <v>58.78</v>
      </c>
      <c r="AU22" s="341"/>
      <c r="AW22" s="416">
        <f>SUM(AW5:AW19)</f>
        <v>41.089999999999996</v>
      </c>
      <c r="AX22" s="129" t="s">
        <v>411</v>
      </c>
      <c r="AY22" s="415">
        <f>SUM(AY5:AY19)</f>
        <v>58.900000000000006</v>
      </c>
      <c r="AZ22" s="341"/>
      <c r="BB22" s="416">
        <f>SUM(BB5:BB19)</f>
        <v>41.03</v>
      </c>
      <c r="BC22" s="129" t="s">
        <v>411</v>
      </c>
      <c r="BD22" s="415">
        <f>SUM(BD5:BD19)</f>
        <v>58.960000000000008</v>
      </c>
      <c r="BE22" s="341"/>
      <c r="BG22" s="416">
        <f>SUM(BG5:BG19)</f>
        <v>41.12</v>
      </c>
      <c r="BH22" s="129" t="s">
        <v>411</v>
      </c>
      <c r="BI22" s="415">
        <f>SUM(BI5:BI19)</f>
        <v>58.879999999999995</v>
      </c>
      <c r="BJ22" s="341"/>
      <c r="BL22" s="416">
        <f>SUM(BL5:BL19)</f>
        <v>41.089999999999996</v>
      </c>
      <c r="BM22" s="129" t="s">
        <v>411</v>
      </c>
      <c r="BN22" s="415">
        <f>SUM(BN5:BN19)</f>
        <v>58.900000000000006</v>
      </c>
      <c r="BO22" s="341"/>
      <c r="BQ22" s="416">
        <f>SUM(BQ5:BQ19)</f>
        <v>41.12</v>
      </c>
      <c r="BR22" s="129" t="s">
        <v>411</v>
      </c>
      <c r="BS22" s="415">
        <f>SUM(BS5:BS19)</f>
        <v>58.879999999999995</v>
      </c>
      <c r="BT22" s="341"/>
      <c r="BV22" s="416">
        <f>SUM(BV5:BV19)</f>
        <v>41.03</v>
      </c>
      <c r="BW22" s="129" t="s">
        <v>411</v>
      </c>
      <c r="BX22" s="415">
        <f>SUM(BX5:BX19)</f>
        <v>58.960000000000008</v>
      </c>
      <c r="BY22" s="341"/>
      <c r="CA22" s="416">
        <f>SUM(CA5:CA19)</f>
        <v>41.2</v>
      </c>
      <c r="CB22" s="129" t="s">
        <v>411</v>
      </c>
      <c r="CC22" s="415">
        <f>SUM(CC5:CC19)</f>
        <v>58.78</v>
      </c>
      <c r="CD22" s="341"/>
      <c r="CF22" s="416">
        <f>SUM(CF5:CF19)</f>
        <v>41.2</v>
      </c>
      <c r="CG22" s="129" t="s">
        <v>411</v>
      </c>
      <c r="CH22" s="415">
        <f>SUM(CH5:CH19)</f>
        <v>58.800000000000004</v>
      </c>
      <c r="CI22" s="341"/>
      <c r="CK22" s="416">
        <f>SUM(CK5:CK19)</f>
        <v>41.680000000000007</v>
      </c>
      <c r="CL22" s="129" t="s">
        <v>411</v>
      </c>
      <c r="CM22" s="415">
        <f>SUM(CM5:CM19)</f>
        <v>58.300000000000004</v>
      </c>
      <c r="CN22" s="341"/>
      <c r="CP22" s="416">
        <f>SUM(CP5:CP19)</f>
        <v>41.42</v>
      </c>
      <c r="CQ22" s="129" t="s">
        <v>411</v>
      </c>
      <c r="CR22" s="415">
        <f>SUM(CR5:CR19)</f>
        <v>58.580000000000005</v>
      </c>
      <c r="CS22" s="341"/>
      <c r="CU22" s="416">
        <f>SUM(CU5:CU19)</f>
        <v>41.05</v>
      </c>
      <c r="CV22" s="129" t="s">
        <v>411</v>
      </c>
      <c r="CW22" s="415">
        <f>SUM(CW5:CW19)</f>
        <v>58.930000000000007</v>
      </c>
      <c r="CX22" s="341"/>
      <c r="CZ22" s="416">
        <f>SUM(CZ5:CZ19)</f>
        <v>43.05</v>
      </c>
      <c r="DA22" s="129" t="s">
        <v>411</v>
      </c>
      <c r="DB22" s="415">
        <f>SUM(DB5:DB19)</f>
        <v>56.92</v>
      </c>
      <c r="DC22" s="341"/>
      <c r="DE22" s="416">
        <f>SUM(DE5:DE19)</f>
        <v>43.1</v>
      </c>
      <c r="DF22" s="129" t="s">
        <v>411</v>
      </c>
      <c r="DG22" s="415">
        <f>SUM(DG5:DG19)</f>
        <v>56.88</v>
      </c>
      <c r="DH22" s="341"/>
      <c r="DJ22" s="416">
        <f>SUM(DJ5:DJ19)</f>
        <v>43.18</v>
      </c>
      <c r="DK22" s="129" t="s">
        <v>411</v>
      </c>
      <c r="DL22" s="415">
        <f>SUM(DL5:DL19)</f>
        <v>56.800000000000004</v>
      </c>
      <c r="DM22" s="341"/>
      <c r="DO22" s="416">
        <f>SUM(DO5:DO19)</f>
        <v>43.18</v>
      </c>
      <c r="DP22" s="129" t="s">
        <v>411</v>
      </c>
      <c r="DQ22" s="415">
        <f>SUM(DQ5:DQ19)</f>
        <v>56.800000000000004</v>
      </c>
      <c r="DR22" s="341"/>
      <c r="DT22" s="416">
        <f>SUM(DT5:DT19)+0.02</f>
        <v>43.08</v>
      </c>
      <c r="DU22" s="129" t="s">
        <v>411</v>
      </c>
      <c r="DV22" s="415">
        <f>SUM(DV5:DV19)</f>
        <v>56.920000000000009</v>
      </c>
      <c r="DW22" s="341"/>
      <c r="DY22" s="416">
        <f>SUM(DY5:DY19)+0.02</f>
        <v>43.07</v>
      </c>
      <c r="DZ22" s="129" t="s">
        <v>411</v>
      </c>
      <c r="EA22" s="415">
        <f>SUM(EA5:EA19)</f>
        <v>56.93</v>
      </c>
      <c r="EB22" s="341"/>
      <c r="ED22" s="416">
        <f>SUM(ED5:ED19)+0.02</f>
        <v>43.09</v>
      </c>
      <c r="EE22" s="129" t="s">
        <v>411</v>
      </c>
      <c r="EF22" s="415">
        <f>SUM(EF5:EF19)</f>
        <v>56.910000000000004</v>
      </c>
      <c r="EG22" s="341"/>
      <c r="EI22" s="416">
        <f>SUM(EI5:EI19)</f>
        <v>42.779999999999994</v>
      </c>
      <c r="EJ22" s="129" t="s">
        <v>411</v>
      </c>
      <c r="EK22" s="415">
        <f>SUM(EK5:EK19)</f>
        <v>57.220000000000006</v>
      </c>
      <c r="EL22" s="341"/>
      <c r="EN22" s="416">
        <f>SUM(EN5:EN19)</f>
        <v>42.66</v>
      </c>
      <c r="EO22" s="129" t="s">
        <v>411</v>
      </c>
      <c r="EP22" s="415">
        <f>SUM(EP5:EP19)</f>
        <v>57.34</v>
      </c>
      <c r="EQ22" s="341"/>
      <c r="ES22" s="416">
        <f>SUM(ES5:ES19)</f>
        <v>42.55</v>
      </c>
      <c r="ET22" s="129" t="s">
        <v>411</v>
      </c>
      <c r="EU22" s="415">
        <f>SUM(EU5:EU19)</f>
        <v>57.45000000000001</v>
      </c>
      <c r="EV22" s="341"/>
      <c r="EX22" s="416">
        <f>SUM(EX5:EX19)</f>
        <v>42.44</v>
      </c>
      <c r="EY22" s="129" t="s">
        <v>411</v>
      </c>
      <c r="EZ22" s="415">
        <f>SUM(EZ5:EZ19)</f>
        <v>57.559999999999995</v>
      </c>
      <c r="FA22" s="341"/>
      <c r="FC22" s="416">
        <f>SUM(FC5:FC19)</f>
        <v>42.379999999999995</v>
      </c>
      <c r="FD22" s="129" t="s">
        <v>411</v>
      </c>
      <c r="FE22" s="415">
        <f>SUM(FE5:FE19)</f>
        <v>57.62</v>
      </c>
      <c r="FF22" s="341"/>
      <c r="FH22" s="416">
        <f>SUM(FH5:FH19)</f>
        <v>42.379999999999995</v>
      </c>
      <c r="FI22" s="129" t="s">
        <v>411</v>
      </c>
      <c r="FJ22" s="415">
        <f>SUM(FJ5:FJ19)</f>
        <v>57.62</v>
      </c>
      <c r="FK22" s="341"/>
      <c r="FM22" s="416">
        <f>SUM(FM5:FM19)</f>
        <v>42.379999999999995</v>
      </c>
      <c r="FN22" s="129" t="s">
        <v>411</v>
      </c>
      <c r="FO22" s="415">
        <f>SUM(FO5:FO19)</f>
        <v>57.62</v>
      </c>
      <c r="FP22" s="341"/>
      <c r="FR22" s="416">
        <f>SUM(FR5:FR19)</f>
        <v>42.42</v>
      </c>
      <c r="FS22" s="129" t="s">
        <v>411</v>
      </c>
      <c r="FT22" s="415">
        <f>SUM(FT5:FT19)</f>
        <v>57.58</v>
      </c>
      <c r="FU22" s="341"/>
      <c r="FW22" s="416">
        <f>SUM(FW5:FW19)</f>
        <v>42.42</v>
      </c>
      <c r="FX22" s="129" t="s">
        <v>411</v>
      </c>
      <c r="FY22" s="415">
        <f>SUM(FY5:FY19)</f>
        <v>57.58</v>
      </c>
      <c r="FZ22" s="341"/>
      <c r="GB22" s="416">
        <f>SUM(GB5:GB19)</f>
        <v>42.42</v>
      </c>
      <c r="GC22" s="129" t="s">
        <v>411</v>
      </c>
      <c r="GD22" s="415">
        <f>SUM(GD5:GD19)</f>
        <v>57.58</v>
      </c>
      <c r="GE22" s="341"/>
      <c r="GG22" s="416">
        <f>SUM(GG5:GG19)</f>
        <v>42.429999999999993</v>
      </c>
      <c r="GH22" s="129" t="s">
        <v>411</v>
      </c>
      <c r="GI22" s="415">
        <f>SUM(GI5:GI19)</f>
        <v>57.57</v>
      </c>
      <c r="GJ22" s="341"/>
      <c r="GL22" s="416">
        <f>SUM(GL5:GL19)</f>
        <v>42.429999999999993</v>
      </c>
      <c r="GM22" s="129" t="s">
        <v>411</v>
      </c>
      <c r="GN22" s="415">
        <f>SUM(GN5:GN19)</f>
        <v>57.57</v>
      </c>
      <c r="GO22" s="341"/>
      <c r="GQ22" s="416">
        <f>SUM(GQ5:GQ19)</f>
        <v>42.78</v>
      </c>
      <c r="GR22" s="129" t="s">
        <v>411</v>
      </c>
      <c r="GS22" s="415">
        <f>SUM(GS5:GS19)</f>
        <v>57.22</v>
      </c>
      <c r="GT22" s="341"/>
      <c r="GV22" s="416">
        <f>SUM(GV5:GV19)</f>
        <v>42.78</v>
      </c>
      <c r="GW22" s="129" t="s">
        <v>411</v>
      </c>
      <c r="GX22" s="415">
        <f>SUM(GX5:GX19)</f>
        <v>57.22</v>
      </c>
    </row>
    <row r="23" spans="1:206" ht="10.8" thickBot="1" x14ac:dyDescent="0.25">
      <c r="A23" s="417"/>
      <c r="B23" s="407"/>
      <c r="C23" s="407"/>
      <c r="D23" s="407"/>
      <c r="E23" s="407"/>
      <c r="F23" s="417"/>
      <c r="G23" s="407"/>
      <c r="H23" s="407"/>
      <c r="I23" s="407"/>
      <c r="J23" s="407"/>
      <c r="K23" s="417"/>
      <c r="L23" s="407"/>
      <c r="M23" s="407"/>
      <c r="N23" s="407"/>
      <c r="O23" s="407"/>
      <c r="P23" s="407"/>
      <c r="Q23" s="417"/>
      <c r="R23" s="407"/>
      <c r="S23" s="407"/>
      <c r="T23" s="407"/>
      <c r="U23" s="407"/>
      <c r="V23" s="409"/>
      <c r="W23" s="407"/>
      <c r="X23" s="407"/>
      <c r="Y23" s="407"/>
      <c r="Z23" s="408"/>
      <c r="AA23" s="409"/>
      <c r="AB23" s="407"/>
      <c r="AC23" s="407"/>
      <c r="AD23" s="407"/>
      <c r="AE23" s="408"/>
      <c r="AF23" s="409"/>
      <c r="AG23" s="407"/>
      <c r="AH23" s="407"/>
      <c r="AI23" s="407"/>
      <c r="AJ23" s="418">
        <f>AJ22+AH22</f>
        <v>99.864000000000004</v>
      </c>
      <c r="AK23" s="409"/>
      <c r="AL23" s="407"/>
      <c r="AM23" s="407"/>
      <c r="AN23" s="407"/>
      <c r="AO23" s="418">
        <f>AO22+AM22</f>
        <v>99.990000000000009</v>
      </c>
      <c r="AP23" s="409"/>
      <c r="AQ23" s="407"/>
      <c r="AR23" s="407"/>
      <c r="AS23" s="407"/>
      <c r="AT23" s="418">
        <f>AT22+AR22</f>
        <v>99.990000000000009</v>
      </c>
      <c r="AU23" s="409"/>
      <c r="AV23" s="407"/>
      <c r="AW23" s="407"/>
      <c r="AX23" s="407"/>
      <c r="AY23" s="418">
        <f>AY22+AW22</f>
        <v>99.990000000000009</v>
      </c>
      <c r="AZ23" s="409"/>
      <c r="BA23" s="407"/>
      <c r="BB23" s="407"/>
      <c r="BC23" s="407"/>
      <c r="BD23" s="418">
        <f>BD22+BB22</f>
        <v>99.990000000000009</v>
      </c>
      <c r="BE23" s="409"/>
      <c r="BF23" s="407"/>
      <c r="BG23" s="407"/>
      <c r="BH23" s="407"/>
      <c r="BI23" s="418">
        <f>BI22+BG22</f>
        <v>100</v>
      </c>
      <c r="BJ23" s="409"/>
      <c r="BK23" s="407"/>
      <c r="BL23" s="407"/>
      <c r="BM23" s="407"/>
      <c r="BN23" s="418">
        <f>BN22+BL22</f>
        <v>99.990000000000009</v>
      </c>
      <c r="BO23" s="409"/>
      <c r="BP23" s="407"/>
      <c r="BQ23" s="407"/>
      <c r="BR23" s="407"/>
      <c r="BS23" s="418">
        <f>BS22+BQ22</f>
        <v>100</v>
      </c>
      <c r="BT23" s="409"/>
      <c r="BU23" s="407"/>
      <c r="BV23" s="407"/>
      <c r="BW23" s="407"/>
      <c r="BX23" s="418">
        <f>BX22+BV22</f>
        <v>99.990000000000009</v>
      </c>
      <c r="BY23" s="409"/>
      <c r="BZ23" s="407"/>
      <c r="CA23" s="407"/>
      <c r="CB23" s="407"/>
      <c r="CC23" s="418">
        <f>CC22+CA22</f>
        <v>99.98</v>
      </c>
      <c r="CD23" s="409"/>
      <c r="CE23" s="407"/>
      <c r="CF23" s="407"/>
      <c r="CG23" s="407"/>
      <c r="CH23" s="418">
        <f>CH22+CF22</f>
        <v>100</v>
      </c>
      <c r="CI23" s="409"/>
      <c r="CJ23" s="407"/>
      <c r="CK23" s="407"/>
      <c r="CL23" s="407"/>
      <c r="CM23" s="418">
        <f>CM22+CK22</f>
        <v>99.980000000000018</v>
      </c>
      <c r="CN23" s="409"/>
      <c r="CO23" s="407"/>
      <c r="CP23" s="407"/>
      <c r="CQ23" s="407"/>
      <c r="CR23" s="418">
        <f>CR22+CP22</f>
        <v>100</v>
      </c>
      <c r="CS23" s="409"/>
      <c r="CT23" s="407"/>
      <c r="CU23" s="407"/>
      <c r="CV23" s="407"/>
      <c r="CW23" s="418">
        <f>CW22+CU22</f>
        <v>99.98</v>
      </c>
      <c r="CX23" s="409"/>
      <c r="CY23" s="407"/>
      <c r="CZ23" s="407"/>
      <c r="DA23" s="407"/>
      <c r="DB23" s="418">
        <f>DB22+CZ22</f>
        <v>99.97</v>
      </c>
      <c r="DC23" s="409"/>
      <c r="DD23" s="407"/>
      <c r="DE23" s="407"/>
      <c r="DF23" s="407"/>
      <c r="DG23" s="418">
        <f>DG22+DE22</f>
        <v>99.98</v>
      </c>
      <c r="DH23" s="409"/>
      <c r="DI23" s="407"/>
      <c r="DJ23" s="407"/>
      <c r="DK23" s="407"/>
      <c r="DL23" s="418">
        <f>DL22+DJ22</f>
        <v>99.98</v>
      </c>
      <c r="DM23" s="409"/>
      <c r="DN23" s="407"/>
      <c r="DO23" s="407"/>
      <c r="DP23" s="407"/>
      <c r="DQ23" s="418">
        <f>DQ22+DO22</f>
        <v>99.98</v>
      </c>
      <c r="DR23" s="409"/>
      <c r="DS23" s="407"/>
      <c r="DT23" s="407"/>
      <c r="DU23" s="407"/>
      <c r="DV23" s="418">
        <f>DV22+DT22</f>
        <v>100</v>
      </c>
      <c r="DW23" s="409"/>
      <c r="DX23" s="407"/>
      <c r="DY23" s="407"/>
      <c r="DZ23" s="407"/>
      <c r="EA23" s="418">
        <f>EA22+DY22</f>
        <v>100</v>
      </c>
      <c r="EB23" s="409"/>
      <c r="EC23" s="407"/>
      <c r="ED23" s="407"/>
      <c r="EE23" s="407"/>
      <c r="EF23" s="418">
        <f>EF22+ED22</f>
        <v>100</v>
      </c>
      <c r="EG23" s="409"/>
      <c r="EH23" s="407"/>
      <c r="EI23" s="407"/>
      <c r="EJ23" s="407"/>
      <c r="EK23" s="418">
        <f>EK22+EI22</f>
        <v>100</v>
      </c>
      <c r="EL23" s="409"/>
      <c r="EM23" s="407"/>
      <c r="EN23" s="407"/>
      <c r="EO23" s="407"/>
      <c r="EP23" s="418">
        <f>EP22+EN22</f>
        <v>100</v>
      </c>
      <c r="EQ23" s="409"/>
      <c r="ER23" s="407"/>
      <c r="ES23" s="407"/>
      <c r="ET23" s="407"/>
      <c r="EU23" s="418">
        <f>EU22+ES22</f>
        <v>100</v>
      </c>
      <c r="EV23" s="409"/>
      <c r="EW23" s="407"/>
      <c r="EX23" s="407"/>
      <c r="EY23" s="407"/>
      <c r="EZ23" s="418">
        <f>EZ22+EX22</f>
        <v>100</v>
      </c>
      <c r="FA23" s="409"/>
      <c r="FB23" s="407"/>
      <c r="FC23" s="407"/>
      <c r="FD23" s="407"/>
      <c r="FE23" s="418">
        <f>FE22+FC22</f>
        <v>100</v>
      </c>
      <c r="FF23" s="409"/>
      <c r="FG23" s="407"/>
      <c r="FH23" s="407"/>
      <c r="FI23" s="407"/>
      <c r="FJ23" s="418">
        <f>FJ22+FH22</f>
        <v>100</v>
      </c>
      <c r="FK23" s="409"/>
      <c r="FL23" s="407"/>
      <c r="FM23" s="407"/>
      <c r="FN23" s="407"/>
      <c r="FO23" s="418">
        <f>FO22+FM22</f>
        <v>100</v>
      </c>
      <c r="FP23" s="409"/>
      <c r="FQ23" s="407"/>
      <c r="FR23" s="407"/>
      <c r="FS23" s="407"/>
      <c r="FT23" s="418">
        <f>FT22+FR22</f>
        <v>100</v>
      </c>
      <c r="FU23" s="409"/>
      <c r="FV23" s="407"/>
      <c r="FW23" s="407"/>
      <c r="FX23" s="407"/>
      <c r="FY23" s="418">
        <f>FY22+FW22</f>
        <v>100</v>
      </c>
      <c r="FZ23" s="409"/>
      <c r="GA23" s="407"/>
      <c r="GB23" s="407"/>
      <c r="GC23" s="407"/>
      <c r="GD23" s="418">
        <f>GD22+GB22</f>
        <v>100</v>
      </c>
      <c r="GE23" s="409"/>
      <c r="GF23" s="407"/>
      <c r="GG23" s="407"/>
      <c r="GH23" s="407"/>
      <c r="GI23" s="418">
        <f>GI22+GG22</f>
        <v>100</v>
      </c>
      <c r="GJ23" s="409"/>
      <c r="GK23" s="407"/>
      <c r="GL23" s="407"/>
      <c r="GM23" s="407"/>
      <c r="GN23" s="418">
        <f>GN22+GL22</f>
        <v>100</v>
      </c>
      <c r="GO23" s="409"/>
      <c r="GP23" s="407"/>
      <c r="GQ23" s="407"/>
      <c r="GR23" s="407"/>
      <c r="GS23" s="418">
        <f>GS22+GQ22</f>
        <v>100</v>
      </c>
      <c r="GT23" s="409"/>
      <c r="GU23" s="407"/>
      <c r="GV23" s="407"/>
      <c r="GW23" s="407"/>
      <c r="GX23" s="418">
        <f>GX22+GV22</f>
        <v>100</v>
      </c>
    </row>
    <row r="47" spans="126:132" x14ac:dyDescent="0.2">
      <c r="DV47" s="111" t="s">
        <v>597</v>
      </c>
      <c r="DW47" s="419" t="s">
        <v>596</v>
      </c>
      <c r="DX47" s="111">
        <v>1272</v>
      </c>
      <c r="DY47" s="111">
        <f>DX47*1.1</f>
        <v>1399.2</v>
      </c>
      <c r="DZ47" s="111">
        <f>DY47-DX47</f>
        <v>127.20000000000005</v>
      </c>
      <c r="EA47" s="111">
        <v>14</v>
      </c>
      <c r="EB47" s="111">
        <f>EA47*DZ47</f>
        <v>1780.8000000000006</v>
      </c>
    </row>
  </sheetData>
  <mergeCells count="41">
    <mergeCell ref="GT2:GX2"/>
    <mergeCell ref="GO2:GS2"/>
    <mergeCell ref="FZ2:GD2"/>
    <mergeCell ref="FK2:FO2"/>
    <mergeCell ref="AZ2:BD2"/>
    <mergeCell ref="EV2:EZ2"/>
    <mergeCell ref="CX2:DB2"/>
    <mergeCell ref="EB2:EF2"/>
    <mergeCell ref="DR2:DV2"/>
    <mergeCell ref="DM2:DQ2"/>
    <mergeCell ref="DH2:DL2"/>
    <mergeCell ref="DC2:DG2"/>
    <mergeCell ref="DW2:EA2"/>
    <mergeCell ref="EQ2:EU2"/>
    <mergeCell ref="EL2:EP2"/>
    <mergeCell ref="EG2:EK2"/>
    <mergeCell ref="BO2:BS2"/>
    <mergeCell ref="CS2:CW2"/>
    <mergeCell ref="CI2:CM2"/>
    <mergeCell ref="FP2:FT2"/>
    <mergeCell ref="A2:E2"/>
    <mergeCell ref="F2:J2"/>
    <mergeCell ref="K2:P2"/>
    <mergeCell ref="Q2:U2"/>
    <mergeCell ref="V2:Z2"/>
    <mergeCell ref="GJ2:GN2"/>
    <mergeCell ref="GE2:GI2"/>
    <mergeCell ref="FU2:FY2"/>
    <mergeCell ref="AA2:AE2"/>
    <mergeCell ref="BY2:CC2"/>
    <mergeCell ref="AU2:AY2"/>
    <mergeCell ref="AP2:AT2"/>
    <mergeCell ref="AK2:AO2"/>
    <mergeCell ref="AF2:AJ2"/>
    <mergeCell ref="BT2:BX2"/>
    <mergeCell ref="BJ2:BN2"/>
    <mergeCell ref="FF2:FJ2"/>
    <mergeCell ref="FA2:FE2"/>
    <mergeCell ref="CD2:CH2"/>
    <mergeCell ref="BE2:BI2"/>
    <mergeCell ref="CN2:CR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B1:M66"/>
  <sheetViews>
    <sheetView workbookViewId="0">
      <selection activeCell="M50" sqref="M50"/>
    </sheetView>
  </sheetViews>
  <sheetFormatPr defaultColWidth="9.109375" defaultRowHeight="10.199999999999999" x14ac:dyDescent="0.3"/>
  <cols>
    <col min="1" max="1" width="2.5546875" style="129" customWidth="1"/>
    <col min="2" max="2" width="5.88671875" style="129" customWidth="1"/>
    <col min="3" max="3" width="26.33203125" style="129" bestFit="1" customWidth="1"/>
    <col min="4" max="4" width="17.33203125" style="129" bestFit="1" customWidth="1"/>
    <col min="5" max="5" width="10.33203125" style="129" bestFit="1" customWidth="1"/>
    <col min="6" max="6" width="6.44140625" style="129" bestFit="1" customWidth="1"/>
    <col min="7" max="7" width="8.6640625" style="129" bestFit="1" customWidth="1"/>
    <col min="8" max="8" width="10.44140625" style="129" bestFit="1" customWidth="1"/>
    <col min="9" max="9" width="13.88671875" style="129" customWidth="1"/>
    <col min="10" max="10" width="26.33203125" style="129" bestFit="1" customWidth="1"/>
    <col min="11" max="16384" width="9.109375" style="129"/>
  </cols>
  <sheetData>
    <row r="1" spans="2:10" s="221" customFormat="1" ht="25.2" x14ac:dyDescent="0.3">
      <c r="B1" s="230" t="s">
        <v>0</v>
      </c>
      <c r="C1" s="230" t="s">
        <v>1</v>
      </c>
      <c r="D1" s="231" t="s">
        <v>218</v>
      </c>
      <c r="E1" s="609" t="s">
        <v>674</v>
      </c>
      <c r="F1" s="609"/>
      <c r="G1" s="609"/>
      <c r="H1" s="609"/>
      <c r="I1" s="609"/>
      <c r="J1" s="230" t="s">
        <v>1</v>
      </c>
    </row>
    <row r="2" spans="2:10" ht="20.399999999999999" x14ac:dyDescent="0.3">
      <c r="B2" s="225"/>
      <c r="C2" s="225"/>
      <c r="D2" s="226"/>
      <c r="E2" s="223" t="s">
        <v>234</v>
      </c>
      <c r="F2" s="223" t="s">
        <v>454</v>
      </c>
      <c r="G2" s="223" t="s">
        <v>455</v>
      </c>
      <c r="H2" s="223" t="s">
        <v>456</v>
      </c>
      <c r="I2" s="224" t="s">
        <v>457</v>
      </c>
      <c r="J2" s="225"/>
    </row>
    <row r="3" spans="2:10" ht="12.6" x14ac:dyDescent="0.3">
      <c r="B3" s="225">
        <v>1</v>
      </c>
      <c r="C3" s="225" t="s">
        <v>511</v>
      </c>
      <c r="D3" s="226" t="s">
        <v>20</v>
      </c>
      <c r="E3" s="226" t="s">
        <v>636</v>
      </c>
      <c r="F3" s="226" t="s">
        <v>238</v>
      </c>
      <c r="G3" s="226" t="s">
        <v>238</v>
      </c>
      <c r="H3" s="227">
        <v>28126358</v>
      </c>
      <c r="I3" s="228">
        <v>28126358</v>
      </c>
      <c r="J3" s="225" t="s">
        <v>511</v>
      </c>
    </row>
    <row r="4" spans="2:10" x14ac:dyDescent="0.3">
      <c r="B4" s="612">
        <v>2</v>
      </c>
      <c r="C4" s="607" t="s">
        <v>91</v>
      </c>
      <c r="D4" s="226" t="s">
        <v>93</v>
      </c>
      <c r="E4" s="223">
        <v>28871</v>
      </c>
      <c r="F4" s="223">
        <v>500</v>
      </c>
      <c r="G4" s="223">
        <v>50</v>
      </c>
      <c r="H4" s="227">
        <v>29421</v>
      </c>
      <c r="I4" s="611">
        <v>28284349</v>
      </c>
      <c r="J4" s="607" t="s">
        <v>91</v>
      </c>
    </row>
    <row r="5" spans="2:10" x14ac:dyDescent="0.3">
      <c r="B5" s="612"/>
      <c r="C5" s="613"/>
      <c r="D5" s="226" t="s">
        <v>94</v>
      </c>
      <c r="E5" s="223">
        <v>15553965</v>
      </c>
      <c r="F5" s="226" t="s">
        <v>238</v>
      </c>
      <c r="G5" s="226" t="s">
        <v>238</v>
      </c>
      <c r="H5" s="227">
        <v>15553965</v>
      </c>
      <c r="I5" s="611"/>
      <c r="J5" s="613"/>
    </row>
    <row r="6" spans="2:10" x14ac:dyDescent="0.3">
      <c r="B6" s="612"/>
      <c r="C6" s="613"/>
      <c r="D6" s="226" t="s">
        <v>95</v>
      </c>
      <c r="E6" s="223">
        <v>9338175</v>
      </c>
      <c r="F6" s="226" t="s">
        <v>238</v>
      </c>
      <c r="G6" s="226" t="s">
        <v>238</v>
      </c>
      <c r="H6" s="227">
        <v>9338175</v>
      </c>
      <c r="I6" s="611"/>
      <c r="J6" s="613"/>
    </row>
    <row r="7" spans="2:10" x14ac:dyDescent="0.3">
      <c r="B7" s="612"/>
      <c r="C7" s="608"/>
      <c r="D7" s="226" t="s">
        <v>96</v>
      </c>
      <c r="E7" s="223">
        <v>3362788</v>
      </c>
      <c r="F7" s="226" t="s">
        <v>238</v>
      </c>
      <c r="G7" s="226" t="s">
        <v>238</v>
      </c>
      <c r="H7" s="227">
        <v>3362788</v>
      </c>
      <c r="I7" s="611"/>
      <c r="J7" s="608"/>
    </row>
    <row r="8" spans="2:10" ht="12.6" x14ac:dyDescent="0.3">
      <c r="B8" s="225">
        <v>3</v>
      </c>
      <c r="C8" s="225" t="s">
        <v>272</v>
      </c>
      <c r="D8" s="226" t="s">
        <v>8</v>
      </c>
      <c r="E8" s="223">
        <v>39355771</v>
      </c>
      <c r="F8" s="226" t="s">
        <v>238</v>
      </c>
      <c r="G8" s="226" t="s">
        <v>238</v>
      </c>
      <c r="H8" s="227">
        <v>39355771</v>
      </c>
      <c r="I8" s="229">
        <v>39355771</v>
      </c>
      <c r="J8" s="225" t="s">
        <v>272</v>
      </c>
    </row>
    <row r="9" spans="2:10" x14ac:dyDescent="0.3">
      <c r="B9" s="612">
        <v>5</v>
      </c>
      <c r="C9" s="607" t="s">
        <v>548</v>
      </c>
      <c r="D9" s="226" t="s">
        <v>188</v>
      </c>
      <c r="E9" s="223">
        <v>13995775</v>
      </c>
      <c r="F9" s="223">
        <v>0</v>
      </c>
      <c r="G9" s="223">
        <v>0</v>
      </c>
      <c r="H9" s="227">
        <v>13995775</v>
      </c>
      <c r="I9" s="610">
        <v>30540602</v>
      </c>
      <c r="J9" s="607" t="s">
        <v>548</v>
      </c>
    </row>
    <row r="10" spans="2:10" x14ac:dyDescent="0.3">
      <c r="B10" s="612"/>
      <c r="C10" s="613"/>
      <c r="D10" s="226" t="s">
        <v>189</v>
      </c>
      <c r="E10" s="223">
        <v>3908991</v>
      </c>
      <c r="F10" s="223">
        <v>0</v>
      </c>
      <c r="G10" s="223">
        <v>0</v>
      </c>
      <c r="H10" s="227">
        <v>3908991</v>
      </c>
      <c r="I10" s="610"/>
      <c r="J10" s="613"/>
    </row>
    <row r="11" spans="2:10" x14ac:dyDescent="0.3">
      <c r="B11" s="612"/>
      <c r="C11" s="613"/>
      <c r="D11" s="226" t="s">
        <v>190</v>
      </c>
      <c r="E11" s="223">
        <v>3346547</v>
      </c>
      <c r="F11" s="223">
        <v>0</v>
      </c>
      <c r="G11" s="223">
        <v>0</v>
      </c>
      <c r="H11" s="227">
        <v>3346547</v>
      </c>
      <c r="I11" s="610"/>
      <c r="J11" s="613"/>
    </row>
    <row r="12" spans="2:10" x14ac:dyDescent="0.3">
      <c r="B12" s="612"/>
      <c r="C12" s="613"/>
      <c r="D12" s="226" t="s">
        <v>191</v>
      </c>
      <c r="E12" s="223">
        <v>761728</v>
      </c>
      <c r="F12" s="223">
        <v>0</v>
      </c>
      <c r="G12" s="223">
        <v>0</v>
      </c>
      <c r="H12" s="227">
        <v>761728</v>
      </c>
      <c r="I12" s="610"/>
      <c r="J12" s="613"/>
    </row>
    <row r="13" spans="2:10" x14ac:dyDescent="0.3">
      <c r="B13" s="612"/>
      <c r="C13" s="613"/>
      <c r="D13" s="226" t="s">
        <v>192</v>
      </c>
      <c r="E13" s="223">
        <v>1353349</v>
      </c>
      <c r="F13" s="223">
        <v>0</v>
      </c>
      <c r="G13" s="223">
        <v>0</v>
      </c>
      <c r="H13" s="227">
        <v>1353349</v>
      </c>
      <c r="I13" s="610"/>
      <c r="J13" s="613"/>
    </row>
    <row r="14" spans="2:10" x14ac:dyDescent="0.3">
      <c r="B14" s="612"/>
      <c r="C14" s="613"/>
      <c r="D14" s="226" t="s">
        <v>193</v>
      </c>
      <c r="E14" s="223">
        <v>5883049</v>
      </c>
      <c r="F14" s="223">
        <v>0</v>
      </c>
      <c r="G14" s="223">
        <v>0</v>
      </c>
      <c r="H14" s="227">
        <v>5883049</v>
      </c>
      <c r="I14" s="610"/>
      <c r="J14" s="613"/>
    </row>
    <row r="15" spans="2:10" x14ac:dyDescent="0.3">
      <c r="B15" s="612"/>
      <c r="C15" s="608"/>
      <c r="D15" s="226" t="s">
        <v>194</v>
      </c>
      <c r="E15" s="223">
        <v>1291163</v>
      </c>
      <c r="F15" s="223">
        <v>0</v>
      </c>
      <c r="G15" s="223">
        <v>0</v>
      </c>
      <c r="H15" s="227">
        <v>1291163</v>
      </c>
      <c r="I15" s="610"/>
      <c r="J15" s="608"/>
    </row>
    <row r="16" spans="2:10" x14ac:dyDescent="0.3">
      <c r="B16" s="612">
        <v>6</v>
      </c>
      <c r="C16" s="607" t="s">
        <v>86</v>
      </c>
      <c r="D16" s="226" t="s">
        <v>87</v>
      </c>
      <c r="E16" s="223">
        <v>9432396</v>
      </c>
      <c r="F16" s="223">
        <v>0</v>
      </c>
      <c r="G16" s="223">
        <v>0</v>
      </c>
      <c r="H16" s="227">
        <v>9432396</v>
      </c>
      <c r="I16" s="610">
        <v>28181894</v>
      </c>
      <c r="J16" s="607" t="s">
        <v>86</v>
      </c>
    </row>
    <row r="17" spans="2:10" x14ac:dyDescent="0.3">
      <c r="B17" s="612"/>
      <c r="C17" s="613"/>
      <c r="D17" s="226" t="s">
        <v>88</v>
      </c>
      <c r="E17" s="223">
        <v>8404357</v>
      </c>
      <c r="F17" s="223">
        <v>0</v>
      </c>
      <c r="G17" s="223">
        <v>0</v>
      </c>
      <c r="H17" s="227">
        <v>8404357</v>
      </c>
      <c r="I17" s="610"/>
      <c r="J17" s="613"/>
    </row>
    <row r="18" spans="2:10" x14ac:dyDescent="0.3">
      <c r="B18" s="612"/>
      <c r="C18" s="613"/>
      <c r="D18" s="226" t="s">
        <v>89</v>
      </c>
      <c r="E18" s="223">
        <v>5131350</v>
      </c>
      <c r="F18" s="223">
        <v>0</v>
      </c>
      <c r="G18" s="223">
        <v>0</v>
      </c>
      <c r="H18" s="227">
        <v>5131350</v>
      </c>
      <c r="I18" s="610"/>
      <c r="J18" s="613"/>
    </row>
    <row r="19" spans="2:10" x14ac:dyDescent="0.3">
      <c r="B19" s="612"/>
      <c r="C19" s="608"/>
      <c r="D19" s="226" t="s">
        <v>90</v>
      </c>
      <c r="E19" s="223">
        <v>5213791</v>
      </c>
      <c r="F19" s="223">
        <v>0</v>
      </c>
      <c r="G19" s="223">
        <v>0</v>
      </c>
      <c r="H19" s="227">
        <v>5213791</v>
      </c>
      <c r="I19" s="610"/>
      <c r="J19" s="608"/>
    </row>
    <row r="20" spans="2:10" x14ac:dyDescent="0.3">
      <c r="B20" s="612">
        <v>7</v>
      </c>
      <c r="C20" s="607" t="s">
        <v>37</v>
      </c>
      <c r="D20" s="226" t="s">
        <v>38</v>
      </c>
      <c r="E20" s="223">
        <v>18927355</v>
      </c>
      <c r="F20" s="226" t="s">
        <v>238</v>
      </c>
      <c r="G20" s="226" t="s">
        <v>238</v>
      </c>
      <c r="H20" s="227">
        <v>18927355</v>
      </c>
      <c r="I20" s="611">
        <v>28130412</v>
      </c>
      <c r="J20" s="607" t="s">
        <v>37</v>
      </c>
    </row>
    <row r="21" spans="2:10" x14ac:dyDescent="0.3">
      <c r="B21" s="612"/>
      <c r="C21" s="613"/>
      <c r="D21" s="226" t="s">
        <v>39</v>
      </c>
      <c r="E21" s="223">
        <v>168086</v>
      </c>
      <c r="F21" s="226" t="s">
        <v>238</v>
      </c>
      <c r="G21" s="226" t="s">
        <v>238</v>
      </c>
      <c r="H21" s="227">
        <v>168086</v>
      </c>
      <c r="I21" s="611"/>
      <c r="J21" s="613"/>
    </row>
    <row r="22" spans="2:10" x14ac:dyDescent="0.3">
      <c r="B22" s="612"/>
      <c r="C22" s="608"/>
      <c r="D22" s="226" t="s">
        <v>41</v>
      </c>
      <c r="E22" s="223">
        <v>9034971</v>
      </c>
      <c r="F22" s="226" t="s">
        <v>238</v>
      </c>
      <c r="G22" s="226" t="s">
        <v>238</v>
      </c>
      <c r="H22" s="227">
        <v>9034971</v>
      </c>
      <c r="I22" s="611"/>
      <c r="J22" s="608"/>
    </row>
    <row r="23" spans="2:10" ht="12.6" x14ac:dyDescent="0.3">
      <c r="B23" s="225">
        <v>8</v>
      </c>
      <c r="C23" s="225" t="s">
        <v>546</v>
      </c>
      <c r="D23" s="226" t="s">
        <v>53</v>
      </c>
      <c r="E23" s="223">
        <v>30372582</v>
      </c>
      <c r="F23" s="226" t="s">
        <v>238</v>
      </c>
      <c r="G23" s="226" t="s">
        <v>238</v>
      </c>
      <c r="H23" s="227">
        <v>30372582</v>
      </c>
      <c r="I23" s="229">
        <v>30372582</v>
      </c>
      <c r="J23" s="225" t="s">
        <v>546</v>
      </c>
    </row>
    <row r="24" spans="2:10" x14ac:dyDescent="0.3">
      <c r="B24" s="612">
        <v>9</v>
      </c>
      <c r="C24" s="607" t="s">
        <v>547</v>
      </c>
      <c r="D24" s="226" t="s">
        <v>59</v>
      </c>
      <c r="E24" s="223">
        <v>26960495</v>
      </c>
      <c r="F24" s="223">
        <v>0</v>
      </c>
      <c r="G24" s="223">
        <v>0</v>
      </c>
      <c r="H24" s="227">
        <v>26960495</v>
      </c>
      <c r="I24" s="610">
        <v>28127665</v>
      </c>
      <c r="J24" s="607" t="s">
        <v>547</v>
      </c>
    </row>
    <row r="25" spans="2:10" x14ac:dyDescent="0.3">
      <c r="B25" s="612"/>
      <c r="C25" s="608"/>
      <c r="D25" s="226" t="s">
        <v>61</v>
      </c>
      <c r="E25" s="223">
        <v>1167170</v>
      </c>
      <c r="F25" s="223">
        <v>0</v>
      </c>
      <c r="G25" s="223">
        <v>0</v>
      </c>
      <c r="H25" s="227">
        <v>1167170</v>
      </c>
      <c r="I25" s="610"/>
      <c r="J25" s="608"/>
    </row>
    <row r="26" spans="2:10" ht="20.399999999999999" x14ac:dyDescent="0.3">
      <c r="B26" s="225">
        <v>10</v>
      </c>
      <c r="C26" s="225" t="s">
        <v>284</v>
      </c>
      <c r="D26" s="226" t="s">
        <v>24</v>
      </c>
      <c r="E26" s="223">
        <v>28147927</v>
      </c>
      <c r="F26" s="223">
        <v>0</v>
      </c>
      <c r="G26" s="223">
        <v>0</v>
      </c>
      <c r="H26" s="227">
        <v>28147927</v>
      </c>
      <c r="I26" s="229">
        <v>28147927</v>
      </c>
      <c r="J26" s="225" t="s">
        <v>284</v>
      </c>
    </row>
    <row r="27" spans="2:10" x14ac:dyDescent="0.3">
      <c r="B27" s="612">
        <v>11</v>
      </c>
      <c r="C27" s="607" t="s">
        <v>9</v>
      </c>
      <c r="D27" s="226" t="s">
        <v>10</v>
      </c>
      <c r="E27" s="223">
        <v>2918</v>
      </c>
      <c r="F27" s="223">
        <v>0</v>
      </c>
      <c r="G27" s="223">
        <v>0</v>
      </c>
      <c r="H27" s="227">
        <v>2918</v>
      </c>
      <c r="I27" s="611">
        <v>39667545</v>
      </c>
      <c r="J27" s="607" t="s">
        <v>9</v>
      </c>
    </row>
    <row r="28" spans="2:10" x14ac:dyDescent="0.3">
      <c r="B28" s="612"/>
      <c r="C28" s="608"/>
      <c r="D28" s="226" t="s">
        <v>12</v>
      </c>
      <c r="E28" s="223">
        <v>39664627</v>
      </c>
      <c r="F28" s="223">
        <v>0</v>
      </c>
      <c r="G28" s="223">
        <v>0</v>
      </c>
      <c r="H28" s="227">
        <v>39664627</v>
      </c>
      <c r="I28" s="611"/>
      <c r="J28" s="608"/>
    </row>
    <row r="29" spans="2:10" ht="20.399999999999999" x14ac:dyDescent="0.3">
      <c r="B29" s="225">
        <v>12</v>
      </c>
      <c r="C29" s="225" t="s">
        <v>283</v>
      </c>
      <c r="D29" s="226" t="s">
        <v>26</v>
      </c>
      <c r="E29" s="223">
        <v>28147927</v>
      </c>
      <c r="F29" s="223">
        <v>0</v>
      </c>
      <c r="G29" s="223">
        <v>0</v>
      </c>
      <c r="H29" s="227">
        <v>28147927</v>
      </c>
      <c r="I29" s="229">
        <v>28147927</v>
      </c>
      <c r="J29" s="225" t="s">
        <v>283</v>
      </c>
    </row>
    <row r="30" spans="2:10" ht="31.5" customHeight="1" x14ac:dyDescent="0.3">
      <c r="B30" s="612">
        <v>13</v>
      </c>
      <c r="C30" s="607" t="s">
        <v>271</v>
      </c>
      <c r="D30" s="226" t="s">
        <v>21</v>
      </c>
      <c r="E30" s="223">
        <v>18010670</v>
      </c>
      <c r="F30" s="226" t="s">
        <v>238</v>
      </c>
      <c r="G30" s="226" t="s">
        <v>238</v>
      </c>
      <c r="H30" s="227">
        <v>18010670</v>
      </c>
      <c r="I30" s="611">
        <v>28829612</v>
      </c>
      <c r="J30" s="607" t="s">
        <v>271</v>
      </c>
    </row>
    <row r="31" spans="2:10" x14ac:dyDescent="0.3">
      <c r="B31" s="612"/>
      <c r="C31" s="613"/>
      <c r="D31" s="226" t="s">
        <v>22</v>
      </c>
      <c r="E31" s="223">
        <v>146742</v>
      </c>
      <c r="F31" s="226" t="s">
        <v>238</v>
      </c>
      <c r="G31" s="226" t="s">
        <v>238</v>
      </c>
      <c r="H31" s="227">
        <v>146742</v>
      </c>
      <c r="I31" s="611"/>
      <c r="J31" s="613"/>
    </row>
    <row r="32" spans="2:10" x14ac:dyDescent="0.3">
      <c r="B32" s="612"/>
      <c r="C32" s="608"/>
      <c r="D32" s="226" t="s">
        <v>23</v>
      </c>
      <c r="E32" s="223">
        <v>10672200</v>
      </c>
      <c r="F32" s="226" t="s">
        <v>238</v>
      </c>
      <c r="G32" s="226" t="s">
        <v>238</v>
      </c>
      <c r="H32" s="227">
        <v>10672200</v>
      </c>
      <c r="I32" s="611"/>
      <c r="J32" s="608"/>
    </row>
    <row r="33" spans="2:10" ht="30.6" x14ac:dyDescent="0.3">
      <c r="B33" s="225">
        <v>14</v>
      </c>
      <c r="C33" s="225" t="s">
        <v>269</v>
      </c>
      <c r="D33" s="226" t="s">
        <v>27</v>
      </c>
      <c r="E33" s="223">
        <v>28147927</v>
      </c>
      <c r="F33" s="226" t="s">
        <v>238</v>
      </c>
      <c r="G33" s="226" t="s">
        <v>238</v>
      </c>
      <c r="H33" s="227">
        <v>28147927</v>
      </c>
      <c r="I33" s="229">
        <v>28147927</v>
      </c>
      <c r="J33" s="225" t="s">
        <v>269</v>
      </c>
    </row>
    <row r="34" spans="2:10" ht="30.6" x14ac:dyDescent="0.3">
      <c r="B34" s="225">
        <v>16</v>
      </c>
      <c r="C34" s="225" t="s">
        <v>660</v>
      </c>
      <c r="D34" s="226" t="s">
        <v>25</v>
      </c>
      <c r="E34" s="223">
        <v>28125248</v>
      </c>
      <c r="F34" s="223">
        <v>0</v>
      </c>
      <c r="G34" s="223">
        <v>0</v>
      </c>
      <c r="H34" s="227">
        <v>28125248</v>
      </c>
      <c r="I34" s="228">
        <v>28125248</v>
      </c>
      <c r="J34" s="225" t="s">
        <v>660</v>
      </c>
    </row>
    <row r="35" spans="2:10" ht="30.6" x14ac:dyDescent="0.3">
      <c r="B35" s="225">
        <v>16</v>
      </c>
      <c r="C35" s="233" t="s">
        <v>659</v>
      </c>
      <c r="D35" s="226" t="s">
        <v>230</v>
      </c>
      <c r="E35" s="223">
        <v>28135800</v>
      </c>
      <c r="F35" s="226" t="s">
        <v>238</v>
      </c>
      <c r="G35" s="226" t="s">
        <v>238</v>
      </c>
      <c r="H35" s="227">
        <v>28135800</v>
      </c>
      <c r="I35" s="229">
        <v>28135800</v>
      </c>
      <c r="J35" s="233" t="s">
        <v>659</v>
      </c>
    </row>
    <row r="36" spans="2:10" ht="30.6" x14ac:dyDescent="0.3">
      <c r="B36" s="225">
        <v>15</v>
      </c>
      <c r="C36" s="225" t="s">
        <v>658</v>
      </c>
      <c r="D36" s="226" t="s">
        <v>229</v>
      </c>
      <c r="E36" s="223">
        <v>28147927</v>
      </c>
      <c r="F36" s="223">
        <v>0</v>
      </c>
      <c r="G36" s="223">
        <v>0</v>
      </c>
      <c r="H36" s="227">
        <v>28147927</v>
      </c>
      <c r="I36" s="229">
        <v>28147927</v>
      </c>
      <c r="J36" s="225" t="s">
        <v>658</v>
      </c>
    </row>
    <row r="37" spans="2:10" x14ac:dyDescent="0.3">
      <c r="B37" s="612">
        <v>19</v>
      </c>
      <c r="C37" s="607" t="s">
        <v>549</v>
      </c>
      <c r="D37" s="226" t="s">
        <v>4</v>
      </c>
      <c r="E37" s="226" t="s">
        <v>616</v>
      </c>
      <c r="F37" s="226" t="s">
        <v>238</v>
      </c>
      <c r="G37" s="226" t="s">
        <v>238</v>
      </c>
      <c r="H37" s="227">
        <v>8262543</v>
      </c>
      <c r="I37" s="610">
        <v>8262543</v>
      </c>
      <c r="J37" s="607" t="s">
        <v>549</v>
      </c>
    </row>
    <row r="38" spans="2:10" x14ac:dyDescent="0.3">
      <c r="B38" s="612"/>
      <c r="C38" s="608"/>
      <c r="D38" s="226" t="s">
        <v>4</v>
      </c>
      <c r="E38" s="226" t="s">
        <v>238</v>
      </c>
      <c r="F38" s="226" t="s">
        <v>238</v>
      </c>
      <c r="G38" s="226" t="s">
        <v>238</v>
      </c>
      <c r="H38" s="227">
        <v>0</v>
      </c>
      <c r="I38" s="610"/>
      <c r="J38" s="608"/>
    </row>
    <row r="39" spans="2:10" ht="12.6" x14ac:dyDescent="0.3">
      <c r="B39" s="225">
        <v>20</v>
      </c>
      <c r="C39" s="225" t="s">
        <v>550</v>
      </c>
      <c r="D39" s="226" t="s">
        <v>142</v>
      </c>
      <c r="E39" s="223">
        <v>504815</v>
      </c>
      <c r="F39" s="223">
        <v>0</v>
      </c>
      <c r="G39" s="223">
        <v>0</v>
      </c>
      <c r="H39" s="227">
        <v>504815</v>
      </c>
      <c r="I39" s="229">
        <v>504815</v>
      </c>
      <c r="J39" s="225" t="s">
        <v>550</v>
      </c>
    </row>
    <row r="40" spans="2:10" x14ac:dyDescent="0.3">
      <c r="B40" s="225"/>
      <c r="C40" s="225"/>
      <c r="D40" s="226"/>
      <c r="E40" s="223"/>
      <c r="F40" s="223"/>
      <c r="G40" s="223"/>
      <c r="H40" s="223"/>
      <c r="I40" s="224">
        <v>487236904</v>
      </c>
      <c r="J40" s="225"/>
    </row>
    <row r="41" spans="2:10" x14ac:dyDescent="0.3">
      <c r="B41" s="232"/>
      <c r="C41" s="232"/>
      <c r="D41" s="222"/>
      <c r="J41" s="232"/>
    </row>
    <row r="42" spans="2:10" x14ac:dyDescent="0.3">
      <c r="B42" s="232"/>
      <c r="C42" s="232"/>
      <c r="D42" s="222"/>
      <c r="J42" s="232"/>
    </row>
    <row r="43" spans="2:10" x14ac:dyDescent="0.3">
      <c r="B43" s="232"/>
      <c r="C43" s="232"/>
      <c r="D43" s="222"/>
      <c r="J43" s="232"/>
    </row>
    <row r="57" spans="3:13" ht="16.2" x14ac:dyDescent="0.3">
      <c r="C57" s="614" t="s">
        <v>695</v>
      </c>
      <c r="D57" s="614"/>
      <c r="E57" s="614"/>
      <c r="F57" s="614"/>
      <c r="G57" s="614"/>
      <c r="H57" s="614"/>
      <c r="I57" s="614"/>
      <c r="J57" s="614"/>
      <c r="K57" s="614"/>
      <c r="L57" s="614"/>
      <c r="M57" s="614"/>
    </row>
    <row r="58" spans="3:13" ht="88.2" x14ac:dyDescent="0.3">
      <c r="C58" s="262" t="s">
        <v>694</v>
      </c>
      <c r="D58" s="262" t="s">
        <v>692</v>
      </c>
      <c r="E58" s="262" t="s">
        <v>691</v>
      </c>
      <c r="F58" s="263" t="s">
        <v>457</v>
      </c>
      <c r="G58" s="264" t="s">
        <v>684</v>
      </c>
      <c r="H58" s="264" t="s">
        <v>685</v>
      </c>
      <c r="I58" s="264" t="s">
        <v>686</v>
      </c>
      <c r="J58" s="264" t="s">
        <v>687</v>
      </c>
      <c r="K58" s="264" t="s">
        <v>688</v>
      </c>
      <c r="L58" s="264" t="s">
        <v>689</v>
      </c>
      <c r="M58" s="265" t="s">
        <v>690</v>
      </c>
    </row>
    <row r="59" spans="3:13" ht="37.799999999999997" x14ac:dyDescent="0.3">
      <c r="C59" s="266" t="s">
        <v>693</v>
      </c>
      <c r="D59" s="267" t="s">
        <v>60</v>
      </c>
      <c r="E59" s="268" t="s">
        <v>61</v>
      </c>
      <c r="F59" s="269">
        <v>1167170</v>
      </c>
      <c r="G59" s="270">
        <f t="shared" ref="G59:G65" si="0">F59*10</f>
        <v>11671700</v>
      </c>
      <c r="H59" s="270">
        <f t="shared" ref="H59:H65" si="1">G59*5%</f>
        <v>583585</v>
      </c>
      <c r="I59" s="271">
        <v>0.1</v>
      </c>
      <c r="J59" s="272">
        <f t="shared" ref="J59:J65" si="2">I59*H59</f>
        <v>58358.5</v>
      </c>
      <c r="K59" s="272">
        <f t="shared" ref="K59:K65" si="3">H59-J59</f>
        <v>525226.5</v>
      </c>
      <c r="L59" s="270">
        <v>58358</v>
      </c>
      <c r="M59" s="270">
        <f t="shared" ref="M59:M65" si="4">L59+F59</f>
        <v>1225528</v>
      </c>
    </row>
    <row r="60" spans="3:13" ht="37.799999999999997" x14ac:dyDescent="0.3">
      <c r="C60" s="266" t="s">
        <v>428</v>
      </c>
      <c r="D60" s="267" t="s">
        <v>58</v>
      </c>
      <c r="E60" s="268" t="s">
        <v>59</v>
      </c>
      <c r="F60" s="269">
        <v>26960495</v>
      </c>
      <c r="G60" s="270">
        <f t="shared" si="0"/>
        <v>269604950</v>
      </c>
      <c r="H60" s="270">
        <f t="shared" si="1"/>
        <v>13480247.5</v>
      </c>
      <c r="I60" s="271">
        <v>0.1</v>
      </c>
      <c r="J60" s="272">
        <f t="shared" si="2"/>
        <v>1348024.75</v>
      </c>
      <c r="K60" s="272">
        <f t="shared" si="3"/>
        <v>12132222.75</v>
      </c>
      <c r="L60" s="270">
        <v>1348024</v>
      </c>
      <c r="M60" s="270">
        <f t="shared" si="4"/>
        <v>28308519</v>
      </c>
    </row>
    <row r="61" spans="3:13" ht="37.799999999999997" x14ac:dyDescent="0.3">
      <c r="C61" s="190" t="s">
        <v>430</v>
      </c>
      <c r="D61" s="267" t="s">
        <v>67</v>
      </c>
      <c r="E61" s="268" t="s">
        <v>68</v>
      </c>
      <c r="F61" s="269">
        <v>4950773</v>
      </c>
      <c r="G61" s="270">
        <f t="shared" si="0"/>
        <v>49507730</v>
      </c>
      <c r="H61" s="270">
        <f t="shared" si="1"/>
        <v>2475386.5</v>
      </c>
      <c r="I61" s="271">
        <v>0.2</v>
      </c>
      <c r="J61" s="272">
        <f t="shared" si="2"/>
        <v>495077.30000000005</v>
      </c>
      <c r="K61" s="272">
        <f t="shared" si="3"/>
        <v>1980309.2</v>
      </c>
      <c r="L61" s="270">
        <v>247538</v>
      </c>
      <c r="M61" s="270">
        <f t="shared" si="4"/>
        <v>5198311</v>
      </c>
    </row>
    <row r="62" spans="3:13" ht="37.799999999999997" x14ac:dyDescent="0.3">
      <c r="C62" s="266" t="s">
        <v>429</v>
      </c>
      <c r="D62" s="267" t="s">
        <v>64</v>
      </c>
      <c r="E62" s="268" t="s">
        <v>65</v>
      </c>
      <c r="F62" s="269">
        <v>64015</v>
      </c>
      <c r="G62" s="270">
        <f t="shared" si="0"/>
        <v>640150</v>
      </c>
      <c r="H62" s="270">
        <f t="shared" si="1"/>
        <v>32007.5</v>
      </c>
      <c r="I62" s="271">
        <v>0.1</v>
      </c>
      <c r="J62" s="272">
        <f t="shared" si="2"/>
        <v>3200.75</v>
      </c>
      <c r="K62" s="272">
        <f t="shared" si="3"/>
        <v>28806.75</v>
      </c>
      <c r="L62" s="270">
        <v>3200</v>
      </c>
      <c r="M62" s="270">
        <f t="shared" si="4"/>
        <v>67215</v>
      </c>
    </row>
    <row r="63" spans="3:13" ht="37.799999999999997" x14ac:dyDescent="0.3">
      <c r="C63" s="190" t="s">
        <v>431</v>
      </c>
      <c r="D63" s="267" t="s">
        <v>252</v>
      </c>
      <c r="E63" s="268" t="s">
        <v>70</v>
      </c>
      <c r="F63" s="269">
        <v>4202178</v>
      </c>
      <c r="G63" s="270">
        <f t="shared" si="0"/>
        <v>42021780</v>
      </c>
      <c r="H63" s="270">
        <f t="shared" si="1"/>
        <v>2101089</v>
      </c>
      <c r="I63" s="271">
        <v>0.1</v>
      </c>
      <c r="J63" s="272">
        <f t="shared" si="2"/>
        <v>210108.90000000002</v>
      </c>
      <c r="K63" s="272">
        <f t="shared" si="3"/>
        <v>1890980.1</v>
      </c>
      <c r="L63" s="270">
        <v>210108</v>
      </c>
      <c r="M63" s="270">
        <f t="shared" si="4"/>
        <v>4412286</v>
      </c>
    </row>
    <row r="64" spans="3:13" ht="37.799999999999997" x14ac:dyDescent="0.3">
      <c r="C64" s="266" t="s">
        <v>429</v>
      </c>
      <c r="D64" s="267" t="s">
        <v>251</v>
      </c>
      <c r="E64" s="268" t="s">
        <v>63</v>
      </c>
      <c r="F64" s="269">
        <v>3866003</v>
      </c>
      <c r="G64" s="270">
        <f t="shared" si="0"/>
        <v>38660030</v>
      </c>
      <c r="H64" s="270">
        <f t="shared" si="1"/>
        <v>1933001.5</v>
      </c>
      <c r="I64" s="271">
        <v>0.1</v>
      </c>
      <c r="J64" s="272">
        <f t="shared" si="2"/>
        <v>193300.15000000002</v>
      </c>
      <c r="K64" s="272">
        <f t="shared" si="3"/>
        <v>1739701.35</v>
      </c>
      <c r="L64" s="270">
        <v>193300</v>
      </c>
      <c r="M64" s="270">
        <f t="shared" si="4"/>
        <v>4059303</v>
      </c>
    </row>
    <row r="65" spans="3:13" ht="37.799999999999997" x14ac:dyDescent="0.3">
      <c r="C65" s="190" t="s">
        <v>253</v>
      </c>
      <c r="D65" s="267" t="s">
        <v>254</v>
      </c>
      <c r="E65" s="268" t="s">
        <v>71</v>
      </c>
      <c r="F65" s="269">
        <v>4202178</v>
      </c>
      <c r="G65" s="270">
        <f t="shared" si="0"/>
        <v>42021780</v>
      </c>
      <c r="H65" s="270">
        <f t="shared" si="1"/>
        <v>2101089</v>
      </c>
      <c r="I65" s="271">
        <v>0.1</v>
      </c>
      <c r="J65" s="272">
        <f t="shared" si="2"/>
        <v>210108.90000000002</v>
      </c>
      <c r="K65" s="272">
        <f t="shared" si="3"/>
        <v>1890980.1</v>
      </c>
      <c r="L65" s="270">
        <v>210108</v>
      </c>
      <c r="M65" s="270">
        <f t="shared" si="4"/>
        <v>4412286</v>
      </c>
    </row>
    <row r="66" spans="3:13" ht="37.799999999999997" x14ac:dyDescent="0.3">
      <c r="C66" s="273"/>
      <c r="D66" s="273"/>
      <c r="E66" s="274" t="s">
        <v>372</v>
      </c>
      <c r="F66" s="275">
        <f t="shared" ref="F66:M66" si="5">SUM(F59:F65)</f>
        <v>45412812</v>
      </c>
      <c r="G66" s="275">
        <f t="shared" si="5"/>
        <v>454128120</v>
      </c>
      <c r="H66" s="275">
        <f t="shared" si="5"/>
        <v>22706406</v>
      </c>
      <c r="I66" s="275">
        <f t="shared" si="5"/>
        <v>0.79999999999999993</v>
      </c>
      <c r="J66" s="275">
        <f t="shared" si="5"/>
        <v>2518179.25</v>
      </c>
      <c r="K66" s="275">
        <f t="shared" si="5"/>
        <v>20188226.75</v>
      </c>
      <c r="L66" s="275">
        <f t="shared" si="5"/>
        <v>2270636</v>
      </c>
      <c r="M66" s="275">
        <f t="shared" si="5"/>
        <v>47683448</v>
      </c>
    </row>
  </sheetData>
  <mergeCells count="34">
    <mergeCell ref="C57:M57"/>
    <mergeCell ref="J9:J15"/>
    <mergeCell ref="J4:J7"/>
    <mergeCell ref="C30:C32"/>
    <mergeCell ref="C16:C19"/>
    <mergeCell ref="C20:C22"/>
    <mergeCell ref="C24:C25"/>
    <mergeCell ref="C27:C28"/>
    <mergeCell ref="J20:J22"/>
    <mergeCell ref="J16:J19"/>
    <mergeCell ref="I9:I15"/>
    <mergeCell ref="I4:I7"/>
    <mergeCell ref="I30:I32"/>
    <mergeCell ref="I27:I28"/>
    <mergeCell ref="J37:J38"/>
    <mergeCell ref="J30:J32"/>
    <mergeCell ref="I37:I38"/>
    <mergeCell ref="B24:B25"/>
    <mergeCell ref="B37:B38"/>
    <mergeCell ref="C9:C15"/>
    <mergeCell ref="C4:C7"/>
    <mergeCell ref="B30:B32"/>
    <mergeCell ref="B27:B28"/>
    <mergeCell ref="B20:B22"/>
    <mergeCell ref="B16:B19"/>
    <mergeCell ref="C37:C38"/>
    <mergeCell ref="B9:B15"/>
    <mergeCell ref="B4:B7"/>
    <mergeCell ref="J27:J28"/>
    <mergeCell ref="J24:J25"/>
    <mergeCell ref="E1:I1"/>
    <mergeCell ref="I24:I25"/>
    <mergeCell ref="I20:I22"/>
    <mergeCell ref="I16:I19"/>
  </mergeCells>
  <pageMargins left="0.31496062992125984" right="0.11811023622047245" top="0.15748031496062992" bottom="0.15748031496062992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Share Holding Position</vt:lpstr>
      <vt:lpstr>As per Family</vt:lpstr>
      <vt:lpstr>Own and Family</vt:lpstr>
      <vt:lpstr>Detail Up 1st July,2023</vt:lpstr>
      <vt:lpstr>Designation</vt:lpstr>
      <vt:lpstr>Summary</vt:lpstr>
      <vt:lpstr>certificate director</vt:lpstr>
      <vt:lpstr>certificate family Custom</vt:lpstr>
      <vt:lpstr>certificate family</vt:lpstr>
      <vt:lpstr>Calculation</vt:lpstr>
      <vt:lpstr>Workings</vt:lpstr>
      <vt:lpstr>'Share Holding Position'!OLE_LINK5</vt:lpstr>
      <vt:lpstr>'certificate director'!Print_Area</vt:lpstr>
      <vt:lpstr>'certificate family'!Print_Area</vt:lpstr>
      <vt:lpstr>'certificate family Custom'!Print_Area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saiful.mollah</dc:creator>
  <cp:lastModifiedBy>Shafiq Hossain Sourav</cp:lastModifiedBy>
  <cp:lastPrinted>2024-10-01T15:07:28Z</cp:lastPrinted>
  <dcterms:created xsi:type="dcterms:W3CDTF">2018-10-03T03:40:37Z</dcterms:created>
  <dcterms:modified xsi:type="dcterms:W3CDTF">2026-06-26T14:11:43Z</dcterms:modified>
</cp:coreProperties>
</file>