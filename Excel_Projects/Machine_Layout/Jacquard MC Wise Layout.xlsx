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5600" windowHeight="7560" tabRatio="626"/>
  </bookViews>
  <sheets>
    <sheet name="1st Shift Issue Sheet" sheetId="2" r:id="rId1"/>
    <sheet name="2nd Shift Issue Sheet" sheetId="3" r:id="rId2"/>
    <sheet name="(1st+2nd) Shift Combined" sheetId="5" r:id="rId3"/>
    <sheet name="Summery Sheet" sheetId="4" r:id="rId4"/>
    <sheet name="MC Layout" sheetId="6" r:id="rId5"/>
  </sheets>
  <definedNames>
    <definedName name="_xlnm._FilterDatabase" localSheetId="1" hidden="1">'2nd Shift Issue Sheet'!$O$4:$Z$105</definedName>
    <definedName name="_xlnm.Print_Area" localSheetId="2">'(1st+2nd) Shift Combined'!$B$3:$V$24</definedName>
    <definedName name="_xlnm.Print_Area" localSheetId="0">'1st Shift Issue Sheet'!$A$1:$AA$106</definedName>
    <definedName name="_xlnm.Print_Area" localSheetId="1">'2nd Shift Issue Sheet'!$A$1:$AA$106</definedName>
    <definedName name="_xlnm.Print_Area" localSheetId="4">'MC Layout'!$B$2:$BF$142</definedName>
    <definedName name="_xlnm.Print_Area" localSheetId="3">'Summery Sheet'!$C$3:$H$23</definedName>
  </definedNames>
  <calcPr calcId="124519"/>
</workbook>
</file>

<file path=xl/calcChain.xml><?xml version="1.0" encoding="utf-8"?>
<calcChain xmlns="http://schemas.openxmlformats.org/spreadsheetml/2006/main">
  <c r="BB136" i="6"/>
  <c r="AW136"/>
  <c r="AR136"/>
  <c r="AM136"/>
  <c r="AH136"/>
  <c r="BB130"/>
  <c r="AW130"/>
  <c r="AR130"/>
  <c r="AM130"/>
  <c r="AH130"/>
  <c r="BB124"/>
  <c r="AW124"/>
  <c r="AR124"/>
  <c r="AM124"/>
  <c r="AH124"/>
  <c r="BB118"/>
  <c r="AW118"/>
  <c r="AR118"/>
  <c r="AM118"/>
  <c r="AH118"/>
  <c r="BB112"/>
  <c r="AW112"/>
  <c r="AR112"/>
  <c r="AM112"/>
  <c r="AH112"/>
  <c r="BB106"/>
  <c r="AW106"/>
  <c r="AR106"/>
  <c r="AM106"/>
  <c r="AH106"/>
  <c r="BB100"/>
  <c r="AW100"/>
  <c r="AR100"/>
  <c r="AM100"/>
  <c r="AH100"/>
  <c r="BB94"/>
  <c r="AW94"/>
  <c r="AR94"/>
  <c r="AM94"/>
  <c r="AH94"/>
  <c r="BB80"/>
  <c r="AW80"/>
  <c r="AR80"/>
  <c r="AM80"/>
  <c r="AH80"/>
  <c r="BB74"/>
  <c r="AW74"/>
  <c r="AR74"/>
  <c r="AM74"/>
  <c r="AH74"/>
  <c r="BB68"/>
  <c r="AW68"/>
  <c r="AR68"/>
  <c r="AM68"/>
  <c r="AH68"/>
  <c r="BB62"/>
  <c r="AW62"/>
  <c r="AR62"/>
  <c r="AM62"/>
  <c r="AH62"/>
  <c r="BB56"/>
  <c r="AW56"/>
  <c r="AR56"/>
  <c r="AM56"/>
  <c r="AH56"/>
  <c r="BB50"/>
  <c r="AW50"/>
  <c r="AR50"/>
  <c r="AM50"/>
  <c r="AH50"/>
  <c r="BB36"/>
  <c r="AW36"/>
  <c r="AR36"/>
  <c r="AM36"/>
  <c r="AH36"/>
  <c r="BB30"/>
  <c r="AW30"/>
  <c r="AR30"/>
  <c r="AM30"/>
  <c r="AH30"/>
  <c r="BB24"/>
  <c r="AW24"/>
  <c r="AR24"/>
  <c r="AM24"/>
  <c r="AH24"/>
  <c r="BB18"/>
  <c r="AW18"/>
  <c r="AR18"/>
  <c r="AM18"/>
  <c r="AH18"/>
  <c r="BB12"/>
  <c r="AW12"/>
  <c r="AR12"/>
  <c r="AM12"/>
  <c r="AH12"/>
  <c r="BB6"/>
  <c r="AW6"/>
  <c r="AR6"/>
  <c r="AM6"/>
  <c r="AH6"/>
  <c r="W136"/>
  <c r="R136"/>
  <c r="M136"/>
  <c r="H136"/>
  <c r="C136"/>
  <c r="W130"/>
  <c r="R130"/>
  <c r="M130"/>
  <c r="H130"/>
  <c r="C130"/>
  <c r="W124"/>
  <c r="R124"/>
  <c r="M124"/>
  <c r="H124"/>
  <c r="C124"/>
  <c r="W118"/>
  <c r="R118"/>
  <c r="M118"/>
  <c r="H118"/>
  <c r="C118"/>
  <c r="W112"/>
  <c r="R112"/>
  <c r="M112"/>
  <c r="H112"/>
  <c r="C112"/>
  <c r="W106"/>
  <c r="R106"/>
  <c r="M106"/>
  <c r="H106"/>
  <c r="C106"/>
  <c r="W100"/>
  <c r="R100"/>
  <c r="M100"/>
  <c r="H100"/>
  <c r="C100"/>
  <c r="W94"/>
  <c r="R94"/>
  <c r="M94"/>
  <c r="H94"/>
  <c r="C94"/>
  <c r="W80"/>
  <c r="R80"/>
  <c r="M80"/>
  <c r="H80"/>
  <c r="C80"/>
  <c r="W74"/>
  <c r="R74"/>
  <c r="M74"/>
  <c r="H74"/>
  <c r="C74"/>
  <c r="W68"/>
  <c r="R68"/>
  <c r="M68"/>
  <c r="H68"/>
  <c r="C68"/>
  <c r="W62"/>
  <c r="R62"/>
  <c r="M62"/>
  <c r="H62"/>
  <c r="C62"/>
  <c r="W56"/>
  <c r="R56"/>
  <c r="M56"/>
  <c r="H56"/>
  <c r="C56"/>
  <c r="W50"/>
  <c r="R50"/>
  <c r="M50"/>
  <c r="H50"/>
  <c r="C50"/>
  <c r="W36"/>
  <c r="R36"/>
  <c r="M36"/>
  <c r="H36"/>
  <c r="C36"/>
  <c r="W30"/>
  <c r="R30"/>
  <c r="M30"/>
  <c r="H30"/>
  <c r="C30"/>
  <c r="W24"/>
  <c r="R24"/>
  <c r="M24"/>
  <c r="H24"/>
  <c r="C24"/>
  <c r="W18"/>
  <c r="R18"/>
  <c r="M18"/>
  <c r="H18"/>
  <c r="C18"/>
  <c r="W12"/>
  <c r="R12"/>
  <c r="M12"/>
  <c r="H12"/>
  <c r="C12"/>
  <c r="W6"/>
  <c r="R6"/>
  <c r="M6"/>
  <c r="H6"/>
  <c r="BC103" l="1"/>
  <c r="AX103"/>
  <c r="AS103"/>
  <c r="AN103"/>
  <c r="BC109"/>
  <c r="AX109"/>
  <c r="AS109"/>
  <c r="AN109"/>
  <c r="BC115"/>
  <c r="AX115"/>
  <c r="AS115"/>
  <c r="AN115"/>
  <c r="BC121"/>
  <c r="AX121"/>
  <c r="AS121"/>
  <c r="AN121"/>
  <c r="BC127"/>
  <c r="AX127"/>
  <c r="AS127"/>
  <c r="AN127"/>
  <c r="BC133"/>
  <c r="AX133"/>
  <c r="BC139"/>
  <c r="AS133"/>
  <c r="AN133"/>
  <c r="AX139"/>
  <c r="AS139"/>
  <c r="AN139"/>
  <c r="AI139"/>
  <c r="AI133"/>
  <c r="AI127"/>
  <c r="AI121"/>
  <c r="AI115"/>
  <c r="AI109"/>
  <c r="AI103"/>
  <c r="BC97"/>
  <c r="AX97"/>
  <c r="AS97"/>
  <c r="AN97"/>
  <c r="AI97"/>
  <c r="BC83"/>
  <c r="AX83"/>
  <c r="AS83"/>
  <c r="AN83"/>
  <c r="AI83"/>
  <c r="BC77"/>
  <c r="AX77"/>
  <c r="AS77"/>
  <c r="AN77"/>
  <c r="AI77"/>
  <c r="BC71"/>
  <c r="AX71"/>
  <c r="AS71"/>
  <c r="AN71"/>
  <c r="AI71"/>
  <c r="BC65"/>
  <c r="AX65"/>
  <c r="AS65"/>
  <c r="AN65"/>
  <c r="AI65"/>
  <c r="BC59"/>
  <c r="AX59"/>
  <c r="AS59"/>
  <c r="AN59"/>
  <c r="AI59"/>
  <c r="BC53"/>
  <c r="AX53"/>
  <c r="AS53"/>
  <c r="AN53"/>
  <c r="AI53"/>
  <c r="BC39"/>
  <c r="AX39"/>
  <c r="AS39"/>
  <c r="AN39"/>
  <c r="AI39"/>
  <c r="BC33"/>
  <c r="AX33"/>
  <c r="AS33"/>
  <c r="AN33"/>
  <c r="AI33"/>
  <c r="BC27"/>
  <c r="AX27"/>
  <c r="AS27"/>
  <c r="AN27"/>
  <c r="AI27"/>
  <c r="BC21"/>
  <c r="AX21"/>
  <c r="AS21"/>
  <c r="AN21"/>
  <c r="AI21"/>
  <c r="BC15"/>
  <c r="AX15"/>
  <c r="AS15"/>
  <c r="AN15"/>
  <c r="AI15"/>
  <c r="BC9"/>
  <c r="AX9"/>
  <c r="AS9"/>
  <c r="AN9"/>
  <c r="AI9"/>
  <c r="X139"/>
  <c r="S139"/>
  <c r="N139"/>
  <c r="I139"/>
  <c r="X133"/>
  <c r="S133"/>
  <c r="N133"/>
  <c r="I133"/>
  <c r="X127"/>
  <c r="S127"/>
  <c r="N127"/>
  <c r="I127"/>
  <c r="X121"/>
  <c r="S121"/>
  <c r="N121"/>
  <c r="I121"/>
  <c r="X115"/>
  <c r="S115"/>
  <c r="N115"/>
  <c r="N109"/>
  <c r="D139"/>
  <c r="D133"/>
  <c r="D127"/>
  <c r="D121"/>
  <c r="D109"/>
  <c r="I115"/>
  <c r="D115"/>
  <c r="X109"/>
  <c r="S109"/>
  <c r="I109"/>
  <c r="X103"/>
  <c r="S103"/>
  <c r="N103"/>
  <c r="I103"/>
  <c r="D103"/>
  <c r="X97"/>
  <c r="S97"/>
  <c r="N97"/>
  <c r="I97"/>
  <c r="D97"/>
  <c r="X83"/>
  <c r="S83"/>
  <c r="N83"/>
  <c r="I83"/>
  <c r="D83"/>
  <c r="X77"/>
  <c r="S77"/>
  <c r="N77"/>
  <c r="I77"/>
  <c r="D77"/>
  <c r="X71"/>
  <c r="S71"/>
  <c r="N71"/>
  <c r="I71"/>
  <c r="D71"/>
  <c r="X65"/>
  <c r="S65"/>
  <c r="N65"/>
  <c r="I65"/>
  <c r="D65"/>
  <c r="X59"/>
  <c r="S59"/>
  <c r="N59"/>
  <c r="I59"/>
  <c r="D59"/>
  <c r="X53"/>
  <c r="S53"/>
  <c r="N53"/>
  <c r="I53"/>
  <c r="D53"/>
  <c r="X39"/>
  <c r="S39"/>
  <c r="N39"/>
  <c r="I39"/>
  <c r="D39"/>
  <c r="X33"/>
  <c r="S33"/>
  <c r="N33"/>
  <c r="I33"/>
  <c r="D33"/>
  <c r="X27"/>
  <c r="S27"/>
  <c r="N27"/>
  <c r="I27"/>
  <c r="D27"/>
  <c r="X21"/>
  <c r="D21"/>
  <c r="X15"/>
  <c r="S15"/>
  <c r="S21"/>
  <c r="N21"/>
  <c r="I21"/>
  <c r="N15"/>
  <c r="I15"/>
  <c r="D15"/>
  <c r="X9"/>
  <c r="S9"/>
  <c r="N9"/>
  <c r="I9"/>
  <c r="D9"/>
  <c r="N31" i="5"/>
  <c r="C6" i="6" l="1"/>
  <c r="K30" i="5" l="1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30"/>
  <c r="K129"/>
  <c r="D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31"/>
  <c r="F30" l="1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32"/>
  <c r="C33"/>
  <c r="C34"/>
  <c r="C35"/>
  <c r="C31"/>
  <c r="C30"/>
  <c r="AG6" i="2" l="1"/>
  <c r="AG7"/>
  <c r="AG8"/>
  <c r="AG9"/>
  <c r="AG10"/>
  <c r="AI105"/>
  <c r="AH105"/>
  <c r="AG105"/>
  <c r="AF105"/>
  <c r="AI104"/>
  <c r="AH104"/>
  <c r="AG104"/>
  <c r="AF104"/>
  <c r="AI103"/>
  <c r="AH103"/>
  <c r="AG103"/>
  <c r="AF103"/>
  <c r="AI102"/>
  <c r="AH102"/>
  <c r="AG102"/>
  <c r="AF102"/>
  <c r="AI101"/>
  <c r="AH101"/>
  <c r="AG101"/>
  <c r="AF101"/>
  <c r="AI100"/>
  <c r="AH100"/>
  <c r="AG100"/>
  <c r="AF100"/>
  <c r="AI99"/>
  <c r="AH99"/>
  <c r="AG99"/>
  <c r="AF99"/>
  <c r="AI98"/>
  <c r="AH98"/>
  <c r="AG98"/>
  <c r="AF98"/>
  <c r="AI97"/>
  <c r="AH97"/>
  <c r="AG97"/>
  <c r="AF97"/>
  <c r="AI96"/>
  <c r="AH96"/>
  <c r="AG96"/>
  <c r="AF96"/>
  <c r="AI95"/>
  <c r="AH95"/>
  <c r="AG95"/>
  <c r="AF95"/>
  <c r="AI94"/>
  <c r="AH94"/>
  <c r="AG94"/>
  <c r="AF94"/>
  <c r="AI93"/>
  <c r="AH93"/>
  <c r="AG93"/>
  <c r="AF93"/>
  <c r="AI92"/>
  <c r="AH92"/>
  <c r="AG92"/>
  <c r="AF92"/>
  <c r="AI91"/>
  <c r="AH91"/>
  <c r="AG91"/>
  <c r="AF91"/>
  <c r="AI90"/>
  <c r="AH90"/>
  <c r="AG90"/>
  <c r="AF90"/>
  <c r="AI89"/>
  <c r="AH89"/>
  <c r="AG89"/>
  <c r="AF89"/>
  <c r="AI88"/>
  <c r="AH88"/>
  <c r="AG88"/>
  <c r="AF88"/>
  <c r="AI87"/>
  <c r="AH87"/>
  <c r="AG87"/>
  <c r="AF87"/>
  <c r="AI86"/>
  <c r="AH86"/>
  <c r="AG86"/>
  <c r="AF86"/>
  <c r="AI85"/>
  <c r="AH85"/>
  <c r="AG85"/>
  <c r="AF85"/>
  <c r="AI84"/>
  <c r="AH84"/>
  <c r="AG84"/>
  <c r="AF84"/>
  <c r="AI83"/>
  <c r="AH83"/>
  <c r="AG83"/>
  <c r="AF83"/>
  <c r="AI82"/>
  <c r="AH82"/>
  <c r="AG82"/>
  <c r="AF82"/>
  <c r="AI81"/>
  <c r="AH81"/>
  <c r="AG81"/>
  <c r="AF81"/>
  <c r="AI80"/>
  <c r="AH80"/>
  <c r="AG80"/>
  <c r="AF80"/>
  <c r="AI79"/>
  <c r="AH79"/>
  <c r="AG79"/>
  <c r="AF79"/>
  <c r="AI78"/>
  <c r="AH78"/>
  <c r="AG78"/>
  <c r="AF78"/>
  <c r="AI77"/>
  <c r="AH77"/>
  <c r="AG77"/>
  <c r="AF77"/>
  <c r="AI76"/>
  <c r="AH76"/>
  <c r="AG76"/>
  <c r="AF76"/>
  <c r="AI75"/>
  <c r="AH75"/>
  <c r="AG75"/>
  <c r="AF75"/>
  <c r="AI74"/>
  <c r="AH74"/>
  <c r="AG74"/>
  <c r="AF74"/>
  <c r="AI73"/>
  <c r="AH73"/>
  <c r="AG73"/>
  <c r="AF73"/>
  <c r="AI72"/>
  <c r="AH72"/>
  <c r="AG72"/>
  <c r="AF72"/>
  <c r="AI71"/>
  <c r="AH71"/>
  <c r="AG71"/>
  <c r="AF71"/>
  <c r="AI70"/>
  <c r="AH70"/>
  <c r="AG70"/>
  <c r="AF70"/>
  <c r="AI69"/>
  <c r="AH69"/>
  <c r="AG69"/>
  <c r="AF69"/>
  <c r="AI68"/>
  <c r="AH68"/>
  <c r="AG68"/>
  <c r="AF68"/>
  <c r="AI67"/>
  <c r="AH67"/>
  <c r="AG67"/>
  <c r="AF67"/>
  <c r="AI66"/>
  <c r="AH66"/>
  <c r="AG66"/>
  <c r="AF66"/>
  <c r="AI65"/>
  <c r="AH65"/>
  <c r="AG65"/>
  <c r="AF65"/>
  <c r="AI64"/>
  <c r="AH64"/>
  <c r="AG64"/>
  <c r="AF64"/>
  <c r="AI63"/>
  <c r="AH63"/>
  <c r="AG63"/>
  <c r="AF63"/>
  <c r="AI62"/>
  <c r="AH62"/>
  <c r="AG62"/>
  <c r="AF62"/>
  <c r="AI61"/>
  <c r="AH61"/>
  <c r="AG61"/>
  <c r="AF61"/>
  <c r="AI60"/>
  <c r="AH60"/>
  <c r="AG60"/>
  <c r="AF60"/>
  <c r="AI59"/>
  <c r="AH59"/>
  <c r="AG59"/>
  <c r="AF59"/>
  <c r="AI58"/>
  <c r="AH58"/>
  <c r="AG58"/>
  <c r="AF58"/>
  <c r="AI57"/>
  <c r="AH57"/>
  <c r="AG57"/>
  <c r="AF57"/>
  <c r="AI56"/>
  <c r="AH56"/>
  <c r="AG56"/>
  <c r="AF56"/>
  <c r="AI55"/>
  <c r="AH55"/>
  <c r="AG55"/>
  <c r="AF55"/>
  <c r="AI54"/>
  <c r="AH54"/>
  <c r="AG54"/>
  <c r="AF54"/>
  <c r="AI53"/>
  <c r="AH53"/>
  <c r="AG53"/>
  <c r="AF53"/>
  <c r="AI52"/>
  <c r="AH52"/>
  <c r="AG52"/>
  <c r="AF52"/>
  <c r="AI51"/>
  <c r="AH51"/>
  <c r="AG51"/>
  <c r="AF51"/>
  <c r="AI50"/>
  <c r="AH50"/>
  <c r="AG50"/>
  <c r="AF50"/>
  <c r="AI49"/>
  <c r="AH49"/>
  <c r="AG49"/>
  <c r="AF49"/>
  <c r="AI48"/>
  <c r="AH48"/>
  <c r="AG48"/>
  <c r="AF48"/>
  <c r="AI47"/>
  <c r="AH47"/>
  <c r="AG47"/>
  <c r="AF47"/>
  <c r="AI46"/>
  <c r="AH46"/>
  <c r="AG46"/>
  <c r="AF46"/>
  <c r="AI45"/>
  <c r="AH45"/>
  <c r="AG45"/>
  <c r="AF45"/>
  <c r="AI44"/>
  <c r="AH44"/>
  <c r="AG44"/>
  <c r="AF44"/>
  <c r="AI43"/>
  <c r="AH43"/>
  <c r="AG43"/>
  <c r="AF43"/>
  <c r="AI42"/>
  <c r="AH42"/>
  <c r="AG42"/>
  <c r="AF42"/>
  <c r="AI41"/>
  <c r="AH41"/>
  <c r="AG41"/>
  <c r="AF41"/>
  <c r="AI40"/>
  <c r="AH40"/>
  <c r="AG40"/>
  <c r="AF40"/>
  <c r="AI39"/>
  <c r="AH39"/>
  <c r="AG39"/>
  <c r="AF39"/>
  <c r="AI38"/>
  <c r="AH38"/>
  <c r="AG38"/>
  <c r="AF38"/>
  <c r="AI37"/>
  <c r="AH37"/>
  <c r="AG37"/>
  <c r="AF37"/>
  <c r="AI36"/>
  <c r="AH36"/>
  <c r="AG36"/>
  <c r="AF36"/>
  <c r="AI35"/>
  <c r="AH35"/>
  <c r="AG35"/>
  <c r="AF35"/>
  <c r="AI34"/>
  <c r="AH34"/>
  <c r="AG34"/>
  <c r="AF34"/>
  <c r="AI33"/>
  <c r="AH33"/>
  <c r="AG33"/>
  <c r="AF33"/>
  <c r="AI32"/>
  <c r="AH32"/>
  <c r="AG32"/>
  <c r="AF32"/>
  <c r="AI31"/>
  <c r="AH31"/>
  <c r="AG31"/>
  <c r="AF31"/>
  <c r="AI30"/>
  <c r="AH30"/>
  <c r="AG30"/>
  <c r="AF30"/>
  <c r="AI29"/>
  <c r="AH29"/>
  <c r="AG29"/>
  <c r="AF29"/>
  <c r="AI28"/>
  <c r="AH28"/>
  <c r="AG28"/>
  <c r="AF28"/>
  <c r="AI27"/>
  <c r="AH27"/>
  <c r="AG27"/>
  <c r="AF27"/>
  <c r="AI26"/>
  <c r="AH26"/>
  <c r="AG26"/>
  <c r="AF26"/>
  <c r="AI25"/>
  <c r="AH25"/>
  <c r="AG25"/>
  <c r="AF25"/>
  <c r="AI24"/>
  <c r="AH24"/>
  <c r="AG24"/>
  <c r="AF24"/>
  <c r="AI23"/>
  <c r="AH23"/>
  <c r="AG23"/>
  <c r="AF23"/>
  <c r="AI22"/>
  <c r="AH22"/>
  <c r="AG22"/>
  <c r="AF22"/>
  <c r="AI21"/>
  <c r="AH21"/>
  <c r="AG21"/>
  <c r="AF21"/>
  <c r="AI20"/>
  <c r="AH20"/>
  <c r="AG20"/>
  <c r="AF20"/>
  <c r="AI19"/>
  <c r="AH19"/>
  <c r="AG19"/>
  <c r="AF19"/>
  <c r="AI18"/>
  <c r="AH18"/>
  <c r="AG18"/>
  <c r="AF18"/>
  <c r="AI17"/>
  <c r="AH17"/>
  <c r="AG17"/>
  <c r="AF17"/>
  <c r="AI16"/>
  <c r="AH16"/>
  <c r="AG16"/>
  <c r="AF16"/>
  <c r="AI15"/>
  <c r="AH15"/>
  <c r="AG15"/>
  <c r="AF15"/>
  <c r="AI14"/>
  <c r="AH14"/>
  <c r="AG14"/>
  <c r="AF14"/>
  <c r="AI13"/>
  <c r="AH13"/>
  <c r="AG13"/>
  <c r="AF13"/>
  <c r="AI12"/>
  <c r="AH12"/>
  <c r="AG12"/>
  <c r="AF12"/>
  <c r="AI11"/>
  <c r="AH11"/>
  <c r="AG11"/>
  <c r="AF11"/>
  <c r="AI10"/>
  <c r="AH10"/>
  <c r="AF10"/>
  <c r="AI9"/>
  <c r="AH9"/>
  <c r="AF9"/>
  <c r="AI8"/>
  <c r="AH8"/>
  <c r="AF8"/>
  <c r="AI7"/>
  <c r="AH7"/>
  <c r="AF7"/>
  <c r="AI6"/>
  <c r="AH6"/>
  <c r="AF6"/>
  <c r="AI5"/>
  <c r="N30" i="5" s="1"/>
  <c r="AH5" i="2"/>
  <c r="AG5"/>
  <c r="AF5"/>
  <c r="AF6" i="3"/>
  <c r="AG6"/>
  <c r="AH6"/>
  <c r="AI6"/>
  <c r="AF7"/>
  <c r="AG7"/>
  <c r="AH7"/>
  <c r="AI7"/>
  <c r="AF8"/>
  <c r="AG8"/>
  <c r="AH8"/>
  <c r="AI8"/>
  <c r="AF9"/>
  <c r="AG9"/>
  <c r="AH9"/>
  <c r="AI9"/>
  <c r="AF10"/>
  <c r="AG10"/>
  <c r="AH10"/>
  <c r="AI10"/>
  <c r="AF11"/>
  <c r="AG11"/>
  <c r="AH11"/>
  <c r="AI11"/>
  <c r="AF12"/>
  <c r="AG12"/>
  <c r="AH12"/>
  <c r="AI12"/>
  <c r="AF13"/>
  <c r="AG13"/>
  <c r="AH13"/>
  <c r="AI13"/>
  <c r="AF14"/>
  <c r="AG14"/>
  <c r="AH14"/>
  <c r="AI14"/>
  <c r="AF15"/>
  <c r="AG15"/>
  <c r="AH15"/>
  <c r="AI15"/>
  <c r="AF16"/>
  <c r="AG16"/>
  <c r="AH16"/>
  <c r="AI16"/>
  <c r="AF17"/>
  <c r="AG17"/>
  <c r="AH17"/>
  <c r="AI17"/>
  <c r="AF18"/>
  <c r="AG18"/>
  <c r="AH18"/>
  <c r="AI18"/>
  <c r="AF19"/>
  <c r="AG19"/>
  <c r="AH19"/>
  <c r="AI19"/>
  <c r="AF20"/>
  <c r="AG20"/>
  <c r="AH20"/>
  <c r="AI20"/>
  <c r="AF21"/>
  <c r="AG21"/>
  <c r="AH21"/>
  <c r="AI21"/>
  <c r="AF22"/>
  <c r="AG22"/>
  <c r="AH22"/>
  <c r="AI22"/>
  <c r="AF23"/>
  <c r="AG23"/>
  <c r="AH23"/>
  <c r="AI23"/>
  <c r="AF24"/>
  <c r="AG24"/>
  <c r="AH24"/>
  <c r="AI24"/>
  <c r="AF25"/>
  <c r="AG25"/>
  <c r="AH25"/>
  <c r="AI25"/>
  <c r="AF26"/>
  <c r="AG26"/>
  <c r="AH26"/>
  <c r="AI26"/>
  <c r="AF27"/>
  <c r="AG27"/>
  <c r="AH27"/>
  <c r="AI27"/>
  <c r="AF28"/>
  <c r="AG28"/>
  <c r="AH28"/>
  <c r="AI28"/>
  <c r="AF29"/>
  <c r="AG29"/>
  <c r="AH29"/>
  <c r="AI29"/>
  <c r="AF30"/>
  <c r="AG30"/>
  <c r="AH30"/>
  <c r="AI30"/>
  <c r="AF31"/>
  <c r="AG31"/>
  <c r="AH31"/>
  <c r="AI31"/>
  <c r="AF32"/>
  <c r="AG32"/>
  <c r="AH32"/>
  <c r="AI32"/>
  <c r="AF33"/>
  <c r="AG33"/>
  <c r="AH33"/>
  <c r="AI33"/>
  <c r="AF34"/>
  <c r="AG34"/>
  <c r="AH34"/>
  <c r="AI34"/>
  <c r="AF35"/>
  <c r="AG35"/>
  <c r="AH35"/>
  <c r="AI35"/>
  <c r="AF36"/>
  <c r="AG36"/>
  <c r="AH36"/>
  <c r="AI36"/>
  <c r="AF37"/>
  <c r="AG37"/>
  <c r="AH37"/>
  <c r="AI37"/>
  <c r="AF38"/>
  <c r="AG38"/>
  <c r="AH38"/>
  <c r="AI38"/>
  <c r="AF39"/>
  <c r="AG39"/>
  <c r="AH39"/>
  <c r="AI39"/>
  <c r="AF40"/>
  <c r="AG40"/>
  <c r="AH40"/>
  <c r="AI40"/>
  <c r="AF41"/>
  <c r="AG41"/>
  <c r="AH41"/>
  <c r="AI41"/>
  <c r="AF42"/>
  <c r="AG42"/>
  <c r="AH42"/>
  <c r="AI42"/>
  <c r="AF43"/>
  <c r="AG43"/>
  <c r="AH43"/>
  <c r="AI43"/>
  <c r="AF44"/>
  <c r="AG44"/>
  <c r="AH44"/>
  <c r="AI44"/>
  <c r="AF45"/>
  <c r="AG45"/>
  <c r="AH45"/>
  <c r="AI45"/>
  <c r="AF46"/>
  <c r="AG46"/>
  <c r="AH46"/>
  <c r="AI46"/>
  <c r="AF47"/>
  <c r="AG47"/>
  <c r="AH47"/>
  <c r="AI47"/>
  <c r="AF48"/>
  <c r="AG48"/>
  <c r="AH48"/>
  <c r="AI48"/>
  <c r="AF49"/>
  <c r="AG49"/>
  <c r="AH49"/>
  <c r="AI49"/>
  <c r="AF50"/>
  <c r="AG50"/>
  <c r="AH50"/>
  <c r="AI50"/>
  <c r="AF51"/>
  <c r="AG51"/>
  <c r="AH51"/>
  <c r="AI51"/>
  <c r="AF52"/>
  <c r="AG52"/>
  <c r="AH52"/>
  <c r="AI52"/>
  <c r="AF53"/>
  <c r="AG53"/>
  <c r="AH53"/>
  <c r="AI53"/>
  <c r="AF54"/>
  <c r="AG54"/>
  <c r="AH54"/>
  <c r="AI54"/>
  <c r="AF55"/>
  <c r="AG55"/>
  <c r="AH55"/>
  <c r="AI55"/>
  <c r="AF56"/>
  <c r="AG56"/>
  <c r="AH56"/>
  <c r="AI56"/>
  <c r="AF57"/>
  <c r="AG57"/>
  <c r="AH57"/>
  <c r="AI57"/>
  <c r="AF58"/>
  <c r="AG58"/>
  <c r="AH58"/>
  <c r="AI58"/>
  <c r="AF59"/>
  <c r="AG59"/>
  <c r="AH59"/>
  <c r="AI59"/>
  <c r="AF60"/>
  <c r="AG60"/>
  <c r="AH60"/>
  <c r="AI60"/>
  <c r="AF61"/>
  <c r="AG61"/>
  <c r="AH61"/>
  <c r="AI61"/>
  <c r="AF62"/>
  <c r="AG62"/>
  <c r="AH62"/>
  <c r="AI62"/>
  <c r="AF63"/>
  <c r="AG63"/>
  <c r="AH63"/>
  <c r="AI63"/>
  <c r="AF64"/>
  <c r="AG64"/>
  <c r="AH64"/>
  <c r="AI64"/>
  <c r="AF65"/>
  <c r="AG65"/>
  <c r="AH65"/>
  <c r="AI65"/>
  <c r="AF66"/>
  <c r="AG66"/>
  <c r="AH66"/>
  <c r="AI66"/>
  <c r="AF67"/>
  <c r="AG67"/>
  <c r="AH67"/>
  <c r="AI67"/>
  <c r="AF68"/>
  <c r="AG68"/>
  <c r="AH68"/>
  <c r="AI68"/>
  <c r="AF69"/>
  <c r="AG69"/>
  <c r="AH69"/>
  <c r="AI69"/>
  <c r="AF70"/>
  <c r="AG70"/>
  <c r="AH70"/>
  <c r="AI70"/>
  <c r="AF71"/>
  <c r="AG71"/>
  <c r="AH71"/>
  <c r="AI71"/>
  <c r="AF72"/>
  <c r="AG72"/>
  <c r="AH72"/>
  <c r="AI72"/>
  <c r="AF73"/>
  <c r="AG73"/>
  <c r="AH73"/>
  <c r="AI73"/>
  <c r="AF74"/>
  <c r="AG74"/>
  <c r="AH74"/>
  <c r="AI74"/>
  <c r="AF75"/>
  <c r="AG75"/>
  <c r="AH75"/>
  <c r="AI75"/>
  <c r="AF76"/>
  <c r="AG76"/>
  <c r="AH76"/>
  <c r="AI76"/>
  <c r="AF77"/>
  <c r="AG77"/>
  <c r="AH77"/>
  <c r="AI77"/>
  <c r="AF78"/>
  <c r="AG78"/>
  <c r="AH78"/>
  <c r="AI78"/>
  <c r="AF79"/>
  <c r="AG79"/>
  <c r="AH79"/>
  <c r="AI79"/>
  <c r="AF80"/>
  <c r="AG80"/>
  <c r="AH80"/>
  <c r="AI80"/>
  <c r="AF81"/>
  <c r="AG81"/>
  <c r="AH81"/>
  <c r="AI81"/>
  <c r="AF82"/>
  <c r="AG82"/>
  <c r="AH82"/>
  <c r="AI82"/>
  <c r="AF83"/>
  <c r="AG83"/>
  <c r="AH83"/>
  <c r="AI83"/>
  <c r="AF84"/>
  <c r="AG84"/>
  <c r="AH84"/>
  <c r="AI84"/>
  <c r="AF85"/>
  <c r="AG85"/>
  <c r="AH85"/>
  <c r="AI85"/>
  <c r="AF86"/>
  <c r="AG86"/>
  <c r="AH86"/>
  <c r="AI86"/>
  <c r="AF87"/>
  <c r="AG87"/>
  <c r="AH87"/>
  <c r="AI87"/>
  <c r="AF88"/>
  <c r="AG88"/>
  <c r="AH88"/>
  <c r="AI88"/>
  <c r="AF89"/>
  <c r="AG89"/>
  <c r="AH89"/>
  <c r="AI89"/>
  <c r="AF90"/>
  <c r="AG90"/>
  <c r="AH90"/>
  <c r="AI90"/>
  <c r="AF91"/>
  <c r="AG91"/>
  <c r="AH91"/>
  <c r="AI91"/>
  <c r="AF92"/>
  <c r="AG92"/>
  <c r="AH92"/>
  <c r="AI92"/>
  <c r="AF93"/>
  <c r="AG93"/>
  <c r="AH93"/>
  <c r="AI93"/>
  <c r="AF94"/>
  <c r="AG94"/>
  <c r="AH94"/>
  <c r="AI94"/>
  <c r="AF95"/>
  <c r="AG95"/>
  <c r="AH95"/>
  <c r="AI95"/>
  <c r="AF96"/>
  <c r="AG96"/>
  <c r="AH96"/>
  <c r="AI96"/>
  <c r="AF97"/>
  <c r="AG97"/>
  <c r="AH97"/>
  <c r="AI97"/>
  <c r="AF98"/>
  <c r="AG98"/>
  <c r="AH98"/>
  <c r="AI98"/>
  <c r="AF99"/>
  <c r="AG99"/>
  <c r="AH99"/>
  <c r="AI99"/>
  <c r="AF100"/>
  <c r="AG100"/>
  <c r="AH100"/>
  <c r="AI100"/>
  <c r="AF101"/>
  <c r="AG101"/>
  <c r="AH101"/>
  <c r="AI101"/>
  <c r="AF102"/>
  <c r="AG102"/>
  <c r="AH102"/>
  <c r="AI102"/>
  <c r="AF103"/>
  <c r="AG103"/>
  <c r="AH103"/>
  <c r="AI103"/>
  <c r="AF104"/>
  <c r="AG104"/>
  <c r="AH104"/>
  <c r="AI104"/>
  <c r="AF105"/>
  <c r="AG105"/>
  <c r="AH105"/>
  <c r="AI105"/>
  <c r="AI5"/>
  <c r="AH5"/>
  <c r="AF5"/>
  <c r="AG5" s="1"/>
  <c r="G30" i="5" l="1"/>
  <c r="K12" i="4"/>
  <c r="X105" i="2"/>
  <c r="W105"/>
  <c r="Y104"/>
  <c r="Q104"/>
  <c r="Y103"/>
  <c r="Q103"/>
  <c r="Y102"/>
  <c r="Q102"/>
  <c r="Y101"/>
  <c r="Q101"/>
  <c r="Y100"/>
  <c r="Q100"/>
  <c r="Y99"/>
  <c r="Q99"/>
  <c r="Y98"/>
  <c r="Q98"/>
  <c r="Y97"/>
  <c r="Q97"/>
  <c r="Y96"/>
  <c r="Q96"/>
  <c r="Y95"/>
  <c r="Q95"/>
  <c r="Y94"/>
  <c r="Q94"/>
  <c r="Y93"/>
  <c r="Q93"/>
  <c r="Y92"/>
  <c r="Q92"/>
  <c r="Y91"/>
  <c r="Q91"/>
  <c r="Y90"/>
  <c r="Q90"/>
  <c r="Y89"/>
  <c r="Q89"/>
  <c r="Y88"/>
  <c r="Q88"/>
  <c r="Y87"/>
  <c r="Q87"/>
  <c r="Y86"/>
  <c r="Q86"/>
  <c r="Y85"/>
  <c r="Q85"/>
  <c r="Y84"/>
  <c r="Q84"/>
  <c r="Y83"/>
  <c r="Q83"/>
  <c r="Y82"/>
  <c r="Q82"/>
  <c r="Y81"/>
  <c r="Q81"/>
  <c r="Y80"/>
  <c r="Q80"/>
  <c r="Y79"/>
  <c r="Q79"/>
  <c r="Y78"/>
  <c r="Q78"/>
  <c r="Y77"/>
  <c r="Q77"/>
  <c r="Y76"/>
  <c r="Q76"/>
  <c r="Y75"/>
  <c r="Q75"/>
  <c r="Y74"/>
  <c r="Q74"/>
  <c r="Y73"/>
  <c r="Q73"/>
  <c r="Y72"/>
  <c r="Q72"/>
  <c r="Y71"/>
  <c r="Q71"/>
  <c r="Y70"/>
  <c r="Q70"/>
  <c r="Y69"/>
  <c r="Q69"/>
  <c r="Y68"/>
  <c r="Q68"/>
  <c r="Y67"/>
  <c r="Q67"/>
  <c r="Y66"/>
  <c r="Q66"/>
  <c r="Y65"/>
  <c r="Q65"/>
  <c r="Y64"/>
  <c r="Q64"/>
  <c r="Y63"/>
  <c r="Q63"/>
  <c r="Y62"/>
  <c r="Q62"/>
  <c r="Y61"/>
  <c r="Q61"/>
  <c r="Y60"/>
  <c r="Q60"/>
  <c r="Y59"/>
  <c r="Q59"/>
  <c r="Y58"/>
  <c r="Q58"/>
  <c r="Y57"/>
  <c r="Q57"/>
  <c r="Y56"/>
  <c r="Q56"/>
  <c r="Y55"/>
  <c r="Q55"/>
  <c r="Y54"/>
  <c r="Q54"/>
  <c r="Y53"/>
  <c r="Q53"/>
  <c r="Y52"/>
  <c r="Q52"/>
  <c r="Y51"/>
  <c r="Q51"/>
  <c r="Y50"/>
  <c r="Q50"/>
  <c r="Y49"/>
  <c r="Q49"/>
  <c r="Y48"/>
  <c r="Q48"/>
  <c r="Y47"/>
  <c r="Q47"/>
  <c r="Y46"/>
  <c r="Q46"/>
  <c r="Y45"/>
  <c r="Q45"/>
  <c r="Y44"/>
  <c r="Q44"/>
  <c r="Y43"/>
  <c r="Q43"/>
  <c r="Y42"/>
  <c r="Q42"/>
  <c r="Y41"/>
  <c r="Q41"/>
  <c r="Y40"/>
  <c r="Q40"/>
  <c r="Y39"/>
  <c r="Q39"/>
  <c r="Y38"/>
  <c r="Q38"/>
  <c r="Y37"/>
  <c r="Q37"/>
  <c r="Y36"/>
  <c r="Q36"/>
  <c r="Y35"/>
  <c r="Q35"/>
  <c r="Y34"/>
  <c r="Q34"/>
  <c r="Y33"/>
  <c r="Q33"/>
  <c r="Y32"/>
  <c r="Q32"/>
  <c r="Y31"/>
  <c r="Q31"/>
  <c r="Y30"/>
  <c r="Q30"/>
  <c r="Y29"/>
  <c r="Q29"/>
  <c r="Y28"/>
  <c r="Q28"/>
  <c r="Y27"/>
  <c r="Q27"/>
  <c r="Y26"/>
  <c r="Q26"/>
  <c r="Y25"/>
  <c r="Q25"/>
  <c r="Y24"/>
  <c r="Q24"/>
  <c r="Y23"/>
  <c r="Q23"/>
  <c r="Y22"/>
  <c r="Q22"/>
  <c r="Y21"/>
  <c r="Q21"/>
  <c r="Y20"/>
  <c r="Q20"/>
  <c r="Y19"/>
  <c r="Q19"/>
  <c r="Y18"/>
  <c r="Q18"/>
  <c r="Y17"/>
  <c r="Q17"/>
  <c r="Y16"/>
  <c r="Q16"/>
  <c r="Y15"/>
  <c r="Q15"/>
  <c r="Y14"/>
  <c r="Q14"/>
  <c r="Y13"/>
  <c r="Q13"/>
  <c r="Y12"/>
  <c r="Q12"/>
  <c r="Y11"/>
  <c r="Q11"/>
  <c r="Y10"/>
  <c r="Q10"/>
  <c r="Y9"/>
  <c r="Q9"/>
  <c r="Y8"/>
  <c r="Q8"/>
  <c r="Y7"/>
  <c r="Q7"/>
  <c r="Y6"/>
  <c r="Q6"/>
  <c r="Y5"/>
  <c r="Y105" s="1"/>
  <c r="Q5"/>
  <c r="K105"/>
  <c r="J105"/>
  <c r="L104"/>
  <c r="D104"/>
  <c r="L103"/>
  <c r="D103"/>
  <c r="L102"/>
  <c r="D102"/>
  <c r="L101"/>
  <c r="D101"/>
  <c r="L100"/>
  <c r="D100"/>
  <c r="L99"/>
  <c r="D99"/>
  <c r="L98"/>
  <c r="D98"/>
  <c r="L97"/>
  <c r="D97"/>
  <c r="L96"/>
  <c r="D96"/>
  <c r="L95"/>
  <c r="D95"/>
  <c r="L94"/>
  <c r="D94"/>
  <c r="L93"/>
  <c r="D93"/>
  <c r="L92"/>
  <c r="D92"/>
  <c r="L91"/>
  <c r="D91"/>
  <c r="L90"/>
  <c r="D90"/>
  <c r="L89"/>
  <c r="D89"/>
  <c r="L88"/>
  <c r="D88"/>
  <c r="L87"/>
  <c r="D87"/>
  <c r="L86"/>
  <c r="D86"/>
  <c r="L85"/>
  <c r="D85"/>
  <c r="L84"/>
  <c r="D84"/>
  <c r="L83"/>
  <c r="D83"/>
  <c r="L82"/>
  <c r="D82"/>
  <c r="L81"/>
  <c r="D81"/>
  <c r="L80"/>
  <c r="D80"/>
  <c r="L79"/>
  <c r="D79"/>
  <c r="L78"/>
  <c r="D78"/>
  <c r="L77"/>
  <c r="D77"/>
  <c r="L76"/>
  <c r="D76"/>
  <c r="L75"/>
  <c r="D75"/>
  <c r="L74"/>
  <c r="D74"/>
  <c r="L73"/>
  <c r="D73"/>
  <c r="L72"/>
  <c r="D72"/>
  <c r="L71"/>
  <c r="D71"/>
  <c r="L70"/>
  <c r="D70"/>
  <c r="L69"/>
  <c r="D69"/>
  <c r="L68"/>
  <c r="D68"/>
  <c r="L67"/>
  <c r="D67"/>
  <c r="L66"/>
  <c r="D66"/>
  <c r="L65"/>
  <c r="D65"/>
  <c r="L64"/>
  <c r="D64"/>
  <c r="L63"/>
  <c r="D63"/>
  <c r="L62"/>
  <c r="D62"/>
  <c r="L61"/>
  <c r="D61"/>
  <c r="L60"/>
  <c r="D60"/>
  <c r="L59"/>
  <c r="D59"/>
  <c r="L58"/>
  <c r="D58"/>
  <c r="L57"/>
  <c r="D57"/>
  <c r="L56"/>
  <c r="D56"/>
  <c r="L55"/>
  <c r="D55"/>
  <c r="L54"/>
  <c r="D54"/>
  <c r="L53"/>
  <c r="D53"/>
  <c r="L52"/>
  <c r="D52"/>
  <c r="L51"/>
  <c r="D51"/>
  <c r="L50"/>
  <c r="D50"/>
  <c r="L49"/>
  <c r="D49"/>
  <c r="L48"/>
  <c r="D48"/>
  <c r="L47"/>
  <c r="D47"/>
  <c r="L46"/>
  <c r="D46"/>
  <c r="L45"/>
  <c r="D45"/>
  <c r="L44"/>
  <c r="D44"/>
  <c r="L43"/>
  <c r="D43"/>
  <c r="L42"/>
  <c r="D42"/>
  <c r="L41"/>
  <c r="D41"/>
  <c r="L40"/>
  <c r="D40"/>
  <c r="L39"/>
  <c r="D39"/>
  <c r="L38"/>
  <c r="D38"/>
  <c r="L37"/>
  <c r="D37"/>
  <c r="L36"/>
  <c r="D36"/>
  <c r="L35"/>
  <c r="D35"/>
  <c r="L34"/>
  <c r="D34"/>
  <c r="L33"/>
  <c r="D33"/>
  <c r="L32"/>
  <c r="D32"/>
  <c r="L31"/>
  <c r="D31"/>
  <c r="L30"/>
  <c r="D30"/>
  <c r="L29"/>
  <c r="D29"/>
  <c r="L28"/>
  <c r="D28"/>
  <c r="L27"/>
  <c r="D27"/>
  <c r="L26"/>
  <c r="D26"/>
  <c r="L25"/>
  <c r="D25"/>
  <c r="L24"/>
  <c r="D24"/>
  <c r="L23"/>
  <c r="D23"/>
  <c r="L22"/>
  <c r="D22"/>
  <c r="L21"/>
  <c r="D21"/>
  <c r="L20"/>
  <c r="D20"/>
  <c r="L19"/>
  <c r="D19"/>
  <c r="L18"/>
  <c r="D18"/>
  <c r="L17"/>
  <c r="D17"/>
  <c r="L16"/>
  <c r="D16"/>
  <c r="L15"/>
  <c r="D15"/>
  <c r="L14"/>
  <c r="D14"/>
  <c r="L13"/>
  <c r="D13"/>
  <c r="L12"/>
  <c r="D12"/>
  <c r="L11"/>
  <c r="D11"/>
  <c r="L10"/>
  <c r="D10"/>
  <c r="L9"/>
  <c r="D9"/>
  <c r="L8"/>
  <c r="D8"/>
  <c r="L7"/>
  <c r="D7"/>
  <c r="L6"/>
  <c r="D6"/>
  <c r="L5"/>
  <c r="L105" s="1"/>
  <c r="D5"/>
  <c r="Q7" i="3"/>
  <c r="Y7"/>
  <c r="Q8"/>
  <c r="Y8"/>
  <c r="Q9"/>
  <c r="Y9"/>
  <c r="Q10"/>
  <c r="Y10"/>
  <c r="Q11"/>
  <c r="Y11"/>
  <c r="Q12"/>
  <c r="Y12"/>
  <c r="Q13"/>
  <c r="Y13"/>
  <c r="Q14"/>
  <c r="Y14"/>
  <c r="Q15"/>
  <c r="Y15"/>
  <c r="Q16"/>
  <c r="Y16"/>
  <c r="Q17"/>
  <c r="Y17"/>
  <c r="Q18"/>
  <c r="Y18"/>
  <c r="Q19"/>
  <c r="Y19"/>
  <c r="Q20"/>
  <c r="Y20"/>
  <c r="Q21"/>
  <c r="Y21"/>
  <c r="Q22"/>
  <c r="Y22"/>
  <c r="Q23"/>
  <c r="Y23"/>
  <c r="Q24"/>
  <c r="Y24"/>
  <c r="Q25"/>
  <c r="Y25"/>
  <c r="Q26"/>
  <c r="Y26"/>
  <c r="Q27"/>
  <c r="Y27"/>
  <c r="Q28"/>
  <c r="Y28"/>
  <c r="Q29"/>
  <c r="Y29"/>
  <c r="Q30"/>
  <c r="Y30"/>
  <c r="Q31"/>
  <c r="Y31"/>
  <c r="Q32"/>
  <c r="Y32"/>
  <c r="Q33"/>
  <c r="Y33"/>
  <c r="Q34"/>
  <c r="Y34"/>
  <c r="Q35"/>
  <c r="Y35"/>
  <c r="Q36"/>
  <c r="Y36"/>
  <c r="Q37"/>
  <c r="Y37"/>
  <c r="Q38"/>
  <c r="Y38"/>
  <c r="Q39"/>
  <c r="Y39"/>
  <c r="Q40"/>
  <c r="Y40"/>
  <c r="Q41"/>
  <c r="Y41"/>
  <c r="Q42"/>
  <c r="Y42"/>
  <c r="Q43"/>
  <c r="Y43"/>
  <c r="Q44"/>
  <c r="Y44"/>
  <c r="Q45"/>
  <c r="Y45"/>
  <c r="Q46"/>
  <c r="Y46"/>
  <c r="Q47"/>
  <c r="Y47"/>
  <c r="Q48"/>
  <c r="Y48"/>
  <c r="Q49"/>
  <c r="Y49"/>
  <c r="Q50"/>
  <c r="Y50"/>
  <c r="Q51"/>
  <c r="Y51"/>
  <c r="Q52"/>
  <c r="Y52"/>
  <c r="Q53"/>
  <c r="Y53"/>
  <c r="Q54"/>
  <c r="Y54"/>
  <c r="Q55"/>
  <c r="Y55"/>
  <c r="Q56"/>
  <c r="Y56"/>
  <c r="Q57"/>
  <c r="Y57"/>
  <c r="Q58"/>
  <c r="Y58"/>
  <c r="Q59"/>
  <c r="Y59"/>
  <c r="Q60"/>
  <c r="Y60"/>
  <c r="Q61"/>
  <c r="Y61"/>
  <c r="Q62"/>
  <c r="Y62"/>
  <c r="Q63"/>
  <c r="Y63"/>
  <c r="Q64"/>
  <c r="Y64"/>
  <c r="Q65"/>
  <c r="Y65"/>
  <c r="Q66"/>
  <c r="Y66"/>
  <c r="Q67"/>
  <c r="Y67"/>
  <c r="Q68"/>
  <c r="Y68"/>
  <c r="Q69"/>
  <c r="Y69"/>
  <c r="Q70"/>
  <c r="Y70"/>
  <c r="Q71"/>
  <c r="Y71"/>
  <c r="Q72"/>
  <c r="Y72"/>
  <c r="Q73"/>
  <c r="Y73"/>
  <c r="Q74"/>
  <c r="Y74"/>
  <c r="Q75"/>
  <c r="Y75"/>
  <c r="Q76"/>
  <c r="Y76"/>
  <c r="Q77"/>
  <c r="Y77"/>
  <c r="Q78"/>
  <c r="Y78"/>
  <c r="Q79"/>
  <c r="Y79"/>
  <c r="Q80"/>
  <c r="Y80"/>
  <c r="Q81"/>
  <c r="Y81"/>
  <c r="Q82"/>
  <c r="Y82"/>
  <c r="Q83"/>
  <c r="Y83"/>
  <c r="Q84"/>
  <c r="Y84"/>
  <c r="Q85"/>
  <c r="Y85"/>
  <c r="Q86"/>
  <c r="Y86"/>
  <c r="Q87"/>
  <c r="Y87"/>
  <c r="Q88"/>
  <c r="Y88"/>
  <c r="Q89"/>
  <c r="Y89"/>
  <c r="Q90"/>
  <c r="Y90"/>
  <c r="Q91"/>
  <c r="Y91"/>
  <c r="Q92"/>
  <c r="Y92"/>
  <c r="Q93"/>
  <c r="Y93"/>
  <c r="Q94"/>
  <c r="Y94"/>
  <c r="Q95"/>
  <c r="Y95"/>
  <c r="Q96"/>
  <c r="Y96"/>
  <c r="Q97"/>
  <c r="Y97"/>
  <c r="Q98"/>
  <c r="Y98"/>
  <c r="Q99"/>
  <c r="Y99"/>
  <c r="Q100"/>
  <c r="Y100"/>
  <c r="Q101"/>
  <c r="Y101"/>
  <c r="Q102"/>
  <c r="Y102"/>
  <c r="Q103"/>
  <c r="Y103"/>
  <c r="Q104"/>
  <c r="Y104"/>
  <c r="D9"/>
  <c r="L9"/>
  <c r="D10"/>
  <c r="L10"/>
  <c r="D11"/>
  <c r="L11"/>
  <c r="D12"/>
  <c r="L12"/>
  <c r="D13"/>
  <c r="L13"/>
  <c r="D14"/>
  <c r="L14"/>
  <c r="D15"/>
  <c r="L15"/>
  <c r="D16"/>
  <c r="L16"/>
  <c r="D17"/>
  <c r="L17"/>
  <c r="D18"/>
  <c r="L18"/>
  <c r="D19"/>
  <c r="L19"/>
  <c r="D20"/>
  <c r="L20"/>
  <c r="D21"/>
  <c r="L21"/>
  <c r="D22"/>
  <c r="L22"/>
  <c r="D23"/>
  <c r="L23"/>
  <c r="D24"/>
  <c r="L24"/>
  <c r="D25"/>
  <c r="L25"/>
  <c r="D26"/>
  <c r="L26"/>
  <c r="D27"/>
  <c r="L27"/>
  <c r="D28"/>
  <c r="L28"/>
  <c r="D29"/>
  <c r="L29"/>
  <c r="D30"/>
  <c r="L30"/>
  <c r="D31"/>
  <c r="L31"/>
  <c r="D32"/>
  <c r="L32"/>
  <c r="D33"/>
  <c r="L33"/>
  <c r="D34"/>
  <c r="L34"/>
  <c r="D35"/>
  <c r="L35"/>
  <c r="D36"/>
  <c r="L36"/>
  <c r="D37"/>
  <c r="L37"/>
  <c r="D38"/>
  <c r="L38"/>
  <c r="D39"/>
  <c r="L39"/>
  <c r="D40"/>
  <c r="L40"/>
  <c r="D41"/>
  <c r="L41"/>
  <c r="D42"/>
  <c r="L42"/>
  <c r="D43"/>
  <c r="L43"/>
  <c r="D44"/>
  <c r="L44"/>
  <c r="D45"/>
  <c r="L45"/>
  <c r="D46"/>
  <c r="L46"/>
  <c r="D47"/>
  <c r="L47"/>
  <c r="D48"/>
  <c r="L48"/>
  <c r="D49"/>
  <c r="L49"/>
  <c r="D50"/>
  <c r="L50"/>
  <c r="D51"/>
  <c r="L51"/>
  <c r="D52"/>
  <c r="L52"/>
  <c r="D53"/>
  <c r="L53"/>
  <c r="D54"/>
  <c r="L54"/>
  <c r="D55"/>
  <c r="L55"/>
  <c r="D56"/>
  <c r="L56"/>
  <c r="D57"/>
  <c r="L57"/>
  <c r="D58"/>
  <c r="L58"/>
  <c r="D59"/>
  <c r="L59"/>
  <c r="D60"/>
  <c r="L60"/>
  <c r="D61"/>
  <c r="L61"/>
  <c r="D62"/>
  <c r="L62"/>
  <c r="D63"/>
  <c r="L63"/>
  <c r="D64"/>
  <c r="L64"/>
  <c r="D65"/>
  <c r="L65"/>
  <c r="D66"/>
  <c r="L66"/>
  <c r="D67"/>
  <c r="L67"/>
  <c r="D68"/>
  <c r="L68"/>
  <c r="D69"/>
  <c r="L69"/>
  <c r="D70"/>
  <c r="L70"/>
  <c r="D71"/>
  <c r="L71"/>
  <c r="D72"/>
  <c r="L72"/>
  <c r="D73"/>
  <c r="L73"/>
  <c r="D74"/>
  <c r="L74"/>
  <c r="D75"/>
  <c r="L75"/>
  <c r="D76"/>
  <c r="L76"/>
  <c r="D77"/>
  <c r="L77"/>
  <c r="D78"/>
  <c r="L78"/>
  <c r="D79"/>
  <c r="L79"/>
  <c r="D80"/>
  <c r="L80"/>
  <c r="D81"/>
  <c r="L81"/>
  <c r="D82"/>
  <c r="L82"/>
  <c r="D83"/>
  <c r="L83"/>
  <c r="D84"/>
  <c r="L84"/>
  <c r="D85"/>
  <c r="L85"/>
  <c r="D86"/>
  <c r="L86"/>
  <c r="D87"/>
  <c r="L87"/>
  <c r="D88"/>
  <c r="L88"/>
  <c r="D89"/>
  <c r="L89"/>
  <c r="D90"/>
  <c r="L90"/>
  <c r="D91"/>
  <c r="L91"/>
  <c r="D92"/>
  <c r="L92"/>
  <c r="D93"/>
  <c r="L93"/>
  <c r="D94"/>
  <c r="L94"/>
  <c r="D95"/>
  <c r="L95"/>
  <c r="D96"/>
  <c r="L96"/>
  <c r="D97"/>
  <c r="L97"/>
  <c r="D98"/>
  <c r="L98"/>
  <c r="D99"/>
  <c r="L99"/>
  <c r="D100"/>
  <c r="L100"/>
  <c r="D101"/>
  <c r="L101"/>
  <c r="D102"/>
  <c r="L102"/>
  <c r="D103"/>
  <c r="L103"/>
  <c r="D104"/>
  <c r="L104"/>
  <c r="D8"/>
  <c r="L8"/>
  <c r="X105"/>
  <c r="W105"/>
  <c r="Y6"/>
  <c r="Q6"/>
  <c r="Y5"/>
  <c r="Q5"/>
  <c r="L6"/>
  <c r="L7"/>
  <c r="L5"/>
  <c r="L105" s="1"/>
  <c r="E10" i="5"/>
  <c r="U10"/>
  <c r="T10"/>
  <c r="U9"/>
  <c r="T9"/>
  <c r="K10"/>
  <c r="K9"/>
  <c r="J10"/>
  <c r="J9"/>
  <c r="P9"/>
  <c r="P10"/>
  <c r="O10"/>
  <c r="O9"/>
  <c r="O22" s="1"/>
  <c r="E9"/>
  <c r="F10"/>
  <c r="G9" i="4" s="1"/>
  <c r="F9" i="5"/>
  <c r="U22"/>
  <c r="K11" i="4"/>
  <c r="G8" l="1"/>
  <c r="F9"/>
  <c r="F8"/>
  <c r="F21" s="1"/>
  <c r="Y105" i="3"/>
  <c r="J22" i="5"/>
  <c r="T22"/>
  <c r="G21" i="4"/>
  <c r="K22" i="5"/>
  <c r="P22"/>
  <c r="E22"/>
  <c r="F22"/>
  <c r="K105" i="3" l="1"/>
  <c r="K14" i="4" s="1"/>
  <c r="J105" i="3"/>
  <c r="K13" i="4" s="1"/>
  <c r="D7" i="3"/>
  <c r="D6"/>
  <c r="D5"/>
  <c r="K15" i="4" l="1"/>
</calcChain>
</file>

<file path=xl/comments1.xml><?xml version="1.0" encoding="utf-8"?>
<comments xmlns="http://schemas.openxmlformats.org/spreadsheetml/2006/main">
  <authors>
    <author>CTSL</author>
  </authors>
  <commentList>
    <comment ref="C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5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5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5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5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5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5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5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5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5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5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5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5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5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5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6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6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6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6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6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6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6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6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6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6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6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6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6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6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7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7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7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7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7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7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7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7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7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8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8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8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8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8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8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8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9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9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9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9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9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9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9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9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9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9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0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0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0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0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0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0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0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10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10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0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0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0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0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0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0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0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10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10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1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112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1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118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1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124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1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130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1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136" authorId="0">
      <text>
        <r>
          <rPr>
            <sz val="14"/>
            <color indexed="81"/>
            <rFont val="Cambria"/>
            <family val="1"/>
            <scheme val="major"/>
          </rPr>
          <t>Buyer:
Style:
P.O:
Colour:
Size:
Qty: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<sst xmlns="http://schemas.openxmlformats.org/spreadsheetml/2006/main" count="339" uniqueCount="234">
  <si>
    <t>Buyer</t>
  </si>
  <si>
    <t>Style</t>
  </si>
  <si>
    <t>P.O</t>
  </si>
  <si>
    <t>Colour</t>
  </si>
  <si>
    <t>Remarks</t>
  </si>
  <si>
    <t>Kiabi</t>
  </si>
  <si>
    <t>M/C No</t>
  </si>
  <si>
    <t>Production</t>
  </si>
  <si>
    <t>Size</t>
  </si>
  <si>
    <t>Working Hour (Min)</t>
  </si>
  <si>
    <t>Lost Time (Min)</t>
  </si>
  <si>
    <t>Effective Time (Min)</t>
  </si>
  <si>
    <t>Total</t>
  </si>
  <si>
    <t xml:space="preserve">Buyer </t>
  </si>
  <si>
    <t>2nd Shift</t>
  </si>
  <si>
    <t>Total M/C</t>
  </si>
  <si>
    <t>M/C</t>
  </si>
  <si>
    <t>Pcs Qty</t>
  </si>
  <si>
    <t>Gesfi</t>
  </si>
  <si>
    <t>Gpans</t>
  </si>
  <si>
    <t>Grand Total</t>
  </si>
  <si>
    <t>Style  Wise Running M/C</t>
  </si>
  <si>
    <t>Total Production</t>
  </si>
  <si>
    <t>16Gesfi</t>
  </si>
  <si>
    <t>Total (Left Side-1st Shift)</t>
  </si>
  <si>
    <t>Total (Right Side-2nd Shift)</t>
  </si>
  <si>
    <t>Total (Right Side-1st Shift)</t>
  </si>
  <si>
    <t>Total (Left Side-2nd Shift)</t>
  </si>
  <si>
    <t>Style  Wise Running M/C (1st Shift)</t>
  </si>
  <si>
    <t>Style  Wise Running M/C (2nd Shift)</t>
  </si>
  <si>
    <t>Total Effective Time (Min)</t>
  </si>
  <si>
    <t>Total Lost Time (Min)</t>
  </si>
  <si>
    <t>Total Working Hour (Min)</t>
  </si>
  <si>
    <t xml:space="preserve">1st Shift </t>
  </si>
  <si>
    <t>Issue Date</t>
  </si>
  <si>
    <t>Today</t>
  </si>
  <si>
    <t>Difference</t>
  </si>
  <si>
    <t>Qty</t>
  </si>
  <si>
    <t>Status</t>
  </si>
  <si>
    <t>Count</t>
  </si>
  <si>
    <t>Cmmnts</t>
  </si>
  <si>
    <t>M/C No-01</t>
  </si>
  <si>
    <t>M/C No-02</t>
  </si>
  <si>
    <t>M/C No-03</t>
  </si>
  <si>
    <t>M/C No-04</t>
  </si>
  <si>
    <t>M/C No-05</t>
  </si>
  <si>
    <t>M/C No-06</t>
  </si>
  <si>
    <t>M/C No-07</t>
  </si>
  <si>
    <t>M/C No-08</t>
  </si>
  <si>
    <t>M/C No-09</t>
  </si>
  <si>
    <t>M/C No-10</t>
  </si>
  <si>
    <t>M/C No-11</t>
  </si>
  <si>
    <t>M/C No-12</t>
  </si>
  <si>
    <t>M/C No-13</t>
  </si>
  <si>
    <t>M/C No-14</t>
  </si>
  <si>
    <t>M/C No-15</t>
  </si>
  <si>
    <t>M/C No-16</t>
  </si>
  <si>
    <t>M/C No-17</t>
  </si>
  <si>
    <t>M/C No-18</t>
  </si>
  <si>
    <t>M/C No-19</t>
  </si>
  <si>
    <t>M/C No-20</t>
  </si>
  <si>
    <t>M/C No-21</t>
  </si>
  <si>
    <t>M/C No-22</t>
  </si>
  <si>
    <t>M/C No-23</t>
  </si>
  <si>
    <t>M/C No-24</t>
  </si>
  <si>
    <t>M/C No-25</t>
  </si>
  <si>
    <t>M/C No-26</t>
  </si>
  <si>
    <t>M/C No-27</t>
  </si>
  <si>
    <t>M/C No-28</t>
  </si>
  <si>
    <t>M/C No-29</t>
  </si>
  <si>
    <t>M/C No-30</t>
  </si>
  <si>
    <t>M/C No-31</t>
  </si>
  <si>
    <t>M/C No-32</t>
  </si>
  <si>
    <t>M/C No-33</t>
  </si>
  <si>
    <t>M/C No-34</t>
  </si>
  <si>
    <t>M/C No-35</t>
  </si>
  <si>
    <t>M/C No-36</t>
  </si>
  <si>
    <t>M/C No-37</t>
  </si>
  <si>
    <t>M/C No-38</t>
  </si>
  <si>
    <t>M/C No-39</t>
  </si>
  <si>
    <t>M/C No-40</t>
  </si>
  <si>
    <t>M/C No-41</t>
  </si>
  <si>
    <t>M/C No-42</t>
  </si>
  <si>
    <t>M/C No-43</t>
  </si>
  <si>
    <t>M/C No-44</t>
  </si>
  <si>
    <t>M/C No-45</t>
  </si>
  <si>
    <t>M/C No-46</t>
  </si>
  <si>
    <t>M/C No-47</t>
  </si>
  <si>
    <t>M/C No-48</t>
  </si>
  <si>
    <t>M/C No-49</t>
  </si>
  <si>
    <t>M/C No-50</t>
  </si>
  <si>
    <t>M/C No-51</t>
  </si>
  <si>
    <t>M/C No-52</t>
  </si>
  <si>
    <t>M/C No-53</t>
  </si>
  <si>
    <t>M/C No-54</t>
  </si>
  <si>
    <t>M/C No-55</t>
  </si>
  <si>
    <t>M/C No-56</t>
  </si>
  <si>
    <t>M/C No-57</t>
  </si>
  <si>
    <t>M/C No-59</t>
  </si>
  <si>
    <t>M/C No-58</t>
  </si>
  <si>
    <t>M/C No-60</t>
  </si>
  <si>
    <t>M/C No-61</t>
  </si>
  <si>
    <t>M/C No-62</t>
  </si>
  <si>
    <t>M/C No-63</t>
  </si>
  <si>
    <t>M/C No-64</t>
  </si>
  <si>
    <t>M/C No-65</t>
  </si>
  <si>
    <t>M/C No-66</t>
  </si>
  <si>
    <t>M/C No-67</t>
  </si>
  <si>
    <t>M/C No-68</t>
  </si>
  <si>
    <t>M/C No-69</t>
  </si>
  <si>
    <t>M/C No-70</t>
  </si>
  <si>
    <t>M/C No-71</t>
  </si>
  <si>
    <t>M/C No-72</t>
  </si>
  <si>
    <t>M/C No-73</t>
  </si>
  <si>
    <t>M/C No-74</t>
  </si>
  <si>
    <t>M/C No-75</t>
  </si>
  <si>
    <t>M/C No-76</t>
  </si>
  <si>
    <t>M/C No-77</t>
  </si>
  <si>
    <t>M/C No-78</t>
  </si>
  <si>
    <t>M/C No-79</t>
  </si>
  <si>
    <t>M/C No-80</t>
  </si>
  <si>
    <t>M/C No-81</t>
  </si>
  <si>
    <t>M/C No-82</t>
  </si>
  <si>
    <t>M/C No-83</t>
  </si>
  <si>
    <t>M/C No-84</t>
  </si>
  <si>
    <t>M/C No-85</t>
  </si>
  <si>
    <t>M/C No-86</t>
  </si>
  <si>
    <t>M/C No-87</t>
  </si>
  <si>
    <t>M/C No-88</t>
  </si>
  <si>
    <t>M/C No-89</t>
  </si>
  <si>
    <t>M/C No-90</t>
  </si>
  <si>
    <t>M/C No-91</t>
  </si>
  <si>
    <t>M/C No-92</t>
  </si>
  <si>
    <t>M/C No-93</t>
  </si>
  <si>
    <t>M/C No-94</t>
  </si>
  <si>
    <t>M/C No-95</t>
  </si>
  <si>
    <t>M/C No-96</t>
  </si>
  <si>
    <t>M/C No-97</t>
  </si>
  <si>
    <t>M/C No-98</t>
  </si>
  <si>
    <t>M/C No-99</t>
  </si>
  <si>
    <t>M/C No-100</t>
  </si>
  <si>
    <t>M/C No-101</t>
  </si>
  <si>
    <t>M/C No-102</t>
  </si>
  <si>
    <t>M/C No-103</t>
  </si>
  <si>
    <t>M/C No-104</t>
  </si>
  <si>
    <t>M/C No-105</t>
  </si>
  <si>
    <t>M/C No-106</t>
  </si>
  <si>
    <t>M/C No-111</t>
  </si>
  <si>
    <t>M/C No-112</t>
  </si>
  <si>
    <t>M/C No-107</t>
  </si>
  <si>
    <t>M/C No-108</t>
  </si>
  <si>
    <t>M/C No-109</t>
  </si>
  <si>
    <t>M/C No-113</t>
  </si>
  <si>
    <t>M/C No-116</t>
  </si>
  <si>
    <t>M/C No-121</t>
  </si>
  <si>
    <t>M/C No-126</t>
  </si>
  <si>
    <t>M/C No-127</t>
  </si>
  <si>
    <t>M/C No-128</t>
  </si>
  <si>
    <t>M/C No-219</t>
  </si>
  <si>
    <t>M/C No-131</t>
  </si>
  <si>
    <t>M/C No-132</t>
  </si>
  <si>
    <t>M/C No-133</t>
  </si>
  <si>
    <t>M/C No-134</t>
  </si>
  <si>
    <t>M/C No-136</t>
  </si>
  <si>
    <t>M/C No-137</t>
  </si>
  <si>
    <t>M/C No-138</t>
  </si>
  <si>
    <t>M/C No-139</t>
  </si>
  <si>
    <t>M/C No-141</t>
  </si>
  <si>
    <t>M/C No-142</t>
  </si>
  <si>
    <t>M/C No-143</t>
  </si>
  <si>
    <t>M/C No-144</t>
  </si>
  <si>
    <t>M/C No-149</t>
  </si>
  <si>
    <t>M/C No-148</t>
  </si>
  <si>
    <t>M/C No-147</t>
  </si>
  <si>
    <t>M/C No-146</t>
  </si>
  <si>
    <t>M/C No-151</t>
  </si>
  <si>
    <t>M/C No-156</t>
  </si>
  <si>
    <t>M/C No-157</t>
  </si>
  <si>
    <t>M/C No-152</t>
  </si>
  <si>
    <t>M/C No-153</t>
  </si>
  <si>
    <t>M/C No-158</t>
  </si>
  <si>
    <t>M/C No-159</t>
  </si>
  <si>
    <t>M/C No-154</t>
  </si>
  <si>
    <t>M/C No-161</t>
  </si>
  <si>
    <t>M/C No-162</t>
  </si>
  <si>
    <t>M/C No-163</t>
  </si>
  <si>
    <t>M/C No-164</t>
  </si>
  <si>
    <t>M/C No-166</t>
  </si>
  <si>
    <t>M/C No-167</t>
  </si>
  <si>
    <t>M/C No-168</t>
  </si>
  <si>
    <t>M/C No-169</t>
  </si>
  <si>
    <t>M/C No-171</t>
  </si>
  <si>
    <t>M/C No-172</t>
  </si>
  <si>
    <t>M/C No-173</t>
  </si>
  <si>
    <t>M/C No-174</t>
  </si>
  <si>
    <t>M/C No-176</t>
  </si>
  <si>
    <t>M/C No-177</t>
  </si>
  <si>
    <t>M/C No-178</t>
  </si>
  <si>
    <t>M/C No-179</t>
  </si>
  <si>
    <t>M/C No-184</t>
  </si>
  <si>
    <t>M/C No-183</t>
  </si>
  <si>
    <t>M/C No-182</t>
  </si>
  <si>
    <t>M/C No-181</t>
  </si>
  <si>
    <t>M/C No-189</t>
  </si>
  <si>
    <t>M/C No-188</t>
  </si>
  <si>
    <t>M/C No-187</t>
  </si>
  <si>
    <t>M/C No-186</t>
  </si>
  <si>
    <t>M/C No-191</t>
  </si>
  <si>
    <t>M/C No-192</t>
  </si>
  <si>
    <t>M/C No-193</t>
  </si>
  <si>
    <t>M/C No-194</t>
  </si>
  <si>
    <t>M/C No-199</t>
  </si>
  <si>
    <t>M/C No-198</t>
  </si>
  <si>
    <t>M/C No-197</t>
  </si>
  <si>
    <t>M/C No-196</t>
  </si>
  <si>
    <t>M/C No-200</t>
  </si>
  <si>
    <t>M/C No-195</t>
  </si>
  <si>
    <t>M/C No-190</t>
  </si>
  <si>
    <t>M/C No-185</t>
  </si>
  <si>
    <t>M/C No-180</t>
  </si>
  <si>
    <t>M/C No-175</t>
  </si>
  <si>
    <t>M/C No-170</t>
  </si>
  <si>
    <t>M/C No-165</t>
  </si>
  <si>
    <t>M/C No-155</t>
  </si>
  <si>
    <t>M/C No-150</t>
  </si>
  <si>
    <t>M/C No-145</t>
  </si>
  <si>
    <t>M/C No-140</t>
  </si>
  <si>
    <t>M/C No-135</t>
  </si>
  <si>
    <t>M/C No-130</t>
  </si>
  <si>
    <t>M/C No-125</t>
  </si>
  <si>
    <t>M/C No-120</t>
  </si>
  <si>
    <t>M/C No-115</t>
  </si>
  <si>
    <t>M/C No-110</t>
  </si>
  <si>
    <t>PATH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</si>
</sst>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  <numFmt numFmtId="166" formatCode="[$-409]d\-mmm;@"/>
  </numFmts>
  <fonts count="19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sz val="16"/>
      <name val="Cambria"/>
      <family val="1"/>
      <scheme val="major"/>
    </font>
    <font>
      <sz val="11"/>
      <color theme="1"/>
      <name val="Calibri"/>
      <family val="2"/>
      <charset val="1"/>
      <scheme val="minor"/>
    </font>
    <font>
      <b/>
      <i/>
      <sz val="12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4"/>
      <color theme="1"/>
      <name val="Cambria"/>
      <family val="1"/>
      <scheme val="major"/>
    </font>
    <font>
      <i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9"/>
      <color indexed="81"/>
      <name val="Tahoma"/>
      <family val="2"/>
    </font>
    <font>
      <sz val="14"/>
      <color indexed="81"/>
      <name val="Cambria"/>
      <family val="1"/>
      <scheme val="major"/>
    </font>
    <font>
      <sz val="16"/>
      <color rgb="FF00FF00"/>
      <name val="Cambria"/>
      <family val="1"/>
      <scheme val="major"/>
    </font>
    <font>
      <b/>
      <sz val="26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0625"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CC00F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FF00"/>
      </top>
      <bottom style="medium">
        <color rgb="FF00FF00"/>
      </bottom>
      <diagonal/>
    </border>
    <border>
      <left style="medium">
        <color rgb="FF00FF00"/>
      </left>
      <right style="thin">
        <color indexed="64"/>
      </right>
      <top style="medium">
        <color rgb="FF00FF00"/>
      </top>
      <bottom style="medium">
        <color rgb="FF00FF00"/>
      </bottom>
      <diagonal/>
    </border>
    <border>
      <left style="thin">
        <color indexed="64"/>
      </left>
      <right/>
      <top style="medium">
        <color rgb="FF00FF00"/>
      </top>
      <bottom style="medium">
        <color rgb="FF00FF00"/>
      </bottom>
      <diagonal/>
    </border>
    <border>
      <left style="medium">
        <color rgb="FF00FF00"/>
      </left>
      <right/>
      <top/>
      <bottom/>
      <diagonal/>
    </border>
    <border>
      <left/>
      <right style="medium">
        <color rgb="FF00FF00"/>
      </right>
      <top/>
      <bottom/>
      <diagonal/>
    </border>
    <border>
      <left style="medium">
        <color rgb="FF00FF00"/>
      </left>
      <right/>
      <top style="medium">
        <color rgb="FF00FF00"/>
      </top>
      <bottom style="medium">
        <color rgb="FF00FF00"/>
      </bottom>
      <diagonal/>
    </border>
    <border>
      <left/>
      <right/>
      <top style="medium">
        <color rgb="FF00FF00"/>
      </top>
      <bottom style="medium">
        <color rgb="FF00FF00"/>
      </bottom>
      <diagonal/>
    </border>
    <border>
      <left/>
      <right style="medium">
        <color rgb="FF00FF00"/>
      </right>
      <top style="medium">
        <color rgb="FF00FF00"/>
      </top>
      <bottom style="medium">
        <color rgb="FF00FF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00FF00"/>
      </top>
      <bottom style="medium">
        <color rgb="FF00FF00"/>
      </bottom>
      <diagonal/>
    </border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  <diagonal/>
    </border>
    <border>
      <left style="medium">
        <color rgb="FF00FF00"/>
      </left>
      <right style="thin">
        <color indexed="64"/>
      </right>
      <top style="medium">
        <color rgb="FF00FF00"/>
      </top>
      <bottom style="thin">
        <color indexed="64"/>
      </bottom>
      <diagonal/>
    </border>
    <border>
      <left/>
      <right style="thin">
        <color indexed="64"/>
      </right>
      <top style="medium">
        <color rgb="FF00FF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FF00"/>
      </top>
      <bottom style="thin">
        <color indexed="64"/>
      </bottom>
      <diagonal/>
    </border>
    <border>
      <left style="thin">
        <color indexed="64"/>
      </left>
      <right style="medium">
        <color rgb="FF00FF00"/>
      </right>
      <top style="medium">
        <color rgb="FF00FF00"/>
      </top>
      <bottom style="thin">
        <color indexed="64"/>
      </bottom>
      <diagonal/>
    </border>
    <border>
      <left style="medium">
        <color rgb="FF00FF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FF00"/>
      </right>
      <top style="thin">
        <color indexed="64"/>
      </top>
      <bottom style="thin">
        <color indexed="64"/>
      </bottom>
      <diagonal/>
    </border>
    <border>
      <left style="medium">
        <color rgb="FF00FF00"/>
      </left>
      <right/>
      <top style="thin">
        <color indexed="64"/>
      </top>
      <bottom style="medium">
        <color rgb="FF00FF00"/>
      </bottom>
      <diagonal/>
    </border>
    <border>
      <left/>
      <right/>
      <top style="thin">
        <color indexed="64"/>
      </top>
      <bottom style="medium">
        <color rgb="FF00FF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FF00"/>
      </bottom>
      <diagonal/>
    </border>
    <border>
      <left/>
      <right style="medium">
        <color rgb="FF00FF00"/>
      </right>
      <top style="thin">
        <color indexed="64"/>
      </top>
      <bottom style="medium">
        <color rgb="FF00FF00"/>
      </bottom>
      <diagonal/>
    </border>
    <border>
      <left/>
      <right/>
      <top style="medium">
        <color rgb="FF00FF00"/>
      </top>
      <bottom/>
      <diagonal/>
    </border>
    <border>
      <left/>
      <right/>
      <top/>
      <bottom style="medium">
        <color rgb="FF00FF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double">
        <color rgb="FF00FF00"/>
      </right>
      <top/>
      <bottom/>
      <diagonal/>
    </border>
    <border>
      <left/>
      <right/>
      <top/>
      <bottom style="thick">
        <color rgb="FF00FF00"/>
      </bottom>
      <diagonal/>
    </border>
    <border>
      <left/>
      <right/>
      <top style="thick">
        <color rgb="FF00FF00"/>
      </top>
      <bottom/>
      <diagonal/>
    </border>
    <border>
      <left style="thick">
        <color rgb="FF30F095"/>
      </left>
      <right style="thick">
        <color rgb="FF00FF00"/>
      </right>
      <top/>
      <bottom/>
      <diagonal/>
    </border>
    <border>
      <left style="thick">
        <color rgb="FF00FF00"/>
      </left>
      <right style="thick">
        <color rgb="FF30F095"/>
      </right>
      <top/>
      <bottom/>
      <diagonal/>
    </border>
    <border>
      <left style="thick">
        <color rgb="FF00FF00"/>
      </left>
      <right/>
      <top/>
      <bottom/>
      <diagonal/>
    </border>
    <border>
      <left style="thick">
        <color rgb="FF00FF00"/>
      </left>
      <right/>
      <top/>
      <bottom style="thick">
        <color rgb="FF00FF00"/>
      </bottom>
      <diagonal/>
    </border>
    <border>
      <left/>
      <right style="thick">
        <color rgb="FF00FF00"/>
      </right>
      <top/>
      <bottom/>
      <diagonal/>
    </border>
    <border>
      <left/>
      <right style="thick">
        <color rgb="FF00FF00"/>
      </right>
      <top/>
      <bottom style="thick">
        <color rgb="FF00FF00"/>
      </bottom>
      <diagonal/>
    </border>
    <border>
      <left style="thick">
        <color rgb="FF00FF00"/>
      </left>
      <right/>
      <top style="thick">
        <color rgb="FF00FF00"/>
      </top>
      <bottom/>
      <diagonal/>
    </border>
    <border>
      <left/>
      <right style="thick">
        <color rgb="FF00FF00"/>
      </right>
      <top style="thick">
        <color rgb="FF00FF00"/>
      </top>
      <bottom/>
      <diagonal/>
    </border>
  </borders>
  <cellStyleXfs count="13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182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0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165" fontId="10" fillId="2" borderId="0" xfId="3" applyNumberFormat="1" applyFont="1" applyFill="1" applyAlignment="1">
      <alignment horizontal="center" vertical="center"/>
    </xf>
    <xf numFmtId="165" fontId="10" fillId="7" borderId="20" xfId="3" applyNumberFormat="1" applyFont="1" applyFill="1" applyBorder="1" applyAlignment="1">
      <alignment horizontal="center" vertical="center"/>
    </xf>
    <xf numFmtId="165" fontId="10" fillId="6" borderId="10" xfId="3" applyNumberFormat="1" applyFont="1" applyFill="1" applyBorder="1" applyAlignment="1">
      <alignment horizontal="center" vertical="center"/>
    </xf>
    <xf numFmtId="165" fontId="10" fillId="7" borderId="10" xfId="3" applyNumberFormat="1" applyFont="1" applyFill="1" applyBorder="1" applyAlignment="1">
      <alignment horizontal="center" vertical="center"/>
    </xf>
    <xf numFmtId="165" fontId="10" fillId="11" borderId="21" xfId="3" applyNumberFormat="1" applyFont="1" applyFill="1" applyBorder="1" applyAlignment="1">
      <alignment vertical="center"/>
    </xf>
    <xf numFmtId="165" fontId="10" fillId="2" borderId="0" xfId="3" applyNumberFormat="1" applyFont="1" applyFill="1" applyAlignment="1">
      <alignment vertical="center"/>
    </xf>
    <xf numFmtId="165" fontId="10" fillId="0" borderId="0" xfId="3" applyNumberFormat="1" applyFont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166" fontId="3" fillId="2" borderId="2" xfId="0" applyNumberFormat="1" applyFont="1" applyFill="1" applyBorder="1" applyAlignment="1">
      <alignment horizontal="center" vertical="center"/>
    </xf>
    <xf numFmtId="166" fontId="3" fillId="2" borderId="0" xfId="0" applyNumberFormat="1" applyFont="1" applyFill="1" applyBorder="1" applyAlignment="1">
      <alignment horizontal="center" vertical="center"/>
    </xf>
    <xf numFmtId="166" fontId="3" fillId="10" borderId="30" xfId="0" applyNumberFormat="1" applyFont="1" applyFill="1" applyBorder="1" applyAlignment="1">
      <alignment horizontal="center" vertical="center"/>
    </xf>
    <xf numFmtId="166" fontId="3" fillId="12" borderId="30" xfId="0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14" fontId="7" fillId="3" borderId="33" xfId="0" applyNumberFormat="1" applyFont="1" applyFill="1" applyBorder="1" applyAlignment="1">
      <alignment horizontal="center" vertical="center" wrapText="1"/>
    </xf>
    <xf numFmtId="166" fontId="7" fillId="3" borderId="34" xfId="0" applyNumberFormat="1" applyFont="1" applyFill="1" applyBorder="1" applyAlignment="1">
      <alignment horizontal="center" vertical="center" wrapText="1"/>
    </xf>
    <xf numFmtId="14" fontId="7" fillId="3" borderId="35" xfId="0" applyNumberFormat="1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 wrapText="1"/>
    </xf>
    <xf numFmtId="0" fontId="3" fillId="10" borderId="37" xfId="0" applyFont="1" applyFill="1" applyBorder="1" applyAlignment="1">
      <alignment horizontal="center" vertical="center"/>
    </xf>
    <xf numFmtId="0" fontId="3" fillId="10" borderId="38" xfId="0" applyFont="1" applyFill="1" applyBorder="1" applyAlignment="1">
      <alignment horizontal="center" vertical="center"/>
    </xf>
    <xf numFmtId="0" fontId="3" fillId="12" borderId="37" xfId="0" applyFont="1" applyFill="1" applyBorder="1" applyAlignment="1">
      <alignment horizontal="center" vertical="center"/>
    </xf>
    <xf numFmtId="0" fontId="3" fillId="12" borderId="38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/>
    </xf>
    <xf numFmtId="0" fontId="7" fillId="8" borderId="42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14" borderId="0" xfId="0" applyFont="1" applyFill="1" applyAlignment="1">
      <alignment vertical="center"/>
    </xf>
    <xf numFmtId="0" fontId="4" fillId="14" borderId="0" xfId="0" applyFont="1" applyFill="1" applyBorder="1" applyAlignment="1">
      <alignment vertical="center"/>
    </xf>
    <xf numFmtId="0" fontId="4" fillId="14" borderId="43" xfId="0" applyFont="1" applyFill="1" applyBorder="1" applyAlignment="1">
      <alignment vertical="center"/>
    </xf>
    <xf numFmtId="0" fontId="4" fillId="14" borderId="44" xfId="0" applyFont="1" applyFill="1" applyBorder="1" applyAlignment="1">
      <alignment vertical="center"/>
    </xf>
    <xf numFmtId="0" fontId="4" fillId="14" borderId="0" xfId="0" applyFont="1" applyFill="1" applyBorder="1" applyAlignment="1">
      <alignment horizontal="center" vertical="center"/>
    </xf>
    <xf numFmtId="0" fontId="4" fillId="14" borderId="50" xfId="0" applyFont="1" applyFill="1" applyBorder="1" applyAlignment="1">
      <alignment vertical="center"/>
    </xf>
    <xf numFmtId="0" fontId="4" fillId="14" borderId="51" xfId="0" applyFont="1" applyFill="1" applyBorder="1" applyAlignment="1">
      <alignment vertical="center"/>
    </xf>
    <xf numFmtId="0" fontId="4" fillId="14" borderId="53" xfId="0" applyFont="1" applyFill="1" applyBorder="1" applyAlignment="1">
      <alignment vertical="center"/>
    </xf>
    <xf numFmtId="0" fontId="4" fillId="14" borderId="54" xfId="0" applyFont="1" applyFill="1" applyBorder="1" applyAlignment="1">
      <alignment vertical="center"/>
    </xf>
    <xf numFmtId="0" fontId="4" fillId="14" borderId="55" xfId="0" applyFont="1" applyFill="1" applyBorder="1" applyAlignment="1">
      <alignment vertical="center"/>
    </xf>
    <xf numFmtId="0" fontId="4" fillId="14" borderId="57" xfId="0" applyFont="1" applyFill="1" applyBorder="1" applyAlignment="1">
      <alignment vertical="center"/>
    </xf>
    <xf numFmtId="0" fontId="10" fillId="5" borderId="1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13" borderId="27" xfId="0" applyFont="1" applyFill="1" applyBorder="1" applyAlignment="1">
      <alignment horizontal="center"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0" fontId="5" fillId="13" borderId="23" xfId="0" applyFont="1" applyFill="1" applyBorder="1" applyAlignment="1">
      <alignment horizontal="center" vertical="center"/>
    </xf>
    <xf numFmtId="0" fontId="5" fillId="13" borderId="31" xfId="0" applyFont="1" applyFill="1" applyBorder="1" applyAlignment="1">
      <alignment horizontal="center" vertical="center"/>
    </xf>
    <xf numFmtId="0" fontId="5" fillId="13" borderId="22" xfId="0" applyFont="1" applyFill="1" applyBorder="1" applyAlignment="1">
      <alignment horizontal="center" vertical="center"/>
    </xf>
    <xf numFmtId="0" fontId="5" fillId="13" borderId="2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1" fillId="11" borderId="12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8" fillId="14" borderId="57" xfId="0" applyFont="1" applyFill="1" applyBorder="1" applyAlignment="1">
      <alignment horizontal="center" vertical="center" wrapText="1"/>
    </xf>
    <xf numFmtId="0" fontId="4" fillId="2" borderId="59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4" fillId="2" borderId="5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0" fontId="4" fillId="16" borderId="0" xfId="0" applyFont="1" applyFill="1" applyBorder="1" applyAlignment="1">
      <alignment horizontal="center" vertical="center"/>
    </xf>
    <xf numFmtId="0" fontId="18" fillId="2" borderId="59" xfId="0" applyFont="1" applyFill="1" applyBorder="1" applyAlignment="1">
      <alignment horizontal="center" vertical="center"/>
    </xf>
    <xf numFmtId="0" fontId="18" fillId="2" borderId="52" xfId="0" applyFont="1" applyFill="1" applyBorder="1" applyAlignment="1">
      <alignment horizontal="center" vertical="center"/>
    </xf>
    <xf numFmtId="0" fontId="18" fillId="2" borderId="60" xfId="0" applyFont="1" applyFill="1" applyBorder="1" applyAlignment="1">
      <alignment horizontal="center" vertical="center"/>
    </xf>
    <xf numFmtId="0" fontId="18" fillId="2" borderId="55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18" fillId="2" borderId="57" xfId="0" applyFont="1" applyFill="1" applyBorder="1" applyAlignment="1">
      <alignment horizontal="center" vertical="center"/>
    </xf>
    <xf numFmtId="0" fontId="18" fillId="2" borderId="56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0" fontId="18" fillId="2" borderId="58" xfId="0" applyFont="1" applyFill="1" applyBorder="1" applyAlignment="1">
      <alignment horizontal="center" vertical="center"/>
    </xf>
    <xf numFmtId="0" fontId="4" fillId="14" borderId="51" xfId="0" applyFont="1" applyFill="1" applyBorder="1" applyAlignment="1">
      <alignment horizontal="center" vertical="center"/>
    </xf>
    <xf numFmtId="0" fontId="4" fillId="14" borderId="52" xfId="0" applyFont="1" applyFill="1" applyBorder="1" applyAlignment="1">
      <alignment horizontal="center" vertical="center"/>
    </xf>
    <xf numFmtId="0" fontId="17" fillId="16" borderId="47" xfId="0" applyFont="1" applyFill="1" applyBorder="1" applyAlignment="1">
      <alignment horizontal="center" vertical="center" textRotation="255"/>
    </xf>
    <xf numFmtId="0" fontId="17" fillId="16" borderId="0" xfId="0" applyFont="1" applyFill="1" applyBorder="1" applyAlignment="1">
      <alignment horizontal="center" vertical="center" textRotation="255"/>
    </xf>
    <xf numFmtId="0" fontId="17" fillId="16" borderId="19" xfId="0" applyFont="1" applyFill="1" applyBorder="1" applyAlignment="1">
      <alignment horizontal="center" vertical="center" textRotation="255"/>
    </xf>
    <xf numFmtId="0" fontId="17" fillId="16" borderId="48" xfId="0" applyFont="1" applyFill="1" applyBorder="1" applyAlignment="1">
      <alignment horizontal="center" vertical="center" textRotation="255"/>
    </xf>
    <xf numFmtId="0" fontId="17" fillId="16" borderId="16" xfId="0" applyFont="1" applyFill="1" applyBorder="1" applyAlignment="1">
      <alignment horizontal="center" vertical="center" textRotation="255"/>
    </xf>
    <xf numFmtId="0" fontId="17" fillId="16" borderId="49" xfId="0" applyFont="1" applyFill="1" applyBorder="1" applyAlignment="1">
      <alignment horizontal="center" vertical="center" textRotation="255"/>
    </xf>
    <xf numFmtId="0" fontId="17" fillId="16" borderId="45" xfId="0" applyFont="1" applyFill="1" applyBorder="1" applyAlignment="1">
      <alignment horizontal="center" vertical="center" textRotation="255"/>
    </xf>
    <xf numFmtId="0" fontId="17" fillId="16" borderId="17" xfId="0" applyFont="1" applyFill="1" applyBorder="1" applyAlignment="1">
      <alignment horizontal="center" vertical="center" textRotation="255"/>
    </xf>
    <xf numFmtId="0" fontId="17" fillId="16" borderId="46" xfId="0" applyFont="1" applyFill="1" applyBorder="1" applyAlignment="1">
      <alignment horizontal="center" vertical="center" textRotation="255"/>
    </xf>
    <xf numFmtId="0" fontId="16" fillId="15" borderId="59" xfId="0" applyFont="1" applyFill="1" applyBorder="1" applyAlignment="1">
      <alignment horizontal="center" vertical="center"/>
    </xf>
    <xf numFmtId="0" fontId="16" fillId="15" borderId="52" xfId="0" applyFont="1" applyFill="1" applyBorder="1" applyAlignment="1">
      <alignment horizontal="center" vertical="center"/>
    </xf>
    <xf numFmtId="0" fontId="16" fillId="15" borderId="60" xfId="0" applyFont="1" applyFill="1" applyBorder="1" applyAlignment="1">
      <alignment horizontal="center" vertical="center"/>
    </xf>
    <xf numFmtId="0" fontId="16" fillId="15" borderId="55" xfId="0" applyFont="1" applyFill="1" applyBorder="1" applyAlignment="1">
      <alignment horizontal="center" vertical="center"/>
    </xf>
    <xf numFmtId="0" fontId="16" fillId="15" borderId="0" xfId="0" applyFont="1" applyFill="1" applyBorder="1" applyAlignment="1">
      <alignment horizontal="center" vertical="center"/>
    </xf>
    <xf numFmtId="0" fontId="16" fillId="15" borderId="57" xfId="0" applyFont="1" applyFill="1" applyBorder="1" applyAlignment="1">
      <alignment horizontal="center" vertical="center"/>
    </xf>
    <xf numFmtId="0" fontId="16" fillId="15" borderId="56" xfId="0" applyFont="1" applyFill="1" applyBorder="1" applyAlignment="1">
      <alignment horizontal="center" vertical="center"/>
    </xf>
    <xf numFmtId="0" fontId="16" fillId="15" borderId="51" xfId="0" applyFont="1" applyFill="1" applyBorder="1" applyAlignment="1">
      <alignment horizontal="center" vertical="center"/>
    </xf>
    <xf numFmtId="0" fontId="16" fillId="15" borderId="58" xfId="0" applyFont="1" applyFill="1" applyBorder="1" applyAlignment="1">
      <alignment horizontal="center" vertical="center"/>
    </xf>
    <xf numFmtId="0" fontId="4" fillId="15" borderId="59" xfId="0" applyFont="1" applyFill="1" applyBorder="1" applyAlignment="1">
      <alignment horizontal="center" vertical="center"/>
    </xf>
    <xf numFmtId="0" fontId="4" fillId="15" borderId="52" xfId="0" applyFont="1" applyFill="1" applyBorder="1" applyAlignment="1">
      <alignment horizontal="center" vertical="center"/>
    </xf>
    <xf numFmtId="0" fontId="4" fillId="15" borderId="60" xfId="0" applyFont="1" applyFill="1" applyBorder="1" applyAlignment="1">
      <alignment horizontal="center" vertical="center"/>
    </xf>
    <xf numFmtId="0" fontId="4" fillId="15" borderId="55" xfId="0" applyFont="1" applyFill="1" applyBorder="1" applyAlignment="1">
      <alignment horizontal="center" vertical="center"/>
    </xf>
    <xf numFmtId="0" fontId="4" fillId="15" borderId="0" xfId="0" applyFont="1" applyFill="1" applyBorder="1" applyAlignment="1">
      <alignment horizontal="center" vertical="center"/>
    </xf>
    <xf numFmtId="0" fontId="4" fillId="15" borderId="57" xfId="0" applyFont="1" applyFill="1" applyBorder="1" applyAlignment="1">
      <alignment horizontal="center" vertical="center"/>
    </xf>
    <xf numFmtId="0" fontId="4" fillId="15" borderId="56" xfId="0" applyFont="1" applyFill="1" applyBorder="1" applyAlignment="1">
      <alignment horizontal="center" vertical="center"/>
    </xf>
    <xf numFmtId="0" fontId="4" fillId="15" borderId="51" xfId="0" applyFont="1" applyFill="1" applyBorder="1" applyAlignment="1">
      <alignment horizontal="center" vertical="center"/>
    </xf>
    <xf numFmtId="0" fontId="4" fillId="15" borderId="58" xfId="0" applyFont="1" applyFill="1" applyBorder="1" applyAlignment="1">
      <alignment horizontal="center" vertical="center"/>
    </xf>
    <xf numFmtId="0" fontId="17" fillId="16" borderId="45" xfId="0" applyFont="1" applyFill="1" applyBorder="1" applyAlignment="1">
      <alignment horizontal="center" vertical="center"/>
    </xf>
    <xf numFmtId="0" fontId="17" fillId="16" borderId="17" xfId="0" applyFont="1" applyFill="1" applyBorder="1" applyAlignment="1">
      <alignment horizontal="center" vertical="center"/>
    </xf>
    <xf numFmtId="0" fontId="17" fillId="16" borderId="47" xfId="0" applyFont="1" applyFill="1" applyBorder="1" applyAlignment="1">
      <alignment horizontal="center" vertical="center"/>
    </xf>
    <xf numFmtId="0" fontId="17" fillId="16" borderId="0" xfId="0" applyFont="1" applyFill="1" applyBorder="1" applyAlignment="1">
      <alignment horizontal="center" vertical="center"/>
    </xf>
    <xf numFmtId="0" fontId="17" fillId="16" borderId="48" xfId="0" applyFont="1" applyFill="1" applyBorder="1" applyAlignment="1">
      <alignment horizontal="center" vertical="center"/>
    </xf>
    <xf numFmtId="0" fontId="17" fillId="16" borderId="16" xfId="0" applyFont="1" applyFill="1" applyBorder="1" applyAlignment="1">
      <alignment horizontal="center" vertical="center"/>
    </xf>
    <xf numFmtId="0" fontId="18" fillId="15" borderId="59" xfId="0" applyFont="1" applyFill="1" applyBorder="1" applyAlignment="1">
      <alignment horizontal="center" vertical="center"/>
    </xf>
    <xf numFmtId="0" fontId="18" fillId="15" borderId="52" xfId="0" applyFont="1" applyFill="1" applyBorder="1" applyAlignment="1">
      <alignment horizontal="center" vertical="center"/>
    </xf>
    <xf numFmtId="0" fontId="18" fillId="15" borderId="60" xfId="0" applyFont="1" applyFill="1" applyBorder="1" applyAlignment="1">
      <alignment horizontal="center" vertical="center"/>
    </xf>
    <xf numFmtId="0" fontId="18" fillId="15" borderId="55" xfId="0" applyFont="1" applyFill="1" applyBorder="1" applyAlignment="1">
      <alignment horizontal="center" vertical="center"/>
    </xf>
    <xf numFmtId="0" fontId="18" fillId="15" borderId="0" xfId="0" applyFont="1" applyFill="1" applyBorder="1" applyAlignment="1">
      <alignment horizontal="center" vertical="center"/>
    </xf>
    <xf numFmtId="0" fontId="18" fillId="15" borderId="57" xfId="0" applyFont="1" applyFill="1" applyBorder="1" applyAlignment="1">
      <alignment horizontal="center" vertical="center"/>
    </xf>
    <xf numFmtId="0" fontId="18" fillId="15" borderId="56" xfId="0" applyFont="1" applyFill="1" applyBorder="1" applyAlignment="1">
      <alignment horizontal="center" vertical="center"/>
    </xf>
    <xf numFmtId="0" fontId="18" fillId="15" borderId="51" xfId="0" applyFont="1" applyFill="1" applyBorder="1" applyAlignment="1">
      <alignment horizontal="center" vertical="center"/>
    </xf>
    <xf numFmtId="0" fontId="18" fillId="15" borderId="58" xfId="0" applyFont="1" applyFill="1" applyBorder="1" applyAlignment="1">
      <alignment horizontal="center" vertical="center"/>
    </xf>
  </cellXfs>
  <cellStyles count="13">
    <cellStyle name="Comma" xfId="3" builtinId="3"/>
    <cellStyle name="Comma 3" xfId="2"/>
    <cellStyle name="Comma 3 2" xfId="6"/>
    <cellStyle name="Comma 3 3" xfId="9"/>
    <cellStyle name="Comma 3 4" xfId="12"/>
    <cellStyle name="Normal" xfId="0" builtinId="0"/>
    <cellStyle name="Normal 2 2" xfId="4"/>
    <cellStyle name="Normal 2 3" xfId="7"/>
    <cellStyle name="Normal 2 4" xfId="10"/>
    <cellStyle name="Normal 3" xfId="1"/>
    <cellStyle name="Normal 3 2" xfId="5"/>
    <cellStyle name="Normal 3 3" xfId="8"/>
    <cellStyle name="Normal 3 4" xfId="11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00FF00"/>
      <color rgb="FF30F095"/>
      <color rgb="FFCC00FF"/>
      <color rgb="FF990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127000</xdr:colOff>
      <xdr:row>3</xdr:row>
      <xdr:rowOff>127000</xdr:rowOff>
    </xdr:from>
    <xdr:to>
      <xdr:col>29</xdr:col>
      <xdr:colOff>666750</xdr:colOff>
      <xdr:row>7</xdr:row>
      <xdr:rowOff>142876</xdr:rowOff>
    </xdr:to>
    <xdr:sp macro="" textlink="">
      <xdr:nvSpPr>
        <xdr:cNvPr id="2" name="Right Arrow 1"/>
        <xdr:cNvSpPr/>
      </xdr:nvSpPr>
      <xdr:spPr>
        <a:xfrm rot="5400000">
          <a:off x="20407312" y="960438"/>
          <a:ext cx="841376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29</xdr:col>
      <xdr:colOff>174625</xdr:colOff>
      <xdr:row>30</xdr:row>
      <xdr:rowOff>31751</xdr:rowOff>
    </xdr:from>
    <xdr:to>
      <xdr:col>29</xdr:col>
      <xdr:colOff>714375</xdr:colOff>
      <xdr:row>34</xdr:row>
      <xdr:rowOff>39688</xdr:rowOff>
    </xdr:to>
    <xdr:sp macro="" textlink="">
      <xdr:nvSpPr>
        <xdr:cNvPr id="3" name="Right Arrow 2"/>
        <xdr:cNvSpPr/>
      </xdr:nvSpPr>
      <xdr:spPr>
        <a:xfrm rot="5400000">
          <a:off x="20458906" y="6433345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234156</xdr:colOff>
      <xdr:row>41</xdr:row>
      <xdr:rowOff>130969</xdr:rowOff>
    </xdr:from>
    <xdr:to>
      <xdr:col>4</xdr:col>
      <xdr:colOff>337343</xdr:colOff>
      <xdr:row>44</xdr:row>
      <xdr:rowOff>51594</xdr:rowOff>
    </xdr:to>
    <xdr:sp macro="" textlink="">
      <xdr:nvSpPr>
        <xdr:cNvPr id="4" name="Right Arrow 3"/>
        <xdr:cNvSpPr/>
      </xdr:nvSpPr>
      <xdr:spPr>
        <a:xfrm>
          <a:off x="2170906" y="8655844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285750</xdr:colOff>
      <xdr:row>41</xdr:row>
      <xdr:rowOff>174625</xdr:rowOff>
    </xdr:from>
    <xdr:to>
      <xdr:col>9</xdr:col>
      <xdr:colOff>388937</xdr:colOff>
      <xdr:row>44</xdr:row>
      <xdr:rowOff>95250</xdr:rowOff>
    </xdr:to>
    <xdr:sp macro="" textlink="">
      <xdr:nvSpPr>
        <xdr:cNvPr id="5" name="Right Arrow 4"/>
        <xdr:cNvSpPr/>
      </xdr:nvSpPr>
      <xdr:spPr>
        <a:xfrm>
          <a:off x="5873750" y="8699500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406400</xdr:colOff>
      <xdr:row>41</xdr:row>
      <xdr:rowOff>152400</xdr:rowOff>
    </xdr:from>
    <xdr:to>
      <xdr:col>19</xdr:col>
      <xdr:colOff>509587</xdr:colOff>
      <xdr:row>44</xdr:row>
      <xdr:rowOff>73025</xdr:rowOff>
    </xdr:to>
    <xdr:sp macro="" textlink="">
      <xdr:nvSpPr>
        <xdr:cNvPr id="6" name="Right Arrow 5"/>
        <xdr:cNvSpPr/>
      </xdr:nvSpPr>
      <xdr:spPr>
        <a:xfrm>
          <a:off x="13296900" y="8677275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23</xdr:col>
      <xdr:colOff>527050</xdr:colOff>
      <xdr:row>41</xdr:row>
      <xdr:rowOff>146050</xdr:rowOff>
    </xdr:from>
    <xdr:to>
      <xdr:col>24</xdr:col>
      <xdr:colOff>630237</xdr:colOff>
      <xdr:row>44</xdr:row>
      <xdr:rowOff>66675</xdr:rowOff>
    </xdr:to>
    <xdr:sp macro="" textlink="">
      <xdr:nvSpPr>
        <xdr:cNvPr id="7" name="Right Arrow 6"/>
        <xdr:cNvSpPr/>
      </xdr:nvSpPr>
      <xdr:spPr>
        <a:xfrm>
          <a:off x="17068800" y="8670925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49</xdr:col>
      <xdr:colOff>460375</xdr:colOff>
      <xdr:row>41</xdr:row>
      <xdr:rowOff>142875</xdr:rowOff>
    </xdr:from>
    <xdr:to>
      <xdr:col>50</xdr:col>
      <xdr:colOff>563562</xdr:colOff>
      <xdr:row>44</xdr:row>
      <xdr:rowOff>63500</xdr:rowOff>
    </xdr:to>
    <xdr:sp macro="" textlink="">
      <xdr:nvSpPr>
        <xdr:cNvPr id="8" name="Right Arrow 7"/>
        <xdr:cNvSpPr/>
      </xdr:nvSpPr>
      <xdr:spPr>
        <a:xfrm rot="10800000">
          <a:off x="35036125" y="8667750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34</xdr:col>
      <xdr:colOff>200025</xdr:colOff>
      <xdr:row>41</xdr:row>
      <xdr:rowOff>73025</xdr:rowOff>
    </xdr:from>
    <xdr:to>
      <xdr:col>35</xdr:col>
      <xdr:colOff>303212</xdr:colOff>
      <xdr:row>43</xdr:row>
      <xdr:rowOff>200025</xdr:rowOff>
    </xdr:to>
    <xdr:sp macro="" textlink="">
      <xdr:nvSpPr>
        <xdr:cNvPr id="9" name="Right Arrow 8"/>
        <xdr:cNvSpPr/>
      </xdr:nvSpPr>
      <xdr:spPr>
        <a:xfrm rot="10800000">
          <a:off x="23822025" y="8597900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39</xdr:col>
      <xdr:colOff>368300</xdr:colOff>
      <xdr:row>41</xdr:row>
      <xdr:rowOff>146050</xdr:rowOff>
    </xdr:from>
    <xdr:to>
      <xdr:col>40</xdr:col>
      <xdr:colOff>471487</xdr:colOff>
      <xdr:row>44</xdr:row>
      <xdr:rowOff>66675</xdr:rowOff>
    </xdr:to>
    <xdr:sp macro="" textlink="">
      <xdr:nvSpPr>
        <xdr:cNvPr id="10" name="Right Arrow 9"/>
        <xdr:cNvSpPr/>
      </xdr:nvSpPr>
      <xdr:spPr>
        <a:xfrm rot="10800000">
          <a:off x="27641550" y="8670925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54</xdr:col>
      <xdr:colOff>488950</xdr:colOff>
      <xdr:row>41</xdr:row>
      <xdr:rowOff>92075</xdr:rowOff>
    </xdr:from>
    <xdr:to>
      <xdr:col>55</xdr:col>
      <xdr:colOff>592137</xdr:colOff>
      <xdr:row>44</xdr:row>
      <xdr:rowOff>12700</xdr:rowOff>
    </xdr:to>
    <xdr:sp macro="" textlink="">
      <xdr:nvSpPr>
        <xdr:cNvPr id="11" name="Right Arrow 10"/>
        <xdr:cNvSpPr/>
      </xdr:nvSpPr>
      <xdr:spPr>
        <a:xfrm rot="10800000">
          <a:off x="38715950" y="8616950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29</xdr:col>
      <xdr:colOff>190500</xdr:colOff>
      <xdr:row>76</xdr:row>
      <xdr:rowOff>15876</xdr:rowOff>
    </xdr:from>
    <xdr:to>
      <xdr:col>30</xdr:col>
      <xdr:colOff>0</xdr:colOff>
      <xdr:row>80</xdr:row>
      <xdr:rowOff>23813</xdr:rowOff>
    </xdr:to>
    <xdr:sp macro="" textlink="">
      <xdr:nvSpPr>
        <xdr:cNvPr id="16" name="Right Arrow 15"/>
        <xdr:cNvSpPr/>
      </xdr:nvSpPr>
      <xdr:spPr>
        <a:xfrm rot="16200000">
          <a:off x="20474781" y="15704345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29</xdr:col>
      <xdr:colOff>120650</xdr:colOff>
      <xdr:row>50</xdr:row>
      <xdr:rowOff>152401</xdr:rowOff>
    </xdr:from>
    <xdr:to>
      <xdr:col>29</xdr:col>
      <xdr:colOff>660400</xdr:colOff>
      <xdr:row>54</xdr:row>
      <xdr:rowOff>160338</xdr:rowOff>
    </xdr:to>
    <xdr:sp macro="" textlink="">
      <xdr:nvSpPr>
        <xdr:cNvPr id="17" name="Right Arrow 16"/>
        <xdr:cNvSpPr/>
      </xdr:nvSpPr>
      <xdr:spPr>
        <a:xfrm rot="5400000">
          <a:off x="20404931" y="10475120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234156</xdr:colOff>
      <xdr:row>85</xdr:row>
      <xdr:rowOff>130969</xdr:rowOff>
    </xdr:from>
    <xdr:to>
      <xdr:col>4</xdr:col>
      <xdr:colOff>337343</xdr:colOff>
      <xdr:row>88</xdr:row>
      <xdr:rowOff>51594</xdr:rowOff>
    </xdr:to>
    <xdr:sp macro="" textlink="">
      <xdr:nvSpPr>
        <xdr:cNvPr id="18" name="Right Arrow 17"/>
        <xdr:cNvSpPr/>
      </xdr:nvSpPr>
      <xdr:spPr>
        <a:xfrm>
          <a:off x="2170906" y="8655844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285750</xdr:colOff>
      <xdr:row>85</xdr:row>
      <xdr:rowOff>174625</xdr:rowOff>
    </xdr:from>
    <xdr:to>
      <xdr:col>9</xdr:col>
      <xdr:colOff>388937</xdr:colOff>
      <xdr:row>88</xdr:row>
      <xdr:rowOff>95250</xdr:rowOff>
    </xdr:to>
    <xdr:sp macro="" textlink="">
      <xdr:nvSpPr>
        <xdr:cNvPr id="19" name="Right Arrow 18"/>
        <xdr:cNvSpPr/>
      </xdr:nvSpPr>
      <xdr:spPr>
        <a:xfrm>
          <a:off x="5873750" y="8699500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406400</xdr:colOff>
      <xdr:row>85</xdr:row>
      <xdr:rowOff>152400</xdr:rowOff>
    </xdr:from>
    <xdr:to>
      <xdr:col>19</xdr:col>
      <xdr:colOff>509587</xdr:colOff>
      <xdr:row>88</xdr:row>
      <xdr:rowOff>73025</xdr:rowOff>
    </xdr:to>
    <xdr:sp macro="" textlink="">
      <xdr:nvSpPr>
        <xdr:cNvPr id="20" name="Right Arrow 19"/>
        <xdr:cNvSpPr/>
      </xdr:nvSpPr>
      <xdr:spPr>
        <a:xfrm>
          <a:off x="13296900" y="8677275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23</xdr:col>
      <xdr:colOff>527050</xdr:colOff>
      <xdr:row>85</xdr:row>
      <xdr:rowOff>146050</xdr:rowOff>
    </xdr:from>
    <xdr:to>
      <xdr:col>24</xdr:col>
      <xdr:colOff>630237</xdr:colOff>
      <xdr:row>88</xdr:row>
      <xdr:rowOff>66675</xdr:rowOff>
    </xdr:to>
    <xdr:sp macro="" textlink="">
      <xdr:nvSpPr>
        <xdr:cNvPr id="21" name="Right Arrow 20"/>
        <xdr:cNvSpPr/>
      </xdr:nvSpPr>
      <xdr:spPr>
        <a:xfrm>
          <a:off x="17068800" y="8670925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49</xdr:col>
      <xdr:colOff>460375</xdr:colOff>
      <xdr:row>85</xdr:row>
      <xdr:rowOff>142875</xdr:rowOff>
    </xdr:from>
    <xdr:to>
      <xdr:col>50</xdr:col>
      <xdr:colOff>563562</xdr:colOff>
      <xdr:row>88</xdr:row>
      <xdr:rowOff>63500</xdr:rowOff>
    </xdr:to>
    <xdr:sp macro="" textlink="">
      <xdr:nvSpPr>
        <xdr:cNvPr id="22" name="Right Arrow 21"/>
        <xdr:cNvSpPr/>
      </xdr:nvSpPr>
      <xdr:spPr>
        <a:xfrm rot="10800000">
          <a:off x="35036125" y="8667750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34</xdr:col>
      <xdr:colOff>200025</xdr:colOff>
      <xdr:row>85</xdr:row>
      <xdr:rowOff>73025</xdr:rowOff>
    </xdr:from>
    <xdr:to>
      <xdr:col>35</xdr:col>
      <xdr:colOff>303212</xdr:colOff>
      <xdr:row>87</xdr:row>
      <xdr:rowOff>200025</xdr:rowOff>
    </xdr:to>
    <xdr:sp macro="" textlink="">
      <xdr:nvSpPr>
        <xdr:cNvPr id="23" name="Right Arrow 22"/>
        <xdr:cNvSpPr/>
      </xdr:nvSpPr>
      <xdr:spPr>
        <a:xfrm rot="10800000">
          <a:off x="23822025" y="8597900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39</xdr:col>
      <xdr:colOff>368300</xdr:colOff>
      <xdr:row>85</xdr:row>
      <xdr:rowOff>146050</xdr:rowOff>
    </xdr:from>
    <xdr:to>
      <xdr:col>40</xdr:col>
      <xdr:colOff>471487</xdr:colOff>
      <xdr:row>88</xdr:row>
      <xdr:rowOff>66675</xdr:rowOff>
    </xdr:to>
    <xdr:sp macro="" textlink="">
      <xdr:nvSpPr>
        <xdr:cNvPr id="24" name="Right Arrow 23"/>
        <xdr:cNvSpPr/>
      </xdr:nvSpPr>
      <xdr:spPr>
        <a:xfrm rot="10800000">
          <a:off x="27641550" y="8670925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54</xdr:col>
      <xdr:colOff>488950</xdr:colOff>
      <xdr:row>85</xdr:row>
      <xdr:rowOff>92075</xdr:rowOff>
    </xdr:from>
    <xdr:to>
      <xdr:col>55</xdr:col>
      <xdr:colOff>592137</xdr:colOff>
      <xdr:row>88</xdr:row>
      <xdr:rowOff>12700</xdr:rowOff>
    </xdr:to>
    <xdr:sp macro="" textlink="">
      <xdr:nvSpPr>
        <xdr:cNvPr id="25" name="Right Arrow 24"/>
        <xdr:cNvSpPr/>
      </xdr:nvSpPr>
      <xdr:spPr>
        <a:xfrm rot="10800000">
          <a:off x="38715950" y="8616950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29</xdr:col>
      <xdr:colOff>158751</xdr:colOff>
      <xdr:row>134</xdr:row>
      <xdr:rowOff>111125</xdr:rowOff>
    </xdr:from>
    <xdr:to>
      <xdr:col>29</xdr:col>
      <xdr:colOff>698501</xdr:colOff>
      <xdr:row>138</xdr:row>
      <xdr:rowOff>119062</xdr:rowOff>
    </xdr:to>
    <xdr:sp macro="" textlink="">
      <xdr:nvSpPr>
        <xdr:cNvPr id="26" name="Right Arrow 25"/>
        <xdr:cNvSpPr/>
      </xdr:nvSpPr>
      <xdr:spPr>
        <a:xfrm rot="16200000">
          <a:off x="20443032" y="27562969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29</xdr:col>
      <xdr:colOff>120651</xdr:colOff>
      <xdr:row>95</xdr:row>
      <xdr:rowOff>88900</xdr:rowOff>
    </xdr:from>
    <xdr:to>
      <xdr:col>29</xdr:col>
      <xdr:colOff>660401</xdr:colOff>
      <xdr:row>99</xdr:row>
      <xdr:rowOff>96837</xdr:rowOff>
    </xdr:to>
    <xdr:sp macro="" textlink="">
      <xdr:nvSpPr>
        <xdr:cNvPr id="27" name="Right Arrow 26"/>
        <xdr:cNvSpPr/>
      </xdr:nvSpPr>
      <xdr:spPr>
        <a:xfrm rot="16200000">
          <a:off x="20404932" y="19492119"/>
          <a:ext cx="833437" cy="5397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09"/>
  <sheetViews>
    <sheetView tabSelected="1" view="pageBreakPreview" zoomScale="80" zoomScaleNormal="70" zoomScaleSheetLayoutView="80" workbookViewId="0">
      <pane ySplit="4" topLeftCell="A5" activePane="bottomLeft" state="frozen"/>
      <selection pane="bottomLeft" activeCell="B2" sqref="B2:M2"/>
    </sheetView>
  </sheetViews>
  <sheetFormatPr defaultRowHeight="21" customHeight="1"/>
  <cols>
    <col min="1" max="1" width="9.140625" style="3"/>
    <col min="2" max="2" width="12.28515625" style="3" customWidth="1"/>
    <col min="3" max="3" width="12.28515625" style="45" customWidth="1"/>
    <col min="4" max="9" width="12.28515625" style="3" customWidth="1"/>
    <col min="10" max="10" width="13.7109375" style="3" bestFit="1" customWidth="1"/>
    <col min="11" max="12" width="12.28515625" style="3" customWidth="1"/>
    <col min="13" max="13" width="30.7109375" style="3" customWidth="1"/>
    <col min="14" max="14" width="9.140625" style="3"/>
    <col min="15" max="15" width="12.28515625" style="3" customWidth="1"/>
    <col min="16" max="16" width="12.28515625" style="45" customWidth="1"/>
    <col min="17" max="22" width="12.28515625" style="3" customWidth="1"/>
    <col min="23" max="23" width="13.7109375" style="3" bestFit="1" customWidth="1"/>
    <col min="24" max="25" width="12.28515625" style="3" customWidth="1"/>
    <col min="26" max="26" width="30.85546875" style="3" customWidth="1"/>
    <col min="27" max="31" width="9.140625" style="3"/>
    <col min="32" max="32" width="7" style="3" bestFit="1" customWidth="1"/>
    <col min="33" max="33" width="10.85546875" style="3" bestFit="1" customWidth="1"/>
    <col min="34" max="34" width="7" style="3" bestFit="1" customWidth="1"/>
    <col min="35" max="35" width="10.85546875" style="3" bestFit="1" customWidth="1"/>
    <col min="36" max="16384" width="9.140625" style="3"/>
  </cols>
  <sheetData>
    <row r="1" spans="1:35" ht="21" customHeight="1" thickBot="1">
      <c r="B1" s="2"/>
      <c r="C1" s="4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35" ht="21" customHeight="1" thickBot="1">
      <c r="A2" s="38"/>
      <c r="B2" s="78" t="s">
        <v>33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  <c r="N2" s="2"/>
      <c r="O2" s="78" t="s">
        <v>33</v>
      </c>
      <c r="P2" s="79"/>
      <c r="Q2" s="79"/>
      <c r="R2" s="79"/>
      <c r="S2" s="79"/>
      <c r="T2" s="79"/>
      <c r="U2" s="79"/>
      <c r="V2" s="79"/>
      <c r="W2" s="79"/>
      <c r="X2" s="79"/>
      <c r="Y2" s="79"/>
      <c r="Z2" s="80"/>
    </row>
    <row r="3" spans="1:35" ht="21" customHeight="1" thickBot="1">
      <c r="O3" s="2"/>
      <c r="P3" s="42"/>
      <c r="Q3" s="2"/>
      <c r="S3" s="2"/>
    </row>
    <row r="4" spans="1:35" s="19" customFormat="1" ht="49.5" customHeight="1">
      <c r="B4" s="49" t="s">
        <v>6</v>
      </c>
      <c r="C4" s="50" t="s">
        <v>34</v>
      </c>
      <c r="D4" s="51" t="s">
        <v>9</v>
      </c>
      <c r="E4" s="51" t="s">
        <v>13</v>
      </c>
      <c r="F4" s="51" t="s">
        <v>1</v>
      </c>
      <c r="G4" s="51" t="s">
        <v>2</v>
      </c>
      <c r="H4" s="51" t="s">
        <v>3</v>
      </c>
      <c r="I4" s="51" t="s">
        <v>8</v>
      </c>
      <c r="J4" s="52" t="s">
        <v>7</v>
      </c>
      <c r="K4" s="52" t="s">
        <v>10</v>
      </c>
      <c r="L4" s="52" t="s">
        <v>11</v>
      </c>
      <c r="M4" s="53" t="s">
        <v>4</v>
      </c>
      <c r="N4" s="18"/>
      <c r="O4" s="49" t="s">
        <v>6</v>
      </c>
      <c r="P4" s="50" t="s">
        <v>34</v>
      </c>
      <c r="Q4" s="51" t="s">
        <v>9</v>
      </c>
      <c r="R4" s="51" t="s">
        <v>13</v>
      </c>
      <c r="S4" s="51" t="s">
        <v>1</v>
      </c>
      <c r="T4" s="51" t="s">
        <v>2</v>
      </c>
      <c r="U4" s="51" t="s">
        <v>3</v>
      </c>
      <c r="V4" s="51" t="s">
        <v>8</v>
      </c>
      <c r="W4" s="52" t="s">
        <v>7</v>
      </c>
      <c r="X4" s="52" t="s">
        <v>10</v>
      </c>
      <c r="Y4" s="52" t="s">
        <v>11</v>
      </c>
      <c r="Z4" s="53" t="s">
        <v>4</v>
      </c>
      <c r="AF4" s="46" t="s">
        <v>35</v>
      </c>
      <c r="AG4" s="39" t="s">
        <v>36</v>
      </c>
      <c r="AH4" s="46" t="s">
        <v>35</v>
      </c>
      <c r="AI4" s="39" t="s">
        <v>36</v>
      </c>
    </row>
    <row r="5" spans="1:35" ht="21" customHeight="1">
      <c r="B5" s="54">
        <v>1</v>
      </c>
      <c r="C5" s="43"/>
      <c r="D5" s="22">
        <f>12*60</f>
        <v>720</v>
      </c>
      <c r="E5" s="22"/>
      <c r="F5" s="22"/>
      <c r="G5" s="22"/>
      <c r="H5" s="22"/>
      <c r="I5" s="22"/>
      <c r="J5" s="22"/>
      <c r="K5" s="22"/>
      <c r="L5" s="22">
        <f>IF(K5&gt;0,D5-K5,720)</f>
        <v>720</v>
      </c>
      <c r="M5" s="55"/>
      <c r="O5" s="54">
        <v>101</v>
      </c>
      <c r="P5" s="43"/>
      <c r="Q5" s="22">
        <f>12*60</f>
        <v>720</v>
      </c>
      <c r="R5" s="22"/>
      <c r="S5" s="22"/>
      <c r="T5" s="22"/>
      <c r="U5" s="22"/>
      <c r="V5" s="22"/>
      <c r="W5" s="22"/>
      <c r="X5" s="22"/>
      <c r="Y5" s="22">
        <f>IF(X5&gt;0,Q5-X5,720)</f>
        <v>720</v>
      </c>
      <c r="Z5" s="55"/>
      <c r="AF5" s="42">
        <f ca="1">TODAY()</f>
        <v>42479</v>
      </c>
      <c r="AG5" s="40">
        <f>IF(C5&gt;0,AF5-C5,0)</f>
        <v>0</v>
      </c>
      <c r="AH5" s="42">
        <f ca="1">TODAY()</f>
        <v>42479</v>
      </c>
      <c r="AI5" s="40">
        <f>IF(P5&gt;0,AH5-P5,0)</f>
        <v>0</v>
      </c>
    </row>
    <row r="6" spans="1:35" ht="21" customHeight="1">
      <c r="B6" s="56">
        <v>2</v>
      </c>
      <c r="C6" s="44"/>
      <c r="D6" s="23">
        <f t="shared" ref="D6:D69" si="0">12*60</f>
        <v>720</v>
      </c>
      <c r="E6" s="23"/>
      <c r="F6" s="23"/>
      <c r="G6" s="23"/>
      <c r="H6" s="23"/>
      <c r="I6" s="23"/>
      <c r="J6" s="23"/>
      <c r="K6" s="23"/>
      <c r="L6" s="23">
        <f t="shared" ref="L6:L69" si="1">IF(K6&gt;0,D6-K6,720)</f>
        <v>720</v>
      </c>
      <c r="M6" s="57"/>
      <c r="O6" s="56">
        <v>102</v>
      </c>
      <c r="P6" s="44"/>
      <c r="Q6" s="23">
        <f t="shared" ref="Q6:Q69" si="2">12*60</f>
        <v>720</v>
      </c>
      <c r="R6" s="23"/>
      <c r="S6" s="23"/>
      <c r="T6" s="23"/>
      <c r="U6" s="23"/>
      <c r="V6" s="23"/>
      <c r="W6" s="23"/>
      <c r="X6" s="23"/>
      <c r="Y6" s="23">
        <f t="shared" ref="Y6:Y69" si="3">IF(X6&gt;0,Q6-X6,720)</f>
        <v>720</v>
      </c>
      <c r="Z6" s="57"/>
      <c r="AF6" s="42">
        <f t="shared" ref="AF6:AF69" ca="1" si="4">TODAY()</f>
        <v>42479</v>
      </c>
      <c r="AG6" s="40">
        <f t="shared" ref="AG6:AG10" si="5">IF(C6&gt;0,AF6-C6,0)</f>
        <v>0</v>
      </c>
      <c r="AH6" s="42">
        <f t="shared" ref="AH6:AH69" ca="1" si="6">TODAY()</f>
        <v>42479</v>
      </c>
      <c r="AI6" s="40">
        <f t="shared" ref="AI6:AI69" si="7">IF(P6&gt;0,AH6-P6,0)</f>
        <v>0</v>
      </c>
    </row>
    <row r="7" spans="1:35" ht="21" customHeight="1">
      <c r="B7" s="54">
        <v>3</v>
      </c>
      <c r="C7" s="43"/>
      <c r="D7" s="22">
        <f t="shared" si="0"/>
        <v>720</v>
      </c>
      <c r="E7" s="22"/>
      <c r="F7" s="22"/>
      <c r="G7" s="22"/>
      <c r="H7" s="22"/>
      <c r="I7" s="22"/>
      <c r="J7" s="22"/>
      <c r="K7" s="22"/>
      <c r="L7" s="22">
        <f t="shared" si="1"/>
        <v>720</v>
      </c>
      <c r="M7" s="55"/>
      <c r="O7" s="54">
        <v>103</v>
      </c>
      <c r="P7" s="43"/>
      <c r="Q7" s="22">
        <f t="shared" si="2"/>
        <v>720</v>
      </c>
      <c r="R7" s="22"/>
      <c r="S7" s="22"/>
      <c r="T7" s="22"/>
      <c r="U7" s="22"/>
      <c r="V7" s="22"/>
      <c r="W7" s="22"/>
      <c r="X7" s="22"/>
      <c r="Y7" s="22">
        <f t="shared" si="3"/>
        <v>720</v>
      </c>
      <c r="Z7" s="55"/>
      <c r="AF7" s="42">
        <f t="shared" ca="1" si="4"/>
        <v>42479</v>
      </c>
      <c r="AG7" s="40">
        <f t="shared" si="5"/>
        <v>0</v>
      </c>
      <c r="AH7" s="42">
        <f t="shared" ca="1" si="6"/>
        <v>42479</v>
      </c>
      <c r="AI7" s="40">
        <f t="shared" si="7"/>
        <v>0</v>
      </c>
    </row>
    <row r="8" spans="1:35" ht="21" customHeight="1">
      <c r="B8" s="56">
        <v>4</v>
      </c>
      <c r="C8" s="44"/>
      <c r="D8" s="23">
        <f t="shared" si="0"/>
        <v>720</v>
      </c>
      <c r="E8" s="23"/>
      <c r="F8" s="23"/>
      <c r="G8" s="23"/>
      <c r="H8" s="23"/>
      <c r="I8" s="23"/>
      <c r="J8" s="23"/>
      <c r="K8" s="23"/>
      <c r="L8" s="23">
        <f t="shared" si="1"/>
        <v>720</v>
      </c>
      <c r="M8" s="57"/>
      <c r="O8" s="56">
        <v>104</v>
      </c>
      <c r="P8" s="44"/>
      <c r="Q8" s="23">
        <f t="shared" si="2"/>
        <v>720</v>
      </c>
      <c r="R8" s="23"/>
      <c r="S8" s="23"/>
      <c r="T8" s="23"/>
      <c r="U8" s="23"/>
      <c r="V8" s="23"/>
      <c r="W8" s="23"/>
      <c r="X8" s="23"/>
      <c r="Y8" s="23">
        <f t="shared" si="3"/>
        <v>720</v>
      </c>
      <c r="Z8" s="57"/>
      <c r="AF8" s="42">
        <f t="shared" ca="1" si="4"/>
        <v>42479</v>
      </c>
      <c r="AG8" s="40">
        <f t="shared" si="5"/>
        <v>0</v>
      </c>
      <c r="AH8" s="42">
        <f t="shared" ca="1" si="6"/>
        <v>42479</v>
      </c>
      <c r="AI8" s="40">
        <f t="shared" si="7"/>
        <v>0</v>
      </c>
    </row>
    <row r="9" spans="1:35" ht="21" customHeight="1">
      <c r="B9" s="54">
        <v>5</v>
      </c>
      <c r="C9" s="43"/>
      <c r="D9" s="22">
        <f t="shared" si="0"/>
        <v>720</v>
      </c>
      <c r="E9" s="22"/>
      <c r="F9" s="22"/>
      <c r="G9" s="22"/>
      <c r="H9" s="22"/>
      <c r="I9" s="22"/>
      <c r="J9" s="22"/>
      <c r="K9" s="22"/>
      <c r="L9" s="22">
        <f t="shared" si="1"/>
        <v>720</v>
      </c>
      <c r="M9" s="55"/>
      <c r="O9" s="54">
        <v>105</v>
      </c>
      <c r="P9" s="43"/>
      <c r="Q9" s="22">
        <f t="shared" si="2"/>
        <v>720</v>
      </c>
      <c r="R9" s="22"/>
      <c r="S9" s="22"/>
      <c r="T9" s="22"/>
      <c r="U9" s="22"/>
      <c r="V9" s="22"/>
      <c r="W9" s="22"/>
      <c r="X9" s="22"/>
      <c r="Y9" s="22">
        <f t="shared" si="3"/>
        <v>720</v>
      </c>
      <c r="Z9" s="55"/>
      <c r="AF9" s="42">
        <f t="shared" ca="1" si="4"/>
        <v>42479</v>
      </c>
      <c r="AG9" s="40">
        <f t="shared" si="5"/>
        <v>0</v>
      </c>
      <c r="AH9" s="42">
        <f t="shared" ca="1" si="6"/>
        <v>42479</v>
      </c>
      <c r="AI9" s="40">
        <f t="shared" si="7"/>
        <v>0</v>
      </c>
    </row>
    <row r="10" spans="1:35" ht="21" customHeight="1">
      <c r="B10" s="56">
        <v>6</v>
      </c>
      <c r="C10" s="44"/>
      <c r="D10" s="23">
        <f t="shared" si="0"/>
        <v>720</v>
      </c>
      <c r="E10" s="23"/>
      <c r="F10" s="23"/>
      <c r="G10" s="23"/>
      <c r="H10" s="23"/>
      <c r="I10" s="23"/>
      <c r="J10" s="23"/>
      <c r="K10" s="23"/>
      <c r="L10" s="23">
        <f t="shared" si="1"/>
        <v>720</v>
      </c>
      <c r="M10" s="57"/>
      <c r="O10" s="56">
        <v>106</v>
      </c>
      <c r="P10" s="44"/>
      <c r="Q10" s="23">
        <f t="shared" si="2"/>
        <v>720</v>
      </c>
      <c r="R10" s="23"/>
      <c r="S10" s="23"/>
      <c r="T10" s="23"/>
      <c r="U10" s="23"/>
      <c r="V10" s="23"/>
      <c r="W10" s="23"/>
      <c r="X10" s="23"/>
      <c r="Y10" s="23">
        <f t="shared" si="3"/>
        <v>720</v>
      </c>
      <c r="Z10" s="57"/>
      <c r="AF10" s="42">
        <f t="shared" ca="1" si="4"/>
        <v>42479</v>
      </c>
      <c r="AG10" s="40">
        <f t="shared" si="5"/>
        <v>0</v>
      </c>
      <c r="AH10" s="42">
        <f t="shared" ca="1" si="6"/>
        <v>42479</v>
      </c>
      <c r="AI10" s="40">
        <f t="shared" si="7"/>
        <v>0</v>
      </c>
    </row>
    <row r="11" spans="1:35" ht="21" customHeight="1">
      <c r="B11" s="54">
        <v>7</v>
      </c>
      <c r="C11" s="43"/>
      <c r="D11" s="22">
        <f t="shared" si="0"/>
        <v>720</v>
      </c>
      <c r="E11" s="22"/>
      <c r="F11" s="22"/>
      <c r="G11" s="22"/>
      <c r="H11" s="22"/>
      <c r="I11" s="22"/>
      <c r="J11" s="22"/>
      <c r="K11" s="22"/>
      <c r="L11" s="22">
        <f t="shared" si="1"/>
        <v>720</v>
      </c>
      <c r="M11" s="55"/>
      <c r="O11" s="54">
        <v>107</v>
      </c>
      <c r="P11" s="43"/>
      <c r="Q11" s="22">
        <f t="shared" si="2"/>
        <v>720</v>
      </c>
      <c r="R11" s="22"/>
      <c r="S11" s="22"/>
      <c r="T11" s="22"/>
      <c r="U11" s="22"/>
      <c r="V11" s="22"/>
      <c r="W11" s="22"/>
      <c r="X11" s="22"/>
      <c r="Y11" s="22">
        <f t="shared" si="3"/>
        <v>720</v>
      </c>
      <c r="Z11" s="55"/>
      <c r="AF11" s="42">
        <f t="shared" ca="1" si="4"/>
        <v>42479</v>
      </c>
      <c r="AG11" s="40">
        <f t="shared" ref="AG11:AG69" si="8">IF(C11&gt;0,AF11-C11,0)</f>
        <v>0</v>
      </c>
      <c r="AH11" s="42">
        <f t="shared" ca="1" si="6"/>
        <v>42479</v>
      </c>
      <c r="AI11" s="40">
        <f t="shared" si="7"/>
        <v>0</v>
      </c>
    </row>
    <row r="12" spans="1:35" ht="21" customHeight="1">
      <c r="B12" s="56">
        <v>8</v>
      </c>
      <c r="C12" s="44"/>
      <c r="D12" s="23">
        <f t="shared" si="0"/>
        <v>720</v>
      </c>
      <c r="E12" s="23"/>
      <c r="F12" s="23"/>
      <c r="G12" s="23"/>
      <c r="H12" s="23"/>
      <c r="I12" s="23"/>
      <c r="J12" s="23"/>
      <c r="K12" s="23"/>
      <c r="L12" s="23">
        <f t="shared" si="1"/>
        <v>720</v>
      </c>
      <c r="M12" s="57"/>
      <c r="O12" s="56">
        <v>108</v>
      </c>
      <c r="P12" s="44"/>
      <c r="Q12" s="23">
        <f t="shared" si="2"/>
        <v>720</v>
      </c>
      <c r="R12" s="23"/>
      <c r="S12" s="23"/>
      <c r="T12" s="23"/>
      <c r="U12" s="23"/>
      <c r="V12" s="23"/>
      <c r="W12" s="23"/>
      <c r="X12" s="23"/>
      <c r="Y12" s="23">
        <f t="shared" si="3"/>
        <v>720</v>
      </c>
      <c r="Z12" s="57"/>
      <c r="AF12" s="42">
        <f t="shared" ca="1" si="4"/>
        <v>42479</v>
      </c>
      <c r="AG12" s="40">
        <f t="shared" si="8"/>
        <v>0</v>
      </c>
      <c r="AH12" s="42">
        <f t="shared" ca="1" si="6"/>
        <v>42479</v>
      </c>
      <c r="AI12" s="40">
        <f t="shared" si="7"/>
        <v>0</v>
      </c>
    </row>
    <row r="13" spans="1:35" ht="21" customHeight="1">
      <c r="B13" s="54">
        <v>9</v>
      </c>
      <c r="C13" s="43"/>
      <c r="D13" s="22">
        <f t="shared" si="0"/>
        <v>720</v>
      </c>
      <c r="E13" s="22"/>
      <c r="F13" s="22"/>
      <c r="G13" s="22"/>
      <c r="H13" s="22"/>
      <c r="I13" s="22"/>
      <c r="J13" s="22"/>
      <c r="K13" s="22"/>
      <c r="L13" s="22">
        <f t="shared" si="1"/>
        <v>720</v>
      </c>
      <c r="M13" s="55"/>
      <c r="O13" s="54">
        <v>109</v>
      </c>
      <c r="P13" s="43"/>
      <c r="Q13" s="22">
        <f t="shared" si="2"/>
        <v>720</v>
      </c>
      <c r="R13" s="22"/>
      <c r="S13" s="22"/>
      <c r="T13" s="22"/>
      <c r="U13" s="22"/>
      <c r="V13" s="22"/>
      <c r="W13" s="22"/>
      <c r="X13" s="22"/>
      <c r="Y13" s="22">
        <f t="shared" si="3"/>
        <v>720</v>
      </c>
      <c r="Z13" s="55"/>
      <c r="AF13" s="42">
        <f t="shared" ca="1" si="4"/>
        <v>42479</v>
      </c>
      <c r="AG13" s="40">
        <f t="shared" si="8"/>
        <v>0</v>
      </c>
      <c r="AH13" s="42">
        <f t="shared" ca="1" si="6"/>
        <v>42479</v>
      </c>
      <c r="AI13" s="40">
        <f t="shared" si="7"/>
        <v>0</v>
      </c>
    </row>
    <row r="14" spans="1:35" ht="21" customHeight="1">
      <c r="B14" s="56">
        <v>10</v>
      </c>
      <c r="C14" s="44"/>
      <c r="D14" s="23">
        <f t="shared" si="0"/>
        <v>720</v>
      </c>
      <c r="E14" s="23"/>
      <c r="F14" s="23"/>
      <c r="G14" s="23"/>
      <c r="H14" s="23"/>
      <c r="I14" s="23"/>
      <c r="J14" s="23"/>
      <c r="K14" s="23"/>
      <c r="L14" s="23">
        <f t="shared" si="1"/>
        <v>720</v>
      </c>
      <c r="M14" s="57"/>
      <c r="O14" s="56">
        <v>110</v>
      </c>
      <c r="P14" s="44"/>
      <c r="Q14" s="23">
        <f t="shared" si="2"/>
        <v>720</v>
      </c>
      <c r="R14" s="23"/>
      <c r="S14" s="23"/>
      <c r="T14" s="23"/>
      <c r="U14" s="23"/>
      <c r="V14" s="23"/>
      <c r="W14" s="23"/>
      <c r="X14" s="23"/>
      <c r="Y14" s="23">
        <f t="shared" si="3"/>
        <v>720</v>
      </c>
      <c r="Z14" s="57"/>
      <c r="AF14" s="42">
        <f t="shared" ca="1" si="4"/>
        <v>42479</v>
      </c>
      <c r="AG14" s="40">
        <f t="shared" si="8"/>
        <v>0</v>
      </c>
      <c r="AH14" s="42">
        <f t="shared" ca="1" si="6"/>
        <v>42479</v>
      </c>
      <c r="AI14" s="40">
        <f t="shared" si="7"/>
        <v>0</v>
      </c>
    </row>
    <row r="15" spans="1:35" ht="21" customHeight="1">
      <c r="B15" s="54">
        <v>11</v>
      </c>
      <c r="C15" s="43"/>
      <c r="D15" s="22">
        <f t="shared" si="0"/>
        <v>720</v>
      </c>
      <c r="E15" s="22"/>
      <c r="F15" s="22"/>
      <c r="G15" s="22"/>
      <c r="H15" s="22"/>
      <c r="I15" s="22"/>
      <c r="J15" s="22"/>
      <c r="K15" s="22"/>
      <c r="L15" s="22">
        <f t="shared" si="1"/>
        <v>720</v>
      </c>
      <c r="M15" s="55"/>
      <c r="O15" s="54">
        <v>111</v>
      </c>
      <c r="P15" s="43"/>
      <c r="Q15" s="22">
        <f t="shared" si="2"/>
        <v>720</v>
      </c>
      <c r="R15" s="22"/>
      <c r="S15" s="22"/>
      <c r="T15" s="22"/>
      <c r="U15" s="22"/>
      <c r="V15" s="22"/>
      <c r="W15" s="22"/>
      <c r="X15" s="22"/>
      <c r="Y15" s="22">
        <f t="shared" si="3"/>
        <v>720</v>
      </c>
      <c r="Z15" s="55"/>
      <c r="AF15" s="42">
        <f t="shared" ca="1" si="4"/>
        <v>42479</v>
      </c>
      <c r="AG15" s="40">
        <f t="shared" si="8"/>
        <v>0</v>
      </c>
      <c r="AH15" s="42">
        <f t="shared" ca="1" si="6"/>
        <v>42479</v>
      </c>
      <c r="AI15" s="40">
        <f t="shared" si="7"/>
        <v>0</v>
      </c>
    </row>
    <row r="16" spans="1:35" ht="21" customHeight="1">
      <c r="B16" s="56">
        <v>12</v>
      </c>
      <c r="C16" s="44"/>
      <c r="D16" s="23">
        <f t="shared" si="0"/>
        <v>720</v>
      </c>
      <c r="E16" s="23"/>
      <c r="F16" s="23"/>
      <c r="G16" s="23"/>
      <c r="H16" s="23"/>
      <c r="I16" s="23"/>
      <c r="J16" s="23"/>
      <c r="K16" s="23"/>
      <c r="L16" s="23">
        <f t="shared" si="1"/>
        <v>720</v>
      </c>
      <c r="M16" s="57"/>
      <c r="O16" s="56">
        <v>112</v>
      </c>
      <c r="P16" s="44"/>
      <c r="Q16" s="23">
        <f t="shared" si="2"/>
        <v>720</v>
      </c>
      <c r="R16" s="23"/>
      <c r="S16" s="23"/>
      <c r="T16" s="23"/>
      <c r="U16" s="23"/>
      <c r="V16" s="23"/>
      <c r="W16" s="23"/>
      <c r="X16" s="23"/>
      <c r="Y16" s="23">
        <f t="shared" si="3"/>
        <v>720</v>
      </c>
      <c r="Z16" s="57"/>
      <c r="AF16" s="42">
        <f t="shared" ca="1" si="4"/>
        <v>42479</v>
      </c>
      <c r="AG16" s="40">
        <f t="shared" si="8"/>
        <v>0</v>
      </c>
      <c r="AH16" s="42">
        <f t="shared" ca="1" si="6"/>
        <v>42479</v>
      </c>
      <c r="AI16" s="40">
        <f t="shared" si="7"/>
        <v>0</v>
      </c>
    </row>
    <row r="17" spans="2:35" ht="21" customHeight="1">
      <c r="B17" s="54">
        <v>13</v>
      </c>
      <c r="C17" s="43"/>
      <c r="D17" s="22">
        <f t="shared" si="0"/>
        <v>720</v>
      </c>
      <c r="E17" s="22"/>
      <c r="F17" s="22"/>
      <c r="G17" s="22"/>
      <c r="H17" s="22"/>
      <c r="I17" s="22"/>
      <c r="J17" s="22"/>
      <c r="K17" s="22"/>
      <c r="L17" s="22">
        <f t="shared" si="1"/>
        <v>720</v>
      </c>
      <c r="M17" s="55"/>
      <c r="O17" s="54">
        <v>113</v>
      </c>
      <c r="P17" s="43"/>
      <c r="Q17" s="22">
        <f t="shared" si="2"/>
        <v>720</v>
      </c>
      <c r="R17" s="22"/>
      <c r="S17" s="22"/>
      <c r="T17" s="22"/>
      <c r="U17" s="22"/>
      <c r="V17" s="22"/>
      <c r="W17" s="22"/>
      <c r="X17" s="22"/>
      <c r="Y17" s="22">
        <f t="shared" si="3"/>
        <v>720</v>
      </c>
      <c r="Z17" s="55"/>
      <c r="AF17" s="42">
        <f t="shared" ca="1" si="4"/>
        <v>42479</v>
      </c>
      <c r="AG17" s="40">
        <f t="shared" si="8"/>
        <v>0</v>
      </c>
      <c r="AH17" s="42">
        <f t="shared" ca="1" si="6"/>
        <v>42479</v>
      </c>
      <c r="AI17" s="40">
        <f t="shared" si="7"/>
        <v>0</v>
      </c>
    </row>
    <row r="18" spans="2:35" ht="21" customHeight="1">
      <c r="B18" s="56">
        <v>14</v>
      </c>
      <c r="C18" s="44"/>
      <c r="D18" s="23">
        <f t="shared" si="0"/>
        <v>720</v>
      </c>
      <c r="E18" s="23"/>
      <c r="F18" s="23"/>
      <c r="G18" s="23"/>
      <c r="H18" s="23"/>
      <c r="I18" s="23"/>
      <c r="J18" s="23"/>
      <c r="K18" s="23"/>
      <c r="L18" s="23">
        <f t="shared" si="1"/>
        <v>720</v>
      </c>
      <c r="M18" s="57"/>
      <c r="O18" s="56">
        <v>114</v>
      </c>
      <c r="P18" s="44"/>
      <c r="Q18" s="23">
        <f t="shared" si="2"/>
        <v>720</v>
      </c>
      <c r="R18" s="23"/>
      <c r="S18" s="23"/>
      <c r="T18" s="23"/>
      <c r="U18" s="23"/>
      <c r="V18" s="23"/>
      <c r="W18" s="23"/>
      <c r="X18" s="23"/>
      <c r="Y18" s="23">
        <f t="shared" si="3"/>
        <v>720</v>
      </c>
      <c r="Z18" s="57"/>
      <c r="AF18" s="42">
        <f t="shared" ca="1" si="4"/>
        <v>42479</v>
      </c>
      <c r="AG18" s="40">
        <f t="shared" si="8"/>
        <v>0</v>
      </c>
      <c r="AH18" s="42">
        <f t="shared" ca="1" si="6"/>
        <v>42479</v>
      </c>
      <c r="AI18" s="40">
        <f t="shared" si="7"/>
        <v>0</v>
      </c>
    </row>
    <row r="19" spans="2:35" ht="21" customHeight="1">
      <c r="B19" s="54">
        <v>15</v>
      </c>
      <c r="C19" s="43"/>
      <c r="D19" s="22">
        <f t="shared" si="0"/>
        <v>720</v>
      </c>
      <c r="E19" s="22"/>
      <c r="F19" s="22"/>
      <c r="G19" s="22"/>
      <c r="H19" s="22"/>
      <c r="I19" s="22"/>
      <c r="J19" s="22"/>
      <c r="K19" s="22"/>
      <c r="L19" s="22">
        <f t="shared" si="1"/>
        <v>720</v>
      </c>
      <c r="M19" s="55"/>
      <c r="O19" s="54">
        <v>115</v>
      </c>
      <c r="P19" s="43"/>
      <c r="Q19" s="22">
        <f t="shared" si="2"/>
        <v>720</v>
      </c>
      <c r="R19" s="22"/>
      <c r="S19" s="22"/>
      <c r="T19" s="22"/>
      <c r="U19" s="22"/>
      <c r="V19" s="22"/>
      <c r="W19" s="22"/>
      <c r="X19" s="22"/>
      <c r="Y19" s="22">
        <f t="shared" si="3"/>
        <v>720</v>
      </c>
      <c r="Z19" s="55"/>
      <c r="AF19" s="42">
        <f t="shared" ca="1" si="4"/>
        <v>42479</v>
      </c>
      <c r="AG19" s="40">
        <f t="shared" si="8"/>
        <v>0</v>
      </c>
      <c r="AH19" s="42">
        <f t="shared" ca="1" si="6"/>
        <v>42479</v>
      </c>
      <c r="AI19" s="40">
        <f t="shared" si="7"/>
        <v>0</v>
      </c>
    </row>
    <row r="20" spans="2:35" ht="21" customHeight="1">
      <c r="B20" s="56">
        <v>16</v>
      </c>
      <c r="C20" s="44"/>
      <c r="D20" s="23">
        <f t="shared" si="0"/>
        <v>720</v>
      </c>
      <c r="E20" s="23"/>
      <c r="F20" s="23"/>
      <c r="G20" s="23"/>
      <c r="H20" s="23"/>
      <c r="I20" s="23"/>
      <c r="J20" s="23"/>
      <c r="K20" s="23"/>
      <c r="L20" s="23">
        <f t="shared" si="1"/>
        <v>720</v>
      </c>
      <c r="M20" s="57"/>
      <c r="O20" s="56">
        <v>116</v>
      </c>
      <c r="P20" s="44"/>
      <c r="Q20" s="23">
        <f t="shared" si="2"/>
        <v>720</v>
      </c>
      <c r="R20" s="23"/>
      <c r="S20" s="23"/>
      <c r="T20" s="23"/>
      <c r="U20" s="23"/>
      <c r="V20" s="23"/>
      <c r="W20" s="23"/>
      <c r="X20" s="23"/>
      <c r="Y20" s="23">
        <f t="shared" si="3"/>
        <v>720</v>
      </c>
      <c r="Z20" s="57"/>
      <c r="AF20" s="42">
        <f t="shared" ca="1" si="4"/>
        <v>42479</v>
      </c>
      <c r="AG20" s="40">
        <f t="shared" si="8"/>
        <v>0</v>
      </c>
      <c r="AH20" s="42">
        <f t="shared" ca="1" si="6"/>
        <v>42479</v>
      </c>
      <c r="AI20" s="40">
        <f t="shared" si="7"/>
        <v>0</v>
      </c>
    </row>
    <row r="21" spans="2:35" ht="21" customHeight="1">
      <c r="B21" s="54">
        <v>17</v>
      </c>
      <c r="C21" s="43"/>
      <c r="D21" s="22">
        <f t="shared" si="0"/>
        <v>720</v>
      </c>
      <c r="E21" s="22"/>
      <c r="F21" s="22"/>
      <c r="G21" s="22"/>
      <c r="H21" s="22"/>
      <c r="I21" s="22"/>
      <c r="J21" s="22"/>
      <c r="K21" s="22"/>
      <c r="L21" s="22">
        <f t="shared" si="1"/>
        <v>720</v>
      </c>
      <c r="M21" s="55"/>
      <c r="O21" s="54">
        <v>117</v>
      </c>
      <c r="P21" s="43"/>
      <c r="Q21" s="22">
        <f t="shared" si="2"/>
        <v>720</v>
      </c>
      <c r="R21" s="22"/>
      <c r="S21" s="22"/>
      <c r="T21" s="22"/>
      <c r="U21" s="22"/>
      <c r="V21" s="22"/>
      <c r="W21" s="22"/>
      <c r="X21" s="22"/>
      <c r="Y21" s="22">
        <f t="shared" si="3"/>
        <v>720</v>
      </c>
      <c r="Z21" s="55"/>
      <c r="AF21" s="42">
        <f t="shared" ca="1" si="4"/>
        <v>42479</v>
      </c>
      <c r="AG21" s="40">
        <f t="shared" si="8"/>
        <v>0</v>
      </c>
      <c r="AH21" s="42">
        <f t="shared" ca="1" si="6"/>
        <v>42479</v>
      </c>
      <c r="AI21" s="40">
        <f t="shared" si="7"/>
        <v>0</v>
      </c>
    </row>
    <row r="22" spans="2:35" ht="21" customHeight="1">
      <c r="B22" s="56">
        <v>18</v>
      </c>
      <c r="C22" s="44"/>
      <c r="D22" s="23">
        <f t="shared" si="0"/>
        <v>720</v>
      </c>
      <c r="E22" s="23"/>
      <c r="F22" s="23"/>
      <c r="G22" s="23"/>
      <c r="H22" s="23"/>
      <c r="I22" s="23"/>
      <c r="J22" s="23"/>
      <c r="K22" s="23"/>
      <c r="L22" s="23">
        <f t="shared" si="1"/>
        <v>720</v>
      </c>
      <c r="M22" s="57"/>
      <c r="O22" s="56">
        <v>118</v>
      </c>
      <c r="P22" s="44"/>
      <c r="Q22" s="23">
        <f t="shared" si="2"/>
        <v>720</v>
      </c>
      <c r="R22" s="23"/>
      <c r="S22" s="23"/>
      <c r="T22" s="23"/>
      <c r="U22" s="23"/>
      <c r="V22" s="23"/>
      <c r="W22" s="23"/>
      <c r="X22" s="23"/>
      <c r="Y22" s="23">
        <f t="shared" si="3"/>
        <v>720</v>
      </c>
      <c r="Z22" s="57"/>
      <c r="AF22" s="42">
        <f t="shared" ca="1" si="4"/>
        <v>42479</v>
      </c>
      <c r="AG22" s="40">
        <f t="shared" si="8"/>
        <v>0</v>
      </c>
      <c r="AH22" s="42">
        <f t="shared" ca="1" si="6"/>
        <v>42479</v>
      </c>
      <c r="AI22" s="40">
        <f t="shared" si="7"/>
        <v>0</v>
      </c>
    </row>
    <row r="23" spans="2:35" ht="21" customHeight="1">
      <c r="B23" s="54">
        <v>19</v>
      </c>
      <c r="C23" s="43"/>
      <c r="D23" s="22">
        <f t="shared" si="0"/>
        <v>720</v>
      </c>
      <c r="E23" s="22"/>
      <c r="F23" s="22"/>
      <c r="G23" s="22"/>
      <c r="H23" s="22"/>
      <c r="I23" s="22"/>
      <c r="J23" s="22"/>
      <c r="K23" s="22"/>
      <c r="L23" s="22">
        <f t="shared" si="1"/>
        <v>720</v>
      </c>
      <c r="M23" s="55"/>
      <c r="O23" s="54">
        <v>119</v>
      </c>
      <c r="P23" s="43"/>
      <c r="Q23" s="22">
        <f t="shared" si="2"/>
        <v>720</v>
      </c>
      <c r="R23" s="22"/>
      <c r="S23" s="22"/>
      <c r="T23" s="22"/>
      <c r="U23" s="22"/>
      <c r="V23" s="22"/>
      <c r="W23" s="22"/>
      <c r="X23" s="22"/>
      <c r="Y23" s="22">
        <f t="shared" si="3"/>
        <v>720</v>
      </c>
      <c r="Z23" s="55"/>
      <c r="AF23" s="42">
        <f t="shared" ca="1" si="4"/>
        <v>42479</v>
      </c>
      <c r="AG23" s="40">
        <f t="shared" si="8"/>
        <v>0</v>
      </c>
      <c r="AH23" s="42">
        <f t="shared" ca="1" si="6"/>
        <v>42479</v>
      </c>
      <c r="AI23" s="40">
        <f t="shared" si="7"/>
        <v>0</v>
      </c>
    </row>
    <row r="24" spans="2:35" ht="21" customHeight="1">
      <c r="B24" s="56">
        <v>20</v>
      </c>
      <c r="C24" s="44"/>
      <c r="D24" s="23">
        <f t="shared" si="0"/>
        <v>720</v>
      </c>
      <c r="E24" s="23"/>
      <c r="F24" s="23"/>
      <c r="G24" s="23"/>
      <c r="H24" s="23"/>
      <c r="I24" s="23"/>
      <c r="J24" s="23"/>
      <c r="K24" s="23"/>
      <c r="L24" s="23">
        <f t="shared" si="1"/>
        <v>720</v>
      </c>
      <c r="M24" s="57"/>
      <c r="O24" s="56">
        <v>120</v>
      </c>
      <c r="P24" s="44"/>
      <c r="Q24" s="23">
        <f t="shared" si="2"/>
        <v>720</v>
      </c>
      <c r="R24" s="23"/>
      <c r="S24" s="23"/>
      <c r="T24" s="23"/>
      <c r="U24" s="23"/>
      <c r="V24" s="23"/>
      <c r="W24" s="23"/>
      <c r="X24" s="23"/>
      <c r="Y24" s="23">
        <f t="shared" si="3"/>
        <v>720</v>
      </c>
      <c r="Z24" s="57"/>
      <c r="AF24" s="42">
        <f t="shared" ca="1" si="4"/>
        <v>42479</v>
      </c>
      <c r="AG24" s="40">
        <f t="shared" si="8"/>
        <v>0</v>
      </c>
      <c r="AH24" s="42">
        <f t="shared" ca="1" si="6"/>
        <v>42479</v>
      </c>
      <c r="AI24" s="40">
        <f t="shared" si="7"/>
        <v>0</v>
      </c>
    </row>
    <row r="25" spans="2:35" ht="21" customHeight="1">
      <c r="B25" s="54">
        <v>21</v>
      </c>
      <c r="C25" s="43"/>
      <c r="D25" s="22">
        <f t="shared" si="0"/>
        <v>720</v>
      </c>
      <c r="E25" s="22"/>
      <c r="F25" s="22"/>
      <c r="G25" s="22"/>
      <c r="H25" s="22"/>
      <c r="I25" s="22"/>
      <c r="J25" s="22"/>
      <c r="K25" s="22"/>
      <c r="L25" s="22">
        <f t="shared" si="1"/>
        <v>720</v>
      </c>
      <c r="M25" s="55"/>
      <c r="O25" s="54">
        <v>121</v>
      </c>
      <c r="P25" s="43"/>
      <c r="Q25" s="22">
        <f t="shared" si="2"/>
        <v>720</v>
      </c>
      <c r="R25" s="22"/>
      <c r="S25" s="22"/>
      <c r="T25" s="22"/>
      <c r="U25" s="22"/>
      <c r="V25" s="22"/>
      <c r="W25" s="22"/>
      <c r="X25" s="22"/>
      <c r="Y25" s="22">
        <f t="shared" si="3"/>
        <v>720</v>
      </c>
      <c r="Z25" s="55"/>
      <c r="AF25" s="42">
        <f t="shared" ca="1" si="4"/>
        <v>42479</v>
      </c>
      <c r="AG25" s="40">
        <f t="shared" si="8"/>
        <v>0</v>
      </c>
      <c r="AH25" s="42">
        <f t="shared" ca="1" si="6"/>
        <v>42479</v>
      </c>
      <c r="AI25" s="40">
        <f t="shared" si="7"/>
        <v>0</v>
      </c>
    </row>
    <row r="26" spans="2:35" ht="21" customHeight="1">
      <c r="B26" s="56">
        <v>22</v>
      </c>
      <c r="C26" s="44"/>
      <c r="D26" s="23">
        <f t="shared" si="0"/>
        <v>720</v>
      </c>
      <c r="E26" s="23"/>
      <c r="F26" s="23"/>
      <c r="G26" s="23"/>
      <c r="H26" s="23"/>
      <c r="I26" s="23"/>
      <c r="J26" s="23"/>
      <c r="K26" s="23"/>
      <c r="L26" s="23">
        <f t="shared" si="1"/>
        <v>720</v>
      </c>
      <c r="M26" s="57"/>
      <c r="O26" s="56">
        <v>122</v>
      </c>
      <c r="P26" s="44"/>
      <c r="Q26" s="23">
        <f t="shared" si="2"/>
        <v>720</v>
      </c>
      <c r="R26" s="23"/>
      <c r="S26" s="23"/>
      <c r="T26" s="23"/>
      <c r="U26" s="23"/>
      <c r="V26" s="23"/>
      <c r="W26" s="23"/>
      <c r="X26" s="23"/>
      <c r="Y26" s="23">
        <f t="shared" si="3"/>
        <v>720</v>
      </c>
      <c r="Z26" s="57"/>
      <c r="AF26" s="42">
        <f t="shared" ca="1" si="4"/>
        <v>42479</v>
      </c>
      <c r="AG26" s="40">
        <f t="shared" si="8"/>
        <v>0</v>
      </c>
      <c r="AH26" s="42">
        <f t="shared" ca="1" si="6"/>
        <v>42479</v>
      </c>
      <c r="AI26" s="40">
        <f t="shared" si="7"/>
        <v>0</v>
      </c>
    </row>
    <row r="27" spans="2:35" ht="21" customHeight="1">
      <c r="B27" s="54">
        <v>23</v>
      </c>
      <c r="C27" s="43"/>
      <c r="D27" s="22">
        <f t="shared" si="0"/>
        <v>720</v>
      </c>
      <c r="E27" s="22"/>
      <c r="F27" s="22"/>
      <c r="G27" s="22"/>
      <c r="H27" s="22"/>
      <c r="I27" s="22"/>
      <c r="J27" s="22"/>
      <c r="K27" s="22"/>
      <c r="L27" s="22">
        <f t="shared" si="1"/>
        <v>720</v>
      </c>
      <c r="M27" s="55"/>
      <c r="O27" s="54">
        <v>123</v>
      </c>
      <c r="P27" s="43"/>
      <c r="Q27" s="22">
        <f t="shared" si="2"/>
        <v>720</v>
      </c>
      <c r="R27" s="22"/>
      <c r="S27" s="22"/>
      <c r="T27" s="22"/>
      <c r="U27" s="22"/>
      <c r="V27" s="22"/>
      <c r="W27" s="22"/>
      <c r="X27" s="22"/>
      <c r="Y27" s="22">
        <f t="shared" si="3"/>
        <v>720</v>
      </c>
      <c r="Z27" s="55"/>
      <c r="AF27" s="42">
        <f t="shared" ca="1" si="4"/>
        <v>42479</v>
      </c>
      <c r="AG27" s="40">
        <f t="shared" si="8"/>
        <v>0</v>
      </c>
      <c r="AH27" s="42">
        <f t="shared" ca="1" si="6"/>
        <v>42479</v>
      </c>
      <c r="AI27" s="40">
        <f t="shared" si="7"/>
        <v>0</v>
      </c>
    </row>
    <row r="28" spans="2:35" ht="21" customHeight="1">
      <c r="B28" s="56">
        <v>24</v>
      </c>
      <c r="C28" s="44"/>
      <c r="D28" s="23">
        <f t="shared" si="0"/>
        <v>720</v>
      </c>
      <c r="E28" s="23"/>
      <c r="F28" s="23"/>
      <c r="G28" s="23"/>
      <c r="H28" s="23"/>
      <c r="I28" s="23"/>
      <c r="J28" s="23"/>
      <c r="K28" s="23"/>
      <c r="L28" s="23">
        <f t="shared" si="1"/>
        <v>720</v>
      </c>
      <c r="M28" s="57"/>
      <c r="O28" s="56">
        <v>124</v>
      </c>
      <c r="P28" s="44"/>
      <c r="Q28" s="23">
        <f t="shared" si="2"/>
        <v>720</v>
      </c>
      <c r="R28" s="23"/>
      <c r="S28" s="23"/>
      <c r="T28" s="23"/>
      <c r="U28" s="23"/>
      <c r="V28" s="23"/>
      <c r="W28" s="23"/>
      <c r="X28" s="23"/>
      <c r="Y28" s="23">
        <f t="shared" si="3"/>
        <v>720</v>
      </c>
      <c r="Z28" s="57"/>
      <c r="AF28" s="42">
        <f t="shared" ca="1" si="4"/>
        <v>42479</v>
      </c>
      <c r="AG28" s="40">
        <f t="shared" si="8"/>
        <v>0</v>
      </c>
      <c r="AH28" s="42">
        <f t="shared" ca="1" si="6"/>
        <v>42479</v>
      </c>
      <c r="AI28" s="40">
        <f t="shared" si="7"/>
        <v>0</v>
      </c>
    </row>
    <row r="29" spans="2:35" ht="21" customHeight="1">
      <c r="B29" s="54">
        <v>25</v>
      </c>
      <c r="C29" s="43"/>
      <c r="D29" s="22">
        <f t="shared" si="0"/>
        <v>720</v>
      </c>
      <c r="E29" s="22"/>
      <c r="F29" s="22"/>
      <c r="G29" s="22"/>
      <c r="H29" s="22"/>
      <c r="I29" s="22"/>
      <c r="J29" s="22"/>
      <c r="K29" s="22"/>
      <c r="L29" s="22">
        <f t="shared" si="1"/>
        <v>720</v>
      </c>
      <c r="M29" s="55"/>
      <c r="O29" s="54">
        <v>125</v>
      </c>
      <c r="P29" s="43"/>
      <c r="Q29" s="22">
        <f t="shared" si="2"/>
        <v>720</v>
      </c>
      <c r="R29" s="22"/>
      <c r="S29" s="22"/>
      <c r="T29" s="22"/>
      <c r="U29" s="22"/>
      <c r="V29" s="22"/>
      <c r="W29" s="22"/>
      <c r="X29" s="22"/>
      <c r="Y29" s="22">
        <f t="shared" si="3"/>
        <v>720</v>
      </c>
      <c r="Z29" s="55"/>
      <c r="AF29" s="42">
        <f t="shared" ca="1" si="4"/>
        <v>42479</v>
      </c>
      <c r="AG29" s="40">
        <f t="shared" si="8"/>
        <v>0</v>
      </c>
      <c r="AH29" s="42">
        <f t="shared" ca="1" si="6"/>
        <v>42479</v>
      </c>
      <c r="AI29" s="40">
        <f t="shared" si="7"/>
        <v>0</v>
      </c>
    </row>
    <row r="30" spans="2:35" ht="21" customHeight="1">
      <c r="B30" s="56">
        <v>26</v>
      </c>
      <c r="C30" s="44"/>
      <c r="D30" s="23">
        <f t="shared" si="0"/>
        <v>720</v>
      </c>
      <c r="E30" s="23"/>
      <c r="F30" s="23"/>
      <c r="G30" s="23"/>
      <c r="H30" s="23"/>
      <c r="I30" s="23"/>
      <c r="J30" s="23"/>
      <c r="K30" s="23"/>
      <c r="L30" s="23">
        <f t="shared" si="1"/>
        <v>720</v>
      </c>
      <c r="M30" s="57"/>
      <c r="O30" s="56">
        <v>126</v>
      </c>
      <c r="P30" s="44"/>
      <c r="Q30" s="23">
        <f t="shared" si="2"/>
        <v>720</v>
      </c>
      <c r="R30" s="23"/>
      <c r="S30" s="23"/>
      <c r="T30" s="23"/>
      <c r="U30" s="23"/>
      <c r="V30" s="23"/>
      <c r="W30" s="23"/>
      <c r="X30" s="23"/>
      <c r="Y30" s="23">
        <f t="shared" si="3"/>
        <v>720</v>
      </c>
      <c r="Z30" s="57"/>
      <c r="AF30" s="42">
        <f t="shared" ca="1" si="4"/>
        <v>42479</v>
      </c>
      <c r="AG30" s="40">
        <f t="shared" si="8"/>
        <v>0</v>
      </c>
      <c r="AH30" s="42">
        <f t="shared" ca="1" si="6"/>
        <v>42479</v>
      </c>
      <c r="AI30" s="40">
        <f t="shared" si="7"/>
        <v>0</v>
      </c>
    </row>
    <row r="31" spans="2:35" ht="21" customHeight="1">
      <c r="B31" s="54">
        <v>27</v>
      </c>
      <c r="C31" s="43"/>
      <c r="D31" s="22">
        <f t="shared" si="0"/>
        <v>720</v>
      </c>
      <c r="E31" s="22"/>
      <c r="F31" s="22"/>
      <c r="G31" s="22"/>
      <c r="H31" s="22"/>
      <c r="I31" s="22"/>
      <c r="J31" s="22"/>
      <c r="K31" s="22"/>
      <c r="L31" s="22">
        <f t="shared" si="1"/>
        <v>720</v>
      </c>
      <c r="M31" s="55"/>
      <c r="O31" s="54">
        <v>127</v>
      </c>
      <c r="P31" s="43"/>
      <c r="Q31" s="22">
        <f t="shared" si="2"/>
        <v>720</v>
      </c>
      <c r="R31" s="22"/>
      <c r="S31" s="22"/>
      <c r="T31" s="22"/>
      <c r="U31" s="22"/>
      <c r="V31" s="22"/>
      <c r="W31" s="22"/>
      <c r="X31" s="22"/>
      <c r="Y31" s="22">
        <f t="shared" si="3"/>
        <v>720</v>
      </c>
      <c r="Z31" s="55"/>
      <c r="AF31" s="42">
        <f t="shared" ca="1" si="4"/>
        <v>42479</v>
      </c>
      <c r="AG31" s="40">
        <f t="shared" si="8"/>
        <v>0</v>
      </c>
      <c r="AH31" s="42">
        <f t="shared" ca="1" si="6"/>
        <v>42479</v>
      </c>
      <c r="AI31" s="40">
        <f t="shared" si="7"/>
        <v>0</v>
      </c>
    </row>
    <row r="32" spans="2:35" ht="21" customHeight="1">
      <c r="B32" s="56">
        <v>28</v>
      </c>
      <c r="C32" s="44"/>
      <c r="D32" s="23">
        <f t="shared" si="0"/>
        <v>720</v>
      </c>
      <c r="E32" s="23"/>
      <c r="F32" s="23"/>
      <c r="G32" s="23"/>
      <c r="H32" s="23"/>
      <c r="I32" s="23"/>
      <c r="J32" s="23"/>
      <c r="K32" s="23"/>
      <c r="L32" s="23">
        <f t="shared" si="1"/>
        <v>720</v>
      </c>
      <c r="M32" s="57"/>
      <c r="O32" s="56">
        <v>128</v>
      </c>
      <c r="P32" s="44"/>
      <c r="Q32" s="23">
        <f t="shared" si="2"/>
        <v>720</v>
      </c>
      <c r="R32" s="23"/>
      <c r="S32" s="23"/>
      <c r="T32" s="23"/>
      <c r="U32" s="23"/>
      <c r="V32" s="23"/>
      <c r="W32" s="23"/>
      <c r="X32" s="23"/>
      <c r="Y32" s="23">
        <f t="shared" si="3"/>
        <v>720</v>
      </c>
      <c r="Z32" s="57"/>
      <c r="AF32" s="42">
        <f t="shared" ca="1" si="4"/>
        <v>42479</v>
      </c>
      <c r="AG32" s="40">
        <f t="shared" si="8"/>
        <v>0</v>
      </c>
      <c r="AH32" s="42">
        <f t="shared" ca="1" si="6"/>
        <v>42479</v>
      </c>
      <c r="AI32" s="40">
        <f t="shared" si="7"/>
        <v>0</v>
      </c>
    </row>
    <row r="33" spans="2:35" ht="21" customHeight="1">
      <c r="B33" s="54">
        <v>29</v>
      </c>
      <c r="C33" s="43"/>
      <c r="D33" s="22">
        <f t="shared" si="0"/>
        <v>720</v>
      </c>
      <c r="E33" s="22"/>
      <c r="F33" s="22"/>
      <c r="G33" s="22"/>
      <c r="H33" s="22"/>
      <c r="I33" s="22"/>
      <c r="J33" s="22"/>
      <c r="K33" s="22"/>
      <c r="L33" s="22">
        <f t="shared" si="1"/>
        <v>720</v>
      </c>
      <c r="M33" s="55"/>
      <c r="O33" s="54">
        <v>129</v>
      </c>
      <c r="P33" s="43"/>
      <c r="Q33" s="22">
        <f t="shared" si="2"/>
        <v>720</v>
      </c>
      <c r="R33" s="22"/>
      <c r="S33" s="22"/>
      <c r="T33" s="22"/>
      <c r="U33" s="22"/>
      <c r="V33" s="22"/>
      <c r="W33" s="22"/>
      <c r="X33" s="22"/>
      <c r="Y33" s="22">
        <f t="shared" si="3"/>
        <v>720</v>
      </c>
      <c r="Z33" s="55"/>
      <c r="AF33" s="42">
        <f t="shared" ca="1" si="4"/>
        <v>42479</v>
      </c>
      <c r="AG33" s="40">
        <f t="shared" si="8"/>
        <v>0</v>
      </c>
      <c r="AH33" s="42">
        <f t="shared" ca="1" si="6"/>
        <v>42479</v>
      </c>
      <c r="AI33" s="40">
        <f t="shared" si="7"/>
        <v>0</v>
      </c>
    </row>
    <row r="34" spans="2:35" ht="21" customHeight="1">
      <c r="B34" s="56">
        <v>30</v>
      </c>
      <c r="C34" s="44"/>
      <c r="D34" s="23">
        <f t="shared" si="0"/>
        <v>720</v>
      </c>
      <c r="E34" s="23"/>
      <c r="F34" s="23"/>
      <c r="G34" s="23"/>
      <c r="H34" s="23"/>
      <c r="I34" s="23"/>
      <c r="J34" s="23"/>
      <c r="K34" s="23"/>
      <c r="L34" s="23">
        <f t="shared" si="1"/>
        <v>720</v>
      </c>
      <c r="M34" s="57"/>
      <c r="O34" s="56">
        <v>130</v>
      </c>
      <c r="P34" s="44"/>
      <c r="Q34" s="23">
        <f t="shared" si="2"/>
        <v>720</v>
      </c>
      <c r="R34" s="23"/>
      <c r="S34" s="23"/>
      <c r="T34" s="23"/>
      <c r="U34" s="23"/>
      <c r="V34" s="23"/>
      <c r="W34" s="23"/>
      <c r="X34" s="23"/>
      <c r="Y34" s="23">
        <f t="shared" si="3"/>
        <v>720</v>
      </c>
      <c r="Z34" s="57"/>
      <c r="AF34" s="42">
        <f t="shared" ca="1" si="4"/>
        <v>42479</v>
      </c>
      <c r="AG34" s="40">
        <f t="shared" si="8"/>
        <v>0</v>
      </c>
      <c r="AH34" s="42">
        <f t="shared" ca="1" si="6"/>
        <v>42479</v>
      </c>
      <c r="AI34" s="40">
        <f t="shared" si="7"/>
        <v>0</v>
      </c>
    </row>
    <row r="35" spans="2:35" ht="21" customHeight="1">
      <c r="B35" s="54">
        <v>31</v>
      </c>
      <c r="C35" s="43"/>
      <c r="D35" s="22">
        <f t="shared" si="0"/>
        <v>720</v>
      </c>
      <c r="E35" s="22"/>
      <c r="F35" s="22"/>
      <c r="G35" s="22"/>
      <c r="H35" s="22"/>
      <c r="I35" s="22"/>
      <c r="J35" s="22"/>
      <c r="K35" s="22"/>
      <c r="L35" s="22">
        <f t="shared" si="1"/>
        <v>720</v>
      </c>
      <c r="M35" s="55"/>
      <c r="O35" s="54">
        <v>131</v>
      </c>
      <c r="P35" s="43"/>
      <c r="Q35" s="22">
        <f t="shared" si="2"/>
        <v>720</v>
      </c>
      <c r="R35" s="22"/>
      <c r="S35" s="22"/>
      <c r="T35" s="22"/>
      <c r="U35" s="22"/>
      <c r="V35" s="22"/>
      <c r="W35" s="22"/>
      <c r="X35" s="22"/>
      <c r="Y35" s="22">
        <f t="shared" si="3"/>
        <v>720</v>
      </c>
      <c r="Z35" s="55"/>
      <c r="AF35" s="42">
        <f t="shared" ca="1" si="4"/>
        <v>42479</v>
      </c>
      <c r="AG35" s="40">
        <f t="shared" si="8"/>
        <v>0</v>
      </c>
      <c r="AH35" s="42">
        <f t="shared" ca="1" si="6"/>
        <v>42479</v>
      </c>
      <c r="AI35" s="40">
        <f t="shared" si="7"/>
        <v>0</v>
      </c>
    </row>
    <row r="36" spans="2:35" ht="21" customHeight="1">
      <c r="B36" s="56">
        <v>32</v>
      </c>
      <c r="C36" s="44"/>
      <c r="D36" s="23">
        <f t="shared" si="0"/>
        <v>720</v>
      </c>
      <c r="E36" s="23"/>
      <c r="F36" s="23"/>
      <c r="G36" s="23"/>
      <c r="H36" s="23"/>
      <c r="I36" s="23"/>
      <c r="J36" s="23"/>
      <c r="K36" s="23"/>
      <c r="L36" s="23">
        <f t="shared" si="1"/>
        <v>720</v>
      </c>
      <c r="M36" s="57"/>
      <c r="O36" s="56">
        <v>132</v>
      </c>
      <c r="P36" s="44"/>
      <c r="Q36" s="23">
        <f t="shared" si="2"/>
        <v>720</v>
      </c>
      <c r="R36" s="23"/>
      <c r="S36" s="23"/>
      <c r="T36" s="23"/>
      <c r="U36" s="23"/>
      <c r="V36" s="23"/>
      <c r="W36" s="23"/>
      <c r="X36" s="23"/>
      <c r="Y36" s="23">
        <f t="shared" si="3"/>
        <v>720</v>
      </c>
      <c r="Z36" s="57"/>
      <c r="AF36" s="42">
        <f t="shared" ca="1" si="4"/>
        <v>42479</v>
      </c>
      <c r="AG36" s="40">
        <f t="shared" si="8"/>
        <v>0</v>
      </c>
      <c r="AH36" s="42">
        <f t="shared" ca="1" si="6"/>
        <v>42479</v>
      </c>
      <c r="AI36" s="40">
        <f t="shared" si="7"/>
        <v>0</v>
      </c>
    </row>
    <row r="37" spans="2:35" ht="21" customHeight="1">
      <c r="B37" s="54">
        <v>33</v>
      </c>
      <c r="C37" s="43"/>
      <c r="D37" s="22">
        <f t="shared" si="0"/>
        <v>720</v>
      </c>
      <c r="E37" s="22"/>
      <c r="F37" s="22"/>
      <c r="G37" s="22"/>
      <c r="H37" s="22"/>
      <c r="I37" s="22"/>
      <c r="J37" s="22"/>
      <c r="K37" s="22"/>
      <c r="L37" s="22">
        <f t="shared" si="1"/>
        <v>720</v>
      </c>
      <c r="M37" s="55"/>
      <c r="O37" s="54">
        <v>133</v>
      </c>
      <c r="P37" s="43"/>
      <c r="Q37" s="22">
        <f t="shared" si="2"/>
        <v>720</v>
      </c>
      <c r="R37" s="22"/>
      <c r="S37" s="22"/>
      <c r="T37" s="22"/>
      <c r="U37" s="22"/>
      <c r="V37" s="22"/>
      <c r="W37" s="22"/>
      <c r="X37" s="22"/>
      <c r="Y37" s="22">
        <f t="shared" si="3"/>
        <v>720</v>
      </c>
      <c r="Z37" s="55"/>
      <c r="AF37" s="42">
        <f t="shared" ca="1" si="4"/>
        <v>42479</v>
      </c>
      <c r="AG37" s="40">
        <f t="shared" si="8"/>
        <v>0</v>
      </c>
      <c r="AH37" s="42">
        <f t="shared" ca="1" si="6"/>
        <v>42479</v>
      </c>
      <c r="AI37" s="40">
        <f t="shared" si="7"/>
        <v>0</v>
      </c>
    </row>
    <row r="38" spans="2:35" ht="21" customHeight="1">
      <c r="B38" s="56">
        <v>34</v>
      </c>
      <c r="C38" s="44"/>
      <c r="D38" s="23">
        <f t="shared" si="0"/>
        <v>720</v>
      </c>
      <c r="E38" s="23"/>
      <c r="F38" s="23"/>
      <c r="G38" s="23"/>
      <c r="H38" s="23"/>
      <c r="I38" s="23"/>
      <c r="J38" s="23"/>
      <c r="K38" s="23"/>
      <c r="L38" s="23">
        <f t="shared" si="1"/>
        <v>720</v>
      </c>
      <c r="M38" s="57"/>
      <c r="O38" s="56">
        <v>134</v>
      </c>
      <c r="P38" s="44"/>
      <c r="Q38" s="23">
        <f t="shared" si="2"/>
        <v>720</v>
      </c>
      <c r="R38" s="23"/>
      <c r="S38" s="23"/>
      <c r="T38" s="23"/>
      <c r="U38" s="23"/>
      <c r="V38" s="23"/>
      <c r="W38" s="23"/>
      <c r="X38" s="23"/>
      <c r="Y38" s="23">
        <f t="shared" si="3"/>
        <v>720</v>
      </c>
      <c r="Z38" s="57"/>
      <c r="AF38" s="42">
        <f t="shared" ca="1" si="4"/>
        <v>42479</v>
      </c>
      <c r="AG38" s="40">
        <f t="shared" si="8"/>
        <v>0</v>
      </c>
      <c r="AH38" s="42">
        <f t="shared" ca="1" si="6"/>
        <v>42479</v>
      </c>
      <c r="AI38" s="40">
        <f t="shared" si="7"/>
        <v>0</v>
      </c>
    </row>
    <row r="39" spans="2:35" ht="21" customHeight="1">
      <c r="B39" s="54">
        <v>35</v>
      </c>
      <c r="C39" s="43"/>
      <c r="D39" s="22">
        <f t="shared" si="0"/>
        <v>720</v>
      </c>
      <c r="E39" s="22"/>
      <c r="F39" s="22"/>
      <c r="G39" s="22"/>
      <c r="H39" s="22"/>
      <c r="I39" s="22"/>
      <c r="J39" s="22"/>
      <c r="K39" s="22"/>
      <c r="L39" s="22">
        <f t="shared" si="1"/>
        <v>720</v>
      </c>
      <c r="M39" s="55"/>
      <c r="O39" s="54">
        <v>135</v>
      </c>
      <c r="P39" s="43"/>
      <c r="Q39" s="22">
        <f t="shared" si="2"/>
        <v>720</v>
      </c>
      <c r="R39" s="22"/>
      <c r="S39" s="22"/>
      <c r="T39" s="22"/>
      <c r="U39" s="22"/>
      <c r="V39" s="22"/>
      <c r="W39" s="22"/>
      <c r="X39" s="22"/>
      <c r="Y39" s="22">
        <f t="shared" si="3"/>
        <v>720</v>
      </c>
      <c r="Z39" s="55"/>
      <c r="AF39" s="42">
        <f t="shared" ca="1" si="4"/>
        <v>42479</v>
      </c>
      <c r="AG39" s="40">
        <f t="shared" si="8"/>
        <v>0</v>
      </c>
      <c r="AH39" s="42">
        <f t="shared" ca="1" si="6"/>
        <v>42479</v>
      </c>
      <c r="AI39" s="40">
        <f t="shared" si="7"/>
        <v>0</v>
      </c>
    </row>
    <row r="40" spans="2:35" ht="21" customHeight="1">
      <c r="B40" s="56">
        <v>36</v>
      </c>
      <c r="C40" s="44"/>
      <c r="D40" s="23">
        <f t="shared" si="0"/>
        <v>720</v>
      </c>
      <c r="E40" s="23"/>
      <c r="F40" s="23"/>
      <c r="G40" s="23"/>
      <c r="H40" s="23"/>
      <c r="I40" s="23"/>
      <c r="J40" s="23"/>
      <c r="K40" s="23"/>
      <c r="L40" s="23">
        <f t="shared" si="1"/>
        <v>720</v>
      </c>
      <c r="M40" s="57"/>
      <c r="O40" s="56">
        <v>136</v>
      </c>
      <c r="P40" s="44"/>
      <c r="Q40" s="23">
        <f t="shared" si="2"/>
        <v>720</v>
      </c>
      <c r="R40" s="23"/>
      <c r="S40" s="23"/>
      <c r="T40" s="23"/>
      <c r="U40" s="23"/>
      <c r="V40" s="23"/>
      <c r="W40" s="23"/>
      <c r="X40" s="23"/>
      <c r="Y40" s="23">
        <f t="shared" si="3"/>
        <v>720</v>
      </c>
      <c r="Z40" s="57"/>
      <c r="AF40" s="42">
        <f t="shared" ca="1" si="4"/>
        <v>42479</v>
      </c>
      <c r="AG40" s="40">
        <f t="shared" si="8"/>
        <v>0</v>
      </c>
      <c r="AH40" s="42">
        <f t="shared" ca="1" si="6"/>
        <v>42479</v>
      </c>
      <c r="AI40" s="40">
        <f t="shared" si="7"/>
        <v>0</v>
      </c>
    </row>
    <row r="41" spans="2:35" ht="21" customHeight="1">
      <c r="B41" s="54">
        <v>37</v>
      </c>
      <c r="C41" s="43"/>
      <c r="D41" s="22">
        <f t="shared" si="0"/>
        <v>720</v>
      </c>
      <c r="E41" s="22"/>
      <c r="F41" s="22"/>
      <c r="G41" s="22"/>
      <c r="H41" s="22"/>
      <c r="I41" s="22"/>
      <c r="J41" s="22"/>
      <c r="K41" s="22"/>
      <c r="L41" s="22">
        <f t="shared" si="1"/>
        <v>720</v>
      </c>
      <c r="M41" s="55"/>
      <c r="O41" s="54">
        <v>137</v>
      </c>
      <c r="P41" s="43"/>
      <c r="Q41" s="22">
        <f t="shared" si="2"/>
        <v>720</v>
      </c>
      <c r="R41" s="22"/>
      <c r="S41" s="22"/>
      <c r="T41" s="22"/>
      <c r="U41" s="22"/>
      <c r="V41" s="22"/>
      <c r="W41" s="22"/>
      <c r="X41" s="22"/>
      <c r="Y41" s="22">
        <f t="shared" si="3"/>
        <v>720</v>
      </c>
      <c r="Z41" s="55"/>
      <c r="AF41" s="42">
        <f t="shared" ca="1" si="4"/>
        <v>42479</v>
      </c>
      <c r="AG41" s="40">
        <f t="shared" si="8"/>
        <v>0</v>
      </c>
      <c r="AH41" s="42">
        <f t="shared" ca="1" si="6"/>
        <v>42479</v>
      </c>
      <c r="AI41" s="40">
        <f t="shared" si="7"/>
        <v>0</v>
      </c>
    </row>
    <row r="42" spans="2:35" ht="21" customHeight="1">
      <c r="B42" s="56">
        <v>38</v>
      </c>
      <c r="C42" s="44"/>
      <c r="D42" s="23">
        <f t="shared" si="0"/>
        <v>720</v>
      </c>
      <c r="E42" s="23"/>
      <c r="F42" s="23"/>
      <c r="G42" s="23"/>
      <c r="H42" s="23"/>
      <c r="I42" s="23"/>
      <c r="J42" s="23"/>
      <c r="K42" s="23"/>
      <c r="L42" s="23">
        <f t="shared" si="1"/>
        <v>720</v>
      </c>
      <c r="M42" s="57"/>
      <c r="O42" s="56">
        <v>138</v>
      </c>
      <c r="P42" s="44"/>
      <c r="Q42" s="23">
        <f t="shared" si="2"/>
        <v>720</v>
      </c>
      <c r="R42" s="23"/>
      <c r="S42" s="23"/>
      <c r="T42" s="23"/>
      <c r="U42" s="23"/>
      <c r="V42" s="23"/>
      <c r="W42" s="23"/>
      <c r="X42" s="23"/>
      <c r="Y42" s="23">
        <f t="shared" si="3"/>
        <v>720</v>
      </c>
      <c r="Z42" s="57"/>
      <c r="AF42" s="42">
        <f t="shared" ca="1" si="4"/>
        <v>42479</v>
      </c>
      <c r="AG42" s="40">
        <f t="shared" si="8"/>
        <v>0</v>
      </c>
      <c r="AH42" s="42">
        <f t="shared" ca="1" si="6"/>
        <v>42479</v>
      </c>
      <c r="AI42" s="40">
        <f t="shared" si="7"/>
        <v>0</v>
      </c>
    </row>
    <row r="43" spans="2:35" ht="21" customHeight="1">
      <c r="B43" s="54">
        <v>39</v>
      </c>
      <c r="C43" s="43"/>
      <c r="D43" s="22">
        <f t="shared" si="0"/>
        <v>720</v>
      </c>
      <c r="E43" s="22"/>
      <c r="F43" s="22"/>
      <c r="G43" s="22"/>
      <c r="H43" s="22"/>
      <c r="I43" s="22"/>
      <c r="J43" s="22"/>
      <c r="K43" s="22"/>
      <c r="L43" s="22">
        <f t="shared" si="1"/>
        <v>720</v>
      </c>
      <c r="M43" s="55"/>
      <c r="O43" s="54">
        <v>139</v>
      </c>
      <c r="P43" s="43"/>
      <c r="Q43" s="22">
        <f t="shared" si="2"/>
        <v>720</v>
      </c>
      <c r="R43" s="22"/>
      <c r="S43" s="22"/>
      <c r="T43" s="22"/>
      <c r="U43" s="22"/>
      <c r="V43" s="22"/>
      <c r="W43" s="22"/>
      <c r="X43" s="22"/>
      <c r="Y43" s="22">
        <f t="shared" si="3"/>
        <v>720</v>
      </c>
      <c r="Z43" s="55"/>
      <c r="AF43" s="42">
        <f t="shared" ca="1" si="4"/>
        <v>42479</v>
      </c>
      <c r="AG43" s="40">
        <f t="shared" si="8"/>
        <v>0</v>
      </c>
      <c r="AH43" s="42">
        <f t="shared" ca="1" si="6"/>
        <v>42479</v>
      </c>
      <c r="AI43" s="40">
        <f t="shared" si="7"/>
        <v>0</v>
      </c>
    </row>
    <row r="44" spans="2:35" ht="21" customHeight="1">
      <c r="B44" s="56">
        <v>40</v>
      </c>
      <c r="C44" s="44"/>
      <c r="D44" s="23">
        <f t="shared" si="0"/>
        <v>720</v>
      </c>
      <c r="E44" s="23"/>
      <c r="F44" s="23"/>
      <c r="G44" s="23"/>
      <c r="H44" s="23"/>
      <c r="I44" s="23"/>
      <c r="J44" s="23"/>
      <c r="K44" s="23"/>
      <c r="L44" s="23">
        <f t="shared" si="1"/>
        <v>720</v>
      </c>
      <c r="M44" s="57"/>
      <c r="O44" s="56">
        <v>140</v>
      </c>
      <c r="P44" s="44"/>
      <c r="Q44" s="23">
        <f t="shared" si="2"/>
        <v>720</v>
      </c>
      <c r="R44" s="23"/>
      <c r="S44" s="23"/>
      <c r="T44" s="23"/>
      <c r="U44" s="23"/>
      <c r="V44" s="23"/>
      <c r="W44" s="23"/>
      <c r="X44" s="23"/>
      <c r="Y44" s="23">
        <f t="shared" si="3"/>
        <v>720</v>
      </c>
      <c r="Z44" s="57"/>
      <c r="AF44" s="42">
        <f t="shared" ca="1" si="4"/>
        <v>42479</v>
      </c>
      <c r="AG44" s="40">
        <f t="shared" si="8"/>
        <v>0</v>
      </c>
      <c r="AH44" s="42">
        <f t="shared" ca="1" si="6"/>
        <v>42479</v>
      </c>
      <c r="AI44" s="40">
        <f t="shared" si="7"/>
        <v>0</v>
      </c>
    </row>
    <row r="45" spans="2:35" ht="21" customHeight="1">
      <c r="B45" s="54">
        <v>41</v>
      </c>
      <c r="C45" s="43"/>
      <c r="D45" s="22">
        <f t="shared" si="0"/>
        <v>720</v>
      </c>
      <c r="E45" s="22"/>
      <c r="F45" s="22"/>
      <c r="G45" s="22"/>
      <c r="H45" s="22"/>
      <c r="I45" s="22"/>
      <c r="J45" s="22"/>
      <c r="K45" s="22"/>
      <c r="L45" s="22">
        <f t="shared" si="1"/>
        <v>720</v>
      </c>
      <c r="M45" s="55"/>
      <c r="O45" s="54">
        <v>141</v>
      </c>
      <c r="P45" s="43"/>
      <c r="Q45" s="22">
        <f t="shared" si="2"/>
        <v>720</v>
      </c>
      <c r="R45" s="22"/>
      <c r="S45" s="22"/>
      <c r="T45" s="22"/>
      <c r="U45" s="22"/>
      <c r="V45" s="22"/>
      <c r="W45" s="22"/>
      <c r="X45" s="22"/>
      <c r="Y45" s="22">
        <f t="shared" si="3"/>
        <v>720</v>
      </c>
      <c r="Z45" s="55"/>
      <c r="AF45" s="42">
        <f t="shared" ca="1" si="4"/>
        <v>42479</v>
      </c>
      <c r="AG45" s="40">
        <f t="shared" si="8"/>
        <v>0</v>
      </c>
      <c r="AH45" s="42">
        <f t="shared" ca="1" si="6"/>
        <v>42479</v>
      </c>
      <c r="AI45" s="40">
        <f t="shared" si="7"/>
        <v>0</v>
      </c>
    </row>
    <row r="46" spans="2:35" ht="21" customHeight="1">
      <c r="B46" s="56">
        <v>42</v>
      </c>
      <c r="C46" s="44"/>
      <c r="D46" s="23">
        <f t="shared" si="0"/>
        <v>720</v>
      </c>
      <c r="E46" s="23"/>
      <c r="F46" s="23"/>
      <c r="G46" s="23"/>
      <c r="H46" s="23"/>
      <c r="I46" s="23"/>
      <c r="J46" s="23"/>
      <c r="K46" s="23"/>
      <c r="L46" s="23">
        <f t="shared" si="1"/>
        <v>720</v>
      </c>
      <c r="M46" s="57"/>
      <c r="O46" s="56">
        <v>142</v>
      </c>
      <c r="P46" s="44"/>
      <c r="Q46" s="23">
        <f t="shared" si="2"/>
        <v>720</v>
      </c>
      <c r="R46" s="23"/>
      <c r="S46" s="23"/>
      <c r="T46" s="23"/>
      <c r="U46" s="23"/>
      <c r="V46" s="23"/>
      <c r="W46" s="23"/>
      <c r="X46" s="23"/>
      <c r="Y46" s="23">
        <f t="shared" si="3"/>
        <v>720</v>
      </c>
      <c r="Z46" s="57"/>
      <c r="AF46" s="42">
        <f t="shared" ca="1" si="4"/>
        <v>42479</v>
      </c>
      <c r="AG46" s="40">
        <f t="shared" si="8"/>
        <v>0</v>
      </c>
      <c r="AH46" s="42">
        <f t="shared" ca="1" si="6"/>
        <v>42479</v>
      </c>
      <c r="AI46" s="40">
        <f t="shared" si="7"/>
        <v>0</v>
      </c>
    </row>
    <row r="47" spans="2:35" ht="21" customHeight="1">
      <c r="B47" s="54">
        <v>43</v>
      </c>
      <c r="C47" s="43"/>
      <c r="D47" s="22">
        <f t="shared" si="0"/>
        <v>720</v>
      </c>
      <c r="E47" s="22"/>
      <c r="F47" s="22"/>
      <c r="G47" s="22"/>
      <c r="H47" s="22"/>
      <c r="I47" s="22"/>
      <c r="J47" s="22"/>
      <c r="K47" s="22"/>
      <c r="L47" s="22">
        <f t="shared" si="1"/>
        <v>720</v>
      </c>
      <c r="M47" s="55"/>
      <c r="O47" s="54">
        <v>143</v>
      </c>
      <c r="P47" s="43"/>
      <c r="Q47" s="22">
        <f t="shared" si="2"/>
        <v>720</v>
      </c>
      <c r="R47" s="22"/>
      <c r="S47" s="22"/>
      <c r="T47" s="22"/>
      <c r="U47" s="22"/>
      <c r="V47" s="22"/>
      <c r="W47" s="22"/>
      <c r="X47" s="22"/>
      <c r="Y47" s="22">
        <f t="shared" si="3"/>
        <v>720</v>
      </c>
      <c r="Z47" s="55"/>
      <c r="AF47" s="42">
        <f t="shared" ca="1" si="4"/>
        <v>42479</v>
      </c>
      <c r="AG47" s="40">
        <f t="shared" si="8"/>
        <v>0</v>
      </c>
      <c r="AH47" s="42">
        <f t="shared" ca="1" si="6"/>
        <v>42479</v>
      </c>
      <c r="AI47" s="40">
        <f t="shared" si="7"/>
        <v>0</v>
      </c>
    </row>
    <row r="48" spans="2:35" ht="21" customHeight="1">
      <c r="B48" s="56">
        <v>44</v>
      </c>
      <c r="C48" s="44"/>
      <c r="D48" s="23">
        <f t="shared" si="0"/>
        <v>720</v>
      </c>
      <c r="E48" s="23"/>
      <c r="F48" s="23"/>
      <c r="G48" s="23"/>
      <c r="H48" s="23"/>
      <c r="I48" s="23"/>
      <c r="J48" s="23"/>
      <c r="K48" s="23"/>
      <c r="L48" s="23">
        <f t="shared" si="1"/>
        <v>720</v>
      </c>
      <c r="M48" s="57"/>
      <c r="O48" s="56">
        <v>144</v>
      </c>
      <c r="P48" s="44"/>
      <c r="Q48" s="23">
        <f t="shared" si="2"/>
        <v>720</v>
      </c>
      <c r="R48" s="23"/>
      <c r="S48" s="23"/>
      <c r="T48" s="23"/>
      <c r="U48" s="23"/>
      <c r="V48" s="23"/>
      <c r="W48" s="23"/>
      <c r="X48" s="23"/>
      <c r="Y48" s="23">
        <f t="shared" si="3"/>
        <v>720</v>
      </c>
      <c r="Z48" s="57"/>
      <c r="AF48" s="42">
        <f t="shared" ca="1" si="4"/>
        <v>42479</v>
      </c>
      <c r="AG48" s="40">
        <f t="shared" si="8"/>
        <v>0</v>
      </c>
      <c r="AH48" s="42">
        <f t="shared" ca="1" si="6"/>
        <v>42479</v>
      </c>
      <c r="AI48" s="40">
        <f t="shared" si="7"/>
        <v>0</v>
      </c>
    </row>
    <row r="49" spans="2:35" ht="21" customHeight="1">
      <c r="B49" s="54">
        <v>45</v>
      </c>
      <c r="C49" s="43"/>
      <c r="D49" s="22">
        <f t="shared" si="0"/>
        <v>720</v>
      </c>
      <c r="E49" s="22"/>
      <c r="F49" s="22"/>
      <c r="G49" s="22"/>
      <c r="H49" s="22"/>
      <c r="I49" s="22"/>
      <c r="J49" s="22"/>
      <c r="K49" s="22"/>
      <c r="L49" s="22">
        <f t="shared" si="1"/>
        <v>720</v>
      </c>
      <c r="M49" s="55"/>
      <c r="O49" s="54">
        <v>145</v>
      </c>
      <c r="P49" s="43"/>
      <c r="Q49" s="22">
        <f t="shared" si="2"/>
        <v>720</v>
      </c>
      <c r="R49" s="22"/>
      <c r="S49" s="22"/>
      <c r="T49" s="22"/>
      <c r="U49" s="22"/>
      <c r="V49" s="22"/>
      <c r="W49" s="22"/>
      <c r="X49" s="22"/>
      <c r="Y49" s="22">
        <f t="shared" si="3"/>
        <v>720</v>
      </c>
      <c r="Z49" s="55"/>
      <c r="AF49" s="42">
        <f t="shared" ca="1" si="4"/>
        <v>42479</v>
      </c>
      <c r="AG49" s="40">
        <f t="shared" si="8"/>
        <v>0</v>
      </c>
      <c r="AH49" s="42">
        <f t="shared" ca="1" si="6"/>
        <v>42479</v>
      </c>
      <c r="AI49" s="40">
        <f t="shared" si="7"/>
        <v>0</v>
      </c>
    </row>
    <row r="50" spans="2:35" ht="21" customHeight="1">
      <c r="B50" s="56">
        <v>46</v>
      </c>
      <c r="C50" s="44"/>
      <c r="D50" s="23">
        <f t="shared" si="0"/>
        <v>720</v>
      </c>
      <c r="E50" s="23"/>
      <c r="F50" s="23"/>
      <c r="G50" s="23"/>
      <c r="H50" s="23"/>
      <c r="I50" s="23"/>
      <c r="J50" s="23"/>
      <c r="K50" s="23"/>
      <c r="L50" s="23">
        <f t="shared" si="1"/>
        <v>720</v>
      </c>
      <c r="M50" s="57"/>
      <c r="O50" s="56">
        <v>146</v>
      </c>
      <c r="P50" s="44"/>
      <c r="Q50" s="23">
        <f t="shared" si="2"/>
        <v>720</v>
      </c>
      <c r="R50" s="23"/>
      <c r="S50" s="23"/>
      <c r="T50" s="23"/>
      <c r="U50" s="23"/>
      <c r="V50" s="23"/>
      <c r="W50" s="23"/>
      <c r="X50" s="23"/>
      <c r="Y50" s="23">
        <f t="shared" si="3"/>
        <v>720</v>
      </c>
      <c r="Z50" s="57"/>
      <c r="AF50" s="42">
        <f t="shared" ca="1" si="4"/>
        <v>42479</v>
      </c>
      <c r="AG50" s="40">
        <f t="shared" si="8"/>
        <v>0</v>
      </c>
      <c r="AH50" s="42">
        <f t="shared" ca="1" si="6"/>
        <v>42479</v>
      </c>
      <c r="AI50" s="40">
        <f t="shared" si="7"/>
        <v>0</v>
      </c>
    </row>
    <row r="51" spans="2:35" ht="21" customHeight="1">
      <c r="B51" s="54">
        <v>47</v>
      </c>
      <c r="C51" s="43"/>
      <c r="D51" s="22">
        <f t="shared" si="0"/>
        <v>720</v>
      </c>
      <c r="E51" s="22"/>
      <c r="F51" s="22"/>
      <c r="G51" s="22"/>
      <c r="H51" s="22"/>
      <c r="I51" s="22"/>
      <c r="J51" s="22"/>
      <c r="K51" s="22"/>
      <c r="L51" s="22">
        <f t="shared" si="1"/>
        <v>720</v>
      </c>
      <c r="M51" s="55"/>
      <c r="O51" s="54">
        <v>147</v>
      </c>
      <c r="P51" s="43"/>
      <c r="Q51" s="22">
        <f t="shared" si="2"/>
        <v>720</v>
      </c>
      <c r="R51" s="22"/>
      <c r="S51" s="22"/>
      <c r="T51" s="22"/>
      <c r="U51" s="22"/>
      <c r="V51" s="22"/>
      <c r="W51" s="22"/>
      <c r="X51" s="22"/>
      <c r="Y51" s="22">
        <f t="shared" si="3"/>
        <v>720</v>
      </c>
      <c r="Z51" s="55"/>
      <c r="AF51" s="42">
        <f t="shared" ca="1" si="4"/>
        <v>42479</v>
      </c>
      <c r="AG51" s="40">
        <f t="shared" si="8"/>
        <v>0</v>
      </c>
      <c r="AH51" s="42">
        <f t="shared" ca="1" si="6"/>
        <v>42479</v>
      </c>
      <c r="AI51" s="40">
        <f t="shared" si="7"/>
        <v>0</v>
      </c>
    </row>
    <row r="52" spans="2:35" ht="21" customHeight="1">
      <c r="B52" s="56">
        <v>48</v>
      </c>
      <c r="C52" s="44"/>
      <c r="D52" s="23">
        <f t="shared" si="0"/>
        <v>720</v>
      </c>
      <c r="E52" s="23"/>
      <c r="F52" s="23"/>
      <c r="G52" s="23"/>
      <c r="H52" s="23"/>
      <c r="I52" s="23"/>
      <c r="J52" s="23"/>
      <c r="K52" s="23"/>
      <c r="L52" s="23">
        <f t="shared" si="1"/>
        <v>720</v>
      </c>
      <c r="M52" s="57"/>
      <c r="O52" s="56">
        <v>148</v>
      </c>
      <c r="P52" s="44"/>
      <c r="Q52" s="23">
        <f t="shared" si="2"/>
        <v>720</v>
      </c>
      <c r="R52" s="23"/>
      <c r="S52" s="23"/>
      <c r="T52" s="23"/>
      <c r="U52" s="23"/>
      <c r="V52" s="23"/>
      <c r="W52" s="23"/>
      <c r="X52" s="23"/>
      <c r="Y52" s="23">
        <f t="shared" si="3"/>
        <v>720</v>
      </c>
      <c r="Z52" s="57"/>
      <c r="AF52" s="42">
        <f t="shared" ca="1" si="4"/>
        <v>42479</v>
      </c>
      <c r="AG52" s="40">
        <f t="shared" si="8"/>
        <v>0</v>
      </c>
      <c r="AH52" s="42">
        <f t="shared" ca="1" si="6"/>
        <v>42479</v>
      </c>
      <c r="AI52" s="40">
        <f t="shared" si="7"/>
        <v>0</v>
      </c>
    </row>
    <row r="53" spans="2:35" ht="21" customHeight="1">
      <c r="B53" s="54">
        <v>49</v>
      </c>
      <c r="C53" s="43"/>
      <c r="D53" s="22">
        <f t="shared" si="0"/>
        <v>720</v>
      </c>
      <c r="E53" s="22"/>
      <c r="F53" s="22"/>
      <c r="G53" s="22"/>
      <c r="H53" s="22"/>
      <c r="I53" s="22"/>
      <c r="J53" s="22"/>
      <c r="K53" s="22"/>
      <c r="L53" s="22">
        <f t="shared" si="1"/>
        <v>720</v>
      </c>
      <c r="M53" s="55"/>
      <c r="O53" s="54">
        <v>149</v>
      </c>
      <c r="P53" s="43"/>
      <c r="Q53" s="22">
        <f t="shared" si="2"/>
        <v>720</v>
      </c>
      <c r="R53" s="22"/>
      <c r="S53" s="22"/>
      <c r="T53" s="22"/>
      <c r="U53" s="22"/>
      <c r="V53" s="22"/>
      <c r="W53" s="22"/>
      <c r="X53" s="22"/>
      <c r="Y53" s="22">
        <f t="shared" si="3"/>
        <v>720</v>
      </c>
      <c r="Z53" s="55"/>
      <c r="AF53" s="42">
        <f t="shared" ca="1" si="4"/>
        <v>42479</v>
      </c>
      <c r="AG53" s="40">
        <f t="shared" si="8"/>
        <v>0</v>
      </c>
      <c r="AH53" s="42">
        <f t="shared" ca="1" si="6"/>
        <v>42479</v>
      </c>
      <c r="AI53" s="40">
        <f t="shared" si="7"/>
        <v>0</v>
      </c>
    </row>
    <row r="54" spans="2:35" ht="21" customHeight="1">
      <c r="B54" s="56">
        <v>50</v>
      </c>
      <c r="C54" s="44"/>
      <c r="D54" s="23">
        <f t="shared" si="0"/>
        <v>720</v>
      </c>
      <c r="E54" s="23"/>
      <c r="F54" s="23"/>
      <c r="G54" s="23"/>
      <c r="H54" s="23"/>
      <c r="I54" s="23"/>
      <c r="J54" s="23"/>
      <c r="K54" s="23"/>
      <c r="L54" s="23">
        <f t="shared" si="1"/>
        <v>720</v>
      </c>
      <c r="M54" s="57"/>
      <c r="O54" s="56">
        <v>150</v>
      </c>
      <c r="P54" s="44"/>
      <c r="Q54" s="23">
        <f t="shared" si="2"/>
        <v>720</v>
      </c>
      <c r="R54" s="23"/>
      <c r="S54" s="23"/>
      <c r="T54" s="23"/>
      <c r="U54" s="23"/>
      <c r="V54" s="23"/>
      <c r="W54" s="23"/>
      <c r="X54" s="23"/>
      <c r="Y54" s="23">
        <f t="shared" si="3"/>
        <v>720</v>
      </c>
      <c r="Z54" s="57"/>
      <c r="AF54" s="42">
        <f t="shared" ca="1" si="4"/>
        <v>42479</v>
      </c>
      <c r="AG54" s="40">
        <f t="shared" si="8"/>
        <v>0</v>
      </c>
      <c r="AH54" s="42">
        <f t="shared" ca="1" si="6"/>
        <v>42479</v>
      </c>
      <c r="AI54" s="40">
        <f t="shared" si="7"/>
        <v>0</v>
      </c>
    </row>
    <row r="55" spans="2:35" ht="21" customHeight="1">
      <c r="B55" s="54">
        <v>51</v>
      </c>
      <c r="C55" s="43"/>
      <c r="D55" s="22">
        <f t="shared" si="0"/>
        <v>720</v>
      </c>
      <c r="E55" s="22"/>
      <c r="F55" s="22"/>
      <c r="G55" s="22"/>
      <c r="H55" s="22"/>
      <c r="I55" s="22"/>
      <c r="J55" s="22"/>
      <c r="K55" s="22"/>
      <c r="L55" s="22">
        <f t="shared" si="1"/>
        <v>720</v>
      </c>
      <c r="M55" s="55"/>
      <c r="O55" s="54">
        <v>151</v>
      </c>
      <c r="P55" s="43"/>
      <c r="Q55" s="22">
        <f t="shared" si="2"/>
        <v>720</v>
      </c>
      <c r="R55" s="22"/>
      <c r="S55" s="22"/>
      <c r="T55" s="22"/>
      <c r="U55" s="22"/>
      <c r="V55" s="22"/>
      <c r="W55" s="22"/>
      <c r="X55" s="22"/>
      <c r="Y55" s="22">
        <f t="shared" si="3"/>
        <v>720</v>
      </c>
      <c r="Z55" s="55"/>
      <c r="AF55" s="42">
        <f t="shared" ca="1" si="4"/>
        <v>42479</v>
      </c>
      <c r="AG55" s="40">
        <f t="shared" si="8"/>
        <v>0</v>
      </c>
      <c r="AH55" s="42">
        <f t="shared" ca="1" si="6"/>
        <v>42479</v>
      </c>
      <c r="AI55" s="40">
        <f t="shared" si="7"/>
        <v>0</v>
      </c>
    </row>
    <row r="56" spans="2:35" ht="21" customHeight="1">
      <c r="B56" s="56">
        <v>52</v>
      </c>
      <c r="C56" s="44"/>
      <c r="D56" s="23">
        <f t="shared" si="0"/>
        <v>720</v>
      </c>
      <c r="E56" s="23"/>
      <c r="F56" s="23"/>
      <c r="G56" s="23"/>
      <c r="H56" s="23"/>
      <c r="I56" s="23"/>
      <c r="J56" s="23"/>
      <c r="K56" s="23"/>
      <c r="L56" s="23">
        <f t="shared" si="1"/>
        <v>720</v>
      </c>
      <c r="M56" s="57"/>
      <c r="O56" s="56">
        <v>152</v>
      </c>
      <c r="P56" s="44"/>
      <c r="Q56" s="23">
        <f t="shared" si="2"/>
        <v>720</v>
      </c>
      <c r="R56" s="23"/>
      <c r="S56" s="23"/>
      <c r="T56" s="23"/>
      <c r="U56" s="23"/>
      <c r="V56" s="23"/>
      <c r="W56" s="23"/>
      <c r="X56" s="23"/>
      <c r="Y56" s="23">
        <f t="shared" si="3"/>
        <v>720</v>
      </c>
      <c r="Z56" s="57"/>
      <c r="AF56" s="42">
        <f t="shared" ca="1" si="4"/>
        <v>42479</v>
      </c>
      <c r="AG56" s="40">
        <f t="shared" si="8"/>
        <v>0</v>
      </c>
      <c r="AH56" s="42">
        <f t="shared" ca="1" si="6"/>
        <v>42479</v>
      </c>
      <c r="AI56" s="40">
        <f t="shared" si="7"/>
        <v>0</v>
      </c>
    </row>
    <row r="57" spans="2:35" ht="21" customHeight="1">
      <c r="B57" s="54">
        <v>53</v>
      </c>
      <c r="C57" s="43"/>
      <c r="D57" s="22">
        <f t="shared" si="0"/>
        <v>720</v>
      </c>
      <c r="E57" s="22"/>
      <c r="F57" s="22"/>
      <c r="G57" s="22"/>
      <c r="H57" s="22"/>
      <c r="I57" s="22"/>
      <c r="J57" s="22"/>
      <c r="K57" s="22"/>
      <c r="L57" s="22">
        <f t="shared" si="1"/>
        <v>720</v>
      </c>
      <c r="M57" s="55"/>
      <c r="O57" s="54">
        <v>153</v>
      </c>
      <c r="P57" s="43"/>
      <c r="Q57" s="22">
        <f t="shared" si="2"/>
        <v>720</v>
      </c>
      <c r="R57" s="22"/>
      <c r="S57" s="22"/>
      <c r="T57" s="22"/>
      <c r="U57" s="22"/>
      <c r="V57" s="22"/>
      <c r="W57" s="22"/>
      <c r="X57" s="22"/>
      <c r="Y57" s="22">
        <f t="shared" si="3"/>
        <v>720</v>
      </c>
      <c r="Z57" s="55"/>
      <c r="AF57" s="42">
        <f t="shared" ca="1" si="4"/>
        <v>42479</v>
      </c>
      <c r="AG57" s="40">
        <f t="shared" si="8"/>
        <v>0</v>
      </c>
      <c r="AH57" s="42">
        <f t="shared" ca="1" si="6"/>
        <v>42479</v>
      </c>
      <c r="AI57" s="40">
        <f t="shared" si="7"/>
        <v>0</v>
      </c>
    </row>
    <row r="58" spans="2:35" ht="21" customHeight="1">
      <c r="B58" s="56">
        <v>54</v>
      </c>
      <c r="C58" s="44"/>
      <c r="D58" s="23">
        <f t="shared" si="0"/>
        <v>720</v>
      </c>
      <c r="E58" s="23"/>
      <c r="F58" s="23"/>
      <c r="G58" s="23"/>
      <c r="H58" s="23"/>
      <c r="I58" s="23"/>
      <c r="J58" s="23"/>
      <c r="K58" s="23"/>
      <c r="L58" s="23">
        <f t="shared" si="1"/>
        <v>720</v>
      </c>
      <c r="M58" s="57"/>
      <c r="O58" s="56">
        <v>154</v>
      </c>
      <c r="P58" s="44"/>
      <c r="Q58" s="23">
        <f t="shared" si="2"/>
        <v>720</v>
      </c>
      <c r="R58" s="23"/>
      <c r="S58" s="23"/>
      <c r="T58" s="23"/>
      <c r="U58" s="23"/>
      <c r="V58" s="23"/>
      <c r="W58" s="23"/>
      <c r="X58" s="23"/>
      <c r="Y58" s="23">
        <f t="shared" si="3"/>
        <v>720</v>
      </c>
      <c r="Z58" s="57"/>
      <c r="AF58" s="42">
        <f t="shared" ca="1" si="4"/>
        <v>42479</v>
      </c>
      <c r="AG58" s="40">
        <f t="shared" si="8"/>
        <v>0</v>
      </c>
      <c r="AH58" s="42">
        <f t="shared" ca="1" si="6"/>
        <v>42479</v>
      </c>
      <c r="AI58" s="40">
        <f t="shared" si="7"/>
        <v>0</v>
      </c>
    </row>
    <row r="59" spans="2:35" ht="21" customHeight="1">
      <c r="B59" s="54">
        <v>55</v>
      </c>
      <c r="C59" s="43"/>
      <c r="D59" s="22">
        <f t="shared" si="0"/>
        <v>720</v>
      </c>
      <c r="E59" s="22"/>
      <c r="F59" s="22"/>
      <c r="G59" s="22"/>
      <c r="H59" s="22"/>
      <c r="I59" s="22"/>
      <c r="J59" s="22"/>
      <c r="K59" s="22"/>
      <c r="L59" s="22">
        <f t="shared" si="1"/>
        <v>720</v>
      </c>
      <c r="M59" s="55"/>
      <c r="O59" s="54">
        <v>155</v>
      </c>
      <c r="P59" s="43"/>
      <c r="Q59" s="22">
        <f t="shared" si="2"/>
        <v>720</v>
      </c>
      <c r="R59" s="22"/>
      <c r="S59" s="22"/>
      <c r="T59" s="22"/>
      <c r="U59" s="22"/>
      <c r="V59" s="22"/>
      <c r="W59" s="22"/>
      <c r="X59" s="22"/>
      <c r="Y59" s="22">
        <f t="shared" si="3"/>
        <v>720</v>
      </c>
      <c r="Z59" s="55"/>
      <c r="AF59" s="42">
        <f t="shared" ca="1" si="4"/>
        <v>42479</v>
      </c>
      <c r="AG59" s="40">
        <f t="shared" si="8"/>
        <v>0</v>
      </c>
      <c r="AH59" s="42">
        <f t="shared" ca="1" si="6"/>
        <v>42479</v>
      </c>
      <c r="AI59" s="40">
        <f t="shared" si="7"/>
        <v>0</v>
      </c>
    </row>
    <row r="60" spans="2:35" ht="21" customHeight="1">
      <c r="B60" s="56">
        <v>56</v>
      </c>
      <c r="C60" s="44"/>
      <c r="D60" s="23">
        <f t="shared" si="0"/>
        <v>720</v>
      </c>
      <c r="E60" s="23"/>
      <c r="F60" s="23"/>
      <c r="G60" s="23"/>
      <c r="H60" s="23"/>
      <c r="I60" s="23"/>
      <c r="J60" s="23"/>
      <c r="K60" s="23"/>
      <c r="L60" s="23">
        <f t="shared" si="1"/>
        <v>720</v>
      </c>
      <c r="M60" s="57"/>
      <c r="O60" s="56">
        <v>156</v>
      </c>
      <c r="P60" s="44"/>
      <c r="Q60" s="23">
        <f t="shared" si="2"/>
        <v>720</v>
      </c>
      <c r="R60" s="23"/>
      <c r="S60" s="23"/>
      <c r="T60" s="23"/>
      <c r="U60" s="23"/>
      <c r="V60" s="23"/>
      <c r="W60" s="23"/>
      <c r="X60" s="23"/>
      <c r="Y60" s="23">
        <f t="shared" si="3"/>
        <v>720</v>
      </c>
      <c r="Z60" s="57"/>
      <c r="AF60" s="42">
        <f t="shared" ca="1" si="4"/>
        <v>42479</v>
      </c>
      <c r="AG60" s="40">
        <f t="shared" si="8"/>
        <v>0</v>
      </c>
      <c r="AH60" s="42">
        <f t="shared" ca="1" si="6"/>
        <v>42479</v>
      </c>
      <c r="AI60" s="40">
        <f t="shared" si="7"/>
        <v>0</v>
      </c>
    </row>
    <row r="61" spans="2:35" ht="21" customHeight="1">
      <c r="B61" s="54">
        <v>57</v>
      </c>
      <c r="C61" s="43"/>
      <c r="D61" s="22">
        <f t="shared" si="0"/>
        <v>720</v>
      </c>
      <c r="E61" s="22"/>
      <c r="F61" s="22"/>
      <c r="G61" s="22"/>
      <c r="H61" s="22"/>
      <c r="I61" s="22"/>
      <c r="J61" s="22"/>
      <c r="K61" s="22"/>
      <c r="L61" s="22">
        <f t="shared" si="1"/>
        <v>720</v>
      </c>
      <c r="M61" s="55"/>
      <c r="O61" s="54">
        <v>157</v>
      </c>
      <c r="P61" s="43"/>
      <c r="Q61" s="22">
        <f t="shared" si="2"/>
        <v>720</v>
      </c>
      <c r="R61" s="22"/>
      <c r="S61" s="22"/>
      <c r="T61" s="22"/>
      <c r="U61" s="22"/>
      <c r="V61" s="22"/>
      <c r="W61" s="22"/>
      <c r="X61" s="22"/>
      <c r="Y61" s="22">
        <f t="shared" si="3"/>
        <v>720</v>
      </c>
      <c r="Z61" s="55"/>
      <c r="AF61" s="42">
        <f t="shared" ca="1" si="4"/>
        <v>42479</v>
      </c>
      <c r="AG61" s="40">
        <f t="shared" si="8"/>
        <v>0</v>
      </c>
      <c r="AH61" s="42">
        <f t="shared" ca="1" si="6"/>
        <v>42479</v>
      </c>
      <c r="AI61" s="40">
        <f t="shared" si="7"/>
        <v>0</v>
      </c>
    </row>
    <row r="62" spans="2:35" ht="21" customHeight="1">
      <c r="B62" s="56">
        <v>58</v>
      </c>
      <c r="C62" s="44"/>
      <c r="D62" s="23">
        <f t="shared" si="0"/>
        <v>720</v>
      </c>
      <c r="E62" s="23"/>
      <c r="F62" s="23"/>
      <c r="G62" s="23"/>
      <c r="H62" s="23"/>
      <c r="I62" s="23"/>
      <c r="J62" s="23"/>
      <c r="K62" s="23"/>
      <c r="L62" s="23">
        <f t="shared" si="1"/>
        <v>720</v>
      </c>
      <c r="M62" s="57"/>
      <c r="O62" s="56">
        <v>158</v>
      </c>
      <c r="P62" s="44"/>
      <c r="Q62" s="23">
        <f t="shared" si="2"/>
        <v>720</v>
      </c>
      <c r="R62" s="23"/>
      <c r="S62" s="23"/>
      <c r="T62" s="23"/>
      <c r="U62" s="23"/>
      <c r="V62" s="23"/>
      <c r="W62" s="23"/>
      <c r="X62" s="23"/>
      <c r="Y62" s="23">
        <f t="shared" si="3"/>
        <v>720</v>
      </c>
      <c r="Z62" s="57"/>
      <c r="AF62" s="42">
        <f t="shared" ca="1" si="4"/>
        <v>42479</v>
      </c>
      <c r="AG62" s="40">
        <f t="shared" si="8"/>
        <v>0</v>
      </c>
      <c r="AH62" s="42">
        <f t="shared" ca="1" si="6"/>
        <v>42479</v>
      </c>
      <c r="AI62" s="40">
        <f t="shared" si="7"/>
        <v>0</v>
      </c>
    </row>
    <row r="63" spans="2:35" ht="21" customHeight="1">
      <c r="B63" s="54">
        <v>59</v>
      </c>
      <c r="C63" s="43"/>
      <c r="D63" s="22">
        <f t="shared" si="0"/>
        <v>720</v>
      </c>
      <c r="E63" s="22"/>
      <c r="F63" s="22"/>
      <c r="G63" s="22"/>
      <c r="H63" s="22"/>
      <c r="I63" s="22"/>
      <c r="J63" s="22"/>
      <c r="K63" s="22"/>
      <c r="L63" s="22">
        <f t="shared" si="1"/>
        <v>720</v>
      </c>
      <c r="M63" s="55"/>
      <c r="O63" s="54">
        <v>159</v>
      </c>
      <c r="P63" s="43"/>
      <c r="Q63" s="22">
        <f t="shared" si="2"/>
        <v>720</v>
      </c>
      <c r="R63" s="22"/>
      <c r="S63" s="22"/>
      <c r="T63" s="22"/>
      <c r="U63" s="22"/>
      <c r="V63" s="22"/>
      <c r="W63" s="22"/>
      <c r="X63" s="22"/>
      <c r="Y63" s="22">
        <f t="shared" si="3"/>
        <v>720</v>
      </c>
      <c r="Z63" s="55"/>
      <c r="AF63" s="42">
        <f t="shared" ca="1" si="4"/>
        <v>42479</v>
      </c>
      <c r="AG63" s="40">
        <f t="shared" si="8"/>
        <v>0</v>
      </c>
      <c r="AH63" s="42">
        <f t="shared" ca="1" si="6"/>
        <v>42479</v>
      </c>
      <c r="AI63" s="40">
        <f t="shared" si="7"/>
        <v>0</v>
      </c>
    </row>
    <row r="64" spans="2:35" ht="21" customHeight="1">
      <c r="B64" s="56">
        <v>60</v>
      </c>
      <c r="C64" s="44"/>
      <c r="D64" s="23">
        <f t="shared" si="0"/>
        <v>720</v>
      </c>
      <c r="E64" s="23"/>
      <c r="F64" s="23"/>
      <c r="G64" s="23"/>
      <c r="H64" s="23"/>
      <c r="I64" s="23"/>
      <c r="J64" s="23"/>
      <c r="K64" s="23"/>
      <c r="L64" s="23">
        <f t="shared" si="1"/>
        <v>720</v>
      </c>
      <c r="M64" s="57"/>
      <c r="O64" s="56">
        <v>160</v>
      </c>
      <c r="P64" s="44"/>
      <c r="Q64" s="23">
        <f t="shared" si="2"/>
        <v>720</v>
      </c>
      <c r="R64" s="23"/>
      <c r="S64" s="23"/>
      <c r="T64" s="23"/>
      <c r="U64" s="23"/>
      <c r="V64" s="23"/>
      <c r="W64" s="23"/>
      <c r="X64" s="23"/>
      <c r="Y64" s="23">
        <f t="shared" si="3"/>
        <v>720</v>
      </c>
      <c r="Z64" s="57"/>
      <c r="AF64" s="42">
        <f t="shared" ca="1" si="4"/>
        <v>42479</v>
      </c>
      <c r="AG64" s="40">
        <f t="shared" si="8"/>
        <v>0</v>
      </c>
      <c r="AH64" s="42">
        <f t="shared" ca="1" si="6"/>
        <v>42479</v>
      </c>
      <c r="AI64" s="40">
        <f t="shared" si="7"/>
        <v>0</v>
      </c>
    </row>
    <row r="65" spans="2:35" ht="21" customHeight="1">
      <c r="B65" s="54">
        <v>61</v>
      </c>
      <c r="C65" s="43"/>
      <c r="D65" s="22">
        <f t="shared" si="0"/>
        <v>720</v>
      </c>
      <c r="E65" s="22"/>
      <c r="F65" s="22"/>
      <c r="G65" s="22"/>
      <c r="H65" s="22"/>
      <c r="I65" s="22"/>
      <c r="J65" s="22"/>
      <c r="K65" s="22"/>
      <c r="L65" s="22">
        <f t="shared" si="1"/>
        <v>720</v>
      </c>
      <c r="M65" s="55"/>
      <c r="O65" s="54">
        <v>161</v>
      </c>
      <c r="P65" s="43"/>
      <c r="Q65" s="22">
        <f t="shared" si="2"/>
        <v>720</v>
      </c>
      <c r="R65" s="22"/>
      <c r="S65" s="22"/>
      <c r="T65" s="22"/>
      <c r="U65" s="22"/>
      <c r="V65" s="22"/>
      <c r="W65" s="22"/>
      <c r="X65" s="22"/>
      <c r="Y65" s="22">
        <f t="shared" si="3"/>
        <v>720</v>
      </c>
      <c r="Z65" s="55"/>
      <c r="AF65" s="42">
        <f t="shared" ca="1" si="4"/>
        <v>42479</v>
      </c>
      <c r="AG65" s="40">
        <f t="shared" si="8"/>
        <v>0</v>
      </c>
      <c r="AH65" s="42">
        <f t="shared" ca="1" si="6"/>
        <v>42479</v>
      </c>
      <c r="AI65" s="40">
        <f t="shared" si="7"/>
        <v>0</v>
      </c>
    </row>
    <row r="66" spans="2:35" ht="21" customHeight="1">
      <c r="B66" s="56">
        <v>62</v>
      </c>
      <c r="C66" s="44"/>
      <c r="D66" s="23">
        <f t="shared" si="0"/>
        <v>720</v>
      </c>
      <c r="E66" s="23"/>
      <c r="F66" s="23"/>
      <c r="G66" s="23"/>
      <c r="H66" s="23"/>
      <c r="I66" s="23"/>
      <c r="J66" s="23"/>
      <c r="K66" s="23"/>
      <c r="L66" s="23">
        <f t="shared" si="1"/>
        <v>720</v>
      </c>
      <c r="M66" s="57"/>
      <c r="O66" s="56">
        <v>162</v>
      </c>
      <c r="P66" s="44"/>
      <c r="Q66" s="23">
        <f t="shared" si="2"/>
        <v>720</v>
      </c>
      <c r="R66" s="23"/>
      <c r="S66" s="23"/>
      <c r="T66" s="23"/>
      <c r="U66" s="23"/>
      <c r="V66" s="23"/>
      <c r="W66" s="23"/>
      <c r="X66" s="23"/>
      <c r="Y66" s="23">
        <f t="shared" si="3"/>
        <v>720</v>
      </c>
      <c r="Z66" s="57"/>
      <c r="AF66" s="42">
        <f t="shared" ca="1" si="4"/>
        <v>42479</v>
      </c>
      <c r="AG66" s="40">
        <f t="shared" si="8"/>
        <v>0</v>
      </c>
      <c r="AH66" s="42">
        <f t="shared" ca="1" si="6"/>
        <v>42479</v>
      </c>
      <c r="AI66" s="40">
        <f t="shared" si="7"/>
        <v>0</v>
      </c>
    </row>
    <row r="67" spans="2:35" ht="21" customHeight="1">
      <c r="B67" s="54">
        <v>63</v>
      </c>
      <c r="C67" s="43"/>
      <c r="D67" s="22">
        <f t="shared" si="0"/>
        <v>720</v>
      </c>
      <c r="E67" s="22"/>
      <c r="F67" s="22"/>
      <c r="G67" s="22"/>
      <c r="H67" s="22"/>
      <c r="I67" s="22"/>
      <c r="J67" s="22"/>
      <c r="K67" s="22"/>
      <c r="L67" s="22">
        <f t="shared" si="1"/>
        <v>720</v>
      </c>
      <c r="M67" s="55"/>
      <c r="O67" s="54">
        <v>163</v>
      </c>
      <c r="P67" s="43"/>
      <c r="Q67" s="22">
        <f t="shared" si="2"/>
        <v>720</v>
      </c>
      <c r="R67" s="22"/>
      <c r="S67" s="22"/>
      <c r="T67" s="22"/>
      <c r="U67" s="22"/>
      <c r="V67" s="22"/>
      <c r="W67" s="22"/>
      <c r="X67" s="22"/>
      <c r="Y67" s="22">
        <f t="shared" si="3"/>
        <v>720</v>
      </c>
      <c r="Z67" s="55"/>
      <c r="AF67" s="42">
        <f t="shared" ca="1" si="4"/>
        <v>42479</v>
      </c>
      <c r="AG67" s="40">
        <f t="shared" si="8"/>
        <v>0</v>
      </c>
      <c r="AH67" s="42">
        <f t="shared" ca="1" si="6"/>
        <v>42479</v>
      </c>
      <c r="AI67" s="40">
        <f t="shared" si="7"/>
        <v>0</v>
      </c>
    </row>
    <row r="68" spans="2:35" ht="21" customHeight="1">
      <c r="B68" s="56">
        <v>64</v>
      </c>
      <c r="C68" s="44"/>
      <c r="D68" s="23">
        <f t="shared" si="0"/>
        <v>720</v>
      </c>
      <c r="E68" s="23"/>
      <c r="F68" s="23"/>
      <c r="G68" s="23"/>
      <c r="H68" s="23"/>
      <c r="I68" s="23"/>
      <c r="J68" s="23"/>
      <c r="K68" s="23"/>
      <c r="L68" s="23">
        <f t="shared" si="1"/>
        <v>720</v>
      </c>
      <c r="M68" s="57"/>
      <c r="O68" s="56">
        <v>164</v>
      </c>
      <c r="P68" s="44"/>
      <c r="Q68" s="23">
        <f t="shared" si="2"/>
        <v>720</v>
      </c>
      <c r="R68" s="23"/>
      <c r="S68" s="23"/>
      <c r="T68" s="23"/>
      <c r="U68" s="23"/>
      <c r="V68" s="23"/>
      <c r="W68" s="23"/>
      <c r="X68" s="23"/>
      <c r="Y68" s="23">
        <f t="shared" si="3"/>
        <v>720</v>
      </c>
      <c r="Z68" s="57"/>
      <c r="AF68" s="42">
        <f t="shared" ca="1" si="4"/>
        <v>42479</v>
      </c>
      <c r="AG68" s="40">
        <f t="shared" si="8"/>
        <v>0</v>
      </c>
      <c r="AH68" s="42">
        <f t="shared" ca="1" si="6"/>
        <v>42479</v>
      </c>
      <c r="AI68" s="40">
        <f t="shared" si="7"/>
        <v>0</v>
      </c>
    </row>
    <row r="69" spans="2:35" ht="21" customHeight="1">
      <c r="B69" s="54">
        <v>65</v>
      </c>
      <c r="C69" s="43"/>
      <c r="D69" s="22">
        <f t="shared" si="0"/>
        <v>720</v>
      </c>
      <c r="E69" s="22"/>
      <c r="F69" s="22"/>
      <c r="G69" s="22"/>
      <c r="H69" s="22"/>
      <c r="I69" s="22"/>
      <c r="J69" s="22"/>
      <c r="K69" s="22"/>
      <c r="L69" s="22">
        <f t="shared" si="1"/>
        <v>720</v>
      </c>
      <c r="M69" s="55"/>
      <c r="O69" s="54">
        <v>165</v>
      </c>
      <c r="P69" s="43"/>
      <c r="Q69" s="22">
        <f t="shared" si="2"/>
        <v>720</v>
      </c>
      <c r="R69" s="22"/>
      <c r="S69" s="22"/>
      <c r="T69" s="22"/>
      <c r="U69" s="22"/>
      <c r="V69" s="22"/>
      <c r="W69" s="22"/>
      <c r="X69" s="22"/>
      <c r="Y69" s="22">
        <f t="shared" si="3"/>
        <v>720</v>
      </c>
      <c r="Z69" s="55"/>
      <c r="AF69" s="42">
        <f t="shared" ca="1" si="4"/>
        <v>42479</v>
      </c>
      <c r="AG69" s="40">
        <f t="shared" si="8"/>
        <v>0</v>
      </c>
      <c r="AH69" s="42">
        <f t="shared" ca="1" si="6"/>
        <v>42479</v>
      </c>
      <c r="AI69" s="40">
        <f t="shared" si="7"/>
        <v>0</v>
      </c>
    </row>
    <row r="70" spans="2:35" ht="21" customHeight="1">
      <c r="B70" s="56">
        <v>66</v>
      </c>
      <c r="C70" s="44"/>
      <c r="D70" s="23">
        <f t="shared" ref="D70:D104" si="9">12*60</f>
        <v>720</v>
      </c>
      <c r="E70" s="23"/>
      <c r="F70" s="23"/>
      <c r="G70" s="23"/>
      <c r="H70" s="23"/>
      <c r="I70" s="23"/>
      <c r="J70" s="23"/>
      <c r="K70" s="23"/>
      <c r="L70" s="23">
        <f t="shared" ref="L70:L104" si="10">IF(K70&gt;0,D70-K70,720)</f>
        <v>720</v>
      </c>
      <c r="M70" s="57"/>
      <c r="O70" s="56">
        <v>166</v>
      </c>
      <c r="P70" s="44"/>
      <c r="Q70" s="23">
        <f t="shared" ref="Q70:Q104" si="11">12*60</f>
        <v>720</v>
      </c>
      <c r="R70" s="23"/>
      <c r="S70" s="23"/>
      <c r="T70" s="23"/>
      <c r="U70" s="23"/>
      <c r="V70" s="23"/>
      <c r="W70" s="23"/>
      <c r="X70" s="23"/>
      <c r="Y70" s="23">
        <f t="shared" ref="Y70:Y104" si="12">IF(X70&gt;0,Q70-X70,720)</f>
        <v>720</v>
      </c>
      <c r="Z70" s="57"/>
      <c r="AF70" s="42">
        <f t="shared" ref="AF70:AF105" ca="1" si="13">TODAY()</f>
        <v>42479</v>
      </c>
      <c r="AG70" s="40">
        <f t="shared" ref="AG70:AG105" si="14">IF(C70&gt;0,AF70-C70,0)</f>
        <v>0</v>
      </c>
      <c r="AH70" s="42">
        <f t="shared" ref="AH70:AH105" ca="1" si="15">TODAY()</f>
        <v>42479</v>
      </c>
      <c r="AI70" s="40">
        <f t="shared" ref="AI70:AI105" si="16">IF(P70&gt;0,AH70-P70,0)</f>
        <v>0</v>
      </c>
    </row>
    <row r="71" spans="2:35" ht="21" customHeight="1">
      <c r="B71" s="54">
        <v>67</v>
      </c>
      <c r="C71" s="43"/>
      <c r="D71" s="22">
        <f t="shared" si="9"/>
        <v>720</v>
      </c>
      <c r="E71" s="22"/>
      <c r="F71" s="22"/>
      <c r="G71" s="22"/>
      <c r="H71" s="22"/>
      <c r="I71" s="22"/>
      <c r="J71" s="22"/>
      <c r="K71" s="22"/>
      <c r="L71" s="22">
        <f t="shared" si="10"/>
        <v>720</v>
      </c>
      <c r="M71" s="55"/>
      <c r="O71" s="54">
        <v>167</v>
      </c>
      <c r="P71" s="43"/>
      <c r="Q71" s="22">
        <f t="shared" si="11"/>
        <v>720</v>
      </c>
      <c r="R71" s="22"/>
      <c r="S71" s="22"/>
      <c r="T71" s="22"/>
      <c r="U71" s="22"/>
      <c r="V71" s="22"/>
      <c r="W71" s="22"/>
      <c r="X71" s="22"/>
      <c r="Y71" s="22">
        <f t="shared" si="12"/>
        <v>720</v>
      </c>
      <c r="Z71" s="55"/>
      <c r="AF71" s="42">
        <f t="shared" ca="1" si="13"/>
        <v>42479</v>
      </c>
      <c r="AG71" s="40">
        <f t="shared" si="14"/>
        <v>0</v>
      </c>
      <c r="AH71" s="42">
        <f t="shared" ca="1" si="15"/>
        <v>42479</v>
      </c>
      <c r="AI71" s="40">
        <f t="shared" si="16"/>
        <v>0</v>
      </c>
    </row>
    <row r="72" spans="2:35" ht="21" customHeight="1">
      <c r="B72" s="56">
        <v>68</v>
      </c>
      <c r="C72" s="44"/>
      <c r="D72" s="23">
        <f t="shared" si="9"/>
        <v>720</v>
      </c>
      <c r="E72" s="23"/>
      <c r="F72" s="23"/>
      <c r="G72" s="23"/>
      <c r="H72" s="23"/>
      <c r="I72" s="23"/>
      <c r="J72" s="23"/>
      <c r="K72" s="23"/>
      <c r="L72" s="23">
        <f t="shared" si="10"/>
        <v>720</v>
      </c>
      <c r="M72" s="57"/>
      <c r="O72" s="56">
        <v>168</v>
      </c>
      <c r="P72" s="44"/>
      <c r="Q72" s="23">
        <f t="shared" si="11"/>
        <v>720</v>
      </c>
      <c r="R72" s="23"/>
      <c r="S72" s="23"/>
      <c r="T72" s="23"/>
      <c r="U72" s="23"/>
      <c r="V72" s="23"/>
      <c r="W72" s="23"/>
      <c r="X72" s="23"/>
      <c r="Y72" s="23">
        <f t="shared" si="12"/>
        <v>720</v>
      </c>
      <c r="Z72" s="57"/>
      <c r="AF72" s="42">
        <f t="shared" ca="1" si="13"/>
        <v>42479</v>
      </c>
      <c r="AG72" s="40">
        <f t="shared" si="14"/>
        <v>0</v>
      </c>
      <c r="AH72" s="42">
        <f t="shared" ca="1" si="15"/>
        <v>42479</v>
      </c>
      <c r="AI72" s="40">
        <f t="shared" si="16"/>
        <v>0</v>
      </c>
    </row>
    <row r="73" spans="2:35" ht="21" customHeight="1">
      <c r="B73" s="54">
        <v>69</v>
      </c>
      <c r="C73" s="43"/>
      <c r="D73" s="22">
        <f t="shared" si="9"/>
        <v>720</v>
      </c>
      <c r="E73" s="22"/>
      <c r="F73" s="22"/>
      <c r="G73" s="22"/>
      <c r="H73" s="22"/>
      <c r="I73" s="22"/>
      <c r="J73" s="22"/>
      <c r="K73" s="22"/>
      <c r="L73" s="22">
        <f t="shared" si="10"/>
        <v>720</v>
      </c>
      <c r="M73" s="55"/>
      <c r="O73" s="54">
        <v>169</v>
      </c>
      <c r="P73" s="43"/>
      <c r="Q73" s="22">
        <f t="shared" si="11"/>
        <v>720</v>
      </c>
      <c r="R73" s="22"/>
      <c r="S73" s="22"/>
      <c r="T73" s="22"/>
      <c r="U73" s="22"/>
      <c r="V73" s="22"/>
      <c r="W73" s="22"/>
      <c r="X73" s="22"/>
      <c r="Y73" s="22">
        <f t="shared" si="12"/>
        <v>720</v>
      </c>
      <c r="Z73" s="55"/>
      <c r="AF73" s="42">
        <f t="shared" ca="1" si="13"/>
        <v>42479</v>
      </c>
      <c r="AG73" s="40">
        <f t="shared" si="14"/>
        <v>0</v>
      </c>
      <c r="AH73" s="42">
        <f t="shared" ca="1" si="15"/>
        <v>42479</v>
      </c>
      <c r="AI73" s="40">
        <f t="shared" si="16"/>
        <v>0</v>
      </c>
    </row>
    <row r="74" spans="2:35" ht="21" customHeight="1">
      <c r="B74" s="56">
        <v>70</v>
      </c>
      <c r="C74" s="44"/>
      <c r="D74" s="23">
        <f t="shared" si="9"/>
        <v>720</v>
      </c>
      <c r="E74" s="23"/>
      <c r="F74" s="23"/>
      <c r="G74" s="23"/>
      <c r="H74" s="23"/>
      <c r="I74" s="23"/>
      <c r="J74" s="23"/>
      <c r="K74" s="23"/>
      <c r="L74" s="23">
        <f t="shared" si="10"/>
        <v>720</v>
      </c>
      <c r="M74" s="57"/>
      <c r="O74" s="56">
        <v>170</v>
      </c>
      <c r="P74" s="44"/>
      <c r="Q74" s="23">
        <f t="shared" si="11"/>
        <v>720</v>
      </c>
      <c r="R74" s="23"/>
      <c r="S74" s="23"/>
      <c r="T74" s="23"/>
      <c r="U74" s="23"/>
      <c r="V74" s="23"/>
      <c r="W74" s="23"/>
      <c r="X74" s="23"/>
      <c r="Y74" s="23">
        <f t="shared" si="12"/>
        <v>720</v>
      </c>
      <c r="Z74" s="57"/>
      <c r="AF74" s="42">
        <f t="shared" ca="1" si="13"/>
        <v>42479</v>
      </c>
      <c r="AG74" s="40">
        <f t="shared" si="14"/>
        <v>0</v>
      </c>
      <c r="AH74" s="42">
        <f t="shared" ca="1" si="15"/>
        <v>42479</v>
      </c>
      <c r="AI74" s="40">
        <f t="shared" si="16"/>
        <v>0</v>
      </c>
    </row>
    <row r="75" spans="2:35" ht="21" customHeight="1">
      <c r="B75" s="54">
        <v>71</v>
      </c>
      <c r="C75" s="43"/>
      <c r="D75" s="22">
        <f t="shared" si="9"/>
        <v>720</v>
      </c>
      <c r="E75" s="22"/>
      <c r="F75" s="22"/>
      <c r="G75" s="22"/>
      <c r="H75" s="22"/>
      <c r="I75" s="22"/>
      <c r="J75" s="22"/>
      <c r="K75" s="22"/>
      <c r="L75" s="22">
        <f t="shared" si="10"/>
        <v>720</v>
      </c>
      <c r="M75" s="55"/>
      <c r="O75" s="54">
        <v>171</v>
      </c>
      <c r="P75" s="43"/>
      <c r="Q75" s="22">
        <f t="shared" si="11"/>
        <v>720</v>
      </c>
      <c r="R75" s="22"/>
      <c r="S75" s="22"/>
      <c r="T75" s="22"/>
      <c r="U75" s="22"/>
      <c r="V75" s="22"/>
      <c r="W75" s="22"/>
      <c r="X75" s="22"/>
      <c r="Y75" s="22">
        <f t="shared" si="12"/>
        <v>720</v>
      </c>
      <c r="Z75" s="55"/>
      <c r="AF75" s="42">
        <f t="shared" ca="1" si="13"/>
        <v>42479</v>
      </c>
      <c r="AG75" s="40">
        <f t="shared" si="14"/>
        <v>0</v>
      </c>
      <c r="AH75" s="42">
        <f t="shared" ca="1" si="15"/>
        <v>42479</v>
      </c>
      <c r="AI75" s="40">
        <f t="shared" si="16"/>
        <v>0</v>
      </c>
    </row>
    <row r="76" spans="2:35" ht="21" customHeight="1">
      <c r="B76" s="56">
        <v>72</v>
      </c>
      <c r="C76" s="44"/>
      <c r="D76" s="23">
        <f t="shared" si="9"/>
        <v>720</v>
      </c>
      <c r="E76" s="23"/>
      <c r="F76" s="23"/>
      <c r="G76" s="23"/>
      <c r="H76" s="23"/>
      <c r="I76" s="23"/>
      <c r="J76" s="23"/>
      <c r="K76" s="23"/>
      <c r="L76" s="23">
        <f t="shared" si="10"/>
        <v>720</v>
      </c>
      <c r="M76" s="57"/>
      <c r="O76" s="56">
        <v>172</v>
      </c>
      <c r="P76" s="44"/>
      <c r="Q76" s="23">
        <f t="shared" si="11"/>
        <v>720</v>
      </c>
      <c r="R76" s="23"/>
      <c r="S76" s="23"/>
      <c r="T76" s="23"/>
      <c r="U76" s="23"/>
      <c r="V76" s="23"/>
      <c r="W76" s="23"/>
      <c r="X76" s="23"/>
      <c r="Y76" s="23">
        <f t="shared" si="12"/>
        <v>720</v>
      </c>
      <c r="Z76" s="57"/>
      <c r="AF76" s="42">
        <f t="shared" ca="1" si="13"/>
        <v>42479</v>
      </c>
      <c r="AG76" s="40">
        <f t="shared" si="14"/>
        <v>0</v>
      </c>
      <c r="AH76" s="42">
        <f t="shared" ca="1" si="15"/>
        <v>42479</v>
      </c>
      <c r="AI76" s="40">
        <f t="shared" si="16"/>
        <v>0</v>
      </c>
    </row>
    <row r="77" spans="2:35" ht="21" customHeight="1">
      <c r="B77" s="54">
        <v>73</v>
      </c>
      <c r="C77" s="43"/>
      <c r="D77" s="22">
        <f t="shared" si="9"/>
        <v>720</v>
      </c>
      <c r="E77" s="22"/>
      <c r="F77" s="22"/>
      <c r="G77" s="22"/>
      <c r="H77" s="22"/>
      <c r="I77" s="22"/>
      <c r="J77" s="22"/>
      <c r="K77" s="22"/>
      <c r="L77" s="22">
        <f t="shared" si="10"/>
        <v>720</v>
      </c>
      <c r="M77" s="55"/>
      <c r="O77" s="54">
        <v>173</v>
      </c>
      <c r="P77" s="43"/>
      <c r="Q77" s="22">
        <f t="shared" si="11"/>
        <v>720</v>
      </c>
      <c r="R77" s="22"/>
      <c r="S77" s="22"/>
      <c r="T77" s="22"/>
      <c r="U77" s="22"/>
      <c r="V77" s="22"/>
      <c r="W77" s="22"/>
      <c r="X77" s="22"/>
      <c r="Y77" s="22">
        <f t="shared" si="12"/>
        <v>720</v>
      </c>
      <c r="Z77" s="55"/>
      <c r="AF77" s="42">
        <f t="shared" ca="1" si="13"/>
        <v>42479</v>
      </c>
      <c r="AG77" s="40">
        <f t="shared" si="14"/>
        <v>0</v>
      </c>
      <c r="AH77" s="42">
        <f t="shared" ca="1" si="15"/>
        <v>42479</v>
      </c>
      <c r="AI77" s="40">
        <f t="shared" si="16"/>
        <v>0</v>
      </c>
    </row>
    <row r="78" spans="2:35" ht="21" customHeight="1">
      <c r="B78" s="56">
        <v>74</v>
      </c>
      <c r="C78" s="44"/>
      <c r="D78" s="23">
        <f t="shared" si="9"/>
        <v>720</v>
      </c>
      <c r="E78" s="23"/>
      <c r="F78" s="23"/>
      <c r="G78" s="23"/>
      <c r="H78" s="23"/>
      <c r="I78" s="23"/>
      <c r="J78" s="23"/>
      <c r="K78" s="23"/>
      <c r="L78" s="23">
        <f t="shared" si="10"/>
        <v>720</v>
      </c>
      <c r="M78" s="57"/>
      <c r="O78" s="56">
        <v>174</v>
      </c>
      <c r="P78" s="44"/>
      <c r="Q78" s="23">
        <f t="shared" si="11"/>
        <v>720</v>
      </c>
      <c r="R78" s="23"/>
      <c r="S78" s="23"/>
      <c r="T78" s="23"/>
      <c r="U78" s="23"/>
      <c r="V78" s="23"/>
      <c r="W78" s="23"/>
      <c r="X78" s="23"/>
      <c r="Y78" s="23">
        <f t="shared" si="12"/>
        <v>720</v>
      </c>
      <c r="Z78" s="57"/>
      <c r="AF78" s="42">
        <f t="shared" ca="1" si="13"/>
        <v>42479</v>
      </c>
      <c r="AG78" s="40">
        <f t="shared" si="14"/>
        <v>0</v>
      </c>
      <c r="AH78" s="42">
        <f t="shared" ca="1" si="15"/>
        <v>42479</v>
      </c>
      <c r="AI78" s="40">
        <f t="shared" si="16"/>
        <v>0</v>
      </c>
    </row>
    <row r="79" spans="2:35" ht="21" customHeight="1">
      <c r="B79" s="54">
        <v>75</v>
      </c>
      <c r="C79" s="43"/>
      <c r="D79" s="22">
        <f t="shared" si="9"/>
        <v>720</v>
      </c>
      <c r="E79" s="22"/>
      <c r="F79" s="22"/>
      <c r="G79" s="22"/>
      <c r="H79" s="22"/>
      <c r="I79" s="22"/>
      <c r="J79" s="22"/>
      <c r="K79" s="22"/>
      <c r="L79" s="22">
        <f t="shared" si="10"/>
        <v>720</v>
      </c>
      <c r="M79" s="55"/>
      <c r="O79" s="54">
        <v>175</v>
      </c>
      <c r="P79" s="43"/>
      <c r="Q79" s="22">
        <f t="shared" si="11"/>
        <v>720</v>
      </c>
      <c r="R79" s="22"/>
      <c r="S79" s="22"/>
      <c r="T79" s="22"/>
      <c r="U79" s="22"/>
      <c r="V79" s="22"/>
      <c r="W79" s="22"/>
      <c r="X79" s="22"/>
      <c r="Y79" s="22">
        <f t="shared" si="12"/>
        <v>720</v>
      </c>
      <c r="Z79" s="55"/>
      <c r="AF79" s="42">
        <f t="shared" ca="1" si="13"/>
        <v>42479</v>
      </c>
      <c r="AG79" s="40">
        <f t="shared" si="14"/>
        <v>0</v>
      </c>
      <c r="AH79" s="42">
        <f t="shared" ca="1" si="15"/>
        <v>42479</v>
      </c>
      <c r="AI79" s="40">
        <f t="shared" si="16"/>
        <v>0</v>
      </c>
    </row>
    <row r="80" spans="2:35" ht="21" customHeight="1">
      <c r="B80" s="56">
        <v>76</v>
      </c>
      <c r="C80" s="44"/>
      <c r="D80" s="23">
        <f t="shared" si="9"/>
        <v>720</v>
      </c>
      <c r="E80" s="23"/>
      <c r="F80" s="23"/>
      <c r="G80" s="23"/>
      <c r="H80" s="23"/>
      <c r="I80" s="23"/>
      <c r="J80" s="23"/>
      <c r="K80" s="23"/>
      <c r="L80" s="23">
        <f t="shared" si="10"/>
        <v>720</v>
      </c>
      <c r="M80" s="57"/>
      <c r="O80" s="56">
        <v>176</v>
      </c>
      <c r="P80" s="44"/>
      <c r="Q80" s="23">
        <f t="shared" si="11"/>
        <v>720</v>
      </c>
      <c r="R80" s="23"/>
      <c r="S80" s="23"/>
      <c r="T80" s="23"/>
      <c r="U80" s="23"/>
      <c r="V80" s="23"/>
      <c r="W80" s="23"/>
      <c r="X80" s="23"/>
      <c r="Y80" s="23">
        <f t="shared" si="12"/>
        <v>720</v>
      </c>
      <c r="Z80" s="57"/>
      <c r="AF80" s="42">
        <f t="shared" ca="1" si="13"/>
        <v>42479</v>
      </c>
      <c r="AG80" s="40">
        <f t="shared" si="14"/>
        <v>0</v>
      </c>
      <c r="AH80" s="42">
        <f t="shared" ca="1" si="15"/>
        <v>42479</v>
      </c>
      <c r="AI80" s="40">
        <f t="shared" si="16"/>
        <v>0</v>
      </c>
    </row>
    <row r="81" spans="2:35" ht="21" customHeight="1">
      <c r="B81" s="54">
        <v>77</v>
      </c>
      <c r="C81" s="43"/>
      <c r="D81" s="22">
        <f t="shared" si="9"/>
        <v>720</v>
      </c>
      <c r="E81" s="22"/>
      <c r="F81" s="22"/>
      <c r="G81" s="22"/>
      <c r="H81" s="22"/>
      <c r="I81" s="22"/>
      <c r="J81" s="22"/>
      <c r="K81" s="22"/>
      <c r="L81" s="22">
        <f t="shared" si="10"/>
        <v>720</v>
      </c>
      <c r="M81" s="55"/>
      <c r="O81" s="54">
        <v>177</v>
      </c>
      <c r="P81" s="43"/>
      <c r="Q81" s="22">
        <f t="shared" si="11"/>
        <v>720</v>
      </c>
      <c r="R81" s="22"/>
      <c r="S81" s="22"/>
      <c r="T81" s="22"/>
      <c r="U81" s="22"/>
      <c r="V81" s="22"/>
      <c r="W81" s="22"/>
      <c r="X81" s="22"/>
      <c r="Y81" s="22">
        <f t="shared" si="12"/>
        <v>720</v>
      </c>
      <c r="Z81" s="55"/>
      <c r="AF81" s="42">
        <f t="shared" ca="1" si="13"/>
        <v>42479</v>
      </c>
      <c r="AG81" s="40">
        <f t="shared" si="14"/>
        <v>0</v>
      </c>
      <c r="AH81" s="42">
        <f t="shared" ca="1" si="15"/>
        <v>42479</v>
      </c>
      <c r="AI81" s="40">
        <f t="shared" si="16"/>
        <v>0</v>
      </c>
    </row>
    <row r="82" spans="2:35" ht="21" customHeight="1">
      <c r="B82" s="56">
        <v>78</v>
      </c>
      <c r="C82" s="44"/>
      <c r="D82" s="23">
        <f t="shared" si="9"/>
        <v>720</v>
      </c>
      <c r="E82" s="23"/>
      <c r="F82" s="23"/>
      <c r="G82" s="23"/>
      <c r="H82" s="23"/>
      <c r="I82" s="23"/>
      <c r="J82" s="23"/>
      <c r="K82" s="23"/>
      <c r="L82" s="23">
        <f t="shared" si="10"/>
        <v>720</v>
      </c>
      <c r="M82" s="57"/>
      <c r="O82" s="56">
        <v>178</v>
      </c>
      <c r="P82" s="44"/>
      <c r="Q82" s="23">
        <f t="shared" si="11"/>
        <v>720</v>
      </c>
      <c r="R82" s="23"/>
      <c r="S82" s="23"/>
      <c r="T82" s="23"/>
      <c r="U82" s="23"/>
      <c r="V82" s="23"/>
      <c r="W82" s="23"/>
      <c r="X82" s="23"/>
      <c r="Y82" s="23">
        <f t="shared" si="12"/>
        <v>720</v>
      </c>
      <c r="Z82" s="57"/>
      <c r="AF82" s="42">
        <f t="shared" ca="1" si="13"/>
        <v>42479</v>
      </c>
      <c r="AG82" s="40">
        <f t="shared" si="14"/>
        <v>0</v>
      </c>
      <c r="AH82" s="42">
        <f t="shared" ca="1" si="15"/>
        <v>42479</v>
      </c>
      <c r="AI82" s="40">
        <f t="shared" si="16"/>
        <v>0</v>
      </c>
    </row>
    <row r="83" spans="2:35" ht="21" customHeight="1">
      <c r="B83" s="54">
        <v>79</v>
      </c>
      <c r="C83" s="43"/>
      <c r="D83" s="22">
        <f t="shared" si="9"/>
        <v>720</v>
      </c>
      <c r="E83" s="22"/>
      <c r="F83" s="22"/>
      <c r="G83" s="22"/>
      <c r="H83" s="22"/>
      <c r="I83" s="22"/>
      <c r="J83" s="22"/>
      <c r="K83" s="22"/>
      <c r="L83" s="22">
        <f t="shared" si="10"/>
        <v>720</v>
      </c>
      <c r="M83" s="55"/>
      <c r="O83" s="54">
        <v>179</v>
      </c>
      <c r="P83" s="43"/>
      <c r="Q83" s="22">
        <f t="shared" si="11"/>
        <v>720</v>
      </c>
      <c r="R83" s="22"/>
      <c r="S83" s="22"/>
      <c r="T83" s="22"/>
      <c r="U83" s="22"/>
      <c r="V83" s="22"/>
      <c r="W83" s="22"/>
      <c r="X83" s="22"/>
      <c r="Y83" s="22">
        <f t="shared" si="12"/>
        <v>720</v>
      </c>
      <c r="Z83" s="55"/>
      <c r="AF83" s="42">
        <f t="shared" ca="1" si="13"/>
        <v>42479</v>
      </c>
      <c r="AG83" s="40">
        <f t="shared" si="14"/>
        <v>0</v>
      </c>
      <c r="AH83" s="42">
        <f t="shared" ca="1" si="15"/>
        <v>42479</v>
      </c>
      <c r="AI83" s="40">
        <f t="shared" si="16"/>
        <v>0</v>
      </c>
    </row>
    <row r="84" spans="2:35" ht="21" customHeight="1">
      <c r="B84" s="56">
        <v>80</v>
      </c>
      <c r="C84" s="44"/>
      <c r="D84" s="23">
        <f t="shared" si="9"/>
        <v>720</v>
      </c>
      <c r="E84" s="23"/>
      <c r="F84" s="23"/>
      <c r="G84" s="23"/>
      <c r="H84" s="23"/>
      <c r="I84" s="23"/>
      <c r="J84" s="23"/>
      <c r="K84" s="23"/>
      <c r="L84" s="23">
        <f t="shared" si="10"/>
        <v>720</v>
      </c>
      <c r="M84" s="57"/>
      <c r="O84" s="56">
        <v>180</v>
      </c>
      <c r="P84" s="44"/>
      <c r="Q84" s="23">
        <f t="shared" si="11"/>
        <v>720</v>
      </c>
      <c r="R84" s="23"/>
      <c r="S84" s="23"/>
      <c r="T84" s="23"/>
      <c r="U84" s="23"/>
      <c r="V84" s="23"/>
      <c r="W84" s="23"/>
      <c r="X84" s="23"/>
      <c r="Y84" s="23">
        <f t="shared" si="12"/>
        <v>720</v>
      </c>
      <c r="Z84" s="57"/>
      <c r="AF84" s="42">
        <f t="shared" ca="1" si="13"/>
        <v>42479</v>
      </c>
      <c r="AG84" s="40">
        <f t="shared" si="14"/>
        <v>0</v>
      </c>
      <c r="AH84" s="42">
        <f t="shared" ca="1" si="15"/>
        <v>42479</v>
      </c>
      <c r="AI84" s="40">
        <f t="shared" si="16"/>
        <v>0</v>
      </c>
    </row>
    <row r="85" spans="2:35" ht="21" customHeight="1">
      <c r="B85" s="54">
        <v>81</v>
      </c>
      <c r="C85" s="43"/>
      <c r="D85" s="22">
        <f t="shared" si="9"/>
        <v>720</v>
      </c>
      <c r="E85" s="22"/>
      <c r="F85" s="22"/>
      <c r="G85" s="22"/>
      <c r="H85" s="22"/>
      <c r="I85" s="22"/>
      <c r="J85" s="22"/>
      <c r="K85" s="22"/>
      <c r="L85" s="22">
        <f t="shared" si="10"/>
        <v>720</v>
      </c>
      <c r="M85" s="55"/>
      <c r="O85" s="54">
        <v>181</v>
      </c>
      <c r="P85" s="43"/>
      <c r="Q85" s="22">
        <f t="shared" si="11"/>
        <v>720</v>
      </c>
      <c r="R85" s="22"/>
      <c r="S85" s="22"/>
      <c r="T85" s="22"/>
      <c r="U85" s="22"/>
      <c r="V85" s="22"/>
      <c r="W85" s="22"/>
      <c r="X85" s="22"/>
      <c r="Y85" s="22">
        <f t="shared" si="12"/>
        <v>720</v>
      </c>
      <c r="Z85" s="55"/>
      <c r="AF85" s="42">
        <f t="shared" ca="1" si="13"/>
        <v>42479</v>
      </c>
      <c r="AG85" s="40">
        <f t="shared" si="14"/>
        <v>0</v>
      </c>
      <c r="AH85" s="42">
        <f t="shared" ca="1" si="15"/>
        <v>42479</v>
      </c>
      <c r="AI85" s="40">
        <f t="shared" si="16"/>
        <v>0</v>
      </c>
    </row>
    <row r="86" spans="2:35" ht="21" customHeight="1">
      <c r="B86" s="56">
        <v>82</v>
      </c>
      <c r="C86" s="44"/>
      <c r="D86" s="23">
        <f t="shared" si="9"/>
        <v>720</v>
      </c>
      <c r="E86" s="23"/>
      <c r="F86" s="23"/>
      <c r="G86" s="23"/>
      <c r="H86" s="23"/>
      <c r="I86" s="23"/>
      <c r="J86" s="23"/>
      <c r="K86" s="23"/>
      <c r="L86" s="23">
        <f t="shared" si="10"/>
        <v>720</v>
      </c>
      <c r="M86" s="57"/>
      <c r="O86" s="56">
        <v>182</v>
      </c>
      <c r="P86" s="44"/>
      <c r="Q86" s="23">
        <f t="shared" si="11"/>
        <v>720</v>
      </c>
      <c r="R86" s="23"/>
      <c r="S86" s="23"/>
      <c r="T86" s="23"/>
      <c r="U86" s="23"/>
      <c r="V86" s="23"/>
      <c r="W86" s="23"/>
      <c r="X86" s="23"/>
      <c r="Y86" s="23">
        <f t="shared" si="12"/>
        <v>720</v>
      </c>
      <c r="Z86" s="57"/>
      <c r="AF86" s="42">
        <f t="shared" ca="1" si="13"/>
        <v>42479</v>
      </c>
      <c r="AG86" s="40">
        <f t="shared" si="14"/>
        <v>0</v>
      </c>
      <c r="AH86" s="42">
        <f t="shared" ca="1" si="15"/>
        <v>42479</v>
      </c>
      <c r="AI86" s="40">
        <f t="shared" si="16"/>
        <v>0</v>
      </c>
    </row>
    <row r="87" spans="2:35" ht="21" customHeight="1">
      <c r="B87" s="54">
        <v>83</v>
      </c>
      <c r="C87" s="43"/>
      <c r="D87" s="22">
        <f t="shared" si="9"/>
        <v>720</v>
      </c>
      <c r="E87" s="22"/>
      <c r="F87" s="22"/>
      <c r="G87" s="22"/>
      <c r="H87" s="22"/>
      <c r="I87" s="22"/>
      <c r="J87" s="22"/>
      <c r="K87" s="22"/>
      <c r="L87" s="22">
        <f t="shared" si="10"/>
        <v>720</v>
      </c>
      <c r="M87" s="55"/>
      <c r="O87" s="54">
        <v>183</v>
      </c>
      <c r="P87" s="43"/>
      <c r="Q87" s="22">
        <f t="shared" si="11"/>
        <v>720</v>
      </c>
      <c r="R87" s="22"/>
      <c r="S87" s="22"/>
      <c r="T87" s="22"/>
      <c r="U87" s="22"/>
      <c r="V87" s="22"/>
      <c r="W87" s="22"/>
      <c r="X87" s="22"/>
      <c r="Y87" s="22">
        <f t="shared" si="12"/>
        <v>720</v>
      </c>
      <c r="Z87" s="55"/>
      <c r="AF87" s="42">
        <f t="shared" ca="1" si="13"/>
        <v>42479</v>
      </c>
      <c r="AG87" s="40">
        <f t="shared" si="14"/>
        <v>0</v>
      </c>
      <c r="AH87" s="42">
        <f t="shared" ca="1" si="15"/>
        <v>42479</v>
      </c>
      <c r="AI87" s="40">
        <f t="shared" si="16"/>
        <v>0</v>
      </c>
    </row>
    <row r="88" spans="2:35" ht="21" customHeight="1">
      <c r="B88" s="56">
        <v>84</v>
      </c>
      <c r="C88" s="44"/>
      <c r="D88" s="23">
        <f t="shared" si="9"/>
        <v>720</v>
      </c>
      <c r="E88" s="23"/>
      <c r="F88" s="23"/>
      <c r="G88" s="23"/>
      <c r="H88" s="23"/>
      <c r="I88" s="23"/>
      <c r="J88" s="23"/>
      <c r="K88" s="23"/>
      <c r="L88" s="23">
        <f t="shared" si="10"/>
        <v>720</v>
      </c>
      <c r="M88" s="57"/>
      <c r="O88" s="56">
        <v>184</v>
      </c>
      <c r="P88" s="44"/>
      <c r="Q88" s="23">
        <f t="shared" si="11"/>
        <v>720</v>
      </c>
      <c r="R88" s="23"/>
      <c r="S88" s="23"/>
      <c r="T88" s="23"/>
      <c r="U88" s="23"/>
      <c r="V88" s="23"/>
      <c r="W88" s="23"/>
      <c r="X88" s="23"/>
      <c r="Y88" s="23">
        <f t="shared" si="12"/>
        <v>720</v>
      </c>
      <c r="Z88" s="57"/>
      <c r="AF88" s="42">
        <f t="shared" ca="1" si="13"/>
        <v>42479</v>
      </c>
      <c r="AG88" s="40">
        <f t="shared" si="14"/>
        <v>0</v>
      </c>
      <c r="AH88" s="42">
        <f t="shared" ca="1" si="15"/>
        <v>42479</v>
      </c>
      <c r="AI88" s="40">
        <f t="shared" si="16"/>
        <v>0</v>
      </c>
    </row>
    <row r="89" spans="2:35" ht="21" customHeight="1">
      <c r="B89" s="54">
        <v>85</v>
      </c>
      <c r="C89" s="43"/>
      <c r="D89" s="22">
        <f t="shared" si="9"/>
        <v>720</v>
      </c>
      <c r="E89" s="22"/>
      <c r="F89" s="22"/>
      <c r="G89" s="22"/>
      <c r="H89" s="22"/>
      <c r="I89" s="22"/>
      <c r="J89" s="22"/>
      <c r="K89" s="22"/>
      <c r="L89" s="22">
        <f t="shared" si="10"/>
        <v>720</v>
      </c>
      <c r="M89" s="55"/>
      <c r="O89" s="54">
        <v>185</v>
      </c>
      <c r="P89" s="43"/>
      <c r="Q89" s="22">
        <f t="shared" si="11"/>
        <v>720</v>
      </c>
      <c r="R89" s="22"/>
      <c r="S89" s="22"/>
      <c r="T89" s="22"/>
      <c r="U89" s="22"/>
      <c r="V89" s="22"/>
      <c r="W89" s="22"/>
      <c r="X89" s="22"/>
      <c r="Y89" s="22">
        <f t="shared" si="12"/>
        <v>720</v>
      </c>
      <c r="Z89" s="55"/>
      <c r="AF89" s="42">
        <f t="shared" ca="1" si="13"/>
        <v>42479</v>
      </c>
      <c r="AG89" s="40">
        <f t="shared" si="14"/>
        <v>0</v>
      </c>
      <c r="AH89" s="42">
        <f t="shared" ca="1" si="15"/>
        <v>42479</v>
      </c>
      <c r="AI89" s="40">
        <f t="shared" si="16"/>
        <v>0</v>
      </c>
    </row>
    <row r="90" spans="2:35" ht="21" customHeight="1">
      <c r="B90" s="56">
        <v>86</v>
      </c>
      <c r="C90" s="44"/>
      <c r="D90" s="23">
        <f t="shared" si="9"/>
        <v>720</v>
      </c>
      <c r="E90" s="23"/>
      <c r="F90" s="23"/>
      <c r="G90" s="23"/>
      <c r="H90" s="23"/>
      <c r="I90" s="23"/>
      <c r="J90" s="23"/>
      <c r="K90" s="23"/>
      <c r="L90" s="23">
        <f t="shared" si="10"/>
        <v>720</v>
      </c>
      <c r="M90" s="57"/>
      <c r="O90" s="56">
        <v>186</v>
      </c>
      <c r="P90" s="44"/>
      <c r="Q90" s="23">
        <f t="shared" si="11"/>
        <v>720</v>
      </c>
      <c r="R90" s="23"/>
      <c r="S90" s="23"/>
      <c r="T90" s="23"/>
      <c r="U90" s="23"/>
      <c r="V90" s="23"/>
      <c r="W90" s="23"/>
      <c r="X90" s="23"/>
      <c r="Y90" s="23">
        <f t="shared" si="12"/>
        <v>720</v>
      </c>
      <c r="Z90" s="57"/>
      <c r="AF90" s="42">
        <f t="shared" ca="1" si="13"/>
        <v>42479</v>
      </c>
      <c r="AG90" s="40">
        <f t="shared" si="14"/>
        <v>0</v>
      </c>
      <c r="AH90" s="42">
        <f t="shared" ca="1" si="15"/>
        <v>42479</v>
      </c>
      <c r="AI90" s="40">
        <f t="shared" si="16"/>
        <v>0</v>
      </c>
    </row>
    <row r="91" spans="2:35" ht="21" customHeight="1">
      <c r="B91" s="54">
        <v>87</v>
      </c>
      <c r="C91" s="43"/>
      <c r="D91" s="22">
        <f t="shared" si="9"/>
        <v>720</v>
      </c>
      <c r="E91" s="22"/>
      <c r="F91" s="22"/>
      <c r="G91" s="22"/>
      <c r="H91" s="22"/>
      <c r="I91" s="22"/>
      <c r="J91" s="22"/>
      <c r="K91" s="22"/>
      <c r="L91" s="22">
        <f t="shared" si="10"/>
        <v>720</v>
      </c>
      <c r="M91" s="55"/>
      <c r="O91" s="54">
        <v>187</v>
      </c>
      <c r="P91" s="43"/>
      <c r="Q91" s="22">
        <f t="shared" si="11"/>
        <v>720</v>
      </c>
      <c r="R91" s="22"/>
      <c r="S91" s="22"/>
      <c r="T91" s="22"/>
      <c r="U91" s="22"/>
      <c r="V91" s="22"/>
      <c r="W91" s="22"/>
      <c r="X91" s="22"/>
      <c r="Y91" s="22">
        <f t="shared" si="12"/>
        <v>720</v>
      </c>
      <c r="Z91" s="55"/>
      <c r="AF91" s="42">
        <f t="shared" ca="1" si="13"/>
        <v>42479</v>
      </c>
      <c r="AG91" s="40">
        <f t="shared" si="14"/>
        <v>0</v>
      </c>
      <c r="AH91" s="42">
        <f t="shared" ca="1" si="15"/>
        <v>42479</v>
      </c>
      <c r="AI91" s="40">
        <f t="shared" si="16"/>
        <v>0</v>
      </c>
    </row>
    <row r="92" spans="2:35" ht="21" customHeight="1">
      <c r="B92" s="56">
        <v>88</v>
      </c>
      <c r="C92" s="44"/>
      <c r="D92" s="23">
        <f t="shared" si="9"/>
        <v>720</v>
      </c>
      <c r="E92" s="23"/>
      <c r="F92" s="23"/>
      <c r="G92" s="23"/>
      <c r="H92" s="23"/>
      <c r="I92" s="23"/>
      <c r="J92" s="23"/>
      <c r="K92" s="23"/>
      <c r="L92" s="23">
        <f t="shared" si="10"/>
        <v>720</v>
      </c>
      <c r="M92" s="57"/>
      <c r="O92" s="56">
        <v>188</v>
      </c>
      <c r="P92" s="44"/>
      <c r="Q92" s="23">
        <f t="shared" si="11"/>
        <v>720</v>
      </c>
      <c r="R92" s="23"/>
      <c r="S92" s="23"/>
      <c r="T92" s="23"/>
      <c r="U92" s="23"/>
      <c r="V92" s="23"/>
      <c r="W92" s="23"/>
      <c r="X92" s="23"/>
      <c r="Y92" s="23">
        <f t="shared" si="12"/>
        <v>720</v>
      </c>
      <c r="Z92" s="57"/>
      <c r="AF92" s="42">
        <f t="shared" ca="1" si="13"/>
        <v>42479</v>
      </c>
      <c r="AG92" s="40">
        <f t="shared" si="14"/>
        <v>0</v>
      </c>
      <c r="AH92" s="42">
        <f t="shared" ca="1" si="15"/>
        <v>42479</v>
      </c>
      <c r="AI92" s="40">
        <f t="shared" si="16"/>
        <v>0</v>
      </c>
    </row>
    <row r="93" spans="2:35" ht="21" customHeight="1">
      <c r="B93" s="54">
        <v>89</v>
      </c>
      <c r="C93" s="43"/>
      <c r="D93" s="22">
        <f t="shared" si="9"/>
        <v>720</v>
      </c>
      <c r="E93" s="22"/>
      <c r="F93" s="22"/>
      <c r="G93" s="22"/>
      <c r="H93" s="22"/>
      <c r="I93" s="22"/>
      <c r="J93" s="22"/>
      <c r="K93" s="22"/>
      <c r="L93" s="22">
        <f t="shared" si="10"/>
        <v>720</v>
      </c>
      <c r="M93" s="55"/>
      <c r="O93" s="54">
        <v>189</v>
      </c>
      <c r="P93" s="43"/>
      <c r="Q93" s="22">
        <f t="shared" si="11"/>
        <v>720</v>
      </c>
      <c r="R93" s="22"/>
      <c r="S93" s="22"/>
      <c r="T93" s="22"/>
      <c r="U93" s="22"/>
      <c r="V93" s="22"/>
      <c r="W93" s="22"/>
      <c r="X93" s="22"/>
      <c r="Y93" s="22">
        <f t="shared" si="12"/>
        <v>720</v>
      </c>
      <c r="Z93" s="55"/>
      <c r="AF93" s="42">
        <f t="shared" ca="1" si="13"/>
        <v>42479</v>
      </c>
      <c r="AG93" s="40">
        <f t="shared" si="14"/>
        <v>0</v>
      </c>
      <c r="AH93" s="42">
        <f t="shared" ca="1" si="15"/>
        <v>42479</v>
      </c>
      <c r="AI93" s="40">
        <f t="shared" si="16"/>
        <v>0</v>
      </c>
    </row>
    <row r="94" spans="2:35" ht="21" customHeight="1">
      <c r="B94" s="56">
        <v>90</v>
      </c>
      <c r="C94" s="44"/>
      <c r="D94" s="23">
        <f t="shared" si="9"/>
        <v>720</v>
      </c>
      <c r="E94" s="23"/>
      <c r="F94" s="23"/>
      <c r="G94" s="23"/>
      <c r="H94" s="23"/>
      <c r="I94" s="23"/>
      <c r="J94" s="23"/>
      <c r="K94" s="23"/>
      <c r="L94" s="23">
        <f t="shared" si="10"/>
        <v>720</v>
      </c>
      <c r="M94" s="57"/>
      <c r="O94" s="56">
        <v>190</v>
      </c>
      <c r="P94" s="44"/>
      <c r="Q94" s="23">
        <f t="shared" si="11"/>
        <v>720</v>
      </c>
      <c r="R94" s="23"/>
      <c r="S94" s="23"/>
      <c r="T94" s="23"/>
      <c r="U94" s="23"/>
      <c r="V94" s="23"/>
      <c r="W94" s="23"/>
      <c r="X94" s="23"/>
      <c r="Y94" s="23">
        <f t="shared" si="12"/>
        <v>720</v>
      </c>
      <c r="Z94" s="57"/>
      <c r="AF94" s="42">
        <f t="shared" ca="1" si="13"/>
        <v>42479</v>
      </c>
      <c r="AG94" s="40">
        <f t="shared" si="14"/>
        <v>0</v>
      </c>
      <c r="AH94" s="42">
        <f t="shared" ca="1" si="15"/>
        <v>42479</v>
      </c>
      <c r="AI94" s="40">
        <f t="shared" si="16"/>
        <v>0</v>
      </c>
    </row>
    <row r="95" spans="2:35" ht="21" customHeight="1">
      <c r="B95" s="54">
        <v>91</v>
      </c>
      <c r="C95" s="43"/>
      <c r="D95" s="22">
        <f t="shared" si="9"/>
        <v>720</v>
      </c>
      <c r="E95" s="22"/>
      <c r="F95" s="22"/>
      <c r="G95" s="22"/>
      <c r="H95" s="22"/>
      <c r="I95" s="22"/>
      <c r="J95" s="22"/>
      <c r="K95" s="22"/>
      <c r="L95" s="22">
        <f t="shared" si="10"/>
        <v>720</v>
      </c>
      <c r="M95" s="55"/>
      <c r="O95" s="54">
        <v>191</v>
      </c>
      <c r="P95" s="43"/>
      <c r="Q95" s="22">
        <f t="shared" si="11"/>
        <v>720</v>
      </c>
      <c r="R95" s="22"/>
      <c r="S95" s="22"/>
      <c r="T95" s="22"/>
      <c r="U95" s="22"/>
      <c r="V95" s="22"/>
      <c r="W95" s="22"/>
      <c r="X95" s="22"/>
      <c r="Y95" s="22">
        <f t="shared" si="12"/>
        <v>720</v>
      </c>
      <c r="Z95" s="55"/>
      <c r="AF95" s="42">
        <f t="shared" ca="1" si="13"/>
        <v>42479</v>
      </c>
      <c r="AG95" s="40">
        <f t="shared" si="14"/>
        <v>0</v>
      </c>
      <c r="AH95" s="42">
        <f t="shared" ca="1" si="15"/>
        <v>42479</v>
      </c>
      <c r="AI95" s="40">
        <f t="shared" si="16"/>
        <v>0</v>
      </c>
    </row>
    <row r="96" spans="2:35" ht="21" customHeight="1">
      <c r="B96" s="56">
        <v>92</v>
      </c>
      <c r="C96" s="44"/>
      <c r="D96" s="23">
        <f t="shared" si="9"/>
        <v>720</v>
      </c>
      <c r="E96" s="23"/>
      <c r="F96" s="23"/>
      <c r="G96" s="23"/>
      <c r="H96" s="23"/>
      <c r="I96" s="23"/>
      <c r="J96" s="23"/>
      <c r="K96" s="23"/>
      <c r="L96" s="23">
        <f t="shared" si="10"/>
        <v>720</v>
      </c>
      <c r="M96" s="57"/>
      <c r="O96" s="56">
        <v>192</v>
      </c>
      <c r="P96" s="44"/>
      <c r="Q96" s="23">
        <f t="shared" si="11"/>
        <v>720</v>
      </c>
      <c r="R96" s="23"/>
      <c r="S96" s="23"/>
      <c r="T96" s="23"/>
      <c r="U96" s="23"/>
      <c r="V96" s="23"/>
      <c r="W96" s="23"/>
      <c r="X96" s="23"/>
      <c r="Y96" s="23">
        <f t="shared" si="12"/>
        <v>720</v>
      </c>
      <c r="Z96" s="57"/>
      <c r="AF96" s="42">
        <f t="shared" ca="1" si="13"/>
        <v>42479</v>
      </c>
      <c r="AG96" s="40">
        <f t="shared" si="14"/>
        <v>0</v>
      </c>
      <c r="AH96" s="42">
        <f t="shared" ca="1" si="15"/>
        <v>42479</v>
      </c>
      <c r="AI96" s="40">
        <f t="shared" si="16"/>
        <v>0</v>
      </c>
    </row>
    <row r="97" spans="2:35" ht="21" customHeight="1">
      <c r="B97" s="54">
        <v>93</v>
      </c>
      <c r="C97" s="43"/>
      <c r="D97" s="22">
        <f t="shared" si="9"/>
        <v>720</v>
      </c>
      <c r="E97" s="22"/>
      <c r="F97" s="22"/>
      <c r="G97" s="22"/>
      <c r="H97" s="22"/>
      <c r="I97" s="22"/>
      <c r="J97" s="22"/>
      <c r="K97" s="22"/>
      <c r="L97" s="22">
        <f t="shared" si="10"/>
        <v>720</v>
      </c>
      <c r="M97" s="55"/>
      <c r="O97" s="54">
        <v>193</v>
      </c>
      <c r="P97" s="43"/>
      <c r="Q97" s="22">
        <f t="shared" si="11"/>
        <v>720</v>
      </c>
      <c r="R97" s="22"/>
      <c r="S97" s="22"/>
      <c r="T97" s="22"/>
      <c r="U97" s="22"/>
      <c r="V97" s="22"/>
      <c r="W97" s="22"/>
      <c r="X97" s="22"/>
      <c r="Y97" s="22">
        <f t="shared" si="12"/>
        <v>720</v>
      </c>
      <c r="Z97" s="55"/>
      <c r="AF97" s="42">
        <f t="shared" ca="1" si="13"/>
        <v>42479</v>
      </c>
      <c r="AG97" s="40">
        <f t="shared" si="14"/>
        <v>0</v>
      </c>
      <c r="AH97" s="42">
        <f t="shared" ca="1" si="15"/>
        <v>42479</v>
      </c>
      <c r="AI97" s="40">
        <f t="shared" si="16"/>
        <v>0</v>
      </c>
    </row>
    <row r="98" spans="2:35" ht="21" customHeight="1">
      <c r="B98" s="56">
        <v>94</v>
      </c>
      <c r="C98" s="44"/>
      <c r="D98" s="23">
        <f t="shared" si="9"/>
        <v>720</v>
      </c>
      <c r="E98" s="23"/>
      <c r="F98" s="23"/>
      <c r="G98" s="23"/>
      <c r="H98" s="23"/>
      <c r="I98" s="23"/>
      <c r="J98" s="23"/>
      <c r="K98" s="23"/>
      <c r="L98" s="23">
        <f t="shared" si="10"/>
        <v>720</v>
      </c>
      <c r="M98" s="57"/>
      <c r="O98" s="56">
        <v>194</v>
      </c>
      <c r="P98" s="44"/>
      <c r="Q98" s="23">
        <f t="shared" si="11"/>
        <v>720</v>
      </c>
      <c r="R98" s="23"/>
      <c r="S98" s="23"/>
      <c r="T98" s="23"/>
      <c r="U98" s="23"/>
      <c r="V98" s="23"/>
      <c r="W98" s="23"/>
      <c r="X98" s="23"/>
      <c r="Y98" s="23">
        <f t="shared" si="12"/>
        <v>720</v>
      </c>
      <c r="Z98" s="57"/>
      <c r="AF98" s="42">
        <f t="shared" ca="1" si="13"/>
        <v>42479</v>
      </c>
      <c r="AG98" s="40">
        <f t="shared" si="14"/>
        <v>0</v>
      </c>
      <c r="AH98" s="42">
        <f t="shared" ca="1" si="15"/>
        <v>42479</v>
      </c>
      <c r="AI98" s="40">
        <f t="shared" si="16"/>
        <v>0</v>
      </c>
    </row>
    <row r="99" spans="2:35" ht="21" customHeight="1">
      <c r="B99" s="54">
        <v>95</v>
      </c>
      <c r="C99" s="43"/>
      <c r="D99" s="22">
        <f t="shared" si="9"/>
        <v>720</v>
      </c>
      <c r="E99" s="22"/>
      <c r="F99" s="22"/>
      <c r="G99" s="22"/>
      <c r="H99" s="22"/>
      <c r="I99" s="22"/>
      <c r="J99" s="22"/>
      <c r="K99" s="22"/>
      <c r="L99" s="22">
        <f t="shared" si="10"/>
        <v>720</v>
      </c>
      <c r="M99" s="55"/>
      <c r="O99" s="54">
        <v>195</v>
      </c>
      <c r="P99" s="43"/>
      <c r="Q99" s="22">
        <f t="shared" si="11"/>
        <v>720</v>
      </c>
      <c r="R99" s="22"/>
      <c r="S99" s="22"/>
      <c r="T99" s="22"/>
      <c r="U99" s="22"/>
      <c r="V99" s="22"/>
      <c r="W99" s="22"/>
      <c r="X99" s="22"/>
      <c r="Y99" s="22">
        <f t="shared" si="12"/>
        <v>720</v>
      </c>
      <c r="Z99" s="55"/>
      <c r="AF99" s="42">
        <f t="shared" ca="1" si="13"/>
        <v>42479</v>
      </c>
      <c r="AG99" s="40">
        <f t="shared" si="14"/>
        <v>0</v>
      </c>
      <c r="AH99" s="42">
        <f t="shared" ca="1" si="15"/>
        <v>42479</v>
      </c>
      <c r="AI99" s="40">
        <f t="shared" si="16"/>
        <v>0</v>
      </c>
    </row>
    <row r="100" spans="2:35" ht="21" customHeight="1">
      <c r="B100" s="56">
        <v>96</v>
      </c>
      <c r="C100" s="44"/>
      <c r="D100" s="23">
        <f t="shared" si="9"/>
        <v>720</v>
      </c>
      <c r="E100" s="23"/>
      <c r="F100" s="23"/>
      <c r="G100" s="23"/>
      <c r="H100" s="23"/>
      <c r="I100" s="23"/>
      <c r="J100" s="23"/>
      <c r="K100" s="23"/>
      <c r="L100" s="23">
        <f t="shared" si="10"/>
        <v>720</v>
      </c>
      <c r="M100" s="57"/>
      <c r="O100" s="56">
        <v>196</v>
      </c>
      <c r="P100" s="44"/>
      <c r="Q100" s="23">
        <f t="shared" si="11"/>
        <v>720</v>
      </c>
      <c r="R100" s="23"/>
      <c r="S100" s="23"/>
      <c r="T100" s="23"/>
      <c r="U100" s="23"/>
      <c r="V100" s="23"/>
      <c r="W100" s="23"/>
      <c r="X100" s="23"/>
      <c r="Y100" s="23">
        <f t="shared" si="12"/>
        <v>720</v>
      </c>
      <c r="Z100" s="57"/>
      <c r="AF100" s="42">
        <f t="shared" ca="1" si="13"/>
        <v>42479</v>
      </c>
      <c r="AG100" s="40">
        <f t="shared" si="14"/>
        <v>0</v>
      </c>
      <c r="AH100" s="42">
        <f t="shared" ca="1" si="15"/>
        <v>42479</v>
      </c>
      <c r="AI100" s="40">
        <f t="shared" si="16"/>
        <v>0</v>
      </c>
    </row>
    <row r="101" spans="2:35" ht="21" customHeight="1">
      <c r="B101" s="54">
        <v>97</v>
      </c>
      <c r="C101" s="43"/>
      <c r="D101" s="22">
        <f t="shared" si="9"/>
        <v>720</v>
      </c>
      <c r="E101" s="22"/>
      <c r="F101" s="22"/>
      <c r="G101" s="22"/>
      <c r="H101" s="22"/>
      <c r="I101" s="22"/>
      <c r="J101" s="22"/>
      <c r="K101" s="22"/>
      <c r="L101" s="22">
        <f t="shared" si="10"/>
        <v>720</v>
      </c>
      <c r="M101" s="55"/>
      <c r="O101" s="54">
        <v>197</v>
      </c>
      <c r="P101" s="43"/>
      <c r="Q101" s="22">
        <f t="shared" si="11"/>
        <v>720</v>
      </c>
      <c r="R101" s="22"/>
      <c r="S101" s="22"/>
      <c r="T101" s="22"/>
      <c r="U101" s="22"/>
      <c r="V101" s="22"/>
      <c r="W101" s="22"/>
      <c r="X101" s="22"/>
      <c r="Y101" s="22">
        <f t="shared" si="12"/>
        <v>720</v>
      </c>
      <c r="Z101" s="55"/>
      <c r="AF101" s="42">
        <f t="shared" ca="1" si="13"/>
        <v>42479</v>
      </c>
      <c r="AG101" s="40">
        <f t="shared" si="14"/>
        <v>0</v>
      </c>
      <c r="AH101" s="42">
        <f t="shared" ca="1" si="15"/>
        <v>42479</v>
      </c>
      <c r="AI101" s="40">
        <f t="shared" si="16"/>
        <v>0</v>
      </c>
    </row>
    <row r="102" spans="2:35" ht="21" customHeight="1">
      <c r="B102" s="56">
        <v>98</v>
      </c>
      <c r="C102" s="44"/>
      <c r="D102" s="23">
        <f t="shared" si="9"/>
        <v>720</v>
      </c>
      <c r="E102" s="23"/>
      <c r="F102" s="23"/>
      <c r="G102" s="23"/>
      <c r="H102" s="23"/>
      <c r="I102" s="23"/>
      <c r="J102" s="23"/>
      <c r="K102" s="23"/>
      <c r="L102" s="23">
        <f t="shared" si="10"/>
        <v>720</v>
      </c>
      <c r="M102" s="57"/>
      <c r="O102" s="56">
        <v>198</v>
      </c>
      <c r="P102" s="44"/>
      <c r="Q102" s="23">
        <f t="shared" si="11"/>
        <v>720</v>
      </c>
      <c r="R102" s="23"/>
      <c r="S102" s="23"/>
      <c r="T102" s="23"/>
      <c r="U102" s="23"/>
      <c r="V102" s="23"/>
      <c r="W102" s="23"/>
      <c r="X102" s="23"/>
      <c r="Y102" s="23">
        <f t="shared" si="12"/>
        <v>720</v>
      </c>
      <c r="Z102" s="57"/>
      <c r="AF102" s="42">
        <f t="shared" ca="1" si="13"/>
        <v>42479</v>
      </c>
      <c r="AG102" s="40">
        <f t="shared" si="14"/>
        <v>0</v>
      </c>
      <c r="AH102" s="42">
        <f t="shared" ca="1" si="15"/>
        <v>42479</v>
      </c>
      <c r="AI102" s="40">
        <f t="shared" si="16"/>
        <v>0</v>
      </c>
    </row>
    <row r="103" spans="2:35" ht="21" customHeight="1">
      <c r="B103" s="54">
        <v>99</v>
      </c>
      <c r="C103" s="43"/>
      <c r="D103" s="22">
        <f t="shared" si="9"/>
        <v>720</v>
      </c>
      <c r="E103" s="22"/>
      <c r="F103" s="22"/>
      <c r="G103" s="22"/>
      <c r="H103" s="22"/>
      <c r="I103" s="22"/>
      <c r="J103" s="22"/>
      <c r="K103" s="22"/>
      <c r="L103" s="22">
        <f t="shared" si="10"/>
        <v>720</v>
      </c>
      <c r="M103" s="55"/>
      <c r="O103" s="54">
        <v>199</v>
      </c>
      <c r="P103" s="43"/>
      <c r="Q103" s="22">
        <f t="shared" si="11"/>
        <v>720</v>
      </c>
      <c r="R103" s="22"/>
      <c r="S103" s="22"/>
      <c r="T103" s="22"/>
      <c r="U103" s="22"/>
      <c r="V103" s="22"/>
      <c r="W103" s="22"/>
      <c r="X103" s="22"/>
      <c r="Y103" s="22">
        <f t="shared" si="12"/>
        <v>720</v>
      </c>
      <c r="Z103" s="55"/>
      <c r="AF103" s="42">
        <f t="shared" ca="1" si="13"/>
        <v>42479</v>
      </c>
      <c r="AG103" s="40">
        <f t="shared" si="14"/>
        <v>0</v>
      </c>
      <c r="AH103" s="42">
        <f t="shared" ca="1" si="15"/>
        <v>42479</v>
      </c>
      <c r="AI103" s="40">
        <f t="shared" si="16"/>
        <v>0</v>
      </c>
    </row>
    <row r="104" spans="2:35" ht="21" customHeight="1">
      <c r="B104" s="56">
        <v>100</v>
      </c>
      <c r="C104" s="44"/>
      <c r="D104" s="23">
        <f t="shared" si="9"/>
        <v>720</v>
      </c>
      <c r="E104" s="23"/>
      <c r="F104" s="23"/>
      <c r="G104" s="23"/>
      <c r="H104" s="23"/>
      <c r="I104" s="23"/>
      <c r="J104" s="23"/>
      <c r="K104" s="23"/>
      <c r="L104" s="23">
        <f t="shared" si="10"/>
        <v>720</v>
      </c>
      <c r="M104" s="57"/>
      <c r="O104" s="56">
        <v>200</v>
      </c>
      <c r="P104" s="44"/>
      <c r="Q104" s="23">
        <f t="shared" si="11"/>
        <v>720</v>
      </c>
      <c r="R104" s="23"/>
      <c r="S104" s="23"/>
      <c r="T104" s="23"/>
      <c r="U104" s="23"/>
      <c r="V104" s="23"/>
      <c r="W104" s="23"/>
      <c r="X104" s="23"/>
      <c r="Y104" s="23">
        <f t="shared" si="12"/>
        <v>720</v>
      </c>
      <c r="Z104" s="57"/>
      <c r="AF104" s="42">
        <f t="shared" ca="1" si="13"/>
        <v>42479</v>
      </c>
      <c r="AG104" s="40">
        <f t="shared" si="14"/>
        <v>0</v>
      </c>
      <c r="AH104" s="42">
        <f t="shared" ca="1" si="15"/>
        <v>42479</v>
      </c>
      <c r="AI104" s="40">
        <f t="shared" si="16"/>
        <v>0</v>
      </c>
    </row>
    <row r="105" spans="2:35" s="21" customFormat="1" ht="21" customHeight="1" thickBot="1">
      <c r="B105" s="81" t="s">
        <v>12</v>
      </c>
      <c r="C105" s="82"/>
      <c r="D105" s="82"/>
      <c r="E105" s="82"/>
      <c r="F105" s="82"/>
      <c r="G105" s="82"/>
      <c r="H105" s="82"/>
      <c r="I105" s="82"/>
      <c r="J105" s="58">
        <f>SUM(J5:J104)</f>
        <v>0</v>
      </c>
      <c r="K105" s="58">
        <f t="shared" ref="K105" si="17">SUM(K5:K104)</f>
        <v>0</v>
      </c>
      <c r="L105" s="58">
        <f>SUM(L5:L104)</f>
        <v>72000</v>
      </c>
      <c r="M105" s="59"/>
      <c r="O105" s="81" t="s">
        <v>12</v>
      </c>
      <c r="P105" s="82"/>
      <c r="Q105" s="82"/>
      <c r="R105" s="82"/>
      <c r="S105" s="82"/>
      <c r="T105" s="82"/>
      <c r="U105" s="82"/>
      <c r="V105" s="82"/>
      <c r="W105" s="58">
        <f>SUM(W5:W104)</f>
        <v>0</v>
      </c>
      <c r="X105" s="58">
        <f t="shared" ref="X105" si="18">SUM(X5:X104)</f>
        <v>0</v>
      </c>
      <c r="Y105" s="58">
        <f>SUM(Y5:Y104)</f>
        <v>72000</v>
      </c>
      <c r="Z105" s="59"/>
      <c r="AF105" s="42">
        <f t="shared" ca="1" si="13"/>
        <v>42479</v>
      </c>
      <c r="AG105" s="40">
        <f t="shared" si="14"/>
        <v>0</v>
      </c>
      <c r="AH105" s="42">
        <f t="shared" ca="1" si="15"/>
        <v>42479</v>
      </c>
      <c r="AI105" s="40">
        <f t="shared" si="16"/>
        <v>0</v>
      </c>
    </row>
    <row r="108" spans="2:35" ht="21" customHeight="1">
      <c r="B108" s="77"/>
      <c r="C108" s="77"/>
      <c r="D108" s="77"/>
    </row>
    <row r="109" spans="2:35" ht="21" customHeight="1">
      <c r="B109" s="77"/>
      <c r="C109" s="77"/>
      <c r="D109" s="77"/>
    </row>
  </sheetData>
  <mergeCells count="6">
    <mergeCell ref="B109:D109"/>
    <mergeCell ref="B2:M2"/>
    <mergeCell ref="B105:I105"/>
    <mergeCell ref="O105:V105"/>
    <mergeCell ref="O2:Z2"/>
    <mergeCell ref="B108:D108"/>
  </mergeCells>
  <pageMargins left="0.7" right="0.7" top="0.75" bottom="0.75" header="0.3" footer="0.3"/>
  <pageSetup paperSize="9" scale="24" orientation="portrait" verticalDpi="0" r:id="rId1"/>
  <ignoredErrors>
    <ignoredError sqref="AG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105"/>
  <sheetViews>
    <sheetView view="pageBreakPreview" zoomScale="80" zoomScaleNormal="70" zoomScaleSheetLayoutView="80" workbookViewId="0">
      <pane ySplit="4" topLeftCell="A5" activePane="bottomLeft" state="frozen"/>
      <selection pane="bottomLeft" activeCell="K15" sqref="K15"/>
    </sheetView>
  </sheetViews>
  <sheetFormatPr defaultRowHeight="21" customHeight="1"/>
  <cols>
    <col min="1" max="1" width="9.140625" style="2"/>
    <col min="2" max="2" width="12.28515625" style="2" customWidth="1"/>
    <col min="3" max="3" width="12.28515625" style="42" customWidth="1"/>
    <col min="4" max="9" width="12.28515625" style="2" customWidth="1"/>
    <col min="10" max="10" width="13.7109375" style="2" bestFit="1" customWidth="1"/>
    <col min="11" max="12" width="12.28515625" style="2" customWidth="1"/>
    <col min="13" max="13" width="30.7109375" style="2" customWidth="1"/>
    <col min="14" max="14" width="9.140625" style="2"/>
    <col min="15" max="15" width="12.28515625" style="2" customWidth="1"/>
    <col min="16" max="16" width="12.28515625" style="42" customWidth="1"/>
    <col min="17" max="22" width="12.28515625" style="2" customWidth="1"/>
    <col min="23" max="23" width="13.7109375" style="2" bestFit="1" customWidth="1"/>
    <col min="24" max="25" width="12.28515625" style="2" customWidth="1"/>
    <col min="26" max="26" width="30.85546875" style="2" customWidth="1"/>
    <col min="27" max="31" width="9.140625" style="2"/>
    <col min="32" max="32" width="7" style="42" bestFit="1" customWidth="1"/>
    <col min="33" max="33" width="10.85546875" style="2" bestFit="1" customWidth="1"/>
    <col min="34" max="34" width="7" style="42" bestFit="1" customWidth="1"/>
    <col min="35" max="35" width="10.85546875" style="2" bestFit="1" customWidth="1"/>
    <col min="36" max="16384" width="9.140625" style="2"/>
  </cols>
  <sheetData>
    <row r="1" spans="2:35" s="1" customFormat="1" ht="21" customHeight="1" thickBot="1">
      <c r="C1" s="41"/>
      <c r="P1" s="41"/>
      <c r="AF1" s="41"/>
      <c r="AH1" s="41"/>
    </row>
    <row r="2" spans="2:35" ht="21" customHeight="1" thickBot="1">
      <c r="B2" s="83" t="s">
        <v>14</v>
      </c>
      <c r="C2" s="84"/>
      <c r="D2" s="85"/>
      <c r="E2" s="85"/>
      <c r="F2" s="85"/>
      <c r="G2" s="85"/>
      <c r="H2" s="85"/>
      <c r="I2" s="85"/>
      <c r="J2" s="85"/>
      <c r="K2" s="85"/>
      <c r="L2" s="85"/>
      <c r="M2" s="86"/>
      <c r="N2" s="37"/>
      <c r="O2" s="83" t="s">
        <v>14</v>
      </c>
      <c r="P2" s="84"/>
      <c r="Q2" s="85"/>
      <c r="R2" s="85"/>
      <c r="S2" s="85"/>
      <c r="T2" s="85"/>
      <c r="U2" s="85"/>
      <c r="V2" s="85"/>
      <c r="W2" s="85"/>
      <c r="X2" s="85"/>
      <c r="Y2" s="85"/>
      <c r="Z2" s="86"/>
      <c r="AA2" s="37"/>
    </row>
    <row r="3" spans="2:35" ht="21" customHeight="1" thickBot="1"/>
    <row r="4" spans="2:35" s="18" customFormat="1" ht="49.5" customHeight="1">
      <c r="B4" s="49" t="s">
        <v>6</v>
      </c>
      <c r="C4" s="50" t="s">
        <v>34</v>
      </c>
      <c r="D4" s="51" t="s">
        <v>9</v>
      </c>
      <c r="E4" s="51" t="s">
        <v>13</v>
      </c>
      <c r="F4" s="51" t="s">
        <v>1</v>
      </c>
      <c r="G4" s="51" t="s">
        <v>2</v>
      </c>
      <c r="H4" s="51" t="s">
        <v>3</v>
      </c>
      <c r="I4" s="51" t="s">
        <v>8</v>
      </c>
      <c r="J4" s="52" t="s">
        <v>7</v>
      </c>
      <c r="K4" s="52" t="s">
        <v>10</v>
      </c>
      <c r="L4" s="52" t="s">
        <v>11</v>
      </c>
      <c r="M4" s="53" t="s">
        <v>4</v>
      </c>
      <c r="O4" s="49" t="s">
        <v>6</v>
      </c>
      <c r="P4" s="50" t="s">
        <v>34</v>
      </c>
      <c r="Q4" s="51" t="s">
        <v>9</v>
      </c>
      <c r="R4" s="51" t="s">
        <v>13</v>
      </c>
      <c r="S4" s="51" t="s">
        <v>1</v>
      </c>
      <c r="T4" s="51" t="s">
        <v>2</v>
      </c>
      <c r="U4" s="51" t="s">
        <v>3</v>
      </c>
      <c r="V4" s="51" t="s">
        <v>8</v>
      </c>
      <c r="W4" s="52" t="s">
        <v>7</v>
      </c>
      <c r="X4" s="52" t="s">
        <v>10</v>
      </c>
      <c r="Y4" s="52" t="s">
        <v>11</v>
      </c>
      <c r="Z4" s="53" t="s">
        <v>4</v>
      </c>
      <c r="AF4" s="46" t="s">
        <v>35</v>
      </c>
      <c r="AG4" s="39" t="s">
        <v>36</v>
      </c>
      <c r="AH4" s="46" t="s">
        <v>35</v>
      </c>
      <c r="AI4" s="39" t="s">
        <v>36</v>
      </c>
    </row>
    <row r="5" spans="2:35" ht="21" customHeight="1">
      <c r="B5" s="54">
        <v>1</v>
      </c>
      <c r="C5" s="43"/>
      <c r="D5" s="22">
        <f>12*60</f>
        <v>720</v>
      </c>
      <c r="E5" s="22"/>
      <c r="F5" s="22"/>
      <c r="G5" s="22"/>
      <c r="H5" s="22"/>
      <c r="I5" s="22"/>
      <c r="J5" s="22"/>
      <c r="K5" s="22"/>
      <c r="L5" s="22">
        <f>IF(K5&gt;0,D5-K5,720)</f>
        <v>720</v>
      </c>
      <c r="M5" s="55"/>
      <c r="O5" s="54">
        <v>101</v>
      </c>
      <c r="P5" s="43"/>
      <c r="Q5" s="22">
        <f>12*60</f>
        <v>720</v>
      </c>
      <c r="R5" s="22"/>
      <c r="S5" s="22"/>
      <c r="T5" s="22"/>
      <c r="U5" s="22"/>
      <c r="V5" s="22"/>
      <c r="W5" s="22"/>
      <c r="X5" s="22"/>
      <c r="Y5" s="22">
        <f>IF(X5&gt;0,Q5-X5,720)</f>
        <v>720</v>
      </c>
      <c r="Z5" s="55"/>
      <c r="AF5" s="42">
        <f ca="1">TODAY()</f>
        <v>42479</v>
      </c>
      <c r="AG5" s="40">
        <f>IF(C5&gt;0,AF5-C5,0)</f>
        <v>0</v>
      </c>
      <c r="AH5" s="42">
        <f ca="1">TODAY()</f>
        <v>42479</v>
      </c>
      <c r="AI5" s="40">
        <f>IF(P5&gt;0,AH5-P5,0)</f>
        <v>0</v>
      </c>
    </row>
    <row r="6" spans="2:35" ht="21" customHeight="1">
      <c r="B6" s="56">
        <v>2</v>
      </c>
      <c r="C6" s="44"/>
      <c r="D6" s="23">
        <f t="shared" ref="D6:D69" si="0">12*60</f>
        <v>720</v>
      </c>
      <c r="E6" s="23"/>
      <c r="F6" s="23"/>
      <c r="G6" s="23"/>
      <c r="H6" s="23"/>
      <c r="I6" s="23"/>
      <c r="J6" s="23"/>
      <c r="K6" s="23"/>
      <c r="L6" s="23">
        <f t="shared" ref="L6:L9" si="1">IF(K6&gt;0,D6-K6,720)</f>
        <v>720</v>
      </c>
      <c r="M6" s="57"/>
      <c r="O6" s="56">
        <v>102</v>
      </c>
      <c r="P6" s="44"/>
      <c r="Q6" s="23">
        <f t="shared" ref="Q6:Q69" si="2">12*60</f>
        <v>720</v>
      </c>
      <c r="R6" s="23"/>
      <c r="S6" s="23"/>
      <c r="T6" s="23"/>
      <c r="U6" s="23"/>
      <c r="V6" s="23"/>
      <c r="W6" s="23"/>
      <c r="X6" s="23"/>
      <c r="Y6" s="23">
        <f t="shared" ref="Y6:Y7" si="3">IF(X6&gt;0,Q6-X6,720)</f>
        <v>720</v>
      </c>
      <c r="Z6" s="57"/>
      <c r="AF6" s="42">
        <f t="shared" ref="AF6:AF69" ca="1" si="4">TODAY()</f>
        <v>42479</v>
      </c>
      <c r="AG6" s="40">
        <f t="shared" ref="AG6:AG69" si="5">IF(C6&gt;0,AF6-C6,0)</f>
        <v>0</v>
      </c>
      <c r="AH6" s="42">
        <f t="shared" ref="AH6:AH69" ca="1" si="6">TODAY()</f>
        <v>42479</v>
      </c>
      <c r="AI6" s="40">
        <f t="shared" ref="AI6:AI69" si="7">IF(P6&gt;0,AH6-P6,0)</f>
        <v>0</v>
      </c>
    </row>
    <row r="7" spans="2:35" ht="21" customHeight="1">
      <c r="B7" s="54">
        <v>3</v>
      </c>
      <c r="C7" s="43"/>
      <c r="D7" s="22">
        <f t="shared" si="0"/>
        <v>720</v>
      </c>
      <c r="E7" s="22"/>
      <c r="F7" s="22"/>
      <c r="G7" s="22"/>
      <c r="H7" s="22"/>
      <c r="I7" s="22"/>
      <c r="J7" s="22"/>
      <c r="K7" s="22"/>
      <c r="L7" s="22">
        <f t="shared" si="1"/>
        <v>720</v>
      </c>
      <c r="M7" s="55"/>
      <c r="O7" s="54">
        <v>103</v>
      </c>
      <c r="P7" s="43"/>
      <c r="Q7" s="22">
        <f t="shared" si="2"/>
        <v>720</v>
      </c>
      <c r="R7" s="22"/>
      <c r="S7" s="22"/>
      <c r="T7" s="22"/>
      <c r="U7" s="22"/>
      <c r="V7" s="22"/>
      <c r="W7" s="22"/>
      <c r="X7" s="22"/>
      <c r="Y7" s="22">
        <f t="shared" si="3"/>
        <v>720</v>
      </c>
      <c r="Z7" s="55"/>
      <c r="AF7" s="42">
        <f t="shared" ca="1" si="4"/>
        <v>42479</v>
      </c>
      <c r="AG7" s="40">
        <f t="shared" si="5"/>
        <v>0</v>
      </c>
      <c r="AH7" s="42">
        <f t="shared" ca="1" si="6"/>
        <v>42479</v>
      </c>
      <c r="AI7" s="40">
        <f t="shared" si="7"/>
        <v>0</v>
      </c>
    </row>
    <row r="8" spans="2:35" ht="21" customHeight="1">
      <c r="B8" s="56">
        <v>4</v>
      </c>
      <c r="C8" s="44"/>
      <c r="D8" s="23">
        <f t="shared" si="0"/>
        <v>720</v>
      </c>
      <c r="E8" s="23"/>
      <c r="F8" s="23"/>
      <c r="G8" s="23"/>
      <c r="H8" s="23"/>
      <c r="I8" s="23"/>
      <c r="J8" s="23"/>
      <c r="K8" s="23"/>
      <c r="L8" s="23">
        <f t="shared" si="1"/>
        <v>720</v>
      </c>
      <c r="M8" s="57"/>
      <c r="O8" s="56">
        <v>104</v>
      </c>
      <c r="P8" s="44"/>
      <c r="Q8" s="23">
        <f t="shared" si="2"/>
        <v>720</v>
      </c>
      <c r="R8" s="23"/>
      <c r="S8" s="23"/>
      <c r="T8" s="23"/>
      <c r="U8" s="23"/>
      <c r="V8" s="23"/>
      <c r="W8" s="23"/>
      <c r="X8" s="23"/>
      <c r="Y8" s="23">
        <f t="shared" ref="Y8:Y71" si="8">IF(X8&gt;0,Q8-X8,720)</f>
        <v>720</v>
      </c>
      <c r="Z8" s="57"/>
      <c r="AF8" s="42">
        <f t="shared" ca="1" si="4"/>
        <v>42479</v>
      </c>
      <c r="AG8" s="40">
        <f t="shared" si="5"/>
        <v>0</v>
      </c>
      <c r="AH8" s="42">
        <f t="shared" ca="1" si="6"/>
        <v>42479</v>
      </c>
      <c r="AI8" s="40">
        <f t="shared" si="7"/>
        <v>0</v>
      </c>
    </row>
    <row r="9" spans="2:35" ht="21" customHeight="1">
      <c r="B9" s="54">
        <v>5</v>
      </c>
      <c r="C9" s="43"/>
      <c r="D9" s="22">
        <f t="shared" si="0"/>
        <v>720</v>
      </c>
      <c r="E9" s="22"/>
      <c r="F9" s="22"/>
      <c r="G9" s="22"/>
      <c r="H9" s="22"/>
      <c r="I9" s="22"/>
      <c r="J9" s="22"/>
      <c r="K9" s="22"/>
      <c r="L9" s="22">
        <f t="shared" si="1"/>
        <v>720</v>
      </c>
      <c r="M9" s="55"/>
      <c r="O9" s="54">
        <v>105</v>
      </c>
      <c r="P9" s="43"/>
      <c r="Q9" s="22">
        <f t="shared" si="2"/>
        <v>720</v>
      </c>
      <c r="R9" s="22"/>
      <c r="S9" s="22"/>
      <c r="T9" s="22"/>
      <c r="U9" s="22"/>
      <c r="V9" s="22"/>
      <c r="W9" s="22"/>
      <c r="X9" s="22"/>
      <c r="Y9" s="22">
        <f t="shared" si="8"/>
        <v>720</v>
      </c>
      <c r="Z9" s="55"/>
      <c r="AF9" s="42">
        <f t="shared" ca="1" si="4"/>
        <v>42479</v>
      </c>
      <c r="AG9" s="40">
        <f t="shared" si="5"/>
        <v>0</v>
      </c>
      <c r="AH9" s="42">
        <f t="shared" ca="1" si="6"/>
        <v>42479</v>
      </c>
      <c r="AI9" s="40">
        <f t="shared" si="7"/>
        <v>0</v>
      </c>
    </row>
    <row r="10" spans="2:35" ht="21" customHeight="1">
      <c r="B10" s="56">
        <v>6</v>
      </c>
      <c r="C10" s="44"/>
      <c r="D10" s="23">
        <f t="shared" si="0"/>
        <v>720</v>
      </c>
      <c r="E10" s="23"/>
      <c r="F10" s="23"/>
      <c r="G10" s="23"/>
      <c r="H10" s="23"/>
      <c r="I10" s="23"/>
      <c r="J10" s="23"/>
      <c r="K10" s="23"/>
      <c r="L10" s="23">
        <f t="shared" ref="L10:L73" si="9">IF(K10&gt;0,D10-K10,720)</f>
        <v>720</v>
      </c>
      <c r="M10" s="57"/>
      <c r="O10" s="56">
        <v>106</v>
      </c>
      <c r="P10" s="44"/>
      <c r="Q10" s="23">
        <f t="shared" si="2"/>
        <v>720</v>
      </c>
      <c r="R10" s="23"/>
      <c r="S10" s="23"/>
      <c r="T10" s="23"/>
      <c r="U10" s="23"/>
      <c r="V10" s="23"/>
      <c r="W10" s="23"/>
      <c r="X10" s="23"/>
      <c r="Y10" s="23">
        <f t="shared" si="8"/>
        <v>720</v>
      </c>
      <c r="Z10" s="57"/>
      <c r="AF10" s="42">
        <f t="shared" ca="1" si="4"/>
        <v>42479</v>
      </c>
      <c r="AG10" s="40">
        <f t="shared" si="5"/>
        <v>0</v>
      </c>
      <c r="AH10" s="42">
        <f t="shared" ca="1" si="6"/>
        <v>42479</v>
      </c>
      <c r="AI10" s="40">
        <f t="shared" si="7"/>
        <v>0</v>
      </c>
    </row>
    <row r="11" spans="2:35" ht="21" customHeight="1">
      <c r="B11" s="54">
        <v>7</v>
      </c>
      <c r="C11" s="43"/>
      <c r="D11" s="22">
        <f t="shared" si="0"/>
        <v>720</v>
      </c>
      <c r="E11" s="22"/>
      <c r="F11" s="22"/>
      <c r="G11" s="22"/>
      <c r="H11" s="22"/>
      <c r="I11" s="22"/>
      <c r="J11" s="22"/>
      <c r="K11" s="22"/>
      <c r="L11" s="22">
        <f t="shared" si="9"/>
        <v>720</v>
      </c>
      <c r="M11" s="55"/>
      <c r="O11" s="54">
        <v>107</v>
      </c>
      <c r="P11" s="43"/>
      <c r="Q11" s="22">
        <f t="shared" si="2"/>
        <v>720</v>
      </c>
      <c r="R11" s="22"/>
      <c r="S11" s="22"/>
      <c r="T11" s="22"/>
      <c r="U11" s="22"/>
      <c r="V11" s="22"/>
      <c r="W11" s="22"/>
      <c r="X11" s="22"/>
      <c r="Y11" s="22">
        <f t="shared" si="8"/>
        <v>720</v>
      </c>
      <c r="Z11" s="55"/>
      <c r="AF11" s="42">
        <f t="shared" ca="1" si="4"/>
        <v>42479</v>
      </c>
      <c r="AG11" s="40">
        <f t="shared" si="5"/>
        <v>0</v>
      </c>
      <c r="AH11" s="42">
        <f t="shared" ca="1" si="6"/>
        <v>42479</v>
      </c>
      <c r="AI11" s="40">
        <f t="shared" si="7"/>
        <v>0</v>
      </c>
    </row>
    <row r="12" spans="2:35" ht="21" customHeight="1">
      <c r="B12" s="56">
        <v>8</v>
      </c>
      <c r="C12" s="44"/>
      <c r="D12" s="23">
        <f t="shared" si="0"/>
        <v>720</v>
      </c>
      <c r="E12" s="23"/>
      <c r="F12" s="23"/>
      <c r="G12" s="23"/>
      <c r="H12" s="23"/>
      <c r="I12" s="23"/>
      <c r="J12" s="23"/>
      <c r="K12" s="23"/>
      <c r="L12" s="23">
        <f t="shared" si="9"/>
        <v>720</v>
      </c>
      <c r="M12" s="57"/>
      <c r="O12" s="56">
        <v>108</v>
      </c>
      <c r="P12" s="44"/>
      <c r="Q12" s="23">
        <f t="shared" si="2"/>
        <v>720</v>
      </c>
      <c r="R12" s="23"/>
      <c r="S12" s="23"/>
      <c r="T12" s="23"/>
      <c r="U12" s="23"/>
      <c r="V12" s="23"/>
      <c r="W12" s="23"/>
      <c r="X12" s="23"/>
      <c r="Y12" s="23">
        <f t="shared" si="8"/>
        <v>720</v>
      </c>
      <c r="Z12" s="57"/>
      <c r="AF12" s="42">
        <f t="shared" ca="1" si="4"/>
        <v>42479</v>
      </c>
      <c r="AG12" s="40">
        <f t="shared" si="5"/>
        <v>0</v>
      </c>
      <c r="AH12" s="42">
        <f t="shared" ca="1" si="6"/>
        <v>42479</v>
      </c>
      <c r="AI12" s="40">
        <f t="shared" si="7"/>
        <v>0</v>
      </c>
    </row>
    <row r="13" spans="2:35" ht="21" customHeight="1">
      <c r="B13" s="54">
        <v>9</v>
      </c>
      <c r="C13" s="43"/>
      <c r="D13" s="22">
        <f t="shared" si="0"/>
        <v>720</v>
      </c>
      <c r="E13" s="22"/>
      <c r="F13" s="22"/>
      <c r="G13" s="22"/>
      <c r="H13" s="22"/>
      <c r="I13" s="22"/>
      <c r="J13" s="22"/>
      <c r="K13" s="22"/>
      <c r="L13" s="22">
        <f t="shared" si="9"/>
        <v>720</v>
      </c>
      <c r="M13" s="55"/>
      <c r="O13" s="54">
        <v>109</v>
      </c>
      <c r="P13" s="43"/>
      <c r="Q13" s="22">
        <f t="shared" si="2"/>
        <v>720</v>
      </c>
      <c r="R13" s="22"/>
      <c r="S13" s="22"/>
      <c r="T13" s="22"/>
      <c r="U13" s="22"/>
      <c r="V13" s="22"/>
      <c r="W13" s="22"/>
      <c r="X13" s="22"/>
      <c r="Y13" s="22">
        <f t="shared" si="8"/>
        <v>720</v>
      </c>
      <c r="Z13" s="55"/>
      <c r="AF13" s="42">
        <f t="shared" ca="1" si="4"/>
        <v>42479</v>
      </c>
      <c r="AG13" s="40">
        <f t="shared" si="5"/>
        <v>0</v>
      </c>
      <c r="AH13" s="42">
        <f t="shared" ca="1" si="6"/>
        <v>42479</v>
      </c>
      <c r="AI13" s="40">
        <f t="shared" si="7"/>
        <v>0</v>
      </c>
    </row>
    <row r="14" spans="2:35" ht="21" customHeight="1">
      <c r="B14" s="56">
        <v>10</v>
      </c>
      <c r="C14" s="44"/>
      <c r="D14" s="23">
        <f t="shared" si="0"/>
        <v>720</v>
      </c>
      <c r="E14" s="23"/>
      <c r="F14" s="23"/>
      <c r="G14" s="23"/>
      <c r="H14" s="23"/>
      <c r="I14" s="23"/>
      <c r="J14" s="23"/>
      <c r="K14" s="23"/>
      <c r="L14" s="23">
        <f t="shared" si="9"/>
        <v>720</v>
      </c>
      <c r="M14" s="57"/>
      <c r="O14" s="56">
        <v>110</v>
      </c>
      <c r="P14" s="44"/>
      <c r="Q14" s="23">
        <f t="shared" si="2"/>
        <v>720</v>
      </c>
      <c r="R14" s="23"/>
      <c r="S14" s="23"/>
      <c r="T14" s="23"/>
      <c r="U14" s="23"/>
      <c r="V14" s="23"/>
      <c r="W14" s="23"/>
      <c r="X14" s="23"/>
      <c r="Y14" s="23">
        <f t="shared" si="8"/>
        <v>720</v>
      </c>
      <c r="Z14" s="57"/>
      <c r="AF14" s="42">
        <f t="shared" ca="1" si="4"/>
        <v>42479</v>
      </c>
      <c r="AG14" s="40">
        <f t="shared" si="5"/>
        <v>0</v>
      </c>
      <c r="AH14" s="42">
        <f t="shared" ca="1" si="6"/>
        <v>42479</v>
      </c>
      <c r="AI14" s="40">
        <f t="shared" si="7"/>
        <v>0</v>
      </c>
    </row>
    <row r="15" spans="2:35" ht="21" customHeight="1">
      <c r="B15" s="54">
        <v>11</v>
      </c>
      <c r="C15" s="43"/>
      <c r="D15" s="22">
        <f t="shared" si="0"/>
        <v>720</v>
      </c>
      <c r="E15" s="22"/>
      <c r="F15" s="22"/>
      <c r="G15" s="22"/>
      <c r="H15" s="22"/>
      <c r="I15" s="22"/>
      <c r="J15" s="22"/>
      <c r="K15" s="22"/>
      <c r="L15" s="22">
        <f t="shared" si="9"/>
        <v>720</v>
      </c>
      <c r="M15" s="55"/>
      <c r="O15" s="54">
        <v>111</v>
      </c>
      <c r="P15" s="43"/>
      <c r="Q15" s="22">
        <f t="shared" si="2"/>
        <v>720</v>
      </c>
      <c r="R15" s="22"/>
      <c r="S15" s="22"/>
      <c r="T15" s="22"/>
      <c r="U15" s="22"/>
      <c r="V15" s="22"/>
      <c r="W15" s="22"/>
      <c r="X15" s="22"/>
      <c r="Y15" s="22">
        <f t="shared" si="8"/>
        <v>720</v>
      </c>
      <c r="Z15" s="55"/>
      <c r="AF15" s="42">
        <f t="shared" ca="1" si="4"/>
        <v>42479</v>
      </c>
      <c r="AG15" s="40">
        <f t="shared" si="5"/>
        <v>0</v>
      </c>
      <c r="AH15" s="42">
        <f t="shared" ca="1" si="6"/>
        <v>42479</v>
      </c>
      <c r="AI15" s="40">
        <f t="shared" si="7"/>
        <v>0</v>
      </c>
    </row>
    <row r="16" spans="2:35" ht="21" customHeight="1">
      <c r="B16" s="56">
        <v>12</v>
      </c>
      <c r="C16" s="44"/>
      <c r="D16" s="23">
        <f t="shared" si="0"/>
        <v>720</v>
      </c>
      <c r="E16" s="23"/>
      <c r="F16" s="23"/>
      <c r="G16" s="23"/>
      <c r="H16" s="23"/>
      <c r="I16" s="23"/>
      <c r="J16" s="23"/>
      <c r="K16" s="23"/>
      <c r="L16" s="23">
        <f t="shared" si="9"/>
        <v>720</v>
      </c>
      <c r="M16" s="57"/>
      <c r="O16" s="56">
        <v>112</v>
      </c>
      <c r="P16" s="44"/>
      <c r="Q16" s="23">
        <f t="shared" si="2"/>
        <v>720</v>
      </c>
      <c r="R16" s="23"/>
      <c r="S16" s="23"/>
      <c r="T16" s="23"/>
      <c r="U16" s="23"/>
      <c r="V16" s="23"/>
      <c r="W16" s="23"/>
      <c r="X16" s="23"/>
      <c r="Y16" s="23">
        <f t="shared" si="8"/>
        <v>720</v>
      </c>
      <c r="Z16" s="57"/>
      <c r="AF16" s="42">
        <f t="shared" ca="1" si="4"/>
        <v>42479</v>
      </c>
      <c r="AG16" s="40">
        <f t="shared" si="5"/>
        <v>0</v>
      </c>
      <c r="AH16" s="42">
        <f t="shared" ca="1" si="6"/>
        <v>42479</v>
      </c>
      <c r="AI16" s="40">
        <f t="shared" si="7"/>
        <v>0</v>
      </c>
    </row>
    <row r="17" spans="2:35" ht="21" customHeight="1">
      <c r="B17" s="54">
        <v>13</v>
      </c>
      <c r="C17" s="43"/>
      <c r="D17" s="22">
        <f t="shared" si="0"/>
        <v>720</v>
      </c>
      <c r="E17" s="22"/>
      <c r="F17" s="22"/>
      <c r="G17" s="22"/>
      <c r="H17" s="22"/>
      <c r="I17" s="22"/>
      <c r="J17" s="22"/>
      <c r="K17" s="22"/>
      <c r="L17" s="22">
        <f t="shared" si="9"/>
        <v>720</v>
      </c>
      <c r="M17" s="55"/>
      <c r="O17" s="54">
        <v>113</v>
      </c>
      <c r="P17" s="43"/>
      <c r="Q17" s="22">
        <f t="shared" si="2"/>
        <v>720</v>
      </c>
      <c r="R17" s="22"/>
      <c r="S17" s="22"/>
      <c r="T17" s="22"/>
      <c r="U17" s="22"/>
      <c r="V17" s="22"/>
      <c r="W17" s="22"/>
      <c r="X17" s="22"/>
      <c r="Y17" s="22">
        <f t="shared" si="8"/>
        <v>720</v>
      </c>
      <c r="Z17" s="55"/>
      <c r="AF17" s="42">
        <f t="shared" ca="1" si="4"/>
        <v>42479</v>
      </c>
      <c r="AG17" s="40">
        <f t="shared" si="5"/>
        <v>0</v>
      </c>
      <c r="AH17" s="42">
        <f t="shared" ca="1" si="6"/>
        <v>42479</v>
      </c>
      <c r="AI17" s="40">
        <f t="shared" si="7"/>
        <v>0</v>
      </c>
    </row>
    <row r="18" spans="2:35" ht="21" customHeight="1">
      <c r="B18" s="56">
        <v>14</v>
      </c>
      <c r="C18" s="44"/>
      <c r="D18" s="23">
        <f t="shared" si="0"/>
        <v>720</v>
      </c>
      <c r="E18" s="23"/>
      <c r="F18" s="23"/>
      <c r="G18" s="23"/>
      <c r="H18" s="23"/>
      <c r="I18" s="23"/>
      <c r="J18" s="23"/>
      <c r="K18" s="23"/>
      <c r="L18" s="23">
        <f t="shared" si="9"/>
        <v>720</v>
      </c>
      <c r="M18" s="57"/>
      <c r="O18" s="56">
        <v>114</v>
      </c>
      <c r="P18" s="44"/>
      <c r="Q18" s="23">
        <f t="shared" si="2"/>
        <v>720</v>
      </c>
      <c r="R18" s="23"/>
      <c r="S18" s="23"/>
      <c r="T18" s="23"/>
      <c r="U18" s="23"/>
      <c r="V18" s="23"/>
      <c r="W18" s="23"/>
      <c r="X18" s="23"/>
      <c r="Y18" s="23">
        <f t="shared" si="8"/>
        <v>720</v>
      </c>
      <c r="Z18" s="57"/>
      <c r="AF18" s="42">
        <f t="shared" ca="1" si="4"/>
        <v>42479</v>
      </c>
      <c r="AG18" s="40">
        <f t="shared" si="5"/>
        <v>0</v>
      </c>
      <c r="AH18" s="42">
        <f t="shared" ca="1" si="6"/>
        <v>42479</v>
      </c>
      <c r="AI18" s="40">
        <f t="shared" si="7"/>
        <v>0</v>
      </c>
    </row>
    <row r="19" spans="2:35" ht="21" customHeight="1">
      <c r="B19" s="54">
        <v>15</v>
      </c>
      <c r="C19" s="43"/>
      <c r="D19" s="22">
        <f t="shared" si="0"/>
        <v>720</v>
      </c>
      <c r="E19" s="22"/>
      <c r="F19" s="22"/>
      <c r="G19" s="22"/>
      <c r="H19" s="22"/>
      <c r="I19" s="22"/>
      <c r="J19" s="22"/>
      <c r="K19" s="22"/>
      <c r="L19" s="22">
        <f t="shared" si="9"/>
        <v>720</v>
      </c>
      <c r="M19" s="55"/>
      <c r="O19" s="54">
        <v>115</v>
      </c>
      <c r="P19" s="43"/>
      <c r="Q19" s="22">
        <f t="shared" si="2"/>
        <v>720</v>
      </c>
      <c r="R19" s="22"/>
      <c r="S19" s="22"/>
      <c r="T19" s="22"/>
      <c r="U19" s="22"/>
      <c r="V19" s="22"/>
      <c r="W19" s="22"/>
      <c r="X19" s="22"/>
      <c r="Y19" s="22">
        <f t="shared" si="8"/>
        <v>720</v>
      </c>
      <c r="Z19" s="55"/>
      <c r="AF19" s="42">
        <f t="shared" ca="1" si="4"/>
        <v>42479</v>
      </c>
      <c r="AG19" s="40">
        <f t="shared" si="5"/>
        <v>0</v>
      </c>
      <c r="AH19" s="42">
        <f t="shared" ca="1" si="6"/>
        <v>42479</v>
      </c>
      <c r="AI19" s="40">
        <f t="shared" si="7"/>
        <v>0</v>
      </c>
    </row>
    <row r="20" spans="2:35" ht="21" customHeight="1">
      <c r="B20" s="56">
        <v>16</v>
      </c>
      <c r="C20" s="44"/>
      <c r="D20" s="23">
        <f t="shared" si="0"/>
        <v>720</v>
      </c>
      <c r="E20" s="23"/>
      <c r="F20" s="23"/>
      <c r="G20" s="23"/>
      <c r="H20" s="23"/>
      <c r="I20" s="23"/>
      <c r="J20" s="23"/>
      <c r="K20" s="23"/>
      <c r="L20" s="23">
        <f t="shared" si="9"/>
        <v>720</v>
      </c>
      <c r="M20" s="57"/>
      <c r="O20" s="56">
        <v>116</v>
      </c>
      <c r="P20" s="44"/>
      <c r="Q20" s="23">
        <f t="shared" si="2"/>
        <v>720</v>
      </c>
      <c r="R20" s="23"/>
      <c r="S20" s="23"/>
      <c r="T20" s="23"/>
      <c r="U20" s="23"/>
      <c r="V20" s="23"/>
      <c r="W20" s="23"/>
      <c r="X20" s="23"/>
      <c r="Y20" s="23">
        <f t="shared" si="8"/>
        <v>720</v>
      </c>
      <c r="Z20" s="57"/>
      <c r="AF20" s="42">
        <f t="shared" ca="1" si="4"/>
        <v>42479</v>
      </c>
      <c r="AG20" s="40">
        <f t="shared" si="5"/>
        <v>0</v>
      </c>
      <c r="AH20" s="42">
        <f t="shared" ca="1" si="6"/>
        <v>42479</v>
      </c>
      <c r="AI20" s="40">
        <f t="shared" si="7"/>
        <v>0</v>
      </c>
    </row>
    <row r="21" spans="2:35" ht="21" customHeight="1">
      <c r="B21" s="54">
        <v>17</v>
      </c>
      <c r="C21" s="43"/>
      <c r="D21" s="22">
        <f t="shared" si="0"/>
        <v>720</v>
      </c>
      <c r="E21" s="22"/>
      <c r="F21" s="22"/>
      <c r="G21" s="22"/>
      <c r="H21" s="22"/>
      <c r="I21" s="22"/>
      <c r="J21" s="22"/>
      <c r="K21" s="22"/>
      <c r="L21" s="22">
        <f t="shared" si="9"/>
        <v>720</v>
      </c>
      <c r="M21" s="55"/>
      <c r="O21" s="54">
        <v>117</v>
      </c>
      <c r="P21" s="43"/>
      <c r="Q21" s="22">
        <f t="shared" si="2"/>
        <v>720</v>
      </c>
      <c r="R21" s="22"/>
      <c r="S21" s="22"/>
      <c r="T21" s="22"/>
      <c r="U21" s="22"/>
      <c r="V21" s="22"/>
      <c r="W21" s="22"/>
      <c r="X21" s="22"/>
      <c r="Y21" s="22">
        <f t="shared" si="8"/>
        <v>720</v>
      </c>
      <c r="Z21" s="55"/>
      <c r="AF21" s="42">
        <f t="shared" ca="1" si="4"/>
        <v>42479</v>
      </c>
      <c r="AG21" s="40">
        <f t="shared" si="5"/>
        <v>0</v>
      </c>
      <c r="AH21" s="42">
        <f t="shared" ca="1" si="6"/>
        <v>42479</v>
      </c>
      <c r="AI21" s="40">
        <f t="shared" si="7"/>
        <v>0</v>
      </c>
    </row>
    <row r="22" spans="2:35" ht="21" customHeight="1">
      <c r="B22" s="56">
        <v>18</v>
      </c>
      <c r="C22" s="44"/>
      <c r="D22" s="23">
        <f t="shared" si="0"/>
        <v>720</v>
      </c>
      <c r="E22" s="23"/>
      <c r="F22" s="23"/>
      <c r="G22" s="23"/>
      <c r="H22" s="23"/>
      <c r="I22" s="23"/>
      <c r="J22" s="23"/>
      <c r="K22" s="23"/>
      <c r="L22" s="23">
        <f t="shared" si="9"/>
        <v>720</v>
      </c>
      <c r="M22" s="57"/>
      <c r="O22" s="56">
        <v>118</v>
      </c>
      <c r="P22" s="44"/>
      <c r="Q22" s="23">
        <f t="shared" si="2"/>
        <v>720</v>
      </c>
      <c r="R22" s="23"/>
      <c r="S22" s="23"/>
      <c r="T22" s="23"/>
      <c r="U22" s="23"/>
      <c r="V22" s="23"/>
      <c r="W22" s="23"/>
      <c r="X22" s="23"/>
      <c r="Y22" s="23">
        <f t="shared" si="8"/>
        <v>720</v>
      </c>
      <c r="Z22" s="57"/>
      <c r="AF22" s="42">
        <f t="shared" ca="1" si="4"/>
        <v>42479</v>
      </c>
      <c r="AG22" s="40">
        <f t="shared" si="5"/>
        <v>0</v>
      </c>
      <c r="AH22" s="42">
        <f t="shared" ca="1" si="6"/>
        <v>42479</v>
      </c>
      <c r="AI22" s="40">
        <f t="shared" si="7"/>
        <v>0</v>
      </c>
    </row>
    <row r="23" spans="2:35" ht="21" customHeight="1">
      <c r="B23" s="54">
        <v>19</v>
      </c>
      <c r="C23" s="43"/>
      <c r="D23" s="22">
        <f t="shared" si="0"/>
        <v>720</v>
      </c>
      <c r="E23" s="22"/>
      <c r="F23" s="22"/>
      <c r="G23" s="22"/>
      <c r="H23" s="22"/>
      <c r="I23" s="22"/>
      <c r="J23" s="22"/>
      <c r="K23" s="22"/>
      <c r="L23" s="22">
        <f t="shared" si="9"/>
        <v>720</v>
      </c>
      <c r="M23" s="55"/>
      <c r="O23" s="54">
        <v>119</v>
      </c>
      <c r="P23" s="43"/>
      <c r="Q23" s="22">
        <f t="shared" si="2"/>
        <v>720</v>
      </c>
      <c r="R23" s="22"/>
      <c r="S23" s="22"/>
      <c r="T23" s="22"/>
      <c r="U23" s="22"/>
      <c r="V23" s="22"/>
      <c r="W23" s="22"/>
      <c r="X23" s="22"/>
      <c r="Y23" s="22">
        <f t="shared" si="8"/>
        <v>720</v>
      </c>
      <c r="Z23" s="55"/>
      <c r="AF23" s="42">
        <f t="shared" ca="1" si="4"/>
        <v>42479</v>
      </c>
      <c r="AG23" s="40">
        <f t="shared" si="5"/>
        <v>0</v>
      </c>
      <c r="AH23" s="42">
        <f t="shared" ca="1" si="6"/>
        <v>42479</v>
      </c>
      <c r="AI23" s="40">
        <f t="shared" si="7"/>
        <v>0</v>
      </c>
    </row>
    <row r="24" spans="2:35" ht="21" customHeight="1">
      <c r="B24" s="56">
        <v>20</v>
      </c>
      <c r="C24" s="44"/>
      <c r="D24" s="23">
        <f t="shared" si="0"/>
        <v>720</v>
      </c>
      <c r="E24" s="23"/>
      <c r="F24" s="23"/>
      <c r="G24" s="23"/>
      <c r="H24" s="23"/>
      <c r="I24" s="23"/>
      <c r="J24" s="23"/>
      <c r="K24" s="23"/>
      <c r="L24" s="23">
        <f t="shared" si="9"/>
        <v>720</v>
      </c>
      <c r="M24" s="57"/>
      <c r="O24" s="56">
        <v>120</v>
      </c>
      <c r="P24" s="44"/>
      <c r="Q24" s="23">
        <f t="shared" si="2"/>
        <v>720</v>
      </c>
      <c r="R24" s="23"/>
      <c r="S24" s="23"/>
      <c r="T24" s="23"/>
      <c r="U24" s="23"/>
      <c r="V24" s="23"/>
      <c r="W24" s="23"/>
      <c r="X24" s="23"/>
      <c r="Y24" s="23">
        <f t="shared" si="8"/>
        <v>720</v>
      </c>
      <c r="Z24" s="57"/>
      <c r="AF24" s="42">
        <f t="shared" ca="1" si="4"/>
        <v>42479</v>
      </c>
      <c r="AG24" s="40">
        <f t="shared" si="5"/>
        <v>0</v>
      </c>
      <c r="AH24" s="42">
        <f t="shared" ca="1" si="6"/>
        <v>42479</v>
      </c>
      <c r="AI24" s="40">
        <f t="shared" si="7"/>
        <v>0</v>
      </c>
    </row>
    <row r="25" spans="2:35" ht="21" customHeight="1">
      <c r="B25" s="54">
        <v>21</v>
      </c>
      <c r="C25" s="43"/>
      <c r="D25" s="22">
        <f t="shared" si="0"/>
        <v>720</v>
      </c>
      <c r="E25" s="22"/>
      <c r="F25" s="22"/>
      <c r="G25" s="22"/>
      <c r="H25" s="22"/>
      <c r="I25" s="22"/>
      <c r="J25" s="22"/>
      <c r="K25" s="22"/>
      <c r="L25" s="22">
        <f t="shared" si="9"/>
        <v>720</v>
      </c>
      <c r="M25" s="55"/>
      <c r="O25" s="54">
        <v>121</v>
      </c>
      <c r="P25" s="43"/>
      <c r="Q25" s="22">
        <f t="shared" si="2"/>
        <v>720</v>
      </c>
      <c r="R25" s="22"/>
      <c r="S25" s="22"/>
      <c r="T25" s="22"/>
      <c r="U25" s="22"/>
      <c r="V25" s="22"/>
      <c r="W25" s="22"/>
      <c r="X25" s="22"/>
      <c r="Y25" s="22">
        <f t="shared" si="8"/>
        <v>720</v>
      </c>
      <c r="Z25" s="55"/>
      <c r="AF25" s="42">
        <f t="shared" ca="1" si="4"/>
        <v>42479</v>
      </c>
      <c r="AG25" s="40">
        <f t="shared" si="5"/>
        <v>0</v>
      </c>
      <c r="AH25" s="42">
        <f t="shared" ca="1" si="6"/>
        <v>42479</v>
      </c>
      <c r="AI25" s="40">
        <f t="shared" si="7"/>
        <v>0</v>
      </c>
    </row>
    <row r="26" spans="2:35" ht="21" customHeight="1">
      <c r="B26" s="56">
        <v>22</v>
      </c>
      <c r="C26" s="44"/>
      <c r="D26" s="23">
        <f t="shared" si="0"/>
        <v>720</v>
      </c>
      <c r="E26" s="23"/>
      <c r="F26" s="23"/>
      <c r="G26" s="23"/>
      <c r="H26" s="23"/>
      <c r="I26" s="23"/>
      <c r="J26" s="23"/>
      <c r="K26" s="23"/>
      <c r="L26" s="23">
        <f t="shared" si="9"/>
        <v>720</v>
      </c>
      <c r="M26" s="57"/>
      <c r="O26" s="56">
        <v>122</v>
      </c>
      <c r="P26" s="44"/>
      <c r="Q26" s="23">
        <f t="shared" si="2"/>
        <v>720</v>
      </c>
      <c r="R26" s="23"/>
      <c r="S26" s="23"/>
      <c r="T26" s="23"/>
      <c r="U26" s="23"/>
      <c r="V26" s="23"/>
      <c r="W26" s="23"/>
      <c r="X26" s="23"/>
      <c r="Y26" s="23">
        <f t="shared" si="8"/>
        <v>720</v>
      </c>
      <c r="Z26" s="57"/>
      <c r="AF26" s="42">
        <f t="shared" ca="1" si="4"/>
        <v>42479</v>
      </c>
      <c r="AG26" s="40">
        <f t="shared" si="5"/>
        <v>0</v>
      </c>
      <c r="AH26" s="42">
        <f t="shared" ca="1" si="6"/>
        <v>42479</v>
      </c>
      <c r="AI26" s="40">
        <f t="shared" si="7"/>
        <v>0</v>
      </c>
    </row>
    <row r="27" spans="2:35" ht="21" customHeight="1">
      <c r="B27" s="54">
        <v>23</v>
      </c>
      <c r="C27" s="43"/>
      <c r="D27" s="22">
        <f t="shared" si="0"/>
        <v>720</v>
      </c>
      <c r="E27" s="22"/>
      <c r="F27" s="22"/>
      <c r="G27" s="22"/>
      <c r="H27" s="22"/>
      <c r="I27" s="22"/>
      <c r="J27" s="22"/>
      <c r="K27" s="22"/>
      <c r="L27" s="22">
        <f t="shared" si="9"/>
        <v>720</v>
      </c>
      <c r="M27" s="55"/>
      <c r="O27" s="54">
        <v>123</v>
      </c>
      <c r="P27" s="43"/>
      <c r="Q27" s="22">
        <f t="shared" si="2"/>
        <v>720</v>
      </c>
      <c r="R27" s="22"/>
      <c r="S27" s="22"/>
      <c r="T27" s="22"/>
      <c r="U27" s="22"/>
      <c r="V27" s="22"/>
      <c r="W27" s="22"/>
      <c r="X27" s="22"/>
      <c r="Y27" s="22">
        <f t="shared" si="8"/>
        <v>720</v>
      </c>
      <c r="Z27" s="55"/>
      <c r="AF27" s="42">
        <f t="shared" ca="1" si="4"/>
        <v>42479</v>
      </c>
      <c r="AG27" s="40">
        <f t="shared" si="5"/>
        <v>0</v>
      </c>
      <c r="AH27" s="42">
        <f t="shared" ca="1" si="6"/>
        <v>42479</v>
      </c>
      <c r="AI27" s="40">
        <f t="shared" si="7"/>
        <v>0</v>
      </c>
    </row>
    <row r="28" spans="2:35" ht="21" customHeight="1">
      <c r="B28" s="56">
        <v>24</v>
      </c>
      <c r="C28" s="44"/>
      <c r="D28" s="23">
        <f t="shared" si="0"/>
        <v>720</v>
      </c>
      <c r="E28" s="23"/>
      <c r="F28" s="23"/>
      <c r="G28" s="23"/>
      <c r="H28" s="23"/>
      <c r="I28" s="23"/>
      <c r="J28" s="23"/>
      <c r="K28" s="23"/>
      <c r="L28" s="23">
        <f t="shared" si="9"/>
        <v>720</v>
      </c>
      <c r="M28" s="57"/>
      <c r="O28" s="56">
        <v>124</v>
      </c>
      <c r="P28" s="44"/>
      <c r="Q28" s="23">
        <f t="shared" si="2"/>
        <v>720</v>
      </c>
      <c r="R28" s="23"/>
      <c r="S28" s="23"/>
      <c r="T28" s="23"/>
      <c r="U28" s="23"/>
      <c r="V28" s="23"/>
      <c r="W28" s="23"/>
      <c r="X28" s="23"/>
      <c r="Y28" s="23">
        <f t="shared" si="8"/>
        <v>720</v>
      </c>
      <c r="Z28" s="57"/>
      <c r="AF28" s="42">
        <f t="shared" ca="1" si="4"/>
        <v>42479</v>
      </c>
      <c r="AG28" s="40">
        <f t="shared" si="5"/>
        <v>0</v>
      </c>
      <c r="AH28" s="42">
        <f t="shared" ca="1" si="6"/>
        <v>42479</v>
      </c>
      <c r="AI28" s="40">
        <f t="shared" si="7"/>
        <v>0</v>
      </c>
    </row>
    <row r="29" spans="2:35" ht="21" customHeight="1">
      <c r="B29" s="54">
        <v>25</v>
      </c>
      <c r="C29" s="43"/>
      <c r="D29" s="22">
        <f t="shared" si="0"/>
        <v>720</v>
      </c>
      <c r="E29" s="22"/>
      <c r="F29" s="22"/>
      <c r="G29" s="22"/>
      <c r="H29" s="22"/>
      <c r="I29" s="22"/>
      <c r="J29" s="22"/>
      <c r="K29" s="22"/>
      <c r="L29" s="22">
        <f t="shared" si="9"/>
        <v>720</v>
      </c>
      <c r="M29" s="55"/>
      <c r="O29" s="54">
        <v>125</v>
      </c>
      <c r="P29" s="43"/>
      <c r="Q29" s="22">
        <f t="shared" si="2"/>
        <v>720</v>
      </c>
      <c r="R29" s="22"/>
      <c r="S29" s="22"/>
      <c r="T29" s="22"/>
      <c r="U29" s="22"/>
      <c r="V29" s="22"/>
      <c r="W29" s="22"/>
      <c r="X29" s="22"/>
      <c r="Y29" s="22">
        <f t="shared" si="8"/>
        <v>720</v>
      </c>
      <c r="Z29" s="55"/>
      <c r="AF29" s="42">
        <f t="shared" ca="1" si="4"/>
        <v>42479</v>
      </c>
      <c r="AG29" s="40">
        <f t="shared" si="5"/>
        <v>0</v>
      </c>
      <c r="AH29" s="42">
        <f t="shared" ca="1" si="6"/>
        <v>42479</v>
      </c>
      <c r="AI29" s="40">
        <f t="shared" si="7"/>
        <v>0</v>
      </c>
    </row>
    <row r="30" spans="2:35" ht="21" customHeight="1">
      <c r="B30" s="56">
        <v>26</v>
      </c>
      <c r="C30" s="44"/>
      <c r="D30" s="23">
        <f t="shared" si="0"/>
        <v>720</v>
      </c>
      <c r="E30" s="23"/>
      <c r="F30" s="23"/>
      <c r="G30" s="23"/>
      <c r="H30" s="23"/>
      <c r="I30" s="23"/>
      <c r="J30" s="23"/>
      <c r="K30" s="23"/>
      <c r="L30" s="23">
        <f t="shared" si="9"/>
        <v>720</v>
      </c>
      <c r="M30" s="57"/>
      <c r="O30" s="56">
        <v>126</v>
      </c>
      <c r="P30" s="44"/>
      <c r="Q30" s="23">
        <f t="shared" si="2"/>
        <v>720</v>
      </c>
      <c r="R30" s="23"/>
      <c r="S30" s="23"/>
      <c r="T30" s="23"/>
      <c r="U30" s="23"/>
      <c r="V30" s="23"/>
      <c r="W30" s="23"/>
      <c r="X30" s="23"/>
      <c r="Y30" s="23">
        <f t="shared" si="8"/>
        <v>720</v>
      </c>
      <c r="Z30" s="57"/>
      <c r="AF30" s="42">
        <f t="shared" ca="1" si="4"/>
        <v>42479</v>
      </c>
      <c r="AG30" s="40">
        <f t="shared" si="5"/>
        <v>0</v>
      </c>
      <c r="AH30" s="42">
        <f t="shared" ca="1" si="6"/>
        <v>42479</v>
      </c>
      <c r="AI30" s="40">
        <f t="shared" si="7"/>
        <v>0</v>
      </c>
    </row>
    <row r="31" spans="2:35" ht="21" customHeight="1">
      <c r="B31" s="54">
        <v>27</v>
      </c>
      <c r="C31" s="43"/>
      <c r="D31" s="22">
        <f t="shared" si="0"/>
        <v>720</v>
      </c>
      <c r="E31" s="22"/>
      <c r="F31" s="22"/>
      <c r="G31" s="22"/>
      <c r="H31" s="22"/>
      <c r="I31" s="22"/>
      <c r="J31" s="22"/>
      <c r="K31" s="22"/>
      <c r="L31" s="22">
        <f t="shared" si="9"/>
        <v>720</v>
      </c>
      <c r="M31" s="55"/>
      <c r="O31" s="54">
        <v>127</v>
      </c>
      <c r="P31" s="43"/>
      <c r="Q31" s="22">
        <f t="shared" si="2"/>
        <v>720</v>
      </c>
      <c r="R31" s="22"/>
      <c r="S31" s="22"/>
      <c r="T31" s="22"/>
      <c r="U31" s="22"/>
      <c r="V31" s="22"/>
      <c r="W31" s="22"/>
      <c r="X31" s="22"/>
      <c r="Y31" s="22">
        <f t="shared" si="8"/>
        <v>720</v>
      </c>
      <c r="Z31" s="55"/>
      <c r="AF31" s="42">
        <f t="shared" ca="1" si="4"/>
        <v>42479</v>
      </c>
      <c r="AG31" s="40">
        <f t="shared" si="5"/>
        <v>0</v>
      </c>
      <c r="AH31" s="42">
        <f t="shared" ca="1" si="6"/>
        <v>42479</v>
      </c>
      <c r="AI31" s="40">
        <f t="shared" si="7"/>
        <v>0</v>
      </c>
    </row>
    <row r="32" spans="2:35" ht="21" customHeight="1">
      <c r="B32" s="56">
        <v>28</v>
      </c>
      <c r="C32" s="44"/>
      <c r="D32" s="23">
        <f t="shared" si="0"/>
        <v>720</v>
      </c>
      <c r="E32" s="23"/>
      <c r="F32" s="23"/>
      <c r="G32" s="23"/>
      <c r="H32" s="23"/>
      <c r="I32" s="23"/>
      <c r="J32" s="23"/>
      <c r="K32" s="23"/>
      <c r="L32" s="23">
        <f t="shared" si="9"/>
        <v>720</v>
      </c>
      <c r="M32" s="57"/>
      <c r="O32" s="56">
        <v>128</v>
      </c>
      <c r="P32" s="44"/>
      <c r="Q32" s="23">
        <f t="shared" si="2"/>
        <v>720</v>
      </c>
      <c r="R32" s="23"/>
      <c r="S32" s="23"/>
      <c r="T32" s="23"/>
      <c r="U32" s="23"/>
      <c r="V32" s="23"/>
      <c r="W32" s="23"/>
      <c r="X32" s="23"/>
      <c r="Y32" s="23">
        <f t="shared" si="8"/>
        <v>720</v>
      </c>
      <c r="Z32" s="57"/>
      <c r="AF32" s="42">
        <f t="shared" ca="1" si="4"/>
        <v>42479</v>
      </c>
      <c r="AG32" s="40">
        <f t="shared" si="5"/>
        <v>0</v>
      </c>
      <c r="AH32" s="42">
        <f t="shared" ca="1" si="6"/>
        <v>42479</v>
      </c>
      <c r="AI32" s="40">
        <f t="shared" si="7"/>
        <v>0</v>
      </c>
    </row>
    <row r="33" spans="1:35" ht="21" customHeight="1">
      <c r="B33" s="54">
        <v>29</v>
      </c>
      <c r="C33" s="43"/>
      <c r="D33" s="22">
        <f t="shared" si="0"/>
        <v>720</v>
      </c>
      <c r="E33" s="22"/>
      <c r="F33" s="22"/>
      <c r="G33" s="22"/>
      <c r="H33" s="22"/>
      <c r="I33" s="22"/>
      <c r="J33" s="22"/>
      <c r="K33" s="22"/>
      <c r="L33" s="22">
        <f t="shared" si="9"/>
        <v>720</v>
      </c>
      <c r="M33" s="55"/>
      <c r="O33" s="54">
        <v>129</v>
      </c>
      <c r="P33" s="43"/>
      <c r="Q33" s="22">
        <f t="shared" si="2"/>
        <v>720</v>
      </c>
      <c r="R33" s="22"/>
      <c r="S33" s="22"/>
      <c r="T33" s="22"/>
      <c r="U33" s="22"/>
      <c r="V33" s="22"/>
      <c r="W33" s="22"/>
      <c r="X33" s="22"/>
      <c r="Y33" s="22">
        <f t="shared" si="8"/>
        <v>720</v>
      </c>
      <c r="Z33" s="55"/>
      <c r="AF33" s="42">
        <f t="shared" ca="1" si="4"/>
        <v>42479</v>
      </c>
      <c r="AG33" s="40">
        <f t="shared" si="5"/>
        <v>0</v>
      </c>
      <c r="AH33" s="42">
        <f t="shared" ca="1" si="6"/>
        <v>42479</v>
      </c>
      <c r="AI33" s="40">
        <f t="shared" si="7"/>
        <v>0</v>
      </c>
    </row>
    <row r="34" spans="1:35" ht="21" customHeight="1">
      <c r="B34" s="56">
        <v>30</v>
      </c>
      <c r="C34" s="44"/>
      <c r="D34" s="23">
        <f t="shared" si="0"/>
        <v>720</v>
      </c>
      <c r="E34" s="23"/>
      <c r="F34" s="23"/>
      <c r="G34" s="23"/>
      <c r="H34" s="23"/>
      <c r="I34" s="23"/>
      <c r="J34" s="23"/>
      <c r="K34" s="23"/>
      <c r="L34" s="23">
        <f t="shared" si="9"/>
        <v>720</v>
      </c>
      <c r="M34" s="57"/>
      <c r="O34" s="56">
        <v>130</v>
      </c>
      <c r="P34" s="44"/>
      <c r="Q34" s="23">
        <f t="shared" si="2"/>
        <v>720</v>
      </c>
      <c r="R34" s="23"/>
      <c r="S34" s="23"/>
      <c r="T34" s="23"/>
      <c r="U34" s="23"/>
      <c r="V34" s="23"/>
      <c r="W34" s="23"/>
      <c r="X34" s="23"/>
      <c r="Y34" s="23">
        <f t="shared" si="8"/>
        <v>720</v>
      </c>
      <c r="Z34" s="57"/>
      <c r="AF34" s="42">
        <f t="shared" ca="1" si="4"/>
        <v>42479</v>
      </c>
      <c r="AG34" s="40">
        <f t="shared" si="5"/>
        <v>0</v>
      </c>
      <c r="AH34" s="42">
        <f t="shared" ca="1" si="6"/>
        <v>42479</v>
      </c>
      <c r="AI34" s="40">
        <f t="shared" si="7"/>
        <v>0</v>
      </c>
    </row>
    <row r="35" spans="1:35" ht="21" customHeight="1">
      <c r="B35" s="54">
        <v>31</v>
      </c>
      <c r="C35" s="43"/>
      <c r="D35" s="22">
        <f t="shared" si="0"/>
        <v>720</v>
      </c>
      <c r="E35" s="22"/>
      <c r="F35" s="22"/>
      <c r="G35" s="22"/>
      <c r="H35" s="22"/>
      <c r="I35" s="22"/>
      <c r="J35" s="22"/>
      <c r="K35" s="22"/>
      <c r="L35" s="22">
        <f t="shared" si="9"/>
        <v>720</v>
      </c>
      <c r="M35" s="55"/>
      <c r="O35" s="54">
        <v>131</v>
      </c>
      <c r="P35" s="43"/>
      <c r="Q35" s="22">
        <f t="shared" si="2"/>
        <v>720</v>
      </c>
      <c r="R35" s="22"/>
      <c r="S35" s="22"/>
      <c r="T35" s="22"/>
      <c r="U35" s="22"/>
      <c r="V35" s="22"/>
      <c r="W35" s="22"/>
      <c r="X35" s="22"/>
      <c r="Y35" s="22">
        <f t="shared" si="8"/>
        <v>720</v>
      </c>
      <c r="Z35" s="55"/>
      <c r="AF35" s="42">
        <f t="shared" ca="1" si="4"/>
        <v>42479</v>
      </c>
      <c r="AG35" s="40">
        <f t="shared" si="5"/>
        <v>0</v>
      </c>
      <c r="AH35" s="42">
        <f t="shared" ca="1" si="6"/>
        <v>42479</v>
      </c>
      <c r="AI35" s="40">
        <f t="shared" si="7"/>
        <v>0</v>
      </c>
    </row>
    <row r="36" spans="1:35" ht="21" customHeight="1">
      <c r="B36" s="56">
        <v>32</v>
      </c>
      <c r="C36" s="44"/>
      <c r="D36" s="23">
        <f t="shared" si="0"/>
        <v>720</v>
      </c>
      <c r="E36" s="23"/>
      <c r="F36" s="23"/>
      <c r="G36" s="23"/>
      <c r="H36" s="23"/>
      <c r="I36" s="23"/>
      <c r="J36" s="23"/>
      <c r="K36" s="23"/>
      <c r="L36" s="23">
        <f t="shared" si="9"/>
        <v>720</v>
      </c>
      <c r="M36" s="57"/>
      <c r="O36" s="56">
        <v>132</v>
      </c>
      <c r="P36" s="44"/>
      <c r="Q36" s="23">
        <f t="shared" si="2"/>
        <v>720</v>
      </c>
      <c r="R36" s="23"/>
      <c r="S36" s="23"/>
      <c r="T36" s="23"/>
      <c r="U36" s="23"/>
      <c r="V36" s="23"/>
      <c r="W36" s="23"/>
      <c r="X36" s="23"/>
      <c r="Y36" s="23">
        <f t="shared" si="8"/>
        <v>720</v>
      </c>
      <c r="Z36" s="57"/>
      <c r="AF36" s="42">
        <f t="shared" ca="1" si="4"/>
        <v>42479</v>
      </c>
      <c r="AG36" s="40">
        <f t="shared" si="5"/>
        <v>0</v>
      </c>
      <c r="AH36" s="42">
        <f t="shared" ca="1" si="6"/>
        <v>42479</v>
      </c>
      <c r="AI36" s="40">
        <f t="shared" si="7"/>
        <v>0</v>
      </c>
    </row>
    <row r="37" spans="1:35" ht="21" customHeight="1">
      <c r="B37" s="54">
        <v>33</v>
      </c>
      <c r="C37" s="43"/>
      <c r="D37" s="22">
        <f t="shared" si="0"/>
        <v>720</v>
      </c>
      <c r="E37" s="22"/>
      <c r="F37" s="22"/>
      <c r="G37" s="22"/>
      <c r="H37" s="22"/>
      <c r="I37" s="22"/>
      <c r="J37" s="22"/>
      <c r="K37" s="22"/>
      <c r="L37" s="22">
        <f t="shared" si="9"/>
        <v>720</v>
      </c>
      <c r="M37" s="55"/>
      <c r="O37" s="54">
        <v>133</v>
      </c>
      <c r="P37" s="43"/>
      <c r="Q37" s="22">
        <f t="shared" si="2"/>
        <v>720</v>
      </c>
      <c r="R37" s="22"/>
      <c r="S37" s="22"/>
      <c r="T37" s="22"/>
      <c r="U37" s="22"/>
      <c r="V37" s="22"/>
      <c r="W37" s="22"/>
      <c r="X37" s="22"/>
      <c r="Y37" s="22">
        <f t="shared" si="8"/>
        <v>720</v>
      </c>
      <c r="Z37" s="55"/>
      <c r="AF37" s="42">
        <f t="shared" ca="1" si="4"/>
        <v>42479</v>
      </c>
      <c r="AG37" s="40">
        <f t="shared" si="5"/>
        <v>0</v>
      </c>
      <c r="AH37" s="42">
        <f t="shared" ca="1" si="6"/>
        <v>42479</v>
      </c>
      <c r="AI37" s="40">
        <f t="shared" si="7"/>
        <v>0</v>
      </c>
    </row>
    <row r="38" spans="1:35" ht="21" customHeight="1">
      <c r="B38" s="56">
        <v>34</v>
      </c>
      <c r="C38" s="44"/>
      <c r="D38" s="23">
        <f t="shared" si="0"/>
        <v>720</v>
      </c>
      <c r="E38" s="23"/>
      <c r="F38" s="23"/>
      <c r="G38" s="23"/>
      <c r="H38" s="23"/>
      <c r="I38" s="23"/>
      <c r="J38" s="23"/>
      <c r="K38" s="23"/>
      <c r="L38" s="23">
        <f t="shared" si="9"/>
        <v>720</v>
      </c>
      <c r="M38" s="57"/>
      <c r="O38" s="56">
        <v>134</v>
      </c>
      <c r="P38" s="44"/>
      <c r="Q38" s="23">
        <f t="shared" si="2"/>
        <v>720</v>
      </c>
      <c r="R38" s="23"/>
      <c r="S38" s="23"/>
      <c r="T38" s="23"/>
      <c r="U38" s="23"/>
      <c r="V38" s="23"/>
      <c r="W38" s="23"/>
      <c r="X38" s="23"/>
      <c r="Y38" s="23">
        <f t="shared" si="8"/>
        <v>720</v>
      </c>
      <c r="Z38" s="57"/>
      <c r="AF38" s="42">
        <f t="shared" ca="1" si="4"/>
        <v>42479</v>
      </c>
      <c r="AG38" s="40">
        <f t="shared" si="5"/>
        <v>0</v>
      </c>
      <c r="AH38" s="42">
        <f t="shared" ca="1" si="6"/>
        <v>42479</v>
      </c>
      <c r="AI38" s="40">
        <f t="shared" si="7"/>
        <v>0</v>
      </c>
    </row>
    <row r="39" spans="1:35" ht="21" customHeight="1">
      <c r="B39" s="54">
        <v>35</v>
      </c>
      <c r="C39" s="43"/>
      <c r="D39" s="22">
        <f t="shared" si="0"/>
        <v>720</v>
      </c>
      <c r="E39" s="22"/>
      <c r="F39" s="22"/>
      <c r="G39" s="22"/>
      <c r="H39" s="22"/>
      <c r="I39" s="22"/>
      <c r="J39" s="22"/>
      <c r="K39" s="22"/>
      <c r="L39" s="22">
        <f t="shared" si="9"/>
        <v>720</v>
      </c>
      <c r="M39" s="55"/>
      <c r="O39" s="54">
        <v>135</v>
      </c>
      <c r="P39" s="43"/>
      <c r="Q39" s="22">
        <f t="shared" si="2"/>
        <v>720</v>
      </c>
      <c r="R39" s="22"/>
      <c r="S39" s="22"/>
      <c r="T39" s="22"/>
      <c r="U39" s="22"/>
      <c r="V39" s="22"/>
      <c r="W39" s="22"/>
      <c r="X39" s="22"/>
      <c r="Y39" s="22">
        <f t="shared" si="8"/>
        <v>720</v>
      </c>
      <c r="Z39" s="55"/>
      <c r="AF39" s="42">
        <f t="shared" ca="1" si="4"/>
        <v>42479</v>
      </c>
      <c r="AG39" s="40">
        <f t="shared" si="5"/>
        <v>0</v>
      </c>
      <c r="AH39" s="42">
        <f t="shared" ca="1" si="6"/>
        <v>42479</v>
      </c>
      <c r="AI39" s="40">
        <f t="shared" si="7"/>
        <v>0</v>
      </c>
    </row>
    <row r="40" spans="1:35" ht="21" customHeight="1">
      <c r="B40" s="56">
        <v>36</v>
      </c>
      <c r="C40" s="44"/>
      <c r="D40" s="23">
        <f t="shared" si="0"/>
        <v>720</v>
      </c>
      <c r="E40" s="23"/>
      <c r="F40" s="23"/>
      <c r="G40" s="23"/>
      <c r="H40" s="23"/>
      <c r="I40" s="23"/>
      <c r="J40" s="23"/>
      <c r="K40" s="23"/>
      <c r="L40" s="23">
        <f t="shared" si="9"/>
        <v>720</v>
      </c>
      <c r="M40" s="57"/>
      <c r="O40" s="56">
        <v>136</v>
      </c>
      <c r="P40" s="44"/>
      <c r="Q40" s="23">
        <f t="shared" si="2"/>
        <v>720</v>
      </c>
      <c r="R40" s="23"/>
      <c r="S40" s="23"/>
      <c r="T40" s="23"/>
      <c r="U40" s="23"/>
      <c r="V40" s="23"/>
      <c r="W40" s="23"/>
      <c r="X40" s="23"/>
      <c r="Y40" s="23">
        <f t="shared" si="8"/>
        <v>720</v>
      </c>
      <c r="Z40" s="57"/>
      <c r="AF40" s="42">
        <f t="shared" ca="1" si="4"/>
        <v>42479</v>
      </c>
      <c r="AG40" s="40">
        <f t="shared" si="5"/>
        <v>0</v>
      </c>
      <c r="AH40" s="42">
        <f t="shared" ca="1" si="6"/>
        <v>42479</v>
      </c>
      <c r="AI40" s="40">
        <f t="shared" si="7"/>
        <v>0</v>
      </c>
    </row>
    <row r="41" spans="1:35" ht="21" customHeight="1">
      <c r="B41" s="54">
        <v>37</v>
      </c>
      <c r="C41" s="43"/>
      <c r="D41" s="22">
        <f t="shared" si="0"/>
        <v>720</v>
      </c>
      <c r="E41" s="22"/>
      <c r="F41" s="22"/>
      <c r="G41" s="22"/>
      <c r="H41" s="22"/>
      <c r="I41" s="22"/>
      <c r="J41" s="22"/>
      <c r="K41" s="22"/>
      <c r="L41" s="22">
        <f t="shared" si="9"/>
        <v>720</v>
      </c>
      <c r="M41" s="55"/>
      <c r="O41" s="54">
        <v>137</v>
      </c>
      <c r="P41" s="43"/>
      <c r="Q41" s="22">
        <f t="shared" si="2"/>
        <v>720</v>
      </c>
      <c r="R41" s="22"/>
      <c r="S41" s="22"/>
      <c r="T41" s="22"/>
      <c r="U41" s="22"/>
      <c r="V41" s="22"/>
      <c r="W41" s="22"/>
      <c r="X41" s="22"/>
      <c r="Y41" s="22">
        <f t="shared" si="8"/>
        <v>720</v>
      </c>
      <c r="Z41" s="55"/>
      <c r="AF41" s="42">
        <f t="shared" ca="1" si="4"/>
        <v>42479</v>
      </c>
      <c r="AG41" s="40">
        <f t="shared" si="5"/>
        <v>0</v>
      </c>
      <c r="AH41" s="42">
        <f t="shared" ca="1" si="6"/>
        <v>42479</v>
      </c>
      <c r="AI41" s="40">
        <f t="shared" si="7"/>
        <v>0</v>
      </c>
    </row>
    <row r="42" spans="1:35" ht="21" customHeight="1">
      <c r="B42" s="56">
        <v>38</v>
      </c>
      <c r="C42" s="44"/>
      <c r="D42" s="23">
        <f t="shared" si="0"/>
        <v>720</v>
      </c>
      <c r="E42" s="23"/>
      <c r="F42" s="23"/>
      <c r="G42" s="23"/>
      <c r="H42" s="23"/>
      <c r="I42" s="23"/>
      <c r="J42" s="23"/>
      <c r="K42" s="23"/>
      <c r="L42" s="23">
        <f t="shared" si="9"/>
        <v>720</v>
      </c>
      <c r="M42" s="57"/>
      <c r="O42" s="56">
        <v>138</v>
      </c>
      <c r="P42" s="44"/>
      <c r="Q42" s="23">
        <f t="shared" si="2"/>
        <v>720</v>
      </c>
      <c r="R42" s="23"/>
      <c r="S42" s="23"/>
      <c r="T42" s="23"/>
      <c r="U42" s="23"/>
      <c r="V42" s="23"/>
      <c r="W42" s="23"/>
      <c r="X42" s="23"/>
      <c r="Y42" s="23">
        <f t="shared" si="8"/>
        <v>720</v>
      </c>
      <c r="Z42" s="57"/>
      <c r="AF42" s="42">
        <f t="shared" ca="1" si="4"/>
        <v>42479</v>
      </c>
      <c r="AG42" s="40">
        <f t="shared" si="5"/>
        <v>0</v>
      </c>
      <c r="AH42" s="42">
        <f t="shared" ca="1" si="6"/>
        <v>42479</v>
      </c>
      <c r="AI42" s="40">
        <f t="shared" si="7"/>
        <v>0</v>
      </c>
    </row>
    <row r="43" spans="1:35" ht="21" customHeight="1">
      <c r="B43" s="54">
        <v>39</v>
      </c>
      <c r="C43" s="43"/>
      <c r="D43" s="22">
        <f t="shared" si="0"/>
        <v>720</v>
      </c>
      <c r="E43" s="22"/>
      <c r="F43" s="22"/>
      <c r="G43" s="22"/>
      <c r="H43" s="22"/>
      <c r="I43" s="22"/>
      <c r="J43" s="22"/>
      <c r="K43" s="22"/>
      <c r="L43" s="22">
        <f t="shared" si="9"/>
        <v>720</v>
      </c>
      <c r="M43" s="55"/>
      <c r="O43" s="54">
        <v>139</v>
      </c>
      <c r="P43" s="43"/>
      <c r="Q43" s="22">
        <f t="shared" si="2"/>
        <v>720</v>
      </c>
      <c r="R43" s="22"/>
      <c r="S43" s="22"/>
      <c r="T43" s="22"/>
      <c r="U43" s="22"/>
      <c r="V43" s="22"/>
      <c r="W43" s="22"/>
      <c r="X43" s="22"/>
      <c r="Y43" s="22">
        <f t="shared" si="8"/>
        <v>720</v>
      </c>
      <c r="Z43" s="55"/>
      <c r="AF43" s="42">
        <f t="shared" ca="1" si="4"/>
        <v>42479</v>
      </c>
      <c r="AG43" s="40">
        <f t="shared" si="5"/>
        <v>0</v>
      </c>
      <c r="AH43" s="42">
        <f t="shared" ca="1" si="6"/>
        <v>42479</v>
      </c>
      <c r="AI43" s="40">
        <f t="shared" si="7"/>
        <v>0</v>
      </c>
    </row>
    <row r="44" spans="1:35" ht="21" customHeight="1">
      <c r="A44" s="24"/>
      <c r="B44" s="56">
        <v>40</v>
      </c>
      <c r="C44" s="44"/>
      <c r="D44" s="23">
        <f t="shared" si="0"/>
        <v>720</v>
      </c>
      <c r="E44" s="23"/>
      <c r="F44" s="23"/>
      <c r="G44" s="23"/>
      <c r="H44" s="23"/>
      <c r="I44" s="23"/>
      <c r="J44" s="23"/>
      <c r="K44" s="23"/>
      <c r="L44" s="23">
        <f t="shared" si="9"/>
        <v>720</v>
      </c>
      <c r="M44" s="57"/>
      <c r="O44" s="56">
        <v>140</v>
      </c>
      <c r="P44" s="44"/>
      <c r="Q44" s="23">
        <f t="shared" si="2"/>
        <v>720</v>
      </c>
      <c r="R44" s="23"/>
      <c r="S44" s="23"/>
      <c r="T44" s="23"/>
      <c r="U44" s="23"/>
      <c r="V44" s="23"/>
      <c r="W44" s="23"/>
      <c r="X44" s="23"/>
      <c r="Y44" s="23">
        <f t="shared" si="8"/>
        <v>720</v>
      </c>
      <c r="Z44" s="57"/>
      <c r="AF44" s="42">
        <f t="shared" ca="1" si="4"/>
        <v>42479</v>
      </c>
      <c r="AG44" s="40">
        <f t="shared" si="5"/>
        <v>0</v>
      </c>
      <c r="AH44" s="42">
        <f t="shared" ca="1" si="6"/>
        <v>42479</v>
      </c>
      <c r="AI44" s="40">
        <f t="shared" si="7"/>
        <v>0</v>
      </c>
    </row>
    <row r="45" spans="1:35" ht="21" customHeight="1">
      <c r="B45" s="54">
        <v>41</v>
      </c>
      <c r="C45" s="43"/>
      <c r="D45" s="22">
        <f t="shared" si="0"/>
        <v>720</v>
      </c>
      <c r="E45" s="22"/>
      <c r="F45" s="22"/>
      <c r="G45" s="22"/>
      <c r="H45" s="22"/>
      <c r="I45" s="22"/>
      <c r="J45" s="22"/>
      <c r="K45" s="22"/>
      <c r="L45" s="22">
        <f t="shared" si="9"/>
        <v>720</v>
      </c>
      <c r="M45" s="55"/>
      <c r="O45" s="54">
        <v>141</v>
      </c>
      <c r="P45" s="43"/>
      <c r="Q45" s="22">
        <f t="shared" si="2"/>
        <v>720</v>
      </c>
      <c r="R45" s="22"/>
      <c r="S45" s="22"/>
      <c r="T45" s="22"/>
      <c r="U45" s="22"/>
      <c r="V45" s="22"/>
      <c r="W45" s="22"/>
      <c r="X45" s="22"/>
      <c r="Y45" s="22">
        <f t="shared" si="8"/>
        <v>720</v>
      </c>
      <c r="Z45" s="55"/>
      <c r="AF45" s="42">
        <f t="shared" ca="1" si="4"/>
        <v>42479</v>
      </c>
      <c r="AG45" s="40">
        <f t="shared" si="5"/>
        <v>0</v>
      </c>
      <c r="AH45" s="42">
        <f t="shared" ca="1" si="6"/>
        <v>42479</v>
      </c>
      <c r="AI45" s="40">
        <f t="shared" si="7"/>
        <v>0</v>
      </c>
    </row>
    <row r="46" spans="1:35" ht="21" customHeight="1">
      <c r="B46" s="56">
        <v>42</v>
      </c>
      <c r="C46" s="44"/>
      <c r="D46" s="23">
        <f t="shared" si="0"/>
        <v>720</v>
      </c>
      <c r="E46" s="23"/>
      <c r="F46" s="23"/>
      <c r="G46" s="23"/>
      <c r="H46" s="23"/>
      <c r="I46" s="23"/>
      <c r="J46" s="23"/>
      <c r="K46" s="23"/>
      <c r="L46" s="23">
        <f t="shared" si="9"/>
        <v>720</v>
      </c>
      <c r="M46" s="57"/>
      <c r="O46" s="56">
        <v>142</v>
      </c>
      <c r="P46" s="44"/>
      <c r="Q46" s="23">
        <f t="shared" si="2"/>
        <v>720</v>
      </c>
      <c r="R46" s="23"/>
      <c r="S46" s="23"/>
      <c r="T46" s="23"/>
      <c r="U46" s="23"/>
      <c r="V46" s="23"/>
      <c r="W46" s="23"/>
      <c r="X46" s="23"/>
      <c r="Y46" s="23">
        <f t="shared" si="8"/>
        <v>720</v>
      </c>
      <c r="Z46" s="57"/>
      <c r="AF46" s="42">
        <f t="shared" ca="1" si="4"/>
        <v>42479</v>
      </c>
      <c r="AG46" s="40">
        <f t="shared" si="5"/>
        <v>0</v>
      </c>
      <c r="AH46" s="42">
        <f t="shared" ca="1" si="6"/>
        <v>42479</v>
      </c>
      <c r="AI46" s="40">
        <f t="shared" si="7"/>
        <v>0</v>
      </c>
    </row>
    <row r="47" spans="1:35" ht="21" customHeight="1">
      <c r="B47" s="54">
        <v>43</v>
      </c>
      <c r="C47" s="43"/>
      <c r="D47" s="22">
        <f t="shared" si="0"/>
        <v>720</v>
      </c>
      <c r="E47" s="22"/>
      <c r="F47" s="22"/>
      <c r="G47" s="22"/>
      <c r="H47" s="22"/>
      <c r="I47" s="22"/>
      <c r="J47" s="22"/>
      <c r="K47" s="22"/>
      <c r="L47" s="22">
        <f t="shared" si="9"/>
        <v>720</v>
      </c>
      <c r="M47" s="55"/>
      <c r="O47" s="54">
        <v>143</v>
      </c>
      <c r="P47" s="43"/>
      <c r="Q47" s="22">
        <f t="shared" si="2"/>
        <v>720</v>
      </c>
      <c r="R47" s="22"/>
      <c r="S47" s="22"/>
      <c r="T47" s="22"/>
      <c r="U47" s="22"/>
      <c r="V47" s="22"/>
      <c r="W47" s="22"/>
      <c r="X47" s="22"/>
      <c r="Y47" s="22">
        <f t="shared" si="8"/>
        <v>720</v>
      </c>
      <c r="Z47" s="55"/>
      <c r="AF47" s="42">
        <f t="shared" ca="1" si="4"/>
        <v>42479</v>
      </c>
      <c r="AG47" s="40">
        <f t="shared" si="5"/>
        <v>0</v>
      </c>
      <c r="AH47" s="42">
        <f t="shared" ca="1" si="6"/>
        <v>42479</v>
      </c>
      <c r="AI47" s="40">
        <f t="shared" si="7"/>
        <v>0</v>
      </c>
    </row>
    <row r="48" spans="1:35" ht="21" customHeight="1">
      <c r="B48" s="56">
        <v>44</v>
      </c>
      <c r="C48" s="44"/>
      <c r="D48" s="23">
        <f t="shared" si="0"/>
        <v>720</v>
      </c>
      <c r="E48" s="23"/>
      <c r="F48" s="23"/>
      <c r="G48" s="23"/>
      <c r="H48" s="23"/>
      <c r="I48" s="23"/>
      <c r="J48" s="23"/>
      <c r="K48" s="23"/>
      <c r="L48" s="23">
        <f t="shared" si="9"/>
        <v>720</v>
      </c>
      <c r="M48" s="57"/>
      <c r="O48" s="56">
        <v>144</v>
      </c>
      <c r="P48" s="44"/>
      <c r="Q48" s="23">
        <f t="shared" si="2"/>
        <v>720</v>
      </c>
      <c r="R48" s="23"/>
      <c r="S48" s="23"/>
      <c r="T48" s="23"/>
      <c r="U48" s="23"/>
      <c r="V48" s="23"/>
      <c r="W48" s="23"/>
      <c r="X48" s="23"/>
      <c r="Y48" s="23">
        <f t="shared" si="8"/>
        <v>720</v>
      </c>
      <c r="Z48" s="57"/>
      <c r="AF48" s="42">
        <f t="shared" ca="1" si="4"/>
        <v>42479</v>
      </c>
      <c r="AG48" s="40">
        <f t="shared" si="5"/>
        <v>0</v>
      </c>
      <c r="AH48" s="42">
        <f t="shared" ca="1" si="6"/>
        <v>42479</v>
      </c>
      <c r="AI48" s="40">
        <f t="shared" si="7"/>
        <v>0</v>
      </c>
    </row>
    <row r="49" spans="2:35" ht="21" customHeight="1">
      <c r="B49" s="54">
        <v>45</v>
      </c>
      <c r="C49" s="43"/>
      <c r="D49" s="22">
        <f t="shared" si="0"/>
        <v>720</v>
      </c>
      <c r="E49" s="22"/>
      <c r="F49" s="22"/>
      <c r="G49" s="22"/>
      <c r="H49" s="22"/>
      <c r="I49" s="22"/>
      <c r="J49" s="22"/>
      <c r="K49" s="22"/>
      <c r="L49" s="22">
        <f t="shared" si="9"/>
        <v>720</v>
      </c>
      <c r="M49" s="55"/>
      <c r="O49" s="54">
        <v>145</v>
      </c>
      <c r="P49" s="43"/>
      <c r="Q49" s="22">
        <f t="shared" si="2"/>
        <v>720</v>
      </c>
      <c r="R49" s="22"/>
      <c r="S49" s="22"/>
      <c r="T49" s="22"/>
      <c r="U49" s="22"/>
      <c r="V49" s="22"/>
      <c r="W49" s="22"/>
      <c r="X49" s="22"/>
      <c r="Y49" s="22">
        <f t="shared" si="8"/>
        <v>720</v>
      </c>
      <c r="Z49" s="55"/>
      <c r="AF49" s="42">
        <f t="shared" ca="1" si="4"/>
        <v>42479</v>
      </c>
      <c r="AG49" s="40">
        <f t="shared" si="5"/>
        <v>0</v>
      </c>
      <c r="AH49" s="42">
        <f t="shared" ca="1" si="6"/>
        <v>42479</v>
      </c>
      <c r="AI49" s="40">
        <f t="shared" si="7"/>
        <v>0</v>
      </c>
    </row>
    <row r="50" spans="2:35" ht="21" customHeight="1">
      <c r="B50" s="56">
        <v>46</v>
      </c>
      <c r="C50" s="44"/>
      <c r="D50" s="23">
        <f t="shared" si="0"/>
        <v>720</v>
      </c>
      <c r="E50" s="23"/>
      <c r="F50" s="23"/>
      <c r="G50" s="23"/>
      <c r="H50" s="23"/>
      <c r="I50" s="23"/>
      <c r="J50" s="23"/>
      <c r="K50" s="23"/>
      <c r="L50" s="23">
        <f t="shared" si="9"/>
        <v>720</v>
      </c>
      <c r="M50" s="57"/>
      <c r="O50" s="56">
        <v>146</v>
      </c>
      <c r="P50" s="44"/>
      <c r="Q50" s="23">
        <f t="shared" si="2"/>
        <v>720</v>
      </c>
      <c r="R50" s="23"/>
      <c r="S50" s="23"/>
      <c r="T50" s="23"/>
      <c r="U50" s="23"/>
      <c r="V50" s="23"/>
      <c r="W50" s="23"/>
      <c r="X50" s="23"/>
      <c r="Y50" s="23">
        <f t="shared" si="8"/>
        <v>720</v>
      </c>
      <c r="Z50" s="57"/>
      <c r="AF50" s="42">
        <f t="shared" ca="1" si="4"/>
        <v>42479</v>
      </c>
      <c r="AG50" s="40">
        <f t="shared" si="5"/>
        <v>0</v>
      </c>
      <c r="AH50" s="42">
        <f t="shared" ca="1" si="6"/>
        <v>42479</v>
      </c>
      <c r="AI50" s="40">
        <f t="shared" si="7"/>
        <v>0</v>
      </c>
    </row>
    <row r="51" spans="2:35" ht="21" customHeight="1">
      <c r="B51" s="54">
        <v>47</v>
      </c>
      <c r="C51" s="43"/>
      <c r="D51" s="22">
        <f t="shared" si="0"/>
        <v>720</v>
      </c>
      <c r="E51" s="22"/>
      <c r="F51" s="22"/>
      <c r="G51" s="22"/>
      <c r="H51" s="22"/>
      <c r="I51" s="22"/>
      <c r="J51" s="22"/>
      <c r="K51" s="22"/>
      <c r="L51" s="22">
        <f t="shared" si="9"/>
        <v>720</v>
      </c>
      <c r="M51" s="55"/>
      <c r="O51" s="54">
        <v>147</v>
      </c>
      <c r="P51" s="43"/>
      <c r="Q51" s="22">
        <f t="shared" si="2"/>
        <v>720</v>
      </c>
      <c r="R51" s="22"/>
      <c r="S51" s="22"/>
      <c r="T51" s="22"/>
      <c r="U51" s="22"/>
      <c r="V51" s="22"/>
      <c r="W51" s="22"/>
      <c r="X51" s="22"/>
      <c r="Y51" s="22">
        <f t="shared" si="8"/>
        <v>720</v>
      </c>
      <c r="Z51" s="55"/>
      <c r="AF51" s="42">
        <f t="shared" ca="1" si="4"/>
        <v>42479</v>
      </c>
      <c r="AG51" s="40">
        <f t="shared" si="5"/>
        <v>0</v>
      </c>
      <c r="AH51" s="42">
        <f t="shared" ca="1" si="6"/>
        <v>42479</v>
      </c>
      <c r="AI51" s="40">
        <f t="shared" si="7"/>
        <v>0</v>
      </c>
    </row>
    <row r="52" spans="2:35" ht="21" customHeight="1">
      <c r="B52" s="56">
        <v>48</v>
      </c>
      <c r="C52" s="44"/>
      <c r="D52" s="23">
        <f t="shared" si="0"/>
        <v>720</v>
      </c>
      <c r="E52" s="23"/>
      <c r="F52" s="23"/>
      <c r="G52" s="23"/>
      <c r="H52" s="23"/>
      <c r="I52" s="23"/>
      <c r="J52" s="23"/>
      <c r="K52" s="23"/>
      <c r="L52" s="23">
        <f t="shared" si="9"/>
        <v>720</v>
      </c>
      <c r="M52" s="57"/>
      <c r="O52" s="56">
        <v>148</v>
      </c>
      <c r="P52" s="44"/>
      <c r="Q52" s="23">
        <f t="shared" si="2"/>
        <v>720</v>
      </c>
      <c r="R52" s="23"/>
      <c r="S52" s="23"/>
      <c r="T52" s="23"/>
      <c r="U52" s="23"/>
      <c r="V52" s="23"/>
      <c r="W52" s="23"/>
      <c r="X52" s="23"/>
      <c r="Y52" s="23">
        <f t="shared" si="8"/>
        <v>720</v>
      </c>
      <c r="Z52" s="57"/>
      <c r="AF52" s="42">
        <f t="shared" ca="1" si="4"/>
        <v>42479</v>
      </c>
      <c r="AG52" s="40">
        <f t="shared" si="5"/>
        <v>0</v>
      </c>
      <c r="AH52" s="42">
        <f t="shared" ca="1" si="6"/>
        <v>42479</v>
      </c>
      <c r="AI52" s="40">
        <f t="shared" si="7"/>
        <v>0</v>
      </c>
    </row>
    <row r="53" spans="2:35" ht="21" customHeight="1">
      <c r="B53" s="54">
        <v>49</v>
      </c>
      <c r="C53" s="43"/>
      <c r="D53" s="22">
        <f t="shared" si="0"/>
        <v>720</v>
      </c>
      <c r="E53" s="22"/>
      <c r="F53" s="22"/>
      <c r="G53" s="22"/>
      <c r="H53" s="22"/>
      <c r="I53" s="22"/>
      <c r="J53" s="22"/>
      <c r="K53" s="22"/>
      <c r="L53" s="22">
        <f t="shared" si="9"/>
        <v>720</v>
      </c>
      <c r="M53" s="55"/>
      <c r="O53" s="54">
        <v>149</v>
      </c>
      <c r="P53" s="43"/>
      <c r="Q53" s="22">
        <f t="shared" si="2"/>
        <v>720</v>
      </c>
      <c r="R53" s="22"/>
      <c r="S53" s="22"/>
      <c r="T53" s="22"/>
      <c r="U53" s="22"/>
      <c r="V53" s="22"/>
      <c r="W53" s="22"/>
      <c r="X53" s="22"/>
      <c r="Y53" s="22">
        <f t="shared" si="8"/>
        <v>720</v>
      </c>
      <c r="Z53" s="55"/>
      <c r="AF53" s="42">
        <f t="shared" ca="1" si="4"/>
        <v>42479</v>
      </c>
      <c r="AG53" s="40">
        <f t="shared" si="5"/>
        <v>0</v>
      </c>
      <c r="AH53" s="42">
        <f t="shared" ca="1" si="6"/>
        <v>42479</v>
      </c>
      <c r="AI53" s="40">
        <f t="shared" si="7"/>
        <v>0</v>
      </c>
    </row>
    <row r="54" spans="2:35" ht="21" customHeight="1">
      <c r="B54" s="56">
        <v>50</v>
      </c>
      <c r="C54" s="44"/>
      <c r="D54" s="23">
        <f t="shared" si="0"/>
        <v>720</v>
      </c>
      <c r="E54" s="23"/>
      <c r="F54" s="23"/>
      <c r="G54" s="23"/>
      <c r="H54" s="23"/>
      <c r="I54" s="23"/>
      <c r="J54" s="23"/>
      <c r="K54" s="23"/>
      <c r="L54" s="23">
        <f t="shared" si="9"/>
        <v>720</v>
      </c>
      <c r="M54" s="57"/>
      <c r="O54" s="56">
        <v>150</v>
      </c>
      <c r="P54" s="44"/>
      <c r="Q54" s="23">
        <f t="shared" si="2"/>
        <v>720</v>
      </c>
      <c r="R54" s="23"/>
      <c r="S54" s="23"/>
      <c r="T54" s="23"/>
      <c r="U54" s="23"/>
      <c r="V54" s="23"/>
      <c r="W54" s="23"/>
      <c r="X54" s="23"/>
      <c r="Y54" s="23">
        <f t="shared" si="8"/>
        <v>720</v>
      </c>
      <c r="Z54" s="57"/>
      <c r="AF54" s="42">
        <f t="shared" ca="1" si="4"/>
        <v>42479</v>
      </c>
      <c r="AG54" s="40">
        <f t="shared" si="5"/>
        <v>0</v>
      </c>
      <c r="AH54" s="42">
        <f t="shared" ca="1" si="6"/>
        <v>42479</v>
      </c>
      <c r="AI54" s="40">
        <f t="shared" si="7"/>
        <v>0</v>
      </c>
    </row>
    <row r="55" spans="2:35" ht="21" customHeight="1">
      <c r="B55" s="54">
        <v>51</v>
      </c>
      <c r="C55" s="43"/>
      <c r="D55" s="22">
        <f t="shared" si="0"/>
        <v>720</v>
      </c>
      <c r="E55" s="22"/>
      <c r="F55" s="22"/>
      <c r="G55" s="22"/>
      <c r="H55" s="22"/>
      <c r="I55" s="22"/>
      <c r="J55" s="22"/>
      <c r="K55" s="22"/>
      <c r="L55" s="22">
        <f t="shared" si="9"/>
        <v>720</v>
      </c>
      <c r="M55" s="55"/>
      <c r="O55" s="54">
        <v>151</v>
      </c>
      <c r="P55" s="43"/>
      <c r="Q55" s="22">
        <f t="shared" si="2"/>
        <v>720</v>
      </c>
      <c r="R55" s="22"/>
      <c r="S55" s="22"/>
      <c r="T55" s="22"/>
      <c r="U55" s="22"/>
      <c r="V55" s="22"/>
      <c r="W55" s="22"/>
      <c r="X55" s="22"/>
      <c r="Y55" s="22">
        <f t="shared" si="8"/>
        <v>720</v>
      </c>
      <c r="Z55" s="55"/>
      <c r="AF55" s="42">
        <f t="shared" ca="1" si="4"/>
        <v>42479</v>
      </c>
      <c r="AG55" s="40">
        <f t="shared" si="5"/>
        <v>0</v>
      </c>
      <c r="AH55" s="42">
        <f t="shared" ca="1" si="6"/>
        <v>42479</v>
      </c>
      <c r="AI55" s="40">
        <f t="shared" si="7"/>
        <v>0</v>
      </c>
    </row>
    <row r="56" spans="2:35" ht="21" customHeight="1">
      <c r="B56" s="56">
        <v>52</v>
      </c>
      <c r="C56" s="44"/>
      <c r="D56" s="23">
        <f t="shared" si="0"/>
        <v>720</v>
      </c>
      <c r="E56" s="23"/>
      <c r="F56" s="23"/>
      <c r="G56" s="23"/>
      <c r="H56" s="23"/>
      <c r="I56" s="23"/>
      <c r="J56" s="23"/>
      <c r="K56" s="23"/>
      <c r="L56" s="23">
        <f t="shared" si="9"/>
        <v>720</v>
      </c>
      <c r="M56" s="57"/>
      <c r="O56" s="56">
        <v>152</v>
      </c>
      <c r="P56" s="44"/>
      <c r="Q56" s="23">
        <f t="shared" si="2"/>
        <v>720</v>
      </c>
      <c r="R56" s="23"/>
      <c r="S56" s="23"/>
      <c r="T56" s="23"/>
      <c r="U56" s="23"/>
      <c r="V56" s="23"/>
      <c r="W56" s="23"/>
      <c r="X56" s="23"/>
      <c r="Y56" s="23">
        <f t="shared" si="8"/>
        <v>720</v>
      </c>
      <c r="Z56" s="57"/>
      <c r="AF56" s="42">
        <f t="shared" ca="1" si="4"/>
        <v>42479</v>
      </c>
      <c r="AG56" s="40">
        <f t="shared" si="5"/>
        <v>0</v>
      </c>
      <c r="AH56" s="42">
        <f t="shared" ca="1" si="6"/>
        <v>42479</v>
      </c>
      <c r="AI56" s="40">
        <f t="shared" si="7"/>
        <v>0</v>
      </c>
    </row>
    <row r="57" spans="2:35" ht="21" customHeight="1">
      <c r="B57" s="54">
        <v>53</v>
      </c>
      <c r="C57" s="43"/>
      <c r="D57" s="22">
        <f t="shared" si="0"/>
        <v>720</v>
      </c>
      <c r="E57" s="22"/>
      <c r="F57" s="22"/>
      <c r="G57" s="22"/>
      <c r="H57" s="22"/>
      <c r="I57" s="22"/>
      <c r="J57" s="22"/>
      <c r="K57" s="22"/>
      <c r="L57" s="22">
        <f t="shared" si="9"/>
        <v>720</v>
      </c>
      <c r="M57" s="55"/>
      <c r="O57" s="54">
        <v>153</v>
      </c>
      <c r="P57" s="43"/>
      <c r="Q57" s="22">
        <f t="shared" si="2"/>
        <v>720</v>
      </c>
      <c r="R57" s="22"/>
      <c r="S57" s="22"/>
      <c r="T57" s="22"/>
      <c r="U57" s="22"/>
      <c r="V57" s="22"/>
      <c r="W57" s="22"/>
      <c r="X57" s="22"/>
      <c r="Y57" s="22">
        <f t="shared" si="8"/>
        <v>720</v>
      </c>
      <c r="Z57" s="55"/>
      <c r="AF57" s="42">
        <f t="shared" ca="1" si="4"/>
        <v>42479</v>
      </c>
      <c r="AG57" s="40">
        <f t="shared" si="5"/>
        <v>0</v>
      </c>
      <c r="AH57" s="42">
        <f t="shared" ca="1" si="6"/>
        <v>42479</v>
      </c>
      <c r="AI57" s="40">
        <f t="shared" si="7"/>
        <v>0</v>
      </c>
    </row>
    <row r="58" spans="2:35" ht="21" customHeight="1">
      <c r="B58" s="56">
        <v>54</v>
      </c>
      <c r="C58" s="44"/>
      <c r="D58" s="23">
        <f t="shared" si="0"/>
        <v>720</v>
      </c>
      <c r="E58" s="23"/>
      <c r="F58" s="23"/>
      <c r="G58" s="23"/>
      <c r="H58" s="23"/>
      <c r="I58" s="23"/>
      <c r="J58" s="23"/>
      <c r="K58" s="23"/>
      <c r="L58" s="23">
        <f t="shared" si="9"/>
        <v>720</v>
      </c>
      <c r="M58" s="57"/>
      <c r="O58" s="56">
        <v>154</v>
      </c>
      <c r="P58" s="44"/>
      <c r="Q58" s="23">
        <f t="shared" si="2"/>
        <v>720</v>
      </c>
      <c r="R58" s="23"/>
      <c r="S58" s="23"/>
      <c r="T58" s="23"/>
      <c r="U58" s="23"/>
      <c r="V58" s="23"/>
      <c r="W58" s="23"/>
      <c r="X58" s="23"/>
      <c r="Y58" s="23">
        <f t="shared" si="8"/>
        <v>720</v>
      </c>
      <c r="Z58" s="57"/>
      <c r="AF58" s="42">
        <f t="shared" ca="1" si="4"/>
        <v>42479</v>
      </c>
      <c r="AG58" s="40">
        <f t="shared" si="5"/>
        <v>0</v>
      </c>
      <c r="AH58" s="42">
        <f t="shared" ca="1" si="6"/>
        <v>42479</v>
      </c>
      <c r="AI58" s="40">
        <f t="shared" si="7"/>
        <v>0</v>
      </c>
    </row>
    <row r="59" spans="2:35" ht="21" customHeight="1">
      <c r="B59" s="54">
        <v>55</v>
      </c>
      <c r="C59" s="43"/>
      <c r="D59" s="22">
        <f t="shared" si="0"/>
        <v>720</v>
      </c>
      <c r="E59" s="22"/>
      <c r="F59" s="22"/>
      <c r="G59" s="22"/>
      <c r="H59" s="22"/>
      <c r="I59" s="22"/>
      <c r="J59" s="22"/>
      <c r="K59" s="22"/>
      <c r="L59" s="22">
        <f t="shared" si="9"/>
        <v>720</v>
      </c>
      <c r="M59" s="55"/>
      <c r="O59" s="54">
        <v>155</v>
      </c>
      <c r="P59" s="43"/>
      <c r="Q59" s="22">
        <f t="shared" si="2"/>
        <v>720</v>
      </c>
      <c r="R59" s="22"/>
      <c r="S59" s="22"/>
      <c r="T59" s="22"/>
      <c r="U59" s="22"/>
      <c r="V59" s="22"/>
      <c r="W59" s="22"/>
      <c r="X59" s="22"/>
      <c r="Y59" s="22">
        <f t="shared" si="8"/>
        <v>720</v>
      </c>
      <c r="Z59" s="55"/>
      <c r="AF59" s="42">
        <f t="shared" ca="1" si="4"/>
        <v>42479</v>
      </c>
      <c r="AG59" s="40">
        <f t="shared" si="5"/>
        <v>0</v>
      </c>
      <c r="AH59" s="42">
        <f t="shared" ca="1" si="6"/>
        <v>42479</v>
      </c>
      <c r="AI59" s="40">
        <f t="shared" si="7"/>
        <v>0</v>
      </c>
    </row>
    <row r="60" spans="2:35" ht="21" customHeight="1">
      <c r="B60" s="56">
        <v>56</v>
      </c>
      <c r="C60" s="44"/>
      <c r="D60" s="23">
        <f t="shared" si="0"/>
        <v>720</v>
      </c>
      <c r="E60" s="23"/>
      <c r="F60" s="23"/>
      <c r="G60" s="23"/>
      <c r="H60" s="23"/>
      <c r="I60" s="23"/>
      <c r="J60" s="23"/>
      <c r="K60" s="23"/>
      <c r="L60" s="23">
        <f t="shared" si="9"/>
        <v>720</v>
      </c>
      <c r="M60" s="57"/>
      <c r="O60" s="56">
        <v>156</v>
      </c>
      <c r="P60" s="44"/>
      <c r="Q60" s="23">
        <f t="shared" si="2"/>
        <v>720</v>
      </c>
      <c r="R60" s="23"/>
      <c r="S60" s="23"/>
      <c r="T60" s="23"/>
      <c r="U60" s="23"/>
      <c r="V60" s="23"/>
      <c r="W60" s="23"/>
      <c r="X60" s="23"/>
      <c r="Y60" s="23">
        <f t="shared" si="8"/>
        <v>720</v>
      </c>
      <c r="Z60" s="57"/>
      <c r="AF60" s="42">
        <f t="shared" ca="1" si="4"/>
        <v>42479</v>
      </c>
      <c r="AG60" s="40">
        <f t="shared" si="5"/>
        <v>0</v>
      </c>
      <c r="AH60" s="42">
        <f t="shared" ca="1" si="6"/>
        <v>42479</v>
      </c>
      <c r="AI60" s="40">
        <f t="shared" si="7"/>
        <v>0</v>
      </c>
    </row>
    <row r="61" spans="2:35" ht="21" customHeight="1">
      <c r="B61" s="54">
        <v>57</v>
      </c>
      <c r="C61" s="43"/>
      <c r="D61" s="22">
        <f t="shared" si="0"/>
        <v>720</v>
      </c>
      <c r="E61" s="22"/>
      <c r="F61" s="22"/>
      <c r="G61" s="22"/>
      <c r="H61" s="22"/>
      <c r="I61" s="22"/>
      <c r="J61" s="22"/>
      <c r="K61" s="22"/>
      <c r="L61" s="22">
        <f t="shared" si="9"/>
        <v>720</v>
      </c>
      <c r="M61" s="55"/>
      <c r="O61" s="54">
        <v>157</v>
      </c>
      <c r="P61" s="43"/>
      <c r="Q61" s="22">
        <f t="shared" si="2"/>
        <v>720</v>
      </c>
      <c r="R61" s="22"/>
      <c r="S61" s="22"/>
      <c r="T61" s="22"/>
      <c r="U61" s="22"/>
      <c r="V61" s="22"/>
      <c r="W61" s="22"/>
      <c r="X61" s="22"/>
      <c r="Y61" s="22">
        <f t="shared" si="8"/>
        <v>720</v>
      </c>
      <c r="Z61" s="55"/>
      <c r="AF61" s="42">
        <f t="shared" ca="1" si="4"/>
        <v>42479</v>
      </c>
      <c r="AG61" s="40">
        <f t="shared" si="5"/>
        <v>0</v>
      </c>
      <c r="AH61" s="42">
        <f t="shared" ca="1" si="6"/>
        <v>42479</v>
      </c>
      <c r="AI61" s="40">
        <f t="shared" si="7"/>
        <v>0</v>
      </c>
    </row>
    <row r="62" spans="2:35" ht="21" customHeight="1">
      <c r="B62" s="56">
        <v>58</v>
      </c>
      <c r="C62" s="44"/>
      <c r="D62" s="23">
        <f t="shared" si="0"/>
        <v>720</v>
      </c>
      <c r="E62" s="23"/>
      <c r="F62" s="23"/>
      <c r="G62" s="23"/>
      <c r="H62" s="23"/>
      <c r="I62" s="23"/>
      <c r="J62" s="23"/>
      <c r="K62" s="23"/>
      <c r="L62" s="23">
        <f t="shared" si="9"/>
        <v>720</v>
      </c>
      <c r="M62" s="57"/>
      <c r="O62" s="56">
        <v>158</v>
      </c>
      <c r="P62" s="44"/>
      <c r="Q62" s="23">
        <f t="shared" si="2"/>
        <v>720</v>
      </c>
      <c r="R62" s="23"/>
      <c r="S62" s="23"/>
      <c r="T62" s="23"/>
      <c r="U62" s="23"/>
      <c r="V62" s="23"/>
      <c r="W62" s="23"/>
      <c r="X62" s="23"/>
      <c r="Y62" s="23">
        <f t="shared" si="8"/>
        <v>720</v>
      </c>
      <c r="Z62" s="57"/>
      <c r="AF62" s="42">
        <f t="shared" ca="1" si="4"/>
        <v>42479</v>
      </c>
      <c r="AG62" s="40">
        <f t="shared" si="5"/>
        <v>0</v>
      </c>
      <c r="AH62" s="42">
        <f t="shared" ca="1" si="6"/>
        <v>42479</v>
      </c>
      <c r="AI62" s="40">
        <f t="shared" si="7"/>
        <v>0</v>
      </c>
    </row>
    <row r="63" spans="2:35" ht="21" customHeight="1">
      <c r="B63" s="54">
        <v>59</v>
      </c>
      <c r="C63" s="43"/>
      <c r="D63" s="22">
        <f t="shared" si="0"/>
        <v>720</v>
      </c>
      <c r="E63" s="22"/>
      <c r="F63" s="22"/>
      <c r="G63" s="22"/>
      <c r="H63" s="22"/>
      <c r="I63" s="22"/>
      <c r="J63" s="22"/>
      <c r="K63" s="22"/>
      <c r="L63" s="22">
        <f t="shared" si="9"/>
        <v>720</v>
      </c>
      <c r="M63" s="55"/>
      <c r="O63" s="54">
        <v>159</v>
      </c>
      <c r="P63" s="43"/>
      <c r="Q63" s="22">
        <f t="shared" si="2"/>
        <v>720</v>
      </c>
      <c r="R63" s="22"/>
      <c r="S63" s="22"/>
      <c r="T63" s="22"/>
      <c r="U63" s="22"/>
      <c r="V63" s="22"/>
      <c r="W63" s="22"/>
      <c r="X63" s="22"/>
      <c r="Y63" s="22">
        <f t="shared" si="8"/>
        <v>720</v>
      </c>
      <c r="Z63" s="55"/>
      <c r="AF63" s="42">
        <f t="shared" ca="1" si="4"/>
        <v>42479</v>
      </c>
      <c r="AG63" s="40">
        <f t="shared" si="5"/>
        <v>0</v>
      </c>
      <c r="AH63" s="42">
        <f t="shared" ca="1" si="6"/>
        <v>42479</v>
      </c>
      <c r="AI63" s="40">
        <f t="shared" si="7"/>
        <v>0</v>
      </c>
    </row>
    <row r="64" spans="2:35" ht="21" customHeight="1">
      <c r="B64" s="56">
        <v>60</v>
      </c>
      <c r="C64" s="44"/>
      <c r="D64" s="23">
        <f t="shared" si="0"/>
        <v>720</v>
      </c>
      <c r="E64" s="23"/>
      <c r="F64" s="23"/>
      <c r="G64" s="23"/>
      <c r="H64" s="23"/>
      <c r="I64" s="23"/>
      <c r="J64" s="23"/>
      <c r="K64" s="23"/>
      <c r="L64" s="23">
        <f t="shared" si="9"/>
        <v>720</v>
      </c>
      <c r="M64" s="57"/>
      <c r="O64" s="56">
        <v>160</v>
      </c>
      <c r="P64" s="44"/>
      <c r="Q64" s="23">
        <f t="shared" si="2"/>
        <v>720</v>
      </c>
      <c r="R64" s="23"/>
      <c r="S64" s="23"/>
      <c r="T64" s="23"/>
      <c r="U64" s="23"/>
      <c r="V64" s="23"/>
      <c r="W64" s="23"/>
      <c r="X64" s="23"/>
      <c r="Y64" s="23">
        <f t="shared" si="8"/>
        <v>720</v>
      </c>
      <c r="Z64" s="57"/>
      <c r="AF64" s="42">
        <f t="shared" ca="1" si="4"/>
        <v>42479</v>
      </c>
      <c r="AG64" s="40">
        <f t="shared" si="5"/>
        <v>0</v>
      </c>
      <c r="AH64" s="42">
        <f t="shared" ca="1" si="6"/>
        <v>42479</v>
      </c>
      <c r="AI64" s="40">
        <f t="shared" si="7"/>
        <v>0</v>
      </c>
    </row>
    <row r="65" spans="2:35" ht="21" customHeight="1">
      <c r="B65" s="54">
        <v>61</v>
      </c>
      <c r="C65" s="43"/>
      <c r="D65" s="22">
        <f t="shared" si="0"/>
        <v>720</v>
      </c>
      <c r="E65" s="22"/>
      <c r="F65" s="22"/>
      <c r="G65" s="22"/>
      <c r="H65" s="22"/>
      <c r="I65" s="22"/>
      <c r="J65" s="22"/>
      <c r="K65" s="22"/>
      <c r="L65" s="22">
        <f t="shared" si="9"/>
        <v>720</v>
      </c>
      <c r="M65" s="55"/>
      <c r="O65" s="54">
        <v>161</v>
      </c>
      <c r="P65" s="43"/>
      <c r="Q65" s="22">
        <f t="shared" si="2"/>
        <v>720</v>
      </c>
      <c r="R65" s="22"/>
      <c r="S65" s="22"/>
      <c r="T65" s="22"/>
      <c r="U65" s="22"/>
      <c r="V65" s="22"/>
      <c r="W65" s="22"/>
      <c r="X65" s="22"/>
      <c r="Y65" s="22">
        <f t="shared" si="8"/>
        <v>720</v>
      </c>
      <c r="Z65" s="55"/>
      <c r="AF65" s="42">
        <f t="shared" ca="1" si="4"/>
        <v>42479</v>
      </c>
      <c r="AG65" s="40">
        <f t="shared" si="5"/>
        <v>0</v>
      </c>
      <c r="AH65" s="42">
        <f t="shared" ca="1" si="6"/>
        <v>42479</v>
      </c>
      <c r="AI65" s="40">
        <f t="shared" si="7"/>
        <v>0</v>
      </c>
    </row>
    <row r="66" spans="2:35" ht="21" customHeight="1">
      <c r="B66" s="56">
        <v>62</v>
      </c>
      <c r="C66" s="44"/>
      <c r="D66" s="23">
        <f t="shared" si="0"/>
        <v>720</v>
      </c>
      <c r="E66" s="23"/>
      <c r="F66" s="23"/>
      <c r="G66" s="23"/>
      <c r="H66" s="23"/>
      <c r="I66" s="23"/>
      <c r="J66" s="23"/>
      <c r="K66" s="23"/>
      <c r="L66" s="23">
        <f t="shared" si="9"/>
        <v>720</v>
      </c>
      <c r="M66" s="57"/>
      <c r="O66" s="56">
        <v>162</v>
      </c>
      <c r="P66" s="44"/>
      <c r="Q66" s="23">
        <f t="shared" si="2"/>
        <v>720</v>
      </c>
      <c r="R66" s="23"/>
      <c r="S66" s="23"/>
      <c r="T66" s="23"/>
      <c r="U66" s="23"/>
      <c r="V66" s="23"/>
      <c r="W66" s="23"/>
      <c r="X66" s="23"/>
      <c r="Y66" s="23">
        <f t="shared" si="8"/>
        <v>720</v>
      </c>
      <c r="Z66" s="57"/>
      <c r="AF66" s="42">
        <f t="shared" ca="1" si="4"/>
        <v>42479</v>
      </c>
      <c r="AG66" s="40">
        <f t="shared" si="5"/>
        <v>0</v>
      </c>
      <c r="AH66" s="42">
        <f t="shared" ca="1" si="6"/>
        <v>42479</v>
      </c>
      <c r="AI66" s="40">
        <f t="shared" si="7"/>
        <v>0</v>
      </c>
    </row>
    <row r="67" spans="2:35" ht="21" customHeight="1">
      <c r="B67" s="54">
        <v>63</v>
      </c>
      <c r="C67" s="43"/>
      <c r="D67" s="22">
        <f t="shared" si="0"/>
        <v>720</v>
      </c>
      <c r="E67" s="22"/>
      <c r="F67" s="22"/>
      <c r="G67" s="22"/>
      <c r="H67" s="22"/>
      <c r="I67" s="22"/>
      <c r="J67" s="22"/>
      <c r="K67" s="22"/>
      <c r="L67" s="22">
        <f t="shared" si="9"/>
        <v>720</v>
      </c>
      <c r="M67" s="55"/>
      <c r="O67" s="54">
        <v>163</v>
      </c>
      <c r="P67" s="43"/>
      <c r="Q67" s="22">
        <f t="shared" si="2"/>
        <v>720</v>
      </c>
      <c r="R67" s="22"/>
      <c r="S67" s="22"/>
      <c r="T67" s="22"/>
      <c r="U67" s="22"/>
      <c r="V67" s="22"/>
      <c r="W67" s="22"/>
      <c r="X67" s="22"/>
      <c r="Y67" s="22">
        <f t="shared" si="8"/>
        <v>720</v>
      </c>
      <c r="Z67" s="55"/>
      <c r="AF67" s="42">
        <f t="shared" ca="1" si="4"/>
        <v>42479</v>
      </c>
      <c r="AG67" s="40">
        <f t="shared" si="5"/>
        <v>0</v>
      </c>
      <c r="AH67" s="42">
        <f t="shared" ca="1" si="6"/>
        <v>42479</v>
      </c>
      <c r="AI67" s="40">
        <f t="shared" si="7"/>
        <v>0</v>
      </c>
    </row>
    <row r="68" spans="2:35" ht="21" customHeight="1">
      <c r="B68" s="56">
        <v>64</v>
      </c>
      <c r="C68" s="44"/>
      <c r="D68" s="23">
        <f t="shared" si="0"/>
        <v>720</v>
      </c>
      <c r="E68" s="23"/>
      <c r="F68" s="23"/>
      <c r="G68" s="23"/>
      <c r="H68" s="23"/>
      <c r="I68" s="23"/>
      <c r="J68" s="23"/>
      <c r="K68" s="23"/>
      <c r="L68" s="23">
        <f t="shared" si="9"/>
        <v>720</v>
      </c>
      <c r="M68" s="57"/>
      <c r="O68" s="56">
        <v>164</v>
      </c>
      <c r="P68" s="44"/>
      <c r="Q68" s="23">
        <f t="shared" si="2"/>
        <v>720</v>
      </c>
      <c r="R68" s="23"/>
      <c r="S68" s="23"/>
      <c r="T68" s="23"/>
      <c r="U68" s="23"/>
      <c r="V68" s="23"/>
      <c r="W68" s="23"/>
      <c r="X68" s="23"/>
      <c r="Y68" s="23">
        <f t="shared" si="8"/>
        <v>720</v>
      </c>
      <c r="Z68" s="57"/>
      <c r="AF68" s="42">
        <f t="shared" ca="1" si="4"/>
        <v>42479</v>
      </c>
      <c r="AG68" s="40">
        <f t="shared" si="5"/>
        <v>0</v>
      </c>
      <c r="AH68" s="42">
        <f t="shared" ca="1" si="6"/>
        <v>42479</v>
      </c>
      <c r="AI68" s="40">
        <f t="shared" si="7"/>
        <v>0</v>
      </c>
    </row>
    <row r="69" spans="2:35" ht="21" customHeight="1">
      <c r="B69" s="54">
        <v>65</v>
      </c>
      <c r="C69" s="43"/>
      <c r="D69" s="22">
        <f t="shared" si="0"/>
        <v>720</v>
      </c>
      <c r="E69" s="22"/>
      <c r="F69" s="22"/>
      <c r="G69" s="22"/>
      <c r="H69" s="22"/>
      <c r="I69" s="22"/>
      <c r="J69" s="22"/>
      <c r="K69" s="22"/>
      <c r="L69" s="22">
        <f t="shared" si="9"/>
        <v>720</v>
      </c>
      <c r="M69" s="55"/>
      <c r="O69" s="54">
        <v>165</v>
      </c>
      <c r="P69" s="43"/>
      <c r="Q69" s="22">
        <f t="shared" si="2"/>
        <v>720</v>
      </c>
      <c r="R69" s="22"/>
      <c r="S69" s="22"/>
      <c r="T69" s="22"/>
      <c r="U69" s="22"/>
      <c r="V69" s="22"/>
      <c r="W69" s="22"/>
      <c r="X69" s="22"/>
      <c r="Y69" s="22">
        <f t="shared" si="8"/>
        <v>720</v>
      </c>
      <c r="Z69" s="55"/>
      <c r="AF69" s="42">
        <f t="shared" ca="1" si="4"/>
        <v>42479</v>
      </c>
      <c r="AG69" s="40">
        <f t="shared" si="5"/>
        <v>0</v>
      </c>
      <c r="AH69" s="42">
        <f t="shared" ca="1" si="6"/>
        <v>42479</v>
      </c>
      <c r="AI69" s="40">
        <f t="shared" si="7"/>
        <v>0</v>
      </c>
    </row>
    <row r="70" spans="2:35" ht="21" customHeight="1">
      <c r="B70" s="56">
        <v>66</v>
      </c>
      <c r="C70" s="44"/>
      <c r="D70" s="23">
        <f t="shared" ref="D70:D104" si="10">12*60</f>
        <v>720</v>
      </c>
      <c r="E70" s="23"/>
      <c r="F70" s="23"/>
      <c r="G70" s="23"/>
      <c r="H70" s="23"/>
      <c r="I70" s="23"/>
      <c r="J70" s="23"/>
      <c r="K70" s="23"/>
      <c r="L70" s="23">
        <f t="shared" si="9"/>
        <v>720</v>
      </c>
      <c r="M70" s="57"/>
      <c r="O70" s="56">
        <v>166</v>
      </c>
      <c r="P70" s="44"/>
      <c r="Q70" s="23">
        <f t="shared" ref="Q70:Q104" si="11">12*60</f>
        <v>720</v>
      </c>
      <c r="R70" s="23"/>
      <c r="S70" s="23"/>
      <c r="T70" s="23"/>
      <c r="U70" s="23"/>
      <c r="V70" s="23"/>
      <c r="W70" s="23"/>
      <c r="X70" s="23"/>
      <c r="Y70" s="23">
        <f t="shared" si="8"/>
        <v>720</v>
      </c>
      <c r="Z70" s="57"/>
      <c r="AF70" s="42">
        <f t="shared" ref="AF70:AF105" ca="1" si="12">TODAY()</f>
        <v>42479</v>
      </c>
      <c r="AG70" s="40">
        <f t="shared" ref="AG70:AG105" si="13">IF(C70&gt;0,AF70-C70,0)</f>
        <v>0</v>
      </c>
      <c r="AH70" s="42">
        <f t="shared" ref="AH70:AH105" ca="1" si="14">TODAY()</f>
        <v>42479</v>
      </c>
      <c r="AI70" s="40">
        <f t="shared" ref="AI70:AI105" si="15">IF(P70&gt;0,AH70-P70,0)</f>
        <v>0</v>
      </c>
    </row>
    <row r="71" spans="2:35" ht="21" customHeight="1">
      <c r="B71" s="54">
        <v>67</v>
      </c>
      <c r="C71" s="43"/>
      <c r="D71" s="22">
        <f t="shared" si="10"/>
        <v>720</v>
      </c>
      <c r="E71" s="22"/>
      <c r="F71" s="22"/>
      <c r="G71" s="22"/>
      <c r="H71" s="22"/>
      <c r="I71" s="22"/>
      <c r="J71" s="22"/>
      <c r="K71" s="22"/>
      <c r="L71" s="22">
        <f t="shared" si="9"/>
        <v>720</v>
      </c>
      <c r="M71" s="55"/>
      <c r="O71" s="54">
        <v>167</v>
      </c>
      <c r="P71" s="43"/>
      <c r="Q71" s="22">
        <f t="shared" si="11"/>
        <v>720</v>
      </c>
      <c r="R71" s="22"/>
      <c r="S71" s="22"/>
      <c r="T71" s="22"/>
      <c r="U71" s="22"/>
      <c r="V71" s="22"/>
      <c r="W71" s="22"/>
      <c r="X71" s="22"/>
      <c r="Y71" s="22">
        <f t="shared" si="8"/>
        <v>720</v>
      </c>
      <c r="Z71" s="55"/>
      <c r="AF71" s="42">
        <f t="shared" ca="1" si="12"/>
        <v>42479</v>
      </c>
      <c r="AG71" s="40">
        <f t="shared" si="13"/>
        <v>0</v>
      </c>
      <c r="AH71" s="42">
        <f t="shared" ca="1" si="14"/>
        <v>42479</v>
      </c>
      <c r="AI71" s="40">
        <f t="shared" si="15"/>
        <v>0</v>
      </c>
    </row>
    <row r="72" spans="2:35" ht="21" customHeight="1">
      <c r="B72" s="56">
        <v>68</v>
      </c>
      <c r="C72" s="44"/>
      <c r="D72" s="23">
        <f t="shared" si="10"/>
        <v>720</v>
      </c>
      <c r="E72" s="23"/>
      <c r="F72" s="23"/>
      <c r="G72" s="23"/>
      <c r="H72" s="23"/>
      <c r="I72" s="23"/>
      <c r="J72" s="23"/>
      <c r="K72" s="23"/>
      <c r="L72" s="23">
        <f t="shared" si="9"/>
        <v>720</v>
      </c>
      <c r="M72" s="57"/>
      <c r="O72" s="56">
        <v>168</v>
      </c>
      <c r="P72" s="44"/>
      <c r="Q72" s="23">
        <f t="shared" si="11"/>
        <v>720</v>
      </c>
      <c r="R72" s="23"/>
      <c r="S72" s="23"/>
      <c r="T72" s="23"/>
      <c r="U72" s="23"/>
      <c r="V72" s="23"/>
      <c r="W72" s="23"/>
      <c r="X72" s="23"/>
      <c r="Y72" s="23">
        <f t="shared" ref="Y72:Y104" si="16">IF(X72&gt;0,Q72-X72,720)</f>
        <v>720</v>
      </c>
      <c r="Z72" s="57"/>
      <c r="AF72" s="42">
        <f t="shared" ca="1" si="12"/>
        <v>42479</v>
      </c>
      <c r="AG72" s="40">
        <f t="shared" si="13"/>
        <v>0</v>
      </c>
      <c r="AH72" s="42">
        <f t="shared" ca="1" si="14"/>
        <v>42479</v>
      </c>
      <c r="AI72" s="40">
        <f t="shared" si="15"/>
        <v>0</v>
      </c>
    </row>
    <row r="73" spans="2:35" ht="21" customHeight="1">
      <c r="B73" s="54">
        <v>69</v>
      </c>
      <c r="C73" s="43"/>
      <c r="D73" s="22">
        <f t="shared" si="10"/>
        <v>720</v>
      </c>
      <c r="E73" s="22"/>
      <c r="F73" s="22"/>
      <c r="G73" s="22"/>
      <c r="H73" s="22"/>
      <c r="I73" s="22"/>
      <c r="J73" s="22"/>
      <c r="K73" s="22"/>
      <c r="L73" s="22">
        <f t="shared" si="9"/>
        <v>720</v>
      </c>
      <c r="M73" s="55"/>
      <c r="O73" s="54">
        <v>169</v>
      </c>
      <c r="P73" s="43"/>
      <c r="Q73" s="22">
        <f t="shared" si="11"/>
        <v>720</v>
      </c>
      <c r="R73" s="22"/>
      <c r="S73" s="22"/>
      <c r="T73" s="22"/>
      <c r="U73" s="22"/>
      <c r="V73" s="22"/>
      <c r="W73" s="22"/>
      <c r="X73" s="22"/>
      <c r="Y73" s="22">
        <f t="shared" si="16"/>
        <v>720</v>
      </c>
      <c r="Z73" s="55"/>
      <c r="AF73" s="42">
        <f t="shared" ca="1" si="12"/>
        <v>42479</v>
      </c>
      <c r="AG73" s="40">
        <f t="shared" si="13"/>
        <v>0</v>
      </c>
      <c r="AH73" s="42">
        <f t="shared" ca="1" si="14"/>
        <v>42479</v>
      </c>
      <c r="AI73" s="40">
        <f t="shared" si="15"/>
        <v>0</v>
      </c>
    </row>
    <row r="74" spans="2:35" ht="21" customHeight="1">
      <c r="B74" s="56">
        <v>70</v>
      </c>
      <c r="C74" s="44"/>
      <c r="D74" s="23">
        <f t="shared" si="10"/>
        <v>720</v>
      </c>
      <c r="E74" s="23"/>
      <c r="F74" s="23"/>
      <c r="G74" s="23"/>
      <c r="H74" s="23"/>
      <c r="I74" s="23"/>
      <c r="J74" s="23"/>
      <c r="K74" s="23"/>
      <c r="L74" s="23">
        <f t="shared" ref="L74:L104" si="17">IF(K74&gt;0,D74-K74,720)</f>
        <v>720</v>
      </c>
      <c r="M74" s="57"/>
      <c r="O74" s="56">
        <v>170</v>
      </c>
      <c r="P74" s="44"/>
      <c r="Q74" s="23">
        <f t="shared" si="11"/>
        <v>720</v>
      </c>
      <c r="R74" s="23"/>
      <c r="S74" s="23"/>
      <c r="T74" s="23"/>
      <c r="U74" s="23"/>
      <c r="V74" s="23"/>
      <c r="W74" s="23"/>
      <c r="X74" s="23"/>
      <c r="Y74" s="23">
        <f t="shared" si="16"/>
        <v>720</v>
      </c>
      <c r="Z74" s="57"/>
      <c r="AF74" s="42">
        <f t="shared" ca="1" si="12"/>
        <v>42479</v>
      </c>
      <c r="AG74" s="40">
        <f t="shared" si="13"/>
        <v>0</v>
      </c>
      <c r="AH74" s="42">
        <f t="shared" ca="1" si="14"/>
        <v>42479</v>
      </c>
      <c r="AI74" s="40">
        <f t="shared" si="15"/>
        <v>0</v>
      </c>
    </row>
    <row r="75" spans="2:35" ht="21" customHeight="1">
      <c r="B75" s="54">
        <v>71</v>
      </c>
      <c r="C75" s="43"/>
      <c r="D75" s="22">
        <f t="shared" si="10"/>
        <v>720</v>
      </c>
      <c r="E75" s="22"/>
      <c r="F75" s="22"/>
      <c r="G75" s="22"/>
      <c r="H75" s="22"/>
      <c r="I75" s="22"/>
      <c r="J75" s="22"/>
      <c r="K75" s="22"/>
      <c r="L75" s="22">
        <f t="shared" si="17"/>
        <v>720</v>
      </c>
      <c r="M75" s="55"/>
      <c r="O75" s="54">
        <v>171</v>
      </c>
      <c r="P75" s="43"/>
      <c r="Q75" s="22">
        <f t="shared" si="11"/>
        <v>720</v>
      </c>
      <c r="R75" s="22"/>
      <c r="S75" s="22"/>
      <c r="T75" s="22"/>
      <c r="U75" s="22"/>
      <c r="V75" s="22"/>
      <c r="W75" s="22"/>
      <c r="X75" s="22"/>
      <c r="Y75" s="22">
        <f t="shared" si="16"/>
        <v>720</v>
      </c>
      <c r="Z75" s="55"/>
      <c r="AF75" s="42">
        <f t="shared" ca="1" si="12"/>
        <v>42479</v>
      </c>
      <c r="AG75" s="40">
        <f t="shared" si="13"/>
        <v>0</v>
      </c>
      <c r="AH75" s="42">
        <f t="shared" ca="1" si="14"/>
        <v>42479</v>
      </c>
      <c r="AI75" s="40">
        <f t="shared" si="15"/>
        <v>0</v>
      </c>
    </row>
    <row r="76" spans="2:35" ht="21" customHeight="1">
      <c r="B76" s="56">
        <v>72</v>
      </c>
      <c r="C76" s="44"/>
      <c r="D76" s="23">
        <f t="shared" si="10"/>
        <v>720</v>
      </c>
      <c r="E76" s="23"/>
      <c r="F76" s="23"/>
      <c r="G76" s="23"/>
      <c r="H76" s="23"/>
      <c r="I76" s="23"/>
      <c r="J76" s="23"/>
      <c r="K76" s="23"/>
      <c r="L76" s="23">
        <f t="shared" si="17"/>
        <v>720</v>
      </c>
      <c r="M76" s="57"/>
      <c r="O76" s="56">
        <v>172</v>
      </c>
      <c r="P76" s="44"/>
      <c r="Q76" s="23">
        <f t="shared" si="11"/>
        <v>720</v>
      </c>
      <c r="R76" s="23"/>
      <c r="S76" s="23"/>
      <c r="T76" s="23"/>
      <c r="U76" s="23"/>
      <c r="V76" s="23"/>
      <c r="W76" s="23"/>
      <c r="X76" s="23"/>
      <c r="Y76" s="23">
        <f t="shared" si="16"/>
        <v>720</v>
      </c>
      <c r="Z76" s="57"/>
      <c r="AF76" s="42">
        <f t="shared" ca="1" si="12"/>
        <v>42479</v>
      </c>
      <c r="AG76" s="40">
        <f t="shared" si="13"/>
        <v>0</v>
      </c>
      <c r="AH76" s="42">
        <f t="shared" ca="1" si="14"/>
        <v>42479</v>
      </c>
      <c r="AI76" s="40">
        <f t="shared" si="15"/>
        <v>0</v>
      </c>
    </row>
    <row r="77" spans="2:35" ht="21" customHeight="1">
      <c r="B77" s="54">
        <v>73</v>
      </c>
      <c r="C77" s="43"/>
      <c r="D77" s="22">
        <f t="shared" si="10"/>
        <v>720</v>
      </c>
      <c r="E77" s="22"/>
      <c r="F77" s="22"/>
      <c r="G77" s="22"/>
      <c r="H77" s="22"/>
      <c r="I77" s="22"/>
      <c r="J77" s="22"/>
      <c r="K77" s="22"/>
      <c r="L77" s="22">
        <f t="shared" si="17"/>
        <v>720</v>
      </c>
      <c r="M77" s="55"/>
      <c r="O77" s="54">
        <v>173</v>
      </c>
      <c r="P77" s="43"/>
      <c r="Q77" s="22">
        <f t="shared" si="11"/>
        <v>720</v>
      </c>
      <c r="R77" s="22"/>
      <c r="S77" s="22"/>
      <c r="T77" s="22"/>
      <c r="U77" s="22"/>
      <c r="V77" s="22"/>
      <c r="W77" s="22"/>
      <c r="X77" s="22"/>
      <c r="Y77" s="22">
        <f t="shared" si="16"/>
        <v>720</v>
      </c>
      <c r="Z77" s="55"/>
      <c r="AF77" s="42">
        <f t="shared" ca="1" si="12"/>
        <v>42479</v>
      </c>
      <c r="AG77" s="40">
        <f t="shared" si="13"/>
        <v>0</v>
      </c>
      <c r="AH77" s="42">
        <f t="shared" ca="1" si="14"/>
        <v>42479</v>
      </c>
      <c r="AI77" s="40">
        <f t="shared" si="15"/>
        <v>0</v>
      </c>
    </row>
    <row r="78" spans="2:35" ht="21" customHeight="1">
      <c r="B78" s="56">
        <v>74</v>
      </c>
      <c r="C78" s="44"/>
      <c r="D78" s="23">
        <f t="shared" si="10"/>
        <v>720</v>
      </c>
      <c r="E78" s="23"/>
      <c r="F78" s="23"/>
      <c r="G78" s="23"/>
      <c r="H78" s="23"/>
      <c r="I78" s="23"/>
      <c r="J78" s="23"/>
      <c r="K78" s="23"/>
      <c r="L78" s="23">
        <f t="shared" si="17"/>
        <v>720</v>
      </c>
      <c r="M78" s="57"/>
      <c r="O78" s="56">
        <v>174</v>
      </c>
      <c r="P78" s="44"/>
      <c r="Q78" s="23">
        <f t="shared" si="11"/>
        <v>720</v>
      </c>
      <c r="R78" s="23"/>
      <c r="S78" s="23"/>
      <c r="T78" s="23"/>
      <c r="U78" s="23"/>
      <c r="V78" s="23"/>
      <c r="W78" s="23"/>
      <c r="X78" s="23"/>
      <c r="Y78" s="23">
        <f t="shared" si="16"/>
        <v>720</v>
      </c>
      <c r="Z78" s="57"/>
      <c r="AF78" s="42">
        <f t="shared" ca="1" si="12"/>
        <v>42479</v>
      </c>
      <c r="AG78" s="40">
        <f t="shared" si="13"/>
        <v>0</v>
      </c>
      <c r="AH78" s="42">
        <f t="shared" ca="1" si="14"/>
        <v>42479</v>
      </c>
      <c r="AI78" s="40">
        <f t="shared" si="15"/>
        <v>0</v>
      </c>
    </row>
    <row r="79" spans="2:35" ht="21" customHeight="1">
      <c r="B79" s="54">
        <v>75</v>
      </c>
      <c r="C79" s="43"/>
      <c r="D79" s="22">
        <f t="shared" si="10"/>
        <v>720</v>
      </c>
      <c r="E79" s="22"/>
      <c r="F79" s="22"/>
      <c r="G79" s="22"/>
      <c r="H79" s="22"/>
      <c r="I79" s="22"/>
      <c r="J79" s="22"/>
      <c r="K79" s="22"/>
      <c r="L79" s="22">
        <f t="shared" si="17"/>
        <v>720</v>
      </c>
      <c r="M79" s="55"/>
      <c r="O79" s="54">
        <v>175</v>
      </c>
      <c r="P79" s="43"/>
      <c r="Q79" s="22">
        <f t="shared" si="11"/>
        <v>720</v>
      </c>
      <c r="R79" s="22"/>
      <c r="S79" s="22"/>
      <c r="T79" s="22"/>
      <c r="U79" s="22"/>
      <c r="V79" s="22"/>
      <c r="W79" s="22"/>
      <c r="X79" s="22"/>
      <c r="Y79" s="22">
        <f t="shared" si="16"/>
        <v>720</v>
      </c>
      <c r="Z79" s="55"/>
      <c r="AF79" s="42">
        <f t="shared" ca="1" si="12"/>
        <v>42479</v>
      </c>
      <c r="AG79" s="40">
        <f t="shared" si="13"/>
        <v>0</v>
      </c>
      <c r="AH79" s="42">
        <f t="shared" ca="1" si="14"/>
        <v>42479</v>
      </c>
      <c r="AI79" s="40">
        <f t="shared" si="15"/>
        <v>0</v>
      </c>
    </row>
    <row r="80" spans="2:35" ht="21" customHeight="1">
      <c r="B80" s="56">
        <v>76</v>
      </c>
      <c r="C80" s="44"/>
      <c r="D80" s="23">
        <f t="shared" si="10"/>
        <v>720</v>
      </c>
      <c r="E80" s="23"/>
      <c r="F80" s="23"/>
      <c r="G80" s="23"/>
      <c r="H80" s="23"/>
      <c r="I80" s="23"/>
      <c r="J80" s="23"/>
      <c r="K80" s="23"/>
      <c r="L80" s="23">
        <f t="shared" si="17"/>
        <v>720</v>
      </c>
      <c r="M80" s="57"/>
      <c r="O80" s="56">
        <v>176</v>
      </c>
      <c r="P80" s="44"/>
      <c r="Q80" s="23">
        <f t="shared" si="11"/>
        <v>720</v>
      </c>
      <c r="R80" s="23"/>
      <c r="S80" s="23"/>
      <c r="T80" s="23"/>
      <c r="U80" s="23"/>
      <c r="V80" s="23"/>
      <c r="W80" s="23"/>
      <c r="X80" s="23"/>
      <c r="Y80" s="23">
        <f t="shared" si="16"/>
        <v>720</v>
      </c>
      <c r="Z80" s="57"/>
      <c r="AF80" s="42">
        <f t="shared" ca="1" si="12"/>
        <v>42479</v>
      </c>
      <c r="AG80" s="40">
        <f t="shared" si="13"/>
        <v>0</v>
      </c>
      <c r="AH80" s="42">
        <f t="shared" ca="1" si="14"/>
        <v>42479</v>
      </c>
      <c r="AI80" s="40">
        <f t="shared" si="15"/>
        <v>0</v>
      </c>
    </row>
    <row r="81" spans="2:35" ht="21" customHeight="1">
      <c r="B81" s="54">
        <v>77</v>
      </c>
      <c r="C81" s="43"/>
      <c r="D81" s="22">
        <f t="shared" si="10"/>
        <v>720</v>
      </c>
      <c r="E81" s="22"/>
      <c r="F81" s="22"/>
      <c r="G81" s="22"/>
      <c r="H81" s="22"/>
      <c r="I81" s="22"/>
      <c r="J81" s="22"/>
      <c r="K81" s="22"/>
      <c r="L81" s="22">
        <f t="shared" si="17"/>
        <v>720</v>
      </c>
      <c r="M81" s="55"/>
      <c r="O81" s="54">
        <v>177</v>
      </c>
      <c r="P81" s="43"/>
      <c r="Q81" s="22">
        <f t="shared" si="11"/>
        <v>720</v>
      </c>
      <c r="R81" s="22"/>
      <c r="S81" s="22"/>
      <c r="T81" s="22"/>
      <c r="U81" s="22"/>
      <c r="V81" s="22"/>
      <c r="W81" s="22"/>
      <c r="X81" s="22"/>
      <c r="Y81" s="22">
        <f t="shared" si="16"/>
        <v>720</v>
      </c>
      <c r="Z81" s="55"/>
      <c r="AF81" s="42">
        <f t="shared" ca="1" si="12"/>
        <v>42479</v>
      </c>
      <c r="AG81" s="40">
        <f t="shared" si="13"/>
        <v>0</v>
      </c>
      <c r="AH81" s="42">
        <f t="shared" ca="1" si="14"/>
        <v>42479</v>
      </c>
      <c r="AI81" s="40">
        <f t="shared" si="15"/>
        <v>0</v>
      </c>
    </row>
    <row r="82" spans="2:35" ht="21" customHeight="1">
      <c r="B82" s="56">
        <v>78</v>
      </c>
      <c r="C82" s="44"/>
      <c r="D82" s="23">
        <f t="shared" si="10"/>
        <v>720</v>
      </c>
      <c r="E82" s="23"/>
      <c r="F82" s="23"/>
      <c r="G82" s="23"/>
      <c r="H82" s="23"/>
      <c r="I82" s="23"/>
      <c r="J82" s="23"/>
      <c r="K82" s="23"/>
      <c r="L82" s="23">
        <f t="shared" si="17"/>
        <v>720</v>
      </c>
      <c r="M82" s="57"/>
      <c r="O82" s="56">
        <v>178</v>
      </c>
      <c r="P82" s="44"/>
      <c r="Q82" s="23">
        <f t="shared" si="11"/>
        <v>720</v>
      </c>
      <c r="R82" s="23"/>
      <c r="S82" s="23"/>
      <c r="T82" s="23"/>
      <c r="U82" s="23"/>
      <c r="V82" s="23"/>
      <c r="W82" s="23"/>
      <c r="X82" s="23"/>
      <c r="Y82" s="23">
        <f t="shared" si="16"/>
        <v>720</v>
      </c>
      <c r="Z82" s="57"/>
      <c r="AF82" s="42">
        <f t="shared" ca="1" si="12"/>
        <v>42479</v>
      </c>
      <c r="AG82" s="40">
        <f t="shared" si="13"/>
        <v>0</v>
      </c>
      <c r="AH82" s="42">
        <f t="shared" ca="1" si="14"/>
        <v>42479</v>
      </c>
      <c r="AI82" s="40">
        <f t="shared" si="15"/>
        <v>0</v>
      </c>
    </row>
    <row r="83" spans="2:35" ht="21" customHeight="1">
      <c r="B83" s="54">
        <v>79</v>
      </c>
      <c r="C83" s="43"/>
      <c r="D83" s="22">
        <f t="shared" si="10"/>
        <v>720</v>
      </c>
      <c r="E83" s="22"/>
      <c r="F83" s="22"/>
      <c r="G83" s="22"/>
      <c r="H83" s="22"/>
      <c r="I83" s="22"/>
      <c r="J83" s="22"/>
      <c r="K83" s="22"/>
      <c r="L83" s="22">
        <f t="shared" si="17"/>
        <v>720</v>
      </c>
      <c r="M83" s="55"/>
      <c r="O83" s="54">
        <v>179</v>
      </c>
      <c r="P83" s="43"/>
      <c r="Q83" s="22">
        <f t="shared" si="11"/>
        <v>720</v>
      </c>
      <c r="R83" s="22"/>
      <c r="S83" s="22"/>
      <c r="T83" s="22"/>
      <c r="U83" s="22"/>
      <c r="V83" s="22"/>
      <c r="W83" s="22"/>
      <c r="X83" s="22"/>
      <c r="Y83" s="22">
        <f t="shared" si="16"/>
        <v>720</v>
      </c>
      <c r="Z83" s="55"/>
      <c r="AF83" s="42">
        <f t="shared" ca="1" si="12"/>
        <v>42479</v>
      </c>
      <c r="AG83" s="40">
        <f t="shared" si="13"/>
        <v>0</v>
      </c>
      <c r="AH83" s="42">
        <f t="shared" ca="1" si="14"/>
        <v>42479</v>
      </c>
      <c r="AI83" s="40">
        <f t="shared" si="15"/>
        <v>0</v>
      </c>
    </row>
    <row r="84" spans="2:35" ht="21" customHeight="1">
      <c r="B84" s="56">
        <v>80</v>
      </c>
      <c r="C84" s="44"/>
      <c r="D84" s="23">
        <f t="shared" si="10"/>
        <v>720</v>
      </c>
      <c r="E84" s="23"/>
      <c r="F84" s="23"/>
      <c r="G84" s="23"/>
      <c r="H84" s="23"/>
      <c r="I84" s="23"/>
      <c r="J84" s="23"/>
      <c r="K84" s="23"/>
      <c r="L84" s="23">
        <f t="shared" si="17"/>
        <v>720</v>
      </c>
      <c r="M84" s="57"/>
      <c r="O84" s="56">
        <v>180</v>
      </c>
      <c r="P84" s="44"/>
      <c r="Q84" s="23">
        <f t="shared" si="11"/>
        <v>720</v>
      </c>
      <c r="R84" s="23"/>
      <c r="S84" s="23"/>
      <c r="T84" s="23"/>
      <c r="U84" s="23"/>
      <c r="V84" s="23"/>
      <c r="W84" s="23"/>
      <c r="X84" s="23"/>
      <c r="Y84" s="23">
        <f t="shared" si="16"/>
        <v>720</v>
      </c>
      <c r="Z84" s="57"/>
      <c r="AF84" s="42">
        <f t="shared" ca="1" si="12"/>
        <v>42479</v>
      </c>
      <c r="AG84" s="40">
        <f t="shared" si="13"/>
        <v>0</v>
      </c>
      <c r="AH84" s="42">
        <f t="shared" ca="1" si="14"/>
        <v>42479</v>
      </c>
      <c r="AI84" s="40">
        <f t="shared" si="15"/>
        <v>0</v>
      </c>
    </row>
    <row r="85" spans="2:35" ht="21" customHeight="1">
      <c r="B85" s="54">
        <v>81</v>
      </c>
      <c r="C85" s="43"/>
      <c r="D85" s="22">
        <f t="shared" si="10"/>
        <v>720</v>
      </c>
      <c r="E85" s="22"/>
      <c r="F85" s="22"/>
      <c r="G85" s="22"/>
      <c r="H85" s="22"/>
      <c r="I85" s="22"/>
      <c r="J85" s="22"/>
      <c r="K85" s="22"/>
      <c r="L85" s="22">
        <f t="shared" si="17"/>
        <v>720</v>
      </c>
      <c r="M85" s="55"/>
      <c r="O85" s="54">
        <v>181</v>
      </c>
      <c r="P85" s="43"/>
      <c r="Q85" s="22">
        <f t="shared" si="11"/>
        <v>720</v>
      </c>
      <c r="R85" s="22"/>
      <c r="S85" s="22"/>
      <c r="T85" s="22"/>
      <c r="U85" s="22"/>
      <c r="V85" s="22"/>
      <c r="W85" s="22"/>
      <c r="X85" s="22"/>
      <c r="Y85" s="22">
        <f t="shared" si="16"/>
        <v>720</v>
      </c>
      <c r="Z85" s="55"/>
      <c r="AF85" s="42">
        <f t="shared" ca="1" si="12"/>
        <v>42479</v>
      </c>
      <c r="AG85" s="40">
        <f t="shared" si="13"/>
        <v>0</v>
      </c>
      <c r="AH85" s="42">
        <f t="shared" ca="1" si="14"/>
        <v>42479</v>
      </c>
      <c r="AI85" s="40">
        <f t="shared" si="15"/>
        <v>0</v>
      </c>
    </row>
    <row r="86" spans="2:35" ht="21" customHeight="1">
      <c r="B86" s="56">
        <v>82</v>
      </c>
      <c r="C86" s="44"/>
      <c r="D86" s="23">
        <f t="shared" si="10"/>
        <v>720</v>
      </c>
      <c r="E86" s="23"/>
      <c r="F86" s="23"/>
      <c r="G86" s="23"/>
      <c r="H86" s="23"/>
      <c r="I86" s="23"/>
      <c r="J86" s="23"/>
      <c r="K86" s="23"/>
      <c r="L86" s="23">
        <f t="shared" si="17"/>
        <v>720</v>
      </c>
      <c r="M86" s="57"/>
      <c r="O86" s="56">
        <v>182</v>
      </c>
      <c r="P86" s="44"/>
      <c r="Q86" s="23">
        <f t="shared" si="11"/>
        <v>720</v>
      </c>
      <c r="R86" s="23"/>
      <c r="S86" s="23"/>
      <c r="T86" s="23"/>
      <c r="U86" s="23"/>
      <c r="V86" s="23"/>
      <c r="W86" s="23"/>
      <c r="X86" s="23"/>
      <c r="Y86" s="23">
        <f t="shared" si="16"/>
        <v>720</v>
      </c>
      <c r="Z86" s="57"/>
      <c r="AF86" s="42">
        <f t="shared" ca="1" si="12"/>
        <v>42479</v>
      </c>
      <c r="AG86" s="40">
        <f t="shared" si="13"/>
        <v>0</v>
      </c>
      <c r="AH86" s="42">
        <f t="shared" ca="1" si="14"/>
        <v>42479</v>
      </c>
      <c r="AI86" s="40">
        <f t="shared" si="15"/>
        <v>0</v>
      </c>
    </row>
    <row r="87" spans="2:35" ht="21" customHeight="1">
      <c r="B87" s="54">
        <v>83</v>
      </c>
      <c r="C87" s="43"/>
      <c r="D87" s="22">
        <f t="shared" si="10"/>
        <v>720</v>
      </c>
      <c r="E87" s="22"/>
      <c r="F87" s="22"/>
      <c r="G87" s="22"/>
      <c r="H87" s="22"/>
      <c r="I87" s="22"/>
      <c r="J87" s="22"/>
      <c r="K87" s="22"/>
      <c r="L87" s="22">
        <f t="shared" si="17"/>
        <v>720</v>
      </c>
      <c r="M87" s="55"/>
      <c r="O87" s="54">
        <v>183</v>
      </c>
      <c r="P87" s="43"/>
      <c r="Q87" s="22">
        <f t="shared" si="11"/>
        <v>720</v>
      </c>
      <c r="R87" s="22"/>
      <c r="S87" s="22"/>
      <c r="T87" s="22"/>
      <c r="U87" s="22"/>
      <c r="V87" s="22"/>
      <c r="W87" s="22"/>
      <c r="X87" s="22"/>
      <c r="Y87" s="22">
        <f t="shared" si="16"/>
        <v>720</v>
      </c>
      <c r="Z87" s="55"/>
      <c r="AF87" s="42">
        <f t="shared" ca="1" si="12"/>
        <v>42479</v>
      </c>
      <c r="AG87" s="40">
        <f t="shared" si="13"/>
        <v>0</v>
      </c>
      <c r="AH87" s="42">
        <f t="shared" ca="1" si="14"/>
        <v>42479</v>
      </c>
      <c r="AI87" s="40">
        <f t="shared" si="15"/>
        <v>0</v>
      </c>
    </row>
    <row r="88" spans="2:35" ht="21" customHeight="1">
      <c r="B88" s="56">
        <v>84</v>
      </c>
      <c r="C88" s="44"/>
      <c r="D88" s="23">
        <f t="shared" si="10"/>
        <v>720</v>
      </c>
      <c r="E88" s="23"/>
      <c r="F88" s="23"/>
      <c r="G88" s="23"/>
      <c r="H88" s="23"/>
      <c r="I88" s="23"/>
      <c r="J88" s="23"/>
      <c r="K88" s="23"/>
      <c r="L88" s="23">
        <f t="shared" si="17"/>
        <v>720</v>
      </c>
      <c r="M88" s="57"/>
      <c r="O88" s="56">
        <v>184</v>
      </c>
      <c r="P88" s="44"/>
      <c r="Q88" s="23">
        <f t="shared" si="11"/>
        <v>720</v>
      </c>
      <c r="R88" s="23"/>
      <c r="S88" s="23"/>
      <c r="T88" s="23"/>
      <c r="U88" s="23"/>
      <c r="V88" s="23"/>
      <c r="W88" s="23"/>
      <c r="X88" s="23"/>
      <c r="Y88" s="23">
        <f t="shared" si="16"/>
        <v>720</v>
      </c>
      <c r="Z88" s="57"/>
      <c r="AF88" s="42">
        <f t="shared" ca="1" si="12"/>
        <v>42479</v>
      </c>
      <c r="AG88" s="40">
        <f t="shared" si="13"/>
        <v>0</v>
      </c>
      <c r="AH88" s="42">
        <f t="shared" ca="1" si="14"/>
        <v>42479</v>
      </c>
      <c r="AI88" s="40">
        <f t="shared" si="15"/>
        <v>0</v>
      </c>
    </row>
    <row r="89" spans="2:35" ht="21" customHeight="1">
      <c r="B89" s="54">
        <v>85</v>
      </c>
      <c r="C89" s="43"/>
      <c r="D89" s="22">
        <f t="shared" si="10"/>
        <v>720</v>
      </c>
      <c r="E89" s="22"/>
      <c r="F89" s="22"/>
      <c r="G89" s="22"/>
      <c r="H89" s="22"/>
      <c r="I89" s="22"/>
      <c r="J89" s="22"/>
      <c r="K89" s="22"/>
      <c r="L89" s="22">
        <f t="shared" si="17"/>
        <v>720</v>
      </c>
      <c r="M89" s="55"/>
      <c r="O89" s="54">
        <v>185</v>
      </c>
      <c r="P89" s="43"/>
      <c r="Q89" s="22">
        <f t="shared" si="11"/>
        <v>720</v>
      </c>
      <c r="R89" s="22"/>
      <c r="S89" s="22"/>
      <c r="T89" s="22"/>
      <c r="U89" s="22"/>
      <c r="V89" s="22"/>
      <c r="W89" s="22"/>
      <c r="X89" s="22"/>
      <c r="Y89" s="22">
        <f t="shared" si="16"/>
        <v>720</v>
      </c>
      <c r="Z89" s="55"/>
      <c r="AF89" s="42">
        <f t="shared" ca="1" si="12"/>
        <v>42479</v>
      </c>
      <c r="AG89" s="40">
        <f t="shared" si="13"/>
        <v>0</v>
      </c>
      <c r="AH89" s="42">
        <f t="shared" ca="1" si="14"/>
        <v>42479</v>
      </c>
      <c r="AI89" s="40">
        <f t="shared" si="15"/>
        <v>0</v>
      </c>
    </row>
    <row r="90" spans="2:35" ht="21" customHeight="1">
      <c r="B90" s="56">
        <v>86</v>
      </c>
      <c r="C90" s="44"/>
      <c r="D90" s="23">
        <f t="shared" si="10"/>
        <v>720</v>
      </c>
      <c r="E90" s="23"/>
      <c r="F90" s="23"/>
      <c r="G90" s="23"/>
      <c r="H90" s="23"/>
      <c r="I90" s="23"/>
      <c r="J90" s="23"/>
      <c r="K90" s="23"/>
      <c r="L90" s="23">
        <f t="shared" si="17"/>
        <v>720</v>
      </c>
      <c r="M90" s="57"/>
      <c r="O90" s="56">
        <v>186</v>
      </c>
      <c r="P90" s="44"/>
      <c r="Q90" s="23">
        <f t="shared" si="11"/>
        <v>720</v>
      </c>
      <c r="R90" s="23"/>
      <c r="S90" s="23"/>
      <c r="T90" s="23"/>
      <c r="U90" s="23"/>
      <c r="V90" s="23"/>
      <c r="W90" s="23"/>
      <c r="X90" s="23"/>
      <c r="Y90" s="23">
        <f t="shared" si="16"/>
        <v>720</v>
      </c>
      <c r="Z90" s="57"/>
      <c r="AF90" s="42">
        <f t="shared" ca="1" si="12"/>
        <v>42479</v>
      </c>
      <c r="AG90" s="40">
        <f t="shared" si="13"/>
        <v>0</v>
      </c>
      <c r="AH90" s="42">
        <f t="shared" ca="1" si="14"/>
        <v>42479</v>
      </c>
      <c r="AI90" s="40">
        <f t="shared" si="15"/>
        <v>0</v>
      </c>
    </row>
    <row r="91" spans="2:35" ht="21" customHeight="1">
      <c r="B91" s="54">
        <v>87</v>
      </c>
      <c r="C91" s="43"/>
      <c r="D91" s="22">
        <f t="shared" si="10"/>
        <v>720</v>
      </c>
      <c r="E91" s="22"/>
      <c r="F91" s="22"/>
      <c r="G91" s="22"/>
      <c r="H91" s="22"/>
      <c r="I91" s="22"/>
      <c r="J91" s="22"/>
      <c r="K91" s="22"/>
      <c r="L91" s="22">
        <f t="shared" si="17"/>
        <v>720</v>
      </c>
      <c r="M91" s="55"/>
      <c r="O91" s="54">
        <v>187</v>
      </c>
      <c r="P91" s="43"/>
      <c r="Q91" s="22">
        <f t="shared" si="11"/>
        <v>720</v>
      </c>
      <c r="R91" s="22"/>
      <c r="S91" s="22"/>
      <c r="T91" s="22"/>
      <c r="U91" s="22"/>
      <c r="V91" s="22"/>
      <c r="W91" s="22"/>
      <c r="X91" s="22"/>
      <c r="Y91" s="22">
        <f t="shared" si="16"/>
        <v>720</v>
      </c>
      <c r="Z91" s="55"/>
      <c r="AF91" s="42">
        <f t="shared" ca="1" si="12"/>
        <v>42479</v>
      </c>
      <c r="AG91" s="40">
        <f t="shared" si="13"/>
        <v>0</v>
      </c>
      <c r="AH91" s="42">
        <f t="shared" ca="1" si="14"/>
        <v>42479</v>
      </c>
      <c r="AI91" s="40">
        <f t="shared" si="15"/>
        <v>0</v>
      </c>
    </row>
    <row r="92" spans="2:35" ht="21" customHeight="1">
      <c r="B92" s="56">
        <v>88</v>
      </c>
      <c r="C92" s="44"/>
      <c r="D92" s="23">
        <f t="shared" si="10"/>
        <v>720</v>
      </c>
      <c r="E92" s="23"/>
      <c r="F92" s="23"/>
      <c r="G92" s="23"/>
      <c r="H92" s="23"/>
      <c r="I92" s="23"/>
      <c r="J92" s="23"/>
      <c r="K92" s="23"/>
      <c r="L92" s="23">
        <f t="shared" si="17"/>
        <v>720</v>
      </c>
      <c r="M92" s="57"/>
      <c r="O92" s="56">
        <v>188</v>
      </c>
      <c r="P92" s="44"/>
      <c r="Q92" s="23">
        <f t="shared" si="11"/>
        <v>720</v>
      </c>
      <c r="R92" s="23"/>
      <c r="S92" s="23"/>
      <c r="T92" s="23"/>
      <c r="U92" s="23"/>
      <c r="V92" s="23"/>
      <c r="W92" s="23"/>
      <c r="X92" s="23"/>
      <c r="Y92" s="23">
        <f t="shared" si="16"/>
        <v>720</v>
      </c>
      <c r="Z92" s="57"/>
      <c r="AF92" s="42">
        <f t="shared" ca="1" si="12"/>
        <v>42479</v>
      </c>
      <c r="AG92" s="40">
        <f t="shared" si="13"/>
        <v>0</v>
      </c>
      <c r="AH92" s="42">
        <f t="shared" ca="1" si="14"/>
        <v>42479</v>
      </c>
      <c r="AI92" s="40">
        <f t="shared" si="15"/>
        <v>0</v>
      </c>
    </row>
    <row r="93" spans="2:35" ht="21" customHeight="1">
      <c r="B93" s="54">
        <v>89</v>
      </c>
      <c r="C93" s="43"/>
      <c r="D93" s="22">
        <f t="shared" si="10"/>
        <v>720</v>
      </c>
      <c r="E93" s="22"/>
      <c r="F93" s="22"/>
      <c r="G93" s="22"/>
      <c r="H93" s="22"/>
      <c r="I93" s="22"/>
      <c r="J93" s="22"/>
      <c r="K93" s="22"/>
      <c r="L93" s="22">
        <f t="shared" si="17"/>
        <v>720</v>
      </c>
      <c r="M93" s="55"/>
      <c r="O93" s="54">
        <v>189</v>
      </c>
      <c r="P93" s="43"/>
      <c r="Q93" s="22">
        <f t="shared" si="11"/>
        <v>720</v>
      </c>
      <c r="R93" s="22"/>
      <c r="S93" s="22"/>
      <c r="T93" s="22"/>
      <c r="U93" s="22"/>
      <c r="V93" s="22"/>
      <c r="W93" s="22"/>
      <c r="X93" s="22"/>
      <c r="Y93" s="22">
        <f t="shared" si="16"/>
        <v>720</v>
      </c>
      <c r="Z93" s="55"/>
      <c r="AF93" s="42">
        <f t="shared" ca="1" si="12"/>
        <v>42479</v>
      </c>
      <c r="AG93" s="40">
        <f t="shared" si="13"/>
        <v>0</v>
      </c>
      <c r="AH93" s="42">
        <f t="shared" ca="1" si="14"/>
        <v>42479</v>
      </c>
      <c r="AI93" s="40">
        <f t="shared" si="15"/>
        <v>0</v>
      </c>
    </row>
    <row r="94" spans="2:35" ht="21" customHeight="1">
      <c r="B94" s="56">
        <v>90</v>
      </c>
      <c r="C94" s="44"/>
      <c r="D94" s="23">
        <f t="shared" si="10"/>
        <v>720</v>
      </c>
      <c r="E94" s="23"/>
      <c r="F94" s="23"/>
      <c r="G94" s="23"/>
      <c r="H94" s="23"/>
      <c r="I94" s="23"/>
      <c r="J94" s="23"/>
      <c r="K94" s="23"/>
      <c r="L94" s="23">
        <f t="shared" si="17"/>
        <v>720</v>
      </c>
      <c r="M94" s="57"/>
      <c r="O94" s="56">
        <v>190</v>
      </c>
      <c r="P94" s="44"/>
      <c r="Q94" s="23">
        <f t="shared" si="11"/>
        <v>720</v>
      </c>
      <c r="R94" s="23"/>
      <c r="S94" s="23"/>
      <c r="T94" s="23"/>
      <c r="U94" s="23"/>
      <c r="V94" s="23"/>
      <c r="W94" s="23"/>
      <c r="X94" s="23"/>
      <c r="Y94" s="23">
        <f t="shared" si="16"/>
        <v>720</v>
      </c>
      <c r="Z94" s="57"/>
      <c r="AF94" s="42">
        <f t="shared" ca="1" si="12"/>
        <v>42479</v>
      </c>
      <c r="AG94" s="40">
        <f t="shared" si="13"/>
        <v>0</v>
      </c>
      <c r="AH94" s="42">
        <f t="shared" ca="1" si="14"/>
        <v>42479</v>
      </c>
      <c r="AI94" s="40">
        <f t="shared" si="15"/>
        <v>0</v>
      </c>
    </row>
    <row r="95" spans="2:35" ht="21" customHeight="1">
      <c r="B95" s="54">
        <v>91</v>
      </c>
      <c r="C95" s="43"/>
      <c r="D95" s="22">
        <f t="shared" si="10"/>
        <v>720</v>
      </c>
      <c r="E95" s="22"/>
      <c r="F95" s="22"/>
      <c r="G95" s="22"/>
      <c r="H95" s="22"/>
      <c r="I95" s="22"/>
      <c r="J95" s="22"/>
      <c r="K95" s="22"/>
      <c r="L95" s="22">
        <f t="shared" si="17"/>
        <v>720</v>
      </c>
      <c r="M95" s="55"/>
      <c r="O95" s="54">
        <v>191</v>
      </c>
      <c r="P95" s="43"/>
      <c r="Q95" s="22">
        <f t="shared" si="11"/>
        <v>720</v>
      </c>
      <c r="R95" s="22"/>
      <c r="S95" s="22"/>
      <c r="T95" s="22"/>
      <c r="U95" s="22"/>
      <c r="V95" s="22"/>
      <c r="W95" s="22"/>
      <c r="X95" s="22"/>
      <c r="Y95" s="22">
        <f t="shared" si="16"/>
        <v>720</v>
      </c>
      <c r="Z95" s="55"/>
      <c r="AF95" s="42">
        <f t="shared" ca="1" si="12"/>
        <v>42479</v>
      </c>
      <c r="AG95" s="40">
        <f t="shared" si="13"/>
        <v>0</v>
      </c>
      <c r="AH95" s="42">
        <f t="shared" ca="1" si="14"/>
        <v>42479</v>
      </c>
      <c r="AI95" s="40">
        <f t="shared" si="15"/>
        <v>0</v>
      </c>
    </row>
    <row r="96" spans="2:35" ht="21" customHeight="1">
      <c r="B96" s="56">
        <v>92</v>
      </c>
      <c r="C96" s="44"/>
      <c r="D96" s="23">
        <f t="shared" si="10"/>
        <v>720</v>
      </c>
      <c r="E96" s="23"/>
      <c r="F96" s="23"/>
      <c r="G96" s="23"/>
      <c r="H96" s="23"/>
      <c r="I96" s="23"/>
      <c r="J96" s="23"/>
      <c r="K96" s="23"/>
      <c r="L96" s="23">
        <f t="shared" si="17"/>
        <v>720</v>
      </c>
      <c r="M96" s="57"/>
      <c r="O96" s="56">
        <v>192</v>
      </c>
      <c r="P96" s="44"/>
      <c r="Q96" s="23">
        <f t="shared" si="11"/>
        <v>720</v>
      </c>
      <c r="R96" s="23"/>
      <c r="S96" s="23"/>
      <c r="T96" s="23"/>
      <c r="U96" s="23"/>
      <c r="V96" s="23"/>
      <c r="W96" s="23"/>
      <c r="X96" s="23"/>
      <c r="Y96" s="23">
        <f t="shared" si="16"/>
        <v>720</v>
      </c>
      <c r="Z96" s="57"/>
      <c r="AF96" s="42">
        <f t="shared" ca="1" si="12"/>
        <v>42479</v>
      </c>
      <c r="AG96" s="40">
        <f t="shared" si="13"/>
        <v>0</v>
      </c>
      <c r="AH96" s="42">
        <f t="shared" ca="1" si="14"/>
        <v>42479</v>
      </c>
      <c r="AI96" s="40">
        <f t="shared" si="15"/>
        <v>0</v>
      </c>
    </row>
    <row r="97" spans="2:35" ht="21" customHeight="1">
      <c r="B97" s="54">
        <v>93</v>
      </c>
      <c r="C97" s="43"/>
      <c r="D97" s="22">
        <f t="shared" si="10"/>
        <v>720</v>
      </c>
      <c r="E97" s="22"/>
      <c r="F97" s="22"/>
      <c r="G97" s="22"/>
      <c r="H97" s="22"/>
      <c r="I97" s="22"/>
      <c r="J97" s="22"/>
      <c r="K97" s="22"/>
      <c r="L97" s="22">
        <f t="shared" si="17"/>
        <v>720</v>
      </c>
      <c r="M97" s="55"/>
      <c r="O97" s="54">
        <v>193</v>
      </c>
      <c r="P97" s="43"/>
      <c r="Q97" s="22">
        <f t="shared" si="11"/>
        <v>720</v>
      </c>
      <c r="R97" s="22"/>
      <c r="S97" s="22"/>
      <c r="T97" s="22"/>
      <c r="U97" s="22"/>
      <c r="V97" s="22"/>
      <c r="W97" s="22"/>
      <c r="X97" s="22"/>
      <c r="Y97" s="22">
        <f t="shared" si="16"/>
        <v>720</v>
      </c>
      <c r="Z97" s="55"/>
      <c r="AF97" s="42">
        <f t="shared" ca="1" si="12"/>
        <v>42479</v>
      </c>
      <c r="AG97" s="40">
        <f t="shared" si="13"/>
        <v>0</v>
      </c>
      <c r="AH97" s="42">
        <f t="shared" ca="1" si="14"/>
        <v>42479</v>
      </c>
      <c r="AI97" s="40">
        <f t="shared" si="15"/>
        <v>0</v>
      </c>
    </row>
    <row r="98" spans="2:35" ht="21" customHeight="1">
      <c r="B98" s="56">
        <v>94</v>
      </c>
      <c r="C98" s="44"/>
      <c r="D98" s="23">
        <f t="shared" si="10"/>
        <v>720</v>
      </c>
      <c r="E98" s="23"/>
      <c r="F98" s="23"/>
      <c r="G98" s="23"/>
      <c r="H98" s="23"/>
      <c r="I98" s="23"/>
      <c r="J98" s="23"/>
      <c r="K98" s="23"/>
      <c r="L98" s="23">
        <f t="shared" si="17"/>
        <v>720</v>
      </c>
      <c r="M98" s="57"/>
      <c r="O98" s="56">
        <v>194</v>
      </c>
      <c r="P98" s="44"/>
      <c r="Q98" s="23">
        <f t="shared" si="11"/>
        <v>720</v>
      </c>
      <c r="R98" s="23"/>
      <c r="S98" s="23"/>
      <c r="T98" s="23"/>
      <c r="U98" s="23"/>
      <c r="V98" s="23"/>
      <c r="W98" s="23"/>
      <c r="X98" s="23"/>
      <c r="Y98" s="23">
        <f t="shared" si="16"/>
        <v>720</v>
      </c>
      <c r="Z98" s="57"/>
      <c r="AF98" s="42">
        <f t="shared" ca="1" si="12"/>
        <v>42479</v>
      </c>
      <c r="AG98" s="40">
        <f t="shared" si="13"/>
        <v>0</v>
      </c>
      <c r="AH98" s="42">
        <f t="shared" ca="1" si="14"/>
        <v>42479</v>
      </c>
      <c r="AI98" s="40">
        <f t="shared" si="15"/>
        <v>0</v>
      </c>
    </row>
    <row r="99" spans="2:35" ht="21" customHeight="1">
      <c r="B99" s="54">
        <v>95</v>
      </c>
      <c r="C99" s="43"/>
      <c r="D99" s="22">
        <f t="shared" si="10"/>
        <v>720</v>
      </c>
      <c r="E99" s="22"/>
      <c r="F99" s="22"/>
      <c r="G99" s="22"/>
      <c r="H99" s="22"/>
      <c r="I99" s="22"/>
      <c r="J99" s="22"/>
      <c r="K99" s="22"/>
      <c r="L99" s="22">
        <f t="shared" si="17"/>
        <v>720</v>
      </c>
      <c r="M99" s="55"/>
      <c r="O99" s="54">
        <v>195</v>
      </c>
      <c r="P99" s="43"/>
      <c r="Q99" s="22">
        <f t="shared" si="11"/>
        <v>720</v>
      </c>
      <c r="R99" s="22"/>
      <c r="S99" s="22"/>
      <c r="T99" s="22"/>
      <c r="U99" s="22"/>
      <c r="V99" s="22"/>
      <c r="W99" s="22"/>
      <c r="X99" s="22"/>
      <c r="Y99" s="22">
        <f t="shared" si="16"/>
        <v>720</v>
      </c>
      <c r="Z99" s="55"/>
      <c r="AF99" s="42">
        <f t="shared" ca="1" si="12"/>
        <v>42479</v>
      </c>
      <c r="AG99" s="40">
        <f t="shared" si="13"/>
        <v>0</v>
      </c>
      <c r="AH99" s="42">
        <f t="shared" ca="1" si="14"/>
        <v>42479</v>
      </c>
      <c r="AI99" s="40">
        <f t="shared" si="15"/>
        <v>0</v>
      </c>
    </row>
    <row r="100" spans="2:35" ht="21" customHeight="1">
      <c r="B100" s="56">
        <v>96</v>
      </c>
      <c r="C100" s="44"/>
      <c r="D100" s="23">
        <f t="shared" si="10"/>
        <v>720</v>
      </c>
      <c r="E100" s="23"/>
      <c r="F100" s="23"/>
      <c r="G100" s="23"/>
      <c r="H100" s="23"/>
      <c r="I100" s="23"/>
      <c r="J100" s="23"/>
      <c r="K100" s="23"/>
      <c r="L100" s="23">
        <f t="shared" si="17"/>
        <v>720</v>
      </c>
      <c r="M100" s="57"/>
      <c r="O100" s="56">
        <v>196</v>
      </c>
      <c r="P100" s="44"/>
      <c r="Q100" s="23">
        <f t="shared" si="11"/>
        <v>720</v>
      </c>
      <c r="R100" s="23"/>
      <c r="S100" s="23"/>
      <c r="T100" s="23"/>
      <c r="U100" s="23"/>
      <c r="V100" s="23"/>
      <c r="W100" s="23"/>
      <c r="X100" s="23"/>
      <c r="Y100" s="23">
        <f t="shared" si="16"/>
        <v>720</v>
      </c>
      <c r="Z100" s="57"/>
      <c r="AF100" s="42">
        <f t="shared" ca="1" si="12"/>
        <v>42479</v>
      </c>
      <c r="AG100" s="40">
        <f t="shared" si="13"/>
        <v>0</v>
      </c>
      <c r="AH100" s="42">
        <f t="shared" ca="1" si="14"/>
        <v>42479</v>
      </c>
      <c r="AI100" s="40">
        <f t="shared" si="15"/>
        <v>0</v>
      </c>
    </row>
    <row r="101" spans="2:35" ht="21" customHeight="1">
      <c r="B101" s="54">
        <v>97</v>
      </c>
      <c r="C101" s="43"/>
      <c r="D101" s="22">
        <f t="shared" si="10"/>
        <v>720</v>
      </c>
      <c r="E101" s="22"/>
      <c r="F101" s="22"/>
      <c r="G101" s="22"/>
      <c r="H101" s="22"/>
      <c r="I101" s="22"/>
      <c r="J101" s="22"/>
      <c r="K101" s="22"/>
      <c r="L101" s="22">
        <f t="shared" si="17"/>
        <v>720</v>
      </c>
      <c r="M101" s="55"/>
      <c r="O101" s="54">
        <v>197</v>
      </c>
      <c r="P101" s="43"/>
      <c r="Q101" s="22">
        <f t="shared" si="11"/>
        <v>720</v>
      </c>
      <c r="R101" s="22"/>
      <c r="S101" s="22"/>
      <c r="T101" s="22"/>
      <c r="U101" s="22"/>
      <c r="V101" s="22"/>
      <c r="W101" s="22"/>
      <c r="X101" s="22"/>
      <c r="Y101" s="22">
        <f t="shared" si="16"/>
        <v>720</v>
      </c>
      <c r="Z101" s="55"/>
      <c r="AF101" s="42">
        <f t="shared" ca="1" si="12"/>
        <v>42479</v>
      </c>
      <c r="AG101" s="40">
        <f t="shared" si="13"/>
        <v>0</v>
      </c>
      <c r="AH101" s="42">
        <f t="shared" ca="1" si="14"/>
        <v>42479</v>
      </c>
      <c r="AI101" s="40">
        <f t="shared" si="15"/>
        <v>0</v>
      </c>
    </row>
    <row r="102" spans="2:35" ht="21" customHeight="1">
      <c r="B102" s="56">
        <v>98</v>
      </c>
      <c r="C102" s="44"/>
      <c r="D102" s="23">
        <f t="shared" si="10"/>
        <v>720</v>
      </c>
      <c r="E102" s="23"/>
      <c r="F102" s="23"/>
      <c r="G102" s="23"/>
      <c r="H102" s="23"/>
      <c r="I102" s="23"/>
      <c r="J102" s="23"/>
      <c r="K102" s="23"/>
      <c r="L102" s="23">
        <f t="shared" si="17"/>
        <v>720</v>
      </c>
      <c r="M102" s="57"/>
      <c r="O102" s="56">
        <v>198</v>
      </c>
      <c r="P102" s="44"/>
      <c r="Q102" s="23">
        <f t="shared" si="11"/>
        <v>720</v>
      </c>
      <c r="R102" s="23"/>
      <c r="S102" s="23"/>
      <c r="T102" s="23"/>
      <c r="U102" s="23"/>
      <c r="V102" s="23"/>
      <c r="W102" s="23"/>
      <c r="X102" s="23"/>
      <c r="Y102" s="23">
        <f t="shared" si="16"/>
        <v>720</v>
      </c>
      <c r="Z102" s="57"/>
      <c r="AF102" s="42">
        <f t="shared" ca="1" si="12"/>
        <v>42479</v>
      </c>
      <c r="AG102" s="40">
        <f t="shared" si="13"/>
        <v>0</v>
      </c>
      <c r="AH102" s="42">
        <f t="shared" ca="1" si="14"/>
        <v>42479</v>
      </c>
      <c r="AI102" s="40">
        <f t="shared" si="15"/>
        <v>0</v>
      </c>
    </row>
    <row r="103" spans="2:35" ht="21" customHeight="1">
      <c r="B103" s="54">
        <v>99</v>
      </c>
      <c r="C103" s="43"/>
      <c r="D103" s="22">
        <f t="shared" si="10"/>
        <v>720</v>
      </c>
      <c r="E103" s="22"/>
      <c r="F103" s="22"/>
      <c r="G103" s="22"/>
      <c r="H103" s="22"/>
      <c r="I103" s="22"/>
      <c r="J103" s="22"/>
      <c r="K103" s="22"/>
      <c r="L103" s="22">
        <f t="shared" si="17"/>
        <v>720</v>
      </c>
      <c r="M103" s="55"/>
      <c r="O103" s="54">
        <v>199</v>
      </c>
      <c r="P103" s="43"/>
      <c r="Q103" s="22">
        <f t="shared" si="11"/>
        <v>720</v>
      </c>
      <c r="R103" s="22"/>
      <c r="S103" s="22"/>
      <c r="T103" s="22"/>
      <c r="U103" s="22"/>
      <c r="V103" s="22"/>
      <c r="W103" s="22"/>
      <c r="X103" s="22"/>
      <c r="Y103" s="22">
        <f t="shared" si="16"/>
        <v>720</v>
      </c>
      <c r="Z103" s="55"/>
      <c r="AF103" s="42">
        <f t="shared" ca="1" si="12"/>
        <v>42479</v>
      </c>
      <c r="AG103" s="40">
        <f t="shared" si="13"/>
        <v>0</v>
      </c>
      <c r="AH103" s="42">
        <f t="shared" ca="1" si="14"/>
        <v>42479</v>
      </c>
      <c r="AI103" s="40">
        <f t="shared" si="15"/>
        <v>0</v>
      </c>
    </row>
    <row r="104" spans="2:35" ht="21" customHeight="1">
      <c r="B104" s="56">
        <v>100</v>
      </c>
      <c r="C104" s="44"/>
      <c r="D104" s="23">
        <f t="shared" si="10"/>
        <v>720</v>
      </c>
      <c r="E104" s="23"/>
      <c r="F104" s="23"/>
      <c r="G104" s="23"/>
      <c r="H104" s="23"/>
      <c r="I104" s="23"/>
      <c r="J104" s="23"/>
      <c r="K104" s="23"/>
      <c r="L104" s="23">
        <f t="shared" si="17"/>
        <v>720</v>
      </c>
      <c r="M104" s="57"/>
      <c r="O104" s="56">
        <v>200</v>
      </c>
      <c r="P104" s="44"/>
      <c r="Q104" s="23">
        <f t="shared" si="11"/>
        <v>720</v>
      </c>
      <c r="R104" s="23"/>
      <c r="S104" s="23"/>
      <c r="T104" s="23"/>
      <c r="U104" s="23"/>
      <c r="V104" s="23"/>
      <c r="W104" s="23"/>
      <c r="X104" s="23"/>
      <c r="Y104" s="23">
        <f t="shared" si="16"/>
        <v>720</v>
      </c>
      <c r="Z104" s="57"/>
      <c r="AF104" s="42">
        <f t="shared" ca="1" si="12"/>
        <v>42479</v>
      </c>
      <c r="AG104" s="40">
        <f t="shared" si="13"/>
        <v>0</v>
      </c>
      <c r="AH104" s="42">
        <f t="shared" ca="1" si="14"/>
        <v>42479</v>
      </c>
      <c r="AI104" s="40">
        <f t="shared" si="15"/>
        <v>0</v>
      </c>
    </row>
    <row r="105" spans="2:35" s="20" customFormat="1" ht="21" customHeight="1" thickBot="1">
      <c r="B105" s="81" t="s">
        <v>12</v>
      </c>
      <c r="C105" s="82"/>
      <c r="D105" s="82"/>
      <c r="E105" s="82"/>
      <c r="F105" s="82"/>
      <c r="G105" s="82"/>
      <c r="H105" s="82"/>
      <c r="I105" s="82"/>
      <c r="J105" s="58">
        <f>SUM(J5:J104)</f>
        <v>0</v>
      </c>
      <c r="K105" s="58">
        <f t="shared" ref="K105" si="18">SUM(K5:K104)</f>
        <v>0</v>
      </c>
      <c r="L105" s="58">
        <f>SUM(L5:L104)</f>
        <v>72000</v>
      </c>
      <c r="M105" s="59"/>
      <c r="O105" s="81" t="s">
        <v>12</v>
      </c>
      <c r="P105" s="82"/>
      <c r="Q105" s="82"/>
      <c r="R105" s="82"/>
      <c r="S105" s="82"/>
      <c r="T105" s="82"/>
      <c r="U105" s="82"/>
      <c r="V105" s="82"/>
      <c r="W105" s="58">
        <f>SUM(W5:W104)</f>
        <v>0</v>
      </c>
      <c r="X105" s="58">
        <f t="shared" ref="X105" si="19">SUM(X5:X104)</f>
        <v>0</v>
      </c>
      <c r="Y105" s="58">
        <f>SUM(Y5:Y104)</f>
        <v>72000</v>
      </c>
      <c r="Z105" s="59"/>
      <c r="AF105" s="42">
        <f t="shared" ca="1" si="12"/>
        <v>42479</v>
      </c>
      <c r="AG105" s="40">
        <f t="shared" si="13"/>
        <v>0</v>
      </c>
      <c r="AH105" s="42">
        <f t="shared" ca="1" si="14"/>
        <v>42479</v>
      </c>
      <c r="AI105" s="40">
        <f t="shared" si="15"/>
        <v>0</v>
      </c>
    </row>
  </sheetData>
  <mergeCells count="4">
    <mergeCell ref="B2:M2"/>
    <mergeCell ref="B105:I105"/>
    <mergeCell ref="O2:Z2"/>
    <mergeCell ref="O105:V105"/>
  </mergeCells>
  <pageMargins left="0.7" right="0.7" top="0.75" bottom="0.75" header="0.3" footer="0.3"/>
  <pageSetup paperSize="9" scale="24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3:V129"/>
  <sheetViews>
    <sheetView view="pageBreakPreview" zoomScale="70" zoomScaleNormal="80" zoomScaleSheetLayoutView="70" workbookViewId="0">
      <selection activeCell="F14" sqref="F14"/>
    </sheetView>
  </sheetViews>
  <sheetFormatPr defaultRowHeight="14.25"/>
  <cols>
    <col min="1" max="2" width="9.140625" style="39"/>
    <col min="3" max="21" width="10.28515625" style="39" customWidth="1"/>
    <col min="22" max="16384" width="9.140625" style="39"/>
  </cols>
  <sheetData>
    <row r="3" spans="2:22">
      <c r="B3" s="101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7"/>
    </row>
    <row r="4" spans="2:22" ht="15" thickBot="1">
      <c r="B4" s="101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7"/>
    </row>
    <row r="5" spans="2:22" ht="18.75" thickBot="1">
      <c r="B5" s="101"/>
      <c r="C5" s="96" t="s">
        <v>28</v>
      </c>
      <c r="D5" s="97"/>
      <c r="E5" s="97"/>
      <c r="F5" s="97"/>
      <c r="G5" s="97"/>
      <c r="H5" s="97"/>
      <c r="I5" s="97"/>
      <c r="J5" s="97"/>
      <c r="K5" s="98"/>
      <c r="M5" s="96" t="s">
        <v>29</v>
      </c>
      <c r="N5" s="97"/>
      <c r="O5" s="97"/>
      <c r="P5" s="97"/>
      <c r="Q5" s="97"/>
      <c r="R5" s="97"/>
      <c r="S5" s="97"/>
      <c r="T5" s="97"/>
      <c r="U5" s="98"/>
      <c r="V5" s="87"/>
    </row>
    <row r="6" spans="2:22" ht="15" thickBot="1">
      <c r="B6" s="101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7"/>
    </row>
    <row r="7" spans="2:22" ht="18">
      <c r="B7" s="101"/>
      <c r="C7" s="91" t="s">
        <v>24</v>
      </c>
      <c r="D7" s="92"/>
      <c r="E7" s="92"/>
      <c r="F7" s="93"/>
      <c r="G7" s="89"/>
      <c r="H7" s="91" t="s">
        <v>26</v>
      </c>
      <c r="I7" s="92"/>
      <c r="J7" s="92"/>
      <c r="K7" s="93"/>
      <c r="L7" s="89"/>
      <c r="M7" s="91" t="s">
        <v>27</v>
      </c>
      <c r="N7" s="92"/>
      <c r="O7" s="92"/>
      <c r="P7" s="93"/>
      <c r="Q7" s="90"/>
      <c r="R7" s="91" t="s">
        <v>25</v>
      </c>
      <c r="S7" s="92"/>
      <c r="T7" s="92"/>
      <c r="U7" s="93"/>
      <c r="V7" s="87"/>
    </row>
    <row r="8" spans="2:22" ht="18">
      <c r="B8" s="101"/>
      <c r="C8" s="6" t="s">
        <v>0</v>
      </c>
      <c r="D8" s="7" t="s">
        <v>1</v>
      </c>
      <c r="E8" s="7" t="s">
        <v>16</v>
      </c>
      <c r="F8" s="8" t="s">
        <v>17</v>
      </c>
      <c r="G8" s="89"/>
      <c r="H8" s="6" t="s">
        <v>0</v>
      </c>
      <c r="I8" s="7" t="s">
        <v>1</v>
      </c>
      <c r="J8" s="7" t="s">
        <v>16</v>
      </c>
      <c r="K8" s="8" t="s">
        <v>17</v>
      </c>
      <c r="L8" s="89"/>
      <c r="M8" s="6" t="s">
        <v>0</v>
      </c>
      <c r="N8" s="7" t="s">
        <v>1</v>
      </c>
      <c r="O8" s="7" t="s">
        <v>16</v>
      </c>
      <c r="P8" s="8" t="s">
        <v>17</v>
      </c>
      <c r="Q8" s="90"/>
      <c r="R8" s="6" t="s">
        <v>0</v>
      </c>
      <c r="S8" s="7" t="s">
        <v>1</v>
      </c>
      <c r="T8" s="7" t="s">
        <v>16</v>
      </c>
      <c r="U8" s="8" t="s">
        <v>17</v>
      </c>
      <c r="V8" s="87"/>
    </row>
    <row r="9" spans="2:22" ht="18">
      <c r="B9" s="101"/>
      <c r="C9" s="9" t="s">
        <v>5</v>
      </c>
      <c r="D9" s="10" t="s">
        <v>23</v>
      </c>
      <c r="E9" s="10">
        <f>COUNTIF('1st Shift Issue Sheet'!F5:F104,"16Gesfi")</f>
        <v>0</v>
      </c>
      <c r="F9" s="11">
        <f>SUMIF('1st Shift Issue Sheet'!F5:F104,"16Gesfi",'1st Shift Issue Sheet'!J5:J104)</f>
        <v>0</v>
      </c>
      <c r="G9" s="89"/>
      <c r="H9" s="9" t="s">
        <v>5</v>
      </c>
      <c r="I9" s="10" t="s">
        <v>23</v>
      </c>
      <c r="J9" s="10">
        <f>COUNTIF('1st Shift Issue Sheet'!S5:S104,"16Gesfi")</f>
        <v>0</v>
      </c>
      <c r="K9" s="11">
        <f>SUMIF('1st Shift Issue Sheet'!S5:S104,"16Gesfi",'1st Shift Issue Sheet'!W5:W104)</f>
        <v>0</v>
      </c>
      <c r="L9" s="89"/>
      <c r="M9" s="9" t="s">
        <v>5</v>
      </c>
      <c r="N9" s="10" t="s">
        <v>23</v>
      </c>
      <c r="O9" s="10">
        <f>COUNTIF('1st Shift Issue Sheet'!F5:F104,"16Gesfi")</f>
        <v>0</v>
      </c>
      <c r="P9" s="10">
        <f>SUMIF('1st Shift Issue Sheet'!F5:F104,"16Gesfi",'1st Shift Issue Sheet'!J5:J104)</f>
        <v>0</v>
      </c>
      <c r="Q9" s="90"/>
      <c r="R9" s="9" t="s">
        <v>5</v>
      </c>
      <c r="S9" s="10" t="s">
        <v>23</v>
      </c>
      <c r="T9" s="10">
        <f>COUNTIF('1st Shift Issue Sheet'!S5:S104,"16Gesfi")</f>
        <v>0</v>
      </c>
      <c r="U9" s="11">
        <f>SUMIF('1st Shift Issue Sheet'!S5:S104,"16Gesfi",'1st Shift Issue Sheet'!W5:W104)</f>
        <v>0</v>
      </c>
      <c r="V9" s="87"/>
    </row>
    <row r="10" spans="2:22" ht="18">
      <c r="B10" s="101"/>
      <c r="C10" s="12" t="s">
        <v>5</v>
      </c>
      <c r="D10" s="13" t="s">
        <v>19</v>
      </c>
      <c r="E10" s="13">
        <f>COUNTIF('1st Shift Issue Sheet'!F5:F104,"Gpans")</f>
        <v>0</v>
      </c>
      <c r="F10" s="14">
        <f>SUMIF('1st Shift Issue Sheet'!F5:F104,"Gpans",'1st Shift Issue Sheet'!J5:J104)</f>
        <v>0</v>
      </c>
      <c r="G10" s="89"/>
      <c r="H10" s="12" t="s">
        <v>5</v>
      </c>
      <c r="I10" s="13" t="s">
        <v>19</v>
      </c>
      <c r="J10" s="13">
        <f>COUNTIF('1st Shift Issue Sheet'!S5:S104,"Gpans")</f>
        <v>0</v>
      </c>
      <c r="K10" s="14">
        <f>SUMIF('1st Shift Issue Sheet'!S5:S104,"Gpans",'1st Shift Issue Sheet'!W5:W104)</f>
        <v>0</v>
      </c>
      <c r="L10" s="89"/>
      <c r="M10" s="12" t="s">
        <v>5</v>
      </c>
      <c r="N10" s="13" t="s">
        <v>19</v>
      </c>
      <c r="O10" s="13">
        <f>COUNTIF('1st Shift Issue Sheet'!F5:F104,"Gpans")</f>
        <v>0</v>
      </c>
      <c r="P10" s="13">
        <f>SUMIF('1st Shift Issue Sheet'!F5:F104,"Gpans",'1st Shift Issue Sheet'!J5:J104)</f>
        <v>0</v>
      </c>
      <c r="Q10" s="90"/>
      <c r="R10" s="12" t="s">
        <v>5</v>
      </c>
      <c r="S10" s="13" t="s">
        <v>19</v>
      </c>
      <c r="T10" s="13">
        <f>COUNTIF('1st Shift Issue Sheet'!S5:S104,"Gpans")</f>
        <v>0</v>
      </c>
      <c r="U10" s="14">
        <f>SUMIF('1st Shift Issue Sheet'!S5:S104,"Gpans",'1st Shift Issue Sheet'!W5:W104)</f>
        <v>0</v>
      </c>
      <c r="V10" s="87"/>
    </row>
    <row r="11" spans="2:22" ht="18">
      <c r="B11" s="101"/>
      <c r="C11" s="9"/>
      <c r="D11" s="10"/>
      <c r="E11" s="10"/>
      <c r="F11" s="11"/>
      <c r="G11" s="89"/>
      <c r="H11" s="9"/>
      <c r="I11" s="10"/>
      <c r="J11" s="10"/>
      <c r="K11" s="11"/>
      <c r="L11" s="89"/>
      <c r="M11" s="9"/>
      <c r="N11" s="10"/>
      <c r="O11" s="10"/>
      <c r="P11" s="11"/>
      <c r="Q11" s="90"/>
      <c r="R11" s="9"/>
      <c r="S11" s="10"/>
      <c r="T11" s="10"/>
      <c r="U11" s="11"/>
      <c r="V11" s="87"/>
    </row>
    <row r="12" spans="2:22" ht="18">
      <c r="B12" s="101"/>
      <c r="C12" s="12"/>
      <c r="D12" s="13"/>
      <c r="E12" s="13"/>
      <c r="F12" s="14"/>
      <c r="G12" s="89"/>
      <c r="H12" s="12"/>
      <c r="I12" s="13"/>
      <c r="J12" s="13"/>
      <c r="K12" s="14"/>
      <c r="L12" s="89"/>
      <c r="M12" s="12"/>
      <c r="N12" s="13"/>
      <c r="O12" s="13"/>
      <c r="P12" s="14"/>
      <c r="Q12" s="90"/>
      <c r="R12" s="12"/>
      <c r="S12" s="13"/>
      <c r="T12" s="13"/>
      <c r="U12" s="14"/>
      <c r="V12" s="87"/>
    </row>
    <row r="13" spans="2:22" ht="18">
      <c r="B13" s="101"/>
      <c r="C13" s="9"/>
      <c r="D13" s="10"/>
      <c r="E13" s="10"/>
      <c r="F13" s="11"/>
      <c r="G13" s="89"/>
      <c r="H13" s="9"/>
      <c r="I13" s="10"/>
      <c r="J13" s="10"/>
      <c r="K13" s="11"/>
      <c r="L13" s="89"/>
      <c r="M13" s="9"/>
      <c r="N13" s="10"/>
      <c r="O13" s="10"/>
      <c r="P13" s="11"/>
      <c r="Q13" s="90"/>
      <c r="R13" s="9"/>
      <c r="S13" s="10"/>
      <c r="T13" s="10"/>
      <c r="U13" s="11"/>
      <c r="V13" s="87"/>
    </row>
    <row r="14" spans="2:22" ht="18">
      <c r="B14" s="101"/>
      <c r="C14" s="12"/>
      <c r="D14" s="13"/>
      <c r="E14" s="13"/>
      <c r="F14" s="14"/>
      <c r="G14" s="89"/>
      <c r="H14" s="12"/>
      <c r="I14" s="13"/>
      <c r="J14" s="13"/>
      <c r="K14" s="14"/>
      <c r="L14" s="89"/>
      <c r="M14" s="12"/>
      <c r="N14" s="13"/>
      <c r="O14" s="13"/>
      <c r="P14" s="14"/>
      <c r="Q14" s="90"/>
      <c r="R14" s="12"/>
      <c r="S14" s="13"/>
      <c r="T14" s="13"/>
      <c r="U14" s="14"/>
      <c r="V14" s="87"/>
    </row>
    <row r="15" spans="2:22" ht="18">
      <c r="B15" s="101"/>
      <c r="C15" s="9"/>
      <c r="D15" s="10"/>
      <c r="E15" s="10"/>
      <c r="F15" s="11"/>
      <c r="G15" s="89"/>
      <c r="H15" s="9"/>
      <c r="I15" s="10"/>
      <c r="J15" s="10"/>
      <c r="K15" s="11"/>
      <c r="L15" s="89"/>
      <c r="M15" s="9"/>
      <c r="N15" s="10"/>
      <c r="O15" s="10"/>
      <c r="P15" s="11"/>
      <c r="Q15" s="90"/>
      <c r="R15" s="9"/>
      <c r="S15" s="10"/>
      <c r="T15" s="10"/>
      <c r="U15" s="11"/>
      <c r="V15" s="87"/>
    </row>
    <row r="16" spans="2:22" ht="18">
      <c r="B16" s="101"/>
      <c r="C16" s="12"/>
      <c r="D16" s="13"/>
      <c r="E16" s="13"/>
      <c r="F16" s="14"/>
      <c r="G16" s="89"/>
      <c r="H16" s="12"/>
      <c r="I16" s="13"/>
      <c r="J16" s="13"/>
      <c r="K16" s="14"/>
      <c r="L16" s="89"/>
      <c r="M16" s="12"/>
      <c r="N16" s="13"/>
      <c r="O16" s="13"/>
      <c r="P16" s="14"/>
      <c r="Q16" s="90"/>
      <c r="R16" s="12"/>
      <c r="S16" s="13"/>
      <c r="T16" s="13"/>
      <c r="U16" s="14"/>
      <c r="V16" s="87"/>
    </row>
    <row r="17" spans="2:22" ht="18">
      <c r="B17" s="101"/>
      <c r="C17" s="9"/>
      <c r="D17" s="10"/>
      <c r="E17" s="10"/>
      <c r="F17" s="11"/>
      <c r="G17" s="89"/>
      <c r="H17" s="9"/>
      <c r="I17" s="10"/>
      <c r="J17" s="10"/>
      <c r="K17" s="11"/>
      <c r="L17" s="89"/>
      <c r="M17" s="9"/>
      <c r="N17" s="10"/>
      <c r="O17" s="10"/>
      <c r="P17" s="11"/>
      <c r="Q17" s="90"/>
      <c r="R17" s="9"/>
      <c r="S17" s="10"/>
      <c r="T17" s="10"/>
      <c r="U17" s="11"/>
      <c r="V17" s="87"/>
    </row>
    <row r="18" spans="2:22" ht="18">
      <c r="B18" s="101"/>
      <c r="C18" s="12"/>
      <c r="D18" s="13"/>
      <c r="E18" s="13"/>
      <c r="F18" s="14"/>
      <c r="G18" s="89"/>
      <c r="H18" s="12"/>
      <c r="I18" s="13"/>
      <c r="J18" s="13"/>
      <c r="K18" s="14"/>
      <c r="L18" s="89"/>
      <c r="M18" s="12"/>
      <c r="N18" s="13"/>
      <c r="O18" s="13"/>
      <c r="P18" s="14"/>
      <c r="Q18" s="90"/>
      <c r="R18" s="12"/>
      <c r="S18" s="13"/>
      <c r="T18" s="13"/>
      <c r="U18" s="14"/>
      <c r="V18" s="87"/>
    </row>
    <row r="19" spans="2:22" ht="18">
      <c r="B19" s="101"/>
      <c r="C19" s="9"/>
      <c r="D19" s="10"/>
      <c r="E19" s="10"/>
      <c r="F19" s="11"/>
      <c r="G19" s="89"/>
      <c r="H19" s="9"/>
      <c r="I19" s="10"/>
      <c r="J19" s="10"/>
      <c r="K19" s="11"/>
      <c r="L19" s="89"/>
      <c r="M19" s="9"/>
      <c r="N19" s="10"/>
      <c r="O19" s="10"/>
      <c r="P19" s="11"/>
      <c r="Q19" s="90"/>
      <c r="R19" s="9"/>
      <c r="S19" s="10"/>
      <c r="T19" s="10"/>
      <c r="U19" s="11"/>
      <c r="V19" s="87"/>
    </row>
    <row r="20" spans="2:22" ht="18">
      <c r="B20" s="101"/>
      <c r="C20" s="12"/>
      <c r="D20" s="13"/>
      <c r="E20" s="13"/>
      <c r="F20" s="14"/>
      <c r="G20" s="89"/>
      <c r="H20" s="12"/>
      <c r="I20" s="13"/>
      <c r="J20" s="13"/>
      <c r="K20" s="14"/>
      <c r="L20" s="89"/>
      <c r="M20" s="12"/>
      <c r="N20" s="13"/>
      <c r="O20" s="13"/>
      <c r="P20" s="14"/>
      <c r="Q20" s="90"/>
      <c r="R20" s="12"/>
      <c r="S20" s="13"/>
      <c r="T20" s="13"/>
      <c r="U20" s="14"/>
      <c r="V20" s="87"/>
    </row>
    <row r="21" spans="2:22" ht="18">
      <c r="B21" s="101"/>
      <c r="C21" s="9"/>
      <c r="D21" s="10"/>
      <c r="E21" s="10"/>
      <c r="F21" s="11"/>
      <c r="G21" s="89"/>
      <c r="H21" s="9"/>
      <c r="I21" s="10"/>
      <c r="J21" s="10"/>
      <c r="K21" s="11"/>
      <c r="L21" s="89"/>
      <c r="M21" s="9"/>
      <c r="N21" s="10"/>
      <c r="O21" s="10"/>
      <c r="P21" s="11"/>
      <c r="Q21" s="90"/>
      <c r="R21" s="9"/>
      <c r="S21" s="10"/>
      <c r="T21" s="10"/>
      <c r="U21" s="11"/>
      <c r="V21" s="87"/>
    </row>
    <row r="22" spans="2:22" ht="18.75" thickBot="1">
      <c r="B22" s="101"/>
      <c r="C22" s="94" t="s">
        <v>20</v>
      </c>
      <c r="D22" s="95"/>
      <c r="E22" s="72">
        <f>IF(SUM(E9:E21)&gt;0,SUM(E9:E21),0)</f>
        <v>0</v>
      </c>
      <c r="F22" s="16">
        <f>IF(SUM(F9:F21)&gt;0,SUM(F9:F21),0)</f>
        <v>0</v>
      </c>
      <c r="G22" s="89"/>
      <c r="H22" s="94" t="s">
        <v>20</v>
      </c>
      <c r="I22" s="95"/>
      <c r="J22" s="15">
        <f>IF(SUM(J9:J21)&gt;0,SUM(J9:J21),0)</f>
        <v>0</v>
      </c>
      <c r="K22" s="16">
        <f>IF(SUM(K9:K21)&gt;0,SUM(K9:K21),0)</f>
        <v>0</v>
      </c>
      <c r="L22" s="89"/>
      <c r="M22" s="94" t="s">
        <v>20</v>
      </c>
      <c r="N22" s="95"/>
      <c r="O22" s="15">
        <f>IF(SUM(O9:O21)&gt;0,SUM(O9:O21),0)</f>
        <v>0</v>
      </c>
      <c r="P22" s="16">
        <f>IF(SUM(P9:P21)&gt;0,SUM(P9:P21),0)</f>
        <v>0</v>
      </c>
      <c r="Q22" s="90"/>
      <c r="R22" s="94" t="s">
        <v>20</v>
      </c>
      <c r="S22" s="95"/>
      <c r="T22" s="15">
        <f>IF(SUM(T9:T21)&gt;0,SUM(T9:T21),0)</f>
        <v>0</v>
      </c>
      <c r="U22" s="16">
        <f>IF(SUM(U9:U21)&gt;0,SUM(U9:U21),0)</f>
        <v>0</v>
      </c>
      <c r="V22" s="87"/>
    </row>
    <row r="23" spans="2:22">
      <c r="B23" s="101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7"/>
    </row>
    <row r="24" spans="2:22">
      <c r="B24" s="101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7"/>
    </row>
    <row r="29" spans="2:22" ht="15" hidden="1" thickBot="1">
      <c r="B29" s="48" t="s">
        <v>16</v>
      </c>
      <c r="C29" s="48" t="s">
        <v>37</v>
      </c>
      <c r="D29" s="102" t="s">
        <v>38</v>
      </c>
      <c r="E29" s="103"/>
      <c r="F29" s="48" t="s">
        <v>39</v>
      </c>
      <c r="G29" s="48" t="s">
        <v>40</v>
      </c>
      <c r="I29" s="48" t="s">
        <v>16</v>
      </c>
      <c r="J29" s="48" t="s">
        <v>37</v>
      </c>
      <c r="K29" s="102" t="s">
        <v>38</v>
      </c>
      <c r="L29" s="103"/>
      <c r="M29" s="48" t="s">
        <v>39</v>
      </c>
      <c r="N29" s="48" t="s">
        <v>40</v>
      </c>
    </row>
    <row r="30" spans="2:22" ht="15" hidden="1" thickBot="1">
      <c r="B30" s="47">
        <v>1</v>
      </c>
      <c r="C30" s="47">
        <f>'1st Shift Issue Sheet'!J5</f>
        <v>0</v>
      </c>
      <c r="D30" s="99" t="str">
        <f>IF('1st Shift Issue Sheet'!J5&gt;0,"Running","Not Running")</f>
        <v>Not Running</v>
      </c>
      <c r="E30" s="100"/>
      <c r="F30" s="47">
        <f>COUNT('1st Shift Issue Sheet'!D5)</f>
        <v>1</v>
      </c>
      <c r="G30" s="47" t="str">
        <f>IF('1st Shift Issue Sheet'!AG5&gt;=2,"Alarm","")</f>
        <v/>
      </c>
      <c r="I30" s="47">
        <v>101</v>
      </c>
      <c r="J30" s="47">
        <f>'1st Shift Issue Sheet'!W5</f>
        <v>0</v>
      </c>
      <c r="K30" s="99" t="str">
        <f>IF('1st Shift Issue Sheet'!W5&gt;0,"Running","Not Running")</f>
        <v>Not Running</v>
      </c>
      <c r="L30" s="100"/>
      <c r="M30" s="47">
        <f>COUNT('1st Shift Issue Sheet'!Q5)</f>
        <v>1</v>
      </c>
      <c r="N30" s="47" t="str">
        <f>IF('1st Shift Issue Sheet'!AI5&gt;=2,"Alarm","")</f>
        <v/>
      </c>
    </row>
    <row r="31" spans="2:22" ht="15" hidden="1" thickBot="1">
      <c r="B31" s="47">
        <v>2</v>
      </c>
      <c r="C31" s="47">
        <f>'1st Shift Issue Sheet'!J6</f>
        <v>0</v>
      </c>
      <c r="D31" s="99" t="str">
        <f>IF('1st Shift Issue Sheet'!J6&gt;0,"Running","Not Running")</f>
        <v>Not Running</v>
      </c>
      <c r="E31" s="100"/>
      <c r="F31" s="47">
        <f>COUNT('1st Shift Issue Sheet'!D6)</f>
        <v>1</v>
      </c>
      <c r="G31" s="47" t="str">
        <f>IF('1st Shift Issue Sheet'!AG6&gt;=2,"Alarm","")</f>
        <v/>
      </c>
      <c r="I31" s="47">
        <v>102</v>
      </c>
      <c r="J31" s="47">
        <f>'1st Shift Issue Sheet'!W6</f>
        <v>0</v>
      </c>
      <c r="K31" s="99" t="str">
        <f>IF('1st Shift Issue Sheet'!W6&gt;0,"Running","Not Running")</f>
        <v>Not Running</v>
      </c>
      <c r="L31" s="100"/>
      <c r="M31" s="47">
        <f>COUNT('1st Shift Issue Sheet'!Q6)</f>
        <v>1</v>
      </c>
      <c r="N31" s="47" t="str">
        <f>IF('1st Shift Issue Sheet'!AI6&gt;=2,"Alarm","")</f>
        <v/>
      </c>
    </row>
    <row r="32" spans="2:22" ht="15" hidden="1" thickBot="1">
      <c r="B32" s="47">
        <v>3</v>
      </c>
      <c r="C32" s="47">
        <f>'1st Shift Issue Sheet'!J7</f>
        <v>0</v>
      </c>
      <c r="D32" s="99" t="str">
        <f>IF('1st Shift Issue Sheet'!J7&gt;0,"Running","Not Running")</f>
        <v>Not Running</v>
      </c>
      <c r="E32" s="100"/>
      <c r="F32" s="47">
        <f>COUNT('1st Shift Issue Sheet'!D7)</f>
        <v>1</v>
      </c>
      <c r="G32" s="47" t="str">
        <f>IF('1st Shift Issue Sheet'!AG7&gt;=2,"Alarm","")</f>
        <v/>
      </c>
      <c r="I32" s="47">
        <v>103</v>
      </c>
      <c r="J32" s="47">
        <f>'1st Shift Issue Sheet'!W7</f>
        <v>0</v>
      </c>
      <c r="K32" s="99" t="str">
        <f>IF('1st Shift Issue Sheet'!W7&gt;0,"Running","Not Running")</f>
        <v>Not Running</v>
      </c>
      <c r="L32" s="100"/>
      <c r="M32" s="47">
        <f>COUNT('1st Shift Issue Sheet'!Q7)</f>
        <v>1</v>
      </c>
      <c r="N32" s="47" t="str">
        <f>IF('1st Shift Issue Sheet'!AI7&gt;=2,"Alarm","")</f>
        <v/>
      </c>
    </row>
    <row r="33" spans="2:14" ht="15" hidden="1" thickBot="1">
      <c r="B33" s="47">
        <v>4</v>
      </c>
      <c r="C33" s="47">
        <f>'1st Shift Issue Sheet'!J8</f>
        <v>0</v>
      </c>
      <c r="D33" s="99" t="str">
        <f>IF('1st Shift Issue Sheet'!J8&gt;0,"Running","Not Running")</f>
        <v>Not Running</v>
      </c>
      <c r="E33" s="100"/>
      <c r="F33" s="47">
        <f>COUNT('1st Shift Issue Sheet'!D8)</f>
        <v>1</v>
      </c>
      <c r="G33" s="47" t="str">
        <f>IF('1st Shift Issue Sheet'!AG8&gt;=2,"Alarm","")</f>
        <v/>
      </c>
      <c r="I33" s="47">
        <v>104</v>
      </c>
      <c r="J33" s="47">
        <f>'1st Shift Issue Sheet'!W8</f>
        <v>0</v>
      </c>
      <c r="K33" s="99" t="str">
        <f>IF('1st Shift Issue Sheet'!W8&gt;0,"Running","Not Running")</f>
        <v>Not Running</v>
      </c>
      <c r="L33" s="100"/>
      <c r="M33" s="47">
        <f>COUNT('1st Shift Issue Sheet'!Q8)</f>
        <v>1</v>
      </c>
      <c r="N33" s="47" t="str">
        <f>IF('1st Shift Issue Sheet'!AI8&gt;=2,"Alarm","")</f>
        <v/>
      </c>
    </row>
    <row r="34" spans="2:14" ht="15" hidden="1" thickBot="1">
      <c r="B34" s="47">
        <v>5</v>
      </c>
      <c r="C34" s="47">
        <f>'1st Shift Issue Sheet'!J9</f>
        <v>0</v>
      </c>
      <c r="D34" s="99" t="str">
        <f>IF('1st Shift Issue Sheet'!J9&gt;0,"Running","Not Running")</f>
        <v>Not Running</v>
      </c>
      <c r="E34" s="100"/>
      <c r="F34" s="47">
        <f>COUNT('1st Shift Issue Sheet'!D9)</f>
        <v>1</v>
      </c>
      <c r="G34" s="47" t="str">
        <f>IF('1st Shift Issue Sheet'!AG9&gt;=2,"Alarm","")</f>
        <v/>
      </c>
      <c r="I34" s="47">
        <v>105</v>
      </c>
      <c r="J34" s="47">
        <f>'1st Shift Issue Sheet'!W9</f>
        <v>0</v>
      </c>
      <c r="K34" s="99" t="str">
        <f>IF('1st Shift Issue Sheet'!W9&gt;0,"Running","Not Running")</f>
        <v>Not Running</v>
      </c>
      <c r="L34" s="100"/>
      <c r="M34" s="47">
        <f>COUNT('1st Shift Issue Sheet'!Q9)</f>
        <v>1</v>
      </c>
      <c r="N34" s="47" t="str">
        <f>IF('1st Shift Issue Sheet'!AI9&gt;=2,"Alarm","")</f>
        <v/>
      </c>
    </row>
    <row r="35" spans="2:14" ht="15" hidden="1" thickBot="1">
      <c r="B35" s="47">
        <v>6</v>
      </c>
      <c r="C35" s="47">
        <f>'1st Shift Issue Sheet'!J10</f>
        <v>0</v>
      </c>
      <c r="D35" s="99" t="str">
        <f>IF('1st Shift Issue Sheet'!J10&gt;0,"Running","Not Running")</f>
        <v>Not Running</v>
      </c>
      <c r="E35" s="100"/>
      <c r="F35" s="47">
        <f>COUNT('1st Shift Issue Sheet'!D10)</f>
        <v>1</v>
      </c>
      <c r="G35" s="47" t="str">
        <f>IF('1st Shift Issue Sheet'!AG10&gt;=2,"Alarm","")</f>
        <v/>
      </c>
      <c r="I35" s="47">
        <v>106</v>
      </c>
      <c r="J35" s="47">
        <f>'1st Shift Issue Sheet'!W10</f>
        <v>0</v>
      </c>
      <c r="K35" s="99" t="str">
        <f>IF('1st Shift Issue Sheet'!W10&gt;0,"Running","Not Running")</f>
        <v>Not Running</v>
      </c>
      <c r="L35" s="100"/>
      <c r="M35" s="47">
        <f>COUNT('1st Shift Issue Sheet'!Q10)</f>
        <v>1</v>
      </c>
      <c r="N35" s="47" t="str">
        <f>IF('1st Shift Issue Sheet'!AI10&gt;=2,"Alarm","")</f>
        <v/>
      </c>
    </row>
    <row r="36" spans="2:14" ht="15" hidden="1" thickBot="1">
      <c r="B36" s="47">
        <v>7</v>
      </c>
      <c r="C36" s="47">
        <f>'1st Shift Issue Sheet'!J11</f>
        <v>0</v>
      </c>
      <c r="D36" s="99" t="str">
        <f>IF('1st Shift Issue Sheet'!J11&gt;0,"Running","Not Running")</f>
        <v>Not Running</v>
      </c>
      <c r="E36" s="100"/>
      <c r="F36" s="47">
        <f>COUNT('1st Shift Issue Sheet'!D11)</f>
        <v>1</v>
      </c>
      <c r="G36" s="47" t="str">
        <f>IF('1st Shift Issue Sheet'!AG11&gt;=2,"Alarm","")</f>
        <v/>
      </c>
      <c r="I36" s="47">
        <v>107</v>
      </c>
      <c r="J36" s="47">
        <f>'1st Shift Issue Sheet'!W11</f>
        <v>0</v>
      </c>
      <c r="K36" s="99" t="str">
        <f>IF('1st Shift Issue Sheet'!W11&gt;0,"Running","Not Running")</f>
        <v>Not Running</v>
      </c>
      <c r="L36" s="100"/>
      <c r="M36" s="47">
        <f>COUNT('1st Shift Issue Sheet'!Q11)</f>
        <v>1</v>
      </c>
      <c r="N36" s="47" t="str">
        <f>IF('1st Shift Issue Sheet'!AI11&gt;=2,"Alarm","")</f>
        <v/>
      </c>
    </row>
    <row r="37" spans="2:14" ht="15" hidden="1" thickBot="1">
      <c r="B37" s="47">
        <v>8</v>
      </c>
      <c r="C37" s="47">
        <f>'1st Shift Issue Sheet'!J12</f>
        <v>0</v>
      </c>
      <c r="D37" s="99" t="str">
        <f>IF('1st Shift Issue Sheet'!J12&gt;0,"Running","Not Running")</f>
        <v>Not Running</v>
      </c>
      <c r="E37" s="100"/>
      <c r="F37" s="47">
        <f>COUNT('1st Shift Issue Sheet'!D12)</f>
        <v>1</v>
      </c>
      <c r="G37" s="47" t="str">
        <f>IF('1st Shift Issue Sheet'!AG12&gt;=2,"Alarm","")</f>
        <v/>
      </c>
      <c r="I37" s="47">
        <v>108</v>
      </c>
      <c r="J37" s="47">
        <f>'1st Shift Issue Sheet'!W12</f>
        <v>0</v>
      </c>
      <c r="K37" s="99" t="str">
        <f>IF('1st Shift Issue Sheet'!W12&gt;0,"Running","Not Running")</f>
        <v>Not Running</v>
      </c>
      <c r="L37" s="100"/>
      <c r="M37" s="47">
        <f>COUNT('1st Shift Issue Sheet'!Q12)</f>
        <v>1</v>
      </c>
      <c r="N37" s="47" t="str">
        <f>IF('1st Shift Issue Sheet'!AI12&gt;=2,"Alarm","")</f>
        <v/>
      </c>
    </row>
    <row r="38" spans="2:14" ht="15" hidden="1" thickBot="1">
      <c r="B38" s="47">
        <v>9</v>
      </c>
      <c r="C38" s="47">
        <f>'1st Shift Issue Sheet'!J13</f>
        <v>0</v>
      </c>
      <c r="D38" s="99" t="str">
        <f>IF('1st Shift Issue Sheet'!J13&gt;0,"Running","Not Running")</f>
        <v>Not Running</v>
      </c>
      <c r="E38" s="100"/>
      <c r="F38" s="47">
        <f>COUNT('1st Shift Issue Sheet'!D13)</f>
        <v>1</v>
      </c>
      <c r="G38" s="47" t="str">
        <f>IF('1st Shift Issue Sheet'!AG13&gt;=2,"Alarm","")</f>
        <v/>
      </c>
      <c r="I38" s="47">
        <v>109</v>
      </c>
      <c r="J38" s="47">
        <f>'1st Shift Issue Sheet'!W13</f>
        <v>0</v>
      </c>
      <c r="K38" s="99" t="str">
        <f>IF('1st Shift Issue Sheet'!W13&gt;0,"Running","Not Running")</f>
        <v>Not Running</v>
      </c>
      <c r="L38" s="100"/>
      <c r="M38" s="47">
        <f>COUNT('1st Shift Issue Sheet'!Q13)</f>
        <v>1</v>
      </c>
      <c r="N38" s="47" t="str">
        <f>IF('1st Shift Issue Sheet'!AI13&gt;=2,"Alarm","")</f>
        <v/>
      </c>
    </row>
    <row r="39" spans="2:14" ht="15" hidden="1" thickBot="1">
      <c r="B39" s="47">
        <v>10</v>
      </c>
      <c r="C39" s="47">
        <f>'1st Shift Issue Sheet'!J14</f>
        <v>0</v>
      </c>
      <c r="D39" s="99" t="str">
        <f>IF('1st Shift Issue Sheet'!J14&gt;0,"Running","Not Running")</f>
        <v>Not Running</v>
      </c>
      <c r="E39" s="100"/>
      <c r="F39" s="47">
        <f>COUNT('1st Shift Issue Sheet'!D14)</f>
        <v>1</v>
      </c>
      <c r="G39" s="47" t="str">
        <f>IF('1st Shift Issue Sheet'!AG14&gt;=2,"Alarm","")</f>
        <v/>
      </c>
      <c r="I39" s="47">
        <v>110</v>
      </c>
      <c r="J39" s="47">
        <f>'1st Shift Issue Sheet'!W14</f>
        <v>0</v>
      </c>
      <c r="K39" s="99" t="str">
        <f>IF('1st Shift Issue Sheet'!W14&gt;0,"Running","Not Running")</f>
        <v>Not Running</v>
      </c>
      <c r="L39" s="100"/>
      <c r="M39" s="47">
        <f>COUNT('1st Shift Issue Sheet'!Q14)</f>
        <v>1</v>
      </c>
      <c r="N39" s="47" t="str">
        <f>IF('1st Shift Issue Sheet'!AI14&gt;=2,"Alarm","")</f>
        <v/>
      </c>
    </row>
    <row r="40" spans="2:14" ht="15" hidden="1" thickBot="1">
      <c r="B40" s="47">
        <v>11</v>
      </c>
      <c r="C40" s="47">
        <f>'1st Shift Issue Sheet'!J15</f>
        <v>0</v>
      </c>
      <c r="D40" s="99" t="str">
        <f>IF('1st Shift Issue Sheet'!J15&gt;0,"Running","Not Running")</f>
        <v>Not Running</v>
      </c>
      <c r="E40" s="100"/>
      <c r="F40" s="47">
        <f>COUNT('1st Shift Issue Sheet'!D15)</f>
        <v>1</v>
      </c>
      <c r="G40" s="47" t="str">
        <f>IF('1st Shift Issue Sheet'!AG15&gt;=2,"Alarm","")</f>
        <v/>
      </c>
      <c r="I40" s="47">
        <v>111</v>
      </c>
      <c r="J40" s="47">
        <f>'1st Shift Issue Sheet'!W15</f>
        <v>0</v>
      </c>
      <c r="K40" s="99" t="str">
        <f>IF('1st Shift Issue Sheet'!W15&gt;0,"Running","Not Running")</f>
        <v>Not Running</v>
      </c>
      <c r="L40" s="100"/>
      <c r="M40" s="47">
        <f>COUNT('1st Shift Issue Sheet'!Q15)</f>
        <v>1</v>
      </c>
      <c r="N40" s="47" t="str">
        <f>IF('1st Shift Issue Sheet'!AI15&gt;=2,"Alarm","")</f>
        <v/>
      </c>
    </row>
    <row r="41" spans="2:14" ht="15" hidden="1" thickBot="1">
      <c r="B41" s="47">
        <v>12</v>
      </c>
      <c r="C41" s="47">
        <f>'1st Shift Issue Sheet'!J16</f>
        <v>0</v>
      </c>
      <c r="D41" s="99" t="str">
        <f>IF('1st Shift Issue Sheet'!J16&gt;0,"Running","Not Running")</f>
        <v>Not Running</v>
      </c>
      <c r="E41" s="100"/>
      <c r="F41" s="47">
        <f>COUNT('1st Shift Issue Sheet'!D16)</f>
        <v>1</v>
      </c>
      <c r="G41" s="47" t="str">
        <f>IF('1st Shift Issue Sheet'!AG16&gt;=2,"Alarm","")</f>
        <v/>
      </c>
      <c r="I41" s="47">
        <v>112</v>
      </c>
      <c r="J41" s="47">
        <f>'1st Shift Issue Sheet'!W16</f>
        <v>0</v>
      </c>
      <c r="K41" s="99" t="str">
        <f>IF('1st Shift Issue Sheet'!W16&gt;0,"Running","Not Running")</f>
        <v>Not Running</v>
      </c>
      <c r="L41" s="100"/>
      <c r="M41" s="47">
        <f>COUNT('1st Shift Issue Sheet'!Q16)</f>
        <v>1</v>
      </c>
      <c r="N41" s="47" t="str">
        <f>IF('1st Shift Issue Sheet'!AI16&gt;=2,"Alarm","")</f>
        <v/>
      </c>
    </row>
    <row r="42" spans="2:14" ht="15" hidden="1" thickBot="1">
      <c r="B42" s="47">
        <v>13</v>
      </c>
      <c r="C42" s="47">
        <f>'1st Shift Issue Sheet'!J17</f>
        <v>0</v>
      </c>
      <c r="D42" s="99" t="str">
        <f>IF('1st Shift Issue Sheet'!J17&gt;0,"Running","Not Running")</f>
        <v>Not Running</v>
      </c>
      <c r="E42" s="100"/>
      <c r="F42" s="47">
        <f>COUNT('1st Shift Issue Sheet'!D17)</f>
        <v>1</v>
      </c>
      <c r="G42" s="47" t="str">
        <f>IF('1st Shift Issue Sheet'!AG17&gt;=2,"Alarm","")</f>
        <v/>
      </c>
      <c r="I42" s="47">
        <v>113</v>
      </c>
      <c r="J42" s="47">
        <f>'1st Shift Issue Sheet'!W17</f>
        <v>0</v>
      </c>
      <c r="K42" s="99" t="str">
        <f>IF('1st Shift Issue Sheet'!W17&gt;0,"Running","Not Running")</f>
        <v>Not Running</v>
      </c>
      <c r="L42" s="100"/>
      <c r="M42" s="47">
        <f>COUNT('1st Shift Issue Sheet'!Q17)</f>
        <v>1</v>
      </c>
      <c r="N42" s="47" t="str">
        <f>IF('1st Shift Issue Sheet'!AI17&gt;=2,"Alarm","")</f>
        <v/>
      </c>
    </row>
    <row r="43" spans="2:14" ht="15" hidden="1" thickBot="1">
      <c r="B43" s="47">
        <v>14</v>
      </c>
      <c r="C43" s="47">
        <f>'1st Shift Issue Sheet'!J18</f>
        <v>0</v>
      </c>
      <c r="D43" s="99" t="str">
        <f>IF('1st Shift Issue Sheet'!J18&gt;0,"Running","Not Running")</f>
        <v>Not Running</v>
      </c>
      <c r="E43" s="100"/>
      <c r="F43" s="47">
        <f>COUNT('1st Shift Issue Sheet'!D18)</f>
        <v>1</v>
      </c>
      <c r="G43" s="47" t="str">
        <f>IF('1st Shift Issue Sheet'!AG18&gt;=2,"Alarm","")</f>
        <v/>
      </c>
      <c r="I43" s="47">
        <v>114</v>
      </c>
      <c r="J43" s="47">
        <f>'1st Shift Issue Sheet'!W18</f>
        <v>0</v>
      </c>
      <c r="K43" s="99" t="str">
        <f>IF('1st Shift Issue Sheet'!W18&gt;0,"Running","Not Running")</f>
        <v>Not Running</v>
      </c>
      <c r="L43" s="100"/>
      <c r="M43" s="47">
        <f>COUNT('1st Shift Issue Sheet'!Q18)</f>
        <v>1</v>
      </c>
      <c r="N43" s="47" t="str">
        <f>IF('1st Shift Issue Sheet'!AI18&gt;=2,"Alarm","")</f>
        <v/>
      </c>
    </row>
    <row r="44" spans="2:14" ht="15" hidden="1" thickBot="1">
      <c r="B44" s="47">
        <v>15</v>
      </c>
      <c r="C44" s="47">
        <f>'1st Shift Issue Sheet'!J19</f>
        <v>0</v>
      </c>
      <c r="D44" s="99" t="str">
        <f>IF('1st Shift Issue Sheet'!J19&gt;0,"Running","Not Running")</f>
        <v>Not Running</v>
      </c>
      <c r="E44" s="100"/>
      <c r="F44" s="47">
        <f>COUNT('1st Shift Issue Sheet'!D19)</f>
        <v>1</v>
      </c>
      <c r="G44" s="47" t="str">
        <f>IF('1st Shift Issue Sheet'!AG19&gt;=2,"Alarm","")</f>
        <v/>
      </c>
      <c r="I44" s="47">
        <v>115</v>
      </c>
      <c r="J44" s="47">
        <f>'1st Shift Issue Sheet'!W19</f>
        <v>0</v>
      </c>
      <c r="K44" s="99" t="str">
        <f>IF('1st Shift Issue Sheet'!W19&gt;0,"Running","Not Running")</f>
        <v>Not Running</v>
      </c>
      <c r="L44" s="100"/>
      <c r="M44" s="47">
        <f>COUNT('1st Shift Issue Sheet'!Q19)</f>
        <v>1</v>
      </c>
      <c r="N44" s="47" t="str">
        <f>IF('1st Shift Issue Sheet'!AI19&gt;=2,"Alarm","")</f>
        <v/>
      </c>
    </row>
    <row r="45" spans="2:14" ht="15" hidden="1" thickBot="1">
      <c r="B45" s="47">
        <v>16</v>
      </c>
      <c r="C45" s="47">
        <f>'1st Shift Issue Sheet'!J20</f>
        <v>0</v>
      </c>
      <c r="D45" s="99" t="str">
        <f>IF('1st Shift Issue Sheet'!J20&gt;0,"Running","Not Running")</f>
        <v>Not Running</v>
      </c>
      <c r="E45" s="100"/>
      <c r="F45" s="47">
        <f>COUNT('1st Shift Issue Sheet'!D20)</f>
        <v>1</v>
      </c>
      <c r="G45" s="47" t="str">
        <f>IF('1st Shift Issue Sheet'!AG20&gt;=2,"Alarm","")</f>
        <v/>
      </c>
      <c r="I45" s="47">
        <v>116</v>
      </c>
      <c r="J45" s="47">
        <f>'1st Shift Issue Sheet'!W20</f>
        <v>0</v>
      </c>
      <c r="K45" s="99" t="str">
        <f>IF('1st Shift Issue Sheet'!W20&gt;0,"Running","Not Running")</f>
        <v>Not Running</v>
      </c>
      <c r="L45" s="100"/>
      <c r="M45" s="47">
        <f>COUNT('1st Shift Issue Sheet'!Q20)</f>
        <v>1</v>
      </c>
      <c r="N45" s="47" t="str">
        <f>IF('1st Shift Issue Sheet'!AI20&gt;=2,"Alarm","")</f>
        <v/>
      </c>
    </row>
    <row r="46" spans="2:14" ht="15" hidden="1" thickBot="1">
      <c r="B46" s="47">
        <v>17</v>
      </c>
      <c r="C46" s="47">
        <f>'1st Shift Issue Sheet'!J21</f>
        <v>0</v>
      </c>
      <c r="D46" s="99" t="str">
        <f>IF('1st Shift Issue Sheet'!J21&gt;0,"Running","Not Running")</f>
        <v>Not Running</v>
      </c>
      <c r="E46" s="100"/>
      <c r="F46" s="47">
        <f>COUNT('1st Shift Issue Sheet'!D21)</f>
        <v>1</v>
      </c>
      <c r="G46" s="47" t="str">
        <f>IF('1st Shift Issue Sheet'!AG21&gt;=2,"Alarm","")</f>
        <v/>
      </c>
      <c r="I46" s="47">
        <v>117</v>
      </c>
      <c r="J46" s="47">
        <f>'1st Shift Issue Sheet'!W21</f>
        <v>0</v>
      </c>
      <c r="K46" s="99" t="str">
        <f>IF('1st Shift Issue Sheet'!W21&gt;0,"Running","Not Running")</f>
        <v>Not Running</v>
      </c>
      <c r="L46" s="100"/>
      <c r="M46" s="47">
        <f>COUNT('1st Shift Issue Sheet'!Q21)</f>
        <v>1</v>
      </c>
      <c r="N46" s="47" t="str">
        <f>IF('1st Shift Issue Sheet'!AI21&gt;=2,"Alarm","")</f>
        <v/>
      </c>
    </row>
    <row r="47" spans="2:14" ht="15" hidden="1" thickBot="1">
      <c r="B47" s="47">
        <v>18</v>
      </c>
      <c r="C47" s="47">
        <f>'1st Shift Issue Sheet'!J22</f>
        <v>0</v>
      </c>
      <c r="D47" s="99" t="str">
        <f>IF('1st Shift Issue Sheet'!J22&gt;0,"Running","Not Running")</f>
        <v>Not Running</v>
      </c>
      <c r="E47" s="100"/>
      <c r="F47" s="47">
        <f>COUNT('1st Shift Issue Sheet'!D22)</f>
        <v>1</v>
      </c>
      <c r="G47" s="47" t="str">
        <f>IF('1st Shift Issue Sheet'!AG22&gt;=2,"Alarm","")</f>
        <v/>
      </c>
      <c r="I47" s="47">
        <v>118</v>
      </c>
      <c r="J47" s="47">
        <f>'1st Shift Issue Sheet'!W22</f>
        <v>0</v>
      </c>
      <c r="K47" s="99" t="str">
        <f>IF('1st Shift Issue Sheet'!W22&gt;0,"Running","Not Running")</f>
        <v>Not Running</v>
      </c>
      <c r="L47" s="100"/>
      <c r="M47" s="47">
        <f>COUNT('1st Shift Issue Sheet'!Q22)</f>
        <v>1</v>
      </c>
      <c r="N47" s="47" t="str">
        <f>IF('1st Shift Issue Sheet'!AI22&gt;=2,"Alarm","")</f>
        <v/>
      </c>
    </row>
    <row r="48" spans="2:14" ht="15" hidden="1" thickBot="1">
      <c r="B48" s="47">
        <v>19</v>
      </c>
      <c r="C48" s="47">
        <f>'1st Shift Issue Sheet'!J23</f>
        <v>0</v>
      </c>
      <c r="D48" s="99" t="str">
        <f>IF('1st Shift Issue Sheet'!J23&gt;0,"Running","Not Running")</f>
        <v>Not Running</v>
      </c>
      <c r="E48" s="100"/>
      <c r="F48" s="47">
        <f>COUNT('1st Shift Issue Sheet'!D23)</f>
        <v>1</v>
      </c>
      <c r="G48" s="47" t="str">
        <f>IF('1st Shift Issue Sheet'!AG23&gt;=2,"Alarm","")</f>
        <v/>
      </c>
      <c r="I48" s="47">
        <v>119</v>
      </c>
      <c r="J48" s="47">
        <f>'1st Shift Issue Sheet'!W23</f>
        <v>0</v>
      </c>
      <c r="K48" s="99" t="str">
        <f>IF('1st Shift Issue Sheet'!W23&gt;0,"Running","Not Running")</f>
        <v>Not Running</v>
      </c>
      <c r="L48" s="100"/>
      <c r="M48" s="47">
        <f>COUNT('1st Shift Issue Sheet'!Q23)</f>
        <v>1</v>
      </c>
      <c r="N48" s="47" t="str">
        <f>IF('1st Shift Issue Sheet'!AI23&gt;=2,"Alarm","")</f>
        <v/>
      </c>
    </row>
    <row r="49" spans="2:14" ht="15" hidden="1" thickBot="1">
      <c r="B49" s="47">
        <v>20</v>
      </c>
      <c r="C49" s="47">
        <f>'1st Shift Issue Sheet'!J24</f>
        <v>0</v>
      </c>
      <c r="D49" s="99" t="str">
        <f>IF('1st Shift Issue Sheet'!J24&gt;0,"Running","Not Running")</f>
        <v>Not Running</v>
      </c>
      <c r="E49" s="100"/>
      <c r="F49" s="47">
        <f>COUNT('1st Shift Issue Sheet'!D24)</f>
        <v>1</v>
      </c>
      <c r="G49" s="47" t="str">
        <f>IF('1st Shift Issue Sheet'!AG24&gt;=2,"Alarm","")</f>
        <v/>
      </c>
      <c r="I49" s="47">
        <v>120</v>
      </c>
      <c r="J49" s="47">
        <f>'1st Shift Issue Sheet'!W24</f>
        <v>0</v>
      </c>
      <c r="K49" s="99" t="str">
        <f>IF('1st Shift Issue Sheet'!W24&gt;0,"Running","Not Running")</f>
        <v>Not Running</v>
      </c>
      <c r="L49" s="100"/>
      <c r="M49" s="47">
        <f>COUNT('1st Shift Issue Sheet'!Q24)</f>
        <v>1</v>
      </c>
      <c r="N49" s="47" t="str">
        <f>IF('1st Shift Issue Sheet'!AI24&gt;=2,"Alarm","")</f>
        <v/>
      </c>
    </row>
    <row r="50" spans="2:14" ht="15" hidden="1" thickBot="1">
      <c r="B50" s="47">
        <v>21</v>
      </c>
      <c r="C50" s="47">
        <f>'1st Shift Issue Sheet'!J25</f>
        <v>0</v>
      </c>
      <c r="D50" s="99" t="str">
        <f>IF('1st Shift Issue Sheet'!J25&gt;0,"Running","Not Running")</f>
        <v>Not Running</v>
      </c>
      <c r="E50" s="100"/>
      <c r="F50" s="47">
        <f>COUNT('1st Shift Issue Sheet'!D25)</f>
        <v>1</v>
      </c>
      <c r="G50" s="47" t="str">
        <f>IF('1st Shift Issue Sheet'!AG25&gt;=2,"Alarm","")</f>
        <v/>
      </c>
      <c r="I50" s="47">
        <v>121</v>
      </c>
      <c r="J50" s="47">
        <f>'1st Shift Issue Sheet'!W25</f>
        <v>0</v>
      </c>
      <c r="K50" s="99" t="str">
        <f>IF('1st Shift Issue Sheet'!W25&gt;0,"Running","Not Running")</f>
        <v>Not Running</v>
      </c>
      <c r="L50" s="100"/>
      <c r="M50" s="47">
        <f>COUNT('1st Shift Issue Sheet'!Q25)</f>
        <v>1</v>
      </c>
      <c r="N50" s="47" t="str">
        <f>IF('1st Shift Issue Sheet'!AI25&gt;=2,"Alarm","")</f>
        <v/>
      </c>
    </row>
    <row r="51" spans="2:14" ht="15" hidden="1" thickBot="1">
      <c r="B51" s="47">
        <v>22</v>
      </c>
      <c r="C51" s="47">
        <f>'1st Shift Issue Sheet'!J26</f>
        <v>0</v>
      </c>
      <c r="D51" s="99" t="str">
        <f>IF('1st Shift Issue Sheet'!J26&gt;0,"Running","Not Running")</f>
        <v>Not Running</v>
      </c>
      <c r="E51" s="100"/>
      <c r="F51" s="47">
        <f>COUNT('1st Shift Issue Sheet'!D26)</f>
        <v>1</v>
      </c>
      <c r="G51" s="47" t="str">
        <f>IF('1st Shift Issue Sheet'!AG26&gt;=2,"Alarm","")</f>
        <v/>
      </c>
      <c r="I51" s="47">
        <v>122</v>
      </c>
      <c r="J51" s="47">
        <f>'1st Shift Issue Sheet'!W26</f>
        <v>0</v>
      </c>
      <c r="K51" s="99" t="str">
        <f>IF('1st Shift Issue Sheet'!W26&gt;0,"Running","Not Running")</f>
        <v>Not Running</v>
      </c>
      <c r="L51" s="100"/>
      <c r="M51" s="47">
        <f>COUNT('1st Shift Issue Sheet'!Q26)</f>
        <v>1</v>
      </c>
      <c r="N51" s="47" t="str">
        <f>IF('1st Shift Issue Sheet'!AI26&gt;=2,"Alarm","")</f>
        <v/>
      </c>
    </row>
    <row r="52" spans="2:14" ht="15" hidden="1" thickBot="1">
      <c r="B52" s="47">
        <v>23</v>
      </c>
      <c r="C52" s="47">
        <f>'1st Shift Issue Sheet'!J27</f>
        <v>0</v>
      </c>
      <c r="D52" s="99" t="str">
        <f>IF('1st Shift Issue Sheet'!J27&gt;0,"Running","Not Running")</f>
        <v>Not Running</v>
      </c>
      <c r="E52" s="100"/>
      <c r="F52" s="47">
        <f>COUNT('1st Shift Issue Sheet'!D27)</f>
        <v>1</v>
      </c>
      <c r="G52" s="47" t="str">
        <f>IF('1st Shift Issue Sheet'!AG27&gt;=2,"Alarm","")</f>
        <v/>
      </c>
      <c r="I52" s="47">
        <v>123</v>
      </c>
      <c r="J52" s="47">
        <f>'1st Shift Issue Sheet'!W27</f>
        <v>0</v>
      </c>
      <c r="K52" s="99" t="str">
        <f>IF('1st Shift Issue Sheet'!W27&gt;0,"Running","Not Running")</f>
        <v>Not Running</v>
      </c>
      <c r="L52" s="100"/>
      <c r="M52" s="47">
        <f>COUNT('1st Shift Issue Sheet'!Q27)</f>
        <v>1</v>
      </c>
      <c r="N52" s="47" t="str">
        <f>IF('1st Shift Issue Sheet'!AI27&gt;=2,"Alarm","")</f>
        <v/>
      </c>
    </row>
    <row r="53" spans="2:14" ht="15" hidden="1" thickBot="1">
      <c r="B53" s="47">
        <v>24</v>
      </c>
      <c r="C53" s="47">
        <f>'1st Shift Issue Sheet'!J28</f>
        <v>0</v>
      </c>
      <c r="D53" s="99" t="str">
        <f>IF('1st Shift Issue Sheet'!J28&gt;0,"Running","Not Running")</f>
        <v>Not Running</v>
      </c>
      <c r="E53" s="100"/>
      <c r="F53" s="47">
        <f>COUNT('1st Shift Issue Sheet'!D28)</f>
        <v>1</v>
      </c>
      <c r="G53" s="47" t="str">
        <f>IF('1st Shift Issue Sheet'!AG28&gt;=2,"Alarm","")</f>
        <v/>
      </c>
      <c r="I53" s="47">
        <v>124</v>
      </c>
      <c r="J53" s="47">
        <f>'1st Shift Issue Sheet'!W28</f>
        <v>0</v>
      </c>
      <c r="K53" s="99" t="str">
        <f>IF('1st Shift Issue Sheet'!W28&gt;0,"Running","Not Running")</f>
        <v>Not Running</v>
      </c>
      <c r="L53" s="100"/>
      <c r="M53" s="47">
        <f>COUNT('1st Shift Issue Sheet'!Q28)</f>
        <v>1</v>
      </c>
      <c r="N53" s="47" t="str">
        <f>IF('1st Shift Issue Sheet'!AI28&gt;=2,"Alarm","")</f>
        <v/>
      </c>
    </row>
    <row r="54" spans="2:14" ht="15" hidden="1" thickBot="1">
      <c r="B54" s="47">
        <v>25</v>
      </c>
      <c r="C54" s="47">
        <f>'1st Shift Issue Sheet'!J29</f>
        <v>0</v>
      </c>
      <c r="D54" s="99" t="str">
        <f>IF('1st Shift Issue Sheet'!J29&gt;0,"Running","Not Running")</f>
        <v>Not Running</v>
      </c>
      <c r="E54" s="100"/>
      <c r="F54" s="47">
        <f>COUNT('1st Shift Issue Sheet'!D29)</f>
        <v>1</v>
      </c>
      <c r="G54" s="47" t="str">
        <f>IF('1st Shift Issue Sheet'!AG29&gt;=2,"Alarm","")</f>
        <v/>
      </c>
      <c r="I54" s="47">
        <v>125</v>
      </c>
      <c r="J54" s="47">
        <f>'1st Shift Issue Sheet'!W29</f>
        <v>0</v>
      </c>
      <c r="K54" s="99" t="str">
        <f>IF('1st Shift Issue Sheet'!W29&gt;0,"Running","Not Running")</f>
        <v>Not Running</v>
      </c>
      <c r="L54" s="100"/>
      <c r="M54" s="47">
        <f>COUNT('1st Shift Issue Sheet'!Q29)</f>
        <v>1</v>
      </c>
      <c r="N54" s="47" t="str">
        <f>IF('1st Shift Issue Sheet'!AI29&gt;=2,"Alarm","")</f>
        <v/>
      </c>
    </row>
    <row r="55" spans="2:14" ht="15" hidden="1" thickBot="1">
      <c r="B55" s="47">
        <v>26</v>
      </c>
      <c r="C55" s="47">
        <f>'1st Shift Issue Sheet'!J30</f>
        <v>0</v>
      </c>
      <c r="D55" s="99" t="str">
        <f>IF('1st Shift Issue Sheet'!J30&gt;0,"Running","Not Running")</f>
        <v>Not Running</v>
      </c>
      <c r="E55" s="100"/>
      <c r="F55" s="47">
        <f>COUNT('1st Shift Issue Sheet'!D30)</f>
        <v>1</v>
      </c>
      <c r="G55" s="47" t="str">
        <f>IF('1st Shift Issue Sheet'!AG30&gt;=2,"Alarm","")</f>
        <v/>
      </c>
      <c r="I55" s="47">
        <v>126</v>
      </c>
      <c r="J55" s="47">
        <f>'1st Shift Issue Sheet'!W30</f>
        <v>0</v>
      </c>
      <c r="K55" s="99" t="str">
        <f>IF('1st Shift Issue Sheet'!W30&gt;0,"Running","Not Running")</f>
        <v>Not Running</v>
      </c>
      <c r="L55" s="100"/>
      <c r="M55" s="47">
        <f>COUNT('1st Shift Issue Sheet'!Q30)</f>
        <v>1</v>
      </c>
      <c r="N55" s="47" t="str">
        <f>IF('1st Shift Issue Sheet'!AI30&gt;=2,"Alarm","")</f>
        <v/>
      </c>
    </row>
    <row r="56" spans="2:14" ht="15" hidden="1" thickBot="1">
      <c r="B56" s="47">
        <v>27</v>
      </c>
      <c r="C56" s="47">
        <f>'1st Shift Issue Sheet'!J31</f>
        <v>0</v>
      </c>
      <c r="D56" s="99" t="str">
        <f>IF('1st Shift Issue Sheet'!J31&gt;0,"Running","Not Running")</f>
        <v>Not Running</v>
      </c>
      <c r="E56" s="100"/>
      <c r="F56" s="47">
        <f>COUNT('1st Shift Issue Sheet'!D31)</f>
        <v>1</v>
      </c>
      <c r="G56" s="47" t="str">
        <f>IF('1st Shift Issue Sheet'!AG31&gt;=2,"Alarm","")</f>
        <v/>
      </c>
      <c r="I56" s="47">
        <v>127</v>
      </c>
      <c r="J56" s="47">
        <f>'1st Shift Issue Sheet'!W31</f>
        <v>0</v>
      </c>
      <c r="K56" s="99" t="str">
        <f>IF('1st Shift Issue Sheet'!W31&gt;0,"Running","Not Running")</f>
        <v>Not Running</v>
      </c>
      <c r="L56" s="100"/>
      <c r="M56" s="47">
        <f>COUNT('1st Shift Issue Sheet'!Q31)</f>
        <v>1</v>
      </c>
      <c r="N56" s="47" t="str">
        <f>IF('1st Shift Issue Sheet'!AI31&gt;=2,"Alarm","")</f>
        <v/>
      </c>
    </row>
    <row r="57" spans="2:14" ht="15" hidden="1" thickBot="1">
      <c r="B57" s="47">
        <v>28</v>
      </c>
      <c r="C57" s="47">
        <f>'1st Shift Issue Sheet'!J32</f>
        <v>0</v>
      </c>
      <c r="D57" s="99" t="str">
        <f>IF('1st Shift Issue Sheet'!J32&gt;0,"Running","Not Running")</f>
        <v>Not Running</v>
      </c>
      <c r="E57" s="100"/>
      <c r="F57" s="47">
        <f>COUNT('1st Shift Issue Sheet'!D32)</f>
        <v>1</v>
      </c>
      <c r="G57" s="47" t="str">
        <f>IF('1st Shift Issue Sheet'!AG32&gt;=2,"Alarm","")</f>
        <v/>
      </c>
      <c r="I57" s="47">
        <v>128</v>
      </c>
      <c r="J57" s="47">
        <f>'1st Shift Issue Sheet'!W32</f>
        <v>0</v>
      </c>
      <c r="K57" s="99" t="str">
        <f>IF('1st Shift Issue Sheet'!W32&gt;0,"Running","Not Running")</f>
        <v>Not Running</v>
      </c>
      <c r="L57" s="100"/>
      <c r="M57" s="47">
        <f>COUNT('1st Shift Issue Sheet'!Q32)</f>
        <v>1</v>
      </c>
      <c r="N57" s="47" t="str">
        <f>IF('1st Shift Issue Sheet'!AI32&gt;=2,"Alarm","")</f>
        <v/>
      </c>
    </row>
    <row r="58" spans="2:14" ht="15" hidden="1" thickBot="1">
      <c r="B58" s="47">
        <v>29</v>
      </c>
      <c r="C58" s="47">
        <f>'1st Shift Issue Sheet'!J33</f>
        <v>0</v>
      </c>
      <c r="D58" s="99" t="str">
        <f>IF('1st Shift Issue Sheet'!J33&gt;0,"Running","Not Running")</f>
        <v>Not Running</v>
      </c>
      <c r="E58" s="100"/>
      <c r="F58" s="47">
        <f>COUNT('1st Shift Issue Sheet'!D33)</f>
        <v>1</v>
      </c>
      <c r="G58" s="47" t="str">
        <f>IF('1st Shift Issue Sheet'!AG33&gt;=2,"Alarm","")</f>
        <v/>
      </c>
      <c r="I58" s="47">
        <v>129</v>
      </c>
      <c r="J58" s="47">
        <f>'1st Shift Issue Sheet'!W33</f>
        <v>0</v>
      </c>
      <c r="K58" s="99" t="str">
        <f>IF('1st Shift Issue Sheet'!W33&gt;0,"Running","Not Running")</f>
        <v>Not Running</v>
      </c>
      <c r="L58" s="100"/>
      <c r="M58" s="47">
        <f>COUNT('1st Shift Issue Sheet'!Q33)</f>
        <v>1</v>
      </c>
      <c r="N58" s="47" t="str">
        <f>IF('1st Shift Issue Sheet'!AI33&gt;=2,"Alarm","")</f>
        <v/>
      </c>
    </row>
    <row r="59" spans="2:14" ht="15" hidden="1" thickBot="1">
      <c r="B59" s="47">
        <v>30</v>
      </c>
      <c r="C59" s="47">
        <f>'1st Shift Issue Sheet'!J34</f>
        <v>0</v>
      </c>
      <c r="D59" s="99" t="str">
        <f>IF('1st Shift Issue Sheet'!J34&gt;0,"Running","Not Running")</f>
        <v>Not Running</v>
      </c>
      <c r="E59" s="100"/>
      <c r="F59" s="47">
        <f>COUNT('1st Shift Issue Sheet'!D34)</f>
        <v>1</v>
      </c>
      <c r="G59" s="47" t="str">
        <f>IF('1st Shift Issue Sheet'!AG34&gt;=2,"Alarm","")</f>
        <v/>
      </c>
      <c r="I59" s="47">
        <v>130</v>
      </c>
      <c r="J59" s="47">
        <f>'1st Shift Issue Sheet'!W34</f>
        <v>0</v>
      </c>
      <c r="K59" s="99" t="str">
        <f>IF('1st Shift Issue Sheet'!W34&gt;0,"Running","Not Running")</f>
        <v>Not Running</v>
      </c>
      <c r="L59" s="100"/>
      <c r="M59" s="47">
        <f>COUNT('1st Shift Issue Sheet'!Q34)</f>
        <v>1</v>
      </c>
      <c r="N59" s="47" t="str">
        <f>IF('1st Shift Issue Sheet'!AI34&gt;=2,"Alarm","")</f>
        <v/>
      </c>
    </row>
    <row r="60" spans="2:14" ht="15" hidden="1" thickBot="1">
      <c r="B60" s="47">
        <v>31</v>
      </c>
      <c r="C60" s="47">
        <f>'1st Shift Issue Sheet'!J35</f>
        <v>0</v>
      </c>
      <c r="D60" s="99" t="str">
        <f>IF('1st Shift Issue Sheet'!J35&gt;0,"Running","Not Running")</f>
        <v>Not Running</v>
      </c>
      <c r="E60" s="100"/>
      <c r="F60" s="47">
        <f>COUNT('1st Shift Issue Sheet'!D35)</f>
        <v>1</v>
      </c>
      <c r="G60" s="47" t="str">
        <f>IF('1st Shift Issue Sheet'!AG35&gt;=2,"Alarm","")</f>
        <v/>
      </c>
      <c r="I60" s="47">
        <v>131</v>
      </c>
      <c r="J60" s="47">
        <f>'1st Shift Issue Sheet'!W35</f>
        <v>0</v>
      </c>
      <c r="K60" s="99" t="str">
        <f>IF('1st Shift Issue Sheet'!W35&gt;0,"Running","Not Running")</f>
        <v>Not Running</v>
      </c>
      <c r="L60" s="100"/>
      <c r="M60" s="47">
        <f>COUNT('1st Shift Issue Sheet'!Q35)</f>
        <v>1</v>
      </c>
      <c r="N60" s="47" t="str">
        <f>IF('1st Shift Issue Sheet'!AI35&gt;=2,"Alarm","")</f>
        <v/>
      </c>
    </row>
    <row r="61" spans="2:14" ht="15" hidden="1" thickBot="1">
      <c r="B61" s="47">
        <v>32</v>
      </c>
      <c r="C61" s="47">
        <f>'1st Shift Issue Sheet'!J36</f>
        <v>0</v>
      </c>
      <c r="D61" s="99" t="str">
        <f>IF('1st Shift Issue Sheet'!J36&gt;0,"Running","Not Running")</f>
        <v>Not Running</v>
      </c>
      <c r="E61" s="100"/>
      <c r="F61" s="47">
        <f>COUNT('1st Shift Issue Sheet'!D36)</f>
        <v>1</v>
      </c>
      <c r="G61" s="47" t="str">
        <f>IF('1st Shift Issue Sheet'!AG36&gt;=2,"Alarm","")</f>
        <v/>
      </c>
      <c r="I61" s="47">
        <v>132</v>
      </c>
      <c r="J61" s="47">
        <f>'1st Shift Issue Sheet'!W36</f>
        <v>0</v>
      </c>
      <c r="K61" s="99" t="str">
        <f>IF('1st Shift Issue Sheet'!W36&gt;0,"Running","Not Running")</f>
        <v>Not Running</v>
      </c>
      <c r="L61" s="100"/>
      <c r="M61" s="47">
        <f>COUNT('1st Shift Issue Sheet'!Q36)</f>
        <v>1</v>
      </c>
      <c r="N61" s="47" t="str">
        <f>IF('1st Shift Issue Sheet'!AI36&gt;=2,"Alarm","")</f>
        <v/>
      </c>
    </row>
    <row r="62" spans="2:14" ht="15" hidden="1" thickBot="1">
      <c r="B62" s="47">
        <v>33</v>
      </c>
      <c r="C62" s="47">
        <f>'1st Shift Issue Sheet'!J37</f>
        <v>0</v>
      </c>
      <c r="D62" s="99" t="str">
        <f>IF('1st Shift Issue Sheet'!J37&gt;0,"Running","Not Running")</f>
        <v>Not Running</v>
      </c>
      <c r="E62" s="100"/>
      <c r="F62" s="47">
        <f>COUNT('1st Shift Issue Sheet'!D37)</f>
        <v>1</v>
      </c>
      <c r="G62" s="47" t="str">
        <f>IF('1st Shift Issue Sheet'!AG37&gt;=2,"Alarm","")</f>
        <v/>
      </c>
      <c r="I62" s="47">
        <v>133</v>
      </c>
      <c r="J62" s="47">
        <f>'1st Shift Issue Sheet'!W37</f>
        <v>0</v>
      </c>
      <c r="K62" s="99" t="str">
        <f>IF('1st Shift Issue Sheet'!W37&gt;0,"Running","Not Running")</f>
        <v>Not Running</v>
      </c>
      <c r="L62" s="100"/>
      <c r="M62" s="47">
        <f>COUNT('1st Shift Issue Sheet'!Q37)</f>
        <v>1</v>
      </c>
      <c r="N62" s="47" t="str">
        <f>IF('1st Shift Issue Sheet'!AI37&gt;=2,"Alarm","")</f>
        <v/>
      </c>
    </row>
    <row r="63" spans="2:14" ht="15" hidden="1" thickBot="1">
      <c r="B63" s="47">
        <v>34</v>
      </c>
      <c r="C63" s="47">
        <f>'1st Shift Issue Sheet'!J38</f>
        <v>0</v>
      </c>
      <c r="D63" s="99" t="str">
        <f>IF('1st Shift Issue Sheet'!J38&gt;0,"Running","Not Running")</f>
        <v>Not Running</v>
      </c>
      <c r="E63" s="100"/>
      <c r="F63" s="47">
        <f>COUNT('1st Shift Issue Sheet'!D38)</f>
        <v>1</v>
      </c>
      <c r="G63" s="47" t="str">
        <f>IF('1st Shift Issue Sheet'!AG38&gt;=2,"Alarm","")</f>
        <v/>
      </c>
      <c r="I63" s="47">
        <v>134</v>
      </c>
      <c r="J63" s="47">
        <f>'1st Shift Issue Sheet'!W38</f>
        <v>0</v>
      </c>
      <c r="K63" s="99" t="str">
        <f>IF('1st Shift Issue Sheet'!W38&gt;0,"Running","Not Running")</f>
        <v>Not Running</v>
      </c>
      <c r="L63" s="100"/>
      <c r="M63" s="47">
        <f>COUNT('1st Shift Issue Sheet'!Q38)</f>
        <v>1</v>
      </c>
      <c r="N63" s="47" t="str">
        <f>IF('1st Shift Issue Sheet'!AI38&gt;=2,"Alarm","")</f>
        <v/>
      </c>
    </row>
    <row r="64" spans="2:14" ht="15" hidden="1" thickBot="1">
      <c r="B64" s="47">
        <v>35</v>
      </c>
      <c r="C64" s="47">
        <f>'1st Shift Issue Sheet'!J39</f>
        <v>0</v>
      </c>
      <c r="D64" s="99" t="str">
        <f>IF('1st Shift Issue Sheet'!J39&gt;0,"Running","Not Running")</f>
        <v>Not Running</v>
      </c>
      <c r="E64" s="100"/>
      <c r="F64" s="47">
        <f>COUNT('1st Shift Issue Sheet'!D39)</f>
        <v>1</v>
      </c>
      <c r="G64" s="47" t="str">
        <f>IF('1st Shift Issue Sheet'!AG39&gt;=2,"Alarm","")</f>
        <v/>
      </c>
      <c r="I64" s="47">
        <v>135</v>
      </c>
      <c r="J64" s="47">
        <f>'1st Shift Issue Sheet'!W39</f>
        <v>0</v>
      </c>
      <c r="K64" s="99" t="str">
        <f>IF('1st Shift Issue Sheet'!W39&gt;0,"Running","Not Running")</f>
        <v>Not Running</v>
      </c>
      <c r="L64" s="100"/>
      <c r="M64" s="47">
        <f>COUNT('1st Shift Issue Sheet'!Q39)</f>
        <v>1</v>
      </c>
      <c r="N64" s="47" t="str">
        <f>IF('1st Shift Issue Sheet'!AI39&gt;=2,"Alarm","")</f>
        <v/>
      </c>
    </row>
    <row r="65" spans="2:14" ht="15" hidden="1" thickBot="1">
      <c r="B65" s="47">
        <v>36</v>
      </c>
      <c r="C65" s="47">
        <f>'1st Shift Issue Sheet'!J40</f>
        <v>0</v>
      </c>
      <c r="D65" s="99" t="str">
        <f>IF('1st Shift Issue Sheet'!J40&gt;0,"Running","Not Running")</f>
        <v>Not Running</v>
      </c>
      <c r="E65" s="100"/>
      <c r="F65" s="47">
        <f>COUNT('1st Shift Issue Sheet'!D40)</f>
        <v>1</v>
      </c>
      <c r="G65" s="47" t="str">
        <f>IF('1st Shift Issue Sheet'!AG40&gt;=2,"Alarm","")</f>
        <v/>
      </c>
      <c r="I65" s="47">
        <v>136</v>
      </c>
      <c r="J65" s="47">
        <f>'1st Shift Issue Sheet'!W40</f>
        <v>0</v>
      </c>
      <c r="K65" s="99" t="str">
        <f>IF('1st Shift Issue Sheet'!W40&gt;0,"Running","Not Running")</f>
        <v>Not Running</v>
      </c>
      <c r="L65" s="100"/>
      <c r="M65" s="47">
        <f>COUNT('1st Shift Issue Sheet'!Q40)</f>
        <v>1</v>
      </c>
      <c r="N65" s="47" t="str">
        <f>IF('1st Shift Issue Sheet'!AI40&gt;=2,"Alarm","")</f>
        <v/>
      </c>
    </row>
    <row r="66" spans="2:14" ht="15" hidden="1" thickBot="1">
      <c r="B66" s="47">
        <v>37</v>
      </c>
      <c r="C66" s="47">
        <f>'1st Shift Issue Sheet'!J41</f>
        <v>0</v>
      </c>
      <c r="D66" s="99" t="str">
        <f>IF('1st Shift Issue Sheet'!J41&gt;0,"Running","Not Running")</f>
        <v>Not Running</v>
      </c>
      <c r="E66" s="100"/>
      <c r="F66" s="47">
        <f>COUNT('1st Shift Issue Sheet'!D41)</f>
        <v>1</v>
      </c>
      <c r="G66" s="47" t="str">
        <f>IF('1st Shift Issue Sheet'!AG41&gt;=2,"Alarm","")</f>
        <v/>
      </c>
      <c r="I66" s="47">
        <v>137</v>
      </c>
      <c r="J66" s="47">
        <f>'1st Shift Issue Sheet'!W41</f>
        <v>0</v>
      </c>
      <c r="K66" s="99" t="str">
        <f>IF('1st Shift Issue Sheet'!W41&gt;0,"Running","Not Running")</f>
        <v>Not Running</v>
      </c>
      <c r="L66" s="100"/>
      <c r="M66" s="47">
        <f>COUNT('1st Shift Issue Sheet'!Q41)</f>
        <v>1</v>
      </c>
      <c r="N66" s="47" t="str">
        <f>IF('1st Shift Issue Sheet'!AI41&gt;=2,"Alarm","")</f>
        <v/>
      </c>
    </row>
    <row r="67" spans="2:14" ht="15" hidden="1" thickBot="1">
      <c r="B67" s="47">
        <v>38</v>
      </c>
      <c r="C67" s="47">
        <f>'1st Shift Issue Sheet'!J42</f>
        <v>0</v>
      </c>
      <c r="D67" s="99" t="str">
        <f>IF('1st Shift Issue Sheet'!J42&gt;0,"Running","Not Running")</f>
        <v>Not Running</v>
      </c>
      <c r="E67" s="100"/>
      <c r="F67" s="47">
        <f>COUNT('1st Shift Issue Sheet'!D42)</f>
        <v>1</v>
      </c>
      <c r="G67" s="47" t="str">
        <f>IF('1st Shift Issue Sheet'!AG42&gt;=2,"Alarm","")</f>
        <v/>
      </c>
      <c r="I67" s="47">
        <v>138</v>
      </c>
      <c r="J67" s="47">
        <f>'1st Shift Issue Sheet'!W42</f>
        <v>0</v>
      </c>
      <c r="K67" s="99" t="str">
        <f>IF('1st Shift Issue Sheet'!W42&gt;0,"Running","Not Running")</f>
        <v>Not Running</v>
      </c>
      <c r="L67" s="100"/>
      <c r="M67" s="47">
        <f>COUNT('1st Shift Issue Sheet'!Q42)</f>
        <v>1</v>
      </c>
      <c r="N67" s="47" t="str">
        <f>IF('1st Shift Issue Sheet'!AI42&gt;=2,"Alarm","")</f>
        <v/>
      </c>
    </row>
    <row r="68" spans="2:14" ht="15" hidden="1" thickBot="1">
      <c r="B68" s="47">
        <v>39</v>
      </c>
      <c r="C68" s="47">
        <f>'1st Shift Issue Sheet'!J43</f>
        <v>0</v>
      </c>
      <c r="D68" s="99" t="str">
        <f>IF('1st Shift Issue Sheet'!J43&gt;0,"Running","Not Running")</f>
        <v>Not Running</v>
      </c>
      <c r="E68" s="100"/>
      <c r="F68" s="47">
        <f>COUNT('1st Shift Issue Sheet'!D43)</f>
        <v>1</v>
      </c>
      <c r="G68" s="47" t="str">
        <f>IF('1st Shift Issue Sheet'!AG43&gt;=2,"Alarm","")</f>
        <v/>
      </c>
      <c r="I68" s="47">
        <v>139</v>
      </c>
      <c r="J68" s="47">
        <f>'1st Shift Issue Sheet'!W43</f>
        <v>0</v>
      </c>
      <c r="K68" s="99" t="str">
        <f>IF('1st Shift Issue Sheet'!W43&gt;0,"Running","Not Running")</f>
        <v>Not Running</v>
      </c>
      <c r="L68" s="100"/>
      <c r="M68" s="47">
        <f>COUNT('1st Shift Issue Sheet'!Q43)</f>
        <v>1</v>
      </c>
      <c r="N68" s="47" t="str">
        <f>IF('1st Shift Issue Sheet'!AI43&gt;=2,"Alarm","")</f>
        <v/>
      </c>
    </row>
    <row r="69" spans="2:14" ht="15" hidden="1" thickBot="1">
      <c r="B69" s="47">
        <v>40</v>
      </c>
      <c r="C69" s="47">
        <f>'1st Shift Issue Sheet'!J44</f>
        <v>0</v>
      </c>
      <c r="D69" s="99" t="str">
        <f>IF('1st Shift Issue Sheet'!J44&gt;0,"Running","Not Running")</f>
        <v>Not Running</v>
      </c>
      <c r="E69" s="100"/>
      <c r="F69" s="47">
        <f>COUNT('1st Shift Issue Sheet'!D44)</f>
        <v>1</v>
      </c>
      <c r="G69" s="47" t="str">
        <f>IF('1st Shift Issue Sheet'!AG44&gt;=2,"Alarm","")</f>
        <v/>
      </c>
      <c r="I69" s="47">
        <v>140</v>
      </c>
      <c r="J69" s="47">
        <f>'1st Shift Issue Sheet'!W44</f>
        <v>0</v>
      </c>
      <c r="K69" s="99" t="str">
        <f>IF('1st Shift Issue Sheet'!W44&gt;0,"Running","Not Running")</f>
        <v>Not Running</v>
      </c>
      <c r="L69" s="100"/>
      <c r="M69" s="47">
        <f>COUNT('1st Shift Issue Sheet'!Q44)</f>
        <v>1</v>
      </c>
      <c r="N69" s="47" t="str">
        <f>IF('1st Shift Issue Sheet'!AI44&gt;=2,"Alarm","")</f>
        <v/>
      </c>
    </row>
    <row r="70" spans="2:14" ht="15" hidden="1" thickBot="1">
      <c r="B70" s="47">
        <v>41</v>
      </c>
      <c r="C70" s="47">
        <f>'1st Shift Issue Sheet'!J45</f>
        <v>0</v>
      </c>
      <c r="D70" s="99" t="str">
        <f>IF('1st Shift Issue Sheet'!J45&gt;0,"Running","Not Running")</f>
        <v>Not Running</v>
      </c>
      <c r="E70" s="100"/>
      <c r="F70" s="47">
        <f>COUNT('1st Shift Issue Sheet'!D45)</f>
        <v>1</v>
      </c>
      <c r="G70" s="47" t="str">
        <f>IF('1st Shift Issue Sheet'!AG45&gt;=2,"Alarm","")</f>
        <v/>
      </c>
      <c r="I70" s="47">
        <v>141</v>
      </c>
      <c r="J70" s="47">
        <f>'1st Shift Issue Sheet'!W45</f>
        <v>0</v>
      </c>
      <c r="K70" s="99" t="str">
        <f>IF('1st Shift Issue Sheet'!W45&gt;0,"Running","Not Running")</f>
        <v>Not Running</v>
      </c>
      <c r="L70" s="100"/>
      <c r="M70" s="47">
        <f>COUNT('1st Shift Issue Sheet'!Q45)</f>
        <v>1</v>
      </c>
      <c r="N70" s="47" t="str">
        <f>IF('1st Shift Issue Sheet'!AI45&gt;=2,"Alarm","")</f>
        <v/>
      </c>
    </row>
    <row r="71" spans="2:14" ht="15" hidden="1" thickBot="1">
      <c r="B71" s="47">
        <v>42</v>
      </c>
      <c r="C71" s="47">
        <f>'1st Shift Issue Sheet'!J46</f>
        <v>0</v>
      </c>
      <c r="D71" s="99" t="str">
        <f>IF('1st Shift Issue Sheet'!J46&gt;0,"Running","Not Running")</f>
        <v>Not Running</v>
      </c>
      <c r="E71" s="100"/>
      <c r="F71" s="47">
        <f>COUNT('1st Shift Issue Sheet'!D46)</f>
        <v>1</v>
      </c>
      <c r="G71" s="47" t="str">
        <f>IF('1st Shift Issue Sheet'!AG46&gt;=2,"Alarm","")</f>
        <v/>
      </c>
      <c r="I71" s="47">
        <v>142</v>
      </c>
      <c r="J71" s="47">
        <f>'1st Shift Issue Sheet'!W46</f>
        <v>0</v>
      </c>
      <c r="K71" s="99" t="str">
        <f>IF('1st Shift Issue Sheet'!W46&gt;0,"Running","Not Running")</f>
        <v>Not Running</v>
      </c>
      <c r="L71" s="100"/>
      <c r="M71" s="47">
        <f>COUNT('1st Shift Issue Sheet'!Q46)</f>
        <v>1</v>
      </c>
      <c r="N71" s="47" t="str">
        <f>IF('1st Shift Issue Sheet'!AI46&gt;=2,"Alarm","")</f>
        <v/>
      </c>
    </row>
    <row r="72" spans="2:14" ht="15" hidden="1" thickBot="1">
      <c r="B72" s="47">
        <v>43</v>
      </c>
      <c r="C72" s="47">
        <f>'1st Shift Issue Sheet'!J47</f>
        <v>0</v>
      </c>
      <c r="D72" s="99" t="str">
        <f>IF('1st Shift Issue Sheet'!J47&gt;0,"Running","Not Running")</f>
        <v>Not Running</v>
      </c>
      <c r="E72" s="100"/>
      <c r="F72" s="47">
        <f>COUNT('1st Shift Issue Sheet'!D47)</f>
        <v>1</v>
      </c>
      <c r="G72" s="47" t="str">
        <f>IF('1st Shift Issue Sheet'!AG47&gt;=2,"Alarm","")</f>
        <v/>
      </c>
      <c r="I72" s="47">
        <v>143</v>
      </c>
      <c r="J72" s="47">
        <f>'1st Shift Issue Sheet'!W47</f>
        <v>0</v>
      </c>
      <c r="K72" s="99" t="str">
        <f>IF('1st Shift Issue Sheet'!W47&gt;0,"Running","Not Running")</f>
        <v>Not Running</v>
      </c>
      <c r="L72" s="100"/>
      <c r="M72" s="47">
        <f>COUNT('1st Shift Issue Sheet'!Q47)</f>
        <v>1</v>
      </c>
      <c r="N72" s="47" t="str">
        <f>IF('1st Shift Issue Sheet'!AI47&gt;=2,"Alarm","")</f>
        <v/>
      </c>
    </row>
    <row r="73" spans="2:14" ht="15" hidden="1" thickBot="1">
      <c r="B73" s="47">
        <v>44</v>
      </c>
      <c r="C73" s="47">
        <f>'1st Shift Issue Sheet'!J48</f>
        <v>0</v>
      </c>
      <c r="D73" s="99" t="str">
        <f>IF('1st Shift Issue Sheet'!J48&gt;0,"Running","Not Running")</f>
        <v>Not Running</v>
      </c>
      <c r="E73" s="100"/>
      <c r="F73" s="47">
        <f>COUNT('1st Shift Issue Sheet'!D48)</f>
        <v>1</v>
      </c>
      <c r="G73" s="47" t="str">
        <f>IF('1st Shift Issue Sheet'!AG48&gt;=2,"Alarm","")</f>
        <v/>
      </c>
      <c r="I73" s="47">
        <v>144</v>
      </c>
      <c r="J73" s="47">
        <f>'1st Shift Issue Sheet'!W48</f>
        <v>0</v>
      </c>
      <c r="K73" s="99" t="str">
        <f>IF('1st Shift Issue Sheet'!W48&gt;0,"Running","Not Running")</f>
        <v>Not Running</v>
      </c>
      <c r="L73" s="100"/>
      <c r="M73" s="47">
        <f>COUNT('1st Shift Issue Sheet'!Q48)</f>
        <v>1</v>
      </c>
      <c r="N73" s="47" t="str">
        <f>IF('1st Shift Issue Sheet'!AI48&gt;=2,"Alarm","")</f>
        <v/>
      </c>
    </row>
    <row r="74" spans="2:14" ht="15" hidden="1" thickBot="1">
      <c r="B74" s="47">
        <v>45</v>
      </c>
      <c r="C74" s="47">
        <f>'1st Shift Issue Sheet'!J49</f>
        <v>0</v>
      </c>
      <c r="D74" s="99" t="str">
        <f>IF('1st Shift Issue Sheet'!J49&gt;0,"Running","Not Running")</f>
        <v>Not Running</v>
      </c>
      <c r="E74" s="100"/>
      <c r="F74" s="47">
        <f>COUNT('1st Shift Issue Sheet'!D49)</f>
        <v>1</v>
      </c>
      <c r="G74" s="47" t="str">
        <f>IF('1st Shift Issue Sheet'!AG49&gt;=2,"Alarm","")</f>
        <v/>
      </c>
      <c r="I74" s="47">
        <v>145</v>
      </c>
      <c r="J74" s="47">
        <f>'1st Shift Issue Sheet'!W49</f>
        <v>0</v>
      </c>
      <c r="K74" s="99" t="str">
        <f>IF('1st Shift Issue Sheet'!W49&gt;0,"Running","Not Running")</f>
        <v>Not Running</v>
      </c>
      <c r="L74" s="100"/>
      <c r="M74" s="47">
        <f>COUNT('1st Shift Issue Sheet'!Q49)</f>
        <v>1</v>
      </c>
      <c r="N74" s="47" t="str">
        <f>IF('1st Shift Issue Sheet'!AI49&gt;=2,"Alarm","")</f>
        <v/>
      </c>
    </row>
    <row r="75" spans="2:14" ht="15" hidden="1" thickBot="1">
      <c r="B75" s="47">
        <v>46</v>
      </c>
      <c r="C75" s="47">
        <f>'1st Shift Issue Sheet'!J50</f>
        <v>0</v>
      </c>
      <c r="D75" s="99" t="str">
        <f>IF('1st Shift Issue Sheet'!J50&gt;0,"Running","Not Running")</f>
        <v>Not Running</v>
      </c>
      <c r="E75" s="100"/>
      <c r="F75" s="47">
        <f>COUNT('1st Shift Issue Sheet'!D50)</f>
        <v>1</v>
      </c>
      <c r="G75" s="47" t="str">
        <f>IF('1st Shift Issue Sheet'!AG50&gt;=2,"Alarm","")</f>
        <v/>
      </c>
      <c r="I75" s="47">
        <v>146</v>
      </c>
      <c r="J75" s="47">
        <f>'1st Shift Issue Sheet'!W50</f>
        <v>0</v>
      </c>
      <c r="K75" s="99" t="str">
        <f>IF('1st Shift Issue Sheet'!W50&gt;0,"Running","Not Running")</f>
        <v>Not Running</v>
      </c>
      <c r="L75" s="100"/>
      <c r="M75" s="47">
        <f>COUNT('1st Shift Issue Sheet'!Q50)</f>
        <v>1</v>
      </c>
      <c r="N75" s="47" t="str">
        <f>IF('1st Shift Issue Sheet'!AI50&gt;=2,"Alarm","")</f>
        <v/>
      </c>
    </row>
    <row r="76" spans="2:14" ht="15" hidden="1" thickBot="1">
      <c r="B76" s="47">
        <v>47</v>
      </c>
      <c r="C76" s="47">
        <f>'1st Shift Issue Sheet'!J51</f>
        <v>0</v>
      </c>
      <c r="D76" s="99" t="str">
        <f>IF('1st Shift Issue Sheet'!J51&gt;0,"Running","Not Running")</f>
        <v>Not Running</v>
      </c>
      <c r="E76" s="100"/>
      <c r="F76" s="47">
        <f>COUNT('1st Shift Issue Sheet'!D51)</f>
        <v>1</v>
      </c>
      <c r="G76" s="47" t="str">
        <f>IF('1st Shift Issue Sheet'!AG51&gt;=2,"Alarm","")</f>
        <v/>
      </c>
      <c r="I76" s="47">
        <v>147</v>
      </c>
      <c r="J76" s="47">
        <f>'1st Shift Issue Sheet'!W51</f>
        <v>0</v>
      </c>
      <c r="K76" s="99" t="str">
        <f>IF('1st Shift Issue Sheet'!W51&gt;0,"Running","Not Running")</f>
        <v>Not Running</v>
      </c>
      <c r="L76" s="100"/>
      <c r="M76" s="47">
        <f>COUNT('1st Shift Issue Sheet'!Q51)</f>
        <v>1</v>
      </c>
      <c r="N76" s="47" t="str">
        <f>IF('1st Shift Issue Sheet'!AI51&gt;=2,"Alarm","")</f>
        <v/>
      </c>
    </row>
    <row r="77" spans="2:14" ht="15" hidden="1" thickBot="1">
      <c r="B77" s="47">
        <v>48</v>
      </c>
      <c r="C77" s="47">
        <f>'1st Shift Issue Sheet'!J52</f>
        <v>0</v>
      </c>
      <c r="D77" s="99" t="str">
        <f>IF('1st Shift Issue Sheet'!J52&gt;0,"Running","Not Running")</f>
        <v>Not Running</v>
      </c>
      <c r="E77" s="100"/>
      <c r="F77" s="47">
        <f>COUNT('1st Shift Issue Sheet'!D52)</f>
        <v>1</v>
      </c>
      <c r="G77" s="47" t="str">
        <f>IF('1st Shift Issue Sheet'!AG52&gt;=2,"Alarm","")</f>
        <v/>
      </c>
      <c r="I77" s="47">
        <v>148</v>
      </c>
      <c r="J77" s="47">
        <f>'1st Shift Issue Sheet'!W52</f>
        <v>0</v>
      </c>
      <c r="K77" s="99" t="str">
        <f>IF('1st Shift Issue Sheet'!W52&gt;0,"Running","Not Running")</f>
        <v>Not Running</v>
      </c>
      <c r="L77" s="100"/>
      <c r="M77" s="47">
        <f>COUNT('1st Shift Issue Sheet'!Q52)</f>
        <v>1</v>
      </c>
      <c r="N77" s="47" t="str">
        <f>IF('1st Shift Issue Sheet'!AI52&gt;=2,"Alarm","")</f>
        <v/>
      </c>
    </row>
    <row r="78" spans="2:14" ht="15" hidden="1" thickBot="1">
      <c r="B78" s="47">
        <v>49</v>
      </c>
      <c r="C78" s="47">
        <f>'1st Shift Issue Sheet'!J53</f>
        <v>0</v>
      </c>
      <c r="D78" s="99" t="str">
        <f>IF('1st Shift Issue Sheet'!J53&gt;0,"Running","Not Running")</f>
        <v>Not Running</v>
      </c>
      <c r="E78" s="100"/>
      <c r="F78" s="47">
        <f>COUNT('1st Shift Issue Sheet'!D53)</f>
        <v>1</v>
      </c>
      <c r="G78" s="47" t="str">
        <f>IF('1st Shift Issue Sheet'!AG53&gt;=2,"Alarm","")</f>
        <v/>
      </c>
      <c r="I78" s="47">
        <v>149</v>
      </c>
      <c r="J78" s="47">
        <f>'1st Shift Issue Sheet'!W53</f>
        <v>0</v>
      </c>
      <c r="K78" s="99" t="str">
        <f>IF('1st Shift Issue Sheet'!W53&gt;0,"Running","Not Running")</f>
        <v>Not Running</v>
      </c>
      <c r="L78" s="100"/>
      <c r="M78" s="47">
        <f>COUNT('1st Shift Issue Sheet'!Q53)</f>
        <v>1</v>
      </c>
      <c r="N78" s="47" t="str">
        <f>IF('1st Shift Issue Sheet'!AI53&gt;=2,"Alarm","")</f>
        <v/>
      </c>
    </row>
    <row r="79" spans="2:14" ht="15" hidden="1" thickBot="1">
      <c r="B79" s="47">
        <v>50</v>
      </c>
      <c r="C79" s="47">
        <f>'1st Shift Issue Sheet'!J54</f>
        <v>0</v>
      </c>
      <c r="D79" s="99" t="str">
        <f>IF('1st Shift Issue Sheet'!J54&gt;0,"Running","Not Running")</f>
        <v>Not Running</v>
      </c>
      <c r="E79" s="100"/>
      <c r="F79" s="47">
        <f>COUNT('1st Shift Issue Sheet'!D54)</f>
        <v>1</v>
      </c>
      <c r="G79" s="47" t="str">
        <f>IF('1st Shift Issue Sheet'!AG54&gt;=2,"Alarm","")</f>
        <v/>
      </c>
      <c r="I79" s="47">
        <v>150</v>
      </c>
      <c r="J79" s="47">
        <f>'1st Shift Issue Sheet'!W54</f>
        <v>0</v>
      </c>
      <c r="K79" s="99" t="str">
        <f>IF('1st Shift Issue Sheet'!W54&gt;0,"Running","Not Running")</f>
        <v>Not Running</v>
      </c>
      <c r="L79" s="100"/>
      <c r="M79" s="47">
        <f>COUNT('1st Shift Issue Sheet'!Q54)</f>
        <v>1</v>
      </c>
      <c r="N79" s="47" t="str">
        <f>IF('1st Shift Issue Sheet'!AI54&gt;=2,"Alarm","")</f>
        <v/>
      </c>
    </row>
    <row r="80" spans="2:14" ht="15" hidden="1" thickBot="1">
      <c r="B80" s="47">
        <v>51</v>
      </c>
      <c r="C80" s="47">
        <f>'1st Shift Issue Sheet'!J55</f>
        <v>0</v>
      </c>
      <c r="D80" s="99" t="str">
        <f>IF('1st Shift Issue Sheet'!J55&gt;0,"Running","Not Running")</f>
        <v>Not Running</v>
      </c>
      <c r="E80" s="100"/>
      <c r="F80" s="47">
        <f>COUNT('1st Shift Issue Sheet'!D55)</f>
        <v>1</v>
      </c>
      <c r="G80" s="47" t="str">
        <f>IF('1st Shift Issue Sheet'!AG55&gt;=2,"Alarm","")</f>
        <v/>
      </c>
      <c r="I80" s="47">
        <v>151</v>
      </c>
      <c r="J80" s="47">
        <f>'1st Shift Issue Sheet'!W55</f>
        <v>0</v>
      </c>
      <c r="K80" s="99" t="str">
        <f>IF('1st Shift Issue Sheet'!W55&gt;0,"Running","Not Running")</f>
        <v>Not Running</v>
      </c>
      <c r="L80" s="100"/>
      <c r="M80" s="47">
        <f>COUNT('1st Shift Issue Sheet'!Q55)</f>
        <v>1</v>
      </c>
      <c r="N80" s="47" t="str">
        <f>IF('1st Shift Issue Sheet'!AI55&gt;=2,"Alarm","")</f>
        <v/>
      </c>
    </row>
    <row r="81" spans="2:14" ht="15" hidden="1" thickBot="1">
      <c r="B81" s="47">
        <v>52</v>
      </c>
      <c r="C81" s="47">
        <f>'1st Shift Issue Sheet'!J56</f>
        <v>0</v>
      </c>
      <c r="D81" s="99" t="str">
        <f>IF('1st Shift Issue Sheet'!J56&gt;0,"Running","Not Running")</f>
        <v>Not Running</v>
      </c>
      <c r="E81" s="100"/>
      <c r="F81" s="47">
        <f>COUNT('1st Shift Issue Sheet'!D56)</f>
        <v>1</v>
      </c>
      <c r="G81" s="47" t="str">
        <f>IF('1st Shift Issue Sheet'!AG56&gt;=2,"Alarm","")</f>
        <v/>
      </c>
      <c r="I81" s="47">
        <v>152</v>
      </c>
      <c r="J81" s="47">
        <f>'1st Shift Issue Sheet'!W56</f>
        <v>0</v>
      </c>
      <c r="K81" s="99" t="str">
        <f>IF('1st Shift Issue Sheet'!W56&gt;0,"Running","Not Running")</f>
        <v>Not Running</v>
      </c>
      <c r="L81" s="100"/>
      <c r="M81" s="47">
        <f>COUNT('1st Shift Issue Sheet'!Q56)</f>
        <v>1</v>
      </c>
      <c r="N81" s="47" t="str">
        <f>IF('1st Shift Issue Sheet'!AI56&gt;=2,"Alarm","")</f>
        <v/>
      </c>
    </row>
    <row r="82" spans="2:14" ht="15" hidden="1" thickBot="1">
      <c r="B82" s="47">
        <v>53</v>
      </c>
      <c r="C82" s="47">
        <f>'1st Shift Issue Sheet'!J57</f>
        <v>0</v>
      </c>
      <c r="D82" s="99" t="str">
        <f>IF('1st Shift Issue Sheet'!J57&gt;0,"Running","Not Running")</f>
        <v>Not Running</v>
      </c>
      <c r="E82" s="100"/>
      <c r="F82" s="47">
        <f>COUNT('1st Shift Issue Sheet'!D57)</f>
        <v>1</v>
      </c>
      <c r="G82" s="47" t="str">
        <f>IF('1st Shift Issue Sheet'!AG57&gt;=2,"Alarm","")</f>
        <v/>
      </c>
      <c r="I82" s="47">
        <v>153</v>
      </c>
      <c r="J82" s="47">
        <f>'1st Shift Issue Sheet'!W57</f>
        <v>0</v>
      </c>
      <c r="K82" s="99" t="str">
        <f>IF('1st Shift Issue Sheet'!W57&gt;0,"Running","Not Running")</f>
        <v>Not Running</v>
      </c>
      <c r="L82" s="100"/>
      <c r="M82" s="47">
        <f>COUNT('1st Shift Issue Sheet'!Q57)</f>
        <v>1</v>
      </c>
      <c r="N82" s="47" t="str">
        <f>IF('1st Shift Issue Sheet'!AI57&gt;=2,"Alarm","")</f>
        <v/>
      </c>
    </row>
    <row r="83" spans="2:14" ht="15" hidden="1" thickBot="1">
      <c r="B83" s="47">
        <v>54</v>
      </c>
      <c r="C83" s="47">
        <f>'1st Shift Issue Sheet'!J58</f>
        <v>0</v>
      </c>
      <c r="D83" s="99" t="str">
        <f>IF('1st Shift Issue Sheet'!J58&gt;0,"Running","Not Running")</f>
        <v>Not Running</v>
      </c>
      <c r="E83" s="100"/>
      <c r="F83" s="47">
        <f>COUNT('1st Shift Issue Sheet'!D58)</f>
        <v>1</v>
      </c>
      <c r="G83" s="47" t="str">
        <f>IF('1st Shift Issue Sheet'!AG58&gt;=2,"Alarm","")</f>
        <v/>
      </c>
      <c r="I83" s="47">
        <v>154</v>
      </c>
      <c r="J83" s="47">
        <f>'1st Shift Issue Sheet'!W58</f>
        <v>0</v>
      </c>
      <c r="K83" s="99" t="str">
        <f>IF('1st Shift Issue Sheet'!W58&gt;0,"Running","Not Running")</f>
        <v>Not Running</v>
      </c>
      <c r="L83" s="100"/>
      <c r="M83" s="47">
        <f>COUNT('1st Shift Issue Sheet'!Q58)</f>
        <v>1</v>
      </c>
      <c r="N83" s="47" t="str">
        <f>IF('1st Shift Issue Sheet'!AI58&gt;=2,"Alarm","")</f>
        <v/>
      </c>
    </row>
    <row r="84" spans="2:14" ht="15" hidden="1" thickBot="1">
      <c r="B84" s="47">
        <v>55</v>
      </c>
      <c r="C84" s="47">
        <f>'1st Shift Issue Sheet'!J59</f>
        <v>0</v>
      </c>
      <c r="D84" s="99" t="str">
        <f>IF('1st Shift Issue Sheet'!J59&gt;0,"Running","Not Running")</f>
        <v>Not Running</v>
      </c>
      <c r="E84" s="100"/>
      <c r="F84" s="47">
        <f>COUNT('1st Shift Issue Sheet'!D59)</f>
        <v>1</v>
      </c>
      <c r="G84" s="47" t="str">
        <f>IF('1st Shift Issue Sheet'!AG59&gt;=2,"Alarm","")</f>
        <v/>
      </c>
      <c r="I84" s="47">
        <v>155</v>
      </c>
      <c r="J84" s="47">
        <f>'1st Shift Issue Sheet'!W59</f>
        <v>0</v>
      </c>
      <c r="K84" s="99" t="str">
        <f>IF('1st Shift Issue Sheet'!W59&gt;0,"Running","Not Running")</f>
        <v>Not Running</v>
      </c>
      <c r="L84" s="100"/>
      <c r="M84" s="47">
        <f>COUNT('1st Shift Issue Sheet'!Q59)</f>
        <v>1</v>
      </c>
      <c r="N84" s="47" t="str">
        <f>IF('1st Shift Issue Sheet'!AI59&gt;=2,"Alarm","")</f>
        <v/>
      </c>
    </row>
    <row r="85" spans="2:14" ht="15" hidden="1" thickBot="1">
      <c r="B85" s="47">
        <v>56</v>
      </c>
      <c r="C85" s="47">
        <f>'1st Shift Issue Sheet'!J60</f>
        <v>0</v>
      </c>
      <c r="D85" s="99" t="str">
        <f>IF('1st Shift Issue Sheet'!J60&gt;0,"Running","Not Running")</f>
        <v>Not Running</v>
      </c>
      <c r="E85" s="100"/>
      <c r="F85" s="47">
        <f>COUNT('1st Shift Issue Sheet'!D60)</f>
        <v>1</v>
      </c>
      <c r="G85" s="47" t="str">
        <f>IF('1st Shift Issue Sheet'!AG60&gt;=2,"Alarm","")</f>
        <v/>
      </c>
      <c r="I85" s="47">
        <v>156</v>
      </c>
      <c r="J85" s="47">
        <f>'1st Shift Issue Sheet'!W60</f>
        <v>0</v>
      </c>
      <c r="K85" s="99" t="str">
        <f>IF('1st Shift Issue Sheet'!W60&gt;0,"Running","Not Running")</f>
        <v>Not Running</v>
      </c>
      <c r="L85" s="100"/>
      <c r="M85" s="47">
        <f>COUNT('1st Shift Issue Sheet'!Q60)</f>
        <v>1</v>
      </c>
      <c r="N85" s="47" t="str">
        <f>IF('1st Shift Issue Sheet'!AI60&gt;=2,"Alarm","")</f>
        <v/>
      </c>
    </row>
    <row r="86" spans="2:14" ht="15" hidden="1" thickBot="1">
      <c r="B86" s="47">
        <v>57</v>
      </c>
      <c r="C86" s="47">
        <f>'1st Shift Issue Sheet'!J61</f>
        <v>0</v>
      </c>
      <c r="D86" s="99" t="str">
        <f>IF('1st Shift Issue Sheet'!J61&gt;0,"Running","Not Running")</f>
        <v>Not Running</v>
      </c>
      <c r="E86" s="100"/>
      <c r="F86" s="47">
        <f>COUNT('1st Shift Issue Sheet'!D61)</f>
        <v>1</v>
      </c>
      <c r="G86" s="47" t="str">
        <f>IF('1st Shift Issue Sheet'!AG61&gt;=2,"Alarm","")</f>
        <v/>
      </c>
      <c r="I86" s="47">
        <v>157</v>
      </c>
      <c r="J86" s="47">
        <f>'1st Shift Issue Sheet'!W61</f>
        <v>0</v>
      </c>
      <c r="K86" s="99" t="str">
        <f>IF('1st Shift Issue Sheet'!W61&gt;0,"Running","Not Running")</f>
        <v>Not Running</v>
      </c>
      <c r="L86" s="100"/>
      <c r="M86" s="47">
        <f>COUNT('1st Shift Issue Sheet'!Q61)</f>
        <v>1</v>
      </c>
      <c r="N86" s="47" t="str">
        <f>IF('1st Shift Issue Sheet'!AI61&gt;=2,"Alarm","")</f>
        <v/>
      </c>
    </row>
    <row r="87" spans="2:14" ht="15" hidden="1" thickBot="1">
      <c r="B87" s="47">
        <v>58</v>
      </c>
      <c r="C87" s="47">
        <f>'1st Shift Issue Sheet'!J62</f>
        <v>0</v>
      </c>
      <c r="D87" s="99" t="str">
        <f>IF('1st Shift Issue Sheet'!J62&gt;0,"Running","Not Running")</f>
        <v>Not Running</v>
      </c>
      <c r="E87" s="100"/>
      <c r="F87" s="47">
        <f>COUNT('1st Shift Issue Sheet'!D62)</f>
        <v>1</v>
      </c>
      <c r="G87" s="47" t="str">
        <f>IF('1st Shift Issue Sheet'!AG62&gt;=2,"Alarm","")</f>
        <v/>
      </c>
      <c r="I87" s="47">
        <v>158</v>
      </c>
      <c r="J87" s="47">
        <f>'1st Shift Issue Sheet'!W62</f>
        <v>0</v>
      </c>
      <c r="K87" s="99" t="str">
        <f>IF('1st Shift Issue Sheet'!W62&gt;0,"Running","Not Running")</f>
        <v>Not Running</v>
      </c>
      <c r="L87" s="100"/>
      <c r="M87" s="47">
        <f>COUNT('1st Shift Issue Sheet'!Q62)</f>
        <v>1</v>
      </c>
      <c r="N87" s="47" t="str">
        <f>IF('1st Shift Issue Sheet'!AI62&gt;=2,"Alarm","")</f>
        <v/>
      </c>
    </row>
    <row r="88" spans="2:14" ht="15" hidden="1" thickBot="1">
      <c r="B88" s="47">
        <v>59</v>
      </c>
      <c r="C88" s="47">
        <f>'1st Shift Issue Sheet'!J63</f>
        <v>0</v>
      </c>
      <c r="D88" s="99" t="str">
        <f>IF('1st Shift Issue Sheet'!J63&gt;0,"Running","Not Running")</f>
        <v>Not Running</v>
      </c>
      <c r="E88" s="100"/>
      <c r="F88" s="47">
        <f>COUNT('1st Shift Issue Sheet'!D63)</f>
        <v>1</v>
      </c>
      <c r="G88" s="47" t="str">
        <f>IF('1st Shift Issue Sheet'!AG63&gt;=2,"Alarm","")</f>
        <v/>
      </c>
      <c r="I88" s="47">
        <v>159</v>
      </c>
      <c r="J88" s="47">
        <f>'1st Shift Issue Sheet'!W63</f>
        <v>0</v>
      </c>
      <c r="K88" s="99" t="str">
        <f>IF('1st Shift Issue Sheet'!W63&gt;0,"Running","Not Running")</f>
        <v>Not Running</v>
      </c>
      <c r="L88" s="100"/>
      <c r="M88" s="47">
        <f>COUNT('1st Shift Issue Sheet'!Q63)</f>
        <v>1</v>
      </c>
      <c r="N88" s="47" t="str">
        <f>IF('1st Shift Issue Sheet'!AI63&gt;=2,"Alarm","")</f>
        <v/>
      </c>
    </row>
    <row r="89" spans="2:14" ht="15" hidden="1" thickBot="1">
      <c r="B89" s="47">
        <v>60</v>
      </c>
      <c r="C89" s="47">
        <f>'1st Shift Issue Sheet'!J64</f>
        <v>0</v>
      </c>
      <c r="D89" s="99" t="str">
        <f>IF('1st Shift Issue Sheet'!J64&gt;0,"Running","Not Running")</f>
        <v>Not Running</v>
      </c>
      <c r="E89" s="100"/>
      <c r="F89" s="47">
        <f>COUNT('1st Shift Issue Sheet'!D64)</f>
        <v>1</v>
      </c>
      <c r="G89" s="47" t="str">
        <f>IF('1st Shift Issue Sheet'!AG64&gt;=2,"Alarm","")</f>
        <v/>
      </c>
      <c r="I89" s="47">
        <v>160</v>
      </c>
      <c r="J89" s="47">
        <f>'1st Shift Issue Sheet'!W64</f>
        <v>0</v>
      </c>
      <c r="K89" s="99" t="str">
        <f>IF('1st Shift Issue Sheet'!W64&gt;0,"Running","Not Running")</f>
        <v>Not Running</v>
      </c>
      <c r="L89" s="100"/>
      <c r="M89" s="47">
        <f>COUNT('1st Shift Issue Sheet'!Q64)</f>
        <v>1</v>
      </c>
      <c r="N89" s="47" t="str">
        <f>IF('1st Shift Issue Sheet'!AI64&gt;=2,"Alarm","")</f>
        <v/>
      </c>
    </row>
    <row r="90" spans="2:14" ht="15" hidden="1" thickBot="1">
      <c r="B90" s="47">
        <v>61</v>
      </c>
      <c r="C90" s="47">
        <f>'1st Shift Issue Sheet'!J65</f>
        <v>0</v>
      </c>
      <c r="D90" s="99" t="str">
        <f>IF('1st Shift Issue Sheet'!J65&gt;0,"Running","Not Running")</f>
        <v>Not Running</v>
      </c>
      <c r="E90" s="100"/>
      <c r="F90" s="47">
        <f>COUNT('1st Shift Issue Sheet'!D65)</f>
        <v>1</v>
      </c>
      <c r="G90" s="47" t="str">
        <f>IF('1st Shift Issue Sheet'!AG65&gt;=2,"Alarm","")</f>
        <v/>
      </c>
      <c r="I90" s="47">
        <v>161</v>
      </c>
      <c r="J90" s="47">
        <f>'1st Shift Issue Sheet'!W65</f>
        <v>0</v>
      </c>
      <c r="K90" s="99" t="str">
        <f>IF('1st Shift Issue Sheet'!W65&gt;0,"Running","Not Running")</f>
        <v>Not Running</v>
      </c>
      <c r="L90" s="100"/>
      <c r="M90" s="47">
        <f>COUNT('1st Shift Issue Sheet'!Q65)</f>
        <v>1</v>
      </c>
      <c r="N90" s="47" t="str">
        <f>IF('1st Shift Issue Sheet'!AI65&gt;=2,"Alarm","")</f>
        <v/>
      </c>
    </row>
    <row r="91" spans="2:14" ht="15" hidden="1" thickBot="1">
      <c r="B91" s="47">
        <v>62</v>
      </c>
      <c r="C91" s="47">
        <f>'1st Shift Issue Sheet'!J66</f>
        <v>0</v>
      </c>
      <c r="D91" s="99" t="str">
        <f>IF('1st Shift Issue Sheet'!J66&gt;0,"Running","Not Running")</f>
        <v>Not Running</v>
      </c>
      <c r="E91" s="100"/>
      <c r="F91" s="47">
        <f>COUNT('1st Shift Issue Sheet'!D66)</f>
        <v>1</v>
      </c>
      <c r="G91" s="47" t="str">
        <f>IF('1st Shift Issue Sheet'!AG66&gt;=2,"Alarm","")</f>
        <v/>
      </c>
      <c r="I91" s="47">
        <v>162</v>
      </c>
      <c r="J91" s="47">
        <f>'1st Shift Issue Sheet'!W66</f>
        <v>0</v>
      </c>
      <c r="K91" s="99" t="str">
        <f>IF('1st Shift Issue Sheet'!W66&gt;0,"Running","Not Running")</f>
        <v>Not Running</v>
      </c>
      <c r="L91" s="100"/>
      <c r="M91" s="47">
        <f>COUNT('1st Shift Issue Sheet'!Q66)</f>
        <v>1</v>
      </c>
      <c r="N91" s="47" t="str">
        <f>IF('1st Shift Issue Sheet'!AI66&gt;=2,"Alarm","")</f>
        <v/>
      </c>
    </row>
    <row r="92" spans="2:14" ht="15" hidden="1" thickBot="1">
      <c r="B92" s="47">
        <v>63</v>
      </c>
      <c r="C92" s="47">
        <f>'1st Shift Issue Sheet'!J67</f>
        <v>0</v>
      </c>
      <c r="D92" s="99" t="str">
        <f>IF('1st Shift Issue Sheet'!J67&gt;0,"Running","Not Running")</f>
        <v>Not Running</v>
      </c>
      <c r="E92" s="100"/>
      <c r="F92" s="47">
        <f>COUNT('1st Shift Issue Sheet'!D67)</f>
        <v>1</v>
      </c>
      <c r="G92" s="47" t="str">
        <f>IF('1st Shift Issue Sheet'!AG67&gt;=2,"Alarm","")</f>
        <v/>
      </c>
      <c r="I92" s="47">
        <v>163</v>
      </c>
      <c r="J92" s="47">
        <f>'1st Shift Issue Sheet'!W67</f>
        <v>0</v>
      </c>
      <c r="K92" s="99" t="str">
        <f>IF('1st Shift Issue Sheet'!W67&gt;0,"Running","Not Running")</f>
        <v>Not Running</v>
      </c>
      <c r="L92" s="100"/>
      <c r="M92" s="47">
        <f>COUNT('1st Shift Issue Sheet'!Q67)</f>
        <v>1</v>
      </c>
      <c r="N92" s="47" t="str">
        <f>IF('1st Shift Issue Sheet'!AI67&gt;=2,"Alarm","")</f>
        <v/>
      </c>
    </row>
    <row r="93" spans="2:14" ht="15" hidden="1" thickBot="1">
      <c r="B93" s="47">
        <v>64</v>
      </c>
      <c r="C93" s="47">
        <f>'1st Shift Issue Sheet'!J68</f>
        <v>0</v>
      </c>
      <c r="D93" s="99" t="str">
        <f>IF('1st Shift Issue Sheet'!J68&gt;0,"Running","Not Running")</f>
        <v>Not Running</v>
      </c>
      <c r="E93" s="100"/>
      <c r="F93" s="47">
        <f>COUNT('1st Shift Issue Sheet'!D68)</f>
        <v>1</v>
      </c>
      <c r="G93" s="47" t="str">
        <f>IF('1st Shift Issue Sheet'!AG68&gt;=2,"Alarm","")</f>
        <v/>
      </c>
      <c r="I93" s="47">
        <v>164</v>
      </c>
      <c r="J93" s="47">
        <f>'1st Shift Issue Sheet'!W68</f>
        <v>0</v>
      </c>
      <c r="K93" s="99" t="str">
        <f>IF('1st Shift Issue Sheet'!W68&gt;0,"Running","Not Running")</f>
        <v>Not Running</v>
      </c>
      <c r="L93" s="100"/>
      <c r="M93" s="47">
        <f>COUNT('1st Shift Issue Sheet'!Q68)</f>
        <v>1</v>
      </c>
      <c r="N93" s="47" t="str">
        <f>IF('1st Shift Issue Sheet'!AI68&gt;=2,"Alarm","")</f>
        <v/>
      </c>
    </row>
    <row r="94" spans="2:14" ht="15" hidden="1" thickBot="1">
      <c r="B94" s="47">
        <v>65</v>
      </c>
      <c r="C94" s="47">
        <f>'1st Shift Issue Sheet'!J69</f>
        <v>0</v>
      </c>
      <c r="D94" s="99" t="str">
        <f>IF('1st Shift Issue Sheet'!J69&gt;0,"Running","Not Running")</f>
        <v>Not Running</v>
      </c>
      <c r="E94" s="100"/>
      <c r="F94" s="47">
        <f>COUNT('1st Shift Issue Sheet'!D69)</f>
        <v>1</v>
      </c>
      <c r="G94" s="47" t="str">
        <f>IF('1st Shift Issue Sheet'!AG69&gt;=2,"Alarm","")</f>
        <v/>
      </c>
      <c r="I94" s="47">
        <v>165</v>
      </c>
      <c r="J94" s="47">
        <f>'1st Shift Issue Sheet'!W69</f>
        <v>0</v>
      </c>
      <c r="K94" s="99" t="str">
        <f>IF('1st Shift Issue Sheet'!W69&gt;0,"Running","Not Running")</f>
        <v>Not Running</v>
      </c>
      <c r="L94" s="100"/>
      <c r="M94" s="47">
        <f>COUNT('1st Shift Issue Sheet'!Q69)</f>
        <v>1</v>
      </c>
      <c r="N94" s="47" t="str">
        <f>IF('1st Shift Issue Sheet'!AI69&gt;=2,"Alarm","")</f>
        <v/>
      </c>
    </row>
    <row r="95" spans="2:14" ht="15" hidden="1" thickBot="1">
      <c r="B95" s="47">
        <v>66</v>
      </c>
      <c r="C95" s="47">
        <f>'1st Shift Issue Sheet'!J70</f>
        <v>0</v>
      </c>
      <c r="D95" s="99" t="str">
        <f>IF('1st Shift Issue Sheet'!J70&gt;0,"Running","Not Running")</f>
        <v>Not Running</v>
      </c>
      <c r="E95" s="100"/>
      <c r="F95" s="47">
        <f>COUNT('1st Shift Issue Sheet'!D70)</f>
        <v>1</v>
      </c>
      <c r="G95" s="47" t="str">
        <f>IF('1st Shift Issue Sheet'!AG70&gt;=2,"Alarm","")</f>
        <v/>
      </c>
      <c r="I95" s="47">
        <v>166</v>
      </c>
      <c r="J95" s="47">
        <f>'1st Shift Issue Sheet'!W70</f>
        <v>0</v>
      </c>
      <c r="K95" s="99" t="str">
        <f>IF('1st Shift Issue Sheet'!W70&gt;0,"Running","Not Running")</f>
        <v>Not Running</v>
      </c>
      <c r="L95" s="100"/>
      <c r="M95" s="47">
        <f>COUNT('1st Shift Issue Sheet'!Q70)</f>
        <v>1</v>
      </c>
      <c r="N95" s="47" t="str">
        <f>IF('1st Shift Issue Sheet'!AI70&gt;=2,"Alarm","")</f>
        <v/>
      </c>
    </row>
    <row r="96" spans="2:14" ht="15" hidden="1" thickBot="1">
      <c r="B96" s="47">
        <v>67</v>
      </c>
      <c r="C96" s="47">
        <f>'1st Shift Issue Sheet'!J71</f>
        <v>0</v>
      </c>
      <c r="D96" s="99" t="str">
        <f>IF('1st Shift Issue Sheet'!J71&gt;0,"Running","Not Running")</f>
        <v>Not Running</v>
      </c>
      <c r="E96" s="100"/>
      <c r="F96" s="47">
        <f>COUNT('1st Shift Issue Sheet'!D71)</f>
        <v>1</v>
      </c>
      <c r="G96" s="47" t="str">
        <f>IF('1st Shift Issue Sheet'!AG71&gt;=2,"Alarm","")</f>
        <v/>
      </c>
      <c r="I96" s="47">
        <v>167</v>
      </c>
      <c r="J96" s="47">
        <f>'1st Shift Issue Sheet'!W71</f>
        <v>0</v>
      </c>
      <c r="K96" s="99" t="str">
        <f>IF('1st Shift Issue Sheet'!W71&gt;0,"Running","Not Running")</f>
        <v>Not Running</v>
      </c>
      <c r="L96" s="100"/>
      <c r="M96" s="47">
        <f>COUNT('1st Shift Issue Sheet'!Q71)</f>
        <v>1</v>
      </c>
      <c r="N96" s="47" t="str">
        <f>IF('1st Shift Issue Sheet'!AI71&gt;=2,"Alarm","")</f>
        <v/>
      </c>
    </row>
    <row r="97" spans="2:14" ht="15" hidden="1" thickBot="1">
      <c r="B97" s="47">
        <v>68</v>
      </c>
      <c r="C97" s="47">
        <f>'1st Shift Issue Sheet'!J72</f>
        <v>0</v>
      </c>
      <c r="D97" s="99" t="str">
        <f>IF('1st Shift Issue Sheet'!J72&gt;0,"Running","Not Running")</f>
        <v>Not Running</v>
      </c>
      <c r="E97" s="100"/>
      <c r="F97" s="47">
        <f>COUNT('1st Shift Issue Sheet'!D72)</f>
        <v>1</v>
      </c>
      <c r="G97" s="47" t="str">
        <f>IF('1st Shift Issue Sheet'!AG72&gt;=2,"Alarm","")</f>
        <v/>
      </c>
      <c r="I97" s="47">
        <v>168</v>
      </c>
      <c r="J97" s="47">
        <f>'1st Shift Issue Sheet'!W72</f>
        <v>0</v>
      </c>
      <c r="K97" s="99" t="str">
        <f>IF('1st Shift Issue Sheet'!W72&gt;0,"Running","Not Running")</f>
        <v>Not Running</v>
      </c>
      <c r="L97" s="100"/>
      <c r="M97" s="47">
        <f>COUNT('1st Shift Issue Sheet'!Q72)</f>
        <v>1</v>
      </c>
      <c r="N97" s="47" t="str">
        <f>IF('1st Shift Issue Sheet'!AI72&gt;=2,"Alarm","")</f>
        <v/>
      </c>
    </row>
    <row r="98" spans="2:14" ht="15" hidden="1" thickBot="1">
      <c r="B98" s="47">
        <v>69</v>
      </c>
      <c r="C98" s="47">
        <f>'1st Shift Issue Sheet'!J73</f>
        <v>0</v>
      </c>
      <c r="D98" s="99" t="str">
        <f>IF('1st Shift Issue Sheet'!J73&gt;0,"Running","Not Running")</f>
        <v>Not Running</v>
      </c>
      <c r="E98" s="100"/>
      <c r="F98" s="47">
        <f>COUNT('1st Shift Issue Sheet'!D73)</f>
        <v>1</v>
      </c>
      <c r="G98" s="47" t="str">
        <f>IF('1st Shift Issue Sheet'!AG73&gt;=2,"Alarm","")</f>
        <v/>
      </c>
      <c r="I98" s="47">
        <v>169</v>
      </c>
      <c r="J98" s="47">
        <f>'1st Shift Issue Sheet'!W73</f>
        <v>0</v>
      </c>
      <c r="K98" s="99" t="str">
        <f>IF('1st Shift Issue Sheet'!W73&gt;0,"Running","Not Running")</f>
        <v>Not Running</v>
      </c>
      <c r="L98" s="100"/>
      <c r="M98" s="47">
        <f>COUNT('1st Shift Issue Sheet'!Q73)</f>
        <v>1</v>
      </c>
      <c r="N98" s="47" t="str">
        <f>IF('1st Shift Issue Sheet'!AI73&gt;=2,"Alarm","")</f>
        <v/>
      </c>
    </row>
    <row r="99" spans="2:14" ht="15" hidden="1" thickBot="1">
      <c r="B99" s="47">
        <v>70</v>
      </c>
      <c r="C99" s="47">
        <f>'1st Shift Issue Sheet'!J74</f>
        <v>0</v>
      </c>
      <c r="D99" s="99" t="str">
        <f>IF('1st Shift Issue Sheet'!J74&gt;0,"Running","Not Running")</f>
        <v>Not Running</v>
      </c>
      <c r="E99" s="100"/>
      <c r="F99" s="47">
        <f>COUNT('1st Shift Issue Sheet'!D74)</f>
        <v>1</v>
      </c>
      <c r="G99" s="47" t="str">
        <f>IF('1st Shift Issue Sheet'!AG74&gt;=2,"Alarm","")</f>
        <v/>
      </c>
      <c r="I99" s="47">
        <v>170</v>
      </c>
      <c r="J99" s="47">
        <f>'1st Shift Issue Sheet'!W74</f>
        <v>0</v>
      </c>
      <c r="K99" s="99" t="str">
        <f>IF('1st Shift Issue Sheet'!W74&gt;0,"Running","Not Running")</f>
        <v>Not Running</v>
      </c>
      <c r="L99" s="100"/>
      <c r="M99" s="47">
        <f>COUNT('1st Shift Issue Sheet'!Q74)</f>
        <v>1</v>
      </c>
      <c r="N99" s="47" t="str">
        <f>IF('1st Shift Issue Sheet'!AI74&gt;=2,"Alarm","")</f>
        <v/>
      </c>
    </row>
    <row r="100" spans="2:14" ht="15" hidden="1" thickBot="1">
      <c r="B100" s="47">
        <v>71</v>
      </c>
      <c r="C100" s="47">
        <f>'1st Shift Issue Sheet'!J75</f>
        <v>0</v>
      </c>
      <c r="D100" s="99" t="str">
        <f>IF('1st Shift Issue Sheet'!J75&gt;0,"Running","Not Running")</f>
        <v>Not Running</v>
      </c>
      <c r="E100" s="100"/>
      <c r="F100" s="47">
        <f>COUNT('1st Shift Issue Sheet'!D75)</f>
        <v>1</v>
      </c>
      <c r="G100" s="47" t="str">
        <f>IF('1st Shift Issue Sheet'!AG75&gt;=2,"Alarm","")</f>
        <v/>
      </c>
      <c r="I100" s="47">
        <v>171</v>
      </c>
      <c r="J100" s="47">
        <f>'1st Shift Issue Sheet'!W75</f>
        <v>0</v>
      </c>
      <c r="K100" s="99" t="str">
        <f>IF('1st Shift Issue Sheet'!W75&gt;0,"Running","Not Running")</f>
        <v>Not Running</v>
      </c>
      <c r="L100" s="100"/>
      <c r="M100" s="47">
        <f>COUNT('1st Shift Issue Sheet'!Q75)</f>
        <v>1</v>
      </c>
      <c r="N100" s="47" t="str">
        <f>IF('1st Shift Issue Sheet'!AI75&gt;=2,"Alarm","")</f>
        <v/>
      </c>
    </row>
    <row r="101" spans="2:14" ht="15" hidden="1" thickBot="1">
      <c r="B101" s="47">
        <v>72</v>
      </c>
      <c r="C101" s="47">
        <f>'1st Shift Issue Sheet'!J76</f>
        <v>0</v>
      </c>
      <c r="D101" s="99" t="str">
        <f>IF('1st Shift Issue Sheet'!J76&gt;0,"Running","Not Running")</f>
        <v>Not Running</v>
      </c>
      <c r="E101" s="100"/>
      <c r="F101" s="47">
        <f>COUNT('1st Shift Issue Sheet'!D76)</f>
        <v>1</v>
      </c>
      <c r="G101" s="47" t="str">
        <f>IF('1st Shift Issue Sheet'!AG76&gt;=2,"Alarm","")</f>
        <v/>
      </c>
      <c r="I101" s="47">
        <v>172</v>
      </c>
      <c r="J101" s="47">
        <f>'1st Shift Issue Sheet'!W76</f>
        <v>0</v>
      </c>
      <c r="K101" s="99" t="str">
        <f>IF('1st Shift Issue Sheet'!W76&gt;0,"Running","Not Running")</f>
        <v>Not Running</v>
      </c>
      <c r="L101" s="100"/>
      <c r="M101" s="47">
        <f>COUNT('1st Shift Issue Sheet'!Q76)</f>
        <v>1</v>
      </c>
      <c r="N101" s="47" t="str">
        <f>IF('1st Shift Issue Sheet'!AI76&gt;=2,"Alarm","")</f>
        <v/>
      </c>
    </row>
    <row r="102" spans="2:14" ht="15" hidden="1" thickBot="1">
      <c r="B102" s="47">
        <v>73</v>
      </c>
      <c r="C102" s="47">
        <f>'1st Shift Issue Sheet'!J77</f>
        <v>0</v>
      </c>
      <c r="D102" s="99" t="str">
        <f>IF('1st Shift Issue Sheet'!J77&gt;0,"Running","Not Running")</f>
        <v>Not Running</v>
      </c>
      <c r="E102" s="100"/>
      <c r="F102" s="47">
        <f>COUNT('1st Shift Issue Sheet'!D77)</f>
        <v>1</v>
      </c>
      <c r="G102" s="47" t="str">
        <f>IF('1st Shift Issue Sheet'!AG77&gt;=2,"Alarm","")</f>
        <v/>
      </c>
      <c r="I102" s="47">
        <v>173</v>
      </c>
      <c r="J102" s="47">
        <f>'1st Shift Issue Sheet'!W77</f>
        <v>0</v>
      </c>
      <c r="K102" s="99" t="str">
        <f>IF('1st Shift Issue Sheet'!W77&gt;0,"Running","Not Running")</f>
        <v>Not Running</v>
      </c>
      <c r="L102" s="100"/>
      <c r="M102" s="47">
        <f>COUNT('1st Shift Issue Sheet'!Q77)</f>
        <v>1</v>
      </c>
      <c r="N102" s="47" t="str">
        <f>IF('1st Shift Issue Sheet'!AI77&gt;=2,"Alarm","")</f>
        <v/>
      </c>
    </row>
    <row r="103" spans="2:14" ht="15" hidden="1" thickBot="1">
      <c r="B103" s="47">
        <v>74</v>
      </c>
      <c r="C103" s="47">
        <f>'1st Shift Issue Sheet'!J78</f>
        <v>0</v>
      </c>
      <c r="D103" s="99" t="str">
        <f>IF('1st Shift Issue Sheet'!J78&gt;0,"Running","Not Running")</f>
        <v>Not Running</v>
      </c>
      <c r="E103" s="100"/>
      <c r="F103" s="47">
        <f>COUNT('1st Shift Issue Sheet'!D78)</f>
        <v>1</v>
      </c>
      <c r="G103" s="47" t="str">
        <f>IF('1st Shift Issue Sheet'!AG78&gt;=2,"Alarm","")</f>
        <v/>
      </c>
      <c r="I103" s="47">
        <v>174</v>
      </c>
      <c r="J103" s="47">
        <f>'1st Shift Issue Sheet'!W78</f>
        <v>0</v>
      </c>
      <c r="K103" s="99" t="str">
        <f>IF('1st Shift Issue Sheet'!W78&gt;0,"Running","Not Running")</f>
        <v>Not Running</v>
      </c>
      <c r="L103" s="100"/>
      <c r="M103" s="47">
        <f>COUNT('1st Shift Issue Sheet'!Q78)</f>
        <v>1</v>
      </c>
      <c r="N103" s="47" t="str">
        <f>IF('1st Shift Issue Sheet'!AI78&gt;=2,"Alarm","")</f>
        <v/>
      </c>
    </row>
    <row r="104" spans="2:14" ht="15" hidden="1" thickBot="1">
      <c r="B104" s="47">
        <v>75</v>
      </c>
      <c r="C104" s="47">
        <f>'1st Shift Issue Sheet'!J79</f>
        <v>0</v>
      </c>
      <c r="D104" s="99" t="str">
        <f>IF('1st Shift Issue Sheet'!J79&gt;0,"Running","Not Running")</f>
        <v>Not Running</v>
      </c>
      <c r="E104" s="100"/>
      <c r="F104" s="47">
        <f>COUNT('1st Shift Issue Sheet'!D79)</f>
        <v>1</v>
      </c>
      <c r="G104" s="47" t="str">
        <f>IF('1st Shift Issue Sheet'!AG79&gt;=2,"Alarm","")</f>
        <v/>
      </c>
      <c r="I104" s="47">
        <v>175</v>
      </c>
      <c r="J104" s="47">
        <f>'1st Shift Issue Sheet'!W79</f>
        <v>0</v>
      </c>
      <c r="K104" s="99" t="str">
        <f>IF('1st Shift Issue Sheet'!W79&gt;0,"Running","Not Running")</f>
        <v>Not Running</v>
      </c>
      <c r="L104" s="100"/>
      <c r="M104" s="47">
        <f>COUNT('1st Shift Issue Sheet'!Q79)</f>
        <v>1</v>
      </c>
      <c r="N104" s="47" t="str">
        <f>IF('1st Shift Issue Sheet'!AI79&gt;=2,"Alarm","")</f>
        <v/>
      </c>
    </row>
    <row r="105" spans="2:14" ht="15" hidden="1" thickBot="1">
      <c r="B105" s="47">
        <v>76</v>
      </c>
      <c r="C105" s="47">
        <f>'1st Shift Issue Sheet'!J80</f>
        <v>0</v>
      </c>
      <c r="D105" s="99" t="str">
        <f>IF('1st Shift Issue Sheet'!J80&gt;0,"Running","Not Running")</f>
        <v>Not Running</v>
      </c>
      <c r="E105" s="100"/>
      <c r="F105" s="47">
        <f>COUNT('1st Shift Issue Sheet'!D80)</f>
        <v>1</v>
      </c>
      <c r="G105" s="47" t="str">
        <f>IF('1st Shift Issue Sheet'!AG80&gt;=2,"Alarm","")</f>
        <v/>
      </c>
      <c r="I105" s="47">
        <v>176</v>
      </c>
      <c r="J105" s="47">
        <f>'1st Shift Issue Sheet'!W80</f>
        <v>0</v>
      </c>
      <c r="K105" s="99" t="str">
        <f>IF('1st Shift Issue Sheet'!W80&gt;0,"Running","Not Running")</f>
        <v>Not Running</v>
      </c>
      <c r="L105" s="100"/>
      <c r="M105" s="47">
        <f>COUNT('1st Shift Issue Sheet'!Q80)</f>
        <v>1</v>
      </c>
      <c r="N105" s="47" t="str">
        <f>IF('1st Shift Issue Sheet'!AI80&gt;=2,"Alarm","")</f>
        <v/>
      </c>
    </row>
    <row r="106" spans="2:14" ht="15" hidden="1" thickBot="1">
      <c r="B106" s="47">
        <v>77</v>
      </c>
      <c r="C106" s="47">
        <f>'1st Shift Issue Sheet'!J81</f>
        <v>0</v>
      </c>
      <c r="D106" s="99" t="str">
        <f>IF('1st Shift Issue Sheet'!J81&gt;0,"Running","Not Running")</f>
        <v>Not Running</v>
      </c>
      <c r="E106" s="100"/>
      <c r="F106" s="47">
        <f>COUNT('1st Shift Issue Sheet'!D81)</f>
        <v>1</v>
      </c>
      <c r="G106" s="47" t="str">
        <f>IF('1st Shift Issue Sheet'!AG81&gt;=2,"Alarm","")</f>
        <v/>
      </c>
      <c r="I106" s="47">
        <v>177</v>
      </c>
      <c r="J106" s="47">
        <f>'1st Shift Issue Sheet'!W81</f>
        <v>0</v>
      </c>
      <c r="K106" s="99" t="str">
        <f>IF('1st Shift Issue Sheet'!W81&gt;0,"Running","Not Running")</f>
        <v>Not Running</v>
      </c>
      <c r="L106" s="100"/>
      <c r="M106" s="47">
        <f>COUNT('1st Shift Issue Sheet'!Q81)</f>
        <v>1</v>
      </c>
      <c r="N106" s="47" t="str">
        <f>IF('1st Shift Issue Sheet'!AI81&gt;=2,"Alarm","")</f>
        <v/>
      </c>
    </row>
    <row r="107" spans="2:14" ht="15" hidden="1" thickBot="1">
      <c r="B107" s="47">
        <v>78</v>
      </c>
      <c r="C107" s="47">
        <f>'1st Shift Issue Sheet'!J82</f>
        <v>0</v>
      </c>
      <c r="D107" s="99" t="str">
        <f>IF('1st Shift Issue Sheet'!J82&gt;0,"Running","Not Running")</f>
        <v>Not Running</v>
      </c>
      <c r="E107" s="100"/>
      <c r="F107" s="47">
        <f>COUNT('1st Shift Issue Sheet'!D82)</f>
        <v>1</v>
      </c>
      <c r="G107" s="47" t="str">
        <f>IF('1st Shift Issue Sheet'!AG82&gt;=2,"Alarm","")</f>
        <v/>
      </c>
      <c r="I107" s="47">
        <v>178</v>
      </c>
      <c r="J107" s="47">
        <f>'1st Shift Issue Sheet'!W82</f>
        <v>0</v>
      </c>
      <c r="K107" s="99" t="str">
        <f>IF('1st Shift Issue Sheet'!W82&gt;0,"Running","Not Running")</f>
        <v>Not Running</v>
      </c>
      <c r="L107" s="100"/>
      <c r="M107" s="47">
        <f>COUNT('1st Shift Issue Sheet'!Q82)</f>
        <v>1</v>
      </c>
      <c r="N107" s="47" t="str">
        <f>IF('1st Shift Issue Sheet'!AI82&gt;=2,"Alarm","")</f>
        <v/>
      </c>
    </row>
    <row r="108" spans="2:14" ht="15" hidden="1" thickBot="1">
      <c r="B108" s="47">
        <v>79</v>
      </c>
      <c r="C108" s="47">
        <f>'1st Shift Issue Sheet'!J83</f>
        <v>0</v>
      </c>
      <c r="D108" s="99" t="str">
        <f>IF('1st Shift Issue Sheet'!J83&gt;0,"Running","Not Running")</f>
        <v>Not Running</v>
      </c>
      <c r="E108" s="100"/>
      <c r="F108" s="47">
        <f>COUNT('1st Shift Issue Sheet'!D83)</f>
        <v>1</v>
      </c>
      <c r="G108" s="47" t="str">
        <f>IF('1st Shift Issue Sheet'!AG83&gt;=2,"Alarm","")</f>
        <v/>
      </c>
      <c r="I108" s="47">
        <v>179</v>
      </c>
      <c r="J108" s="47">
        <f>'1st Shift Issue Sheet'!W83</f>
        <v>0</v>
      </c>
      <c r="K108" s="99" t="str">
        <f>IF('1st Shift Issue Sheet'!W83&gt;0,"Running","Not Running")</f>
        <v>Not Running</v>
      </c>
      <c r="L108" s="100"/>
      <c r="M108" s="47">
        <f>COUNT('1st Shift Issue Sheet'!Q83)</f>
        <v>1</v>
      </c>
      <c r="N108" s="47" t="str">
        <f>IF('1st Shift Issue Sheet'!AI83&gt;=2,"Alarm","")</f>
        <v/>
      </c>
    </row>
    <row r="109" spans="2:14" ht="15" hidden="1" thickBot="1">
      <c r="B109" s="47">
        <v>80</v>
      </c>
      <c r="C109" s="47">
        <f>'1st Shift Issue Sheet'!J84</f>
        <v>0</v>
      </c>
      <c r="D109" s="99" t="str">
        <f>IF('1st Shift Issue Sheet'!J84&gt;0,"Running","Not Running")</f>
        <v>Not Running</v>
      </c>
      <c r="E109" s="100"/>
      <c r="F109" s="47">
        <f>COUNT('1st Shift Issue Sheet'!D84)</f>
        <v>1</v>
      </c>
      <c r="G109" s="47" t="str">
        <f>IF('1st Shift Issue Sheet'!AG84&gt;=2,"Alarm","")</f>
        <v/>
      </c>
      <c r="I109" s="47">
        <v>180</v>
      </c>
      <c r="J109" s="47">
        <f>'1st Shift Issue Sheet'!W84</f>
        <v>0</v>
      </c>
      <c r="K109" s="99" t="str">
        <f>IF('1st Shift Issue Sheet'!W84&gt;0,"Running","Not Running")</f>
        <v>Not Running</v>
      </c>
      <c r="L109" s="100"/>
      <c r="M109" s="47">
        <f>COUNT('1st Shift Issue Sheet'!Q84)</f>
        <v>1</v>
      </c>
      <c r="N109" s="47" t="str">
        <f>IF('1st Shift Issue Sheet'!AI84&gt;=2,"Alarm","")</f>
        <v/>
      </c>
    </row>
    <row r="110" spans="2:14" ht="15" hidden="1" thickBot="1">
      <c r="B110" s="47">
        <v>81</v>
      </c>
      <c r="C110" s="47">
        <f>'1st Shift Issue Sheet'!J85</f>
        <v>0</v>
      </c>
      <c r="D110" s="99" t="str">
        <f>IF('1st Shift Issue Sheet'!J85&gt;0,"Running","Not Running")</f>
        <v>Not Running</v>
      </c>
      <c r="E110" s="100"/>
      <c r="F110" s="47">
        <f>COUNT('1st Shift Issue Sheet'!D85)</f>
        <v>1</v>
      </c>
      <c r="G110" s="47" t="str">
        <f>IF('1st Shift Issue Sheet'!AG85&gt;=2,"Alarm","")</f>
        <v/>
      </c>
      <c r="I110" s="47">
        <v>181</v>
      </c>
      <c r="J110" s="47">
        <f>'1st Shift Issue Sheet'!W85</f>
        <v>0</v>
      </c>
      <c r="K110" s="99" t="str">
        <f>IF('1st Shift Issue Sheet'!W85&gt;0,"Running","Not Running")</f>
        <v>Not Running</v>
      </c>
      <c r="L110" s="100"/>
      <c r="M110" s="47">
        <f>COUNT('1st Shift Issue Sheet'!Q85)</f>
        <v>1</v>
      </c>
      <c r="N110" s="47" t="str">
        <f>IF('1st Shift Issue Sheet'!AI85&gt;=2,"Alarm","")</f>
        <v/>
      </c>
    </row>
    <row r="111" spans="2:14" ht="15" hidden="1" thickBot="1">
      <c r="B111" s="47">
        <v>82</v>
      </c>
      <c r="C111" s="47">
        <f>'1st Shift Issue Sheet'!J86</f>
        <v>0</v>
      </c>
      <c r="D111" s="99" t="str">
        <f>IF('1st Shift Issue Sheet'!J86&gt;0,"Running","Not Running")</f>
        <v>Not Running</v>
      </c>
      <c r="E111" s="100"/>
      <c r="F111" s="47">
        <f>COUNT('1st Shift Issue Sheet'!D86)</f>
        <v>1</v>
      </c>
      <c r="G111" s="47" t="str">
        <f>IF('1st Shift Issue Sheet'!AG86&gt;=2,"Alarm","")</f>
        <v/>
      </c>
      <c r="I111" s="47">
        <v>182</v>
      </c>
      <c r="J111" s="47">
        <f>'1st Shift Issue Sheet'!W86</f>
        <v>0</v>
      </c>
      <c r="K111" s="99" t="str">
        <f>IF('1st Shift Issue Sheet'!W86&gt;0,"Running","Not Running")</f>
        <v>Not Running</v>
      </c>
      <c r="L111" s="100"/>
      <c r="M111" s="47">
        <f>COUNT('1st Shift Issue Sheet'!Q86)</f>
        <v>1</v>
      </c>
      <c r="N111" s="47" t="str">
        <f>IF('1st Shift Issue Sheet'!AI86&gt;=2,"Alarm","")</f>
        <v/>
      </c>
    </row>
    <row r="112" spans="2:14" ht="15" hidden="1" thickBot="1">
      <c r="B112" s="47">
        <v>83</v>
      </c>
      <c r="C112" s="47">
        <f>'1st Shift Issue Sheet'!J87</f>
        <v>0</v>
      </c>
      <c r="D112" s="99" t="str">
        <f>IF('1st Shift Issue Sheet'!J87&gt;0,"Running","Not Running")</f>
        <v>Not Running</v>
      </c>
      <c r="E112" s="100"/>
      <c r="F112" s="47">
        <f>COUNT('1st Shift Issue Sheet'!D87)</f>
        <v>1</v>
      </c>
      <c r="G112" s="47" t="str">
        <f>IF('1st Shift Issue Sheet'!AG87&gt;=2,"Alarm","")</f>
        <v/>
      </c>
      <c r="I112" s="47">
        <v>183</v>
      </c>
      <c r="J112" s="47">
        <f>'1st Shift Issue Sheet'!W87</f>
        <v>0</v>
      </c>
      <c r="K112" s="99" t="str">
        <f>IF('1st Shift Issue Sheet'!W87&gt;0,"Running","Not Running")</f>
        <v>Not Running</v>
      </c>
      <c r="L112" s="100"/>
      <c r="M112" s="47">
        <f>COUNT('1st Shift Issue Sheet'!Q87)</f>
        <v>1</v>
      </c>
      <c r="N112" s="47" t="str">
        <f>IF('1st Shift Issue Sheet'!AI87&gt;=2,"Alarm","")</f>
        <v/>
      </c>
    </row>
    <row r="113" spans="2:14" ht="15" hidden="1" thickBot="1">
      <c r="B113" s="47">
        <v>84</v>
      </c>
      <c r="C113" s="47">
        <f>'1st Shift Issue Sheet'!J88</f>
        <v>0</v>
      </c>
      <c r="D113" s="99" t="str">
        <f>IF('1st Shift Issue Sheet'!J88&gt;0,"Running","Not Running")</f>
        <v>Not Running</v>
      </c>
      <c r="E113" s="100"/>
      <c r="F113" s="47">
        <f>COUNT('1st Shift Issue Sheet'!D88)</f>
        <v>1</v>
      </c>
      <c r="G113" s="47" t="str">
        <f>IF('1st Shift Issue Sheet'!AG88&gt;=2,"Alarm","")</f>
        <v/>
      </c>
      <c r="I113" s="47">
        <v>184</v>
      </c>
      <c r="J113" s="47">
        <f>'1st Shift Issue Sheet'!W88</f>
        <v>0</v>
      </c>
      <c r="K113" s="99" t="str">
        <f>IF('1st Shift Issue Sheet'!W88&gt;0,"Running","Not Running")</f>
        <v>Not Running</v>
      </c>
      <c r="L113" s="100"/>
      <c r="M113" s="47">
        <f>COUNT('1st Shift Issue Sheet'!Q88)</f>
        <v>1</v>
      </c>
      <c r="N113" s="47" t="str">
        <f>IF('1st Shift Issue Sheet'!AI88&gt;=2,"Alarm","")</f>
        <v/>
      </c>
    </row>
    <row r="114" spans="2:14" ht="15" hidden="1" thickBot="1">
      <c r="B114" s="47">
        <v>85</v>
      </c>
      <c r="C114" s="47">
        <f>'1st Shift Issue Sheet'!J89</f>
        <v>0</v>
      </c>
      <c r="D114" s="99" t="str">
        <f>IF('1st Shift Issue Sheet'!J89&gt;0,"Running","Not Running")</f>
        <v>Not Running</v>
      </c>
      <c r="E114" s="100"/>
      <c r="F114" s="47">
        <f>COUNT('1st Shift Issue Sheet'!D89)</f>
        <v>1</v>
      </c>
      <c r="G114" s="47" t="str">
        <f>IF('1st Shift Issue Sheet'!AG89&gt;=2,"Alarm","")</f>
        <v/>
      </c>
      <c r="I114" s="47">
        <v>185</v>
      </c>
      <c r="J114" s="47">
        <f>'1st Shift Issue Sheet'!W89</f>
        <v>0</v>
      </c>
      <c r="K114" s="99" t="str">
        <f>IF('1st Shift Issue Sheet'!W89&gt;0,"Running","Not Running")</f>
        <v>Not Running</v>
      </c>
      <c r="L114" s="100"/>
      <c r="M114" s="47">
        <f>COUNT('1st Shift Issue Sheet'!Q89)</f>
        <v>1</v>
      </c>
      <c r="N114" s="47" t="str">
        <f>IF('1st Shift Issue Sheet'!AI89&gt;=2,"Alarm","")</f>
        <v/>
      </c>
    </row>
    <row r="115" spans="2:14" ht="15" hidden="1" thickBot="1">
      <c r="B115" s="47">
        <v>86</v>
      </c>
      <c r="C115" s="47">
        <f>'1st Shift Issue Sheet'!J90</f>
        <v>0</v>
      </c>
      <c r="D115" s="99" t="str">
        <f>IF('1st Shift Issue Sheet'!J90&gt;0,"Running","Not Running")</f>
        <v>Not Running</v>
      </c>
      <c r="E115" s="100"/>
      <c r="F115" s="47">
        <f>COUNT('1st Shift Issue Sheet'!D90)</f>
        <v>1</v>
      </c>
      <c r="G115" s="47" t="str">
        <f>IF('1st Shift Issue Sheet'!AG90&gt;=2,"Alarm","")</f>
        <v/>
      </c>
      <c r="I115" s="47">
        <v>186</v>
      </c>
      <c r="J115" s="47">
        <f>'1st Shift Issue Sheet'!W90</f>
        <v>0</v>
      </c>
      <c r="K115" s="99" t="str">
        <f>IF('1st Shift Issue Sheet'!W90&gt;0,"Running","Not Running")</f>
        <v>Not Running</v>
      </c>
      <c r="L115" s="100"/>
      <c r="M115" s="47">
        <f>COUNT('1st Shift Issue Sheet'!Q90)</f>
        <v>1</v>
      </c>
      <c r="N115" s="47" t="str">
        <f>IF('1st Shift Issue Sheet'!AI90&gt;=2,"Alarm","")</f>
        <v/>
      </c>
    </row>
    <row r="116" spans="2:14" ht="15" hidden="1" thickBot="1">
      <c r="B116" s="47">
        <v>87</v>
      </c>
      <c r="C116" s="47">
        <f>'1st Shift Issue Sheet'!J91</f>
        <v>0</v>
      </c>
      <c r="D116" s="99" t="str">
        <f>IF('1st Shift Issue Sheet'!J91&gt;0,"Running","Not Running")</f>
        <v>Not Running</v>
      </c>
      <c r="E116" s="100"/>
      <c r="F116" s="47">
        <f>COUNT('1st Shift Issue Sheet'!D91)</f>
        <v>1</v>
      </c>
      <c r="G116" s="47" t="str">
        <f>IF('1st Shift Issue Sheet'!AG91&gt;=2,"Alarm","")</f>
        <v/>
      </c>
      <c r="I116" s="47">
        <v>187</v>
      </c>
      <c r="J116" s="47">
        <f>'1st Shift Issue Sheet'!W91</f>
        <v>0</v>
      </c>
      <c r="K116" s="99" t="str">
        <f>IF('1st Shift Issue Sheet'!W91&gt;0,"Running","Not Running")</f>
        <v>Not Running</v>
      </c>
      <c r="L116" s="100"/>
      <c r="M116" s="47">
        <f>COUNT('1st Shift Issue Sheet'!Q91)</f>
        <v>1</v>
      </c>
      <c r="N116" s="47" t="str">
        <f>IF('1st Shift Issue Sheet'!AI91&gt;=2,"Alarm","")</f>
        <v/>
      </c>
    </row>
    <row r="117" spans="2:14" ht="15" hidden="1" thickBot="1">
      <c r="B117" s="47">
        <v>88</v>
      </c>
      <c r="C117" s="47">
        <f>'1st Shift Issue Sheet'!J92</f>
        <v>0</v>
      </c>
      <c r="D117" s="99" t="str">
        <f>IF('1st Shift Issue Sheet'!J92&gt;0,"Running","Not Running")</f>
        <v>Not Running</v>
      </c>
      <c r="E117" s="100"/>
      <c r="F117" s="47">
        <f>COUNT('1st Shift Issue Sheet'!D92)</f>
        <v>1</v>
      </c>
      <c r="G117" s="47" t="str">
        <f>IF('1st Shift Issue Sheet'!AG92&gt;=2,"Alarm","")</f>
        <v/>
      </c>
      <c r="I117" s="47">
        <v>188</v>
      </c>
      <c r="J117" s="47">
        <f>'1st Shift Issue Sheet'!W92</f>
        <v>0</v>
      </c>
      <c r="K117" s="99" t="str">
        <f>IF('1st Shift Issue Sheet'!W92&gt;0,"Running","Not Running")</f>
        <v>Not Running</v>
      </c>
      <c r="L117" s="100"/>
      <c r="M117" s="47">
        <f>COUNT('1st Shift Issue Sheet'!Q92)</f>
        <v>1</v>
      </c>
      <c r="N117" s="47" t="str">
        <f>IF('1st Shift Issue Sheet'!AI92&gt;=2,"Alarm","")</f>
        <v/>
      </c>
    </row>
    <row r="118" spans="2:14" ht="15" hidden="1" thickBot="1">
      <c r="B118" s="47">
        <v>89</v>
      </c>
      <c r="C118" s="47">
        <f>'1st Shift Issue Sheet'!J93</f>
        <v>0</v>
      </c>
      <c r="D118" s="99" t="str">
        <f>IF('1st Shift Issue Sheet'!J93&gt;0,"Running","Not Running")</f>
        <v>Not Running</v>
      </c>
      <c r="E118" s="100"/>
      <c r="F118" s="47">
        <f>COUNT('1st Shift Issue Sheet'!D93)</f>
        <v>1</v>
      </c>
      <c r="G118" s="47" t="str">
        <f>IF('1st Shift Issue Sheet'!AG93&gt;=2,"Alarm","")</f>
        <v/>
      </c>
      <c r="I118" s="47">
        <v>189</v>
      </c>
      <c r="J118" s="47">
        <f>'1st Shift Issue Sheet'!W93</f>
        <v>0</v>
      </c>
      <c r="K118" s="99" t="str">
        <f>IF('1st Shift Issue Sheet'!W93&gt;0,"Running","Not Running")</f>
        <v>Not Running</v>
      </c>
      <c r="L118" s="100"/>
      <c r="M118" s="47">
        <f>COUNT('1st Shift Issue Sheet'!Q93)</f>
        <v>1</v>
      </c>
      <c r="N118" s="47" t="str">
        <f>IF('1st Shift Issue Sheet'!AI93&gt;=2,"Alarm","")</f>
        <v/>
      </c>
    </row>
    <row r="119" spans="2:14" ht="15" hidden="1" thickBot="1">
      <c r="B119" s="47">
        <v>90</v>
      </c>
      <c r="C119" s="47">
        <f>'1st Shift Issue Sheet'!J94</f>
        <v>0</v>
      </c>
      <c r="D119" s="99" t="str">
        <f>IF('1st Shift Issue Sheet'!J94&gt;0,"Running","Not Running")</f>
        <v>Not Running</v>
      </c>
      <c r="E119" s="100"/>
      <c r="F119" s="47">
        <f>COUNT('1st Shift Issue Sheet'!D94)</f>
        <v>1</v>
      </c>
      <c r="G119" s="47" t="str">
        <f>IF('1st Shift Issue Sheet'!AG94&gt;=2,"Alarm","")</f>
        <v/>
      </c>
      <c r="I119" s="47">
        <v>190</v>
      </c>
      <c r="J119" s="47">
        <f>'1st Shift Issue Sheet'!W94</f>
        <v>0</v>
      </c>
      <c r="K119" s="99" t="str">
        <f>IF('1st Shift Issue Sheet'!W94&gt;0,"Running","Not Running")</f>
        <v>Not Running</v>
      </c>
      <c r="L119" s="100"/>
      <c r="M119" s="47">
        <f>COUNT('1st Shift Issue Sheet'!Q94)</f>
        <v>1</v>
      </c>
      <c r="N119" s="47" t="str">
        <f>IF('1st Shift Issue Sheet'!AI94&gt;=2,"Alarm","")</f>
        <v/>
      </c>
    </row>
    <row r="120" spans="2:14" ht="15" hidden="1" thickBot="1">
      <c r="B120" s="47">
        <v>91</v>
      </c>
      <c r="C120" s="47">
        <f>'1st Shift Issue Sheet'!J95</f>
        <v>0</v>
      </c>
      <c r="D120" s="99" t="str">
        <f>IF('1st Shift Issue Sheet'!J95&gt;0,"Running","Not Running")</f>
        <v>Not Running</v>
      </c>
      <c r="E120" s="100"/>
      <c r="F120" s="47">
        <f>COUNT('1st Shift Issue Sheet'!D95)</f>
        <v>1</v>
      </c>
      <c r="G120" s="47" t="str">
        <f>IF('1st Shift Issue Sheet'!AG95&gt;=2,"Alarm","")</f>
        <v/>
      </c>
      <c r="I120" s="47">
        <v>191</v>
      </c>
      <c r="J120" s="47">
        <f>'1st Shift Issue Sheet'!W95</f>
        <v>0</v>
      </c>
      <c r="K120" s="99" t="str">
        <f>IF('1st Shift Issue Sheet'!W95&gt;0,"Running","Not Running")</f>
        <v>Not Running</v>
      </c>
      <c r="L120" s="100"/>
      <c r="M120" s="47">
        <f>COUNT('1st Shift Issue Sheet'!Q95)</f>
        <v>1</v>
      </c>
      <c r="N120" s="47" t="str">
        <f>IF('1st Shift Issue Sheet'!AI95&gt;=2,"Alarm","")</f>
        <v/>
      </c>
    </row>
    <row r="121" spans="2:14" ht="15" hidden="1" thickBot="1">
      <c r="B121" s="47">
        <v>92</v>
      </c>
      <c r="C121" s="47">
        <f>'1st Shift Issue Sheet'!J96</f>
        <v>0</v>
      </c>
      <c r="D121" s="99" t="str">
        <f>IF('1st Shift Issue Sheet'!J96&gt;0,"Running","Not Running")</f>
        <v>Not Running</v>
      </c>
      <c r="E121" s="100"/>
      <c r="F121" s="47">
        <f>COUNT('1st Shift Issue Sheet'!D96)</f>
        <v>1</v>
      </c>
      <c r="G121" s="47" t="str">
        <f>IF('1st Shift Issue Sheet'!AG96&gt;=2,"Alarm","")</f>
        <v/>
      </c>
      <c r="I121" s="47">
        <v>192</v>
      </c>
      <c r="J121" s="47">
        <f>'1st Shift Issue Sheet'!W96</f>
        <v>0</v>
      </c>
      <c r="K121" s="99" t="str">
        <f>IF('1st Shift Issue Sheet'!W96&gt;0,"Running","Not Running")</f>
        <v>Not Running</v>
      </c>
      <c r="L121" s="100"/>
      <c r="M121" s="47">
        <f>COUNT('1st Shift Issue Sheet'!Q96)</f>
        <v>1</v>
      </c>
      <c r="N121" s="47" t="str">
        <f>IF('1st Shift Issue Sheet'!AI96&gt;=2,"Alarm","")</f>
        <v/>
      </c>
    </row>
    <row r="122" spans="2:14" ht="15" hidden="1" thickBot="1">
      <c r="B122" s="47">
        <v>93</v>
      </c>
      <c r="C122" s="47">
        <f>'1st Shift Issue Sheet'!J97</f>
        <v>0</v>
      </c>
      <c r="D122" s="99" t="str">
        <f>IF('1st Shift Issue Sheet'!J97&gt;0,"Running","Not Running")</f>
        <v>Not Running</v>
      </c>
      <c r="E122" s="100"/>
      <c r="F122" s="47">
        <f>COUNT('1st Shift Issue Sheet'!D97)</f>
        <v>1</v>
      </c>
      <c r="G122" s="47" t="str">
        <f>IF('1st Shift Issue Sheet'!AG97&gt;=2,"Alarm","")</f>
        <v/>
      </c>
      <c r="I122" s="47">
        <v>193</v>
      </c>
      <c r="J122" s="47">
        <f>'1st Shift Issue Sheet'!W97</f>
        <v>0</v>
      </c>
      <c r="K122" s="99" t="str">
        <f>IF('1st Shift Issue Sheet'!W97&gt;0,"Running","Not Running")</f>
        <v>Not Running</v>
      </c>
      <c r="L122" s="100"/>
      <c r="M122" s="47">
        <f>COUNT('1st Shift Issue Sheet'!Q97)</f>
        <v>1</v>
      </c>
      <c r="N122" s="47" t="str">
        <f>IF('1st Shift Issue Sheet'!AI97&gt;=2,"Alarm","")</f>
        <v/>
      </c>
    </row>
    <row r="123" spans="2:14" ht="15" hidden="1" thickBot="1">
      <c r="B123" s="47">
        <v>94</v>
      </c>
      <c r="C123" s="47">
        <f>'1st Shift Issue Sheet'!J98</f>
        <v>0</v>
      </c>
      <c r="D123" s="99" t="str">
        <f>IF('1st Shift Issue Sheet'!J98&gt;0,"Running","Not Running")</f>
        <v>Not Running</v>
      </c>
      <c r="E123" s="100"/>
      <c r="F123" s="47">
        <f>COUNT('1st Shift Issue Sheet'!D98)</f>
        <v>1</v>
      </c>
      <c r="G123" s="47" t="str">
        <f>IF('1st Shift Issue Sheet'!AG98&gt;=2,"Alarm","")</f>
        <v/>
      </c>
      <c r="I123" s="47">
        <v>194</v>
      </c>
      <c r="J123" s="47">
        <f>'1st Shift Issue Sheet'!W98</f>
        <v>0</v>
      </c>
      <c r="K123" s="99" t="str">
        <f>IF('1st Shift Issue Sheet'!W98&gt;0,"Running","Not Running")</f>
        <v>Not Running</v>
      </c>
      <c r="L123" s="100"/>
      <c r="M123" s="47">
        <f>COUNT('1st Shift Issue Sheet'!Q98)</f>
        <v>1</v>
      </c>
      <c r="N123" s="47" t="str">
        <f>IF('1st Shift Issue Sheet'!AI98&gt;=2,"Alarm","")</f>
        <v/>
      </c>
    </row>
    <row r="124" spans="2:14" ht="15" hidden="1" thickBot="1">
      <c r="B124" s="47">
        <v>95</v>
      </c>
      <c r="C124" s="47">
        <f>'1st Shift Issue Sheet'!J99</f>
        <v>0</v>
      </c>
      <c r="D124" s="99" t="str">
        <f>IF('1st Shift Issue Sheet'!J99&gt;0,"Running","Not Running")</f>
        <v>Not Running</v>
      </c>
      <c r="E124" s="100"/>
      <c r="F124" s="47">
        <f>COUNT('1st Shift Issue Sheet'!D99)</f>
        <v>1</v>
      </c>
      <c r="G124" s="47" t="str">
        <f>IF('1st Shift Issue Sheet'!AG99&gt;=2,"Alarm","")</f>
        <v/>
      </c>
      <c r="I124" s="47">
        <v>195</v>
      </c>
      <c r="J124" s="47">
        <f>'1st Shift Issue Sheet'!W99</f>
        <v>0</v>
      </c>
      <c r="K124" s="99" t="str">
        <f>IF('1st Shift Issue Sheet'!W99&gt;0,"Running","Not Running")</f>
        <v>Not Running</v>
      </c>
      <c r="L124" s="100"/>
      <c r="M124" s="47">
        <f>COUNT('1st Shift Issue Sheet'!Q99)</f>
        <v>1</v>
      </c>
      <c r="N124" s="47" t="str">
        <f>IF('1st Shift Issue Sheet'!AI99&gt;=2,"Alarm","")</f>
        <v/>
      </c>
    </row>
    <row r="125" spans="2:14" ht="15" hidden="1" thickBot="1">
      <c r="B125" s="47">
        <v>96</v>
      </c>
      <c r="C125" s="47">
        <f>'1st Shift Issue Sheet'!J100</f>
        <v>0</v>
      </c>
      <c r="D125" s="99" t="str">
        <f>IF('1st Shift Issue Sheet'!J100&gt;0,"Running","Not Running")</f>
        <v>Not Running</v>
      </c>
      <c r="E125" s="100"/>
      <c r="F125" s="47">
        <f>COUNT('1st Shift Issue Sheet'!D100)</f>
        <v>1</v>
      </c>
      <c r="G125" s="47" t="str">
        <f>IF('1st Shift Issue Sheet'!AG100&gt;=2,"Alarm","")</f>
        <v/>
      </c>
      <c r="I125" s="47">
        <v>196</v>
      </c>
      <c r="J125" s="47">
        <f>'1st Shift Issue Sheet'!W100</f>
        <v>0</v>
      </c>
      <c r="K125" s="99" t="str">
        <f>IF('1st Shift Issue Sheet'!W100&gt;0,"Running","Not Running")</f>
        <v>Not Running</v>
      </c>
      <c r="L125" s="100"/>
      <c r="M125" s="47">
        <f>COUNT('1st Shift Issue Sheet'!Q100)</f>
        <v>1</v>
      </c>
      <c r="N125" s="47" t="str">
        <f>IF('1st Shift Issue Sheet'!AI100&gt;=2,"Alarm","")</f>
        <v/>
      </c>
    </row>
    <row r="126" spans="2:14" ht="15" hidden="1" thickBot="1">
      <c r="B126" s="47">
        <v>97</v>
      </c>
      <c r="C126" s="47">
        <f>'1st Shift Issue Sheet'!J101</f>
        <v>0</v>
      </c>
      <c r="D126" s="99" t="str">
        <f>IF('1st Shift Issue Sheet'!J101&gt;0,"Running","Not Running")</f>
        <v>Not Running</v>
      </c>
      <c r="E126" s="100"/>
      <c r="F126" s="47">
        <f>COUNT('1st Shift Issue Sheet'!D101)</f>
        <v>1</v>
      </c>
      <c r="G126" s="47" t="str">
        <f>IF('1st Shift Issue Sheet'!AG101&gt;=2,"Alarm","")</f>
        <v/>
      </c>
      <c r="I126" s="47">
        <v>197</v>
      </c>
      <c r="J126" s="47">
        <f>'1st Shift Issue Sheet'!W101</f>
        <v>0</v>
      </c>
      <c r="K126" s="99" t="str">
        <f>IF('1st Shift Issue Sheet'!W101&gt;0,"Running","Not Running")</f>
        <v>Not Running</v>
      </c>
      <c r="L126" s="100"/>
      <c r="M126" s="47">
        <f>COUNT('1st Shift Issue Sheet'!Q101)</f>
        <v>1</v>
      </c>
      <c r="N126" s="47" t="str">
        <f>IF('1st Shift Issue Sheet'!AI101&gt;=2,"Alarm","")</f>
        <v/>
      </c>
    </row>
    <row r="127" spans="2:14" ht="15" hidden="1" thickBot="1">
      <c r="B127" s="47">
        <v>98</v>
      </c>
      <c r="C127" s="47">
        <f>'1st Shift Issue Sheet'!J102</f>
        <v>0</v>
      </c>
      <c r="D127" s="99" t="str">
        <f>IF('1st Shift Issue Sheet'!J102&gt;0,"Running","Not Running")</f>
        <v>Not Running</v>
      </c>
      <c r="E127" s="100"/>
      <c r="F127" s="47">
        <f>COUNT('1st Shift Issue Sheet'!D102)</f>
        <v>1</v>
      </c>
      <c r="G127" s="47" t="str">
        <f>IF('1st Shift Issue Sheet'!AG102&gt;=2,"Alarm","")</f>
        <v/>
      </c>
      <c r="I127" s="47">
        <v>198</v>
      </c>
      <c r="J127" s="47">
        <f>'1st Shift Issue Sheet'!W102</f>
        <v>0</v>
      </c>
      <c r="K127" s="99" t="str">
        <f>IF('1st Shift Issue Sheet'!W102&gt;0,"Running","Not Running")</f>
        <v>Not Running</v>
      </c>
      <c r="L127" s="100"/>
      <c r="M127" s="47">
        <f>COUNT('1st Shift Issue Sheet'!Q102)</f>
        <v>1</v>
      </c>
      <c r="N127" s="47" t="str">
        <f>IF('1st Shift Issue Sheet'!AI102&gt;=2,"Alarm","")</f>
        <v/>
      </c>
    </row>
    <row r="128" spans="2:14" ht="15" hidden="1" thickBot="1">
      <c r="B128" s="47">
        <v>99</v>
      </c>
      <c r="C128" s="47">
        <f>'1st Shift Issue Sheet'!J103</f>
        <v>0</v>
      </c>
      <c r="D128" s="99" t="str">
        <f>IF('1st Shift Issue Sheet'!J103&gt;0,"Running","Not Running")</f>
        <v>Not Running</v>
      </c>
      <c r="E128" s="100"/>
      <c r="F128" s="47">
        <f>COUNT('1st Shift Issue Sheet'!D103)</f>
        <v>1</v>
      </c>
      <c r="G128" s="47" t="str">
        <f>IF('1st Shift Issue Sheet'!AG103&gt;=2,"Alarm","")</f>
        <v/>
      </c>
      <c r="I128" s="47">
        <v>199</v>
      </c>
      <c r="J128" s="47">
        <f>'1st Shift Issue Sheet'!W103</f>
        <v>0</v>
      </c>
      <c r="K128" s="99" t="str">
        <f>IF('1st Shift Issue Sheet'!W103&gt;0,"Running","Not Running")</f>
        <v>Not Running</v>
      </c>
      <c r="L128" s="100"/>
      <c r="M128" s="47">
        <f>COUNT('1st Shift Issue Sheet'!Q103)</f>
        <v>1</v>
      </c>
      <c r="N128" s="47" t="str">
        <f>IF('1st Shift Issue Sheet'!AI103&gt;=2,"Alarm","")</f>
        <v/>
      </c>
    </row>
    <row r="129" spans="2:14" ht="15" hidden="1" thickBot="1">
      <c r="B129" s="47">
        <v>100</v>
      </c>
      <c r="C129" s="47">
        <f>'1st Shift Issue Sheet'!J104</f>
        <v>0</v>
      </c>
      <c r="D129" s="99" t="str">
        <f>IF('1st Shift Issue Sheet'!J104&gt;0,"Running","Not Running")</f>
        <v>Not Running</v>
      </c>
      <c r="E129" s="100"/>
      <c r="F129" s="47">
        <f>COUNT('1st Shift Issue Sheet'!D104)</f>
        <v>1</v>
      </c>
      <c r="G129" s="47" t="str">
        <f>IF('1st Shift Issue Sheet'!AG104&gt;=2,"Alarm","")</f>
        <v/>
      </c>
      <c r="I129" s="47">
        <v>200</v>
      </c>
      <c r="J129" s="47">
        <f>'1st Shift Issue Sheet'!W104</f>
        <v>0</v>
      </c>
      <c r="K129" s="99" t="str">
        <f>IF('1st Shift Issue Sheet'!W104&gt;0,"Running","Not Running")</f>
        <v>Not Running</v>
      </c>
      <c r="L129" s="100"/>
      <c r="M129" s="47">
        <f>COUNT('1st Shift Issue Sheet'!Q104)</f>
        <v>1</v>
      </c>
      <c r="N129" s="47" t="str">
        <f>IF('1st Shift Issue Sheet'!AI104&gt;=2,"Alarm","")</f>
        <v/>
      </c>
    </row>
  </sheetData>
  <sheetProtection selectLockedCells="1" selectUnlockedCells="1"/>
  <mergeCells count="220">
    <mergeCell ref="D129:E129"/>
    <mergeCell ref="K129:L1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D37:E37"/>
    <mergeCell ref="D38:E38"/>
    <mergeCell ref="D39:E39"/>
    <mergeCell ref="D40:E40"/>
    <mergeCell ref="D41:E41"/>
    <mergeCell ref="D42:E42"/>
    <mergeCell ref="K124:L124"/>
    <mergeCell ref="K125:L125"/>
    <mergeCell ref="K126:L126"/>
    <mergeCell ref="K127:L127"/>
    <mergeCell ref="K128:L128"/>
    <mergeCell ref="K119:L119"/>
    <mergeCell ref="K120:L120"/>
    <mergeCell ref="K121:L121"/>
    <mergeCell ref="K122:L122"/>
    <mergeCell ref="K123:L123"/>
    <mergeCell ref="K114:L114"/>
    <mergeCell ref="K115:L115"/>
    <mergeCell ref="K116:L116"/>
    <mergeCell ref="K117:L117"/>
    <mergeCell ref="K118:L118"/>
    <mergeCell ref="K109:L109"/>
    <mergeCell ref="K110:L110"/>
    <mergeCell ref="K111:L111"/>
    <mergeCell ref="K112:L112"/>
    <mergeCell ref="K113:L113"/>
    <mergeCell ref="K104:L104"/>
    <mergeCell ref="K105:L105"/>
    <mergeCell ref="K106:L106"/>
    <mergeCell ref="K107:L107"/>
    <mergeCell ref="K108:L108"/>
    <mergeCell ref="K99:L99"/>
    <mergeCell ref="K100:L100"/>
    <mergeCell ref="K101:L101"/>
    <mergeCell ref="K102:L102"/>
    <mergeCell ref="K103:L103"/>
    <mergeCell ref="K94:L94"/>
    <mergeCell ref="K95:L95"/>
    <mergeCell ref="K96:L96"/>
    <mergeCell ref="K97:L97"/>
    <mergeCell ref="K98:L98"/>
    <mergeCell ref="K89:L89"/>
    <mergeCell ref="K90:L90"/>
    <mergeCell ref="K91:L91"/>
    <mergeCell ref="K92:L92"/>
    <mergeCell ref="K93:L93"/>
    <mergeCell ref="K84:L84"/>
    <mergeCell ref="K85:L85"/>
    <mergeCell ref="K86:L86"/>
    <mergeCell ref="K87:L87"/>
    <mergeCell ref="K88:L88"/>
    <mergeCell ref="K79:L79"/>
    <mergeCell ref="K80:L80"/>
    <mergeCell ref="K81:L81"/>
    <mergeCell ref="K82:L82"/>
    <mergeCell ref="K83:L83"/>
    <mergeCell ref="K74:L74"/>
    <mergeCell ref="K75:L75"/>
    <mergeCell ref="K76:L76"/>
    <mergeCell ref="K77:L77"/>
    <mergeCell ref="K78:L78"/>
    <mergeCell ref="K69:L69"/>
    <mergeCell ref="K70:L70"/>
    <mergeCell ref="K71:L71"/>
    <mergeCell ref="K72:L72"/>
    <mergeCell ref="K73:L73"/>
    <mergeCell ref="K64:L64"/>
    <mergeCell ref="K65:L65"/>
    <mergeCell ref="K66:L66"/>
    <mergeCell ref="K67:L67"/>
    <mergeCell ref="K68:L68"/>
    <mergeCell ref="K59:L59"/>
    <mergeCell ref="K60:L60"/>
    <mergeCell ref="K61:L61"/>
    <mergeCell ref="K62:L62"/>
    <mergeCell ref="K63:L63"/>
    <mergeCell ref="K54:L54"/>
    <mergeCell ref="K55:L55"/>
    <mergeCell ref="K56:L56"/>
    <mergeCell ref="K57:L57"/>
    <mergeCell ref="K58:L58"/>
    <mergeCell ref="K49:L49"/>
    <mergeCell ref="K50:L50"/>
    <mergeCell ref="K51:L51"/>
    <mergeCell ref="K52:L52"/>
    <mergeCell ref="K53:L53"/>
    <mergeCell ref="K44:L44"/>
    <mergeCell ref="K45:L45"/>
    <mergeCell ref="K46:L46"/>
    <mergeCell ref="K47:L47"/>
    <mergeCell ref="K48:L48"/>
    <mergeCell ref="D124:E124"/>
    <mergeCell ref="D125:E125"/>
    <mergeCell ref="D126:E126"/>
    <mergeCell ref="D127:E127"/>
    <mergeCell ref="D128:E128"/>
    <mergeCell ref="D119:E119"/>
    <mergeCell ref="D120:E120"/>
    <mergeCell ref="D121:E121"/>
    <mergeCell ref="D122:E122"/>
    <mergeCell ref="D123:E123"/>
    <mergeCell ref="D114:E114"/>
    <mergeCell ref="D115:E115"/>
    <mergeCell ref="D116:E116"/>
    <mergeCell ref="D117:E117"/>
    <mergeCell ref="D118:E118"/>
    <mergeCell ref="D109:E109"/>
    <mergeCell ref="D110:E110"/>
    <mergeCell ref="D111:E111"/>
    <mergeCell ref="D112:E112"/>
    <mergeCell ref="D113:E113"/>
    <mergeCell ref="D104:E104"/>
    <mergeCell ref="D105:E105"/>
    <mergeCell ref="D106:E106"/>
    <mergeCell ref="D107:E107"/>
    <mergeCell ref="D108:E108"/>
    <mergeCell ref="D99:E99"/>
    <mergeCell ref="D100:E100"/>
    <mergeCell ref="D101:E101"/>
    <mergeCell ref="D102:E102"/>
    <mergeCell ref="D103:E103"/>
    <mergeCell ref="D94:E94"/>
    <mergeCell ref="D95:E95"/>
    <mergeCell ref="D96:E96"/>
    <mergeCell ref="D97:E97"/>
    <mergeCell ref="D98:E98"/>
    <mergeCell ref="D89:E89"/>
    <mergeCell ref="D90:E90"/>
    <mergeCell ref="D91:E91"/>
    <mergeCell ref="D92:E92"/>
    <mergeCell ref="D93:E93"/>
    <mergeCell ref="D84:E84"/>
    <mergeCell ref="D85:E85"/>
    <mergeCell ref="D86:E86"/>
    <mergeCell ref="D87:E87"/>
    <mergeCell ref="D88:E88"/>
    <mergeCell ref="D79:E79"/>
    <mergeCell ref="D80:E80"/>
    <mergeCell ref="D81:E81"/>
    <mergeCell ref="D82:E82"/>
    <mergeCell ref="D83:E83"/>
    <mergeCell ref="D74:E74"/>
    <mergeCell ref="D75:E75"/>
    <mergeCell ref="D76:E76"/>
    <mergeCell ref="D77:E77"/>
    <mergeCell ref="D78:E78"/>
    <mergeCell ref="D69:E69"/>
    <mergeCell ref="D70:E70"/>
    <mergeCell ref="D71:E71"/>
    <mergeCell ref="D72:E72"/>
    <mergeCell ref="D73:E73"/>
    <mergeCell ref="D64:E64"/>
    <mergeCell ref="D65:E65"/>
    <mergeCell ref="D66:E66"/>
    <mergeCell ref="D67:E67"/>
    <mergeCell ref="D68:E68"/>
    <mergeCell ref="D59:E59"/>
    <mergeCell ref="D60:E60"/>
    <mergeCell ref="D61:E61"/>
    <mergeCell ref="D62:E62"/>
    <mergeCell ref="D63:E63"/>
    <mergeCell ref="D54:E54"/>
    <mergeCell ref="D55:E55"/>
    <mergeCell ref="D56:E56"/>
    <mergeCell ref="D57:E57"/>
    <mergeCell ref="D58:E58"/>
    <mergeCell ref="D49:E49"/>
    <mergeCell ref="D50:E50"/>
    <mergeCell ref="D51:E51"/>
    <mergeCell ref="D52:E52"/>
    <mergeCell ref="D53:E53"/>
    <mergeCell ref="D44:E44"/>
    <mergeCell ref="D45:E45"/>
    <mergeCell ref="D46:E46"/>
    <mergeCell ref="D47:E47"/>
    <mergeCell ref="D48:E48"/>
    <mergeCell ref="D43:E43"/>
    <mergeCell ref="B3:B24"/>
    <mergeCell ref="C3:U4"/>
    <mergeCell ref="C7:F7"/>
    <mergeCell ref="C22:D22"/>
    <mergeCell ref="H7:K7"/>
    <mergeCell ref="H22:I22"/>
    <mergeCell ref="C5:K5"/>
    <mergeCell ref="D29:E29"/>
    <mergeCell ref="K29:L29"/>
    <mergeCell ref="D30:E30"/>
    <mergeCell ref="D31:E31"/>
    <mergeCell ref="D32:E32"/>
    <mergeCell ref="D33:E33"/>
    <mergeCell ref="D34:E34"/>
    <mergeCell ref="D35:E35"/>
    <mergeCell ref="D36:E36"/>
    <mergeCell ref="V3:V24"/>
    <mergeCell ref="C6:U6"/>
    <mergeCell ref="L7:L22"/>
    <mergeCell ref="G7:G22"/>
    <mergeCell ref="Q7:Q22"/>
    <mergeCell ref="C23:U24"/>
    <mergeCell ref="M7:P7"/>
    <mergeCell ref="R7:U7"/>
    <mergeCell ref="M22:N22"/>
    <mergeCell ref="R22:S22"/>
    <mergeCell ref="M5:U5"/>
  </mergeCells>
  <pageMargins left="0.7" right="0.7" top="0.75" bottom="0.75" header="0.3" footer="0.3"/>
  <pageSetup paperSize="9" scale="3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C3:L23"/>
  <sheetViews>
    <sheetView view="pageBreakPreview" zoomScale="70" zoomScaleNormal="80" zoomScaleSheetLayoutView="70" workbookViewId="0">
      <selection activeCell="G19" sqref="G19"/>
    </sheetView>
  </sheetViews>
  <sheetFormatPr defaultRowHeight="18"/>
  <cols>
    <col min="1" max="3" width="9.140625" style="4"/>
    <col min="4" max="7" width="10.5703125" style="4" customWidth="1"/>
    <col min="8" max="8" width="9.140625" style="4"/>
    <col min="9" max="9" width="0" style="29" hidden="1" customWidth="1"/>
    <col min="10" max="10" width="22" style="29" hidden="1" customWidth="1"/>
    <col min="11" max="11" width="14.5703125" style="36" hidden="1" customWidth="1"/>
    <col min="12" max="16384" width="9.140625" style="4"/>
  </cols>
  <sheetData>
    <row r="3" spans="3:12" s="26" customFormat="1" ht="18.75" thickBot="1">
      <c r="C3" s="104"/>
      <c r="D3" s="104"/>
      <c r="E3" s="104"/>
      <c r="F3" s="104"/>
      <c r="G3" s="104"/>
      <c r="H3" s="105"/>
      <c r="I3" s="25"/>
      <c r="J3" s="25"/>
      <c r="K3" s="30"/>
      <c r="L3" s="25"/>
    </row>
    <row r="4" spans="3:12" s="26" customFormat="1" ht="18.75" thickBot="1">
      <c r="C4" s="25"/>
      <c r="D4" s="115" t="s">
        <v>21</v>
      </c>
      <c r="E4" s="116"/>
      <c r="F4" s="116"/>
      <c r="G4" s="117"/>
      <c r="H4" s="105"/>
      <c r="I4" s="25"/>
      <c r="J4" s="25"/>
      <c r="K4" s="30"/>
      <c r="L4" s="25"/>
    </row>
    <row r="5" spans="3:12" s="26" customFormat="1" ht="18.75" thickBot="1">
      <c r="C5" s="104"/>
      <c r="D5" s="104"/>
      <c r="E5" s="104"/>
      <c r="F5" s="104"/>
      <c r="G5" s="104"/>
      <c r="H5" s="105"/>
      <c r="I5" s="25"/>
      <c r="J5" s="25"/>
      <c r="K5" s="30"/>
      <c r="L5" s="25"/>
    </row>
    <row r="6" spans="3:12" s="26" customFormat="1">
      <c r="C6" s="105"/>
      <c r="D6" s="91" t="s">
        <v>12</v>
      </c>
      <c r="E6" s="92"/>
      <c r="F6" s="92"/>
      <c r="G6" s="93"/>
      <c r="H6" s="105"/>
      <c r="I6" s="25"/>
      <c r="J6" s="25"/>
      <c r="K6" s="30"/>
      <c r="L6" s="25"/>
    </row>
    <row r="7" spans="3:12" s="29" customFormat="1" ht="18.75" customHeight="1">
      <c r="C7" s="105"/>
      <c r="D7" s="74" t="s">
        <v>0</v>
      </c>
      <c r="E7" s="75" t="s">
        <v>1</v>
      </c>
      <c r="F7" s="75" t="s">
        <v>16</v>
      </c>
      <c r="G7" s="76" t="s">
        <v>17</v>
      </c>
      <c r="H7" s="105"/>
      <c r="I7" s="27"/>
      <c r="J7" s="27"/>
      <c r="K7" s="30"/>
      <c r="L7" s="27"/>
    </row>
    <row r="8" spans="3:12">
      <c r="C8" s="105"/>
      <c r="D8" s="9" t="s">
        <v>5</v>
      </c>
      <c r="E8" s="10" t="s">
        <v>18</v>
      </c>
      <c r="F8" s="10">
        <f>'(1st+2nd) Shift Combined'!E9+'(1st+2nd) Shift Combined'!J9+'(1st+2nd) Shift Combined'!O9+'(1st+2nd) Shift Combined'!T9</f>
        <v>0</v>
      </c>
      <c r="G8" s="11">
        <f>'(1st+2nd) Shift Combined'!F9+'(1st+2nd) Shift Combined'!K9+'(1st+2nd) Shift Combined'!P9+'(1st+2nd) Shift Combined'!U9</f>
        <v>0</v>
      </c>
      <c r="H8" s="105"/>
      <c r="I8" s="27"/>
      <c r="J8" s="27"/>
      <c r="K8" s="30"/>
      <c r="L8" s="5"/>
    </row>
    <row r="9" spans="3:12">
      <c r="C9" s="105"/>
      <c r="D9" s="12" t="s">
        <v>5</v>
      </c>
      <c r="E9" s="13" t="s">
        <v>19</v>
      </c>
      <c r="F9" s="13">
        <f>'(1st+2nd) Shift Combined'!E10+'(1st+2nd) Shift Combined'!J10+'(1st+2nd) Shift Combined'!O10+'(1st+2nd) Shift Combined'!T10</f>
        <v>0</v>
      </c>
      <c r="G9" s="14">
        <f>'(1st+2nd) Shift Combined'!F10+'(1st+2nd) Shift Combined'!K10+'(1st+2nd) Shift Combined'!P10+'(1st+2nd) Shift Combined'!U10</f>
        <v>0</v>
      </c>
      <c r="H9" s="105"/>
      <c r="I9" s="27"/>
      <c r="J9" s="27"/>
      <c r="K9" s="30"/>
      <c r="L9" s="5"/>
    </row>
    <row r="10" spans="3:12" ht="18.75" thickBot="1">
      <c r="C10" s="105"/>
      <c r="D10" s="9"/>
      <c r="E10" s="10"/>
      <c r="F10" s="10"/>
      <c r="G10" s="11"/>
      <c r="H10" s="105"/>
      <c r="I10" s="27"/>
      <c r="J10" s="27"/>
      <c r="K10" s="30"/>
      <c r="L10" s="5"/>
    </row>
    <row r="11" spans="3:12">
      <c r="C11" s="105"/>
      <c r="D11" s="12"/>
      <c r="E11" s="13"/>
      <c r="F11" s="13"/>
      <c r="G11" s="14"/>
      <c r="H11" s="105"/>
      <c r="I11" s="109" t="s">
        <v>15</v>
      </c>
      <c r="J11" s="110"/>
      <c r="K11" s="31">
        <f>200</f>
        <v>200</v>
      </c>
      <c r="L11" s="5"/>
    </row>
    <row r="12" spans="3:12">
      <c r="C12" s="105"/>
      <c r="D12" s="9"/>
      <c r="E12" s="10"/>
      <c r="F12" s="10"/>
      <c r="G12" s="11"/>
      <c r="H12" s="105"/>
      <c r="I12" s="111" t="s">
        <v>32</v>
      </c>
      <c r="J12" s="112"/>
      <c r="K12" s="32">
        <f>72000*4</f>
        <v>288000</v>
      </c>
      <c r="L12" s="5"/>
    </row>
    <row r="13" spans="3:12">
      <c r="C13" s="105"/>
      <c r="D13" s="12"/>
      <c r="E13" s="13"/>
      <c r="F13" s="13"/>
      <c r="G13" s="14"/>
      <c r="H13" s="105"/>
      <c r="I13" s="113" t="s">
        <v>22</v>
      </c>
      <c r="J13" s="114"/>
      <c r="K13" s="33">
        <f>'1st Shift Issue Sheet'!J105+'2nd Shift Issue Sheet'!J105+'1st Shift Issue Sheet'!W105+'2nd Shift Issue Sheet'!W105</f>
        <v>0</v>
      </c>
      <c r="L13" s="5"/>
    </row>
    <row r="14" spans="3:12">
      <c r="C14" s="105"/>
      <c r="D14" s="9"/>
      <c r="E14" s="10"/>
      <c r="F14" s="10"/>
      <c r="G14" s="11"/>
      <c r="H14" s="105"/>
      <c r="I14" s="111" t="s">
        <v>31</v>
      </c>
      <c r="J14" s="112"/>
      <c r="K14" s="32">
        <f>'1st Shift Issue Sheet'!K105+'2nd Shift Issue Sheet'!K105+'1st Shift Issue Sheet'!X105+'2nd Shift Issue Sheet'!X105</f>
        <v>0</v>
      </c>
      <c r="L14" s="5"/>
    </row>
    <row r="15" spans="3:12" ht="18.75" thickBot="1">
      <c r="C15" s="105"/>
      <c r="D15" s="12"/>
      <c r="E15" s="13"/>
      <c r="F15" s="13"/>
      <c r="G15" s="14"/>
      <c r="H15" s="105"/>
      <c r="I15" s="107" t="s">
        <v>30</v>
      </c>
      <c r="J15" s="108"/>
      <c r="K15" s="34">
        <f>'1st Shift Issue Sheet'!L105+'1st Shift Issue Sheet'!Y105+'2nd Shift Issue Sheet'!L105+'2nd Shift Issue Sheet'!Y105</f>
        <v>288000</v>
      </c>
      <c r="L15" s="5"/>
    </row>
    <row r="16" spans="3:12">
      <c r="C16" s="105"/>
      <c r="D16" s="9"/>
      <c r="E16" s="10"/>
      <c r="F16" s="10"/>
      <c r="G16" s="11"/>
      <c r="H16" s="105"/>
      <c r="I16" s="27"/>
      <c r="J16" s="27"/>
      <c r="K16" s="30"/>
      <c r="L16" s="17"/>
    </row>
    <row r="17" spans="3:12">
      <c r="C17" s="105"/>
      <c r="D17" s="12"/>
      <c r="E17" s="13"/>
      <c r="F17" s="13"/>
      <c r="G17" s="14"/>
      <c r="H17" s="105"/>
      <c r="I17" s="28"/>
      <c r="J17" s="28"/>
      <c r="K17" s="35"/>
      <c r="L17" s="17"/>
    </row>
    <row r="18" spans="3:12">
      <c r="C18" s="105"/>
      <c r="D18" s="9"/>
      <c r="E18" s="10"/>
      <c r="F18" s="10"/>
      <c r="G18" s="11"/>
      <c r="H18" s="105"/>
      <c r="I18" s="28"/>
      <c r="J18" s="28"/>
      <c r="K18" s="35"/>
      <c r="L18" s="17"/>
    </row>
    <row r="19" spans="3:12">
      <c r="C19" s="105"/>
      <c r="D19" s="12"/>
      <c r="E19" s="13"/>
      <c r="F19" s="13"/>
      <c r="G19" s="14"/>
      <c r="H19" s="105"/>
      <c r="I19" s="28"/>
      <c r="J19" s="28"/>
      <c r="K19" s="35"/>
      <c r="L19" s="17"/>
    </row>
    <row r="20" spans="3:12">
      <c r="C20" s="105"/>
      <c r="D20" s="9"/>
      <c r="E20" s="10"/>
      <c r="F20" s="10"/>
      <c r="G20" s="11"/>
      <c r="H20" s="105"/>
      <c r="I20" s="28"/>
      <c r="J20" s="28"/>
      <c r="K20" s="35"/>
      <c r="L20" s="17"/>
    </row>
    <row r="21" spans="3:12" ht="18.75" thickBot="1">
      <c r="C21" s="105"/>
      <c r="D21" s="94" t="s">
        <v>20</v>
      </c>
      <c r="E21" s="95"/>
      <c r="F21" s="15">
        <f>IF(SUM(F8:F20)&gt;0,SUM(F8:F20),0)</f>
        <v>0</v>
      </c>
      <c r="G21" s="16">
        <f>IF(SUM(G8:G20)&gt;0,SUM(G8:G20),0)</f>
        <v>0</v>
      </c>
      <c r="H21" s="105"/>
      <c r="I21" s="28"/>
      <c r="J21" s="28"/>
      <c r="K21" s="35"/>
      <c r="L21" s="17"/>
    </row>
    <row r="22" spans="3:12">
      <c r="C22" s="105"/>
      <c r="D22" s="106"/>
      <c r="E22" s="106"/>
      <c r="F22" s="106"/>
      <c r="G22" s="106"/>
      <c r="H22" s="105"/>
      <c r="I22" s="28"/>
      <c r="J22" s="28"/>
      <c r="K22" s="35"/>
      <c r="L22" s="17"/>
    </row>
    <row r="23" spans="3:12">
      <c r="C23" s="105"/>
      <c r="D23" s="105"/>
      <c r="E23" s="105"/>
      <c r="F23" s="105"/>
      <c r="G23" s="105"/>
      <c r="H23" s="105"/>
      <c r="I23" s="28"/>
      <c r="J23" s="28"/>
      <c r="K23" s="35"/>
      <c r="L23" s="17"/>
    </row>
  </sheetData>
  <sheetProtection selectLockedCells="1" selectUnlockedCells="1"/>
  <mergeCells count="13">
    <mergeCell ref="C3:G3"/>
    <mergeCell ref="C5:G5"/>
    <mergeCell ref="C6:C23"/>
    <mergeCell ref="D22:G23"/>
    <mergeCell ref="I15:J15"/>
    <mergeCell ref="I11:J11"/>
    <mergeCell ref="I12:J12"/>
    <mergeCell ref="I13:J13"/>
    <mergeCell ref="I14:J14"/>
    <mergeCell ref="D6:G6"/>
    <mergeCell ref="D21:E21"/>
    <mergeCell ref="D4:G4"/>
    <mergeCell ref="H3:H23"/>
  </mergeCells>
  <pageMargins left="0.7" right="0.7" top="0.75" bottom="0.75" header="0.3" footer="0.3"/>
  <pageSetup paperSize="9" scale="68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142"/>
  <sheetViews>
    <sheetView view="pageBreakPreview" zoomScale="60" zoomScaleNormal="60" workbookViewId="0">
      <selection activeCell="H30" sqref="H30:K32"/>
    </sheetView>
  </sheetViews>
  <sheetFormatPr defaultRowHeight="20.25"/>
  <cols>
    <col min="1" max="2" width="9.140625" style="60"/>
    <col min="3" max="26" width="10.85546875" style="60" customWidth="1"/>
    <col min="27" max="27" width="4" style="60" customWidth="1"/>
    <col min="28" max="28" width="10.42578125" style="60" customWidth="1"/>
    <col min="29" max="32" width="10.85546875" style="60" customWidth="1"/>
    <col min="33" max="33" width="4" style="60" customWidth="1"/>
    <col min="34" max="59" width="10.85546875" style="60" customWidth="1"/>
    <col min="60" max="16384" width="9.140625" style="60"/>
  </cols>
  <sheetData>
    <row r="1" spans="2:58" ht="21" thickBot="1"/>
    <row r="2" spans="2:58" ht="15.75" customHeight="1"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146" t="s">
        <v>233</v>
      </c>
      <c r="AC2" s="147"/>
      <c r="AD2" s="147"/>
      <c r="AE2" s="147"/>
      <c r="AF2" s="148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</row>
    <row r="3" spans="2:58" ht="15.75" customHeight="1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140"/>
      <c r="AC3" s="141"/>
      <c r="AD3" s="141"/>
      <c r="AE3" s="141"/>
      <c r="AF3" s="142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</row>
    <row r="4" spans="2:58" ht="15.75" customHeight="1"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140"/>
      <c r="AC4" s="141"/>
      <c r="AD4" s="141"/>
      <c r="AE4" s="141"/>
      <c r="AF4" s="142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</row>
    <row r="5" spans="2:58" ht="15.75" customHeight="1" thickBot="1">
      <c r="B5" s="61"/>
      <c r="C5" s="67"/>
      <c r="D5" s="138" t="s">
        <v>41</v>
      </c>
      <c r="E5" s="138"/>
      <c r="F5" s="67"/>
      <c r="G5" s="61"/>
      <c r="H5" s="61"/>
      <c r="I5" s="138" t="s">
        <v>42</v>
      </c>
      <c r="J5" s="138"/>
      <c r="K5" s="61"/>
      <c r="L5" s="61"/>
      <c r="M5" s="61"/>
      <c r="N5" s="138" t="s">
        <v>43</v>
      </c>
      <c r="O5" s="138"/>
      <c r="P5" s="61"/>
      <c r="Q5" s="61"/>
      <c r="R5" s="61"/>
      <c r="S5" s="138" t="s">
        <v>44</v>
      </c>
      <c r="T5" s="138"/>
      <c r="U5" s="61"/>
      <c r="V5" s="61"/>
      <c r="W5" s="61"/>
      <c r="X5" s="138" t="s">
        <v>45</v>
      </c>
      <c r="Y5" s="138"/>
      <c r="Z5" s="61"/>
      <c r="AA5" s="61"/>
      <c r="AB5" s="140"/>
      <c r="AC5" s="141"/>
      <c r="AD5" s="141"/>
      <c r="AE5" s="141"/>
      <c r="AF5" s="142"/>
      <c r="AG5" s="61"/>
      <c r="AH5" s="67"/>
      <c r="AI5" s="138" t="s">
        <v>141</v>
      </c>
      <c r="AJ5" s="138"/>
      <c r="AK5" s="67"/>
      <c r="AL5" s="61"/>
      <c r="AM5" s="61"/>
      <c r="AN5" s="138" t="s">
        <v>142</v>
      </c>
      <c r="AO5" s="138"/>
      <c r="AP5" s="61"/>
      <c r="AQ5" s="61"/>
      <c r="AR5" s="61"/>
      <c r="AS5" s="138" t="s">
        <v>143</v>
      </c>
      <c r="AT5" s="138"/>
      <c r="AU5" s="61"/>
      <c r="AV5" s="61"/>
      <c r="AW5" s="61"/>
      <c r="AX5" s="138" t="s">
        <v>144</v>
      </c>
      <c r="AY5" s="138"/>
      <c r="AZ5" s="61"/>
      <c r="BA5" s="61"/>
      <c r="BB5" s="61"/>
      <c r="BC5" s="138" t="s">
        <v>145</v>
      </c>
      <c r="BD5" s="138"/>
      <c r="BE5" s="61"/>
      <c r="BF5" s="61"/>
    </row>
    <row r="6" spans="2:58" ht="15.75" customHeight="1" thickTop="1">
      <c r="B6" s="118"/>
      <c r="C6" s="119" t="str">
        <f>'(1st+2nd) Shift Combined'!D30</f>
        <v>Not Running</v>
      </c>
      <c r="D6" s="120"/>
      <c r="E6" s="120"/>
      <c r="F6" s="121"/>
      <c r="G6" s="118"/>
      <c r="H6" s="119" t="str">
        <f>'(1st+2nd) Shift Combined'!D31</f>
        <v>Not Running</v>
      </c>
      <c r="I6" s="120"/>
      <c r="J6" s="120"/>
      <c r="K6" s="121"/>
      <c r="L6" s="118"/>
      <c r="M6" s="119" t="str">
        <f>'(1st+2nd) Shift Combined'!D32</f>
        <v>Not Running</v>
      </c>
      <c r="N6" s="120"/>
      <c r="O6" s="120"/>
      <c r="P6" s="121"/>
      <c r="Q6" s="118"/>
      <c r="R6" s="119" t="str">
        <f>'(1st+2nd) Shift Combined'!D33</f>
        <v>Not Running</v>
      </c>
      <c r="S6" s="120"/>
      <c r="T6" s="120"/>
      <c r="U6" s="121"/>
      <c r="V6" s="118"/>
      <c r="W6" s="119" t="str">
        <f>'(1st+2nd) Shift Combined'!D34</f>
        <v>Not Running</v>
      </c>
      <c r="X6" s="120"/>
      <c r="Y6" s="120"/>
      <c r="Z6" s="121"/>
      <c r="AA6" s="65"/>
      <c r="AB6" s="140"/>
      <c r="AC6" s="141"/>
      <c r="AD6" s="141"/>
      <c r="AE6" s="141"/>
      <c r="AF6" s="142"/>
      <c r="AG6" s="61"/>
      <c r="AH6" s="129" t="str">
        <f>'(1st+2nd) Shift Combined'!K30</f>
        <v>Not Running</v>
      </c>
      <c r="AI6" s="130"/>
      <c r="AJ6" s="130"/>
      <c r="AK6" s="131"/>
      <c r="AL6" s="61"/>
      <c r="AM6" s="129" t="str">
        <f>'(1st+2nd) Shift Combined'!K31</f>
        <v>Not Running</v>
      </c>
      <c r="AN6" s="130"/>
      <c r="AO6" s="130"/>
      <c r="AP6" s="131"/>
      <c r="AQ6" s="61"/>
      <c r="AR6" s="129" t="str">
        <f>'(1st+2nd) Shift Combined'!K32</f>
        <v>Not Running</v>
      </c>
      <c r="AS6" s="130"/>
      <c r="AT6" s="130"/>
      <c r="AU6" s="131"/>
      <c r="AV6" s="61"/>
      <c r="AW6" s="129" t="str">
        <f>'(1st+2nd) Shift Combined'!K33</f>
        <v>Not Running</v>
      </c>
      <c r="AX6" s="130"/>
      <c r="AY6" s="130"/>
      <c r="AZ6" s="131"/>
      <c r="BA6" s="61"/>
      <c r="BB6" s="129" t="str">
        <f>'(1st+2nd) Shift Combined'!K34</f>
        <v>Not Running</v>
      </c>
      <c r="BC6" s="130"/>
      <c r="BD6" s="130"/>
      <c r="BE6" s="131"/>
      <c r="BF6" s="61"/>
    </row>
    <row r="7" spans="2:58" ht="15.75" customHeight="1">
      <c r="B7" s="118"/>
      <c r="C7" s="122"/>
      <c r="D7" s="123"/>
      <c r="E7" s="123"/>
      <c r="F7" s="124"/>
      <c r="G7" s="118"/>
      <c r="H7" s="122"/>
      <c r="I7" s="123"/>
      <c r="J7" s="123"/>
      <c r="K7" s="124"/>
      <c r="L7" s="118"/>
      <c r="M7" s="122"/>
      <c r="N7" s="123"/>
      <c r="O7" s="123"/>
      <c r="P7" s="124"/>
      <c r="Q7" s="118"/>
      <c r="R7" s="122"/>
      <c r="S7" s="123"/>
      <c r="T7" s="123"/>
      <c r="U7" s="124"/>
      <c r="V7" s="118"/>
      <c r="W7" s="122"/>
      <c r="X7" s="123"/>
      <c r="Y7" s="123"/>
      <c r="Z7" s="124"/>
      <c r="AA7" s="65"/>
      <c r="AB7" s="140"/>
      <c r="AC7" s="141"/>
      <c r="AD7" s="141"/>
      <c r="AE7" s="141"/>
      <c r="AF7" s="142"/>
      <c r="AG7" s="61"/>
      <c r="AH7" s="132"/>
      <c r="AI7" s="133"/>
      <c r="AJ7" s="133"/>
      <c r="AK7" s="134"/>
      <c r="AL7" s="71"/>
      <c r="AM7" s="132"/>
      <c r="AN7" s="133"/>
      <c r="AO7" s="133"/>
      <c r="AP7" s="134"/>
      <c r="AQ7" s="62"/>
      <c r="AR7" s="132"/>
      <c r="AS7" s="133"/>
      <c r="AT7" s="133"/>
      <c r="AU7" s="134"/>
      <c r="AV7" s="70"/>
      <c r="AW7" s="132"/>
      <c r="AX7" s="133"/>
      <c r="AY7" s="133"/>
      <c r="AZ7" s="134"/>
      <c r="BA7" s="61"/>
      <c r="BB7" s="132"/>
      <c r="BC7" s="133"/>
      <c r="BD7" s="133"/>
      <c r="BE7" s="134"/>
      <c r="BF7" s="61"/>
    </row>
    <row r="8" spans="2:58" ht="15.75" customHeight="1" thickBot="1">
      <c r="B8" s="118"/>
      <c r="C8" s="125"/>
      <c r="D8" s="126"/>
      <c r="E8" s="126"/>
      <c r="F8" s="127"/>
      <c r="G8" s="118"/>
      <c r="H8" s="125"/>
      <c r="I8" s="126"/>
      <c r="J8" s="126"/>
      <c r="K8" s="127"/>
      <c r="L8" s="118"/>
      <c r="M8" s="125"/>
      <c r="N8" s="126"/>
      <c r="O8" s="126"/>
      <c r="P8" s="127"/>
      <c r="Q8" s="118"/>
      <c r="R8" s="125"/>
      <c r="S8" s="126"/>
      <c r="T8" s="126"/>
      <c r="U8" s="127"/>
      <c r="V8" s="118"/>
      <c r="W8" s="125"/>
      <c r="X8" s="126"/>
      <c r="Y8" s="126"/>
      <c r="Z8" s="127"/>
      <c r="AA8" s="65"/>
      <c r="AB8" s="140"/>
      <c r="AC8" s="141"/>
      <c r="AD8" s="141"/>
      <c r="AE8" s="141"/>
      <c r="AF8" s="142"/>
      <c r="AG8" s="61"/>
      <c r="AH8" s="135"/>
      <c r="AI8" s="136"/>
      <c r="AJ8" s="136"/>
      <c r="AK8" s="137"/>
      <c r="AL8" s="62"/>
      <c r="AM8" s="135"/>
      <c r="AN8" s="136"/>
      <c r="AO8" s="136"/>
      <c r="AP8" s="137"/>
      <c r="AQ8" s="61"/>
      <c r="AR8" s="135"/>
      <c r="AS8" s="136"/>
      <c r="AT8" s="136"/>
      <c r="AU8" s="137"/>
      <c r="AV8" s="61"/>
      <c r="AW8" s="135"/>
      <c r="AX8" s="136"/>
      <c r="AY8" s="136"/>
      <c r="AZ8" s="137"/>
      <c r="BA8" s="61"/>
      <c r="BB8" s="135"/>
      <c r="BC8" s="136"/>
      <c r="BD8" s="136"/>
      <c r="BE8" s="137"/>
      <c r="BF8" s="61"/>
    </row>
    <row r="9" spans="2:58" ht="15.75" customHeight="1" thickTop="1">
      <c r="B9" s="61"/>
      <c r="C9" s="62"/>
      <c r="D9" s="139" t="str">
        <f>'(1st+2nd) Shift Combined'!G30</f>
        <v/>
      </c>
      <c r="E9" s="139"/>
      <c r="F9" s="62"/>
      <c r="G9" s="61"/>
      <c r="H9" s="62"/>
      <c r="I9" s="139" t="str">
        <f>'(1st+2nd) Shift Combined'!G31</f>
        <v/>
      </c>
      <c r="J9" s="139"/>
      <c r="K9" s="62"/>
      <c r="L9" s="61"/>
      <c r="M9" s="63"/>
      <c r="N9" s="139" t="str">
        <f>'(1st+2nd) Shift Combined'!G32</f>
        <v/>
      </c>
      <c r="O9" s="139"/>
      <c r="P9" s="63"/>
      <c r="Q9" s="61"/>
      <c r="R9" s="63"/>
      <c r="S9" s="139" t="str">
        <f>'(1st+2nd) Shift Combined'!G33</f>
        <v/>
      </c>
      <c r="T9" s="139"/>
      <c r="U9" s="63"/>
      <c r="V9" s="61"/>
      <c r="W9" s="63"/>
      <c r="X9" s="139" t="str">
        <f>'(1st+2nd) Shift Combined'!G34</f>
        <v/>
      </c>
      <c r="Y9" s="139"/>
      <c r="Z9" s="63"/>
      <c r="AA9" s="62"/>
      <c r="AB9" s="140"/>
      <c r="AC9" s="141"/>
      <c r="AD9" s="141"/>
      <c r="AE9" s="141"/>
      <c r="AF9" s="142"/>
      <c r="AG9" s="61"/>
      <c r="AH9" s="62"/>
      <c r="AI9" s="139" t="str">
        <f>'(1st+2nd) Shift Combined'!N30</f>
        <v/>
      </c>
      <c r="AJ9" s="139"/>
      <c r="AK9" s="62"/>
      <c r="AL9" s="61"/>
      <c r="AM9" s="62"/>
      <c r="AN9" s="139" t="str">
        <f>'(1st+2nd) Shift Combined'!N31</f>
        <v/>
      </c>
      <c r="AO9" s="139"/>
      <c r="AP9" s="62"/>
      <c r="AQ9" s="61"/>
      <c r="AR9" s="63"/>
      <c r="AS9" s="139" t="str">
        <f>'(1st+2nd) Shift Combined'!N32</f>
        <v/>
      </c>
      <c r="AT9" s="139"/>
      <c r="AU9" s="63"/>
      <c r="AV9" s="61"/>
      <c r="AW9" s="63"/>
      <c r="AX9" s="139" t="str">
        <f>'(1st+2nd) Shift Combined'!N33</f>
        <v/>
      </c>
      <c r="AY9" s="139"/>
      <c r="AZ9" s="63"/>
      <c r="BA9" s="61"/>
      <c r="BB9" s="63"/>
      <c r="BC9" s="139" t="str">
        <f>'(1st+2nd) Shift Combined'!N34</f>
        <v/>
      </c>
      <c r="BD9" s="139"/>
      <c r="BE9" s="63"/>
      <c r="BF9" s="61"/>
    </row>
    <row r="10" spans="2:58" ht="15.75" customHeight="1"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140"/>
      <c r="AC10" s="141"/>
      <c r="AD10" s="141"/>
      <c r="AE10" s="141"/>
      <c r="AF10" s="142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</row>
    <row r="11" spans="2:58" ht="15.75" customHeight="1" thickBot="1">
      <c r="B11" s="61"/>
      <c r="C11" s="64"/>
      <c r="D11" s="138" t="s">
        <v>46</v>
      </c>
      <c r="E11" s="138"/>
      <c r="F11" s="64"/>
      <c r="G11" s="61"/>
      <c r="H11" s="64"/>
      <c r="I11" s="138" t="s">
        <v>47</v>
      </c>
      <c r="J11" s="138"/>
      <c r="K11" s="64"/>
      <c r="L11" s="61"/>
      <c r="M11" s="67"/>
      <c r="N11" s="138" t="s">
        <v>48</v>
      </c>
      <c r="O11" s="138"/>
      <c r="P11" s="62"/>
      <c r="Q11" s="61"/>
      <c r="R11" s="64"/>
      <c r="S11" s="138" t="s">
        <v>49</v>
      </c>
      <c r="T11" s="138"/>
      <c r="U11" s="64"/>
      <c r="V11" s="61"/>
      <c r="W11" s="64"/>
      <c r="X11" s="138" t="s">
        <v>50</v>
      </c>
      <c r="Y11" s="138"/>
      <c r="Z11" s="64"/>
      <c r="AA11" s="62"/>
      <c r="AB11" s="140"/>
      <c r="AC11" s="141"/>
      <c r="AD11" s="141"/>
      <c r="AE11" s="141"/>
      <c r="AF11" s="142"/>
      <c r="AG11" s="61"/>
      <c r="AH11" s="64"/>
      <c r="AI11" s="138" t="s">
        <v>146</v>
      </c>
      <c r="AJ11" s="138"/>
      <c r="AK11" s="64"/>
      <c r="AL11" s="61"/>
      <c r="AM11" s="64"/>
      <c r="AN11" s="138" t="s">
        <v>149</v>
      </c>
      <c r="AO11" s="138"/>
      <c r="AP11" s="64"/>
      <c r="AQ11" s="61"/>
      <c r="AR11" s="67"/>
      <c r="AS11" s="138" t="s">
        <v>150</v>
      </c>
      <c r="AT11" s="138"/>
      <c r="AU11" s="62"/>
      <c r="AV11" s="61"/>
      <c r="AW11" s="64"/>
      <c r="AX11" s="138" t="s">
        <v>151</v>
      </c>
      <c r="AY11" s="138"/>
      <c r="AZ11" s="64"/>
      <c r="BA11" s="61"/>
      <c r="BB11" s="64"/>
      <c r="BC11" s="138" t="s">
        <v>232</v>
      </c>
      <c r="BD11" s="138"/>
      <c r="BE11" s="64"/>
      <c r="BF11" s="61"/>
    </row>
    <row r="12" spans="2:58" ht="15.75" customHeight="1" thickTop="1">
      <c r="B12" s="118"/>
      <c r="C12" s="119" t="str">
        <f>'(1st+2nd) Shift Combined'!D35</f>
        <v>Not Running</v>
      </c>
      <c r="D12" s="120"/>
      <c r="E12" s="120"/>
      <c r="F12" s="121"/>
      <c r="G12" s="118"/>
      <c r="H12" s="119" t="str">
        <f>'(1st+2nd) Shift Combined'!D36</f>
        <v>Not Running</v>
      </c>
      <c r="I12" s="120"/>
      <c r="J12" s="120"/>
      <c r="K12" s="121"/>
      <c r="L12" s="118"/>
      <c r="M12" s="119" t="str">
        <f>'(1st+2nd) Shift Combined'!D37</f>
        <v>Not Running</v>
      </c>
      <c r="N12" s="120"/>
      <c r="O12" s="120"/>
      <c r="P12" s="121"/>
      <c r="Q12" s="118"/>
      <c r="R12" s="119" t="str">
        <f>'(1st+2nd) Shift Combined'!D38</f>
        <v>Not Running</v>
      </c>
      <c r="S12" s="120"/>
      <c r="T12" s="120"/>
      <c r="U12" s="121"/>
      <c r="V12" s="118"/>
      <c r="W12" s="119" t="str">
        <f>'(1st+2nd) Shift Combined'!D39</f>
        <v>Not Running</v>
      </c>
      <c r="X12" s="120"/>
      <c r="Y12" s="120"/>
      <c r="Z12" s="121"/>
      <c r="AA12" s="65"/>
      <c r="AB12" s="140"/>
      <c r="AC12" s="141"/>
      <c r="AD12" s="141"/>
      <c r="AE12" s="141"/>
      <c r="AF12" s="142"/>
      <c r="AG12" s="61"/>
      <c r="AH12" s="129" t="str">
        <f>'(1st+2nd) Shift Combined'!K35</f>
        <v>Not Running</v>
      </c>
      <c r="AI12" s="130"/>
      <c r="AJ12" s="130"/>
      <c r="AK12" s="131"/>
      <c r="AL12" s="61"/>
      <c r="AM12" s="129" t="str">
        <f>'(1st+2nd) Shift Combined'!K36</f>
        <v>Not Running</v>
      </c>
      <c r="AN12" s="130"/>
      <c r="AO12" s="130"/>
      <c r="AP12" s="131"/>
      <c r="AQ12" s="61"/>
      <c r="AR12" s="129" t="str">
        <f>'(1st+2nd) Shift Combined'!K37</f>
        <v>Not Running</v>
      </c>
      <c r="AS12" s="130"/>
      <c r="AT12" s="130"/>
      <c r="AU12" s="131"/>
      <c r="AV12" s="61"/>
      <c r="AW12" s="129" t="str">
        <f>'(1st+2nd) Shift Combined'!K38</f>
        <v>Not Running</v>
      </c>
      <c r="AX12" s="130"/>
      <c r="AY12" s="130"/>
      <c r="AZ12" s="131"/>
      <c r="BA12" s="61"/>
      <c r="BB12" s="129" t="str">
        <f>'(1st+2nd) Shift Combined'!K39</f>
        <v>Not Running</v>
      </c>
      <c r="BC12" s="130"/>
      <c r="BD12" s="130"/>
      <c r="BE12" s="131"/>
      <c r="BF12" s="61"/>
    </row>
    <row r="13" spans="2:58" ht="15.75" customHeight="1">
      <c r="B13" s="118"/>
      <c r="C13" s="122"/>
      <c r="D13" s="123"/>
      <c r="E13" s="123"/>
      <c r="F13" s="124"/>
      <c r="G13" s="118"/>
      <c r="H13" s="122"/>
      <c r="I13" s="123"/>
      <c r="J13" s="123"/>
      <c r="K13" s="124"/>
      <c r="L13" s="118"/>
      <c r="M13" s="122"/>
      <c r="N13" s="123"/>
      <c r="O13" s="123"/>
      <c r="P13" s="124"/>
      <c r="Q13" s="118"/>
      <c r="R13" s="122"/>
      <c r="S13" s="123"/>
      <c r="T13" s="123"/>
      <c r="U13" s="124"/>
      <c r="V13" s="118"/>
      <c r="W13" s="122"/>
      <c r="X13" s="123"/>
      <c r="Y13" s="123"/>
      <c r="Z13" s="124"/>
      <c r="AA13" s="65"/>
      <c r="AB13" s="140"/>
      <c r="AC13" s="141"/>
      <c r="AD13" s="141"/>
      <c r="AE13" s="141"/>
      <c r="AF13" s="142"/>
      <c r="AG13" s="61"/>
      <c r="AH13" s="132"/>
      <c r="AI13" s="133"/>
      <c r="AJ13" s="133"/>
      <c r="AK13" s="134"/>
      <c r="AL13" s="61"/>
      <c r="AM13" s="132"/>
      <c r="AN13" s="133"/>
      <c r="AO13" s="133"/>
      <c r="AP13" s="134"/>
      <c r="AQ13" s="68"/>
      <c r="AR13" s="132"/>
      <c r="AS13" s="133"/>
      <c r="AT13" s="133"/>
      <c r="AU13" s="134"/>
      <c r="AV13" s="69"/>
      <c r="AW13" s="132"/>
      <c r="AX13" s="133"/>
      <c r="AY13" s="133"/>
      <c r="AZ13" s="134"/>
      <c r="BA13" s="61"/>
      <c r="BB13" s="132"/>
      <c r="BC13" s="133"/>
      <c r="BD13" s="133"/>
      <c r="BE13" s="134"/>
      <c r="BF13" s="61"/>
    </row>
    <row r="14" spans="2:58" ht="15.75" customHeight="1" thickBot="1">
      <c r="B14" s="118"/>
      <c r="C14" s="125"/>
      <c r="D14" s="126"/>
      <c r="E14" s="126"/>
      <c r="F14" s="127"/>
      <c r="G14" s="118"/>
      <c r="H14" s="125"/>
      <c r="I14" s="126"/>
      <c r="J14" s="126"/>
      <c r="K14" s="127"/>
      <c r="L14" s="118"/>
      <c r="M14" s="125"/>
      <c r="N14" s="126"/>
      <c r="O14" s="126"/>
      <c r="P14" s="127"/>
      <c r="Q14" s="118"/>
      <c r="R14" s="125"/>
      <c r="S14" s="126"/>
      <c r="T14" s="126"/>
      <c r="U14" s="127"/>
      <c r="V14" s="118"/>
      <c r="W14" s="125"/>
      <c r="X14" s="126"/>
      <c r="Y14" s="126"/>
      <c r="Z14" s="127"/>
      <c r="AA14" s="65"/>
      <c r="AB14" s="140"/>
      <c r="AC14" s="141"/>
      <c r="AD14" s="141"/>
      <c r="AE14" s="141"/>
      <c r="AF14" s="142"/>
      <c r="AG14" s="61"/>
      <c r="AH14" s="135"/>
      <c r="AI14" s="136"/>
      <c r="AJ14" s="136"/>
      <c r="AK14" s="137"/>
      <c r="AL14" s="61"/>
      <c r="AM14" s="135"/>
      <c r="AN14" s="136"/>
      <c r="AO14" s="136"/>
      <c r="AP14" s="137"/>
      <c r="AQ14" s="61"/>
      <c r="AR14" s="135"/>
      <c r="AS14" s="136"/>
      <c r="AT14" s="136"/>
      <c r="AU14" s="137"/>
      <c r="AV14" s="61"/>
      <c r="AW14" s="135"/>
      <c r="AX14" s="136"/>
      <c r="AY14" s="136"/>
      <c r="AZ14" s="137"/>
      <c r="BA14" s="61"/>
      <c r="BB14" s="135"/>
      <c r="BC14" s="136"/>
      <c r="BD14" s="136"/>
      <c r="BE14" s="137"/>
      <c r="BF14" s="61"/>
    </row>
    <row r="15" spans="2:58" ht="15.75" customHeight="1" thickTop="1">
      <c r="B15" s="61"/>
      <c r="C15" s="62"/>
      <c r="D15" s="139" t="str">
        <f>'(1st+2nd) Shift Combined'!G35</f>
        <v/>
      </c>
      <c r="E15" s="139"/>
      <c r="F15" s="62"/>
      <c r="G15" s="61"/>
      <c r="H15" s="62"/>
      <c r="I15" s="139" t="str">
        <f>'(1st+2nd) Shift Combined'!G36</f>
        <v/>
      </c>
      <c r="J15" s="139"/>
      <c r="K15" s="62"/>
      <c r="L15" s="61"/>
      <c r="M15" s="63"/>
      <c r="N15" s="139" t="str">
        <f>'(1st+2nd) Shift Combined'!G37</f>
        <v/>
      </c>
      <c r="O15" s="139"/>
      <c r="P15" s="63"/>
      <c r="Q15" s="61"/>
      <c r="R15" s="63"/>
      <c r="S15" s="139" t="str">
        <f>'(1st+2nd) Shift Combined'!G38</f>
        <v/>
      </c>
      <c r="T15" s="139"/>
      <c r="U15" s="63"/>
      <c r="V15" s="61"/>
      <c r="W15" s="63"/>
      <c r="X15" s="139" t="str">
        <f>'(1st+2nd) Shift Combined'!G39</f>
        <v/>
      </c>
      <c r="Y15" s="139"/>
      <c r="Z15" s="63"/>
      <c r="AA15" s="62"/>
      <c r="AB15" s="140"/>
      <c r="AC15" s="141"/>
      <c r="AD15" s="141"/>
      <c r="AE15" s="141"/>
      <c r="AF15" s="142"/>
      <c r="AG15" s="61"/>
      <c r="AH15" s="62"/>
      <c r="AI15" s="139" t="str">
        <f>'(1st+2nd) Shift Combined'!N35</f>
        <v/>
      </c>
      <c r="AJ15" s="139"/>
      <c r="AK15" s="62"/>
      <c r="AL15" s="61"/>
      <c r="AM15" s="62"/>
      <c r="AN15" s="139" t="str">
        <f>'(1st+2nd) Shift Combined'!N36</f>
        <v/>
      </c>
      <c r="AO15" s="139"/>
      <c r="AP15" s="62"/>
      <c r="AQ15" s="61"/>
      <c r="AR15" s="63"/>
      <c r="AS15" s="139" t="str">
        <f>'(1st+2nd) Shift Combined'!N37</f>
        <v/>
      </c>
      <c r="AT15" s="139"/>
      <c r="AU15" s="63"/>
      <c r="AV15" s="61"/>
      <c r="AW15" s="63"/>
      <c r="AX15" s="139" t="str">
        <f>'(1st+2nd) Shift Combined'!N38</f>
        <v/>
      </c>
      <c r="AY15" s="139"/>
      <c r="AZ15" s="63"/>
      <c r="BA15" s="61"/>
      <c r="BB15" s="63"/>
      <c r="BC15" s="139" t="str">
        <f>'(1st+2nd) Shift Combined'!N39</f>
        <v/>
      </c>
      <c r="BD15" s="139"/>
      <c r="BE15" s="63"/>
      <c r="BF15" s="61"/>
    </row>
    <row r="16" spans="2:58" ht="15.75" customHeight="1"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140"/>
      <c r="AC16" s="141"/>
      <c r="AD16" s="141"/>
      <c r="AE16" s="141"/>
      <c r="AF16" s="142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</row>
    <row r="17" spans="2:58" ht="15.75" customHeight="1" thickBot="1">
      <c r="B17" s="61"/>
      <c r="C17" s="61"/>
      <c r="D17" s="138" t="s">
        <v>51</v>
      </c>
      <c r="E17" s="138"/>
      <c r="F17" s="61"/>
      <c r="G17" s="61"/>
      <c r="H17" s="61"/>
      <c r="I17" s="138" t="s">
        <v>52</v>
      </c>
      <c r="J17" s="138"/>
      <c r="K17" s="61"/>
      <c r="L17" s="61"/>
      <c r="M17" s="61"/>
      <c r="N17" s="138" t="s">
        <v>53</v>
      </c>
      <c r="O17" s="138"/>
      <c r="P17" s="61"/>
      <c r="Q17" s="61"/>
      <c r="R17" s="61"/>
      <c r="S17" s="138" t="s">
        <v>54</v>
      </c>
      <c r="T17" s="138"/>
      <c r="U17" s="61"/>
      <c r="V17" s="61"/>
      <c r="W17" s="61"/>
      <c r="X17" s="138" t="s">
        <v>55</v>
      </c>
      <c r="Y17" s="138"/>
      <c r="Z17" s="61"/>
      <c r="AA17" s="62"/>
      <c r="AB17" s="140"/>
      <c r="AC17" s="141"/>
      <c r="AD17" s="141"/>
      <c r="AE17" s="141"/>
      <c r="AF17" s="142"/>
      <c r="AG17" s="61"/>
      <c r="AH17" s="61"/>
      <c r="AI17" s="138" t="s">
        <v>147</v>
      </c>
      <c r="AJ17" s="138"/>
      <c r="AK17" s="61"/>
      <c r="AL17" s="61"/>
      <c r="AM17" s="61"/>
      <c r="AN17" s="138" t="s">
        <v>148</v>
      </c>
      <c r="AO17" s="138"/>
      <c r="AP17" s="61"/>
      <c r="AQ17" s="61"/>
      <c r="AR17" s="61"/>
      <c r="AS17" s="138" t="s">
        <v>152</v>
      </c>
      <c r="AT17" s="138"/>
      <c r="AU17" s="61"/>
      <c r="AV17" s="61"/>
      <c r="AW17" s="61"/>
      <c r="AX17" s="138" t="s">
        <v>54</v>
      </c>
      <c r="AY17" s="138"/>
      <c r="AZ17" s="61"/>
      <c r="BA17" s="61"/>
      <c r="BB17" s="61"/>
      <c r="BC17" s="138" t="s">
        <v>231</v>
      </c>
      <c r="BD17" s="138"/>
      <c r="BE17" s="61"/>
      <c r="BF17" s="61"/>
    </row>
    <row r="18" spans="2:58" ht="15.75" customHeight="1" thickTop="1">
      <c r="B18" s="118"/>
      <c r="C18" s="119" t="str">
        <f>'(1st+2nd) Shift Combined'!D40</f>
        <v>Not Running</v>
      </c>
      <c r="D18" s="120"/>
      <c r="E18" s="120"/>
      <c r="F18" s="121"/>
      <c r="G18" s="118"/>
      <c r="H18" s="119" t="str">
        <f>'(1st+2nd) Shift Combined'!D41</f>
        <v>Not Running</v>
      </c>
      <c r="I18" s="120"/>
      <c r="J18" s="120"/>
      <c r="K18" s="121"/>
      <c r="L18" s="118"/>
      <c r="M18" s="119" t="str">
        <f>'(1st+2nd) Shift Combined'!D42</f>
        <v>Not Running</v>
      </c>
      <c r="N18" s="120"/>
      <c r="O18" s="120"/>
      <c r="P18" s="121"/>
      <c r="Q18" s="118"/>
      <c r="R18" s="119" t="str">
        <f>'(1st+2nd) Shift Combined'!D43</f>
        <v>Not Running</v>
      </c>
      <c r="S18" s="120"/>
      <c r="T18" s="120"/>
      <c r="U18" s="121"/>
      <c r="V18" s="118"/>
      <c r="W18" s="119" t="str">
        <f>'(1st+2nd) Shift Combined'!D44</f>
        <v>Not Running</v>
      </c>
      <c r="X18" s="120"/>
      <c r="Y18" s="120"/>
      <c r="Z18" s="121"/>
      <c r="AA18" s="65"/>
      <c r="AB18" s="140"/>
      <c r="AC18" s="141"/>
      <c r="AD18" s="141"/>
      <c r="AE18" s="141"/>
      <c r="AF18" s="142"/>
      <c r="AG18" s="61"/>
      <c r="AH18" s="129" t="str">
        <f>'(1st+2nd) Shift Combined'!K40</f>
        <v>Not Running</v>
      </c>
      <c r="AI18" s="130"/>
      <c r="AJ18" s="130"/>
      <c r="AK18" s="131"/>
      <c r="AL18" s="61"/>
      <c r="AM18" s="129" t="str">
        <f>'(1st+2nd) Shift Combined'!K41</f>
        <v>Not Running</v>
      </c>
      <c r="AN18" s="130"/>
      <c r="AO18" s="130"/>
      <c r="AP18" s="131"/>
      <c r="AQ18" s="61"/>
      <c r="AR18" s="129" t="str">
        <f>'(1st+2nd) Shift Combined'!K42</f>
        <v>Not Running</v>
      </c>
      <c r="AS18" s="130"/>
      <c r="AT18" s="130"/>
      <c r="AU18" s="131"/>
      <c r="AV18" s="61"/>
      <c r="AW18" s="129" t="str">
        <f>'(1st+2nd) Shift Combined'!K43</f>
        <v>Not Running</v>
      </c>
      <c r="AX18" s="130"/>
      <c r="AY18" s="130"/>
      <c r="AZ18" s="131"/>
      <c r="BA18" s="61"/>
      <c r="BB18" s="129" t="str">
        <f>'(1st+2nd) Shift Combined'!K44</f>
        <v>Not Running</v>
      </c>
      <c r="BC18" s="130"/>
      <c r="BD18" s="130"/>
      <c r="BE18" s="131"/>
      <c r="BF18" s="61"/>
    </row>
    <row r="19" spans="2:58" ht="15.75" customHeight="1">
      <c r="B19" s="118"/>
      <c r="C19" s="122"/>
      <c r="D19" s="123"/>
      <c r="E19" s="123"/>
      <c r="F19" s="124"/>
      <c r="G19" s="118"/>
      <c r="H19" s="122"/>
      <c r="I19" s="123"/>
      <c r="J19" s="123"/>
      <c r="K19" s="124"/>
      <c r="L19" s="118"/>
      <c r="M19" s="122"/>
      <c r="N19" s="123"/>
      <c r="O19" s="123"/>
      <c r="P19" s="124"/>
      <c r="Q19" s="118"/>
      <c r="R19" s="122"/>
      <c r="S19" s="123"/>
      <c r="T19" s="123"/>
      <c r="U19" s="124"/>
      <c r="V19" s="118"/>
      <c r="W19" s="122"/>
      <c r="X19" s="123"/>
      <c r="Y19" s="123"/>
      <c r="Z19" s="124"/>
      <c r="AA19" s="65"/>
      <c r="AB19" s="140"/>
      <c r="AC19" s="141"/>
      <c r="AD19" s="141"/>
      <c r="AE19" s="141"/>
      <c r="AF19" s="142"/>
      <c r="AG19" s="61"/>
      <c r="AH19" s="132"/>
      <c r="AI19" s="133"/>
      <c r="AJ19" s="133"/>
      <c r="AK19" s="134"/>
      <c r="AL19" s="66"/>
      <c r="AM19" s="132"/>
      <c r="AN19" s="133"/>
      <c r="AO19" s="133"/>
      <c r="AP19" s="134"/>
      <c r="AQ19" s="61"/>
      <c r="AR19" s="132"/>
      <c r="AS19" s="133"/>
      <c r="AT19" s="133"/>
      <c r="AU19" s="134"/>
      <c r="AV19" s="61"/>
      <c r="AW19" s="132"/>
      <c r="AX19" s="133"/>
      <c r="AY19" s="133"/>
      <c r="AZ19" s="134"/>
      <c r="BA19" s="61"/>
      <c r="BB19" s="132"/>
      <c r="BC19" s="133"/>
      <c r="BD19" s="133"/>
      <c r="BE19" s="134"/>
      <c r="BF19" s="61"/>
    </row>
    <row r="20" spans="2:58" ht="15.75" customHeight="1" thickBot="1">
      <c r="B20" s="118"/>
      <c r="C20" s="125"/>
      <c r="D20" s="126"/>
      <c r="E20" s="126"/>
      <c r="F20" s="127"/>
      <c r="G20" s="118"/>
      <c r="H20" s="125"/>
      <c r="I20" s="126"/>
      <c r="J20" s="126"/>
      <c r="K20" s="127"/>
      <c r="L20" s="118"/>
      <c r="M20" s="125"/>
      <c r="N20" s="126"/>
      <c r="O20" s="126"/>
      <c r="P20" s="127"/>
      <c r="Q20" s="118"/>
      <c r="R20" s="125"/>
      <c r="S20" s="126"/>
      <c r="T20" s="126"/>
      <c r="U20" s="127"/>
      <c r="V20" s="118"/>
      <c r="W20" s="125"/>
      <c r="X20" s="126"/>
      <c r="Y20" s="126"/>
      <c r="Z20" s="127"/>
      <c r="AA20" s="65"/>
      <c r="AB20" s="140"/>
      <c r="AC20" s="141"/>
      <c r="AD20" s="141"/>
      <c r="AE20" s="141"/>
      <c r="AF20" s="142"/>
      <c r="AG20" s="61"/>
      <c r="AH20" s="135"/>
      <c r="AI20" s="136"/>
      <c r="AJ20" s="136"/>
      <c r="AK20" s="137"/>
      <c r="AL20" s="66"/>
      <c r="AM20" s="135"/>
      <c r="AN20" s="136"/>
      <c r="AO20" s="136"/>
      <c r="AP20" s="137"/>
      <c r="AQ20" s="61"/>
      <c r="AR20" s="135"/>
      <c r="AS20" s="136"/>
      <c r="AT20" s="136"/>
      <c r="AU20" s="137"/>
      <c r="AV20" s="61"/>
      <c r="AW20" s="135"/>
      <c r="AX20" s="136"/>
      <c r="AY20" s="136"/>
      <c r="AZ20" s="137"/>
      <c r="BA20" s="61"/>
      <c r="BB20" s="135"/>
      <c r="BC20" s="136"/>
      <c r="BD20" s="136"/>
      <c r="BE20" s="137"/>
      <c r="BF20" s="61"/>
    </row>
    <row r="21" spans="2:58" ht="15.75" customHeight="1" thickTop="1">
      <c r="B21" s="61"/>
      <c r="C21" s="62"/>
      <c r="D21" s="139" t="str">
        <f>'(1st+2nd) Shift Combined'!G40</f>
        <v/>
      </c>
      <c r="E21" s="139"/>
      <c r="F21" s="62"/>
      <c r="G21" s="61"/>
      <c r="H21" s="62"/>
      <c r="I21" s="139" t="str">
        <f>'(1st+2nd) Shift Combined'!G41</f>
        <v/>
      </c>
      <c r="J21" s="139"/>
      <c r="K21" s="62"/>
      <c r="L21" s="61"/>
      <c r="M21" s="63"/>
      <c r="N21" s="139" t="str">
        <f>'(1st+2nd) Shift Combined'!G42</f>
        <v/>
      </c>
      <c r="O21" s="139"/>
      <c r="P21" s="63"/>
      <c r="Q21" s="61"/>
      <c r="R21" s="63"/>
      <c r="S21" s="139" t="str">
        <f>'(1st+2nd) Shift Combined'!G43</f>
        <v/>
      </c>
      <c r="T21" s="139"/>
      <c r="U21" s="63"/>
      <c r="V21" s="61"/>
      <c r="W21" s="63"/>
      <c r="X21" s="139" t="str">
        <f>'(1st+2nd) Shift Combined'!G44</f>
        <v/>
      </c>
      <c r="Y21" s="139"/>
      <c r="Z21" s="63"/>
      <c r="AA21" s="61"/>
      <c r="AB21" s="140"/>
      <c r="AC21" s="141"/>
      <c r="AD21" s="141"/>
      <c r="AE21" s="141"/>
      <c r="AF21" s="142"/>
      <c r="AG21" s="61"/>
      <c r="AH21" s="62"/>
      <c r="AI21" s="139" t="str">
        <f>'(1st+2nd) Shift Combined'!N40</f>
        <v/>
      </c>
      <c r="AJ21" s="139"/>
      <c r="AK21" s="62"/>
      <c r="AL21" s="61"/>
      <c r="AM21" s="62"/>
      <c r="AN21" s="139" t="str">
        <f>'(1st+2nd) Shift Combined'!N41</f>
        <v/>
      </c>
      <c r="AO21" s="139"/>
      <c r="AP21" s="62"/>
      <c r="AQ21" s="61"/>
      <c r="AR21" s="63"/>
      <c r="AS21" s="139" t="str">
        <f>'(1st+2nd) Shift Combined'!N42</f>
        <v/>
      </c>
      <c r="AT21" s="139"/>
      <c r="AU21" s="63"/>
      <c r="AV21" s="61"/>
      <c r="AW21" s="63"/>
      <c r="AX21" s="139" t="str">
        <f>'(1st+2nd) Shift Combined'!N43</f>
        <v/>
      </c>
      <c r="AY21" s="139"/>
      <c r="AZ21" s="63"/>
      <c r="BA21" s="61"/>
      <c r="BB21" s="63"/>
      <c r="BC21" s="139" t="str">
        <f>'(1st+2nd) Shift Combined'!N44</f>
        <v/>
      </c>
      <c r="BD21" s="139"/>
      <c r="BE21" s="63"/>
      <c r="BF21" s="61"/>
    </row>
    <row r="22" spans="2:58" ht="15.75" customHeight="1">
      <c r="B22" s="62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2"/>
      <c r="AB22" s="140"/>
      <c r="AC22" s="141"/>
      <c r="AD22" s="141"/>
      <c r="AE22" s="141"/>
      <c r="AF22" s="142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</row>
    <row r="23" spans="2:58" ht="15.75" customHeight="1" thickBot="1">
      <c r="B23" s="61"/>
      <c r="C23" s="64"/>
      <c r="D23" s="138" t="s">
        <v>56</v>
      </c>
      <c r="E23" s="138"/>
      <c r="F23" s="64"/>
      <c r="G23" s="61"/>
      <c r="H23" s="64"/>
      <c r="I23" s="138" t="s">
        <v>57</v>
      </c>
      <c r="J23" s="138"/>
      <c r="K23" s="64"/>
      <c r="L23" s="61"/>
      <c r="M23" s="64"/>
      <c r="N23" s="138" t="s">
        <v>58</v>
      </c>
      <c r="O23" s="138"/>
      <c r="P23" s="64"/>
      <c r="Q23" s="61"/>
      <c r="R23" s="64"/>
      <c r="S23" s="138" t="s">
        <v>59</v>
      </c>
      <c r="T23" s="138"/>
      <c r="U23" s="64"/>
      <c r="V23" s="61"/>
      <c r="W23" s="64"/>
      <c r="X23" s="138" t="s">
        <v>60</v>
      </c>
      <c r="Y23" s="138"/>
      <c r="Z23" s="64"/>
      <c r="AA23" s="61"/>
      <c r="AB23" s="140"/>
      <c r="AC23" s="141"/>
      <c r="AD23" s="141"/>
      <c r="AE23" s="141"/>
      <c r="AF23" s="142"/>
      <c r="AG23" s="61"/>
      <c r="AH23" s="64"/>
      <c r="AI23" s="138" t="s">
        <v>153</v>
      </c>
      <c r="AJ23" s="138"/>
      <c r="AK23" s="64"/>
      <c r="AL23" s="61"/>
      <c r="AM23" s="64"/>
      <c r="AN23" s="138" t="s">
        <v>57</v>
      </c>
      <c r="AO23" s="138"/>
      <c r="AP23" s="64"/>
      <c r="AQ23" s="61"/>
      <c r="AR23" s="64"/>
      <c r="AS23" s="138" t="s">
        <v>58</v>
      </c>
      <c r="AT23" s="138"/>
      <c r="AU23" s="64"/>
      <c r="AV23" s="61"/>
      <c r="AW23" s="64"/>
      <c r="AX23" s="138" t="s">
        <v>59</v>
      </c>
      <c r="AY23" s="138"/>
      <c r="AZ23" s="64"/>
      <c r="BA23" s="61"/>
      <c r="BB23" s="64"/>
      <c r="BC23" s="138" t="s">
        <v>230</v>
      </c>
      <c r="BD23" s="138"/>
      <c r="BE23" s="64"/>
      <c r="BF23" s="61"/>
    </row>
    <row r="24" spans="2:58" ht="15.75" customHeight="1" thickTop="1">
      <c r="B24" s="61"/>
      <c r="C24" s="119" t="str">
        <f>'(1st+2nd) Shift Combined'!D45</f>
        <v>Not Running</v>
      </c>
      <c r="D24" s="120"/>
      <c r="E24" s="120"/>
      <c r="F24" s="121"/>
      <c r="G24" s="61"/>
      <c r="H24" s="119" t="str">
        <f>'(1st+2nd) Shift Combined'!D46</f>
        <v>Not Running</v>
      </c>
      <c r="I24" s="120"/>
      <c r="J24" s="120"/>
      <c r="K24" s="121"/>
      <c r="L24" s="61"/>
      <c r="M24" s="119" t="str">
        <f>'(1st+2nd) Shift Combined'!D47</f>
        <v>Not Running</v>
      </c>
      <c r="N24" s="120"/>
      <c r="O24" s="120"/>
      <c r="P24" s="121"/>
      <c r="Q24" s="118"/>
      <c r="R24" s="119" t="str">
        <f>'(1st+2nd) Shift Combined'!D48</f>
        <v>Not Running</v>
      </c>
      <c r="S24" s="120"/>
      <c r="T24" s="120"/>
      <c r="U24" s="121"/>
      <c r="V24" s="118"/>
      <c r="W24" s="119" t="str">
        <f>'(1st+2nd) Shift Combined'!D49</f>
        <v>Not Running</v>
      </c>
      <c r="X24" s="120"/>
      <c r="Y24" s="120"/>
      <c r="Z24" s="121"/>
      <c r="AA24" s="65"/>
      <c r="AB24" s="140"/>
      <c r="AC24" s="141"/>
      <c r="AD24" s="141"/>
      <c r="AE24" s="141"/>
      <c r="AF24" s="142"/>
      <c r="AG24" s="61"/>
      <c r="AH24" s="129" t="str">
        <f>'(1st+2nd) Shift Combined'!K45</f>
        <v>Not Running</v>
      </c>
      <c r="AI24" s="130"/>
      <c r="AJ24" s="130"/>
      <c r="AK24" s="131"/>
      <c r="AL24" s="61"/>
      <c r="AM24" s="129" t="str">
        <f>'(1st+2nd) Shift Combined'!K46</f>
        <v>Not Running</v>
      </c>
      <c r="AN24" s="130"/>
      <c r="AO24" s="130"/>
      <c r="AP24" s="131"/>
      <c r="AQ24" s="61"/>
      <c r="AR24" s="129" t="str">
        <f>'(1st+2nd) Shift Combined'!K47</f>
        <v>Not Running</v>
      </c>
      <c r="AS24" s="130"/>
      <c r="AT24" s="130"/>
      <c r="AU24" s="131"/>
      <c r="AV24" s="61"/>
      <c r="AW24" s="129" t="str">
        <f>'(1st+2nd) Shift Combined'!K48</f>
        <v>Not Running</v>
      </c>
      <c r="AX24" s="130"/>
      <c r="AY24" s="130"/>
      <c r="AZ24" s="131"/>
      <c r="BA24" s="61"/>
      <c r="BB24" s="129" t="str">
        <f>'(1st+2nd) Shift Combined'!K49</f>
        <v>Not Running</v>
      </c>
      <c r="BC24" s="130"/>
      <c r="BD24" s="130"/>
      <c r="BE24" s="131"/>
      <c r="BF24" s="61"/>
    </row>
    <row r="25" spans="2:58" ht="15.75" customHeight="1">
      <c r="B25" s="61"/>
      <c r="C25" s="122"/>
      <c r="D25" s="123"/>
      <c r="E25" s="123"/>
      <c r="F25" s="124"/>
      <c r="G25" s="61"/>
      <c r="H25" s="122"/>
      <c r="I25" s="123"/>
      <c r="J25" s="123"/>
      <c r="K25" s="124"/>
      <c r="L25" s="61"/>
      <c r="M25" s="122"/>
      <c r="N25" s="123"/>
      <c r="O25" s="123"/>
      <c r="P25" s="124"/>
      <c r="Q25" s="118"/>
      <c r="R25" s="122"/>
      <c r="S25" s="123"/>
      <c r="T25" s="123"/>
      <c r="U25" s="124"/>
      <c r="V25" s="118"/>
      <c r="W25" s="122"/>
      <c r="X25" s="123"/>
      <c r="Y25" s="123"/>
      <c r="Z25" s="124"/>
      <c r="AA25" s="65"/>
      <c r="AB25" s="140"/>
      <c r="AC25" s="141"/>
      <c r="AD25" s="141"/>
      <c r="AE25" s="141"/>
      <c r="AF25" s="142"/>
      <c r="AG25" s="61"/>
      <c r="AH25" s="132"/>
      <c r="AI25" s="133"/>
      <c r="AJ25" s="133"/>
      <c r="AK25" s="134"/>
      <c r="AL25" s="61"/>
      <c r="AM25" s="132"/>
      <c r="AN25" s="133"/>
      <c r="AO25" s="133"/>
      <c r="AP25" s="134"/>
      <c r="AQ25" s="61"/>
      <c r="AR25" s="132"/>
      <c r="AS25" s="133"/>
      <c r="AT25" s="133"/>
      <c r="AU25" s="134"/>
      <c r="AV25" s="61"/>
      <c r="AW25" s="132"/>
      <c r="AX25" s="133"/>
      <c r="AY25" s="133"/>
      <c r="AZ25" s="134"/>
      <c r="BA25" s="61"/>
      <c r="BB25" s="132"/>
      <c r="BC25" s="133"/>
      <c r="BD25" s="133"/>
      <c r="BE25" s="134"/>
      <c r="BF25" s="61"/>
    </row>
    <row r="26" spans="2:58" ht="15.75" customHeight="1" thickBot="1">
      <c r="B26" s="61"/>
      <c r="C26" s="125"/>
      <c r="D26" s="126"/>
      <c r="E26" s="126"/>
      <c r="F26" s="127"/>
      <c r="G26" s="61"/>
      <c r="H26" s="125"/>
      <c r="I26" s="126"/>
      <c r="J26" s="126"/>
      <c r="K26" s="127"/>
      <c r="L26" s="61"/>
      <c r="M26" s="125"/>
      <c r="N26" s="126"/>
      <c r="O26" s="126"/>
      <c r="P26" s="127"/>
      <c r="Q26" s="118"/>
      <c r="R26" s="125"/>
      <c r="S26" s="126"/>
      <c r="T26" s="126"/>
      <c r="U26" s="127"/>
      <c r="V26" s="118"/>
      <c r="W26" s="125"/>
      <c r="X26" s="126"/>
      <c r="Y26" s="126"/>
      <c r="Z26" s="127"/>
      <c r="AA26" s="65"/>
      <c r="AB26" s="140"/>
      <c r="AC26" s="141"/>
      <c r="AD26" s="141"/>
      <c r="AE26" s="141"/>
      <c r="AF26" s="142"/>
      <c r="AG26" s="61"/>
      <c r="AH26" s="135"/>
      <c r="AI26" s="136"/>
      <c r="AJ26" s="136"/>
      <c r="AK26" s="137"/>
      <c r="AL26" s="61"/>
      <c r="AM26" s="135"/>
      <c r="AN26" s="136"/>
      <c r="AO26" s="136"/>
      <c r="AP26" s="137"/>
      <c r="AQ26" s="61"/>
      <c r="AR26" s="135"/>
      <c r="AS26" s="136"/>
      <c r="AT26" s="136"/>
      <c r="AU26" s="137"/>
      <c r="AV26" s="61"/>
      <c r="AW26" s="135"/>
      <c r="AX26" s="136"/>
      <c r="AY26" s="136"/>
      <c r="AZ26" s="137"/>
      <c r="BA26" s="61"/>
      <c r="BB26" s="135"/>
      <c r="BC26" s="136"/>
      <c r="BD26" s="136"/>
      <c r="BE26" s="137"/>
      <c r="BF26" s="61"/>
    </row>
    <row r="27" spans="2:58" ht="15.75" customHeight="1" thickTop="1">
      <c r="B27" s="61"/>
      <c r="C27" s="62"/>
      <c r="D27" s="139" t="str">
        <f>'(1st+2nd) Shift Combined'!G45</f>
        <v/>
      </c>
      <c r="E27" s="139"/>
      <c r="F27" s="62"/>
      <c r="G27" s="61"/>
      <c r="H27" s="62"/>
      <c r="I27" s="139" t="str">
        <f>'(1st+2nd) Shift Combined'!G46</f>
        <v/>
      </c>
      <c r="J27" s="139"/>
      <c r="K27" s="62"/>
      <c r="L27" s="61"/>
      <c r="M27" s="63"/>
      <c r="N27" s="139" t="str">
        <f>'(1st+2nd) Shift Combined'!G47</f>
        <v/>
      </c>
      <c r="O27" s="139"/>
      <c r="P27" s="63"/>
      <c r="Q27" s="61"/>
      <c r="R27" s="63"/>
      <c r="S27" s="139" t="str">
        <f>'(1st+2nd) Shift Combined'!G48</f>
        <v/>
      </c>
      <c r="T27" s="139"/>
      <c r="U27" s="63"/>
      <c r="V27" s="61"/>
      <c r="W27" s="63"/>
      <c r="X27" s="139" t="str">
        <f>'(1st+2nd) Shift Combined'!G49</f>
        <v/>
      </c>
      <c r="Y27" s="139"/>
      <c r="Z27" s="63"/>
      <c r="AA27" s="61"/>
      <c r="AB27" s="140"/>
      <c r="AC27" s="141"/>
      <c r="AD27" s="141"/>
      <c r="AE27" s="141"/>
      <c r="AF27" s="142"/>
      <c r="AG27" s="61"/>
      <c r="AH27" s="62"/>
      <c r="AI27" s="139" t="str">
        <f>'(1st+2nd) Shift Combined'!N45</f>
        <v/>
      </c>
      <c r="AJ27" s="139"/>
      <c r="AK27" s="62"/>
      <c r="AL27" s="61"/>
      <c r="AM27" s="62"/>
      <c r="AN27" s="139" t="str">
        <f>'(1st+2nd) Shift Combined'!N46</f>
        <v/>
      </c>
      <c r="AO27" s="139"/>
      <c r="AP27" s="62"/>
      <c r="AQ27" s="61"/>
      <c r="AR27" s="63"/>
      <c r="AS27" s="139" t="str">
        <f>'(1st+2nd) Shift Combined'!N47</f>
        <v/>
      </c>
      <c r="AT27" s="139"/>
      <c r="AU27" s="63"/>
      <c r="AV27" s="61"/>
      <c r="AW27" s="63"/>
      <c r="AX27" s="139" t="str">
        <f>'(1st+2nd) Shift Combined'!N48</f>
        <v/>
      </c>
      <c r="AY27" s="139"/>
      <c r="AZ27" s="63"/>
      <c r="BA27" s="61"/>
      <c r="BB27" s="63"/>
      <c r="BC27" s="139" t="str">
        <f>'(1st+2nd) Shift Combined'!N49</f>
        <v/>
      </c>
      <c r="BD27" s="139"/>
      <c r="BE27" s="63"/>
      <c r="BF27" s="61"/>
    </row>
    <row r="28" spans="2:58" ht="15.75" customHeight="1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140"/>
      <c r="AC28" s="141"/>
      <c r="AD28" s="141"/>
      <c r="AE28" s="141"/>
      <c r="AF28" s="142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</row>
    <row r="29" spans="2:58" ht="15.75" customHeight="1" thickBot="1">
      <c r="B29" s="61"/>
      <c r="C29" s="61"/>
      <c r="D29" s="138" t="s">
        <v>61</v>
      </c>
      <c r="E29" s="138"/>
      <c r="F29" s="61"/>
      <c r="G29" s="61"/>
      <c r="H29" s="61"/>
      <c r="I29" s="138" t="s">
        <v>62</v>
      </c>
      <c r="J29" s="138"/>
      <c r="K29" s="61"/>
      <c r="L29" s="61"/>
      <c r="M29" s="61"/>
      <c r="N29" s="138" t="s">
        <v>63</v>
      </c>
      <c r="O29" s="138"/>
      <c r="P29" s="61"/>
      <c r="Q29" s="61"/>
      <c r="R29" s="61"/>
      <c r="S29" s="138" t="s">
        <v>64</v>
      </c>
      <c r="T29" s="138"/>
      <c r="U29" s="61"/>
      <c r="V29" s="61"/>
      <c r="W29" s="61"/>
      <c r="X29" s="138" t="s">
        <v>65</v>
      </c>
      <c r="Y29" s="138"/>
      <c r="Z29" s="61"/>
      <c r="AA29" s="61"/>
      <c r="AB29" s="140"/>
      <c r="AC29" s="141"/>
      <c r="AD29" s="141"/>
      <c r="AE29" s="141"/>
      <c r="AF29" s="142"/>
      <c r="AG29" s="61"/>
      <c r="AH29" s="61"/>
      <c r="AI29" s="138" t="s">
        <v>154</v>
      </c>
      <c r="AJ29" s="138"/>
      <c r="AK29" s="61"/>
      <c r="AL29" s="61"/>
      <c r="AM29" s="61"/>
      <c r="AN29" s="138" t="s">
        <v>62</v>
      </c>
      <c r="AO29" s="138"/>
      <c r="AP29" s="61"/>
      <c r="AQ29" s="61"/>
      <c r="AR29" s="61"/>
      <c r="AS29" s="138" t="s">
        <v>63</v>
      </c>
      <c r="AT29" s="138"/>
      <c r="AU29" s="61"/>
      <c r="AV29" s="61"/>
      <c r="AW29" s="61"/>
      <c r="AX29" s="138" t="s">
        <v>64</v>
      </c>
      <c r="AY29" s="138"/>
      <c r="AZ29" s="61"/>
      <c r="BA29" s="61"/>
      <c r="BB29" s="61"/>
      <c r="BC29" s="138" t="s">
        <v>229</v>
      </c>
      <c r="BD29" s="138"/>
      <c r="BE29" s="61"/>
      <c r="BF29" s="61"/>
    </row>
    <row r="30" spans="2:58" ht="15.75" customHeight="1" thickTop="1">
      <c r="B30" s="61"/>
      <c r="C30" s="119" t="str">
        <f>'(1st+2nd) Shift Combined'!D50</f>
        <v>Not Running</v>
      </c>
      <c r="D30" s="120"/>
      <c r="E30" s="120"/>
      <c r="F30" s="121"/>
      <c r="G30" s="61"/>
      <c r="H30" s="119" t="str">
        <f>'(1st+2nd) Shift Combined'!D51</f>
        <v>Not Running</v>
      </c>
      <c r="I30" s="120"/>
      <c r="J30" s="120"/>
      <c r="K30" s="121"/>
      <c r="L30" s="61"/>
      <c r="M30" s="119" t="str">
        <f>'(1st+2nd) Shift Combined'!D52</f>
        <v>Not Running</v>
      </c>
      <c r="N30" s="120"/>
      <c r="O30" s="120"/>
      <c r="P30" s="121"/>
      <c r="Q30" s="61"/>
      <c r="R30" s="119" t="str">
        <f>'(1st+2nd) Shift Combined'!D53</f>
        <v>Not Running</v>
      </c>
      <c r="S30" s="120"/>
      <c r="T30" s="120"/>
      <c r="U30" s="121"/>
      <c r="V30" s="61"/>
      <c r="W30" s="119" t="str">
        <f>'(1st+2nd) Shift Combined'!D54</f>
        <v>Not Running</v>
      </c>
      <c r="X30" s="120"/>
      <c r="Y30" s="120"/>
      <c r="Z30" s="121"/>
      <c r="AA30" s="65"/>
      <c r="AB30" s="140"/>
      <c r="AC30" s="141"/>
      <c r="AD30" s="141"/>
      <c r="AE30" s="141"/>
      <c r="AF30" s="142"/>
      <c r="AG30" s="61"/>
      <c r="AH30" s="129" t="str">
        <f>'(1st+2nd) Shift Combined'!K50</f>
        <v>Not Running</v>
      </c>
      <c r="AI30" s="130"/>
      <c r="AJ30" s="130"/>
      <c r="AK30" s="131"/>
      <c r="AL30" s="61"/>
      <c r="AM30" s="129" t="str">
        <f>'(1st+2nd) Shift Combined'!K51</f>
        <v>Not Running</v>
      </c>
      <c r="AN30" s="130"/>
      <c r="AO30" s="130"/>
      <c r="AP30" s="131"/>
      <c r="AQ30" s="61"/>
      <c r="AR30" s="129" t="str">
        <f>'(1st+2nd) Shift Combined'!K52</f>
        <v>Not Running</v>
      </c>
      <c r="AS30" s="130"/>
      <c r="AT30" s="130"/>
      <c r="AU30" s="131"/>
      <c r="AV30" s="61"/>
      <c r="AW30" s="129" t="str">
        <f>'(1st+2nd) Shift Combined'!K53</f>
        <v>Not Running</v>
      </c>
      <c r="AX30" s="130"/>
      <c r="AY30" s="130"/>
      <c r="AZ30" s="131"/>
      <c r="BA30" s="61"/>
      <c r="BB30" s="129" t="str">
        <f>'(1st+2nd) Shift Combined'!K54</f>
        <v>Not Running</v>
      </c>
      <c r="BC30" s="130"/>
      <c r="BD30" s="130"/>
      <c r="BE30" s="131"/>
      <c r="BF30" s="61"/>
    </row>
    <row r="31" spans="2:58" ht="15.75" customHeight="1">
      <c r="B31" s="61"/>
      <c r="C31" s="122"/>
      <c r="D31" s="123"/>
      <c r="E31" s="123"/>
      <c r="F31" s="124"/>
      <c r="G31" s="66"/>
      <c r="H31" s="122"/>
      <c r="I31" s="123"/>
      <c r="J31" s="123"/>
      <c r="K31" s="124"/>
      <c r="L31" s="61"/>
      <c r="M31" s="122"/>
      <c r="N31" s="123"/>
      <c r="O31" s="123"/>
      <c r="P31" s="124"/>
      <c r="Q31" s="61"/>
      <c r="R31" s="122"/>
      <c r="S31" s="123"/>
      <c r="T31" s="123"/>
      <c r="U31" s="124"/>
      <c r="V31" s="61"/>
      <c r="W31" s="122"/>
      <c r="X31" s="123"/>
      <c r="Y31" s="123"/>
      <c r="Z31" s="124"/>
      <c r="AA31" s="65"/>
      <c r="AB31" s="140"/>
      <c r="AC31" s="141"/>
      <c r="AD31" s="141"/>
      <c r="AE31" s="141"/>
      <c r="AF31" s="142"/>
      <c r="AG31" s="61"/>
      <c r="AH31" s="132"/>
      <c r="AI31" s="133"/>
      <c r="AJ31" s="133"/>
      <c r="AK31" s="134"/>
      <c r="AL31" s="66"/>
      <c r="AM31" s="132"/>
      <c r="AN31" s="133"/>
      <c r="AO31" s="133"/>
      <c r="AP31" s="134"/>
      <c r="AQ31" s="61"/>
      <c r="AR31" s="132"/>
      <c r="AS31" s="133"/>
      <c r="AT31" s="133"/>
      <c r="AU31" s="134"/>
      <c r="AV31" s="61"/>
      <c r="AW31" s="132"/>
      <c r="AX31" s="133"/>
      <c r="AY31" s="133"/>
      <c r="AZ31" s="134"/>
      <c r="BA31" s="61"/>
      <c r="BB31" s="132"/>
      <c r="BC31" s="133"/>
      <c r="BD31" s="133"/>
      <c r="BE31" s="134"/>
      <c r="BF31" s="61"/>
    </row>
    <row r="32" spans="2:58" ht="15.75" customHeight="1" thickBot="1">
      <c r="B32" s="61"/>
      <c r="C32" s="125"/>
      <c r="D32" s="126"/>
      <c r="E32" s="126"/>
      <c r="F32" s="127"/>
      <c r="G32" s="66"/>
      <c r="H32" s="125"/>
      <c r="I32" s="126"/>
      <c r="J32" s="126"/>
      <c r="K32" s="127"/>
      <c r="L32" s="61"/>
      <c r="M32" s="125"/>
      <c r="N32" s="126"/>
      <c r="O32" s="126"/>
      <c r="P32" s="127"/>
      <c r="Q32" s="61"/>
      <c r="R32" s="125"/>
      <c r="S32" s="126"/>
      <c r="T32" s="126"/>
      <c r="U32" s="127"/>
      <c r="V32" s="61"/>
      <c r="W32" s="125"/>
      <c r="X32" s="126"/>
      <c r="Y32" s="126"/>
      <c r="Z32" s="127"/>
      <c r="AA32" s="65"/>
      <c r="AB32" s="140"/>
      <c r="AC32" s="141"/>
      <c r="AD32" s="141"/>
      <c r="AE32" s="141"/>
      <c r="AF32" s="142"/>
      <c r="AG32" s="61"/>
      <c r="AH32" s="135"/>
      <c r="AI32" s="136"/>
      <c r="AJ32" s="136"/>
      <c r="AK32" s="137"/>
      <c r="AL32" s="66"/>
      <c r="AM32" s="135"/>
      <c r="AN32" s="136"/>
      <c r="AO32" s="136"/>
      <c r="AP32" s="137"/>
      <c r="AQ32" s="61"/>
      <c r="AR32" s="135"/>
      <c r="AS32" s="136"/>
      <c r="AT32" s="136"/>
      <c r="AU32" s="137"/>
      <c r="AV32" s="61"/>
      <c r="AW32" s="135"/>
      <c r="AX32" s="136"/>
      <c r="AY32" s="136"/>
      <c r="AZ32" s="137"/>
      <c r="BA32" s="61"/>
      <c r="BB32" s="135"/>
      <c r="BC32" s="136"/>
      <c r="BD32" s="136"/>
      <c r="BE32" s="137"/>
      <c r="BF32" s="61"/>
    </row>
    <row r="33" spans="2:58" ht="15.75" customHeight="1" thickTop="1">
      <c r="B33" s="61"/>
      <c r="C33" s="62"/>
      <c r="D33" s="139" t="str">
        <f>'(1st+2nd) Shift Combined'!G50</f>
        <v/>
      </c>
      <c r="E33" s="139"/>
      <c r="F33" s="62"/>
      <c r="G33" s="61"/>
      <c r="H33" s="62"/>
      <c r="I33" s="139" t="str">
        <f>'(1st+2nd) Shift Combined'!G51</f>
        <v/>
      </c>
      <c r="J33" s="139"/>
      <c r="K33" s="62"/>
      <c r="L33" s="61"/>
      <c r="M33" s="63"/>
      <c r="N33" s="139" t="str">
        <f>'(1st+2nd) Shift Combined'!G52</f>
        <v/>
      </c>
      <c r="O33" s="139"/>
      <c r="P33" s="63"/>
      <c r="Q33" s="61"/>
      <c r="R33" s="63"/>
      <c r="S33" s="139" t="str">
        <f>'(1st+2nd) Shift Combined'!G53</f>
        <v/>
      </c>
      <c r="T33" s="139"/>
      <c r="U33" s="63"/>
      <c r="V33" s="61"/>
      <c r="W33" s="63"/>
      <c r="X33" s="139" t="str">
        <f>'(1st+2nd) Shift Combined'!G54</f>
        <v/>
      </c>
      <c r="Y33" s="139"/>
      <c r="Z33" s="63"/>
      <c r="AA33" s="61"/>
      <c r="AB33" s="140"/>
      <c r="AC33" s="141"/>
      <c r="AD33" s="141"/>
      <c r="AE33" s="141"/>
      <c r="AF33" s="142"/>
      <c r="AG33" s="61"/>
      <c r="AH33" s="62"/>
      <c r="AI33" s="139" t="str">
        <f>'(1st+2nd) Shift Combined'!N50</f>
        <v/>
      </c>
      <c r="AJ33" s="139"/>
      <c r="AK33" s="62"/>
      <c r="AL33" s="61"/>
      <c r="AM33" s="62"/>
      <c r="AN33" s="139" t="str">
        <f>'(1st+2nd) Shift Combined'!N51</f>
        <v/>
      </c>
      <c r="AO33" s="139"/>
      <c r="AP33" s="62"/>
      <c r="AQ33" s="61"/>
      <c r="AR33" s="63"/>
      <c r="AS33" s="139" t="str">
        <f>'(1st+2nd) Shift Combined'!N52</f>
        <v/>
      </c>
      <c r="AT33" s="139"/>
      <c r="AU33" s="63"/>
      <c r="AV33" s="61"/>
      <c r="AW33" s="63"/>
      <c r="AX33" s="139" t="str">
        <f>'(1st+2nd) Shift Combined'!N53</f>
        <v/>
      </c>
      <c r="AY33" s="139"/>
      <c r="AZ33" s="63"/>
      <c r="BA33" s="61"/>
      <c r="BB33" s="63"/>
      <c r="BC33" s="139" t="str">
        <f>'(1st+2nd) Shift Combined'!N54</f>
        <v/>
      </c>
      <c r="BD33" s="139"/>
      <c r="BE33" s="63"/>
      <c r="BF33" s="61"/>
    </row>
    <row r="34" spans="2:58" ht="15.75" customHeight="1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140"/>
      <c r="AC34" s="141"/>
      <c r="AD34" s="141"/>
      <c r="AE34" s="141"/>
      <c r="AF34" s="142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</row>
    <row r="35" spans="2:58" ht="15.75" customHeight="1" thickBot="1">
      <c r="B35" s="61"/>
      <c r="C35" s="64"/>
      <c r="D35" s="138" t="s">
        <v>66</v>
      </c>
      <c r="E35" s="138"/>
      <c r="F35" s="64"/>
      <c r="G35" s="61"/>
      <c r="H35" s="64"/>
      <c r="I35" s="138" t="s">
        <v>67</v>
      </c>
      <c r="J35" s="138"/>
      <c r="K35" s="64"/>
      <c r="L35" s="61"/>
      <c r="M35" s="64"/>
      <c r="N35" s="138" t="s">
        <v>68</v>
      </c>
      <c r="O35" s="138"/>
      <c r="P35" s="64"/>
      <c r="Q35" s="61"/>
      <c r="R35" s="64"/>
      <c r="S35" s="138" t="s">
        <v>69</v>
      </c>
      <c r="T35" s="138"/>
      <c r="U35" s="64"/>
      <c r="V35" s="61"/>
      <c r="W35" s="64"/>
      <c r="X35" s="138" t="s">
        <v>70</v>
      </c>
      <c r="Y35" s="138"/>
      <c r="Z35" s="64"/>
      <c r="AA35" s="61"/>
      <c r="AB35" s="140"/>
      <c r="AC35" s="141"/>
      <c r="AD35" s="141"/>
      <c r="AE35" s="141"/>
      <c r="AF35" s="142"/>
      <c r="AG35" s="61"/>
      <c r="AH35" s="64"/>
      <c r="AI35" s="138" t="s">
        <v>155</v>
      </c>
      <c r="AJ35" s="138"/>
      <c r="AK35" s="64"/>
      <c r="AL35" s="61"/>
      <c r="AM35" s="64"/>
      <c r="AN35" s="138" t="s">
        <v>156</v>
      </c>
      <c r="AO35" s="138"/>
      <c r="AP35" s="64"/>
      <c r="AQ35" s="61"/>
      <c r="AR35" s="64"/>
      <c r="AS35" s="138" t="s">
        <v>157</v>
      </c>
      <c r="AT35" s="138"/>
      <c r="AU35" s="64"/>
      <c r="AV35" s="61"/>
      <c r="AW35" s="64"/>
      <c r="AX35" s="138" t="s">
        <v>158</v>
      </c>
      <c r="AY35" s="138"/>
      <c r="AZ35" s="64"/>
      <c r="BA35" s="61"/>
      <c r="BB35" s="64"/>
      <c r="BC35" s="138" t="s">
        <v>228</v>
      </c>
      <c r="BD35" s="138"/>
      <c r="BE35" s="64"/>
      <c r="BF35" s="61"/>
    </row>
    <row r="36" spans="2:58" ht="15.75" customHeight="1" thickTop="1">
      <c r="B36" s="61"/>
      <c r="C36" s="119" t="str">
        <f>'(1st+2nd) Shift Combined'!D55</f>
        <v>Not Running</v>
      </c>
      <c r="D36" s="120"/>
      <c r="E36" s="120"/>
      <c r="F36" s="121"/>
      <c r="G36" s="61"/>
      <c r="H36" s="119" t="str">
        <f>'(1st+2nd) Shift Combined'!D56</f>
        <v>Not Running</v>
      </c>
      <c r="I36" s="120"/>
      <c r="J36" s="120"/>
      <c r="K36" s="121"/>
      <c r="L36" s="61"/>
      <c r="M36" s="119" t="str">
        <f>'(1st+2nd) Shift Combined'!D57</f>
        <v>Not Running</v>
      </c>
      <c r="N36" s="120"/>
      <c r="O36" s="120"/>
      <c r="P36" s="121"/>
      <c r="Q36" s="61"/>
      <c r="R36" s="119" t="str">
        <f>'(1st+2nd) Shift Combined'!D58</f>
        <v>Not Running</v>
      </c>
      <c r="S36" s="120"/>
      <c r="T36" s="120"/>
      <c r="U36" s="121"/>
      <c r="V36" s="61"/>
      <c r="W36" s="119" t="str">
        <f>'(1st+2nd) Shift Combined'!D59</f>
        <v>Not Running</v>
      </c>
      <c r="X36" s="120"/>
      <c r="Y36" s="120"/>
      <c r="Z36" s="121"/>
      <c r="AA36" s="65"/>
      <c r="AB36" s="140"/>
      <c r="AC36" s="141"/>
      <c r="AD36" s="141"/>
      <c r="AE36" s="141"/>
      <c r="AF36" s="142"/>
      <c r="AG36" s="61"/>
      <c r="AH36" s="129" t="str">
        <f>'(1st+2nd) Shift Combined'!K55</f>
        <v>Not Running</v>
      </c>
      <c r="AI36" s="130"/>
      <c r="AJ36" s="130"/>
      <c r="AK36" s="131"/>
      <c r="AL36" s="61"/>
      <c r="AM36" s="129" t="str">
        <f>'(1st+2nd) Shift Combined'!K56</f>
        <v>Not Running</v>
      </c>
      <c r="AN36" s="130"/>
      <c r="AO36" s="130"/>
      <c r="AP36" s="131"/>
      <c r="AQ36" s="61"/>
      <c r="AR36" s="129" t="str">
        <f>'(1st+2nd) Shift Combined'!K57</f>
        <v>Not Running</v>
      </c>
      <c r="AS36" s="130"/>
      <c r="AT36" s="130"/>
      <c r="AU36" s="131"/>
      <c r="AV36" s="61"/>
      <c r="AW36" s="129" t="str">
        <f>'(1st+2nd) Shift Combined'!K58</f>
        <v>Not Running</v>
      </c>
      <c r="AX36" s="130"/>
      <c r="AY36" s="130"/>
      <c r="AZ36" s="131"/>
      <c r="BA36" s="61"/>
      <c r="BB36" s="129" t="str">
        <f>'(1st+2nd) Shift Combined'!K59</f>
        <v>Not Running</v>
      </c>
      <c r="BC36" s="130"/>
      <c r="BD36" s="130"/>
      <c r="BE36" s="131"/>
      <c r="BF36" s="61"/>
    </row>
    <row r="37" spans="2:58" ht="15.75" customHeight="1">
      <c r="B37" s="61"/>
      <c r="C37" s="122"/>
      <c r="D37" s="123"/>
      <c r="E37" s="123"/>
      <c r="F37" s="124"/>
      <c r="G37" s="61"/>
      <c r="H37" s="122"/>
      <c r="I37" s="123"/>
      <c r="J37" s="123"/>
      <c r="K37" s="124"/>
      <c r="L37" s="61"/>
      <c r="M37" s="122"/>
      <c r="N37" s="123"/>
      <c r="O37" s="123"/>
      <c r="P37" s="124"/>
      <c r="Q37" s="61"/>
      <c r="R37" s="122"/>
      <c r="S37" s="123"/>
      <c r="T37" s="123"/>
      <c r="U37" s="124"/>
      <c r="V37" s="61"/>
      <c r="W37" s="122"/>
      <c r="X37" s="123"/>
      <c r="Y37" s="123"/>
      <c r="Z37" s="124"/>
      <c r="AA37" s="65"/>
      <c r="AB37" s="140"/>
      <c r="AC37" s="141"/>
      <c r="AD37" s="141"/>
      <c r="AE37" s="141"/>
      <c r="AF37" s="142"/>
      <c r="AG37" s="61"/>
      <c r="AH37" s="132"/>
      <c r="AI37" s="133"/>
      <c r="AJ37" s="133"/>
      <c r="AK37" s="134"/>
      <c r="AL37" s="61"/>
      <c r="AM37" s="132"/>
      <c r="AN37" s="133"/>
      <c r="AO37" s="133"/>
      <c r="AP37" s="134"/>
      <c r="AQ37" s="61"/>
      <c r="AR37" s="132"/>
      <c r="AS37" s="133"/>
      <c r="AT37" s="133"/>
      <c r="AU37" s="134"/>
      <c r="AV37" s="61"/>
      <c r="AW37" s="132"/>
      <c r="AX37" s="133"/>
      <c r="AY37" s="133"/>
      <c r="AZ37" s="134"/>
      <c r="BA37" s="61"/>
      <c r="BB37" s="132"/>
      <c r="BC37" s="133"/>
      <c r="BD37" s="133"/>
      <c r="BE37" s="134"/>
      <c r="BF37" s="61"/>
    </row>
    <row r="38" spans="2:58" ht="15.75" customHeight="1" thickBot="1">
      <c r="B38" s="61"/>
      <c r="C38" s="125"/>
      <c r="D38" s="126"/>
      <c r="E38" s="126"/>
      <c r="F38" s="127"/>
      <c r="G38" s="61"/>
      <c r="H38" s="125"/>
      <c r="I38" s="126"/>
      <c r="J38" s="126"/>
      <c r="K38" s="127"/>
      <c r="L38" s="61"/>
      <c r="M38" s="125"/>
      <c r="N38" s="126"/>
      <c r="O38" s="126"/>
      <c r="P38" s="127"/>
      <c r="Q38" s="61"/>
      <c r="R38" s="125"/>
      <c r="S38" s="126"/>
      <c r="T38" s="126"/>
      <c r="U38" s="127"/>
      <c r="V38" s="61"/>
      <c r="W38" s="125"/>
      <c r="X38" s="126"/>
      <c r="Y38" s="126"/>
      <c r="Z38" s="127"/>
      <c r="AA38" s="65"/>
      <c r="AB38" s="140"/>
      <c r="AC38" s="141"/>
      <c r="AD38" s="141"/>
      <c r="AE38" s="141"/>
      <c r="AF38" s="142"/>
      <c r="AG38" s="61"/>
      <c r="AH38" s="135"/>
      <c r="AI38" s="136"/>
      <c r="AJ38" s="136"/>
      <c r="AK38" s="137"/>
      <c r="AL38" s="61"/>
      <c r="AM38" s="135"/>
      <c r="AN38" s="136"/>
      <c r="AO38" s="136"/>
      <c r="AP38" s="137"/>
      <c r="AQ38" s="61"/>
      <c r="AR38" s="135"/>
      <c r="AS38" s="136"/>
      <c r="AT38" s="136"/>
      <c r="AU38" s="137"/>
      <c r="AV38" s="61"/>
      <c r="AW38" s="135"/>
      <c r="AX38" s="136"/>
      <c r="AY38" s="136"/>
      <c r="AZ38" s="137"/>
      <c r="BA38" s="61"/>
      <c r="BB38" s="135"/>
      <c r="BC38" s="136"/>
      <c r="BD38" s="136"/>
      <c r="BE38" s="137"/>
      <c r="BF38" s="61"/>
    </row>
    <row r="39" spans="2:58" ht="15.75" customHeight="1" thickTop="1" thickBot="1">
      <c r="B39" s="61"/>
      <c r="C39" s="62"/>
      <c r="D39" s="139" t="str">
        <f>'(1st+2nd) Shift Combined'!G55</f>
        <v/>
      </c>
      <c r="E39" s="139"/>
      <c r="F39" s="62"/>
      <c r="G39" s="61"/>
      <c r="H39" s="62"/>
      <c r="I39" s="139" t="str">
        <f>'(1st+2nd) Shift Combined'!G56</f>
        <v/>
      </c>
      <c r="J39" s="139"/>
      <c r="K39" s="62"/>
      <c r="L39" s="61"/>
      <c r="M39" s="63"/>
      <c r="N39" s="139" t="str">
        <f>'(1st+2nd) Shift Combined'!G57</f>
        <v/>
      </c>
      <c r="O39" s="139"/>
      <c r="P39" s="63"/>
      <c r="Q39" s="61"/>
      <c r="R39" s="63"/>
      <c r="S39" s="139" t="str">
        <f>'(1st+2nd) Shift Combined'!G58</f>
        <v/>
      </c>
      <c r="T39" s="139"/>
      <c r="U39" s="63"/>
      <c r="V39" s="61"/>
      <c r="W39" s="63"/>
      <c r="X39" s="139" t="str">
        <f>'(1st+2nd) Shift Combined'!G59</f>
        <v/>
      </c>
      <c r="Y39" s="139"/>
      <c r="Z39" s="63"/>
      <c r="AA39" s="61"/>
      <c r="AB39" s="140"/>
      <c r="AC39" s="141"/>
      <c r="AD39" s="141"/>
      <c r="AE39" s="141"/>
      <c r="AF39" s="142"/>
      <c r="AG39" s="61"/>
      <c r="AH39" s="62"/>
      <c r="AI39" s="139" t="str">
        <f>'(1st+2nd) Shift Combined'!N55</f>
        <v/>
      </c>
      <c r="AJ39" s="139"/>
      <c r="AK39" s="62"/>
      <c r="AL39" s="61"/>
      <c r="AM39" s="62"/>
      <c r="AN39" s="139" t="str">
        <f>'(1st+2nd) Shift Combined'!N56</f>
        <v/>
      </c>
      <c r="AO39" s="139"/>
      <c r="AP39" s="62"/>
      <c r="AQ39" s="61"/>
      <c r="AR39" s="63"/>
      <c r="AS39" s="139" t="str">
        <f>'(1st+2nd) Shift Combined'!N57</f>
        <v/>
      </c>
      <c r="AT39" s="139"/>
      <c r="AU39" s="63"/>
      <c r="AV39" s="61"/>
      <c r="AW39" s="63"/>
      <c r="AX39" s="139" t="str">
        <f>'(1st+2nd) Shift Combined'!N58</f>
        <v/>
      </c>
      <c r="AY39" s="139"/>
      <c r="AZ39" s="63"/>
      <c r="BA39" s="61"/>
      <c r="BB39" s="63"/>
      <c r="BC39" s="139" t="str">
        <f>'(1st+2nd) Shift Combined'!N59</f>
        <v/>
      </c>
      <c r="BD39" s="139"/>
      <c r="BE39" s="63"/>
      <c r="BF39" s="61"/>
    </row>
    <row r="40" spans="2:58" ht="15.75" customHeight="1">
      <c r="B40" s="167" t="s">
        <v>233</v>
      </c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28"/>
      <c r="AC40" s="128"/>
      <c r="AD40" s="128"/>
      <c r="AE40" s="128"/>
      <c r="AF40" s="128"/>
      <c r="AG40" s="168" t="s">
        <v>233</v>
      </c>
      <c r="AH40" s="168"/>
      <c r="AI40" s="168"/>
      <c r="AJ40" s="168"/>
      <c r="AK40" s="168"/>
      <c r="AL40" s="168"/>
      <c r="AM40" s="168"/>
      <c r="AN40" s="168"/>
      <c r="AO40" s="168"/>
      <c r="AP40" s="168"/>
      <c r="AQ40" s="168"/>
      <c r="AR40" s="168"/>
      <c r="AS40" s="168"/>
      <c r="AT40" s="168"/>
      <c r="AU40" s="168"/>
      <c r="AV40" s="168"/>
      <c r="AW40" s="168"/>
      <c r="AX40" s="168"/>
      <c r="AY40" s="168"/>
      <c r="AZ40" s="168"/>
      <c r="BA40" s="168"/>
      <c r="BB40" s="168"/>
      <c r="BC40" s="168"/>
      <c r="BD40" s="168"/>
      <c r="BE40" s="168"/>
      <c r="BF40" s="168"/>
    </row>
    <row r="41" spans="2:58" ht="15.75" customHeight="1">
      <c r="B41" s="169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28"/>
      <c r="AC41" s="128"/>
      <c r="AD41" s="128"/>
      <c r="AE41" s="128"/>
      <c r="AF41" s="128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0"/>
      <c r="AU41" s="170"/>
      <c r="AV41" s="170"/>
      <c r="AW41" s="170"/>
      <c r="AX41" s="170"/>
      <c r="AY41" s="170"/>
      <c r="AZ41" s="170"/>
      <c r="BA41" s="170"/>
      <c r="BB41" s="170"/>
      <c r="BC41" s="170"/>
      <c r="BD41" s="170"/>
      <c r="BE41" s="170"/>
      <c r="BF41" s="170"/>
    </row>
    <row r="42" spans="2:58" ht="15.75" customHeight="1">
      <c r="B42" s="169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28"/>
      <c r="AC42" s="128"/>
      <c r="AD42" s="128"/>
      <c r="AE42" s="128"/>
      <c r="AF42" s="128"/>
      <c r="AG42" s="170"/>
      <c r="AH42" s="170"/>
      <c r="AI42" s="170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0"/>
      <c r="AU42" s="170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70"/>
    </row>
    <row r="43" spans="2:58" ht="15.75" customHeight="1">
      <c r="B43" s="169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28"/>
      <c r="AC43" s="128"/>
      <c r="AD43" s="128"/>
      <c r="AE43" s="128"/>
      <c r="AF43" s="128"/>
      <c r="AG43" s="170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0"/>
      <c r="AU43" s="170"/>
      <c r="AV43" s="170"/>
      <c r="AW43" s="170"/>
      <c r="AX43" s="170"/>
      <c r="AY43" s="170"/>
      <c r="AZ43" s="170"/>
      <c r="BA43" s="170"/>
      <c r="BB43" s="170"/>
      <c r="BC43" s="170"/>
      <c r="BD43" s="170"/>
      <c r="BE43" s="170"/>
      <c r="BF43" s="170"/>
    </row>
    <row r="44" spans="2:58" ht="15.75" customHeight="1">
      <c r="B44" s="169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28"/>
      <c r="AC44" s="128"/>
      <c r="AD44" s="128"/>
      <c r="AE44" s="128"/>
      <c r="AF44" s="128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70"/>
    </row>
    <row r="45" spans="2:58" ht="15.75" customHeight="1">
      <c r="B45" s="169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28"/>
      <c r="AC45" s="128"/>
      <c r="AD45" s="128"/>
      <c r="AE45" s="128"/>
      <c r="AF45" s="128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0"/>
      <c r="AU45" s="170"/>
      <c r="AV45" s="170"/>
      <c r="AW45" s="170"/>
      <c r="AX45" s="170"/>
      <c r="AY45" s="170"/>
      <c r="AZ45" s="170"/>
      <c r="BA45" s="170"/>
      <c r="BB45" s="170"/>
      <c r="BC45" s="170"/>
      <c r="BD45" s="170"/>
      <c r="BE45" s="170"/>
      <c r="BF45" s="170"/>
    </row>
    <row r="46" spans="2:58" ht="15.75" customHeight="1">
      <c r="B46" s="169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28"/>
      <c r="AC46" s="128"/>
      <c r="AD46" s="128"/>
      <c r="AE46" s="128"/>
      <c r="AF46" s="128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0"/>
      <c r="AS46" s="170"/>
      <c r="AT46" s="170"/>
      <c r="AU46" s="170"/>
      <c r="AV46" s="170"/>
      <c r="AW46" s="170"/>
      <c r="AX46" s="170"/>
      <c r="AY46" s="170"/>
      <c r="AZ46" s="170"/>
      <c r="BA46" s="170"/>
      <c r="BB46" s="170"/>
      <c r="BC46" s="170"/>
      <c r="BD46" s="170"/>
      <c r="BE46" s="170"/>
      <c r="BF46" s="170"/>
    </row>
    <row r="47" spans="2:58" ht="15.75" customHeight="1" thickBot="1">
      <c r="B47" s="171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28"/>
      <c r="AC47" s="128"/>
      <c r="AD47" s="128"/>
      <c r="AE47" s="128"/>
      <c r="AF47" s="128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  <c r="BE47" s="172"/>
      <c r="BF47" s="172"/>
    </row>
    <row r="48" spans="2:58" ht="15.75" customHeight="1"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140" t="s">
        <v>233</v>
      </c>
      <c r="AC48" s="141"/>
      <c r="AD48" s="141"/>
      <c r="AE48" s="141"/>
      <c r="AF48" s="142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</row>
    <row r="49" spans="2:58" ht="15.75" customHeight="1" thickBot="1">
      <c r="B49" s="61"/>
      <c r="C49" s="61"/>
      <c r="D49" s="138" t="s">
        <v>71</v>
      </c>
      <c r="E49" s="138"/>
      <c r="F49" s="61"/>
      <c r="G49" s="61"/>
      <c r="H49" s="61"/>
      <c r="I49" s="138" t="s">
        <v>72</v>
      </c>
      <c r="J49" s="138"/>
      <c r="K49" s="61"/>
      <c r="L49" s="61"/>
      <c r="M49" s="61"/>
      <c r="N49" s="138" t="s">
        <v>73</v>
      </c>
      <c r="O49" s="138"/>
      <c r="P49" s="61"/>
      <c r="Q49" s="61"/>
      <c r="R49" s="61"/>
      <c r="S49" s="138" t="s">
        <v>74</v>
      </c>
      <c r="T49" s="138"/>
      <c r="U49" s="61"/>
      <c r="V49" s="61"/>
      <c r="W49" s="61"/>
      <c r="X49" s="138" t="s">
        <v>75</v>
      </c>
      <c r="Y49" s="138"/>
      <c r="Z49" s="61"/>
      <c r="AA49" s="61"/>
      <c r="AB49" s="140"/>
      <c r="AC49" s="141"/>
      <c r="AD49" s="141"/>
      <c r="AE49" s="141"/>
      <c r="AF49" s="142"/>
      <c r="AG49" s="61"/>
      <c r="AH49" s="61"/>
      <c r="AI49" s="138" t="s">
        <v>159</v>
      </c>
      <c r="AJ49" s="138"/>
      <c r="AK49" s="61"/>
      <c r="AL49" s="61"/>
      <c r="AM49" s="61"/>
      <c r="AN49" s="138" t="s">
        <v>160</v>
      </c>
      <c r="AO49" s="138"/>
      <c r="AP49" s="61"/>
      <c r="AQ49" s="61"/>
      <c r="AR49" s="61"/>
      <c r="AS49" s="138" t="s">
        <v>161</v>
      </c>
      <c r="AT49" s="138"/>
      <c r="AU49" s="61"/>
      <c r="AV49" s="61"/>
      <c r="AW49" s="61"/>
      <c r="AX49" s="138" t="s">
        <v>162</v>
      </c>
      <c r="AY49" s="138"/>
      <c r="AZ49" s="61"/>
      <c r="BA49" s="61"/>
      <c r="BB49" s="61"/>
      <c r="BC49" s="138" t="s">
        <v>227</v>
      </c>
      <c r="BD49" s="138"/>
      <c r="BE49" s="61"/>
      <c r="BF49" s="61"/>
    </row>
    <row r="50" spans="2:58" ht="15.75" customHeight="1" thickTop="1">
      <c r="B50" s="61"/>
      <c r="C50" s="119" t="str">
        <f>'(1st+2nd) Shift Combined'!D60</f>
        <v>Not Running</v>
      </c>
      <c r="D50" s="120"/>
      <c r="E50" s="120"/>
      <c r="F50" s="121"/>
      <c r="G50" s="61"/>
      <c r="H50" s="119" t="str">
        <f>'(1st+2nd) Shift Combined'!D61</f>
        <v>Not Running</v>
      </c>
      <c r="I50" s="120"/>
      <c r="J50" s="120"/>
      <c r="K50" s="121"/>
      <c r="L50" s="61"/>
      <c r="M50" s="119" t="str">
        <f>'(1st+2nd) Shift Combined'!D62</f>
        <v>Not Running</v>
      </c>
      <c r="N50" s="120"/>
      <c r="O50" s="120"/>
      <c r="P50" s="121"/>
      <c r="Q50" s="61"/>
      <c r="R50" s="119" t="str">
        <f>'(1st+2nd) Shift Combined'!D63</f>
        <v>Not Running</v>
      </c>
      <c r="S50" s="120"/>
      <c r="T50" s="120"/>
      <c r="U50" s="121"/>
      <c r="V50" s="61"/>
      <c r="W50" s="119" t="str">
        <f>'(1st+2nd) Shift Combined'!D64</f>
        <v>Not Running</v>
      </c>
      <c r="X50" s="120"/>
      <c r="Y50" s="120"/>
      <c r="Z50" s="121"/>
      <c r="AA50" s="65"/>
      <c r="AB50" s="140"/>
      <c r="AC50" s="141"/>
      <c r="AD50" s="141"/>
      <c r="AE50" s="141"/>
      <c r="AF50" s="142"/>
      <c r="AG50" s="61"/>
      <c r="AH50" s="129" t="str">
        <f>'(1st+2nd) Shift Combined'!K60</f>
        <v>Not Running</v>
      </c>
      <c r="AI50" s="130"/>
      <c r="AJ50" s="130"/>
      <c r="AK50" s="131"/>
      <c r="AL50" s="61"/>
      <c r="AM50" s="129" t="str">
        <f>'(1st+2nd) Shift Combined'!K61</f>
        <v>Not Running</v>
      </c>
      <c r="AN50" s="130"/>
      <c r="AO50" s="130"/>
      <c r="AP50" s="131"/>
      <c r="AQ50" s="61"/>
      <c r="AR50" s="129" t="str">
        <f>'(1st+2nd) Shift Combined'!K62</f>
        <v>Not Running</v>
      </c>
      <c r="AS50" s="130"/>
      <c r="AT50" s="130"/>
      <c r="AU50" s="131"/>
      <c r="AV50" s="61"/>
      <c r="AW50" s="129" t="str">
        <f>'(1st+2nd) Shift Combined'!K63</f>
        <v>Not Running</v>
      </c>
      <c r="AX50" s="130"/>
      <c r="AY50" s="130"/>
      <c r="AZ50" s="131"/>
      <c r="BA50" s="61"/>
      <c r="BB50" s="129" t="str">
        <f>'(1st+2nd) Shift Combined'!K64</f>
        <v>Not Running</v>
      </c>
      <c r="BC50" s="130"/>
      <c r="BD50" s="130"/>
      <c r="BE50" s="131"/>
      <c r="BF50" s="61"/>
    </row>
    <row r="51" spans="2:58" ht="15.75" customHeight="1">
      <c r="B51" s="61"/>
      <c r="C51" s="122"/>
      <c r="D51" s="123"/>
      <c r="E51" s="123"/>
      <c r="F51" s="124"/>
      <c r="G51" s="71"/>
      <c r="H51" s="122"/>
      <c r="I51" s="123"/>
      <c r="J51" s="123"/>
      <c r="K51" s="124"/>
      <c r="L51" s="62"/>
      <c r="M51" s="122"/>
      <c r="N51" s="123"/>
      <c r="O51" s="123"/>
      <c r="P51" s="124"/>
      <c r="Q51" s="70"/>
      <c r="R51" s="122"/>
      <c r="S51" s="123"/>
      <c r="T51" s="123"/>
      <c r="U51" s="124"/>
      <c r="V51" s="61"/>
      <c r="W51" s="122"/>
      <c r="X51" s="123"/>
      <c r="Y51" s="123"/>
      <c r="Z51" s="124"/>
      <c r="AA51" s="65"/>
      <c r="AB51" s="140"/>
      <c r="AC51" s="141"/>
      <c r="AD51" s="141"/>
      <c r="AE51" s="141"/>
      <c r="AF51" s="142"/>
      <c r="AG51" s="61"/>
      <c r="AH51" s="132"/>
      <c r="AI51" s="133"/>
      <c r="AJ51" s="133"/>
      <c r="AK51" s="134"/>
      <c r="AL51" s="62"/>
      <c r="AM51" s="132"/>
      <c r="AN51" s="133"/>
      <c r="AO51" s="133"/>
      <c r="AP51" s="134"/>
      <c r="AQ51" s="61"/>
      <c r="AR51" s="132"/>
      <c r="AS51" s="133"/>
      <c r="AT51" s="133"/>
      <c r="AU51" s="134"/>
      <c r="AV51" s="61"/>
      <c r="AW51" s="132"/>
      <c r="AX51" s="133"/>
      <c r="AY51" s="133"/>
      <c r="AZ51" s="134"/>
      <c r="BA51" s="61"/>
      <c r="BB51" s="132"/>
      <c r="BC51" s="133"/>
      <c r="BD51" s="133"/>
      <c r="BE51" s="134"/>
      <c r="BF51" s="61"/>
    </row>
    <row r="52" spans="2:58" ht="15.75" customHeight="1" thickBot="1">
      <c r="B52" s="61"/>
      <c r="C52" s="125"/>
      <c r="D52" s="126"/>
      <c r="E52" s="126"/>
      <c r="F52" s="127"/>
      <c r="G52" s="62"/>
      <c r="H52" s="125"/>
      <c r="I52" s="126"/>
      <c r="J52" s="126"/>
      <c r="K52" s="127"/>
      <c r="L52" s="61"/>
      <c r="M52" s="125"/>
      <c r="N52" s="126"/>
      <c r="O52" s="126"/>
      <c r="P52" s="127"/>
      <c r="Q52" s="61"/>
      <c r="R52" s="125"/>
      <c r="S52" s="126"/>
      <c r="T52" s="126"/>
      <c r="U52" s="127"/>
      <c r="V52" s="61"/>
      <c r="W52" s="125"/>
      <c r="X52" s="126"/>
      <c r="Y52" s="126"/>
      <c r="Z52" s="127"/>
      <c r="AA52" s="65"/>
      <c r="AB52" s="140"/>
      <c r="AC52" s="141"/>
      <c r="AD52" s="141"/>
      <c r="AE52" s="141"/>
      <c r="AF52" s="142"/>
      <c r="AG52" s="61"/>
      <c r="AH52" s="135"/>
      <c r="AI52" s="136"/>
      <c r="AJ52" s="136"/>
      <c r="AK52" s="137"/>
      <c r="AL52" s="62"/>
      <c r="AM52" s="135"/>
      <c r="AN52" s="136"/>
      <c r="AO52" s="136"/>
      <c r="AP52" s="137"/>
      <c r="AQ52" s="61"/>
      <c r="AR52" s="135"/>
      <c r="AS52" s="136"/>
      <c r="AT52" s="136"/>
      <c r="AU52" s="137"/>
      <c r="AV52" s="61"/>
      <c r="AW52" s="135"/>
      <c r="AX52" s="136"/>
      <c r="AY52" s="136"/>
      <c r="AZ52" s="137"/>
      <c r="BA52" s="61"/>
      <c r="BB52" s="135"/>
      <c r="BC52" s="136"/>
      <c r="BD52" s="136"/>
      <c r="BE52" s="137"/>
      <c r="BF52" s="61"/>
    </row>
    <row r="53" spans="2:58" ht="15.75" customHeight="1" thickTop="1">
      <c r="B53" s="61"/>
      <c r="C53" s="62"/>
      <c r="D53" s="139" t="str">
        <f>'(1st+2nd) Shift Combined'!G60</f>
        <v/>
      </c>
      <c r="E53" s="139"/>
      <c r="F53" s="62"/>
      <c r="G53" s="61"/>
      <c r="H53" s="62"/>
      <c r="I53" s="139" t="str">
        <f>'(1st+2nd) Shift Combined'!G61</f>
        <v/>
      </c>
      <c r="J53" s="139"/>
      <c r="K53" s="62"/>
      <c r="L53" s="61"/>
      <c r="M53" s="63"/>
      <c r="N53" s="139" t="str">
        <f>'(1st+2nd) Shift Combined'!G62</f>
        <v/>
      </c>
      <c r="O53" s="139"/>
      <c r="P53" s="63"/>
      <c r="Q53" s="61"/>
      <c r="R53" s="63"/>
      <c r="S53" s="139" t="str">
        <f>'(1st+2nd) Shift Combined'!G63</f>
        <v/>
      </c>
      <c r="T53" s="139"/>
      <c r="U53" s="63"/>
      <c r="V53" s="61"/>
      <c r="W53" s="63"/>
      <c r="X53" s="139" t="str">
        <f>'(1st+2nd) Shift Combined'!G64</f>
        <v/>
      </c>
      <c r="Y53" s="139"/>
      <c r="Z53" s="63"/>
      <c r="AA53" s="61"/>
      <c r="AB53" s="140"/>
      <c r="AC53" s="141"/>
      <c r="AD53" s="141"/>
      <c r="AE53" s="141"/>
      <c r="AF53" s="142"/>
      <c r="AG53" s="61"/>
      <c r="AH53" s="62"/>
      <c r="AI53" s="139" t="str">
        <f>'(1st+2nd) Shift Combined'!N60</f>
        <v/>
      </c>
      <c r="AJ53" s="139"/>
      <c r="AK53" s="62"/>
      <c r="AL53" s="61"/>
      <c r="AM53" s="62"/>
      <c r="AN53" s="139" t="str">
        <f>'(1st+2nd) Shift Combined'!N61</f>
        <v/>
      </c>
      <c r="AO53" s="139"/>
      <c r="AP53" s="62"/>
      <c r="AQ53" s="61"/>
      <c r="AR53" s="63"/>
      <c r="AS53" s="139" t="str">
        <f>'(1st+2nd) Shift Combined'!N62</f>
        <v/>
      </c>
      <c r="AT53" s="139"/>
      <c r="AU53" s="63"/>
      <c r="AV53" s="61"/>
      <c r="AW53" s="63"/>
      <c r="AX53" s="139" t="str">
        <f>'(1st+2nd) Shift Combined'!N63</f>
        <v/>
      </c>
      <c r="AY53" s="139"/>
      <c r="AZ53" s="63"/>
      <c r="BA53" s="61"/>
      <c r="BB53" s="63"/>
      <c r="BC53" s="139" t="str">
        <f>'(1st+2nd) Shift Combined'!N64</f>
        <v/>
      </c>
      <c r="BD53" s="139"/>
      <c r="BE53" s="63"/>
      <c r="BF53" s="61"/>
    </row>
    <row r="54" spans="2:58" ht="15.75" customHeight="1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140"/>
      <c r="AC54" s="141"/>
      <c r="AD54" s="141"/>
      <c r="AE54" s="141"/>
      <c r="AF54" s="142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</row>
    <row r="55" spans="2:58" ht="15.75" customHeight="1" thickBot="1">
      <c r="B55" s="61"/>
      <c r="C55" s="64"/>
      <c r="D55" s="138" t="s">
        <v>76</v>
      </c>
      <c r="E55" s="138"/>
      <c r="F55" s="64"/>
      <c r="G55" s="61"/>
      <c r="H55" s="64"/>
      <c r="I55" s="138" t="s">
        <v>77</v>
      </c>
      <c r="J55" s="138"/>
      <c r="K55" s="64"/>
      <c r="L55" s="61"/>
      <c r="M55" s="67"/>
      <c r="N55" s="138" t="s">
        <v>78</v>
      </c>
      <c r="O55" s="138"/>
      <c r="P55" s="62"/>
      <c r="Q55" s="61"/>
      <c r="R55" s="64"/>
      <c r="S55" s="138" t="s">
        <v>79</v>
      </c>
      <c r="T55" s="138"/>
      <c r="U55" s="64"/>
      <c r="V55" s="61"/>
      <c r="W55" s="64"/>
      <c r="X55" s="138" t="s">
        <v>80</v>
      </c>
      <c r="Y55" s="138"/>
      <c r="Z55" s="64"/>
      <c r="AA55" s="61"/>
      <c r="AB55" s="140"/>
      <c r="AC55" s="141"/>
      <c r="AD55" s="141"/>
      <c r="AE55" s="141"/>
      <c r="AF55" s="142"/>
      <c r="AG55" s="61"/>
      <c r="AH55" s="64"/>
      <c r="AI55" s="138" t="s">
        <v>163</v>
      </c>
      <c r="AJ55" s="138"/>
      <c r="AK55" s="64"/>
      <c r="AL55" s="61"/>
      <c r="AM55" s="64"/>
      <c r="AN55" s="138" t="s">
        <v>164</v>
      </c>
      <c r="AO55" s="138"/>
      <c r="AP55" s="64"/>
      <c r="AQ55" s="61"/>
      <c r="AR55" s="67"/>
      <c r="AS55" s="138" t="s">
        <v>165</v>
      </c>
      <c r="AT55" s="138"/>
      <c r="AU55" s="62"/>
      <c r="AV55" s="61"/>
      <c r="AW55" s="64"/>
      <c r="AX55" s="138" t="s">
        <v>166</v>
      </c>
      <c r="AY55" s="138"/>
      <c r="AZ55" s="64"/>
      <c r="BA55" s="61"/>
      <c r="BB55" s="64"/>
      <c r="BC55" s="138" t="s">
        <v>226</v>
      </c>
      <c r="BD55" s="138"/>
      <c r="BE55" s="64"/>
      <c r="BF55" s="61"/>
    </row>
    <row r="56" spans="2:58" ht="15.75" customHeight="1" thickTop="1">
      <c r="B56" s="61"/>
      <c r="C56" s="119" t="str">
        <f>'(1st+2nd) Shift Combined'!D65</f>
        <v>Not Running</v>
      </c>
      <c r="D56" s="120"/>
      <c r="E56" s="120"/>
      <c r="F56" s="121"/>
      <c r="G56" s="61"/>
      <c r="H56" s="119" t="str">
        <f>'(1st+2nd) Shift Combined'!D66</f>
        <v>Not Running</v>
      </c>
      <c r="I56" s="120"/>
      <c r="J56" s="120"/>
      <c r="K56" s="121"/>
      <c r="L56" s="61"/>
      <c r="M56" s="119" t="str">
        <f>'(1st+2nd) Shift Combined'!D67</f>
        <v>Not Running</v>
      </c>
      <c r="N56" s="120"/>
      <c r="O56" s="120"/>
      <c r="P56" s="121"/>
      <c r="Q56" s="61"/>
      <c r="R56" s="119" t="str">
        <f>'(1st+2nd) Shift Combined'!D68</f>
        <v>Not Running</v>
      </c>
      <c r="S56" s="120"/>
      <c r="T56" s="120"/>
      <c r="U56" s="121"/>
      <c r="V56" s="61"/>
      <c r="W56" s="119" t="str">
        <f>'(1st+2nd) Shift Combined'!D69</f>
        <v>Not Running</v>
      </c>
      <c r="X56" s="120"/>
      <c r="Y56" s="120"/>
      <c r="Z56" s="121"/>
      <c r="AA56" s="65"/>
      <c r="AB56" s="140"/>
      <c r="AC56" s="141"/>
      <c r="AD56" s="141"/>
      <c r="AE56" s="141"/>
      <c r="AF56" s="142"/>
      <c r="AG56" s="61"/>
      <c r="AH56" s="129" t="str">
        <f>'(1st+2nd) Shift Combined'!K65</f>
        <v>Not Running</v>
      </c>
      <c r="AI56" s="130"/>
      <c r="AJ56" s="130"/>
      <c r="AK56" s="131"/>
      <c r="AL56" s="61"/>
      <c r="AM56" s="129" t="str">
        <f>'(1st+2nd) Shift Combined'!K66</f>
        <v>Not Running</v>
      </c>
      <c r="AN56" s="130"/>
      <c r="AO56" s="130"/>
      <c r="AP56" s="131"/>
      <c r="AQ56" s="61"/>
      <c r="AR56" s="129" t="str">
        <f>'(1st+2nd) Shift Combined'!K67</f>
        <v>Not Running</v>
      </c>
      <c r="AS56" s="130"/>
      <c r="AT56" s="130"/>
      <c r="AU56" s="131"/>
      <c r="AV56" s="61"/>
      <c r="AW56" s="129" t="str">
        <f>'(1st+2nd) Shift Combined'!K68</f>
        <v>Not Running</v>
      </c>
      <c r="AX56" s="130"/>
      <c r="AY56" s="130"/>
      <c r="AZ56" s="131"/>
      <c r="BA56" s="61"/>
      <c r="BB56" s="129" t="str">
        <f>'(1st+2nd) Shift Combined'!K69</f>
        <v>Not Running</v>
      </c>
      <c r="BC56" s="130"/>
      <c r="BD56" s="130"/>
      <c r="BE56" s="131"/>
      <c r="BF56" s="61"/>
    </row>
    <row r="57" spans="2:58" ht="15.75" customHeight="1">
      <c r="B57" s="61"/>
      <c r="C57" s="122"/>
      <c r="D57" s="123"/>
      <c r="E57" s="123"/>
      <c r="F57" s="124"/>
      <c r="G57" s="61"/>
      <c r="H57" s="122"/>
      <c r="I57" s="123"/>
      <c r="J57" s="123"/>
      <c r="K57" s="124"/>
      <c r="L57" s="68"/>
      <c r="M57" s="122"/>
      <c r="N57" s="123"/>
      <c r="O57" s="123"/>
      <c r="P57" s="124"/>
      <c r="Q57" s="69"/>
      <c r="R57" s="122"/>
      <c r="S57" s="123"/>
      <c r="T57" s="123"/>
      <c r="U57" s="124"/>
      <c r="V57" s="61"/>
      <c r="W57" s="122"/>
      <c r="X57" s="123"/>
      <c r="Y57" s="123"/>
      <c r="Z57" s="124"/>
      <c r="AA57" s="65"/>
      <c r="AB57" s="140"/>
      <c r="AC57" s="141"/>
      <c r="AD57" s="141"/>
      <c r="AE57" s="141"/>
      <c r="AF57" s="142"/>
      <c r="AG57" s="61"/>
      <c r="AH57" s="132"/>
      <c r="AI57" s="133"/>
      <c r="AJ57" s="133"/>
      <c r="AK57" s="134"/>
      <c r="AL57" s="62"/>
      <c r="AM57" s="132"/>
      <c r="AN57" s="133"/>
      <c r="AO57" s="133"/>
      <c r="AP57" s="134"/>
      <c r="AQ57" s="61"/>
      <c r="AR57" s="132"/>
      <c r="AS57" s="133"/>
      <c r="AT57" s="133"/>
      <c r="AU57" s="134"/>
      <c r="AV57" s="61"/>
      <c r="AW57" s="132"/>
      <c r="AX57" s="133"/>
      <c r="AY57" s="133"/>
      <c r="AZ57" s="134"/>
      <c r="BA57" s="61"/>
      <c r="BB57" s="132"/>
      <c r="BC57" s="133"/>
      <c r="BD57" s="133"/>
      <c r="BE57" s="134"/>
      <c r="BF57" s="61"/>
    </row>
    <row r="58" spans="2:58" ht="15.75" customHeight="1" thickBot="1">
      <c r="B58" s="61"/>
      <c r="C58" s="125"/>
      <c r="D58" s="126"/>
      <c r="E58" s="126"/>
      <c r="F58" s="127"/>
      <c r="G58" s="61"/>
      <c r="H58" s="125"/>
      <c r="I58" s="126"/>
      <c r="J58" s="126"/>
      <c r="K58" s="127"/>
      <c r="L58" s="61"/>
      <c r="M58" s="125"/>
      <c r="N58" s="126"/>
      <c r="O58" s="126"/>
      <c r="P58" s="127"/>
      <c r="Q58" s="61"/>
      <c r="R58" s="125"/>
      <c r="S58" s="126"/>
      <c r="T58" s="126"/>
      <c r="U58" s="127"/>
      <c r="V58" s="61"/>
      <c r="W58" s="125"/>
      <c r="X58" s="126"/>
      <c r="Y58" s="126"/>
      <c r="Z58" s="127"/>
      <c r="AA58" s="65"/>
      <c r="AB58" s="140"/>
      <c r="AC58" s="141"/>
      <c r="AD58" s="141"/>
      <c r="AE58" s="141"/>
      <c r="AF58" s="142"/>
      <c r="AG58" s="61"/>
      <c r="AH58" s="135"/>
      <c r="AI58" s="136"/>
      <c r="AJ58" s="136"/>
      <c r="AK58" s="137"/>
      <c r="AL58" s="62"/>
      <c r="AM58" s="135"/>
      <c r="AN58" s="136"/>
      <c r="AO58" s="136"/>
      <c r="AP58" s="137"/>
      <c r="AQ58" s="61"/>
      <c r="AR58" s="135"/>
      <c r="AS58" s="136"/>
      <c r="AT58" s="136"/>
      <c r="AU58" s="137"/>
      <c r="AV58" s="61"/>
      <c r="AW58" s="135"/>
      <c r="AX58" s="136"/>
      <c r="AY58" s="136"/>
      <c r="AZ58" s="137"/>
      <c r="BA58" s="61"/>
      <c r="BB58" s="135"/>
      <c r="BC58" s="136"/>
      <c r="BD58" s="136"/>
      <c r="BE58" s="137"/>
      <c r="BF58" s="61"/>
    </row>
    <row r="59" spans="2:58" ht="15.75" customHeight="1" thickTop="1">
      <c r="B59" s="61"/>
      <c r="C59" s="62"/>
      <c r="D59" s="139" t="str">
        <f>'(1st+2nd) Shift Combined'!G65</f>
        <v/>
      </c>
      <c r="E59" s="139"/>
      <c r="F59" s="62"/>
      <c r="G59" s="61"/>
      <c r="H59" s="62"/>
      <c r="I59" s="139" t="str">
        <f>'(1st+2nd) Shift Combined'!G66</f>
        <v/>
      </c>
      <c r="J59" s="139"/>
      <c r="K59" s="62"/>
      <c r="L59" s="61"/>
      <c r="M59" s="63"/>
      <c r="N59" s="139" t="str">
        <f>'(1st+2nd) Shift Combined'!G67</f>
        <v/>
      </c>
      <c r="O59" s="139"/>
      <c r="P59" s="63"/>
      <c r="Q59" s="61"/>
      <c r="R59" s="63"/>
      <c r="S59" s="139" t="str">
        <f>'(1st+2nd) Shift Combined'!G68</f>
        <v/>
      </c>
      <c r="T59" s="139"/>
      <c r="U59" s="63"/>
      <c r="V59" s="61"/>
      <c r="W59" s="63"/>
      <c r="X59" s="139" t="str">
        <f>'(1st+2nd) Shift Combined'!G69</f>
        <v/>
      </c>
      <c r="Y59" s="139"/>
      <c r="Z59" s="63"/>
      <c r="AA59" s="61"/>
      <c r="AB59" s="140"/>
      <c r="AC59" s="141"/>
      <c r="AD59" s="141"/>
      <c r="AE59" s="141"/>
      <c r="AF59" s="142"/>
      <c r="AG59" s="61"/>
      <c r="AH59" s="62"/>
      <c r="AI59" s="139" t="str">
        <f>'(1st+2nd) Shift Combined'!N65</f>
        <v/>
      </c>
      <c r="AJ59" s="139"/>
      <c r="AK59" s="62"/>
      <c r="AL59" s="61"/>
      <c r="AM59" s="62"/>
      <c r="AN59" s="139" t="str">
        <f>'(1st+2nd) Shift Combined'!N66</f>
        <v/>
      </c>
      <c r="AO59" s="139"/>
      <c r="AP59" s="62"/>
      <c r="AQ59" s="61"/>
      <c r="AR59" s="63"/>
      <c r="AS59" s="139" t="str">
        <f>'(1st+2nd) Shift Combined'!N67</f>
        <v/>
      </c>
      <c r="AT59" s="139"/>
      <c r="AU59" s="63"/>
      <c r="AV59" s="61"/>
      <c r="AW59" s="63"/>
      <c r="AX59" s="139" t="str">
        <f>'(1st+2nd) Shift Combined'!N68</f>
        <v/>
      </c>
      <c r="AY59" s="139"/>
      <c r="AZ59" s="63"/>
      <c r="BA59" s="61"/>
      <c r="BB59" s="63"/>
      <c r="BC59" s="139" t="str">
        <f>'(1st+2nd) Shift Combined'!N69</f>
        <v/>
      </c>
      <c r="BD59" s="139"/>
      <c r="BE59" s="63"/>
      <c r="BF59" s="61"/>
    </row>
    <row r="60" spans="2:58" ht="15.75" customHeight="1"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140"/>
      <c r="AC60" s="141"/>
      <c r="AD60" s="141"/>
      <c r="AE60" s="141"/>
      <c r="AF60" s="142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</row>
    <row r="61" spans="2:58" ht="15.75" customHeight="1" thickBot="1">
      <c r="B61" s="61"/>
      <c r="C61" s="61"/>
      <c r="D61" s="138" t="s">
        <v>81</v>
      </c>
      <c r="E61" s="138"/>
      <c r="F61" s="61"/>
      <c r="G61" s="61"/>
      <c r="H61" s="61"/>
      <c r="I61" s="138" t="s">
        <v>82</v>
      </c>
      <c r="J61" s="138"/>
      <c r="K61" s="61"/>
      <c r="L61" s="61"/>
      <c r="M61" s="61"/>
      <c r="N61" s="138" t="s">
        <v>83</v>
      </c>
      <c r="O61" s="138"/>
      <c r="P61" s="61"/>
      <c r="Q61" s="61"/>
      <c r="R61" s="61"/>
      <c r="S61" s="138" t="s">
        <v>84</v>
      </c>
      <c r="T61" s="138"/>
      <c r="U61" s="61"/>
      <c r="V61" s="61"/>
      <c r="W61" s="61"/>
      <c r="X61" s="138" t="s">
        <v>85</v>
      </c>
      <c r="Y61" s="138"/>
      <c r="Z61" s="61"/>
      <c r="AA61" s="61"/>
      <c r="AB61" s="140"/>
      <c r="AC61" s="141"/>
      <c r="AD61" s="141"/>
      <c r="AE61" s="141"/>
      <c r="AF61" s="142"/>
      <c r="AG61" s="61"/>
      <c r="AH61" s="61"/>
      <c r="AI61" s="138" t="s">
        <v>167</v>
      </c>
      <c r="AJ61" s="138"/>
      <c r="AK61" s="61"/>
      <c r="AL61" s="61"/>
      <c r="AM61" s="61"/>
      <c r="AN61" s="138" t="s">
        <v>168</v>
      </c>
      <c r="AO61" s="138"/>
      <c r="AP61" s="61"/>
      <c r="AQ61" s="61"/>
      <c r="AR61" s="61"/>
      <c r="AS61" s="138" t="s">
        <v>169</v>
      </c>
      <c r="AT61" s="138"/>
      <c r="AU61" s="61"/>
      <c r="AV61" s="61"/>
      <c r="AW61" s="61"/>
      <c r="AX61" s="138" t="s">
        <v>170</v>
      </c>
      <c r="AY61" s="138"/>
      <c r="AZ61" s="61"/>
      <c r="BA61" s="61"/>
      <c r="BB61" s="61"/>
      <c r="BC61" s="138" t="s">
        <v>225</v>
      </c>
      <c r="BD61" s="138"/>
      <c r="BE61" s="61"/>
      <c r="BF61" s="61"/>
    </row>
    <row r="62" spans="2:58" ht="15.75" customHeight="1" thickTop="1">
      <c r="B62" s="61"/>
      <c r="C62" s="119" t="str">
        <f>'(1st+2nd) Shift Combined'!D70</f>
        <v>Not Running</v>
      </c>
      <c r="D62" s="120"/>
      <c r="E62" s="120"/>
      <c r="F62" s="121"/>
      <c r="G62" s="61"/>
      <c r="H62" s="119" t="str">
        <f>'(1st+2nd) Shift Combined'!D71</f>
        <v>Not Running</v>
      </c>
      <c r="I62" s="120"/>
      <c r="J62" s="120"/>
      <c r="K62" s="121"/>
      <c r="L62" s="61"/>
      <c r="M62" s="119" t="str">
        <f>'(1st+2nd) Shift Combined'!D72</f>
        <v>Not Running</v>
      </c>
      <c r="N62" s="120"/>
      <c r="O62" s="120"/>
      <c r="P62" s="121"/>
      <c r="Q62" s="61"/>
      <c r="R62" s="119" t="str">
        <f>'(1st+2nd) Shift Combined'!D73</f>
        <v>Not Running</v>
      </c>
      <c r="S62" s="120"/>
      <c r="T62" s="120"/>
      <c r="U62" s="121"/>
      <c r="V62" s="61"/>
      <c r="W62" s="119" t="str">
        <f>'(1st+2nd) Shift Combined'!D74</f>
        <v>Not Running</v>
      </c>
      <c r="X62" s="120"/>
      <c r="Y62" s="120"/>
      <c r="Z62" s="121"/>
      <c r="AA62" s="65"/>
      <c r="AB62" s="140"/>
      <c r="AC62" s="141"/>
      <c r="AD62" s="141"/>
      <c r="AE62" s="141"/>
      <c r="AF62" s="142"/>
      <c r="AG62" s="61"/>
      <c r="AH62" s="129" t="str">
        <f>'(1st+2nd) Shift Combined'!K70</f>
        <v>Not Running</v>
      </c>
      <c r="AI62" s="130"/>
      <c r="AJ62" s="130"/>
      <c r="AK62" s="131"/>
      <c r="AL62" s="61"/>
      <c r="AM62" s="129" t="str">
        <f>'(1st+2nd) Shift Combined'!K71</f>
        <v>Not Running</v>
      </c>
      <c r="AN62" s="130"/>
      <c r="AO62" s="130"/>
      <c r="AP62" s="131"/>
      <c r="AQ62" s="61"/>
      <c r="AR62" s="129" t="str">
        <f>'(1st+2nd) Shift Combined'!K72</f>
        <v>Not Running</v>
      </c>
      <c r="AS62" s="130"/>
      <c r="AT62" s="130"/>
      <c r="AU62" s="131"/>
      <c r="AV62" s="61"/>
      <c r="AW62" s="129" t="str">
        <f>'(1st+2nd) Shift Combined'!K73</f>
        <v>Not Running</v>
      </c>
      <c r="AX62" s="130"/>
      <c r="AY62" s="130"/>
      <c r="AZ62" s="131"/>
      <c r="BA62" s="61"/>
      <c r="BB62" s="129" t="str">
        <f>'(1st+2nd) Shift Combined'!K74</f>
        <v>Not Running</v>
      </c>
      <c r="BC62" s="130"/>
      <c r="BD62" s="130"/>
      <c r="BE62" s="131"/>
      <c r="BF62" s="61"/>
    </row>
    <row r="63" spans="2:58" ht="15.75" customHeight="1">
      <c r="B63" s="61"/>
      <c r="C63" s="122"/>
      <c r="D63" s="123"/>
      <c r="E63" s="123"/>
      <c r="F63" s="124"/>
      <c r="G63" s="62"/>
      <c r="H63" s="122"/>
      <c r="I63" s="123"/>
      <c r="J63" s="123"/>
      <c r="K63" s="124"/>
      <c r="L63" s="61"/>
      <c r="M63" s="122"/>
      <c r="N63" s="123"/>
      <c r="O63" s="123"/>
      <c r="P63" s="124"/>
      <c r="Q63" s="61"/>
      <c r="R63" s="122"/>
      <c r="S63" s="123"/>
      <c r="T63" s="123"/>
      <c r="U63" s="124"/>
      <c r="V63" s="61"/>
      <c r="W63" s="122"/>
      <c r="X63" s="123"/>
      <c r="Y63" s="123"/>
      <c r="Z63" s="124"/>
      <c r="AA63" s="65"/>
      <c r="AB63" s="140"/>
      <c r="AC63" s="141"/>
      <c r="AD63" s="141"/>
      <c r="AE63" s="141"/>
      <c r="AF63" s="142"/>
      <c r="AG63" s="61"/>
      <c r="AH63" s="132"/>
      <c r="AI63" s="133"/>
      <c r="AJ63" s="133"/>
      <c r="AK63" s="134"/>
      <c r="AL63" s="62"/>
      <c r="AM63" s="132"/>
      <c r="AN63" s="133"/>
      <c r="AO63" s="133"/>
      <c r="AP63" s="134"/>
      <c r="AQ63" s="61"/>
      <c r="AR63" s="132"/>
      <c r="AS63" s="133"/>
      <c r="AT63" s="133"/>
      <c r="AU63" s="134"/>
      <c r="AV63" s="61"/>
      <c r="AW63" s="132"/>
      <c r="AX63" s="133"/>
      <c r="AY63" s="133"/>
      <c r="AZ63" s="134"/>
      <c r="BA63" s="61"/>
      <c r="BB63" s="132"/>
      <c r="BC63" s="133"/>
      <c r="BD63" s="133"/>
      <c r="BE63" s="134"/>
      <c r="BF63" s="61"/>
    </row>
    <row r="64" spans="2:58" ht="15.75" customHeight="1" thickBot="1">
      <c r="B64" s="61"/>
      <c r="C64" s="125"/>
      <c r="D64" s="126"/>
      <c r="E64" s="126"/>
      <c r="F64" s="127"/>
      <c r="G64" s="62"/>
      <c r="H64" s="125"/>
      <c r="I64" s="126"/>
      <c r="J64" s="126"/>
      <c r="K64" s="127"/>
      <c r="L64" s="61"/>
      <c r="M64" s="125"/>
      <c r="N64" s="126"/>
      <c r="O64" s="126"/>
      <c r="P64" s="127"/>
      <c r="Q64" s="61"/>
      <c r="R64" s="125"/>
      <c r="S64" s="126"/>
      <c r="T64" s="126"/>
      <c r="U64" s="127"/>
      <c r="V64" s="61"/>
      <c r="W64" s="125"/>
      <c r="X64" s="126"/>
      <c r="Y64" s="126"/>
      <c r="Z64" s="127"/>
      <c r="AA64" s="65"/>
      <c r="AB64" s="140"/>
      <c r="AC64" s="141"/>
      <c r="AD64" s="141"/>
      <c r="AE64" s="141"/>
      <c r="AF64" s="142"/>
      <c r="AG64" s="61"/>
      <c r="AH64" s="135"/>
      <c r="AI64" s="136"/>
      <c r="AJ64" s="136"/>
      <c r="AK64" s="137"/>
      <c r="AL64" s="62"/>
      <c r="AM64" s="135"/>
      <c r="AN64" s="136"/>
      <c r="AO64" s="136"/>
      <c r="AP64" s="137"/>
      <c r="AQ64" s="61"/>
      <c r="AR64" s="135"/>
      <c r="AS64" s="136"/>
      <c r="AT64" s="136"/>
      <c r="AU64" s="137"/>
      <c r="AV64" s="61"/>
      <c r="AW64" s="135"/>
      <c r="AX64" s="136"/>
      <c r="AY64" s="136"/>
      <c r="AZ64" s="137"/>
      <c r="BA64" s="61"/>
      <c r="BB64" s="135"/>
      <c r="BC64" s="136"/>
      <c r="BD64" s="136"/>
      <c r="BE64" s="137"/>
      <c r="BF64" s="61"/>
    </row>
    <row r="65" spans="2:58" ht="15.75" customHeight="1" thickTop="1">
      <c r="B65" s="61"/>
      <c r="C65" s="62"/>
      <c r="D65" s="139" t="str">
        <f>'(1st+2nd) Shift Combined'!G70</f>
        <v/>
      </c>
      <c r="E65" s="139"/>
      <c r="F65" s="62"/>
      <c r="G65" s="61"/>
      <c r="H65" s="62"/>
      <c r="I65" s="139" t="str">
        <f>'(1st+2nd) Shift Combined'!G71</f>
        <v/>
      </c>
      <c r="J65" s="139"/>
      <c r="K65" s="62"/>
      <c r="L65" s="61"/>
      <c r="M65" s="63"/>
      <c r="N65" s="139" t="str">
        <f>'(1st+2nd) Shift Combined'!G72</f>
        <v/>
      </c>
      <c r="O65" s="139"/>
      <c r="P65" s="63"/>
      <c r="Q65" s="61"/>
      <c r="R65" s="63"/>
      <c r="S65" s="139" t="str">
        <f>'(1st+2nd) Shift Combined'!G73</f>
        <v/>
      </c>
      <c r="T65" s="139"/>
      <c r="U65" s="63"/>
      <c r="V65" s="61"/>
      <c r="W65" s="63"/>
      <c r="X65" s="139" t="str">
        <f>'(1st+2nd) Shift Combined'!G74</f>
        <v/>
      </c>
      <c r="Y65" s="139"/>
      <c r="Z65" s="63"/>
      <c r="AA65" s="61"/>
      <c r="AB65" s="140"/>
      <c r="AC65" s="141"/>
      <c r="AD65" s="141"/>
      <c r="AE65" s="141"/>
      <c r="AF65" s="142"/>
      <c r="AG65" s="61"/>
      <c r="AH65" s="62"/>
      <c r="AI65" s="139" t="str">
        <f>'(1st+2nd) Shift Combined'!N70</f>
        <v/>
      </c>
      <c r="AJ65" s="139"/>
      <c r="AK65" s="62"/>
      <c r="AL65" s="61"/>
      <c r="AM65" s="62"/>
      <c r="AN65" s="139" t="str">
        <f>'(1st+2nd) Shift Combined'!N71</f>
        <v/>
      </c>
      <c r="AO65" s="139"/>
      <c r="AP65" s="62"/>
      <c r="AQ65" s="61"/>
      <c r="AR65" s="63"/>
      <c r="AS65" s="139" t="str">
        <f>'(1st+2nd) Shift Combined'!N72</f>
        <v/>
      </c>
      <c r="AT65" s="139"/>
      <c r="AU65" s="63"/>
      <c r="AV65" s="61"/>
      <c r="AW65" s="63"/>
      <c r="AX65" s="139" t="str">
        <f>'(1st+2nd) Shift Combined'!N73</f>
        <v/>
      </c>
      <c r="AY65" s="139"/>
      <c r="AZ65" s="63"/>
      <c r="BA65" s="61"/>
      <c r="BB65" s="63"/>
      <c r="BC65" s="139" t="str">
        <f>'(1st+2nd) Shift Combined'!N74</f>
        <v/>
      </c>
      <c r="BD65" s="139"/>
      <c r="BE65" s="63"/>
      <c r="BF65" s="61"/>
    </row>
    <row r="66" spans="2:58" ht="15.75" customHeight="1"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140"/>
      <c r="AC66" s="141"/>
      <c r="AD66" s="141"/>
      <c r="AE66" s="141"/>
      <c r="AF66" s="142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</row>
    <row r="67" spans="2:58" ht="15.75" customHeight="1" thickBot="1">
      <c r="B67" s="61"/>
      <c r="C67" s="64"/>
      <c r="D67" s="138" t="s">
        <v>86</v>
      </c>
      <c r="E67" s="138"/>
      <c r="F67" s="64"/>
      <c r="G67" s="61"/>
      <c r="H67" s="64"/>
      <c r="I67" s="138" t="s">
        <v>87</v>
      </c>
      <c r="J67" s="138"/>
      <c r="K67" s="64"/>
      <c r="L67" s="61"/>
      <c r="M67" s="64"/>
      <c r="N67" s="138" t="s">
        <v>88</v>
      </c>
      <c r="O67" s="138"/>
      <c r="P67" s="64"/>
      <c r="Q67" s="61"/>
      <c r="R67" s="64"/>
      <c r="S67" s="138" t="s">
        <v>89</v>
      </c>
      <c r="T67" s="138"/>
      <c r="U67" s="64"/>
      <c r="V67" s="61"/>
      <c r="W67" s="64"/>
      <c r="X67" s="138" t="s">
        <v>90</v>
      </c>
      <c r="Y67" s="138"/>
      <c r="Z67" s="64"/>
      <c r="AA67" s="61"/>
      <c r="AB67" s="140"/>
      <c r="AC67" s="141"/>
      <c r="AD67" s="141"/>
      <c r="AE67" s="141"/>
      <c r="AF67" s="142"/>
      <c r="AG67" s="61"/>
      <c r="AH67" s="64"/>
      <c r="AI67" s="138" t="s">
        <v>174</v>
      </c>
      <c r="AJ67" s="138"/>
      <c r="AK67" s="64"/>
      <c r="AL67" s="61"/>
      <c r="AM67" s="64"/>
      <c r="AN67" s="138" t="s">
        <v>173</v>
      </c>
      <c r="AO67" s="138"/>
      <c r="AP67" s="64"/>
      <c r="AQ67" s="61"/>
      <c r="AR67" s="64"/>
      <c r="AS67" s="138" t="s">
        <v>172</v>
      </c>
      <c r="AT67" s="138"/>
      <c r="AU67" s="64"/>
      <c r="AV67" s="61"/>
      <c r="AW67" s="64"/>
      <c r="AX67" s="138" t="s">
        <v>171</v>
      </c>
      <c r="AY67" s="138"/>
      <c r="AZ67" s="64"/>
      <c r="BA67" s="61"/>
      <c r="BB67" s="64"/>
      <c r="BC67" s="138" t="s">
        <v>224</v>
      </c>
      <c r="BD67" s="138"/>
      <c r="BE67" s="64"/>
      <c r="BF67" s="61"/>
    </row>
    <row r="68" spans="2:58" ht="15.75" customHeight="1" thickTop="1">
      <c r="B68" s="61"/>
      <c r="C68" s="119" t="str">
        <f>'(1st+2nd) Shift Combined'!D75</f>
        <v>Not Running</v>
      </c>
      <c r="D68" s="120"/>
      <c r="E68" s="120"/>
      <c r="F68" s="121"/>
      <c r="G68" s="61"/>
      <c r="H68" s="119" t="str">
        <f>'(1st+2nd) Shift Combined'!D76</f>
        <v>Not Running</v>
      </c>
      <c r="I68" s="120"/>
      <c r="J68" s="120"/>
      <c r="K68" s="121"/>
      <c r="L68" s="61"/>
      <c r="M68" s="119" t="str">
        <f>'(1st+2nd) Shift Combined'!D77</f>
        <v>Not Running</v>
      </c>
      <c r="N68" s="120"/>
      <c r="O68" s="120"/>
      <c r="P68" s="121"/>
      <c r="Q68" s="61"/>
      <c r="R68" s="119" t="str">
        <f>'(1st+2nd) Shift Combined'!D78</f>
        <v>Not Running</v>
      </c>
      <c r="S68" s="120"/>
      <c r="T68" s="120"/>
      <c r="U68" s="121"/>
      <c r="V68" s="61"/>
      <c r="W68" s="119" t="str">
        <f>'(1st+2nd) Shift Combined'!D79</f>
        <v>Not Running</v>
      </c>
      <c r="X68" s="120"/>
      <c r="Y68" s="120"/>
      <c r="Z68" s="121"/>
      <c r="AA68" s="65"/>
      <c r="AB68" s="140"/>
      <c r="AC68" s="141"/>
      <c r="AD68" s="141"/>
      <c r="AE68" s="141"/>
      <c r="AF68" s="142"/>
      <c r="AG68" s="61"/>
      <c r="AH68" s="129" t="str">
        <f>'(1st+2nd) Shift Combined'!K75</f>
        <v>Not Running</v>
      </c>
      <c r="AI68" s="130"/>
      <c r="AJ68" s="130"/>
      <c r="AK68" s="131"/>
      <c r="AL68" s="61"/>
      <c r="AM68" s="129" t="str">
        <f>'(1st+2nd) Shift Combined'!K76</f>
        <v>Not Running</v>
      </c>
      <c r="AN68" s="130"/>
      <c r="AO68" s="130"/>
      <c r="AP68" s="131"/>
      <c r="AQ68" s="61"/>
      <c r="AR68" s="129" t="str">
        <f>'(1st+2nd) Shift Combined'!K77</f>
        <v>Not Running</v>
      </c>
      <c r="AS68" s="130"/>
      <c r="AT68" s="130"/>
      <c r="AU68" s="131"/>
      <c r="AV68" s="61"/>
      <c r="AW68" s="129" t="str">
        <f>'(1st+2nd) Shift Combined'!K78</f>
        <v>Not Running</v>
      </c>
      <c r="AX68" s="130"/>
      <c r="AY68" s="130"/>
      <c r="AZ68" s="131"/>
      <c r="BA68" s="61"/>
      <c r="BB68" s="129" t="str">
        <f>'(1st+2nd) Shift Combined'!K79</f>
        <v>Not Running</v>
      </c>
      <c r="BC68" s="130"/>
      <c r="BD68" s="130"/>
      <c r="BE68" s="131"/>
      <c r="BF68" s="61"/>
    </row>
    <row r="69" spans="2:58" ht="15.75" customHeight="1">
      <c r="B69" s="61"/>
      <c r="C69" s="122"/>
      <c r="D69" s="123"/>
      <c r="E69" s="123"/>
      <c r="F69" s="124"/>
      <c r="G69" s="61"/>
      <c r="H69" s="122"/>
      <c r="I69" s="123"/>
      <c r="J69" s="123"/>
      <c r="K69" s="124"/>
      <c r="L69" s="61"/>
      <c r="M69" s="122"/>
      <c r="N69" s="123"/>
      <c r="O69" s="123"/>
      <c r="P69" s="124"/>
      <c r="Q69" s="61"/>
      <c r="R69" s="122"/>
      <c r="S69" s="123"/>
      <c r="T69" s="123"/>
      <c r="U69" s="124"/>
      <c r="V69" s="61"/>
      <c r="W69" s="122"/>
      <c r="X69" s="123"/>
      <c r="Y69" s="123"/>
      <c r="Z69" s="124"/>
      <c r="AA69" s="65"/>
      <c r="AB69" s="140"/>
      <c r="AC69" s="141"/>
      <c r="AD69" s="141"/>
      <c r="AE69" s="141"/>
      <c r="AF69" s="142"/>
      <c r="AG69" s="61"/>
      <c r="AH69" s="132"/>
      <c r="AI69" s="133"/>
      <c r="AJ69" s="133"/>
      <c r="AK69" s="134"/>
      <c r="AL69" s="61"/>
      <c r="AM69" s="132"/>
      <c r="AN69" s="133"/>
      <c r="AO69" s="133"/>
      <c r="AP69" s="134"/>
      <c r="AQ69" s="61"/>
      <c r="AR69" s="132"/>
      <c r="AS69" s="133"/>
      <c r="AT69" s="133"/>
      <c r="AU69" s="134"/>
      <c r="AV69" s="61"/>
      <c r="AW69" s="132"/>
      <c r="AX69" s="133"/>
      <c r="AY69" s="133"/>
      <c r="AZ69" s="134"/>
      <c r="BA69" s="61"/>
      <c r="BB69" s="132"/>
      <c r="BC69" s="133"/>
      <c r="BD69" s="133"/>
      <c r="BE69" s="134"/>
      <c r="BF69" s="61"/>
    </row>
    <row r="70" spans="2:58" ht="15.75" customHeight="1" thickBot="1">
      <c r="B70" s="61"/>
      <c r="C70" s="125"/>
      <c r="D70" s="126"/>
      <c r="E70" s="126"/>
      <c r="F70" s="127"/>
      <c r="G70" s="61"/>
      <c r="H70" s="125"/>
      <c r="I70" s="126"/>
      <c r="J70" s="126"/>
      <c r="K70" s="127"/>
      <c r="L70" s="61"/>
      <c r="M70" s="125"/>
      <c r="N70" s="126"/>
      <c r="O70" s="126"/>
      <c r="P70" s="127"/>
      <c r="Q70" s="61"/>
      <c r="R70" s="125"/>
      <c r="S70" s="126"/>
      <c r="T70" s="126"/>
      <c r="U70" s="127"/>
      <c r="V70" s="61"/>
      <c r="W70" s="125"/>
      <c r="X70" s="126"/>
      <c r="Y70" s="126"/>
      <c r="Z70" s="127"/>
      <c r="AA70" s="65"/>
      <c r="AB70" s="140"/>
      <c r="AC70" s="141"/>
      <c r="AD70" s="141"/>
      <c r="AE70" s="141"/>
      <c r="AF70" s="142"/>
      <c r="AG70" s="61"/>
      <c r="AH70" s="135"/>
      <c r="AI70" s="136"/>
      <c r="AJ70" s="136"/>
      <c r="AK70" s="137"/>
      <c r="AL70" s="61"/>
      <c r="AM70" s="135"/>
      <c r="AN70" s="136"/>
      <c r="AO70" s="136"/>
      <c r="AP70" s="137"/>
      <c r="AQ70" s="61"/>
      <c r="AR70" s="135"/>
      <c r="AS70" s="136"/>
      <c r="AT70" s="136"/>
      <c r="AU70" s="137"/>
      <c r="AV70" s="61"/>
      <c r="AW70" s="135"/>
      <c r="AX70" s="136"/>
      <c r="AY70" s="136"/>
      <c r="AZ70" s="137"/>
      <c r="BA70" s="61"/>
      <c r="BB70" s="135"/>
      <c r="BC70" s="136"/>
      <c r="BD70" s="136"/>
      <c r="BE70" s="137"/>
      <c r="BF70" s="61"/>
    </row>
    <row r="71" spans="2:58" ht="15.75" customHeight="1" thickTop="1">
      <c r="B71" s="61"/>
      <c r="C71" s="62"/>
      <c r="D71" s="139" t="str">
        <f>'(1st+2nd) Shift Combined'!G75</f>
        <v/>
      </c>
      <c r="E71" s="139"/>
      <c r="F71" s="62"/>
      <c r="G71" s="61"/>
      <c r="H71" s="62"/>
      <c r="I71" s="139" t="str">
        <f>'(1st+2nd) Shift Combined'!G76</f>
        <v/>
      </c>
      <c r="J71" s="139"/>
      <c r="K71" s="62"/>
      <c r="L71" s="61"/>
      <c r="M71" s="63"/>
      <c r="N71" s="139" t="str">
        <f>'(1st+2nd) Shift Combined'!G77</f>
        <v/>
      </c>
      <c r="O71" s="139"/>
      <c r="P71" s="63"/>
      <c r="Q71" s="61"/>
      <c r="R71" s="63"/>
      <c r="S71" s="139" t="str">
        <f>'(1st+2nd) Shift Combined'!G78</f>
        <v/>
      </c>
      <c r="T71" s="139"/>
      <c r="U71" s="63"/>
      <c r="V71" s="61"/>
      <c r="W71" s="63"/>
      <c r="X71" s="139" t="str">
        <f>'(1st+2nd) Shift Combined'!G79</f>
        <v/>
      </c>
      <c r="Y71" s="139"/>
      <c r="Z71" s="63"/>
      <c r="AA71" s="61"/>
      <c r="AB71" s="140"/>
      <c r="AC71" s="141"/>
      <c r="AD71" s="141"/>
      <c r="AE71" s="141"/>
      <c r="AF71" s="142"/>
      <c r="AG71" s="61"/>
      <c r="AH71" s="62"/>
      <c r="AI71" s="139" t="str">
        <f>'(1st+2nd) Shift Combined'!N75</f>
        <v/>
      </c>
      <c r="AJ71" s="139"/>
      <c r="AK71" s="62"/>
      <c r="AL71" s="61"/>
      <c r="AM71" s="62"/>
      <c r="AN71" s="139" t="str">
        <f>'(1st+2nd) Shift Combined'!N76</f>
        <v/>
      </c>
      <c r="AO71" s="139"/>
      <c r="AP71" s="62"/>
      <c r="AQ71" s="61"/>
      <c r="AR71" s="63"/>
      <c r="AS71" s="139" t="str">
        <f>'(1st+2nd) Shift Combined'!N77</f>
        <v/>
      </c>
      <c r="AT71" s="139"/>
      <c r="AU71" s="63"/>
      <c r="AV71" s="61"/>
      <c r="AW71" s="63"/>
      <c r="AX71" s="139" t="str">
        <f>'(1st+2nd) Shift Combined'!N78</f>
        <v/>
      </c>
      <c r="AY71" s="139"/>
      <c r="AZ71" s="63"/>
      <c r="BA71" s="61"/>
      <c r="BB71" s="63"/>
      <c r="BC71" s="139" t="str">
        <f>'(1st+2nd) Shift Combined'!N79</f>
        <v/>
      </c>
      <c r="BD71" s="139"/>
      <c r="BE71" s="63"/>
      <c r="BF71" s="61"/>
    </row>
    <row r="72" spans="2:58" ht="15.75" customHeight="1"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140"/>
      <c r="AC72" s="141"/>
      <c r="AD72" s="141"/>
      <c r="AE72" s="141"/>
      <c r="AF72" s="142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</row>
    <row r="73" spans="2:58" ht="15.75" customHeight="1" thickBot="1">
      <c r="B73" s="61"/>
      <c r="C73" s="61"/>
      <c r="D73" s="138" t="s">
        <v>91</v>
      </c>
      <c r="E73" s="138"/>
      <c r="F73" s="61"/>
      <c r="G73" s="61"/>
      <c r="H73" s="61"/>
      <c r="I73" s="138" t="s">
        <v>92</v>
      </c>
      <c r="J73" s="138"/>
      <c r="K73" s="61"/>
      <c r="L73" s="61"/>
      <c r="M73" s="61"/>
      <c r="N73" s="138" t="s">
        <v>93</v>
      </c>
      <c r="O73" s="138"/>
      <c r="P73" s="61"/>
      <c r="Q73" s="61"/>
      <c r="R73" s="61"/>
      <c r="S73" s="138" t="s">
        <v>94</v>
      </c>
      <c r="T73" s="138"/>
      <c r="U73" s="61"/>
      <c r="V73" s="61"/>
      <c r="W73" s="61"/>
      <c r="X73" s="138" t="s">
        <v>95</v>
      </c>
      <c r="Y73" s="138"/>
      <c r="Z73" s="61"/>
      <c r="AA73" s="61"/>
      <c r="AB73" s="140"/>
      <c r="AC73" s="141"/>
      <c r="AD73" s="141"/>
      <c r="AE73" s="141"/>
      <c r="AF73" s="142"/>
      <c r="AG73" s="61"/>
      <c r="AH73" s="61"/>
      <c r="AI73" s="138" t="s">
        <v>175</v>
      </c>
      <c r="AJ73" s="138"/>
      <c r="AK73" s="61"/>
      <c r="AL73" s="61"/>
      <c r="AM73" s="61"/>
      <c r="AN73" s="138" t="s">
        <v>178</v>
      </c>
      <c r="AO73" s="138"/>
      <c r="AP73" s="61"/>
      <c r="AQ73" s="61"/>
      <c r="AR73" s="61"/>
      <c r="AS73" s="138" t="s">
        <v>179</v>
      </c>
      <c r="AT73" s="138"/>
      <c r="AU73" s="61"/>
      <c r="AV73" s="61"/>
      <c r="AW73" s="61"/>
      <c r="AX73" s="138" t="s">
        <v>182</v>
      </c>
      <c r="AY73" s="138"/>
      <c r="AZ73" s="61"/>
      <c r="BA73" s="61"/>
      <c r="BB73" s="61"/>
      <c r="BC73" s="138" t="s">
        <v>223</v>
      </c>
      <c r="BD73" s="138"/>
      <c r="BE73" s="61"/>
      <c r="BF73" s="61"/>
    </row>
    <row r="74" spans="2:58" ht="15.75" customHeight="1" thickTop="1">
      <c r="B74" s="61"/>
      <c r="C74" s="119" t="str">
        <f>'(1st+2nd) Shift Combined'!D80</f>
        <v>Not Running</v>
      </c>
      <c r="D74" s="120"/>
      <c r="E74" s="120"/>
      <c r="F74" s="121"/>
      <c r="G74" s="61"/>
      <c r="H74" s="119" t="str">
        <f>'(1st+2nd) Shift Combined'!D81</f>
        <v>Not Running</v>
      </c>
      <c r="I74" s="120"/>
      <c r="J74" s="120"/>
      <c r="K74" s="121"/>
      <c r="L74" s="61"/>
      <c r="M74" s="119" t="str">
        <f>'(1st+2nd) Shift Combined'!D82</f>
        <v>Not Running</v>
      </c>
      <c r="N74" s="120"/>
      <c r="O74" s="120"/>
      <c r="P74" s="121"/>
      <c r="Q74" s="61"/>
      <c r="R74" s="119" t="str">
        <f>'(1st+2nd) Shift Combined'!D83</f>
        <v>Not Running</v>
      </c>
      <c r="S74" s="120"/>
      <c r="T74" s="120"/>
      <c r="U74" s="121"/>
      <c r="V74" s="61"/>
      <c r="W74" s="119" t="str">
        <f>'(1st+2nd) Shift Combined'!D84</f>
        <v>Not Running</v>
      </c>
      <c r="X74" s="120"/>
      <c r="Y74" s="120"/>
      <c r="Z74" s="121"/>
      <c r="AA74" s="65"/>
      <c r="AB74" s="140"/>
      <c r="AC74" s="141"/>
      <c r="AD74" s="141"/>
      <c r="AE74" s="141"/>
      <c r="AF74" s="142"/>
      <c r="AG74" s="61"/>
      <c r="AH74" s="129" t="str">
        <f>'(1st+2nd) Shift Combined'!K80</f>
        <v>Not Running</v>
      </c>
      <c r="AI74" s="130"/>
      <c r="AJ74" s="130"/>
      <c r="AK74" s="131"/>
      <c r="AL74" s="61"/>
      <c r="AM74" s="173" t="str">
        <f>'(1st+2nd) Shift Combined'!K81</f>
        <v>Not Running</v>
      </c>
      <c r="AN74" s="174"/>
      <c r="AO74" s="174"/>
      <c r="AP74" s="175"/>
      <c r="AQ74" s="61"/>
      <c r="AR74" s="129" t="str">
        <f>'(1st+2nd) Shift Combined'!K82</f>
        <v>Not Running</v>
      </c>
      <c r="AS74" s="130"/>
      <c r="AT74" s="130"/>
      <c r="AU74" s="131"/>
      <c r="AV74" s="61"/>
      <c r="AW74" s="129" t="str">
        <f>'(1st+2nd) Shift Combined'!K83</f>
        <v>Not Running</v>
      </c>
      <c r="AX74" s="130"/>
      <c r="AY74" s="130"/>
      <c r="AZ74" s="131"/>
      <c r="BA74" s="61"/>
      <c r="BB74" s="129" t="str">
        <f>'(1st+2nd) Shift Combined'!K84</f>
        <v>Not Running</v>
      </c>
      <c r="BC74" s="130"/>
      <c r="BD74" s="130"/>
      <c r="BE74" s="131"/>
      <c r="BF74" s="61"/>
    </row>
    <row r="75" spans="2:58" ht="15.75" customHeight="1">
      <c r="B75" s="61"/>
      <c r="C75" s="122"/>
      <c r="D75" s="123"/>
      <c r="E75" s="123"/>
      <c r="F75" s="124"/>
      <c r="G75" s="62"/>
      <c r="H75" s="122"/>
      <c r="I75" s="123"/>
      <c r="J75" s="123"/>
      <c r="K75" s="124"/>
      <c r="L75" s="61"/>
      <c r="M75" s="122"/>
      <c r="N75" s="123"/>
      <c r="O75" s="123"/>
      <c r="P75" s="124"/>
      <c r="Q75" s="61"/>
      <c r="R75" s="122"/>
      <c r="S75" s="123"/>
      <c r="T75" s="123"/>
      <c r="U75" s="124"/>
      <c r="V75" s="61"/>
      <c r="W75" s="122"/>
      <c r="X75" s="123"/>
      <c r="Y75" s="123"/>
      <c r="Z75" s="124"/>
      <c r="AA75" s="65"/>
      <c r="AB75" s="140"/>
      <c r="AC75" s="141"/>
      <c r="AD75" s="141"/>
      <c r="AE75" s="141"/>
      <c r="AF75" s="142"/>
      <c r="AG75" s="61"/>
      <c r="AH75" s="132"/>
      <c r="AI75" s="133"/>
      <c r="AJ75" s="133"/>
      <c r="AK75" s="134"/>
      <c r="AL75" s="62"/>
      <c r="AM75" s="176"/>
      <c r="AN75" s="177"/>
      <c r="AO75" s="177"/>
      <c r="AP75" s="178"/>
      <c r="AQ75" s="61"/>
      <c r="AR75" s="132"/>
      <c r="AS75" s="133"/>
      <c r="AT75" s="133"/>
      <c r="AU75" s="134"/>
      <c r="AV75" s="61"/>
      <c r="AW75" s="132"/>
      <c r="AX75" s="133"/>
      <c r="AY75" s="133"/>
      <c r="AZ75" s="134"/>
      <c r="BA75" s="61"/>
      <c r="BB75" s="132"/>
      <c r="BC75" s="133"/>
      <c r="BD75" s="133"/>
      <c r="BE75" s="134"/>
      <c r="BF75" s="61"/>
    </row>
    <row r="76" spans="2:58" ht="15.75" customHeight="1" thickBot="1">
      <c r="B76" s="61"/>
      <c r="C76" s="125"/>
      <c r="D76" s="126"/>
      <c r="E76" s="126"/>
      <c r="F76" s="127"/>
      <c r="G76" s="62"/>
      <c r="H76" s="125"/>
      <c r="I76" s="126"/>
      <c r="J76" s="126"/>
      <c r="K76" s="127"/>
      <c r="L76" s="61"/>
      <c r="M76" s="125"/>
      <c r="N76" s="126"/>
      <c r="O76" s="126"/>
      <c r="P76" s="127"/>
      <c r="Q76" s="61"/>
      <c r="R76" s="125"/>
      <c r="S76" s="126"/>
      <c r="T76" s="126"/>
      <c r="U76" s="127"/>
      <c r="V76" s="61"/>
      <c r="W76" s="125"/>
      <c r="X76" s="126"/>
      <c r="Y76" s="126"/>
      <c r="Z76" s="127"/>
      <c r="AA76" s="65"/>
      <c r="AB76" s="140"/>
      <c r="AC76" s="141"/>
      <c r="AD76" s="141"/>
      <c r="AE76" s="141"/>
      <c r="AF76" s="142"/>
      <c r="AG76" s="61"/>
      <c r="AH76" s="135"/>
      <c r="AI76" s="136"/>
      <c r="AJ76" s="136"/>
      <c r="AK76" s="137"/>
      <c r="AL76" s="62"/>
      <c r="AM76" s="179"/>
      <c r="AN76" s="180"/>
      <c r="AO76" s="180"/>
      <c r="AP76" s="181"/>
      <c r="AQ76" s="61"/>
      <c r="AR76" s="135"/>
      <c r="AS76" s="136"/>
      <c r="AT76" s="136"/>
      <c r="AU76" s="137"/>
      <c r="AV76" s="61"/>
      <c r="AW76" s="135"/>
      <c r="AX76" s="136"/>
      <c r="AY76" s="136"/>
      <c r="AZ76" s="137"/>
      <c r="BA76" s="61"/>
      <c r="BB76" s="135"/>
      <c r="BC76" s="136"/>
      <c r="BD76" s="136"/>
      <c r="BE76" s="137"/>
      <c r="BF76" s="61"/>
    </row>
    <row r="77" spans="2:58" ht="15.75" customHeight="1" thickTop="1">
      <c r="B77" s="61"/>
      <c r="C77" s="62"/>
      <c r="D77" s="139" t="str">
        <f>'(1st+2nd) Shift Combined'!G80</f>
        <v/>
      </c>
      <c r="E77" s="139"/>
      <c r="F77" s="62"/>
      <c r="G77" s="61"/>
      <c r="H77" s="62"/>
      <c r="I77" s="139" t="str">
        <f>'(1st+2nd) Shift Combined'!G81</f>
        <v/>
      </c>
      <c r="J77" s="139"/>
      <c r="K77" s="62"/>
      <c r="L77" s="61"/>
      <c r="M77" s="63"/>
      <c r="N77" s="139" t="str">
        <f>'(1st+2nd) Shift Combined'!G82</f>
        <v/>
      </c>
      <c r="O77" s="139"/>
      <c r="P77" s="63"/>
      <c r="Q77" s="61"/>
      <c r="R77" s="63"/>
      <c r="S77" s="139" t="str">
        <f>'(1st+2nd) Shift Combined'!G83</f>
        <v/>
      </c>
      <c r="T77" s="139"/>
      <c r="U77" s="63"/>
      <c r="V77" s="61"/>
      <c r="W77" s="63"/>
      <c r="X77" s="139" t="str">
        <f>'(1st+2nd) Shift Combined'!G84</f>
        <v/>
      </c>
      <c r="Y77" s="139"/>
      <c r="Z77" s="63"/>
      <c r="AA77" s="61"/>
      <c r="AB77" s="140"/>
      <c r="AC77" s="141"/>
      <c r="AD77" s="141"/>
      <c r="AE77" s="141"/>
      <c r="AF77" s="142"/>
      <c r="AG77" s="61"/>
      <c r="AH77" s="62"/>
      <c r="AI77" s="139" t="str">
        <f>'(1st+2nd) Shift Combined'!N80</f>
        <v/>
      </c>
      <c r="AJ77" s="139"/>
      <c r="AK77" s="62"/>
      <c r="AL77" s="61"/>
      <c r="AM77" s="62"/>
      <c r="AN77" s="139" t="str">
        <f>'(1st+2nd) Shift Combined'!N81</f>
        <v/>
      </c>
      <c r="AO77" s="139"/>
      <c r="AP77" s="62"/>
      <c r="AQ77" s="61"/>
      <c r="AR77" s="63"/>
      <c r="AS77" s="139" t="str">
        <f>'(1st+2nd) Shift Combined'!N82</f>
        <v/>
      </c>
      <c r="AT77" s="139"/>
      <c r="AU77" s="63"/>
      <c r="AV77" s="61"/>
      <c r="AW77" s="63"/>
      <c r="AX77" s="139" t="str">
        <f>'(1st+2nd) Shift Combined'!N83</f>
        <v/>
      </c>
      <c r="AY77" s="139"/>
      <c r="AZ77" s="63"/>
      <c r="BA77" s="61"/>
      <c r="BB77" s="63"/>
      <c r="BC77" s="139" t="str">
        <f>'(1st+2nd) Shift Combined'!N84</f>
        <v/>
      </c>
      <c r="BD77" s="139"/>
      <c r="BE77" s="63"/>
      <c r="BF77" s="61"/>
    </row>
    <row r="78" spans="2:58" ht="15.75" customHeight="1"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140"/>
      <c r="AC78" s="141"/>
      <c r="AD78" s="141"/>
      <c r="AE78" s="141"/>
      <c r="AF78" s="142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</row>
    <row r="79" spans="2:58" ht="15.75" customHeight="1" thickBot="1">
      <c r="B79" s="61"/>
      <c r="C79" s="64"/>
      <c r="D79" s="138" t="s">
        <v>96</v>
      </c>
      <c r="E79" s="138"/>
      <c r="F79" s="64"/>
      <c r="G79" s="61"/>
      <c r="H79" s="64"/>
      <c r="I79" s="138" t="s">
        <v>97</v>
      </c>
      <c r="J79" s="138"/>
      <c r="K79" s="64"/>
      <c r="L79" s="61"/>
      <c r="M79" s="64"/>
      <c r="N79" s="138" t="s">
        <v>99</v>
      </c>
      <c r="O79" s="138"/>
      <c r="P79" s="64"/>
      <c r="Q79" s="61"/>
      <c r="R79" s="64"/>
      <c r="S79" s="138" t="s">
        <v>98</v>
      </c>
      <c r="T79" s="138"/>
      <c r="U79" s="64"/>
      <c r="V79" s="61"/>
      <c r="W79" s="64"/>
      <c r="X79" s="138" t="s">
        <v>100</v>
      </c>
      <c r="Y79" s="138"/>
      <c r="Z79" s="64"/>
      <c r="AA79" s="61"/>
      <c r="AB79" s="140"/>
      <c r="AC79" s="141"/>
      <c r="AD79" s="141"/>
      <c r="AE79" s="141"/>
      <c r="AF79" s="142"/>
      <c r="AG79" s="61"/>
      <c r="AH79" s="64"/>
      <c r="AI79" s="138" t="s">
        <v>176</v>
      </c>
      <c r="AJ79" s="138"/>
      <c r="AK79" s="64"/>
      <c r="AL79" s="61"/>
      <c r="AM79" s="64"/>
      <c r="AN79" s="138" t="s">
        <v>177</v>
      </c>
      <c r="AO79" s="138"/>
      <c r="AP79" s="64"/>
      <c r="AQ79" s="61"/>
      <c r="AR79" s="64"/>
      <c r="AS79" s="138" t="s">
        <v>180</v>
      </c>
      <c r="AT79" s="138"/>
      <c r="AU79" s="64"/>
      <c r="AV79" s="61"/>
      <c r="AW79" s="64"/>
      <c r="AX79" s="138" t="s">
        <v>181</v>
      </c>
      <c r="AY79" s="138"/>
      <c r="AZ79" s="64"/>
      <c r="BA79" s="61"/>
      <c r="BB79" s="64"/>
      <c r="BC79" s="138" t="s">
        <v>100</v>
      </c>
      <c r="BD79" s="138"/>
      <c r="BE79" s="64"/>
      <c r="BF79" s="61"/>
    </row>
    <row r="80" spans="2:58" ht="15.75" customHeight="1" thickTop="1">
      <c r="B80" s="61"/>
      <c r="C80" s="119" t="str">
        <f>'(1st+2nd) Shift Combined'!D85</f>
        <v>Not Running</v>
      </c>
      <c r="D80" s="120"/>
      <c r="E80" s="120"/>
      <c r="F80" s="121"/>
      <c r="G80" s="61"/>
      <c r="H80" s="119" t="str">
        <f>'(1st+2nd) Shift Combined'!D86</f>
        <v>Not Running</v>
      </c>
      <c r="I80" s="120"/>
      <c r="J80" s="120"/>
      <c r="K80" s="121"/>
      <c r="L80" s="61"/>
      <c r="M80" s="119" t="str">
        <f>'(1st+2nd) Shift Combined'!D87</f>
        <v>Not Running</v>
      </c>
      <c r="N80" s="120"/>
      <c r="O80" s="120"/>
      <c r="P80" s="121"/>
      <c r="Q80" s="61"/>
      <c r="R80" s="119" t="str">
        <f>'(1st+2nd) Shift Combined'!D88</f>
        <v>Not Running</v>
      </c>
      <c r="S80" s="120"/>
      <c r="T80" s="120"/>
      <c r="U80" s="121"/>
      <c r="V80" s="61"/>
      <c r="W80" s="119" t="str">
        <f>'(1st+2nd) Shift Combined'!D89</f>
        <v>Not Running</v>
      </c>
      <c r="X80" s="120"/>
      <c r="Y80" s="120"/>
      <c r="Z80" s="121"/>
      <c r="AA80" s="65"/>
      <c r="AB80" s="140"/>
      <c r="AC80" s="141"/>
      <c r="AD80" s="141"/>
      <c r="AE80" s="141"/>
      <c r="AF80" s="142"/>
      <c r="AG80" s="61"/>
      <c r="AH80" s="129" t="str">
        <f>'(1st+2nd) Shift Combined'!K85</f>
        <v>Not Running</v>
      </c>
      <c r="AI80" s="130"/>
      <c r="AJ80" s="130"/>
      <c r="AK80" s="131"/>
      <c r="AL80" s="61"/>
      <c r="AM80" s="129" t="str">
        <f>'(1st+2nd) Shift Combined'!K86</f>
        <v>Not Running</v>
      </c>
      <c r="AN80" s="130"/>
      <c r="AO80" s="130"/>
      <c r="AP80" s="131"/>
      <c r="AQ80" s="61"/>
      <c r="AR80" s="129" t="str">
        <f>'(1st+2nd) Shift Combined'!K87</f>
        <v>Not Running</v>
      </c>
      <c r="AS80" s="130"/>
      <c r="AT80" s="130"/>
      <c r="AU80" s="131"/>
      <c r="AV80" s="61"/>
      <c r="AW80" s="129" t="str">
        <f>'(1st+2nd) Shift Combined'!K88</f>
        <v>Not Running</v>
      </c>
      <c r="AX80" s="130"/>
      <c r="AY80" s="130"/>
      <c r="AZ80" s="131"/>
      <c r="BA80" s="61"/>
      <c r="BB80" s="129" t="str">
        <f>'(1st+2nd) Shift Combined'!K89</f>
        <v>Not Running</v>
      </c>
      <c r="BC80" s="130"/>
      <c r="BD80" s="130"/>
      <c r="BE80" s="131"/>
      <c r="BF80" s="61"/>
    </row>
    <row r="81" spans="2:58" ht="15.75" customHeight="1">
      <c r="B81" s="61"/>
      <c r="C81" s="122"/>
      <c r="D81" s="123"/>
      <c r="E81" s="123"/>
      <c r="F81" s="124"/>
      <c r="G81" s="61"/>
      <c r="H81" s="122"/>
      <c r="I81" s="123"/>
      <c r="J81" s="123"/>
      <c r="K81" s="124"/>
      <c r="L81" s="61"/>
      <c r="M81" s="122"/>
      <c r="N81" s="123"/>
      <c r="O81" s="123"/>
      <c r="P81" s="124"/>
      <c r="Q81" s="61"/>
      <c r="R81" s="122"/>
      <c r="S81" s="123"/>
      <c r="T81" s="123"/>
      <c r="U81" s="124"/>
      <c r="V81" s="61"/>
      <c r="W81" s="122"/>
      <c r="X81" s="123"/>
      <c r="Y81" s="123"/>
      <c r="Z81" s="124"/>
      <c r="AA81" s="65"/>
      <c r="AB81" s="140"/>
      <c r="AC81" s="141"/>
      <c r="AD81" s="141"/>
      <c r="AE81" s="141"/>
      <c r="AF81" s="142"/>
      <c r="AG81" s="61"/>
      <c r="AH81" s="132"/>
      <c r="AI81" s="133"/>
      <c r="AJ81" s="133"/>
      <c r="AK81" s="134"/>
      <c r="AL81" s="62"/>
      <c r="AM81" s="132"/>
      <c r="AN81" s="133"/>
      <c r="AO81" s="133"/>
      <c r="AP81" s="134"/>
      <c r="AQ81" s="61"/>
      <c r="AR81" s="132"/>
      <c r="AS81" s="133"/>
      <c r="AT81" s="133"/>
      <c r="AU81" s="134"/>
      <c r="AV81" s="61"/>
      <c r="AW81" s="132"/>
      <c r="AX81" s="133"/>
      <c r="AY81" s="133"/>
      <c r="AZ81" s="134"/>
      <c r="BA81" s="61"/>
      <c r="BB81" s="132"/>
      <c r="BC81" s="133"/>
      <c r="BD81" s="133"/>
      <c r="BE81" s="134"/>
      <c r="BF81" s="61"/>
    </row>
    <row r="82" spans="2:58" ht="15.75" customHeight="1" thickBot="1">
      <c r="B82" s="61"/>
      <c r="C82" s="125"/>
      <c r="D82" s="126"/>
      <c r="E82" s="126"/>
      <c r="F82" s="127"/>
      <c r="G82" s="61"/>
      <c r="H82" s="125"/>
      <c r="I82" s="126"/>
      <c r="J82" s="126"/>
      <c r="K82" s="127"/>
      <c r="L82" s="61"/>
      <c r="M82" s="125"/>
      <c r="N82" s="126"/>
      <c r="O82" s="126"/>
      <c r="P82" s="127"/>
      <c r="Q82" s="61"/>
      <c r="R82" s="125"/>
      <c r="S82" s="126"/>
      <c r="T82" s="126"/>
      <c r="U82" s="127"/>
      <c r="V82" s="61"/>
      <c r="W82" s="125"/>
      <c r="X82" s="126"/>
      <c r="Y82" s="126"/>
      <c r="Z82" s="127"/>
      <c r="AA82" s="65"/>
      <c r="AB82" s="140"/>
      <c r="AC82" s="141"/>
      <c r="AD82" s="141"/>
      <c r="AE82" s="141"/>
      <c r="AF82" s="142"/>
      <c r="AG82" s="61"/>
      <c r="AH82" s="135"/>
      <c r="AI82" s="136"/>
      <c r="AJ82" s="136"/>
      <c r="AK82" s="137"/>
      <c r="AL82" s="62"/>
      <c r="AM82" s="135"/>
      <c r="AN82" s="136"/>
      <c r="AO82" s="136"/>
      <c r="AP82" s="137"/>
      <c r="AQ82" s="61"/>
      <c r="AR82" s="135"/>
      <c r="AS82" s="136"/>
      <c r="AT82" s="136"/>
      <c r="AU82" s="137"/>
      <c r="AV82" s="61"/>
      <c r="AW82" s="135"/>
      <c r="AX82" s="136"/>
      <c r="AY82" s="136"/>
      <c r="AZ82" s="137"/>
      <c r="BA82" s="61"/>
      <c r="BB82" s="135"/>
      <c r="BC82" s="136"/>
      <c r="BD82" s="136"/>
      <c r="BE82" s="137"/>
      <c r="BF82" s="61"/>
    </row>
    <row r="83" spans="2:58" ht="15.75" customHeight="1" thickTop="1" thickBot="1">
      <c r="B83" s="61"/>
      <c r="C83" s="62"/>
      <c r="D83" s="139" t="str">
        <f>'(1st+2nd) Shift Combined'!G85</f>
        <v/>
      </c>
      <c r="E83" s="139"/>
      <c r="F83" s="62"/>
      <c r="G83" s="61"/>
      <c r="H83" s="62"/>
      <c r="I83" s="139" t="str">
        <f>'(1st+2nd) Shift Combined'!G86</f>
        <v/>
      </c>
      <c r="J83" s="139"/>
      <c r="K83" s="62"/>
      <c r="L83" s="61"/>
      <c r="M83" s="63"/>
      <c r="N83" s="139" t="str">
        <f>'(1st+2nd) Shift Combined'!G87</f>
        <v/>
      </c>
      <c r="O83" s="139"/>
      <c r="P83" s="63"/>
      <c r="Q83" s="61"/>
      <c r="R83" s="63"/>
      <c r="S83" s="139" t="str">
        <f>'(1st+2nd) Shift Combined'!G88</f>
        <v/>
      </c>
      <c r="T83" s="139"/>
      <c r="U83" s="63"/>
      <c r="V83" s="61"/>
      <c r="W83" s="63"/>
      <c r="X83" s="139" t="str">
        <f>'(1st+2nd) Shift Combined'!G89</f>
        <v/>
      </c>
      <c r="Y83" s="139"/>
      <c r="Z83" s="63"/>
      <c r="AA83" s="61"/>
      <c r="AB83" s="140"/>
      <c r="AC83" s="141"/>
      <c r="AD83" s="141"/>
      <c r="AE83" s="141"/>
      <c r="AF83" s="142"/>
      <c r="AG83" s="61"/>
      <c r="AH83" s="62"/>
      <c r="AI83" s="139" t="str">
        <f>'(1st+2nd) Shift Combined'!N85</f>
        <v/>
      </c>
      <c r="AJ83" s="139"/>
      <c r="AK83" s="62"/>
      <c r="AL83" s="61"/>
      <c r="AM83" s="62"/>
      <c r="AN83" s="139" t="str">
        <f>'(1st+2nd) Shift Combined'!N86</f>
        <v/>
      </c>
      <c r="AO83" s="139"/>
      <c r="AP83" s="62"/>
      <c r="AQ83" s="61"/>
      <c r="AR83" s="63"/>
      <c r="AS83" s="139" t="str">
        <f>'(1st+2nd) Shift Combined'!N87</f>
        <v/>
      </c>
      <c r="AT83" s="139"/>
      <c r="AU83" s="63"/>
      <c r="AV83" s="61"/>
      <c r="AW83" s="63"/>
      <c r="AX83" s="139" t="str">
        <f>'(1st+2nd) Shift Combined'!N88</f>
        <v/>
      </c>
      <c r="AY83" s="139"/>
      <c r="AZ83" s="63"/>
      <c r="BA83" s="61"/>
      <c r="BB83" s="63"/>
      <c r="BC83" s="139" t="str">
        <f>'(1st+2nd) Shift Combined'!N89</f>
        <v/>
      </c>
      <c r="BD83" s="139"/>
      <c r="BE83" s="63"/>
      <c r="BF83" s="61"/>
    </row>
    <row r="84" spans="2:58" ht="15.75" customHeight="1">
      <c r="B84" s="167" t="s">
        <v>233</v>
      </c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28"/>
      <c r="AC84" s="128"/>
      <c r="AD84" s="128"/>
      <c r="AE84" s="128"/>
      <c r="AF84" s="128"/>
      <c r="AG84" s="168" t="s">
        <v>233</v>
      </c>
      <c r="AH84" s="168"/>
      <c r="AI84" s="168"/>
      <c r="AJ84" s="168"/>
      <c r="AK84" s="168"/>
      <c r="AL84" s="168"/>
      <c r="AM84" s="168"/>
      <c r="AN84" s="168"/>
      <c r="AO84" s="168"/>
      <c r="AP84" s="168"/>
      <c r="AQ84" s="168"/>
      <c r="AR84" s="168"/>
      <c r="AS84" s="168"/>
      <c r="AT84" s="168"/>
      <c r="AU84" s="168"/>
      <c r="AV84" s="168"/>
      <c r="AW84" s="168"/>
      <c r="AX84" s="168"/>
      <c r="AY84" s="168"/>
      <c r="AZ84" s="168"/>
      <c r="BA84" s="168"/>
      <c r="BB84" s="168"/>
      <c r="BC84" s="168"/>
      <c r="BD84" s="168"/>
      <c r="BE84" s="168"/>
      <c r="BF84" s="168"/>
    </row>
    <row r="85" spans="2:58" ht="15.75" customHeight="1">
      <c r="B85" s="169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  <c r="AB85" s="128"/>
      <c r="AC85" s="128"/>
      <c r="AD85" s="128"/>
      <c r="AE85" s="128"/>
      <c r="AF85" s="128"/>
      <c r="AG85" s="170"/>
      <c r="AH85" s="170"/>
      <c r="AI85" s="170"/>
      <c r="AJ85" s="170"/>
      <c r="AK85" s="170"/>
      <c r="AL85" s="170"/>
      <c r="AM85" s="170"/>
      <c r="AN85" s="170"/>
      <c r="AO85" s="170"/>
      <c r="AP85" s="170"/>
      <c r="AQ85" s="170"/>
      <c r="AR85" s="170"/>
      <c r="AS85" s="170"/>
      <c r="AT85" s="170"/>
      <c r="AU85" s="170"/>
      <c r="AV85" s="170"/>
      <c r="AW85" s="170"/>
      <c r="AX85" s="170"/>
      <c r="AY85" s="170"/>
      <c r="AZ85" s="170"/>
      <c r="BA85" s="170"/>
      <c r="BB85" s="170"/>
      <c r="BC85" s="170"/>
      <c r="BD85" s="170"/>
      <c r="BE85" s="170"/>
      <c r="BF85" s="170"/>
    </row>
    <row r="86" spans="2:58" ht="15.75" customHeight="1">
      <c r="B86" s="169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  <c r="AB86" s="128"/>
      <c r="AC86" s="128"/>
      <c r="AD86" s="128"/>
      <c r="AE86" s="128"/>
      <c r="AF86" s="128"/>
      <c r="AG86" s="170"/>
      <c r="AH86" s="170"/>
      <c r="AI86" s="170"/>
      <c r="AJ86" s="170"/>
      <c r="AK86" s="170"/>
      <c r="AL86" s="170"/>
      <c r="AM86" s="170"/>
      <c r="AN86" s="170"/>
      <c r="AO86" s="170"/>
      <c r="AP86" s="170"/>
      <c r="AQ86" s="170"/>
      <c r="AR86" s="170"/>
      <c r="AS86" s="170"/>
      <c r="AT86" s="170"/>
      <c r="AU86" s="170"/>
      <c r="AV86" s="170"/>
      <c r="AW86" s="170"/>
      <c r="AX86" s="170"/>
      <c r="AY86" s="170"/>
      <c r="AZ86" s="170"/>
      <c r="BA86" s="170"/>
      <c r="BB86" s="170"/>
      <c r="BC86" s="170"/>
      <c r="BD86" s="170"/>
      <c r="BE86" s="170"/>
      <c r="BF86" s="170"/>
    </row>
    <row r="87" spans="2:58" ht="15.75" customHeight="1">
      <c r="B87" s="169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28"/>
      <c r="AC87" s="128"/>
      <c r="AD87" s="128"/>
      <c r="AE87" s="128"/>
      <c r="AF87" s="128"/>
      <c r="AG87" s="170"/>
      <c r="AH87" s="170"/>
      <c r="AI87" s="170"/>
      <c r="AJ87" s="170"/>
      <c r="AK87" s="170"/>
      <c r="AL87" s="170"/>
      <c r="AM87" s="170"/>
      <c r="AN87" s="170"/>
      <c r="AO87" s="170"/>
      <c r="AP87" s="170"/>
      <c r="AQ87" s="170"/>
      <c r="AR87" s="170"/>
      <c r="AS87" s="170"/>
      <c r="AT87" s="170"/>
      <c r="AU87" s="170"/>
      <c r="AV87" s="170"/>
      <c r="AW87" s="170"/>
      <c r="AX87" s="170"/>
      <c r="AY87" s="170"/>
      <c r="AZ87" s="170"/>
      <c r="BA87" s="170"/>
      <c r="BB87" s="170"/>
      <c r="BC87" s="170"/>
      <c r="BD87" s="170"/>
      <c r="BE87" s="170"/>
      <c r="BF87" s="170"/>
    </row>
    <row r="88" spans="2:58" ht="15.75" customHeight="1">
      <c r="B88" s="169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  <c r="AB88" s="128"/>
      <c r="AC88" s="128"/>
      <c r="AD88" s="128"/>
      <c r="AE88" s="128"/>
      <c r="AF88" s="128"/>
      <c r="AG88" s="170"/>
      <c r="AH88" s="170"/>
      <c r="AI88" s="170"/>
      <c r="AJ88" s="170"/>
      <c r="AK88" s="170"/>
      <c r="AL88" s="170"/>
      <c r="AM88" s="170"/>
      <c r="AN88" s="170"/>
      <c r="AO88" s="170"/>
      <c r="AP88" s="170"/>
      <c r="AQ88" s="170"/>
      <c r="AR88" s="170"/>
      <c r="AS88" s="170"/>
      <c r="AT88" s="170"/>
      <c r="AU88" s="170"/>
      <c r="AV88" s="170"/>
      <c r="AW88" s="170"/>
      <c r="AX88" s="170"/>
      <c r="AY88" s="170"/>
      <c r="AZ88" s="170"/>
      <c r="BA88" s="170"/>
      <c r="BB88" s="170"/>
      <c r="BC88" s="170"/>
      <c r="BD88" s="170"/>
      <c r="BE88" s="170"/>
      <c r="BF88" s="170"/>
    </row>
    <row r="89" spans="2:58" ht="15.75" customHeight="1">
      <c r="B89" s="169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  <c r="AB89" s="128"/>
      <c r="AC89" s="128"/>
      <c r="AD89" s="128"/>
      <c r="AE89" s="128"/>
      <c r="AF89" s="128"/>
      <c r="AG89" s="170"/>
      <c r="AH89" s="170"/>
      <c r="AI89" s="170"/>
      <c r="AJ89" s="170"/>
      <c r="AK89" s="170"/>
      <c r="AL89" s="170"/>
      <c r="AM89" s="170"/>
      <c r="AN89" s="170"/>
      <c r="AO89" s="170"/>
      <c r="AP89" s="170"/>
      <c r="AQ89" s="170"/>
      <c r="AR89" s="170"/>
      <c r="AS89" s="170"/>
      <c r="AT89" s="170"/>
      <c r="AU89" s="170"/>
      <c r="AV89" s="170"/>
      <c r="AW89" s="170"/>
      <c r="AX89" s="170"/>
      <c r="AY89" s="170"/>
      <c r="AZ89" s="170"/>
      <c r="BA89" s="170"/>
      <c r="BB89" s="170"/>
      <c r="BC89" s="170"/>
      <c r="BD89" s="170"/>
      <c r="BE89" s="170"/>
      <c r="BF89" s="170"/>
    </row>
    <row r="90" spans="2:58" ht="15.75" customHeight="1">
      <c r="B90" s="169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  <c r="AB90" s="128"/>
      <c r="AC90" s="128"/>
      <c r="AD90" s="128"/>
      <c r="AE90" s="128"/>
      <c r="AF90" s="128"/>
      <c r="AG90" s="170"/>
      <c r="AH90" s="170"/>
      <c r="AI90" s="170"/>
      <c r="AJ90" s="170"/>
      <c r="AK90" s="170"/>
      <c r="AL90" s="170"/>
      <c r="AM90" s="170"/>
      <c r="AN90" s="170"/>
      <c r="AO90" s="170"/>
      <c r="AP90" s="170"/>
      <c r="AQ90" s="170"/>
      <c r="AR90" s="170"/>
      <c r="AS90" s="170"/>
      <c r="AT90" s="170"/>
      <c r="AU90" s="170"/>
      <c r="AV90" s="170"/>
      <c r="AW90" s="170"/>
      <c r="AX90" s="170"/>
      <c r="AY90" s="170"/>
      <c r="AZ90" s="170"/>
      <c r="BA90" s="170"/>
      <c r="BB90" s="170"/>
      <c r="BC90" s="170"/>
      <c r="BD90" s="170"/>
      <c r="BE90" s="170"/>
      <c r="BF90" s="170"/>
    </row>
    <row r="91" spans="2:58" ht="15.75" customHeight="1" thickBot="1">
      <c r="B91" s="171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28"/>
      <c r="AC91" s="128"/>
      <c r="AD91" s="128"/>
      <c r="AE91" s="128"/>
      <c r="AF91" s="128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</row>
    <row r="92" spans="2:58" ht="15.75" customHeight="1"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140" t="s">
        <v>233</v>
      </c>
      <c r="AC92" s="141"/>
      <c r="AD92" s="141"/>
      <c r="AE92" s="141"/>
      <c r="AF92" s="142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</row>
    <row r="93" spans="2:58" ht="15.75" customHeight="1" thickBot="1">
      <c r="B93" s="61"/>
      <c r="C93" s="61"/>
      <c r="D93" s="138" t="s">
        <v>101</v>
      </c>
      <c r="E93" s="138"/>
      <c r="F93" s="61"/>
      <c r="G93" s="61"/>
      <c r="H93" s="61"/>
      <c r="I93" s="138" t="s">
        <v>102</v>
      </c>
      <c r="J93" s="138"/>
      <c r="K93" s="61"/>
      <c r="L93" s="61"/>
      <c r="M93" s="61"/>
      <c r="N93" s="138" t="s">
        <v>103</v>
      </c>
      <c r="O93" s="138"/>
      <c r="P93" s="61"/>
      <c r="Q93" s="61"/>
      <c r="R93" s="61"/>
      <c r="S93" s="138" t="s">
        <v>104</v>
      </c>
      <c r="T93" s="138"/>
      <c r="U93" s="61"/>
      <c r="V93" s="61"/>
      <c r="W93" s="61"/>
      <c r="X93" s="138" t="s">
        <v>105</v>
      </c>
      <c r="Y93" s="138"/>
      <c r="Z93" s="61"/>
      <c r="AA93" s="61"/>
      <c r="AB93" s="140"/>
      <c r="AC93" s="141"/>
      <c r="AD93" s="141"/>
      <c r="AE93" s="141"/>
      <c r="AF93" s="142"/>
      <c r="AG93" s="61"/>
      <c r="AH93" s="61"/>
      <c r="AI93" s="138" t="s">
        <v>183</v>
      </c>
      <c r="AJ93" s="138"/>
      <c r="AK93" s="61"/>
      <c r="AL93" s="61"/>
      <c r="AM93" s="61"/>
      <c r="AN93" s="138" t="s">
        <v>184</v>
      </c>
      <c r="AO93" s="138"/>
      <c r="AP93" s="61"/>
      <c r="AQ93" s="61"/>
      <c r="AR93" s="61"/>
      <c r="AS93" s="138" t="s">
        <v>185</v>
      </c>
      <c r="AT93" s="138"/>
      <c r="AU93" s="61"/>
      <c r="AV93" s="61"/>
      <c r="AW93" s="61"/>
      <c r="AX93" s="138" t="s">
        <v>186</v>
      </c>
      <c r="AY93" s="138"/>
      <c r="AZ93" s="61"/>
      <c r="BA93" s="61"/>
      <c r="BB93" s="61"/>
      <c r="BC93" s="138" t="s">
        <v>222</v>
      </c>
      <c r="BD93" s="138"/>
      <c r="BE93" s="61"/>
      <c r="BF93" s="61"/>
    </row>
    <row r="94" spans="2:58" ht="15.75" customHeight="1" thickTop="1">
      <c r="B94" s="61"/>
      <c r="C94" s="119" t="str">
        <f>'(1st+2nd) Shift Combined'!D90</f>
        <v>Not Running</v>
      </c>
      <c r="D94" s="120"/>
      <c r="E94" s="120"/>
      <c r="F94" s="121"/>
      <c r="G94" s="61"/>
      <c r="H94" s="119" t="str">
        <f>'(1st+2nd) Shift Combined'!D91</f>
        <v>Not Running</v>
      </c>
      <c r="I94" s="120"/>
      <c r="J94" s="120"/>
      <c r="K94" s="121"/>
      <c r="L94" s="61"/>
      <c r="M94" s="119" t="str">
        <f>'(1st+2nd) Shift Combined'!D92</f>
        <v>Not Running</v>
      </c>
      <c r="N94" s="120"/>
      <c r="O94" s="120"/>
      <c r="P94" s="121"/>
      <c r="Q94" s="61"/>
      <c r="R94" s="119" t="str">
        <f>'(1st+2nd) Shift Combined'!D93</f>
        <v>Not Running</v>
      </c>
      <c r="S94" s="120"/>
      <c r="T94" s="120"/>
      <c r="U94" s="121"/>
      <c r="V94" s="61"/>
      <c r="W94" s="119" t="str">
        <f>'(1st+2nd) Shift Combined'!D94</f>
        <v>Not Running</v>
      </c>
      <c r="X94" s="120"/>
      <c r="Y94" s="120"/>
      <c r="Z94" s="121"/>
      <c r="AA94" s="61"/>
      <c r="AB94" s="140"/>
      <c r="AC94" s="141"/>
      <c r="AD94" s="141"/>
      <c r="AE94" s="141"/>
      <c r="AF94" s="142"/>
      <c r="AG94" s="61"/>
      <c r="AH94" s="129" t="str">
        <f>'(1st+2nd) Shift Combined'!K90</f>
        <v>Not Running</v>
      </c>
      <c r="AI94" s="130"/>
      <c r="AJ94" s="130"/>
      <c r="AK94" s="131"/>
      <c r="AL94" s="61"/>
      <c r="AM94" s="129" t="str">
        <f>'(1st+2nd) Shift Combined'!K91</f>
        <v>Not Running</v>
      </c>
      <c r="AN94" s="130"/>
      <c r="AO94" s="130"/>
      <c r="AP94" s="131"/>
      <c r="AQ94" s="61"/>
      <c r="AR94" s="129" t="str">
        <f>'(1st+2nd) Shift Combined'!K92</f>
        <v>Not Running</v>
      </c>
      <c r="AS94" s="130"/>
      <c r="AT94" s="130"/>
      <c r="AU94" s="131"/>
      <c r="AV94" s="61"/>
      <c r="AW94" s="129" t="str">
        <f>'(1st+2nd) Shift Combined'!K93</f>
        <v>Not Running</v>
      </c>
      <c r="AX94" s="130"/>
      <c r="AY94" s="130"/>
      <c r="AZ94" s="131"/>
      <c r="BA94" s="61"/>
      <c r="BB94" s="129" t="str">
        <f>'(1st+2nd) Shift Combined'!K94</f>
        <v>Not Running</v>
      </c>
      <c r="BC94" s="130"/>
      <c r="BD94" s="130"/>
      <c r="BE94" s="131"/>
      <c r="BF94" s="61"/>
    </row>
    <row r="95" spans="2:58" ht="15.75" customHeight="1">
      <c r="B95" s="62"/>
      <c r="C95" s="122"/>
      <c r="D95" s="123"/>
      <c r="E95" s="123"/>
      <c r="F95" s="124"/>
      <c r="G95" s="71"/>
      <c r="H95" s="122"/>
      <c r="I95" s="123"/>
      <c r="J95" s="123"/>
      <c r="K95" s="124"/>
      <c r="L95" s="62"/>
      <c r="M95" s="122"/>
      <c r="N95" s="123"/>
      <c r="O95" s="123"/>
      <c r="P95" s="124"/>
      <c r="Q95" s="70"/>
      <c r="R95" s="122"/>
      <c r="S95" s="123"/>
      <c r="T95" s="123"/>
      <c r="U95" s="124"/>
      <c r="V95" s="61"/>
      <c r="W95" s="122"/>
      <c r="X95" s="123"/>
      <c r="Y95" s="123"/>
      <c r="Z95" s="124"/>
      <c r="AA95" s="61"/>
      <c r="AB95" s="140"/>
      <c r="AC95" s="141"/>
      <c r="AD95" s="141"/>
      <c r="AE95" s="141"/>
      <c r="AF95" s="142"/>
      <c r="AG95" s="61"/>
      <c r="AH95" s="132"/>
      <c r="AI95" s="133"/>
      <c r="AJ95" s="133"/>
      <c r="AK95" s="134"/>
      <c r="AL95" s="62"/>
      <c r="AM95" s="132"/>
      <c r="AN95" s="133"/>
      <c r="AO95" s="133"/>
      <c r="AP95" s="134"/>
      <c r="AQ95" s="61"/>
      <c r="AR95" s="132"/>
      <c r="AS95" s="133"/>
      <c r="AT95" s="133"/>
      <c r="AU95" s="134"/>
      <c r="AV95" s="61"/>
      <c r="AW95" s="132"/>
      <c r="AX95" s="133"/>
      <c r="AY95" s="133"/>
      <c r="AZ95" s="134"/>
      <c r="BA95" s="61"/>
      <c r="BB95" s="132"/>
      <c r="BC95" s="133"/>
      <c r="BD95" s="133"/>
      <c r="BE95" s="134"/>
      <c r="BF95" s="61"/>
    </row>
    <row r="96" spans="2:58" ht="15.75" customHeight="1" thickBot="1">
      <c r="B96" s="61"/>
      <c r="C96" s="125"/>
      <c r="D96" s="126"/>
      <c r="E96" s="126"/>
      <c r="F96" s="127"/>
      <c r="G96" s="62"/>
      <c r="H96" s="125"/>
      <c r="I96" s="126"/>
      <c r="J96" s="126"/>
      <c r="K96" s="127"/>
      <c r="L96" s="61"/>
      <c r="M96" s="125"/>
      <c r="N96" s="126"/>
      <c r="O96" s="126"/>
      <c r="P96" s="127"/>
      <c r="Q96" s="61"/>
      <c r="R96" s="125"/>
      <c r="S96" s="126"/>
      <c r="T96" s="126"/>
      <c r="U96" s="127"/>
      <c r="V96" s="61"/>
      <c r="W96" s="125"/>
      <c r="X96" s="126"/>
      <c r="Y96" s="126"/>
      <c r="Z96" s="127"/>
      <c r="AA96" s="61"/>
      <c r="AB96" s="140"/>
      <c r="AC96" s="141"/>
      <c r="AD96" s="141"/>
      <c r="AE96" s="141"/>
      <c r="AF96" s="142"/>
      <c r="AG96" s="61"/>
      <c r="AH96" s="135"/>
      <c r="AI96" s="136"/>
      <c r="AJ96" s="136"/>
      <c r="AK96" s="137"/>
      <c r="AL96" s="62"/>
      <c r="AM96" s="135"/>
      <c r="AN96" s="136"/>
      <c r="AO96" s="136"/>
      <c r="AP96" s="137"/>
      <c r="AQ96" s="61"/>
      <c r="AR96" s="135"/>
      <c r="AS96" s="136"/>
      <c r="AT96" s="136"/>
      <c r="AU96" s="137"/>
      <c r="AV96" s="61"/>
      <c r="AW96" s="135"/>
      <c r="AX96" s="136"/>
      <c r="AY96" s="136"/>
      <c r="AZ96" s="137"/>
      <c r="BA96" s="61"/>
      <c r="BB96" s="135"/>
      <c r="BC96" s="136"/>
      <c r="BD96" s="136"/>
      <c r="BE96" s="137"/>
      <c r="BF96" s="61"/>
    </row>
    <row r="97" spans="2:58" ht="15.75" customHeight="1" thickTop="1">
      <c r="B97" s="61"/>
      <c r="C97" s="62"/>
      <c r="D97" s="139" t="str">
        <f>'(1st+2nd) Shift Combined'!G90</f>
        <v/>
      </c>
      <c r="E97" s="139"/>
      <c r="F97" s="62"/>
      <c r="G97" s="61"/>
      <c r="H97" s="62"/>
      <c r="I97" s="139" t="str">
        <f>'(1st+2nd) Shift Combined'!G91</f>
        <v/>
      </c>
      <c r="J97" s="139"/>
      <c r="K97" s="62"/>
      <c r="L97" s="61"/>
      <c r="M97" s="63"/>
      <c r="N97" s="139" t="str">
        <f>'(1st+2nd) Shift Combined'!G92</f>
        <v/>
      </c>
      <c r="O97" s="139"/>
      <c r="P97" s="63"/>
      <c r="Q97" s="61"/>
      <c r="R97" s="63"/>
      <c r="S97" s="139" t="str">
        <f>'(1st+2nd) Shift Combined'!G93</f>
        <v/>
      </c>
      <c r="T97" s="139"/>
      <c r="U97" s="63"/>
      <c r="V97" s="61"/>
      <c r="W97" s="63"/>
      <c r="X97" s="139" t="str">
        <f>'(1st+2nd) Shift Combined'!G94</f>
        <v/>
      </c>
      <c r="Y97" s="139"/>
      <c r="Z97" s="63"/>
      <c r="AA97" s="61"/>
      <c r="AB97" s="140"/>
      <c r="AC97" s="141"/>
      <c r="AD97" s="141"/>
      <c r="AE97" s="141"/>
      <c r="AF97" s="142"/>
      <c r="AG97" s="61"/>
      <c r="AH97" s="62"/>
      <c r="AI97" s="139" t="str">
        <f>'(1st+2nd) Shift Combined'!N90</f>
        <v/>
      </c>
      <c r="AJ97" s="139"/>
      <c r="AK97" s="62"/>
      <c r="AL97" s="61"/>
      <c r="AM97" s="62"/>
      <c r="AN97" s="139" t="str">
        <f>'(1st+2nd) Shift Combined'!N91</f>
        <v/>
      </c>
      <c r="AO97" s="139"/>
      <c r="AP97" s="62"/>
      <c r="AQ97" s="61"/>
      <c r="AR97" s="63"/>
      <c r="AS97" s="139" t="str">
        <f>'(1st+2nd) Shift Combined'!N92</f>
        <v/>
      </c>
      <c r="AT97" s="139"/>
      <c r="AU97" s="63"/>
      <c r="AV97" s="61"/>
      <c r="AW97" s="63"/>
      <c r="AX97" s="139" t="str">
        <f>'(1st+2nd) Shift Combined'!N93</f>
        <v/>
      </c>
      <c r="AY97" s="139"/>
      <c r="AZ97" s="63"/>
      <c r="BA97" s="61"/>
      <c r="BB97" s="63"/>
      <c r="BC97" s="139" t="str">
        <f>'(1st+2nd) Shift Combined'!N94</f>
        <v/>
      </c>
      <c r="BD97" s="139"/>
      <c r="BE97" s="63"/>
      <c r="BF97" s="61"/>
    </row>
    <row r="98" spans="2:58" ht="15.75" customHeight="1"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140"/>
      <c r="AC98" s="141"/>
      <c r="AD98" s="141"/>
      <c r="AE98" s="141"/>
      <c r="AF98" s="142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</row>
    <row r="99" spans="2:58" ht="15.75" customHeight="1" thickBot="1">
      <c r="B99" s="61"/>
      <c r="C99" s="64"/>
      <c r="D99" s="138" t="s">
        <v>106</v>
      </c>
      <c r="E99" s="138"/>
      <c r="F99" s="64"/>
      <c r="G99" s="61"/>
      <c r="H99" s="64"/>
      <c r="I99" s="138" t="s">
        <v>107</v>
      </c>
      <c r="J99" s="138"/>
      <c r="K99" s="64"/>
      <c r="L99" s="61"/>
      <c r="M99" s="67"/>
      <c r="N99" s="138" t="s">
        <v>108</v>
      </c>
      <c r="O99" s="138"/>
      <c r="P99" s="62"/>
      <c r="Q99" s="61"/>
      <c r="R99" s="64"/>
      <c r="S99" s="138" t="s">
        <v>109</v>
      </c>
      <c r="T99" s="138"/>
      <c r="U99" s="64"/>
      <c r="V99" s="61"/>
      <c r="W99" s="64"/>
      <c r="X99" s="138" t="s">
        <v>110</v>
      </c>
      <c r="Y99" s="138"/>
      <c r="Z99" s="64"/>
      <c r="AA99" s="61"/>
      <c r="AB99" s="140"/>
      <c r="AC99" s="141"/>
      <c r="AD99" s="141"/>
      <c r="AE99" s="141"/>
      <c r="AF99" s="142"/>
      <c r="AG99" s="61"/>
      <c r="AH99" s="64"/>
      <c r="AI99" s="138" t="s">
        <v>187</v>
      </c>
      <c r="AJ99" s="138"/>
      <c r="AK99" s="64"/>
      <c r="AL99" s="61"/>
      <c r="AM99" s="64"/>
      <c r="AN99" s="138" t="s">
        <v>188</v>
      </c>
      <c r="AO99" s="138"/>
      <c r="AP99" s="64"/>
      <c r="AQ99" s="61"/>
      <c r="AR99" s="67"/>
      <c r="AS99" s="138" t="s">
        <v>189</v>
      </c>
      <c r="AT99" s="138"/>
      <c r="AU99" s="62"/>
      <c r="AV99" s="61"/>
      <c r="AW99" s="64"/>
      <c r="AX99" s="138" t="s">
        <v>190</v>
      </c>
      <c r="AY99" s="138"/>
      <c r="AZ99" s="64"/>
      <c r="BA99" s="61"/>
      <c r="BB99" s="64"/>
      <c r="BC99" s="138" t="s">
        <v>221</v>
      </c>
      <c r="BD99" s="138"/>
      <c r="BE99" s="64"/>
      <c r="BF99" s="61"/>
    </row>
    <row r="100" spans="2:58" ht="15.75" customHeight="1" thickTop="1">
      <c r="B100" s="61"/>
      <c r="C100" s="119" t="str">
        <f>'(1st+2nd) Shift Combined'!D95</f>
        <v>Not Running</v>
      </c>
      <c r="D100" s="120"/>
      <c r="E100" s="120"/>
      <c r="F100" s="121"/>
      <c r="G100" s="61"/>
      <c r="H100" s="119" t="str">
        <f>'(1st+2nd) Shift Combined'!D96</f>
        <v>Not Running</v>
      </c>
      <c r="I100" s="120"/>
      <c r="J100" s="120"/>
      <c r="K100" s="121"/>
      <c r="L100" s="61"/>
      <c r="M100" s="119" t="str">
        <f>'(1st+2nd) Shift Combined'!D97</f>
        <v>Not Running</v>
      </c>
      <c r="N100" s="120"/>
      <c r="O100" s="120"/>
      <c r="P100" s="121"/>
      <c r="Q100" s="61"/>
      <c r="R100" s="119" t="str">
        <f>'(1st+2nd) Shift Combined'!D98</f>
        <v>Not Running</v>
      </c>
      <c r="S100" s="120"/>
      <c r="T100" s="120"/>
      <c r="U100" s="121"/>
      <c r="V100" s="61"/>
      <c r="W100" s="119" t="str">
        <f>'(1st+2nd) Shift Combined'!D99</f>
        <v>Not Running</v>
      </c>
      <c r="X100" s="120"/>
      <c r="Y100" s="120"/>
      <c r="Z100" s="121"/>
      <c r="AA100" s="61"/>
      <c r="AB100" s="140"/>
      <c r="AC100" s="141"/>
      <c r="AD100" s="141"/>
      <c r="AE100" s="141"/>
      <c r="AF100" s="142"/>
      <c r="AG100" s="61"/>
      <c r="AH100" s="129" t="str">
        <f>'(1st+2nd) Shift Combined'!K95</f>
        <v>Not Running</v>
      </c>
      <c r="AI100" s="130"/>
      <c r="AJ100" s="130"/>
      <c r="AK100" s="131"/>
      <c r="AL100" s="61"/>
      <c r="AM100" s="129" t="str">
        <f>'(1st+2nd) Shift Combined'!K96</f>
        <v>Not Running</v>
      </c>
      <c r="AN100" s="130"/>
      <c r="AO100" s="130"/>
      <c r="AP100" s="131"/>
      <c r="AQ100" s="61"/>
      <c r="AR100" s="129" t="str">
        <f>'(1st+2nd) Shift Combined'!K97</f>
        <v>Not Running</v>
      </c>
      <c r="AS100" s="130"/>
      <c r="AT100" s="130"/>
      <c r="AU100" s="131"/>
      <c r="AV100" s="61"/>
      <c r="AW100" s="129" t="str">
        <f>'(1st+2nd) Shift Combined'!K98</f>
        <v>Not Running</v>
      </c>
      <c r="AX100" s="130"/>
      <c r="AY100" s="130"/>
      <c r="AZ100" s="131"/>
      <c r="BA100" s="61"/>
      <c r="BB100" s="129" t="str">
        <f>'(1st+2nd) Shift Combined'!K99</f>
        <v>Not Running</v>
      </c>
      <c r="BC100" s="130"/>
      <c r="BD100" s="130"/>
      <c r="BE100" s="131"/>
      <c r="BF100" s="61"/>
    </row>
    <row r="101" spans="2:58" ht="15.75" customHeight="1">
      <c r="B101" s="61"/>
      <c r="C101" s="122"/>
      <c r="D101" s="123"/>
      <c r="E101" s="123"/>
      <c r="F101" s="124"/>
      <c r="G101" s="61"/>
      <c r="H101" s="122"/>
      <c r="I101" s="123"/>
      <c r="J101" s="123"/>
      <c r="K101" s="124"/>
      <c r="L101" s="68"/>
      <c r="M101" s="122"/>
      <c r="N101" s="123"/>
      <c r="O101" s="123"/>
      <c r="P101" s="124"/>
      <c r="Q101" s="69"/>
      <c r="R101" s="122"/>
      <c r="S101" s="123"/>
      <c r="T101" s="123"/>
      <c r="U101" s="124"/>
      <c r="V101" s="61"/>
      <c r="W101" s="122"/>
      <c r="X101" s="123"/>
      <c r="Y101" s="123"/>
      <c r="Z101" s="124"/>
      <c r="AA101" s="61"/>
      <c r="AB101" s="140"/>
      <c r="AC101" s="141"/>
      <c r="AD101" s="141"/>
      <c r="AE101" s="141"/>
      <c r="AF101" s="142"/>
      <c r="AG101" s="61"/>
      <c r="AH101" s="132"/>
      <c r="AI101" s="133"/>
      <c r="AJ101" s="133"/>
      <c r="AK101" s="134"/>
      <c r="AL101" s="62"/>
      <c r="AM101" s="132"/>
      <c r="AN101" s="133"/>
      <c r="AO101" s="133"/>
      <c r="AP101" s="134"/>
      <c r="AQ101" s="61"/>
      <c r="AR101" s="132"/>
      <c r="AS101" s="133"/>
      <c r="AT101" s="133"/>
      <c r="AU101" s="134"/>
      <c r="AV101" s="61"/>
      <c r="AW101" s="132"/>
      <c r="AX101" s="133"/>
      <c r="AY101" s="133"/>
      <c r="AZ101" s="134"/>
      <c r="BA101" s="61"/>
      <c r="BB101" s="132"/>
      <c r="BC101" s="133"/>
      <c r="BD101" s="133"/>
      <c r="BE101" s="134"/>
      <c r="BF101" s="61"/>
    </row>
    <row r="102" spans="2:58" ht="15.75" customHeight="1" thickBot="1">
      <c r="B102" s="61"/>
      <c r="C102" s="125"/>
      <c r="D102" s="126"/>
      <c r="E102" s="126"/>
      <c r="F102" s="127"/>
      <c r="G102" s="61"/>
      <c r="H102" s="125"/>
      <c r="I102" s="126"/>
      <c r="J102" s="126"/>
      <c r="K102" s="127"/>
      <c r="L102" s="61"/>
      <c r="M102" s="125"/>
      <c r="N102" s="126"/>
      <c r="O102" s="126"/>
      <c r="P102" s="127"/>
      <c r="Q102" s="61"/>
      <c r="R102" s="125"/>
      <c r="S102" s="126"/>
      <c r="T102" s="126"/>
      <c r="U102" s="127"/>
      <c r="V102" s="61"/>
      <c r="W102" s="125"/>
      <c r="X102" s="126"/>
      <c r="Y102" s="126"/>
      <c r="Z102" s="127"/>
      <c r="AA102" s="61"/>
      <c r="AB102" s="140"/>
      <c r="AC102" s="141"/>
      <c r="AD102" s="141"/>
      <c r="AE102" s="141"/>
      <c r="AF102" s="142"/>
      <c r="AG102" s="61"/>
      <c r="AH102" s="135"/>
      <c r="AI102" s="136"/>
      <c r="AJ102" s="136"/>
      <c r="AK102" s="137"/>
      <c r="AL102" s="62"/>
      <c r="AM102" s="135"/>
      <c r="AN102" s="136"/>
      <c r="AO102" s="136"/>
      <c r="AP102" s="137"/>
      <c r="AQ102" s="61"/>
      <c r="AR102" s="135"/>
      <c r="AS102" s="136"/>
      <c r="AT102" s="136"/>
      <c r="AU102" s="137"/>
      <c r="AV102" s="61"/>
      <c r="AW102" s="135"/>
      <c r="AX102" s="136"/>
      <c r="AY102" s="136"/>
      <c r="AZ102" s="137"/>
      <c r="BA102" s="61"/>
      <c r="BB102" s="135"/>
      <c r="BC102" s="136"/>
      <c r="BD102" s="136"/>
      <c r="BE102" s="137"/>
      <c r="BF102" s="61"/>
    </row>
    <row r="103" spans="2:58" ht="15.75" customHeight="1" thickTop="1">
      <c r="B103" s="61"/>
      <c r="C103" s="62"/>
      <c r="D103" s="139" t="str">
        <f>'(1st+2nd) Shift Combined'!G95</f>
        <v/>
      </c>
      <c r="E103" s="139"/>
      <c r="F103" s="62"/>
      <c r="G103" s="61"/>
      <c r="H103" s="62"/>
      <c r="I103" s="139" t="str">
        <f>'(1st+2nd) Shift Combined'!G96</f>
        <v/>
      </c>
      <c r="J103" s="139"/>
      <c r="K103" s="62"/>
      <c r="L103" s="61"/>
      <c r="M103" s="63"/>
      <c r="N103" s="139" t="str">
        <f>'(1st+2nd) Shift Combined'!G97</f>
        <v/>
      </c>
      <c r="O103" s="139"/>
      <c r="P103" s="63"/>
      <c r="Q103" s="61"/>
      <c r="R103" s="63"/>
      <c r="S103" s="139" t="str">
        <f>'(1st+2nd) Shift Combined'!G98</f>
        <v/>
      </c>
      <c r="T103" s="139"/>
      <c r="U103" s="63"/>
      <c r="V103" s="61"/>
      <c r="W103" s="63"/>
      <c r="X103" s="139" t="str">
        <f>'(1st+2nd) Shift Combined'!G99</f>
        <v/>
      </c>
      <c r="Y103" s="139"/>
      <c r="Z103" s="63"/>
      <c r="AA103" s="61"/>
      <c r="AB103" s="140"/>
      <c r="AC103" s="141"/>
      <c r="AD103" s="141"/>
      <c r="AE103" s="141"/>
      <c r="AF103" s="142"/>
      <c r="AG103" s="61"/>
      <c r="AH103" s="62"/>
      <c r="AI103" s="139" t="str">
        <f>'(1st+2nd) Shift Combined'!N95</f>
        <v/>
      </c>
      <c r="AJ103" s="139"/>
      <c r="AK103" s="62"/>
      <c r="AL103" s="61"/>
      <c r="AM103" s="62"/>
      <c r="AN103" s="139" t="str">
        <f>'(1st+2nd) Shift Combined'!N96</f>
        <v/>
      </c>
      <c r="AO103" s="139"/>
      <c r="AP103" s="62"/>
      <c r="AQ103" s="61"/>
      <c r="AR103" s="63"/>
      <c r="AS103" s="139" t="str">
        <f>'(1st+2nd) Shift Combined'!N97</f>
        <v/>
      </c>
      <c r="AT103" s="139"/>
      <c r="AU103" s="63"/>
      <c r="AV103" s="61"/>
      <c r="AW103" s="63"/>
      <c r="AX103" s="139" t="str">
        <f>'(1st+2nd) Shift Combined'!N98</f>
        <v/>
      </c>
      <c r="AY103" s="139"/>
      <c r="AZ103" s="63"/>
      <c r="BA103" s="61"/>
      <c r="BB103" s="63"/>
      <c r="BC103" s="139" t="str">
        <f>'(1st+2nd) Shift Combined'!N99</f>
        <v/>
      </c>
      <c r="BD103" s="139"/>
      <c r="BE103" s="63"/>
      <c r="BF103" s="61"/>
    </row>
    <row r="104" spans="2:58" ht="15.75" customHeight="1"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140"/>
      <c r="AC104" s="141"/>
      <c r="AD104" s="141"/>
      <c r="AE104" s="141"/>
      <c r="AF104" s="142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</row>
    <row r="105" spans="2:58" ht="15.75" customHeight="1" thickBot="1">
      <c r="B105" s="61"/>
      <c r="C105" s="61"/>
      <c r="D105" s="138" t="s">
        <v>111</v>
      </c>
      <c r="E105" s="138"/>
      <c r="F105" s="61"/>
      <c r="G105" s="61"/>
      <c r="H105" s="61"/>
      <c r="I105" s="138" t="s">
        <v>112</v>
      </c>
      <c r="J105" s="138"/>
      <c r="K105" s="61"/>
      <c r="L105" s="61"/>
      <c r="M105" s="61"/>
      <c r="N105" s="138" t="s">
        <v>113</v>
      </c>
      <c r="O105" s="138"/>
      <c r="P105" s="61"/>
      <c r="Q105" s="61"/>
      <c r="R105" s="61"/>
      <c r="S105" s="138" t="s">
        <v>114</v>
      </c>
      <c r="T105" s="138"/>
      <c r="U105" s="61"/>
      <c r="V105" s="61"/>
      <c r="W105" s="61"/>
      <c r="X105" s="138" t="s">
        <v>115</v>
      </c>
      <c r="Y105" s="138"/>
      <c r="Z105" s="61"/>
      <c r="AA105" s="61"/>
      <c r="AB105" s="140"/>
      <c r="AC105" s="141"/>
      <c r="AD105" s="141"/>
      <c r="AE105" s="141"/>
      <c r="AF105" s="142"/>
      <c r="AG105" s="61"/>
      <c r="AH105" s="61"/>
      <c r="AI105" s="138" t="s">
        <v>191</v>
      </c>
      <c r="AJ105" s="138"/>
      <c r="AK105" s="61"/>
      <c r="AL105" s="61"/>
      <c r="AM105" s="61"/>
      <c r="AN105" s="138" t="s">
        <v>192</v>
      </c>
      <c r="AO105" s="138"/>
      <c r="AP105" s="61"/>
      <c r="AQ105" s="61"/>
      <c r="AR105" s="61"/>
      <c r="AS105" s="138" t="s">
        <v>193</v>
      </c>
      <c r="AT105" s="138"/>
      <c r="AU105" s="61"/>
      <c r="AV105" s="61"/>
      <c r="AW105" s="61"/>
      <c r="AX105" s="138" t="s">
        <v>194</v>
      </c>
      <c r="AY105" s="138"/>
      <c r="AZ105" s="61"/>
      <c r="BA105" s="61"/>
      <c r="BB105" s="61"/>
      <c r="BC105" s="138" t="s">
        <v>220</v>
      </c>
      <c r="BD105" s="138"/>
      <c r="BE105" s="61"/>
      <c r="BF105" s="61"/>
    </row>
    <row r="106" spans="2:58" ht="15.75" customHeight="1" thickTop="1">
      <c r="B106" s="61"/>
      <c r="C106" s="119" t="str">
        <f>'(1st+2nd) Shift Combined'!D100</f>
        <v>Not Running</v>
      </c>
      <c r="D106" s="120"/>
      <c r="E106" s="120"/>
      <c r="F106" s="121"/>
      <c r="G106" s="61"/>
      <c r="H106" s="119" t="str">
        <f>'(1st+2nd) Shift Combined'!D101</f>
        <v>Not Running</v>
      </c>
      <c r="I106" s="120"/>
      <c r="J106" s="120"/>
      <c r="K106" s="121"/>
      <c r="L106" s="61"/>
      <c r="M106" s="119" t="str">
        <f>'(1st+2nd) Shift Combined'!D102</f>
        <v>Not Running</v>
      </c>
      <c r="N106" s="120"/>
      <c r="O106" s="120"/>
      <c r="P106" s="121"/>
      <c r="Q106" s="61"/>
      <c r="R106" s="119" t="str">
        <f>'(1st+2nd) Shift Combined'!D103</f>
        <v>Not Running</v>
      </c>
      <c r="S106" s="120"/>
      <c r="T106" s="120"/>
      <c r="U106" s="121"/>
      <c r="V106" s="61"/>
      <c r="W106" s="119" t="str">
        <f>'(1st+2nd) Shift Combined'!D104</f>
        <v>Not Running</v>
      </c>
      <c r="X106" s="120"/>
      <c r="Y106" s="120"/>
      <c r="Z106" s="121"/>
      <c r="AA106" s="61"/>
      <c r="AB106" s="140"/>
      <c r="AC106" s="141"/>
      <c r="AD106" s="141"/>
      <c r="AE106" s="141"/>
      <c r="AF106" s="142"/>
      <c r="AG106" s="61"/>
      <c r="AH106" s="129" t="str">
        <f>'(1st+2nd) Shift Combined'!K100</f>
        <v>Not Running</v>
      </c>
      <c r="AI106" s="130"/>
      <c r="AJ106" s="130"/>
      <c r="AK106" s="131"/>
      <c r="AL106" s="61"/>
      <c r="AM106" s="129" t="str">
        <f>'(1st+2nd) Shift Combined'!K101</f>
        <v>Not Running</v>
      </c>
      <c r="AN106" s="130"/>
      <c r="AO106" s="130"/>
      <c r="AP106" s="131"/>
      <c r="AQ106" s="61"/>
      <c r="AR106" s="129" t="str">
        <f>'(1st+2nd) Shift Combined'!K102</f>
        <v>Not Running</v>
      </c>
      <c r="AS106" s="130"/>
      <c r="AT106" s="130"/>
      <c r="AU106" s="131"/>
      <c r="AV106" s="61"/>
      <c r="AW106" s="129" t="str">
        <f>'(1st+2nd) Shift Combined'!K103</f>
        <v>Not Running</v>
      </c>
      <c r="AX106" s="130"/>
      <c r="AY106" s="130"/>
      <c r="AZ106" s="131"/>
      <c r="BA106" s="61"/>
      <c r="BB106" s="129" t="str">
        <f>'(1st+2nd) Shift Combined'!K104</f>
        <v>Not Running</v>
      </c>
      <c r="BC106" s="130"/>
      <c r="BD106" s="130"/>
      <c r="BE106" s="131"/>
      <c r="BF106" s="61"/>
    </row>
    <row r="107" spans="2:58" ht="15.75" customHeight="1">
      <c r="B107" s="61"/>
      <c r="C107" s="122"/>
      <c r="D107" s="123"/>
      <c r="E107" s="123"/>
      <c r="F107" s="124"/>
      <c r="G107" s="62"/>
      <c r="H107" s="122"/>
      <c r="I107" s="123"/>
      <c r="J107" s="123"/>
      <c r="K107" s="124"/>
      <c r="L107" s="61"/>
      <c r="M107" s="122"/>
      <c r="N107" s="123"/>
      <c r="O107" s="123"/>
      <c r="P107" s="124"/>
      <c r="Q107" s="61"/>
      <c r="R107" s="122"/>
      <c r="S107" s="123"/>
      <c r="T107" s="123"/>
      <c r="U107" s="124"/>
      <c r="V107" s="61"/>
      <c r="W107" s="122"/>
      <c r="X107" s="123"/>
      <c r="Y107" s="123"/>
      <c r="Z107" s="124"/>
      <c r="AA107" s="61"/>
      <c r="AB107" s="140"/>
      <c r="AC107" s="141"/>
      <c r="AD107" s="141"/>
      <c r="AE107" s="141"/>
      <c r="AF107" s="142"/>
      <c r="AG107" s="61"/>
      <c r="AH107" s="132"/>
      <c r="AI107" s="133"/>
      <c r="AJ107" s="133"/>
      <c r="AK107" s="134"/>
      <c r="AL107" s="62"/>
      <c r="AM107" s="132"/>
      <c r="AN107" s="133"/>
      <c r="AO107" s="133"/>
      <c r="AP107" s="134"/>
      <c r="AQ107" s="61"/>
      <c r="AR107" s="132"/>
      <c r="AS107" s="133"/>
      <c r="AT107" s="133"/>
      <c r="AU107" s="134"/>
      <c r="AV107" s="61"/>
      <c r="AW107" s="132"/>
      <c r="AX107" s="133"/>
      <c r="AY107" s="133"/>
      <c r="AZ107" s="134"/>
      <c r="BA107" s="61"/>
      <c r="BB107" s="132"/>
      <c r="BC107" s="133"/>
      <c r="BD107" s="133"/>
      <c r="BE107" s="134"/>
      <c r="BF107" s="61"/>
    </row>
    <row r="108" spans="2:58" ht="15.75" customHeight="1" thickBot="1">
      <c r="B108" s="61"/>
      <c r="C108" s="125"/>
      <c r="D108" s="126"/>
      <c r="E108" s="126"/>
      <c r="F108" s="127"/>
      <c r="G108" s="62"/>
      <c r="H108" s="125"/>
      <c r="I108" s="126"/>
      <c r="J108" s="126"/>
      <c r="K108" s="127"/>
      <c r="L108" s="61"/>
      <c r="M108" s="125"/>
      <c r="N108" s="126"/>
      <c r="O108" s="126"/>
      <c r="P108" s="127"/>
      <c r="Q108" s="61"/>
      <c r="R108" s="125"/>
      <c r="S108" s="126"/>
      <c r="T108" s="126"/>
      <c r="U108" s="127"/>
      <c r="V108" s="61"/>
      <c r="W108" s="125"/>
      <c r="X108" s="126"/>
      <c r="Y108" s="126"/>
      <c r="Z108" s="127"/>
      <c r="AA108" s="61"/>
      <c r="AB108" s="140"/>
      <c r="AC108" s="141"/>
      <c r="AD108" s="141"/>
      <c r="AE108" s="141"/>
      <c r="AF108" s="142"/>
      <c r="AG108" s="61"/>
      <c r="AH108" s="135"/>
      <c r="AI108" s="136"/>
      <c r="AJ108" s="136"/>
      <c r="AK108" s="137"/>
      <c r="AL108" s="62"/>
      <c r="AM108" s="135"/>
      <c r="AN108" s="136"/>
      <c r="AO108" s="136"/>
      <c r="AP108" s="137"/>
      <c r="AQ108" s="61"/>
      <c r="AR108" s="135"/>
      <c r="AS108" s="136"/>
      <c r="AT108" s="136"/>
      <c r="AU108" s="137"/>
      <c r="AV108" s="61"/>
      <c r="AW108" s="135"/>
      <c r="AX108" s="136"/>
      <c r="AY108" s="136"/>
      <c r="AZ108" s="137"/>
      <c r="BA108" s="61"/>
      <c r="BB108" s="135"/>
      <c r="BC108" s="136"/>
      <c r="BD108" s="136"/>
      <c r="BE108" s="137"/>
      <c r="BF108" s="61"/>
    </row>
    <row r="109" spans="2:58" ht="15.75" customHeight="1" thickTop="1">
      <c r="B109" s="61"/>
      <c r="C109" s="62"/>
      <c r="D109" s="139" t="str">
        <f>'(1st+2nd) Shift Combined'!G100</f>
        <v/>
      </c>
      <c r="E109" s="139"/>
      <c r="F109" s="62"/>
      <c r="G109" s="61"/>
      <c r="H109" s="62"/>
      <c r="I109" s="139" t="str">
        <f>'(1st+2nd) Shift Combined'!G101</f>
        <v/>
      </c>
      <c r="J109" s="139"/>
      <c r="K109" s="62"/>
      <c r="L109" s="61"/>
      <c r="M109" s="63"/>
      <c r="N109" s="139" t="str">
        <f>'(1st+2nd) Shift Combined'!G102</f>
        <v/>
      </c>
      <c r="O109" s="139"/>
      <c r="P109" s="63"/>
      <c r="Q109" s="61"/>
      <c r="R109" s="63"/>
      <c r="S109" s="139" t="str">
        <f>'(1st+2nd) Shift Combined'!G103</f>
        <v/>
      </c>
      <c r="T109" s="139"/>
      <c r="U109" s="63"/>
      <c r="V109" s="61"/>
      <c r="W109" s="63"/>
      <c r="X109" s="139" t="str">
        <f>'(1st+2nd) Shift Combined'!G104</f>
        <v/>
      </c>
      <c r="Y109" s="139"/>
      <c r="Z109" s="63"/>
      <c r="AA109" s="61"/>
      <c r="AB109" s="140"/>
      <c r="AC109" s="141"/>
      <c r="AD109" s="141"/>
      <c r="AE109" s="141"/>
      <c r="AF109" s="142"/>
      <c r="AG109" s="61"/>
      <c r="AH109" s="62"/>
      <c r="AI109" s="139" t="str">
        <f>'(1st+2nd) Shift Combined'!N100</f>
        <v/>
      </c>
      <c r="AJ109" s="139"/>
      <c r="AK109" s="62"/>
      <c r="AL109" s="61"/>
      <c r="AM109" s="62"/>
      <c r="AN109" s="139" t="str">
        <f>'(1st+2nd) Shift Combined'!N101</f>
        <v/>
      </c>
      <c r="AO109" s="139"/>
      <c r="AP109" s="62"/>
      <c r="AQ109" s="61"/>
      <c r="AR109" s="63"/>
      <c r="AS109" s="139" t="str">
        <f>'(1st+2nd) Shift Combined'!N102</f>
        <v/>
      </c>
      <c r="AT109" s="139"/>
      <c r="AU109" s="63"/>
      <c r="AV109" s="61"/>
      <c r="AW109" s="63"/>
      <c r="AX109" s="139" t="str">
        <f>'(1st+2nd) Shift Combined'!N103</f>
        <v/>
      </c>
      <c r="AY109" s="139"/>
      <c r="AZ109" s="63"/>
      <c r="BA109" s="61"/>
      <c r="BB109" s="63"/>
      <c r="BC109" s="139" t="str">
        <f>'(1st+2nd) Shift Combined'!N104</f>
        <v/>
      </c>
      <c r="BD109" s="139"/>
      <c r="BE109" s="63"/>
      <c r="BF109" s="61"/>
    </row>
    <row r="110" spans="2:58" ht="15.75" customHeight="1"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140"/>
      <c r="AC110" s="141"/>
      <c r="AD110" s="141"/>
      <c r="AE110" s="141"/>
      <c r="AF110" s="142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</row>
    <row r="111" spans="2:58" ht="15.75" customHeight="1" thickBot="1">
      <c r="B111" s="61"/>
      <c r="C111" s="64"/>
      <c r="D111" s="138" t="s">
        <v>116</v>
      </c>
      <c r="E111" s="138"/>
      <c r="F111" s="64"/>
      <c r="G111" s="61"/>
      <c r="H111" s="64"/>
      <c r="I111" s="138" t="s">
        <v>117</v>
      </c>
      <c r="J111" s="138"/>
      <c r="K111" s="64"/>
      <c r="L111" s="61"/>
      <c r="M111" s="64"/>
      <c r="N111" s="138" t="s">
        <v>118</v>
      </c>
      <c r="O111" s="138"/>
      <c r="P111" s="64"/>
      <c r="Q111" s="61"/>
      <c r="R111" s="64"/>
      <c r="S111" s="138" t="s">
        <v>119</v>
      </c>
      <c r="T111" s="138"/>
      <c r="U111" s="64"/>
      <c r="V111" s="61"/>
      <c r="W111" s="64"/>
      <c r="X111" s="138" t="s">
        <v>120</v>
      </c>
      <c r="Y111" s="138"/>
      <c r="Z111" s="64"/>
      <c r="AA111" s="61"/>
      <c r="AB111" s="140"/>
      <c r="AC111" s="141"/>
      <c r="AD111" s="141"/>
      <c r="AE111" s="141"/>
      <c r="AF111" s="142"/>
      <c r="AG111" s="61"/>
      <c r="AH111" s="64"/>
      <c r="AI111" s="138" t="s">
        <v>195</v>
      </c>
      <c r="AJ111" s="138"/>
      <c r="AK111" s="64"/>
      <c r="AL111" s="61"/>
      <c r="AM111" s="64"/>
      <c r="AN111" s="138" t="s">
        <v>196</v>
      </c>
      <c r="AO111" s="138"/>
      <c r="AP111" s="64"/>
      <c r="AQ111" s="61"/>
      <c r="AR111" s="64"/>
      <c r="AS111" s="138" t="s">
        <v>197</v>
      </c>
      <c r="AT111" s="138"/>
      <c r="AU111" s="64"/>
      <c r="AV111" s="61"/>
      <c r="AW111" s="64"/>
      <c r="AX111" s="138" t="s">
        <v>198</v>
      </c>
      <c r="AY111" s="138"/>
      <c r="AZ111" s="64"/>
      <c r="BA111" s="61"/>
      <c r="BB111" s="64"/>
      <c r="BC111" s="138" t="s">
        <v>219</v>
      </c>
      <c r="BD111" s="138"/>
      <c r="BE111" s="64"/>
      <c r="BF111" s="61"/>
    </row>
    <row r="112" spans="2:58" ht="15.75" customHeight="1" thickTop="1">
      <c r="B112" s="61"/>
      <c r="C112" s="119" t="str">
        <f>'(1st+2nd) Shift Combined'!D105</f>
        <v>Not Running</v>
      </c>
      <c r="D112" s="120"/>
      <c r="E112" s="120"/>
      <c r="F112" s="121"/>
      <c r="G112" s="61"/>
      <c r="H112" s="119" t="str">
        <f>'(1st+2nd) Shift Combined'!D106</f>
        <v>Not Running</v>
      </c>
      <c r="I112" s="120"/>
      <c r="J112" s="120"/>
      <c r="K112" s="121"/>
      <c r="L112" s="61"/>
      <c r="M112" s="119" t="str">
        <f>'(1st+2nd) Shift Combined'!D107</f>
        <v>Not Running</v>
      </c>
      <c r="N112" s="120"/>
      <c r="O112" s="120"/>
      <c r="P112" s="121"/>
      <c r="Q112" s="61"/>
      <c r="R112" s="119" t="str">
        <f>'(1st+2nd) Shift Combined'!D108</f>
        <v>Not Running</v>
      </c>
      <c r="S112" s="120"/>
      <c r="T112" s="120"/>
      <c r="U112" s="121"/>
      <c r="V112" s="61"/>
      <c r="W112" s="119" t="str">
        <f>'(1st+2nd) Shift Combined'!D109</f>
        <v>Not Running</v>
      </c>
      <c r="X112" s="120"/>
      <c r="Y112" s="120"/>
      <c r="Z112" s="121"/>
      <c r="AA112" s="61"/>
      <c r="AB112" s="140"/>
      <c r="AC112" s="141"/>
      <c r="AD112" s="141"/>
      <c r="AE112" s="141"/>
      <c r="AF112" s="142"/>
      <c r="AG112" s="61"/>
      <c r="AH112" s="129" t="str">
        <f>'(1st+2nd) Shift Combined'!K105</f>
        <v>Not Running</v>
      </c>
      <c r="AI112" s="130"/>
      <c r="AJ112" s="130"/>
      <c r="AK112" s="131"/>
      <c r="AL112" s="61"/>
      <c r="AM112" s="129" t="str">
        <f>'(1st+2nd) Shift Combined'!K106</f>
        <v>Not Running</v>
      </c>
      <c r="AN112" s="130"/>
      <c r="AO112" s="130"/>
      <c r="AP112" s="131"/>
      <c r="AQ112" s="61"/>
      <c r="AR112" s="129" t="str">
        <f>'(1st+2nd) Shift Combined'!K107</f>
        <v>Not Running</v>
      </c>
      <c r="AS112" s="130"/>
      <c r="AT112" s="130"/>
      <c r="AU112" s="131"/>
      <c r="AV112" s="61"/>
      <c r="AW112" s="129" t="str">
        <f>'(1st+2nd) Shift Combined'!K108</f>
        <v>Not Running</v>
      </c>
      <c r="AX112" s="130"/>
      <c r="AY112" s="130"/>
      <c r="AZ112" s="131"/>
      <c r="BA112" s="61"/>
      <c r="BB112" s="129" t="str">
        <f>'(1st+2nd) Shift Combined'!K109</f>
        <v>Not Running</v>
      </c>
      <c r="BC112" s="130"/>
      <c r="BD112" s="130"/>
      <c r="BE112" s="131"/>
      <c r="BF112" s="61"/>
    </row>
    <row r="113" spans="1:58" ht="15.75" customHeight="1">
      <c r="B113" s="61"/>
      <c r="C113" s="122"/>
      <c r="D113" s="123"/>
      <c r="E113" s="123"/>
      <c r="F113" s="124"/>
      <c r="G113" s="61"/>
      <c r="H113" s="122"/>
      <c r="I113" s="123"/>
      <c r="J113" s="123"/>
      <c r="K113" s="124"/>
      <c r="L113" s="61"/>
      <c r="M113" s="122"/>
      <c r="N113" s="123"/>
      <c r="O113" s="123"/>
      <c r="P113" s="124"/>
      <c r="Q113" s="61"/>
      <c r="R113" s="122"/>
      <c r="S113" s="123"/>
      <c r="T113" s="123"/>
      <c r="U113" s="124"/>
      <c r="V113" s="61"/>
      <c r="W113" s="122"/>
      <c r="X113" s="123"/>
      <c r="Y113" s="123"/>
      <c r="Z113" s="124"/>
      <c r="AA113" s="61"/>
      <c r="AB113" s="140"/>
      <c r="AC113" s="141"/>
      <c r="AD113" s="141"/>
      <c r="AE113" s="141"/>
      <c r="AF113" s="142"/>
      <c r="AG113" s="61"/>
      <c r="AH113" s="132"/>
      <c r="AI113" s="133"/>
      <c r="AJ113" s="133"/>
      <c r="AK113" s="134"/>
      <c r="AL113" s="62"/>
      <c r="AM113" s="132"/>
      <c r="AN113" s="133"/>
      <c r="AO113" s="133"/>
      <c r="AP113" s="134"/>
      <c r="AQ113" s="61"/>
      <c r="AR113" s="132"/>
      <c r="AS113" s="133"/>
      <c r="AT113" s="133"/>
      <c r="AU113" s="134"/>
      <c r="AV113" s="61"/>
      <c r="AW113" s="132"/>
      <c r="AX113" s="133"/>
      <c r="AY113" s="133"/>
      <c r="AZ113" s="134"/>
      <c r="BA113" s="61"/>
      <c r="BB113" s="132"/>
      <c r="BC113" s="133"/>
      <c r="BD113" s="133"/>
      <c r="BE113" s="134"/>
      <c r="BF113" s="61"/>
    </row>
    <row r="114" spans="1:58" ht="15.75" customHeight="1" thickBot="1">
      <c r="B114" s="61"/>
      <c r="C114" s="125"/>
      <c r="D114" s="126"/>
      <c r="E114" s="126"/>
      <c r="F114" s="127"/>
      <c r="G114" s="61"/>
      <c r="H114" s="125"/>
      <c r="I114" s="126"/>
      <c r="J114" s="126"/>
      <c r="K114" s="127"/>
      <c r="L114" s="61"/>
      <c r="M114" s="125"/>
      <c r="N114" s="126"/>
      <c r="O114" s="126"/>
      <c r="P114" s="127"/>
      <c r="Q114" s="61"/>
      <c r="R114" s="125"/>
      <c r="S114" s="126"/>
      <c r="T114" s="126"/>
      <c r="U114" s="127"/>
      <c r="V114" s="61"/>
      <c r="W114" s="125"/>
      <c r="X114" s="126"/>
      <c r="Y114" s="126"/>
      <c r="Z114" s="127"/>
      <c r="AA114" s="61"/>
      <c r="AB114" s="140"/>
      <c r="AC114" s="141"/>
      <c r="AD114" s="141"/>
      <c r="AE114" s="141"/>
      <c r="AF114" s="142"/>
      <c r="AG114" s="61"/>
      <c r="AH114" s="135"/>
      <c r="AI114" s="136"/>
      <c r="AJ114" s="136"/>
      <c r="AK114" s="137"/>
      <c r="AL114" s="62"/>
      <c r="AM114" s="135"/>
      <c r="AN114" s="136"/>
      <c r="AO114" s="136"/>
      <c r="AP114" s="137"/>
      <c r="AQ114" s="61"/>
      <c r="AR114" s="135"/>
      <c r="AS114" s="136"/>
      <c r="AT114" s="136"/>
      <c r="AU114" s="137"/>
      <c r="AV114" s="61"/>
      <c r="AW114" s="135"/>
      <c r="AX114" s="136"/>
      <c r="AY114" s="136"/>
      <c r="AZ114" s="137"/>
      <c r="BA114" s="61"/>
      <c r="BB114" s="135"/>
      <c r="BC114" s="136"/>
      <c r="BD114" s="136"/>
      <c r="BE114" s="137"/>
      <c r="BF114" s="61"/>
    </row>
    <row r="115" spans="1:58" ht="15.75" customHeight="1" thickTop="1">
      <c r="B115" s="61"/>
      <c r="C115" s="62"/>
      <c r="D115" s="139" t="str">
        <f>'(1st+2nd) Shift Combined'!G105</f>
        <v/>
      </c>
      <c r="E115" s="139"/>
      <c r="F115" s="62"/>
      <c r="G115" s="61"/>
      <c r="H115" s="62"/>
      <c r="I115" s="139" t="str">
        <f>'(1st+2nd) Shift Combined'!G106</f>
        <v/>
      </c>
      <c r="J115" s="139"/>
      <c r="K115" s="62"/>
      <c r="L115" s="61"/>
      <c r="M115" s="63"/>
      <c r="N115" s="139" t="str">
        <f>'(1st+2nd) Shift Combined'!G107</f>
        <v/>
      </c>
      <c r="O115" s="139"/>
      <c r="P115" s="63"/>
      <c r="Q115" s="61"/>
      <c r="R115" s="63"/>
      <c r="S115" s="139" t="str">
        <f>'(1st+2nd) Shift Combined'!G108</f>
        <v/>
      </c>
      <c r="T115" s="139"/>
      <c r="U115" s="63"/>
      <c r="V115" s="61"/>
      <c r="W115" s="63"/>
      <c r="X115" s="139" t="str">
        <f>'(1st+2nd) Shift Combined'!G109</f>
        <v/>
      </c>
      <c r="Y115" s="139"/>
      <c r="Z115" s="63"/>
      <c r="AA115" s="61"/>
      <c r="AB115" s="140"/>
      <c r="AC115" s="141"/>
      <c r="AD115" s="141"/>
      <c r="AE115" s="141"/>
      <c r="AF115" s="142"/>
      <c r="AG115" s="61"/>
      <c r="AH115" s="62"/>
      <c r="AI115" s="139" t="str">
        <f>'(1st+2nd) Shift Combined'!N105</f>
        <v/>
      </c>
      <c r="AJ115" s="139"/>
      <c r="AK115" s="62"/>
      <c r="AL115" s="61"/>
      <c r="AM115" s="62"/>
      <c r="AN115" s="139" t="str">
        <f>'(1st+2nd) Shift Combined'!N106</f>
        <v/>
      </c>
      <c r="AO115" s="139"/>
      <c r="AP115" s="62"/>
      <c r="AQ115" s="61"/>
      <c r="AR115" s="63"/>
      <c r="AS115" s="139" t="str">
        <f>'(1st+2nd) Shift Combined'!N107</f>
        <v/>
      </c>
      <c r="AT115" s="139"/>
      <c r="AU115" s="63"/>
      <c r="AV115" s="61"/>
      <c r="AW115" s="63"/>
      <c r="AX115" s="139" t="str">
        <f>'(1st+2nd) Shift Combined'!N108</f>
        <v/>
      </c>
      <c r="AY115" s="139"/>
      <c r="AZ115" s="63"/>
      <c r="BA115" s="61"/>
      <c r="BB115" s="63"/>
      <c r="BC115" s="139" t="str">
        <f>'(1st+2nd) Shift Combined'!N109</f>
        <v/>
      </c>
      <c r="BD115" s="139"/>
      <c r="BE115" s="63"/>
      <c r="BF115" s="61"/>
    </row>
    <row r="116" spans="1:58" ht="15.75" customHeight="1"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140"/>
      <c r="AC116" s="141"/>
      <c r="AD116" s="141"/>
      <c r="AE116" s="141"/>
      <c r="AF116" s="142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</row>
    <row r="117" spans="1:58" ht="15.75" customHeight="1" thickBot="1">
      <c r="B117" s="61"/>
      <c r="C117" s="61"/>
      <c r="D117" s="138" t="s">
        <v>121</v>
      </c>
      <c r="E117" s="138"/>
      <c r="F117" s="61"/>
      <c r="G117" s="61"/>
      <c r="H117" s="61"/>
      <c r="I117" s="138" t="s">
        <v>122</v>
      </c>
      <c r="J117" s="138"/>
      <c r="K117" s="61"/>
      <c r="L117" s="61"/>
      <c r="M117" s="61"/>
      <c r="N117" s="138" t="s">
        <v>123</v>
      </c>
      <c r="O117" s="138"/>
      <c r="P117" s="61"/>
      <c r="Q117" s="61"/>
      <c r="R117" s="61"/>
      <c r="S117" s="138" t="s">
        <v>124</v>
      </c>
      <c r="T117" s="138"/>
      <c r="U117" s="61"/>
      <c r="V117" s="61"/>
      <c r="W117" s="61"/>
      <c r="X117" s="138" t="s">
        <v>125</v>
      </c>
      <c r="Y117" s="138"/>
      <c r="Z117" s="61"/>
      <c r="AA117" s="61"/>
      <c r="AB117" s="140"/>
      <c r="AC117" s="141"/>
      <c r="AD117" s="141"/>
      <c r="AE117" s="141"/>
      <c r="AF117" s="142"/>
      <c r="AG117" s="61"/>
      <c r="AH117" s="61"/>
      <c r="AI117" s="138" t="s">
        <v>202</v>
      </c>
      <c r="AJ117" s="138"/>
      <c r="AK117" s="61"/>
      <c r="AL117" s="61"/>
      <c r="AM117" s="61"/>
      <c r="AN117" s="138" t="s">
        <v>201</v>
      </c>
      <c r="AO117" s="138"/>
      <c r="AP117" s="61"/>
      <c r="AQ117" s="61"/>
      <c r="AR117" s="61"/>
      <c r="AS117" s="138" t="s">
        <v>200</v>
      </c>
      <c r="AT117" s="138"/>
      <c r="AU117" s="61"/>
      <c r="AV117" s="61"/>
      <c r="AW117" s="61"/>
      <c r="AX117" s="138" t="s">
        <v>199</v>
      </c>
      <c r="AY117" s="138"/>
      <c r="AZ117" s="61"/>
      <c r="BA117" s="61"/>
      <c r="BB117" s="61"/>
      <c r="BC117" s="138" t="s">
        <v>218</v>
      </c>
      <c r="BD117" s="138"/>
      <c r="BE117" s="61"/>
      <c r="BF117" s="61"/>
    </row>
    <row r="118" spans="1:58" ht="15.75" customHeight="1" thickTop="1">
      <c r="B118" s="61"/>
      <c r="C118" s="119" t="str">
        <f>'(1st+2nd) Shift Combined'!D110</f>
        <v>Not Running</v>
      </c>
      <c r="D118" s="120"/>
      <c r="E118" s="120"/>
      <c r="F118" s="121"/>
      <c r="G118" s="70"/>
      <c r="H118" s="158" t="str">
        <f>'(1st+2nd) Shift Combined'!D111</f>
        <v>Not Running</v>
      </c>
      <c r="I118" s="159"/>
      <c r="J118" s="159"/>
      <c r="K118" s="160"/>
      <c r="L118" s="61"/>
      <c r="M118" s="119" t="str">
        <f>'(1st+2nd) Shift Combined'!D112</f>
        <v>Not Running</v>
      </c>
      <c r="N118" s="120"/>
      <c r="O118" s="120"/>
      <c r="P118" s="121"/>
      <c r="Q118" s="61"/>
      <c r="R118" s="119" t="str">
        <f>'(1st+2nd) Shift Combined'!D113</f>
        <v>Not Running</v>
      </c>
      <c r="S118" s="120"/>
      <c r="T118" s="120"/>
      <c r="U118" s="121"/>
      <c r="V118" s="61"/>
      <c r="W118" s="119" t="str">
        <f>'(1st+2nd) Shift Combined'!D114</f>
        <v>Not Running</v>
      </c>
      <c r="X118" s="120"/>
      <c r="Y118" s="120"/>
      <c r="Z118" s="121"/>
      <c r="AA118" s="61"/>
      <c r="AB118" s="140"/>
      <c r="AC118" s="141"/>
      <c r="AD118" s="141"/>
      <c r="AE118" s="141"/>
      <c r="AF118" s="142"/>
      <c r="AG118" s="61"/>
      <c r="AH118" s="129" t="str">
        <f>'(1st+2nd) Shift Combined'!K110</f>
        <v>Not Running</v>
      </c>
      <c r="AI118" s="130"/>
      <c r="AJ118" s="130"/>
      <c r="AK118" s="131"/>
      <c r="AL118" s="61"/>
      <c r="AM118" s="129" t="str">
        <f>'(1st+2nd) Shift Combined'!K111</f>
        <v>Not Running</v>
      </c>
      <c r="AN118" s="130"/>
      <c r="AO118" s="130"/>
      <c r="AP118" s="131"/>
      <c r="AQ118" s="61"/>
      <c r="AR118" s="129" t="str">
        <f>'(1st+2nd) Shift Combined'!K112</f>
        <v>Not Running</v>
      </c>
      <c r="AS118" s="130"/>
      <c r="AT118" s="130"/>
      <c r="AU118" s="131"/>
      <c r="AV118" s="61"/>
      <c r="AW118" s="129" t="str">
        <f>'(1st+2nd) Shift Combined'!K113</f>
        <v>Not Running</v>
      </c>
      <c r="AX118" s="130"/>
      <c r="AY118" s="130"/>
      <c r="AZ118" s="131"/>
      <c r="BA118" s="61"/>
      <c r="BB118" s="129" t="str">
        <f>'(1st+2nd) Shift Combined'!K114</f>
        <v>Not Running</v>
      </c>
      <c r="BC118" s="130"/>
      <c r="BD118" s="130"/>
      <c r="BE118" s="131"/>
      <c r="BF118" s="61"/>
    </row>
    <row r="119" spans="1:58" ht="15.75" customHeight="1">
      <c r="B119" s="61"/>
      <c r="C119" s="122"/>
      <c r="D119" s="123"/>
      <c r="E119" s="123"/>
      <c r="F119" s="124"/>
      <c r="G119" s="70"/>
      <c r="H119" s="161"/>
      <c r="I119" s="162"/>
      <c r="J119" s="162"/>
      <c r="K119" s="163"/>
      <c r="L119" s="61"/>
      <c r="M119" s="122"/>
      <c r="N119" s="123"/>
      <c r="O119" s="123"/>
      <c r="P119" s="124"/>
      <c r="Q119" s="61"/>
      <c r="R119" s="122"/>
      <c r="S119" s="123"/>
      <c r="T119" s="123"/>
      <c r="U119" s="124"/>
      <c r="V119" s="61"/>
      <c r="W119" s="122"/>
      <c r="X119" s="123"/>
      <c r="Y119" s="123"/>
      <c r="Z119" s="124"/>
      <c r="AA119" s="61"/>
      <c r="AB119" s="140"/>
      <c r="AC119" s="141"/>
      <c r="AD119" s="141"/>
      <c r="AE119" s="141"/>
      <c r="AF119" s="142"/>
      <c r="AG119" s="61"/>
      <c r="AH119" s="132"/>
      <c r="AI119" s="133"/>
      <c r="AJ119" s="133"/>
      <c r="AK119" s="134"/>
      <c r="AL119" s="62"/>
      <c r="AM119" s="132"/>
      <c r="AN119" s="133"/>
      <c r="AO119" s="133"/>
      <c r="AP119" s="134"/>
      <c r="AQ119" s="61"/>
      <c r="AR119" s="132"/>
      <c r="AS119" s="133"/>
      <c r="AT119" s="133"/>
      <c r="AU119" s="134"/>
      <c r="AV119" s="61"/>
      <c r="AW119" s="132"/>
      <c r="AX119" s="133"/>
      <c r="AY119" s="133"/>
      <c r="AZ119" s="134"/>
      <c r="BA119" s="61"/>
      <c r="BB119" s="132"/>
      <c r="BC119" s="133"/>
      <c r="BD119" s="133"/>
      <c r="BE119" s="134"/>
      <c r="BF119" s="61"/>
    </row>
    <row r="120" spans="1:58" ht="15.75" customHeight="1" thickBot="1">
      <c r="B120" s="61"/>
      <c r="C120" s="125"/>
      <c r="D120" s="126"/>
      <c r="E120" s="126"/>
      <c r="F120" s="127"/>
      <c r="G120" s="62"/>
      <c r="H120" s="164"/>
      <c r="I120" s="165"/>
      <c r="J120" s="165"/>
      <c r="K120" s="166"/>
      <c r="L120" s="61"/>
      <c r="M120" s="125"/>
      <c r="N120" s="126"/>
      <c r="O120" s="126"/>
      <c r="P120" s="127"/>
      <c r="Q120" s="61"/>
      <c r="R120" s="125"/>
      <c r="S120" s="126"/>
      <c r="T120" s="126"/>
      <c r="U120" s="127"/>
      <c r="V120" s="61"/>
      <c r="W120" s="125"/>
      <c r="X120" s="126"/>
      <c r="Y120" s="126"/>
      <c r="Z120" s="127"/>
      <c r="AA120" s="61"/>
      <c r="AB120" s="140"/>
      <c r="AC120" s="141"/>
      <c r="AD120" s="141"/>
      <c r="AE120" s="141"/>
      <c r="AF120" s="142"/>
      <c r="AG120" s="61"/>
      <c r="AH120" s="135"/>
      <c r="AI120" s="136"/>
      <c r="AJ120" s="136"/>
      <c r="AK120" s="137"/>
      <c r="AL120" s="62"/>
      <c r="AM120" s="135"/>
      <c r="AN120" s="136"/>
      <c r="AO120" s="136"/>
      <c r="AP120" s="137"/>
      <c r="AQ120" s="61"/>
      <c r="AR120" s="135"/>
      <c r="AS120" s="136"/>
      <c r="AT120" s="136"/>
      <c r="AU120" s="137"/>
      <c r="AV120" s="61"/>
      <c r="AW120" s="135"/>
      <c r="AX120" s="136"/>
      <c r="AY120" s="136"/>
      <c r="AZ120" s="137"/>
      <c r="BA120" s="61"/>
      <c r="BB120" s="135"/>
      <c r="BC120" s="136"/>
      <c r="BD120" s="136"/>
      <c r="BE120" s="137"/>
      <c r="BF120" s="61"/>
    </row>
    <row r="121" spans="1:58" ht="15.75" customHeight="1" thickTop="1">
      <c r="A121" s="73"/>
      <c r="B121" s="61"/>
      <c r="C121" s="62"/>
      <c r="D121" s="139" t="str">
        <f>'(1st+2nd) Shift Combined'!G110</f>
        <v/>
      </c>
      <c r="E121" s="139"/>
      <c r="F121" s="62"/>
      <c r="G121" s="61"/>
      <c r="H121" s="62"/>
      <c r="I121" s="139" t="str">
        <f>'(1st+2nd) Shift Combined'!G111</f>
        <v/>
      </c>
      <c r="J121" s="139"/>
      <c r="K121" s="62"/>
      <c r="L121" s="61"/>
      <c r="M121" s="63"/>
      <c r="N121" s="139" t="str">
        <f>'(1st+2nd) Shift Combined'!G112</f>
        <v/>
      </c>
      <c r="O121" s="139"/>
      <c r="P121" s="63"/>
      <c r="Q121" s="61"/>
      <c r="R121" s="63"/>
      <c r="S121" s="139" t="str">
        <f>'(1st+2nd) Shift Combined'!G113</f>
        <v/>
      </c>
      <c r="T121" s="139"/>
      <c r="U121" s="63"/>
      <c r="V121" s="61"/>
      <c r="W121" s="63"/>
      <c r="X121" s="139" t="str">
        <f>'(1st+2nd) Shift Combined'!G114</f>
        <v/>
      </c>
      <c r="Y121" s="139"/>
      <c r="Z121" s="63"/>
      <c r="AA121" s="61"/>
      <c r="AB121" s="140"/>
      <c r="AC121" s="141"/>
      <c r="AD121" s="141"/>
      <c r="AE121" s="141"/>
      <c r="AF121" s="142"/>
      <c r="AG121" s="61"/>
      <c r="AH121" s="62"/>
      <c r="AI121" s="139" t="str">
        <f>'(1st+2nd) Shift Combined'!N110</f>
        <v/>
      </c>
      <c r="AJ121" s="139"/>
      <c r="AK121" s="62"/>
      <c r="AL121" s="61"/>
      <c r="AM121" s="62"/>
      <c r="AN121" s="139" t="str">
        <f>'(1st+2nd) Shift Combined'!N111</f>
        <v/>
      </c>
      <c r="AO121" s="139"/>
      <c r="AP121" s="62"/>
      <c r="AQ121" s="61"/>
      <c r="AR121" s="63"/>
      <c r="AS121" s="139" t="str">
        <f>'(1st+2nd) Shift Combined'!N112</f>
        <v/>
      </c>
      <c r="AT121" s="139"/>
      <c r="AU121" s="63"/>
      <c r="AV121" s="61"/>
      <c r="AW121" s="63"/>
      <c r="AX121" s="139" t="str">
        <f>'(1st+2nd) Shift Combined'!N113</f>
        <v/>
      </c>
      <c r="AY121" s="139"/>
      <c r="AZ121" s="63"/>
      <c r="BA121" s="61"/>
      <c r="BB121" s="63"/>
      <c r="BC121" s="139" t="str">
        <f>'(1st+2nd) Shift Combined'!N114</f>
        <v/>
      </c>
      <c r="BD121" s="139"/>
      <c r="BE121" s="63"/>
      <c r="BF121" s="61"/>
    </row>
    <row r="122" spans="1:58" ht="15.75" customHeight="1"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140"/>
      <c r="AC122" s="141"/>
      <c r="AD122" s="141"/>
      <c r="AE122" s="141"/>
      <c r="AF122" s="142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</row>
    <row r="123" spans="1:58" ht="15.75" customHeight="1" thickBot="1">
      <c r="B123" s="61"/>
      <c r="C123" s="64"/>
      <c r="D123" s="138" t="s">
        <v>126</v>
      </c>
      <c r="E123" s="138"/>
      <c r="F123" s="64"/>
      <c r="G123" s="61"/>
      <c r="H123" s="64"/>
      <c r="I123" s="138" t="s">
        <v>127</v>
      </c>
      <c r="J123" s="138"/>
      <c r="K123" s="64"/>
      <c r="L123" s="61"/>
      <c r="M123" s="64"/>
      <c r="N123" s="138" t="s">
        <v>128</v>
      </c>
      <c r="O123" s="138"/>
      <c r="P123" s="64"/>
      <c r="Q123" s="61"/>
      <c r="R123" s="64"/>
      <c r="S123" s="138" t="s">
        <v>129</v>
      </c>
      <c r="T123" s="138"/>
      <c r="U123" s="64"/>
      <c r="V123" s="61"/>
      <c r="W123" s="64"/>
      <c r="X123" s="138" t="s">
        <v>130</v>
      </c>
      <c r="Y123" s="138"/>
      <c r="Z123" s="64"/>
      <c r="AA123" s="61"/>
      <c r="AB123" s="140"/>
      <c r="AC123" s="141"/>
      <c r="AD123" s="141"/>
      <c r="AE123" s="141"/>
      <c r="AF123" s="142"/>
      <c r="AG123" s="61"/>
      <c r="AH123" s="64"/>
      <c r="AI123" s="138" t="s">
        <v>206</v>
      </c>
      <c r="AJ123" s="138"/>
      <c r="AK123" s="64"/>
      <c r="AL123" s="61"/>
      <c r="AM123" s="64"/>
      <c r="AN123" s="138" t="s">
        <v>205</v>
      </c>
      <c r="AO123" s="138"/>
      <c r="AP123" s="64"/>
      <c r="AQ123" s="61"/>
      <c r="AR123" s="64"/>
      <c r="AS123" s="138" t="s">
        <v>204</v>
      </c>
      <c r="AT123" s="138"/>
      <c r="AU123" s="64"/>
      <c r="AV123" s="61"/>
      <c r="AW123" s="64"/>
      <c r="AX123" s="138" t="s">
        <v>203</v>
      </c>
      <c r="AY123" s="138"/>
      <c r="AZ123" s="64"/>
      <c r="BA123" s="61"/>
      <c r="BB123" s="64"/>
      <c r="BC123" s="138" t="s">
        <v>217</v>
      </c>
      <c r="BD123" s="138"/>
      <c r="BE123" s="64"/>
      <c r="BF123" s="61"/>
    </row>
    <row r="124" spans="1:58" ht="15.75" customHeight="1" thickTop="1">
      <c r="B124" s="61"/>
      <c r="C124" s="119" t="str">
        <f>'(1st+2nd) Shift Combined'!D115</f>
        <v>Not Running</v>
      </c>
      <c r="D124" s="120"/>
      <c r="E124" s="120"/>
      <c r="F124" s="121"/>
      <c r="G124" s="61"/>
      <c r="H124" s="119" t="str">
        <f>'(1st+2nd) Shift Combined'!D116</f>
        <v>Not Running</v>
      </c>
      <c r="I124" s="120"/>
      <c r="J124" s="120"/>
      <c r="K124" s="121"/>
      <c r="L124" s="61"/>
      <c r="M124" s="119" t="str">
        <f>'(1st+2nd) Shift Combined'!D117</f>
        <v>Not Running</v>
      </c>
      <c r="N124" s="120"/>
      <c r="O124" s="120"/>
      <c r="P124" s="121"/>
      <c r="Q124" s="61"/>
      <c r="R124" s="119" t="str">
        <f>'(1st+2nd) Shift Combined'!D118</f>
        <v>Not Running</v>
      </c>
      <c r="S124" s="120"/>
      <c r="T124" s="120"/>
      <c r="U124" s="121"/>
      <c r="V124" s="61"/>
      <c r="W124" s="119" t="str">
        <f>'(1st+2nd) Shift Combined'!D119</f>
        <v>Not Running</v>
      </c>
      <c r="X124" s="120"/>
      <c r="Y124" s="120"/>
      <c r="Z124" s="121"/>
      <c r="AA124" s="61"/>
      <c r="AB124" s="140"/>
      <c r="AC124" s="141"/>
      <c r="AD124" s="141"/>
      <c r="AE124" s="141"/>
      <c r="AF124" s="142"/>
      <c r="AG124" s="61"/>
      <c r="AH124" s="129" t="str">
        <f>'(1st+2nd) Shift Combined'!K115</f>
        <v>Not Running</v>
      </c>
      <c r="AI124" s="130"/>
      <c r="AJ124" s="130"/>
      <c r="AK124" s="131"/>
      <c r="AL124" s="61"/>
      <c r="AM124" s="129" t="str">
        <f>'(1st+2nd) Shift Combined'!K116</f>
        <v>Not Running</v>
      </c>
      <c r="AN124" s="130"/>
      <c r="AO124" s="130"/>
      <c r="AP124" s="131"/>
      <c r="AQ124" s="61"/>
      <c r="AR124" s="129" t="str">
        <f>'(1st+2nd) Shift Combined'!K117</f>
        <v>Not Running</v>
      </c>
      <c r="AS124" s="130"/>
      <c r="AT124" s="130"/>
      <c r="AU124" s="131"/>
      <c r="AV124" s="61"/>
      <c r="AW124" s="129" t="str">
        <f>'(1st+2nd) Shift Combined'!K118</f>
        <v>Not Running</v>
      </c>
      <c r="AX124" s="130"/>
      <c r="AY124" s="130"/>
      <c r="AZ124" s="131"/>
      <c r="BA124" s="61"/>
      <c r="BB124" s="129" t="str">
        <f>'(1st+2nd) Shift Combined'!K119</f>
        <v>Not Running</v>
      </c>
      <c r="BC124" s="130"/>
      <c r="BD124" s="130"/>
      <c r="BE124" s="131"/>
      <c r="BF124" s="61"/>
    </row>
    <row r="125" spans="1:58" ht="15.75" customHeight="1">
      <c r="B125" s="61"/>
      <c r="C125" s="122"/>
      <c r="D125" s="123"/>
      <c r="E125" s="123"/>
      <c r="F125" s="124"/>
      <c r="G125" s="61"/>
      <c r="H125" s="122"/>
      <c r="I125" s="123"/>
      <c r="J125" s="123"/>
      <c r="K125" s="124"/>
      <c r="L125" s="61"/>
      <c r="M125" s="122"/>
      <c r="N125" s="123"/>
      <c r="O125" s="123"/>
      <c r="P125" s="124"/>
      <c r="Q125" s="61"/>
      <c r="R125" s="122"/>
      <c r="S125" s="123"/>
      <c r="T125" s="123"/>
      <c r="U125" s="124"/>
      <c r="V125" s="61"/>
      <c r="W125" s="122"/>
      <c r="X125" s="123"/>
      <c r="Y125" s="123"/>
      <c r="Z125" s="124"/>
      <c r="AA125" s="61"/>
      <c r="AB125" s="140"/>
      <c r="AC125" s="141"/>
      <c r="AD125" s="141"/>
      <c r="AE125" s="141"/>
      <c r="AF125" s="142"/>
      <c r="AG125" s="61"/>
      <c r="AH125" s="132"/>
      <c r="AI125" s="133"/>
      <c r="AJ125" s="133"/>
      <c r="AK125" s="134"/>
      <c r="AL125" s="62"/>
      <c r="AM125" s="132"/>
      <c r="AN125" s="133"/>
      <c r="AO125" s="133"/>
      <c r="AP125" s="134"/>
      <c r="AQ125" s="61"/>
      <c r="AR125" s="132"/>
      <c r="AS125" s="133"/>
      <c r="AT125" s="133"/>
      <c r="AU125" s="134"/>
      <c r="AV125" s="61"/>
      <c r="AW125" s="132"/>
      <c r="AX125" s="133"/>
      <c r="AY125" s="133"/>
      <c r="AZ125" s="134"/>
      <c r="BA125" s="61"/>
      <c r="BB125" s="132"/>
      <c r="BC125" s="133"/>
      <c r="BD125" s="133"/>
      <c r="BE125" s="134"/>
      <c r="BF125" s="61"/>
    </row>
    <row r="126" spans="1:58" ht="15.75" customHeight="1" thickBot="1">
      <c r="B126" s="61"/>
      <c r="C126" s="125"/>
      <c r="D126" s="126"/>
      <c r="E126" s="126"/>
      <c r="F126" s="127"/>
      <c r="G126" s="61"/>
      <c r="H126" s="125"/>
      <c r="I126" s="126"/>
      <c r="J126" s="126"/>
      <c r="K126" s="127"/>
      <c r="L126" s="61"/>
      <c r="M126" s="125"/>
      <c r="N126" s="126"/>
      <c r="O126" s="126"/>
      <c r="P126" s="127"/>
      <c r="Q126" s="61"/>
      <c r="R126" s="125"/>
      <c r="S126" s="126"/>
      <c r="T126" s="126"/>
      <c r="U126" s="127"/>
      <c r="V126" s="61"/>
      <c r="W126" s="125"/>
      <c r="X126" s="126"/>
      <c r="Y126" s="126"/>
      <c r="Z126" s="127"/>
      <c r="AA126" s="61"/>
      <c r="AB126" s="140"/>
      <c r="AC126" s="141"/>
      <c r="AD126" s="141"/>
      <c r="AE126" s="141"/>
      <c r="AF126" s="142"/>
      <c r="AG126" s="61"/>
      <c r="AH126" s="135"/>
      <c r="AI126" s="136"/>
      <c r="AJ126" s="136"/>
      <c r="AK126" s="137"/>
      <c r="AL126" s="62"/>
      <c r="AM126" s="135"/>
      <c r="AN126" s="136"/>
      <c r="AO126" s="136"/>
      <c r="AP126" s="137"/>
      <c r="AQ126" s="61"/>
      <c r="AR126" s="135"/>
      <c r="AS126" s="136"/>
      <c r="AT126" s="136"/>
      <c r="AU126" s="137"/>
      <c r="AV126" s="61"/>
      <c r="AW126" s="135"/>
      <c r="AX126" s="136"/>
      <c r="AY126" s="136"/>
      <c r="AZ126" s="137"/>
      <c r="BA126" s="61"/>
      <c r="BB126" s="135"/>
      <c r="BC126" s="136"/>
      <c r="BD126" s="136"/>
      <c r="BE126" s="137"/>
      <c r="BF126" s="61"/>
    </row>
    <row r="127" spans="1:58" ht="15.75" customHeight="1" thickTop="1">
      <c r="B127" s="61"/>
      <c r="C127" s="62"/>
      <c r="D127" s="139" t="str">
        <f>'(1st+2nd) Shift Combined'!G115</f>
        <v/>
      </c>
      <c r="E127" s="139"/>
      <c r="F127" s="62"/>
      <c r="G127" s="61"/>
      <c r="H127" s="62"/>
      <c r="I127" s="139" t="str">
        <f>'(1st+2nd) Shift Combined'!G116</f>
        <v/>
      </c>
      <c r="J127" s="139"/>
      <c r="K127" s="62"/>
      <c r="L127" s="61"/>
      <c r="M127" s="63"/>
      <c r="N127" s="139" t="str">
        <f>'(1st+2nd) Shift Combined'!G117</f>
        <v/>
      </c>
      <c r="O127" s="139"/>
      <c r="P127" s="63"/>
      <c r="Q127" s="61"/>
      <c r="R127" s="63"/>
      <c r="S127" s="139" t="str">
        <f>'(1st+2nd) Shift Combined'!G118</f>
        <v/>
      </c>
      <c r="T127" s="139"/>
      <c r="U127" s="63"/>
      <c r="V127" s="61"/>
      <c r="W127" s="63"/>
      <c r="X127" s="139" t="str">
        <f>'(1st+2nd) Shift Combined'!G119</f>
        <v/>
      </c>
      <c r="Y127" s="139"/>
      <c r="Z127" s="63"/>
      <c r="AA127" s="61"/>
      <c r="AB127" s="140"/>
      <c r="AC127" s="141"/>
      <c r="AD127" s="141"/>
      <c r="AE127" s="141"/>
      <c r="AF127" s="142"/>
      <c r="AG127" s="61"/>
      <c r="AH127" s="62"/>
      <c r="AI127" s="139" t="str">
        <f>'(1st+2nd) Shift Combined'!N115</f>
        <v/>
      </c>
      <c r="AJ127" s="139"/>
      <c r="AK127" s="62"/>
      <c r="AL127" s="61"/>
      <c r="AM127" s="62"/>
      <c r="AN127" s="139" t="str">
        <f>'(1st+2nd) Shift Combined'!N116</f>
        <v/>
      </c>
      <c r="AO127" s="139"/>
      <c r="AP127" s="62"/>
      <c r="AQ127" s="61"/>
      <c r="AR127" s="63"/>
      <c r="AS127" s="139" t="str">
        <f>'(1st+2nd) Shift Combined'!N117</f>
        <v/>
      </c>
      <c r="AT127" s="139"/>
      <c r="AU127" s="63"/>
      <c r="AV127" s="61"/>
      <c r="AW127" s="63"/>
      <c r="AX127" s="139" t="str">
        <f>'(1st+2nd) Shift Combined'!N118</f>
        <v/>
      </c>
      <c r="AY127" s="139"/>
      <c r="AZ127" s="63"/>
      <c r="BA127" s="61"/>
      <c r="BB127" s="63"/>
      <c r="BC127" s="139" t="str">
        <f>'(1st+2nd) Shift Combined'!N119</f>
        <v/>
      </c>
      <c r="BD127" s="139"/>
      <c r="BE127" s="63"/>
      <c r="BF127" s="61"/>
    </row>
    <row r="128" spans="1:58" ht="15.75" customHeight="1"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140"/>
      <c r="AC128" s="141"/>
      <c r="AD128" s="141"/>
      <c r="AE128" s="141"/>
      <c r="AF128" s="142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</row>
    <row r="129" spans="2:58" ht="15.75" customHeight="1" thickBot="1">
      <c r="B129" s="61"/>
      <c r="C129" s="61"/>
      <c r="D129" s="138" t="s">
        <v>131</v>
      </c>
      <c r="E129" s="138"/>
      <c r="F129" s="61"/>
      <c r="G129" s="61"/>
      <c r="H129" s="61"/>
      <c r="I129" s="138" t="s">
        <v>132</v>
      </c>
      <c r="J129" s="138"/>
      <c r="K129" s="61"/>
      <c r="L129" s="61"/>
      <c r="M129" s="61"/>
      <c r="N129" s="138" t="s">
        <v>133</v>
      </c>
      <c r="O129" s="138"/>
      <c r="P129" s="61"/>
      <c r="Q129" s="61"/>
      <c r="R129" s="61"/>
      <c r="S129" s="138" t="s">
        <v>134</v>
      </c>
      <c r="T129" s="138"/>
      <c r="U129" s="61"/>
      <c r="V129" s="61"/>
      <c r="W129" s="61"/>
      <c r="X129" s="138" t="s">
        <v>135</v>
      </c>
      <c r="Y129" s="138"/>
      <c r="Z129" s="61"/>
      <c r="AA129" s="61"/>
      <c r="AB129" s="140"/>
      <c r="AC129" s="141"/>
      <c r="AD129" s="141"/>
      <c r="AE129" s="141"/>
      <c r="AF129" s="142"/>
      <c r="AG129" s="61"/>
      <c r="AH129" s="61"/>
      <c r="AI129" s="138" t="s">
        <v>207</v>
      </c>
      <c r="AJ129" s="138"/>
      <c r="AK129" s="61"/>
      <c r="AL129" s="61"/>
      <c r="AM129" s="61"/>
      <c r="AN129" s="138" t="s">
        <v>208</v>
      </c>
      <c r="AO129" s="138"/>
      <c r="AP129" s="61"/>
      <c r="AQ129" s="61"/>
      <c r="AR129" s="61"/>
      <c r="AS129" s="138" t="s">
        <v>209</v>
      </c>
      <c r="AT129" s="138"/>
      <c r="AU129" s="61"/>
      <c r="AV129" s="61"/>
      <c r="AW129" s="61"/>
      <c r="AX129" s="138" t="s">
        <v>210</v>
      </c>
      <c r="AY129" s="138"/>
      <c r="AZ129" s="61"/>
      <c r="BA129" s="61"/>
      <c r="BB129" s="61"/>
      <c r="BC129" s="138" t="s">
        <v>216</v>
      </c>
      <c r="BD129" s="138"/>
      <c r="BE129" s="61"/>
      <c r="BF129" s="61"/>
    </row>
    <row r="130" spans="2:58" ht="15.75" customHeight="1" thickTop="1">
      <c r="B130" s="61"/>
      <c r="C130" s="119" t="str">
        <f>'(1st+2nd) Shift Combined'!D120</f>
        <v>Not Running</v>
      </c>
      <c r="D130" s="120"/>
      <c r="E130" s="120"/>
      <c r="F130" s="121"/>
      <c r="G130" s="61"/>
      <c r="H130" s="149" t="str">
        <f>'(1st+2nd) Shift Combined'!D121</f>
        <v>Not Running</v>
      </c>
      <c r="I130" s="150"/>
      <c r="J130" s="150"/>
      <c r="K130" s="151"/>
      <c r="L130" s="61"/>
      <c r="M130" s="119" t="str">
        <f>'(1st+2nd) Shift Combined'!D122</f>
        <v>Not Running</v>
      </c>
      <c r="N130" s="120"/>
      <c r="O130" s="120"/>
      <c r="P130" s="121"/>
      <c r="Q130" s="61"/>
      <c r="R130" s="119" t="str">
        <f>'(1st+2nd) Shift Combined'!D123</f>
        <v>Not Running</v>
      </c>
      <c r="S130" s="120"/>
      <c r="T130" s="120"/>
      <c r="U130" s="121"/>
      <c r="V130" s="61"/>
      <c r="W130" s="119" t="str">
        <f>'(1st+2nd) Shift Combined'!D124</f>
        <v>Not Running</v>
      </c>
      <c r="X130" s="120"/>
      <c r="Y130" s="120"/>
      <c r="Z130" s="121"/>
      <c r="AA130" s="61"/>
      <c r="AB130" s="140"/>
      <c r="AC130" s="141"/>
      <c r="AD130" s="141"/>
      <c r="AE130" s="141"/>
      <c r="AF130" s="142"/>
      <c r="AG130" s="61"/>
      <c r="AH130" s="129" t="str">
        <f>'(1st+2nd) Shift Combined'!K120</f>
        <v>Not Running</v>
      </c>
      <c r="AI130" s="130"/>
      <c r="AJ130" s="130"/>
      <c r="AK130" s="131"/>
      <c r="AL130" s="61"/>
      <c r="AM130" s="129" t="str">
        <f>'(1st+2nd) Shift Combined'!K121</f>
        <v>Not Running</v>
      </c>
      <c r="AN130" s="130"/>
      <c r="AO130" s="130"/>
      <c r="AP130" s="131"/>
      <c r="AQ130" s="61"/>
      <c r="AR130" s="129" t="str">
        <f>'(1st+2nd) Shift Combined'!K122</f>
        <v>Not Running</v>
      </c>
      <c r="AS130" s="130"/>
      <c r="AT130" s="130"/>
      <c r="AU130" s="131"/>
      <c r="AV130" s="61"/>
      <c r="AW130" s="129" t="str">
        <f>'(1st+2nd) Shift Combined'!K123</f>
        <v>Not Running</v>
      </c>
      <c r="AX130" s="130"/>
      <c r="AY130" s="130"/>
      <c r="AZ130" s="131"/>
      <c r="BA130" s="61"/>
      <c r="BB130" s="129" t="str">
        <f>'(1st+2nd) Shift Combined'!K124</f>
        <v>Not Running</v>
      </c>
      <c r="BC130" s="130"/>
      <c r="BD130" s="130"/>
      <c r="BE130" s="131"/>
      <c r="BF130" s="61"/>
    </row>
    <row r="131" spans="2:58" ht="15.75" customHeight="1">
      <c r="B131" s="61"/>
      <c r="C131" s="122"/>
      <c r="D131" s="123"/>
      <c r="E131" s="123"/>
      <c r="F131" s="124"/>
      <c r="G131" s="62"/>
      <c r="H131" s="152"/>
      <c r="I131" s="153"/>
      <c r="J131" s="153"/>
      <c r="K131" s="154"/>
      <c r="L131" s="61"/>
      <c r="M131" s="122"/>
      <c r="N131" s="123"/>
      <c r="O131" s="123"/>
      <c r="P131" s="124"/>
      <c r="Q131" s="61"/>
      <c r="R131" s="122"/>
      <c r="S131" s="123"/>
      <c r="T131" s="123"/>
      <c r="U131" s="124"/>
      <c r="V131" s="61"/>
      <c r="W131" s="122"/>
      <c r="X131" s="123"/>
      <c r="Y131" s="123"/>
      <c r="Z131" s="124"/>
      <c r="AA131" s="61"/>
      <c r="AB131" s="140"/>
      <c r="AC131" s="141"/>
      <c r="AD131" s="141"/>
      <c r="AE131" s="141"/>
      <c r="AF131" s="142"/>
      <c r="AG131" s="61"/>
      <c r="AH131" s="132"/>
      <c r="AI131" s="133"/>
      <c r="AJ131" s="133"/>
      <c r="AK131" s="134"/>
      <c r="AL131" s="62"/>
      <c r="AM131" s="132"/>
      <c r="AN131" s="133"/>
      <c r="AO131" s="133"/>
      <c r="AP131" s="134"/>
      <c r="AQ131" s="61"/>
      <c r="AR131" s="132"/>
      <c r="AS131" s="133"/>
      <c r="AT131" s="133"/>
      <c r="AU131" s="134"/>
      <c r="AV131" s="61"/>
      <c r="AW131" s="132"/>
      <c r="AX131" s="133"/>
      <c r="AY131" s="133"/>
      <c r="AZ131" s="134"/>
      <c r="BA131" s="61"/>
      <c r="BB131" s="132"/>
      <c r="BC131" s="133"/>
      <c r="BD131" s="133"/>
      <c r="BE131" s="134"/>
      <c r="BF131" s="61"/>
    </row>
    <row r="132" spans="2:58" ht="15.75" customHeight="1" thickBot="1">
      <c r="B132" s="61"/>
      <c r="C132" s="125"/>
      <c r="D132" s="126"/>
      <c r="E132" s="126"/>
      <c r="F132" s="127"/>
      <c r="G132" s="62"/>
      <c r="H132" s="155"/>
      <c r="I132" s="156"/>
      <c r="J132" s="156"/>
      <c r="K132" s="157"/>
      <c r="L132" s="61"/>
      <c r="M132" s="125"/>
      <c r="N132" s="126"/>
      <c r="O132" s="126"/>
      <c r="P132" s="127"/>
      <c r="Q132" s="61"/>
      <c r="R132" s="125"/>
      <c r="S132" s="126"/>
      <c r="T132" s="126"/>
      <c r="U132" s="127"/>
      <c r="V132" s="61"/>
      <c r="W132" s="125"/>
      <c r="X132" s="126"/>
      <c r="Y132" s="126"/>
      <c r="Z132" s="127"/>
      <c r="AA132" s="61"/>
      <c r="AB132" s="140"/>
      <c r="AC132" s="141"/>
      <c r="AD132" s="141"/>
      <c r="AE132" s="141"/>
      <c r="AF132" s="142"/>
      <c r="AG132" s="61"/>
      <c r="AH132" s="135"/>
      <c r="AI132" s="136"/>
      <c r="AJ132" s="136"/>
      <c r="AK132" s="137"/>
      <c r="AL132" s="62"/>
      <c r="AM132" s="135"/>
      <c r="AN132" s="136"/>
      <c r="AO132" s="136"/>
      <c r="AP132" s="137"/>
      <c r="AQ132" s="61"/>
      <c r="AR132" s="135"/>
      <c r="AS132" s="136"/>
      <c r="AT132" s="136"/>
      <c r="AU132" s="137"/>
      <c r="AV132" s="61"/>
      <c r="AW132" s="135"/>
      <c r="AX132" s="136"/>
      <c r="AY132" s="136"/>
      <c r="AZ132" s="137"/>
      <c r="BA132" s="61"/>
      <c r="BB132" s="135"/>
      <c r="BC132" s="136"/>
      <c r="BD132" s="136"/>
      <c r="BE132" s="137"/>
      <c r="BF132" s="61"/>
    </row>
    <row r="133" spans="2:58" ht="15.75" customHeight="1" thickTop="1">
      <c r="B133" s="61"/>
      <c r="C133" s="62"/>
      <c r="D133" s="139" t="str">
        <f>'(1st+2nd) Shift Combined'!G120</f>
        <v/>
      </c>
      <c r="E133" s="139"/>
      <c r="F133" s="62"/>
      <c r="G133" s="61"/>
      <c r="H133" s="62"/>
      <c r="I133" s="139" t="str">
        <f>'(1st+2nd) Shift Combined'!G121</f>
        <v/>
      </c>
      <c r="J133" s="139"/>
      <c r="K133" s="62"/>
      <c r="L133" s="61"/>
      <c r="M133" s="63"/>
      <c r="N133" s="139" t="str">
        <f>'(1st+2nd) Shift Combined'!G122</f>
        <v/>
      </c>
      <c r="O133" s="139"/>
      <c r="P133" s="63"/>
      <c r="Q133" s="61"/>
      <c r="R133" s="63"/>
      <c r="S133" s="139" t="str">
        <f>'(1st+2nd) Shift Combined'!G123</f>
        <v/>
      </c>
      <c r="T133" s="139"/>
      <c r="U133" s="63"/>
      <c r="V133" s="61"/>
      <c r="W133" s="63"/>
      <c r="X133" s="139" t="str">
        <f>'(1st+2nd) Shift Combined'!G124</f>
        <v/>
      </c>
      <c r="Y133" s="139"/>
      <c r="Z133" s="63"/>
      <c r="AA133" s="61"/>
      <c r="AB133" s="140"/>
      <c r="AC133" s="141"/>
      <c r="AD133" s="141"/>
      <c r="AE133" s="141"/>
      <c r="AF133" s="142"/>
      <c r="AG133" s="61"/>
      <c r="AH133" s="62"/>
      <c r="AI133" s="139" t="str">
        <f>'(1st+2nd) Shift Combined'!N120</f>
        <v/>
      </c>
      <c r="AJ133" s="139"/>
      <c r="AK133" s="62"/>
      <c r="AL133" s="61"/>
      <c r="AM133" s="62"/>
      <c r="AN133" s="139" t="str">
        <f>'(1st+2nd) Shift Combined'!N121</f>
        <v/>
      </c>
      <c r="AO133" s="139"/>
      <c r="AP133" s="62"/>
      <c r="AQ133" s="61"/>
      <c r="AR133" s="63"/>
      <c r="AS133" s="139" t="str">
        <f>'(1st+2nd) Shift Combined'!N122</f>
        <v/>
      </c>
      <c r="AT133" s="139"/>
      <c r="AU133" s="63"/>
      <c r="AV133" s="61"/>
      <c r="AW133" s="63"/>
      <c r="AX133" s="139" t="str">
        <f>'(1st+2nd) Shift Combined'!N123</f>
        <v/>
      </c>
      <c r="AY133" s="139"/>
      <c r="AZ133" s="63"/>
      <c r="BA133" s="61"/>
      <c r="BB133" s="63"/>
      <c r="BC133" s="139" t="str">
        <f>'(1st+2nd) Shift Combined'!N124</f>
        <v/>
      </c>
      <c r="BD133" s="139"/>
      <c r="BE133" s="63"/>
      <c r="BF133" s="61"/>
    </row>
    <row r="134" spans="2:58" ht="15.75" customHeight="1"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140"/>
      <c r="AC134" s="141"/>
      <c r="AD134" s="141"/>
      <c r="AE134" s="141"/>
      <c r="AF134" s="142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</row>
    <row r="135" spans="2:58" ht="15.75" customHeight="1" thickBot="1">
      <c r="B135" s="61"/>
      <c r="C135" s="64"/>
      <c r="D135" s="138" t="s">
        <v>136</v>
      </c>
      <c r="E135" s="138"/>
      <c r="F135" s="64"/>
      <c r="G135" s="61"/>
      <c r="H135" s="64"/>
      <c r="I135" s="138" t="s">
        <v>137</v>
      </c>
      <c r="J135" s="138"/>
      <c r="K135" s="64"/>
      <c r="L135" s="61"/>
      <c r="M135" s="64"/>
      <c r="N135" s="138" t="s">
        <v>138</v>
      </c>
      <c r="O135" s="138"/>
      <c r="P135" s="64"/>
      <c r="Q135" s="61"/>
      <c r="R135" s="64"/>
      <c r="S135" s="138" t="s">
        <v>139</v>
      </c>
      <c r="T135" s="138"/>
      <c r="U135" s="64"/>
      <c r="V135" s="61"/>
      <c r="W135" s="64"/>
      <c r="X135" s="138" t="s">
        <v>140</v>
      </c>
      <c r="Y135" s="138"/>
      <c r="Z135" s="64"/>
      <c r="AA135" s="61"/>
      <c r="AB135" s="140"/>
      <c r="AC135" s="141"/>
      <c r="AD135" s="141"/>
      <c r="AE135" s="141"/>
      <c r="AF135" s="142"/>
      <c r="AG135" s="61"/>
      <c r="AH135" s="64"/>
      <c r="AI135" s="138" t="s">
        <v>214</v>
      </c>
      <c r="AJ135" s="138"/>
      <c r="AK135" s="64"/>
      <c r="AL135" s="61"/>
      <c r="AM135" s="64"/>
      <c r="AN135" s="138" t="s">
        <v>213</v>
      </c>
      <c r="AO135" s="138"/>
      <c r="AP135" s="64"/>
      <c r="AQ135" s="61"/>
      <c r="AR135" s="64"/>
      <c r="AS135" s="138" t="s">
        <v>212</v>
      </c>
      <c r="AT135" s="138"/>
      <c r="AU135" s="64"/>
      <c r="AV135" s="61"/>
      <c r="AW135" s="64"/>
      <c r="AX135" s="138" t="s">
        <v>211</v>
      </c>
      <c r="AY135" s="138"/>
      <c r="AZ135" s="64"/>
      <c r="BA135" s="61"/>
      <c r="BB135" s="64"/>
      <c r="BC135" s="138" t="s">
        <v>215</v>
      </c>
      <c r="BD135" s="138"/>
      <c r="BE135" s="64"/>
      <c r="BF135" s="61"/>
    </row>
    <row r="136" spans="2:58" ht="15.75" customHeight="1" thickTop="1">
      <c r="B136" s="61"/>
      <c r="C136" s="119" t="str">
        <f>'(1st+2nd) Shift Combined'!D125</f>
        <v>Not Running</v>
      </c>
      <c r="D136" s="120"/>
      <c r="E136" s="120"/>
      <c r="F136" s="121"/>
      <c r="G136" s="61"/>
      <c r="H136" s="119" t="str">
        <f>'(1st+2nd) Shift Combined'!D126</f>
        <v>Not Running</v>
      </c>
      <c r="I136" s="120"/>
      <c r="J136" s="120"/>
      <c r="K136" s="121"/>
      <c r="L136" s="61"/>
      <c r="M136" s="119" t="str">
        <f>'(1st+2nd) Shift Combined'!D127</f>
        <v>Not Running</v>
      </c>
      <c r="N136" s="120"/>
      <c r="O136" s="120"/>
      <c r="P136" s="121"/>
      <c r="Q136" s="61"/>
      <c r="R136" s="119" t="str">
        <f>'(1st+2nd) Shift Combined'!D128</f>
        <v>Not Running</v>
      </c>
      <c r="S136" s="120"/>
      <c r="T136" s="120"/>
      <c r="U136" s="121"/>
      <c r="V136" s="61"/>
      <c r="W136" s="119" t="str">
        <f>'(1st+2nd) Shift Combined'!D129</f>
        <v>Not Running</v>
      </c>
      <c r="X136" s="120"/>
      <c r="Y136" s="120"/>
      <c r="Z136" s="121"/>
      <c r="AA136" s="61"/>
      <c r="AB136" s="140"/>
      <c r="AC136" s="141"/>
      <c r="AD136" s="141"/>
      <c r="AE136" s="141"/>
      <c r="AF136" s="142"/>
      <c r="AG136" s="61"/>
      <c r="AH136" s="129" t="str">
        <f>'(1st+2nd) Shift Combined'!K125</f>
        <v>Not Running</v>
      </c>
      <c r="AI136" s="130"/>
      <c r="AJ136" s="130"/>
      <c r="AK136" s="131"/>
      <c r="AL136" s="61"/>
      <c r="AM136" s="129" t="str">
        <f>'(1st+2nd) Shift Combined'!K126</f>
        <v>Not Running</v>
      </c>
      <c r="AN136" s="130"/>
      <c r="AO136" s="130"/>
      <c r="AP136" s="131"/>
      <c r="AQ136" s="61"/>
      <c r="AR136" s="129" t="str">
        <f>'(1st+2nd) Shift Combined'!K127</f>
        <v>Not Running</v>
      </c>
      <c r="AS136" s="130"/>
      <c r="AT136" s="130"/>
      <c r="AU136" s="131"/>
      <c r="AV136" s="61"/>
      <c r="AW136" s="129" t="str">
        <f>'(1st+2nd) Shift Combined'!K128</f>
        <v>Not Running</v>
      </c>
      <c r="AX136" s="130"/>
      <c r="AY136" s="130"/>
      <c r="AZ136" s="131"/>
      <c r="BA136" s="61"/>
      <c r="BB136" s="129" t="str">
        <f>'(1st+2nd) Shift Combined'!K129</f>
        <v>Not Running</v>
      </c>
      <c r="BC136" s="130"/>
      <c r="BD136" s="130"/>
      <c r="BE136" s="131"/>
      <c r="BF136" s="61"/>
    </row>
    <row r="137" spans="2:58" ht="15.75" customHeight="1">
      <c r="B137" s="61"/>
      <c r="C137" s="122"/>
      <c r="D137" s="123"/>
      <c r="E137" s="123"/>
      <c r="F137" s="124"/>
      <c r="G137" s="61"/>
      <c r="H137" s="122"/>
      <c r="I137" s="123"/>
      <c r="J137" s="123"/>
      <c r="K137" s="124"/>
      <c r="L137" s="61"/>
      <c r="M137" s="122"/>
      <c r="N137" s="123"/>
      <c r="O137" s="123"/>
      <c r="P137" s="124"/>
      <c r="Q137" s="61"/>
      <c r="R137" s="122"/>
      <c r="S137" s="123"/>
      <c r="T137" s="123"/>
      <c r="U137" s="124"/>
      <c r="V137" s="61"/>
      <c r="W137" s="122"/>
      <c r="X137" s="123"/>
      <c r="Y137" s="123"/>
      <c r="Z137" s="124"/>
      <c r="AA137" s="61"/>
      <c r="AB137" s="140"/>
      <c r="AC137" s="141"/>
      <c r="AD137" s="141"/>
      <c r="AE137" s="141"/>
      <c r="AF137" s="142"/>
      <c r="AG137" s="61"/>
      <c r="AH137" s="132"/>
      <c r="AI137" s="133"/>
      <c r="AJ137" s="133"/>
      <c r="AK137" s="134"/>
      <c r="AL137" s="62"/>
      <c r="AM137" s="132"/>
      <c r="AN137" s="133"/>
      <c r="AO137" s="133"/>
      <c r="AP137" s="134"/>
      <c r="AQ137" s="61"/>
      <c r="AR137" s="132"/>
      <c r="AS137" s="133"/>
      <c r="AT137" s="133"/>
      <c r="AU137" s="134"/>
      <c r="AV137" s="61"/>
      <c r="AW137" s="132"/>
      <c r="AX137" s="133"/>
      <c r="AY137" s="133"/>
      <c r="AZ137" s="134"/>
      <c r="BA137" s="61"/>
      <c r="BB137" s="132"/>
      <c r="BC137" s="133"/>
      <c r="BD137" s="133"/>
      <c r="BE137" s="134"/>
      <c r="BF137" s="61"/>
    </row>
    <row r="138" spans="2:58" ht="15.75" customHeight="1" thickBot="1">
      <c r="B138" s="61"/>
      <c r="C138" s="125"/>
      <c r="D138" s="126"/>
      <c r="E138" s="126"/>
      <c r="F138" s="127"/>
      <c r="G138" s="61"/>
      <c r="H138" s="125"/>
      <c r="I138" s="126"/>
      <c r="J138" s="126"/>
      <c r="K138" s="127"/>
      <c r="L138" s="61"/>
      <c r="M138" s="125"/>
      <c r="N138" s="126"/>
      <c r="O138" s="126"/>
      <c r="P138" s="127"/>
      <c r="Q138" s="61"/>
      <c r="R138" s="125"/>
      <c r="S138" s="126"/>
      <c r="T138" s="126"/>
      <c r="U138" s="127"/>
      <c r="V138" s="61"/>
      <c r="W138" s="125"/>
      <c r="X138" s="126"/>
      <c r="Y138" s="126"/>
      <c r="Z138" s="127"/>
      <c r="AA138" s="61"/>
      <c r="AB138" s="140"/>
      <c r="AC138" s="141"/>
      <c r="AD138" s="141"/>
      <c r="AE138" s="141"/>
      <c r="AF138" s="142"/>
      <c r="AG138" s="61"/>
      <c r="AH138" s="135"/>
      <c r="AI138" s="136"/>
      <c r="AJ138" s="136"/>
      <c r="AK138" s="137"/>
      <c r="AL138" s="62"/>
      <c r="AM138" s="135"/>
      <c r="AN138" s="136"/>
      <c r="AO138" s="136"/>
      <c r="AP138" s="137"/>
      <c r="AQ138" s="61"/>
      <c r="AR138" s="135"/>
      <c r="AS138" s="136"/>
      <c r="AT138" s="136"/>
      <c r="AU138" s="137"/>
      <c r="AV138" s="61"/>
      <c r="AW138" s="135"/>
      <c r="AX138" s="136"/>
      <c r="AY138" s="136"/>
      <c r="AZ138" s="137"/>
      <c r="BA138" s="61"/>
      <c r="BB138" s="135"/>
      <c r="BC138" s="136"/>
      <c r="BD138" s="136"/>
      <c r="BE138" s="137"/>
      <c r="BF138" s="61"/>
    </row>
    <row r="139" spans="2:58" ht="15.75" customHeight="1" thickTop="1">
      <c r="B139" s="61"/>
      <c r="C139" s="62"/>
      <c r="D139" s="139" t="str">
        <f>'(1st+2nd) Shift Combined'!G125</f>
        <v/>
      </c>
      <c r="E139" s="139"/>
      <c r="F139" s="62"/>
      <c r="G139" s="61"/>
      <c r="H139" s="62"/>
      <c r="I139" s="139" t="str">
        <f>'(1st+2nd) Shift Combined'!G126</f>
        <v/>
      </c>
      <c r="J139" s="139"/>
      <c r="K139" s="62"/>
      <c r="L139" s="61"/>
      <c r="M139" s="63"/>
      <c r="N139" s="139" t="str">
        <f>'(1st+2nd) Shift Combined'!G127</f>
        <v/>
      </c>
      <c r="O139" s="139"/>
      <c r="P139" s="63"/>
      <c r="Q139" s="61"/>
      <c r="R139" s="63"/>
      <c r="S139" s="139" t="str">
        <f>'(1st+2nd) Shift Combined'!G128</f>
        <v/>
      </c>
      <c r="T139" s="139"/>
      <c r="U139" s="63"/>
      <c r="V139" s="61"/>
      <c r="W139" s="63"/>
      <c r="X139" s="139" t="str">
        <f>'(1st+2nd) Shift Combined'!G129</f>
        <v/>
      </c>
      <c r="Y139" s="139"/>
      <c r="Z139" s="63"/>
      <c r="AA139" s="61"/>
      <c r="AB139" s="140"/>
      <c r="AC139" s="141"/>
      <c r="AD139" s="141"/>
      <c r="AE139" s="141"/>
      <c r="AF139" s="142"/>
      <c r="AG139" s="61"/>
      <c r="AH139" s="62"/>
      <c r="AI139" s="139" t="str">
        <f>'(1st+2nd) Shift Combined'!N125</f>
        <v/>
      </c>
      <c r="AJ139" s="139"/>
      <c r="AK139" s="62"/>
      <c r="AL139" s="61"/>
      <c r="AM139" s="62"/>
      <c r="AN139" s="139" t="str">
        <f>'(1st+2nd) Shift Combined'!N126</f>
        <v/>
      </c>
      <c r="AO139" s="139"/>
      <c r="AP139" s="62"/>
      <c r="AQ139" s="61"/>
      <c r="AR139" s="63"/>
      <c r="AS139" s="139" t="str">
        <f>'(1st+2nd) Shift Combined'!N127</f>
        <v/>
      </c>
      <c r="AT139" s="139"/>
      <c r="AU139" s="63"/>
      <c r="AV139" s="61"/>
      <c r="AW139" s="63"/>
      <c r="AX139" s="139" t="str">
        <f>'(1st+2nd) Shift Combined'!N128</f>
        <v/>
      </c>
      <c r="AY139" s="139"/>
      <c r="AZ139" s="63"/>
      <c r="BA139" s="61"/>
      <c r="BB139" s="63"/>
      <c r="BC139" s="139" t="str">
        <f>'(1st+2nd) Shift Combined'!N129</f>
        <v/>
      </c>
      <c r="BD139" s="139"/>
      <c r="BE139" s="63"/>
      <c r="BF139" s="61"/>
    </row>
    <row r="140" spans="2:58" ht="15.75" customHeight="1"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140"/>
      <c r="AC140" s="141"/>
      <c r="AD140" s="141"/>
      <c r="AE140" s="141"/>
      <c r="AF140" s="142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</row>
    <row r="141" spans="2:58" ht="15.75" customHeight="1"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140"/>
      <c r="AC141" s="141"/>
      <c r="AD141" s="141"/>
      <c r="AE141" s="141"/>
      <c r="AF141" s="142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</row>
    <row r="142" spans="2:58" ht="15.75" customHeight="1" thickBot="1"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143"/>
      <c r="AC142" s="144"/>
      <c r="AD142" s="144"/>
      <c r="AE142" s="144"/>
      <c r="AF142" s="145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</row>
  </sheetData>
  <mergeCells count="626">
    <mergeCell ref="AX121:AY121"/>
    <mergeCell ref="BC121:BD121"/>
    <mergeCell ref="AI139:AJ139"/>
    <mergeCell ref="AN139:AO139"/>
    <mergeCell ref="AS139:AT139"/>
    <mergeCell ref="AX139:AY139"/>
    <mergeCell ref="BC139:BD139"/>
    <mergeCell ref="AI133:AJ133"/>
    <mergeCell ref="AN133:AO133"/>
    <mergeCell ref="AS133:AT133"/>
    <mergeCell ref="AX133:AY133"/>
    <mergeCell ref="BC133:BD133"/>
    <mergeCell ref="AW136:AZ138"/>
    <mergeCell ref="BB136:BE138"/>
    <mergeCell ref="AH136:AK138"/>
    <mergeCell ref="AM136:AP138"/>
    <mergeCell ref="AR136:AU138"/>
    <mergeCell ref="AI83:AJ83"/>
    <mergeCell ref="AN83:AO83"/>
    <mergeCell ref="AS83:AT83"/>
    <mergeCell ref="AX83:AY83"/>
    <mergeCell ref="BC83:BD83"/>
    <mergeCell ref="AG84:BF91"/>
    <mergeCell ref="AX109:AY109"/>
    <mergeCell ref="BC109:BD109"/>
    <mergeCell ref="AI115:AJ115"/>
    <mergeCell ref="AN115:AO115"/>
    <mergeCell ref="AS115:AT115"/>
    <mergeCell ref="AX115:AY115"/>
    <mergeCell ref="BC115:BD115"/>
    <mergeCell ref="AX111:AY111"/>
    <mergeCell ref="BC111:BD111"/>
    <mergeCell ref="AM112:AP114"/>
    <mergeCell ref="AR112:AU114"/>
    <mergeCell ref="AI111:AJ111"/>
    <mergeCell ref="AN111:AO111"/>
    <mergeCell ref="AS111:AT111"/>
    <mergeCell ref="AI109:AJ109"/>
    <mergeCell ref="BC65:BD65"/>
    <mergeCell ref="AI71:AJ71"/>
    <mergeCell ref="AN71:AO71"/>
    <mergeCell ref="AS71:AT71"/>
    <mergeCell ref="AX71:AY71"/>
    <mergeCell ref="BC71:BD71"/>
    <mergeCell ref="AM74:AP76"/>
    <mergeCell ref="AR74:AU76"/>
    <mergeCell ref="AW74:AZ76"/>
    <mergeCell ref="BB74:BE76"/>
    <mergeCell ref="AS27:AT27"/>
    <mergeCell ref="AX27:AY27"/>
    <mergeCell ref="BC27:BD27"/>
    <mergeCell ref="BC53:BD53"/>
    <mergeCell ref="AI59:AJ59"/>
    <mergeCell ref="AN59:AO59"/>
    <mergeCell ref="AS59:AT59"/>
    <mergeCell ref="AX59:AY59"/>
    <mergeCell ref="BC59:BD59"/>
    <mergeCell ref="AI39:AJ39"/>
    <mergeCell ref="AN39:AO39"/>
    <mergeCell ref="AS39:AT39"/>
    <mergeCell ref="AX39:AY39"/>
    <mergeCell ref="BC39:BD39"/>
    <mergeCell ref="BC49:BD49"/>
    <mergeCell ref="AM50:AP52"/>
    <mergeCell ref="AR50:AU52"/>
    <mergeCell ref="AW50:AZ52"/>
    <mergeCell ref="BB50:BE52"/>
    <mergeCell ref="AH56:AK58"/>
    <mergeCell ref="AM56:AP58"/>
    <mergeCell ref="AR56:AU58"/>
    <mergeCell ref="AW56:AZ58"/>
    <mergeCell ref="BB56:BE58"/>
    <mergeCell ref="W136:Z138"/>
    <mergeCell ref="AI21:AJ21"/>
    <mergeCell ref="AN21:AO21"/>
    <mergeCell ref="AS21:AT21"/>
    <mergeCell ref="AX21:AY21"/>
    <mergeCell ref="BC21:BD21"/>
    <mergeCell ref="AS9:AT9"/>
    <mergeCell ref="AX9:AY9"/>
    <mergeCell ref="BC9:BD9"/>
    <mergeCell ref="AI15:AJ15"/>
    <mergeCell ref="AN15:AO15"/>
    <mergeCell ref="AS15:AT15"/>
    <mergeCell ref="AX15:AY15"/>
    <mergeCell ref="BC15:BD15"/>
    <mergeCell ref="BC17:BD17"/>
    <mergeCell ref="AS17:AT17"/>
    <mergeCell ref="AX17:AY17"/>
    <mergeCell ref="AI33:AJ33"/>
    <mergeCell ref="AN33:AO33"/>
    <mergeCell ref="AS33:AT33"/>
    <mergeCell ref="AX33:AY33"/>
    <mergeCell ref="BC33:BD33"/>
    <mergeCell ref="AI27:AJ27"/>
    <mergeCell ref="AN27:AO27"/>
    <mergeCell ref="D121:E121"/>
    <mergeCell ref="I121:J121"/>
    <mergeCell ref="N121:O121"/>
    <mergeCell ref="S121:T121"/>
    <mergeCell ref="X121:Y121"/>
    <mergeCell ref="D139:E139"/>
    <mergeCell ref="I139:J139"/>
    <mergeCell ref="N139:O139"/>
    <mergeCell ref="S139:T139"/>
    <mergeCell ref="X139:Y139"/>
    <mergeCell ref="D133:E133"/>
    <mergeCell ref="I133:J133"/>
    <mergeCell ref="N133:O133"/>
    <mergeCell ref="S133:T133"/>
    <mergeCell ref="X133:Y133"/>
    <mergeCell ref="D135:E135"/>
    <mergeCell ref="I135:J135"/>
    <mergeCell ref="N135:O135"/>
    <mergeCell ref="S135:T135"/>
    <mergeCell ref="X135:Y135"/>
    <mergeCell ref="C136:F138"/>
    <mergeCell ref="H136:K138"/>
    <mergeCell ref="M136:P138"/>
    <mergeCell ref="R136:U138"/>
    <mergeCell ref="N77:O77"/>
    <mergeCell ref="S77:T77"/>
    <mergeCell ref="X77:Y77"/>
    <mergeCell ref="D71:E71"/>
    <mergeCell ref="I71:J71"/>
    <mergeCell ref="N71:O71"/>
    <mergeCell ref="S71:T71"/>
    <mergeCell ref="X71:Y71"/>
    <mergeCell ref="D103:E103"/>
    <mergeCell ref="I103:J103"/>
    <mergeCell ref="N103:O103"/>
    <mergeCell ref="S103:T103"/>
    <mergeCell ref="X103:Y103"/>
    <mergeCell ref="I83:J83"/>
    <mergeCell ref="N83:O83"/>
    <mergeCell ref="S83:T83"/>
    <mergeCell ref="X83:Y83"/>
    <mergeCell ref="D97:E97"/>
    <mergeCell ref="I97:J97"/>
    <mergeCell ref="N97:O97"/>
    <mergeCell ref="S97:T97"/>
    <mergeCell ref="X97:Y97"/>
    <mergeCell ref="X79:Y79"/>
    <mergeCell ref="S79:T79"/>
    <mergeCell ref="D65:E65"/>
    <mergeCell ref="I65:J65"/>
    <mergeCell ref="N65:O65"/>
    <mergeCell ref="S65:T65"/>
    <mergeCell ref="X65:Y65"/>
    <mergeCell ref="X53:Y53"/>
    <mergeCell ref="D59:E59"/>
    <mergeCell ref="I59:J59"/>
    <mergeCell ref="N59:O59"/>
    <mergeCell ref="S59:T59"/>
    <mergeCell ref="X59:Y59"/>
    <mergeCell ref="D61:E61"/>
    <mergeCell ref="I61:J61"/>
    <mergeCell ref="N61:O61"/>
    <mergeCell ref="S61:T61"/>
    <mergeCell ref="X61:Y61"/>
    <mergeCell ref="X55:Y55"/>
    <mergeCell ref="S55:T55"/>
    <mergeCell ref="N55:O55"/>
    <mergeCell ref="I55:J55"/>
    <mergeCell ref="D55:E55"/>
    <mergeCell ref="M56:P58"/>
    <mergeCell ref="R56:U58"/>
    <mergeCell ref="W56:Z58"/>
    <mergeCell ref="N79:O79"/>
    <mergeCell ref="D21:E21"/>
    <mergeCell ref="I21:J21"/>
    <mergeCell ref="N21:O21"/>
    <mergeCell ref="S21:T21"/>
    <mergeCell ref="X21:Y21"/>
    <mergeCell ref="D17:E17"/>
    <mergeCell ref="I17:J17"/>
    <mergeCell ref="N17:O17"/>
    <mergeCell ref="S17:T17"/>
    <mergeCell ref="X17:Y17"/>
    <mergeCell ref="D33:E33"/>
    <mergeCell ref="I33:J33"/>
    <mergeCell ref="N33:O33"/>
    <mergeCell ref="S33:T33"/>
    <mergeCell ref="X33:Y33"/>
    <mergeCell ref="X27:Y27"/>
    <mergeCell ref="S27:T27"/>
    <mergeCell ref="N27:O27"/>
    <mergeCell ref="I27:J27"/>
    <mergeCell ref="I73:J73"/>
    <mergeCell ref="N73:O73"/>
    <mergeCell ref="S73:T73"/>
    <mergeCell ref="X73:Y73"/>
    <mergeCell ref="AS79:AT79"/>
    <mergeCell ref="AX79:AY79"/>
    <mergeCell ref="AI49:AJ49"/>
    <mergeCell ref="AN49:AO49"/>
    <mergeCell ref="AS49:AT49"/>
    <mergeCell ref="AX49:AY49"/>
    <mergeCell ref="AI35:AJ35"/>
    <mergeCell ref="AN35:AO35"/>
    <mergeCell ref="AS35:AT35"/>
    <mergeCell ref="AX35:AY35"/>
    <mergeCell ref="AS53:AT53"/>
    <mergeCell ref="AX53:AY53"/>
    <mergeCell ref="AI77:AJ77"/>
    <mergeCell ref="AN77:AO77"/>
    <mergeCell ref="AS77:AT77"/>
    <mergeCell ref="AX77:AY77"/>
    <mergeCell ref="AI65:AJ65"/>
    <mergeCell ref="AN65:AO65"/>
    <mergeCell ref="AH74:AK76"/>
    <mergeCell ref="AG40:BF47"/>
    <mergeCell ref="AI55:AJ55"/>
    <mergeCell ref="BC77:BD77"/>
    <mergeCell ref="AS65:AT65"/>
    <mergeCell ref="AX65:AY65"/>
    <mergeCell ref="D9:E9"/>
    <mergeCell ref="I9:J9"/>
    <mergeCell ref="N9:O9"/>
    <mergeCell ref="S9:T9"/>
    <mergeCell ref="X9:Y9"/>
    <mergeCell ref="AI79:AJ79"/>
    <mergeCell ref="AN79:AO79"/>
    <mergeCell ref="AI17:AJ17"/>
    <mergeCell ref="AN17:AO17"/>
    <mergeCell ref="D15:E15"/>
    <mergeCell ref="I15:J15"/>
    <mergeCell ref="N15:O15"/>
    <mergeCell ref="S15:T15"/>
    <mergeCell ref="X15:Y15"/>
    <mergeCell ref="D27:E27"/>
    <mergeCell ref="D39:E39"/>
    <mergeCell ref="D53:E53"/>
    <mergeCell ref="I53:J53"/>
    <mergeCell ref="N53:O53"/>
    <mergeCell ref="S53:T53"/>
    <mergeCell ref="X39:Y39"/>
    <mergeCell ref="I79:J79"/>
    <mergeCell ref="D79:E79"/>
    <mergeCell ref="D73:E73"/>
    <mergeCell ref="AS23:AT23"/>
    <mergeCell ref="AX23:AY23"/>
    <mergeCell ref="BC23:BD23"/>
    <mergeCell ref="BC79:BD79"/>
    <mergeCell ref="AI73:AJ73"/>
    <mergeCell ref="AN73:AO73"/>
    <mergeCell ref="AS73:AT73"/>
    <mergeCell ref="AX73:AY73"/>
    <mergeCell ref="BC73:BD73"/>
    <mergeCell ref="AI61:AJ61"/>
    <mergeCell ref="AN61:AO61"/>
    <mergeCell ref="AS61:AT61"/>
    <mergeCell ref="AX61:AY61"/>
    <mergeCell ref="BC61:BD61"/>
    <mergeCell ref="AH68:AK70"/>
    <mergeCell ref="AM68:AP70"/>
    <mergeCell ref="AR68:AU70"/>
    <mergeCell ref="AW68:AZ70"/>
    <mergeCell ref="BB68:BE70"/>
    <mergeCell ref="AI67:AJ67"/>
    <mergeCell ref="AN67:AO67"/>
    <mergeCell ref="AS67:AT67"/>
    <mergeCell ref="AX67:AY67"/>
    <mergeCell ref="BC67:BD67"/>
    <mergeCell ref="AS5:AT5"/>
    <mergeCell ref="AX5:AY5"/>
    <mergeCell ref="BC5:BD5"/>
    <mergeCell ref="AI135:AJ135"/>
    <mergeCell ref="AN135:AO135"/>
    <mergeCell ref="AS135:AT135"/>
    <mergeCell ref="AX135:AY135"/>
    <mergeCell ref="BC135:BD135"/>
    <mergeCell ref="AI129:AJ129"/>
    <mergeCell ref="AN129:AO129"/>
    <mergeCell ref="AS129:AT129"/>
    <mergeCell ref="AX129:AY129"/>
    <mergeCell ref="BC129:BD129"/>
    <mergeCell ref="AI123:AJ123"/>
    <mergeCell ref="AN123:AO123"/>
    <mergeCell ref="AS123:AT123"/>
    <mergeCell ref="AX123:AY123"/>
    <mergeCell ref="BC123:BD123"/>
    <mergeCell ref="AI117:AJ117"/>
    <mergeCell ref="AN117:AO117"/>
    <mergeCell ref="AS117:AT117"/>
    <mergeCell ref="AX117:AY117"/>
    <mergeCell ref="BC35:BD35"/>
    <mergeCell ref="AI29:AJ29"/>
    <mergeCell ref="AN97:AO97"/>
    <mergeCell ref="AS97:AT97"/>
    <mergeCell ref="AX97:AY97"/>
    <mergeCell ref="BC97:BD97"/>
    <mergeCell ref="AH100:AK102"/>
    <mergeCell ref="AM100:AP102"/>
    <mergeCell ref="AR100:AU102"/>
    <mergeCell ref="AW106:AZ108"/>
    <mergeCell ref="BB106:BE108"/>
    <mergeCell ref="AS103:AT103"/>
    <mergeCell ref="AX103:AY103"/>
    <mergeCell ref="BC103:BD103"/>
    <mergeCell ref="D129:E129"/>
    <mergeCell ref="I129:J129"/>
    <mergeCell ref="N129:O129"/>
    <mergeCell ref="S129:T129"/>
    <mergeCell ref="X129:Y129"/>
    <mergeCell ref="X123:Y123"/>
    <mergeCell ref="S123:T123"/>
    <mergeCell ref="N123:O123"/>
    <mergeCell ref="I123:J123"/>
    <mergeCell ref="D123:E123"/>
    <mergeCell ref="D127:E127"/>
    <mergeCell ref="I127:J127"/>
    <mergeCell ref="N127:O127"/>
    <mergeCell ref="S127:T127"/>
    <mergeCell ref="X127:Y127"/>
    <mergeCell ref="X99:Y99"/>
    <mergeCell ref="S99:T99"/>
    <mergeCell ref="N99:O99"/>
    <mergeCell ref="I99:J99"/>
    <mergeCell ref="D99:E99"/>
    <mergeCell ref="D117:E117"/>
    <mergeCell ref="I117:J117"/>
    <mergeCell ref="N117:O117"/>
    <mergeCell ref="S117:T117"/>
    <mergeCell ref="X117:Y117"/>
    <mergeCell ref="X111:Y111"/>
    <mergeCell ref="S111:T111"/>
    <mergeCell ref="N111:O111"/>
    <mergeCell ref="I111:J111"/>
    <mergeCell ref="D111:E111"/>
    <mergeCell ref="D115:E115"/>
    <mergeCell ref="I115:J115"/>
    <mergeCell ref="N115:O115"/>
    <mergeCell ref="S115:T115"/>
    <mergeCell ref="X115:Y115"/>
    <mergeCell ref="D109:E109"/>
    <mergeCell ref="I109:J109"/>
    <mergeCell ref="N109:O109"/>
    <mergeCell ref="S109:T109"/>
    <mergeCell ref="X67:Y67"/>
    <mergeCell ref="S67:T67"/>
    <mergeCell ref="N67:O67"/>
    <mergeCell ref="I67:J67"/>
    <mergeCell ref="D67:E67"/>
    <mergeCell ref="C68:F70"/>
    <mergeCell ref="H68:K70"/>
    <mergeCell ref="M68:P70"/>
    <mergeCell ref="R68:U70"/>
    <mergeCell ref="W68:Z70"/>
    <mergeCell ref="C74:F76"/>
    <mergeCell ref="H74:K76"/>
    <mergeCell ref="M74:P76"/>
    <mergeCell ref="R74:U76"/>
    <mergeCell ref="W74:Z76"/>
    <mergeCell ref="D77:E77"/>
    <mergeCell ref="I77:J77"/>
    <mergeCell ref="BB62:BE64"/>
    <mergeCell ref="X11:Y11"/>
    <mergeCell ref="S11:T11"/>
    <mergeCell ref="N11:O11"/>
    <mergeCell ref="I11:J11"/>
    <mergeCell ref="D11:E11"/>
    <mergeCell ref="AI23:AJ23"/>
    <mergeCell ref="AN23:AO23"/>
    <mergeCell ref="C50:F52"/>
    <mergeCell ref="H50:K52"/>
    <mergeCell ref="M50:P52"/>
    <mergeCell ref="R50:U52"/>
    <mergeCell ref="W50:Z52"/>
    <mergeCell ref="AM36:AP38"/>
    <mergeCell ref="AR36:AU38"/>
    <mergeCell ref="C56:F58"/>
    <mergeCell ref="H56:K58"/>
    <mergeCell ref="D5:E5"/>
    <mergeCell ref="I5:J5"/>
    <mergeCell ref="N5:O5"/>
    <mergeCell ref="S5:T5"/>
    <mergeCell ref="X5:Y5"/>
    <mergeCell ref="W6:Z8"/>
    <mergeCell ref="X35:Y35"/>
    <mergeCell ref="S35:T35"/>
    <mergeCell ref="N35:O35"/>
    <mergeCell ref="I35:J35"/>
    <mergeCell ref="D35:E35"/>
    <mergeCell ref="X23:Y23"/>
    <mergeCell ref="S23:T23"/>
    <mergeCell ref="N23:O23"/>
    <mergeCell ref="I23:J23"/>
    <mergeCell ref="D23:E23"/>
    <mergeCell ref="W24:Z26"/>
    <mergeCell ref="C30:F32"/>
    <mergeCell ref="H30:K32"/>
    <mergeCell ref="M30:P32"/>
    <mergeCell ref="R30:U32"/>
    <mergeCell ref="W30:Z32"/>
    <mergeCell ref="D29:E29"/>
    <mergeCell ref="I29:J29"/>
    <mergeCell ref="AI5:AJ5"/>
    <mergeCell ref="AN5:AO5"/>
    <mergeCell ref="AW36:AZ38"/>
    <mergeCell ref="BB36:BE38"/>
    <mergeCell ref="AM18:AP20"/>
    <mergeCell ref="AR18:AU20"/>
    <mergeCell ref="AW18:AZ20"/>
    <mergeCell ref="BB18:BE20"/>
    <mergeCell ref="AH24:AK26"/>
    <mergeCell ref="AM24:AP26"/>
    <mergeCell ref="AR24:AU26"/>
    <mergeCell ref="AW24:AZ26"/>
    <mergeCell ref="BB24:BE26"/>
    <mergeCell ref="AM30:AP32"/>
    <mergeCell ref="AR30:AU32"/>
    <mergeCell ref="AW30:AZ32"/>
    <mergeCell ref="BB30:BE32"/>
    <mergeCell ref="AH36:AK38"/>
    <mergeCell ref="AH18:AK20"/>
    <mergeCell ref="AH30:AK32"/>
    <mergeCell ref="AN29:AO29"/>
    <mergeCell ref="AS29:AT29"/>
    <mergeCell ref="AX29:AY29"/>
    <mergeCell ref="BC29:BD29"/>
    <mergeCell ref="AM6:AP8"/>
    <mergeCell ref="AR6:AU8"/>
    <mergeCell ref="AW6:AZ8"/>
    <mergeCell ref="BB6:BE8"/>
    <mergeCell ref="AH12:AK14"/>
    <mergeCell ref="AM12:AP14"/>
    <mergeCell ref="AR12:AU14"/>
    <mergeCell ref="AW12:AZ14"/>
    <mergeCell ref="BB12:BE14"/>
    <mergeCell ref="AI11:AJ11"/>
    <mergeCell ref="AN11:AO11"/>
    <mergeCell ref="AS11:AT11"/>
    <mergeCell ref="AX11:AY11"/>
    <mergeCell ref="BC11:BD11"/>
    <mergeCell ref="AI9:AJ9"/>
    <mergeCell ref="AN9:AO9"/>
    <mergeCell ref="AH6:AK8"/>
    <mergeCell ref="C62:F64"/>
    <mergeCell ref="H62:K64"/>
    <mergeCell ref="M62:P64"/>
    <mergeCell ref="R62:U64"/>
    <mergeCell ref="W62:Z64"/>
    <mergeCell ref="C36:F38"/>
    <mergeCell ref="H36:K38"/>
    <mergeCell ref="M36:P38"/>
    <mergeCell ref="R36:U38"/>
    <mergeCell ref="S39:T39"/>
    <mergeCell ref="N39:O39"/>
    <mergeCell ref="I39:J39"/>
    <mergeCell ref="D49:E49"/>
    <mergeCell ref="I49:J49"/>
    <mergeCell ref="N49:O49"/>
    <mergeCell ref="S49:T49"/>
    <mergeCell ref="X49:Y49"/>
    <mergeCell ref="B40:AA47"/>
    <mergeCell ref="N29:O29"/>
    <mergeCell ref="S29:T29"/>
    <mergeCell ref="X29:Y29"/>
    <mergeCell ref="W36:Z38"/>
    <mergeCell ref="C24:F26"/>
    <mergeCell ref="H24:K26"/>
    <mergeCell ref="H12:K14"/>
    <mergeCell ref="M12:P14"/>
    <mergeCell ref="R12:U14"/>
    <mergeCell ref="W12:Z14"/>
    <mergeCell ref="C18:F20"/>
    <mergeCell ref="H18:K20"/>
    <mergeCell ref="M18:P20"/>
    <mergeCell ref="R18:U20"/>
    <mergeCell ref="W18:Z20"/>
    <mergeCell ref="C80:F82"/>
    <mergeCell ref="H80:K82"/>
    <mergeCell ref="M80:P82"/>
    <mergeCell ref="R80:U82"/>
    <mergeCell ref="W80:Z82"/>
    <mergeCell ref="C94:F96"/>
    <mergeCell ref="H94:K96"/>
    <mergeCell ref="M94:P96"/>
    <mergeCell ref="R94:U96"/>
    <mergeCell ref="W94:Z96"/>
    <mergeCell ref="D93:E93"/>
    <mergeCell ref="I93:J93"/>
    <mergeCell ref="N93:O93"/>
    <mergeCell ref="S93:T93"/>
    <mergeCell ref="X93:Y93"/>
    <mergeCell ref="D83:E83"/>
    <mergeCell ref="B84:AA91"/>
    <mergeCell ref="AB2:AF39"/>
    <mergeCell ref="C124:F126"/>
    <mergeCell ref="H124:K126"/>
    <mergeCell ref="M124:P126"/>
    <mergeCell ref="R124:U126"/>
    <mergeCell ref="W124:Z126"/>
    <mergeCell ref="C130:F132"/>
    <mergeCell ref="H130:K132"/>
    <mergeCell ref="M130:P132"/>
    <mergeCell ref="R130:U132"/>
    <mergeCell ref="W130:Z132"/>
    <mergeCell ref="C112:F114"/>
    <mergeCell ref="H112:K114"/>
    <mergeCell ref="M112:P114"/>
    <mergeCell ref="R112:U114"/>
    <mergeCell ref="W112:Z114"/>
    <mergeCell ref="C118:F120"/>
    <mergeCell ref="H118:K120"/>
    <mergeCell ref="M118:P120"/>
    <mergeCell ref="R118:U120"/>
    <mergeCell ref="W118:Z120"/>
    <mergeCell ref="C100:F102"/>
    <mergeCell ref="H100:K102"/>
    <mergeCell ref="M100:P102"/>
    <mergeCell ref="R100:U102"/>
    <mergeCell ref="W100:Z102"/>
    <mergeCell ref="C106:F108"/>
    <mergeCell ref="H106:K108"/>
    <mergeCell ref="M106:P108"/>
    <mergeCell ref="R106:U108"/>
    <mergeCell ref="W106:Z108"/>
    <mergeCell ref="AH106:AK108"/>
    <mergeCell ref="AM106:AP108"/>
    <mergeCell ref="X105:Y105"/>
    <mergeCell ref="AI103:AJ103"/>
    <mergeCell ref="AN103:AO103"/>
    <mergeCell ref="D105:E105"/>
    <mergeCell ref="I105:J105"/>
    <mergeCell ref="N105:O105"/>
    <mergeCell ref="S105:T105"/>
    <mergeCell ref="AI105:AJ105"/>
    <mergeCell ref="AN105:AO105"/>
    <mergeCell ref="X109:Y109"/>
    <mergeCell ref="AN109:AO109"/>
    <mergeCell ref="AS109:AT109"/>
    <mergeCell ref="AH130:AK132"/>
    <mergeCell ref="AM130:AP132"/>
    <mergeCell ref="AR130:AU132"/>
    <mergeCell ref="AW130:AZ132"/>
    <mergeCell ref="BB130:BE132"/>
    <mergeCell ref="AW100:AZ102"/>
    <mergeCell ref="BB100:BE102"/>
    <mergeCell ref="BC117:BD117"/>
    <mergeCell ref="AS105:AT105"/>
    <mergeCell ref="AX105:AY105"/>
    <mergeCell ref="BC105:BD105"/>
    <mergeCell ref="AW112:AZ114"/>
    <mergeCell ref="BB112:BE114"/>
    <mergeCell ref="AI127:AJ127"/>
    <mergeCell ref="AN127:AO127"/>
    <mergeCell ref="AS127:AT127"/>
    <mergeCell ref="AX127:AY127"/>
    <mergeCell ref="BC127:BD127"/>
    <mergeCell ref="AI121:AJ121"/>
    <mergeCell ref="AN121:AO121"/>
    <mergeCell ref="AS121:AT121"/>
    <mergeCell ref="AB92:AF142"/>
    <mergeCell ref="AH80:AK82"/>
    <mergeCell ref="AM80:AP82"/>
    <mergeCell ref="AR80:AU82"/>
    <mergeCell ref="AW80:AZ82"/>
    <mergeCell ref="BB80:BE82"/>
    <mergeCell ref="AH94:AK96"/>
    <mergeCell ref="AM94:AP96"/>
    <mergeCell ref="AR94:AU96"/>
    <mergeCell ref="AW94:AZ96"/>
    <mergeCell ref="BB94:BE96"/>
    <mergeCell ref="AI93:AJ93"/>
    <mergeCell ref="AN93:AO93"/>
    <mergeCell ref="AS93:AT93"/>
    <mergeCell ref="AX93:AY93"/>
    <mergeCell ref="AH118:AK120"/>
    <mergeCell ref="AB84:AF91"/>
    <mergeCell ref="BC93:BD93"/>
    <mergeCell ref="AI99:AJ99"/>
    <mergeCell ref="AN99:AO99"/>
    <mergeCell ref="AS99:AT99"/>
    <mergeCell ref="AX99:AY99"/>
    <mergeCell ref="BC99:BD99"/>
    <mergeCell ref="AI97:AJ97"/>
    <mergeCell ref="AB40:AF47"/>
    <mergeCell ref="AW118:AZ120"/>
    <mergeCell ref="BB118:BE120"/>
    <mergeCell ref="AH124:AK126"/>
    <mergeCell ref="AM124:AP126"/>
    <mergeCell ref="AR124:AU126"/>
    <mergeCell ref="AW124:AZ126"/>
    <mergeCell ref="BB124:BE126"/>
    <mergeCell ref="AM118:AP120"/>
    <mergeCell ref="AR118:AU120"/>
    <mergeCell ref="AH50:AK52"/>
    <mergeCell ref="AH62:AK64"/>
    <mergeCell ref="AN55:AO55"/>
    <mergeCell ref="AS55:AT55"/>
    <mergeCell ref="AX55:AY55"/>
    <mergeCell ref="BC55:BD55"/>
    <mergeCell ref="AI53:AJ53"/>
    <mergeCell ref="AN53:AO53"/>
    <mergeCell ref="AM62:AP64"/>
    <mergeCell ref="AR62:AU64"/>
    <mergeCell ref="AW62:AZ64"/>
    <mergeCell ref="AR106:AU108"/>
    <mergeCell ref="AH112:AK114"/>
    <mergeCell ref="AB48:AF83"/>
    <mergeCell ref="B18:B20"/>
    <mergeCell ref="G18:G20"/>
    <mergeCell ref="L18:L20"/>
    <mergeCell ref="Q18:Q20"/>
    <mergeCell ref="V18:V20"/>
    <mergeCell ref="V24:V26"/>
    <mergeCell ref="Q24:Q26"/>
    <mergeCell ref="B6:B8"/>
    <mergeCell ref="G6:G8"/>
    <mergeCell ref="L6:L8"/>
    <mergeCell ref="Q6:Q8"/>
    <mergeCell ref="V6:V8"/>
    <mergeCell ref="V12:V14"/>
    <mergeCell ref="Q12:Q14"/>
    <mergeCell ref="L12:L14"/>
    <mergeCell ref="G12:G14"/>
    <mergeCell ref="B12:B14"/>
    <mergeCell ref="C6:F8"/>
    <mergeCell ref="H6:K8"/>
    <mergeCell ref="M6:P8"/>
    <mergeCell ref="R6:U8"/>
    <mergeCell ref="M24:P26"/>
    <mergeCell ref="R24:U26"/>
    <mergeCell ref="C12:F14"/>
  </mergeCells>
  <conditionalFormatting sqref="C94 H94 M94:P96 R94:U96 W94:Z96 C100:F102 H100:K102 M100:P102 R100:U102 W100:Z102 C106:F108 C112:F114 C118:F120 C124:F126 C130:F132 C136:F138 H136:K138 H124:K126 H112:K114 H106:K108 M106:P108 M112:P114 M118:P120 M124:P126 M130:P132 M136:P138 R136:U138 R130:U132 R124:U126 R118:U120 R112:U114 R106:U108 W106:Z108 W112:Z114 W118:Z120 W124:Z126 W130:Z132 W136:Z138 W36:AA38 AH6:AK8 C50:F52 H50:K52 M50:P52 R50:U52 W50:AA52 C56:F58 H56:K58 M56:P58 R56:U58 W56:AA58 C62:F64 C68:F70 C74:F76 C80:F82 H80:K82 H74:K76 H68:K70 H62:K64 M62:P64 M68:P70 M74:P76 M80:P82 R80:U82 R74:U76 R68:U70 R62:U64 W62:AA64 W68:AA70 W74:AA76 W80:AA82 C6:F8 H6:K8 M6:P8 R6:U8 W6:AA8 C12:F14 H12:K14 M12:P14 R12:U14 W12:AA14 C18:F20 C24:F26 C30:F32 C36:F38 H36:K38 H30:K32 H24:K26 H18:K20 M18:P20 M24:P26 M30:P32 M36:P38 R36:U38 R30:U32 R24:U26 R18:U20 W18:AA20 W24:AA26 W30:AA32 H130:K132 H118:K120 AM6:AP8 AR6:AU8 AW6:AZ8 BB6:BE8 AH12:AK14 AM12:AP14 AR12:AU14 AW12:AZ14 BB12:BE14 AH18:AK20 AM18:AP20 AR18:AU20 AW18:AZ20 BB18:BE20 AH24:AK26 AM24:AP26 AR24:AU26 AW24:AZ26 BB24:BE26 AH30:AK32 AM30:AP32 AR30:AU32 AW30:AZ32 BB30:BE32 AH36:AK38 AM36:AP38 AR36:AU38 AW36:AZ38 BB36:BE38 AH50:AK52 AM50:AP52 AR50:AU52 AW50:AZ52 BB50:BE52 AH56:AK58 AM56:AP58 AR56:AU58 AW56:AZ58 BB56:BE58 AH62:AK64 AM62:AP64 AR62:AU64 AW62:AZ64 BB62:BE64 AH68:AK70 AM68:AP70 AR68:AU70 AW68:AZ70 BB68:BE70 AH74:AK76 AM74:AP76 AR74:AU76 AW74:AZ76 BB74:BE76 AH80:AK82 AM80:AP82 AR80:AU82 AW80:AZ82 BB80:BE82 AH94:AK96 AM94:AP96 AR94:AU96 AW94:AZ96 BB94:BE96 AH100:AK102 AM100:AP102 AR100:AU102 AW100:AZ102 BB100:BE102 AH106:AK108 AM106:AP108 AR106:AU108 AW106:AZ108 BB106:BE108 AH112:AK114 AM112:AP114 AR112:AU114 AW112:AZ114 BB112:BE114 AH118:AK120 AM118:AP120 AR118:AU120 AW118:AZ120 BB118:BE120 AH124:AK126 AM124:AP126 AR124:AU126 AW124:AZ126 BB124:BE126 AH130:AK132 AM130:AP132 AR130:AU132 AW130:AZ132 BB130:BE132 AH136:AK138 AM136:AP138 AR136:AU138 AW136:AZ138 BB136:BE138">
    <cfRule type="cellIs" dxfId="1" priority="4481" operator="equal">
      <formula>"Running"</formula>
    </cfRule>
    <cfRule type="cellIs" dxfId="0" priority="4482" operator="equal">
      <formula>"Not Running"</formula>
    </cfRule>
  </conditionalFormatting>
  <pageMargins left="0.7" right="0.7" top="0.75" bottom="0.75" header="0.3" footer="0.3"/>
  <pageSetup paperSize="9" scale="14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1st Shift Issue Sheet</vt:lpstr>
      <vt:lpstr>2nd Shift Issue Sheet</vt:lpstr>
      <vt:lpstr>(1st+2nd) Shift Combined</vt:lpstr>
      <vt:lpstr>Summery Sheet</vt:lpstr>
      <vt:lpstr>MC Layout</vt:lpstr>
      <vt:lpstr>'(1st+2nd) Shift Combined'!Print_Area</vt:lpstr>
      <vt:lpstr>'1st Shift Issue Sheet'!Print_Area</vt:lpstr>
      <vt:lpstr>'2nd Shift Issue Sheet'!Print_Area</vt:lpstr>
      <vt:lpstr>'MC Layout'!Print_Area</vt:lpstr>
      <vt:lpstr>'Summery Sheet'!Print_Area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dcterms:created xsi:type="dcterms:W3CDTF">2016-03-20T05:55:38Z</dcterms:created>
  <dcterms:modified xsi:type="dcterms:W3CDTF">2016-04-19T17:29:11Z</dcterms:modified>
</cp:coreProperties>
</file>